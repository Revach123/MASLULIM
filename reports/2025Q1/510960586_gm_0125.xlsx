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חשבונאות\רשימת נכסים\תיקון רשימה לתקופות קודמות\תיקונים קלוד\"/>
    </mc:Choice>
  </mc:AlternateContent>
  <xr:revisionPtr revIDLastSave="0" documentId="13_ncr:1_{C39A7E5A-1E76-4983-B809-1A988EFBEB18}" xr6:coauthVersionLast="47" xr6:coauthVersionMax="47" xr10:uidLastSave="{00000000-0000-0000-0000-000000000000}"/>
  <bookViews>
    <workbookView xWindow="-120" yWindow="-120" windowWidth="29040" windowHeight="15720" tabRatio="500" firstSheet="18" activeTab="23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הלוואות!$A$1:$BA$206</definedName>
    <definedName name="_xlnm._FilterDatabase" localSheetId="30" hidden="1">'יתרות התחייבות להשקעה'!$A$1:$Q$215</definedName>
    <definedName name="_xlnm._FilterDatabase" localSheetId="32" hidden="1">'מיפוי סעיפים'!$A$1:$D$795</definedName>
    <definedName name="_xlnm._FilterDatabase" localSheetId="19" hidden="1">'קרנות השקעה'!$A$1:$AA$266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2" l="1"/>
  <c r="C30" i="2"/>
  <c r="D29" i="2"/>
  <c r="B29" i="2"/>
  <c r="D28" i="2"/>
  <c r="B28" i="2"/>
  <c r="D27" i="2"/>
  <c r="B27" i="2"/>
  <c r="B26" i="2"/>
  <c r="D26" i="2" s="1"/>
  <c r="D25" i="2"/>
  <c r="B25" i="2"/>
  <c r="B24" i="2"/>
  <c r="D24" i="2" s="1"/>
  <c r="D23" i="2"/>
  <c r="B23" i="2"/>
  <c r="B22" i="2"/>
  <c r="D22" i="2" s="1"/>
  <c r="D21" i="2"/>
  <c r="B21" i="2"/>
  <c r="D20" i="2"/>
  <c r="B20" i="2"/>
  <c r="D19" i="2"/>
  <c r="B19" i="2"/>
  <c r="B18" i="2"/>
  <c r="D18" i="2" s="1"/>
  <c r="D17" i="2"/>
  <c r="B17" i="2"/>
  <c r="D16" i="2"/>
  <c r="B16" i="2"/>
  <c r="D15" i="2"/>
  <c r="B15" i="2"/>
  <c r="B14" i="2"/>
  <c r="D14" i="2" s="1"/>
  <c r="D13" i="2"/>
  <c r="B13" i="2"/>
  <c r="D12" i="2"/>
  <c r="B12" i="2"/>
  <c r="D11" i="2"/>
  <c r="B11" i="2"/>
  <c r="B10" i="2"/>
  <c r="D10" i="2" s="1"/>
  <c r="D9" i="2"/>
  <c r="B9" i="2"/>
  <c r="D8" i="2"/>
  <c r="B8" i="2"/>
  <c r="D7" i="2"/>
  <c r="B7" i="2"/>
  <c r="B6" i="2"/>
  <c r="D6" i="2" s="1"/>
  <c r="D5" i="2"/>
  <c r="B5" i="2"/>
  <c r="D4" i="2"/>
  <c r="B4" i="2"/>
  <c r="D3" i="2"/>
  <c r="B3" i="2"/>
  <c r="D15" i="1"/>
  <c r="D13" i="1"/>
  <c r="D30" i="2" l="1"/>
  <c r="B30" i="2"/>
  <c r="E25" i="2" l="1"/>
  <c r="E21" i="2"/>
  <c r="E17" i="2"/>
  <c r="E13" i="2"/>
  <c r="E9" i="2"/>
  <c r="E5" i="2"/>
  <c r="E20" i="2"/>
  <c r="E16" i="2"/>
  <c r="E12" i="2"/>
  <c r="E8" i="2"/>
  <c r="E4" i="2"/>
  <c r="E15" i="2"/>
  <c r="E11" i="2"/>
  <c r="E7" i="2"/>
  <c r="E3" i="2"/>
  <c r="E26" i="2"/>
  <c r="E22" i="2"/>
  <c r="E18" i="2"/>
  <c r="E14" i="2"/>
  <c r="E10" i="2"/>
  <c r="E6" i="2"/>
  <c r="E29" i="2"/>
  <c r="E24" i="2"/>
  <c r="E28" i="2"/>
  <c r="E19" i="2"/>
  <c r="E23" i="2"/>
  <c r="E27" i="2"/>
  <c r="E30" i="2" l="1"/>
</calcChain>
</file>

<file path=xl/sharedStrings.xml><?xml version="1.0" encoding="utf-8"?>
<sst xmlns="http://schemas.openxmlformats.org/spreadsheetml/2006/main" count="45407" uniqueCount="3193">
  <si>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</si>
  <si>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</si>
  <si>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</si>
  <si>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</si>
  <si>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</si>
  <si>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</si>
  <si>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</si>
  <si>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</si>
  <si>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</si>
  <si>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פרטי האחראי על הדיווח בגוף המוסדי</t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</si>
  <si>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</si>
  <si>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</si>
  <si>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</si>
  <si>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</si>
  <si>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</si>
  <si>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</si>
  <si>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</si>
  <si>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</si>
  <si>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</si>
  <si>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</si>
  <si>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</si>
  <si>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</si>
  <si>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</si>
  <si>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</si>
  <si>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</si>
  <si>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</si>
  <si>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</si>
  <si>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</si>
  <si>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</si>
  <si>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</si>
  <si>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</si>
  <si>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</si>
  <si>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</si>
  <si>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</si>
  <si>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</si>
  <si>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</si>
  <si>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</si>
  <si>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</si>
  <si>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</si>
  <si>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</si>
  <si>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</si>
  <si>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</si>
  <si>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</si>
  <si>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</si>
  <si>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</si>
  <si>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</si>
  <si>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</si>
  <si>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</si>
  <si>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</si>
  <si>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</si>
  <si>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</si>
  <si>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</si>
  <si>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</si>
  <si>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</si>
  <si>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</si>
  <si>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</si>
  <si>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</si>
  <si>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</si>
  <si>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</si>
  <si>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</si>
  <si>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</si>
  <si>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</si>
  <si>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</si>
  <si>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</si>
  <si>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</si>
  <si>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</si>
  <si>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</si>
  <si>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גמול פועלים סהר</t>
  </si>
  <si>
    <t>33-414</t>
  </si>
  <si>
    <t>סימול בנק</t>
  </si>
  <si>
    <t>מזומן ועו"ש נקוב במט"ח</t>
  </si>
  <si>
    <t>ישראל</t>
  </si>
  <si>
    <t>לא</t>
  </si>
  <si>
    <t>AAA</t>
  </si>
  <si>
    <t>S&amp;P מעלות</t>
  </si>
  <si>
    <t>USD</t>
  </si>
  <si>
    <t>CAD</t>
  </si>
  <si>
    <t>EUR</t>
  </si>
  <si>
    <t>JPY</t>
  </si>
  <si>
    <t>GBP</t>
  </si>
  <si>
    <t>מזומן ועו"ש בש"ח</t>
  </si>
  <si>
    <t>ILS</t>
  </si>
  <si>
    <t>בנק לאומי לישראל בע"מ</t>
  </si>
  <si>
    <t>10-800</t>
  </si>
  <si>
    <t>AUD</t>
  </si>
  <si>
    <t>חו"ל</t>
  </si>
  <si>
    <t>NOK</t>
  </si>
  <si>
    <t>HKD</t>
  </si>
  <si>
    <t>בנק הפועלים בע"מ</t>
  </si>
  <si>
    <t>12-509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</si>
  <si>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</si>
  <si>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</si>
  <si>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</si>
  <si>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</si>
  <si>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</si>
  <si>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</si>
  <si>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</si>
  <si>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</si>
  <si>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</si>
  <si>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</si>
  <si>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</si>
  <si>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</si>
  <si>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</si>
  <si>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</si>
  <si>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</si>
  <si>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ישראל- מק"מ</t>
  </si>
  <si>
    <t>מ.ק.מ. 1215</t>
  </si>
  <si>
    <t>IL0082512174</t>
  </si>
  <si>
    <t>מק"מ קצר משנים עשר חודשים</t>
  </si>
  <si>
    <t>TASE </t>
  </si>
  <si>
    <t>RF</t>
  </si>
  <si>
    <t>פנימי</t>
  </si>
  <si>
    <t>03/12/2025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</si>
  <si>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</si>
  <si>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</si>
  <si>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</si>
  <si>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</si>
  <si>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</si>
  <si>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</si>
  <si>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</si>
  <si>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</si>
  <si>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</si>
  <si>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</si>
  <si>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</si>
  <si>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</si>
  <si>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</si>
  <si>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</si>
  <si>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</si>
  <si>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</si>
  <si>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</si>
  <si>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</si>
  <si>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</si>
  <si>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</si>
  <si>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</si>
  <si>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</si>
  <si>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</si>
  <si>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</si>
  <si>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</si>
  <si>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</si>
  <si>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</si>
  <si>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</si>
  <si>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</si>
  <si>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</si>
  <si>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</si>
  <si>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</si>
  <si>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</si>
  <si>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</si>
  <si>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</si>
  <si>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</si>
  <si>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</si>
  <si>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</si>
  <si>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</si>
  <si>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</si>
  <si>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</si>
  <si>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</si>
  <si>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</si>
  <si>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</si>
  <si>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</si>
  <si>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</si>
  <si>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</si>
  <si>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</si>
  <si>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</si>
  <si>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</si>
  <si>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</si>
  <si>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</si>
  <si>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</si>
  <si>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</si>
  <si>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</si>
  <si>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</si>
  <si>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</si>
  <si>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</si>
  <si>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</si>
  <si>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מלווה קצר מועד 615</t>
  </si>
  <si>
    <t>IL0082506150</t>
  </si>
  <si>
    <t>04/06/2025</t>
  </si>
  <si>
    <t>ממשל שקלית  0927</t>
  </si>
  <si>
    <t>IL0012035791</t>
  </si>
  <si>
    <t>30/09/2027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</si>
  <si>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</si>
  <si>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</si>
  <si>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</si>
  <si>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</si>
  <si>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</si>
  <si>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מקמ 815</t>
  </si>
  <si>
    <t>IL0082508131</t>
  </si>
  <si>
    <t>06/08/2025</t>
  </si>
  <si>
    <t>מלווה קצר מועד 715</t>
  </si>
  <si>
    <t>IL0082507141</t>
  </si>
  <si>
    <t>02/07/2025</t>
  </si>
  <si>
    <t>מקמ       316</t>
  </si>
  <si>
    <t>IL0082603171</t>
  </si>
  <si>
    <t>04/03/2026</t>
  </si>
  <si>
    <t>ממשלתי שקלי  1026</t>
  </si>
  <si>
    <t>IL0010994569</t>
  </si>
  <si>
    <t>30/10/2026</t>
  </si>
  <si>
    <t>ממשלתית שקלית 0.5% 04/25</t>
  </si>
  <si>
    <t>IL0011626681</t>
  </si>
  <si>
    <t>30/04/2025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</si>
  <si>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</si>
  <si>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</si>
  <si>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</si>
  <si>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</si>
  <si>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</si>
  <si>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</si>
  <si>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</si>
  <si>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</si>
  <si>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</si>
  <si>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</si>
  <si>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אדגר השקעות ופיתוח בע"מ</t>
  </si>
  <si>
    <t>520035171</t>
  </si>
  <si>
    <t>ח.פ</t>
  </si>
  <si>
    <t>אדגר אגח ט</t>
  </si>
  <si>
    <t>IL0018201900</t>
  </si>
  <si>
    <t>ISIN</t>
  </si>
  <si>
    <t>צמוד למדד המחירים לצרכן</t>
  </si>
  <si>
    <t>גלובלי</t>
  </si>
  <si>
    <t>סחיר</t>
  </si>
  <si>
    <t>נדל"ן מניב בחו"ל</t>
  </si>
  <si>
    <t>A</t>
  </si>
  <si>
    <t>מידרוג Moodys</t>
  </si>
  <si>
    <t>נייר ערך</t>
  </si>
  <si>
    <t>01/07/2025</t>
  </si>
  <si>
    <t>החוב לא נחות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</si>
  <si>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</si>
  <si>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</si>
  <si>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</si>
  <si>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</si>
  <si>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</si>
  <si>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</si>
  <si>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</si>
  <si>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</si>
  <si>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</si>
  <si>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</si>
  <si>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</si>
  <si>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</si>
  <si>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A-</t>
  </si>
  <si>
    <t>01/10/2028</t>
  </si>
  <si>
    <t>או.פי.סי  אגח ג</t>
  </si>
  <si>
    <t>IL0011803553</t>
  </si>
  <si>
    <t>לא צמוד למדד המחירים לצרכן</t>
  </si>
  <si>
    <t>01/09/2030</t>
  </si>
  <si>
    <t>אזורים-חברה להשקעות בפתוח ובבנין בע"מ</t>
  </si>
  <si>
    <t>520025990</t>
  </si>
  <si>
    <t>אזורים סדרה 14</t>
  </si>
  <si>
    <t>IL0071504448</t>
  </si>
  <si>
    <t>בנייה</t>
  </si>
  <si>
    <t>A+</t>
  </si>
  <si>
    <t>31/12/2028</t>
  </si>
  <si>
    <t>איי.די.איי. הנפקות (2010) בע"מ</t>
  </si>
  <si>
    <t>514486042</t>
  </si>
  <si>
    <t>איידיאיי הנפקות אגח ו</t>
  </si>
  <si>
    <t>IL0011830374</t>
  </si>
  <si>
    <t>ביטוח</t>
  </si>
  <si>
    <t>15/12/2028</t>
  </si>
  <si>
    <t>איירפורט סיטי בע"מ</t>
  </si>
  <si>
    <t>511659401</t>
  </si>
  <si>
    <t>איירפורט אגח ה</t>
  </si>
  <si>
    <t>IL0011334872</t>
  </si>
  <si>
    <t>נדל"ן מניב בישראל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</si>
  <si>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</si>
  <si>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</si>
  <si>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</si>
  <si>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</si>
  <si>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</si>
  <si>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</si>
  <si>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</si>
  <si>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</si>
  <si>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</si>
  <si>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</si>
  <si>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</si>
  <si>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</si>
  <si>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</si>
  <si>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</si>
  <si>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</si>
  <si>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</si>
  <si>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</si>
  <si>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</si>
  <si>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</si>
  <si>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</si>
  <si>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</si>
  <si>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</si>
  <si>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30/11/2034</t>
  </si>
  <si>
    <t>אנלייט אנרגיה מתחדשת בע"מ</t>
  </si>
  <si>
    <t>520041146</t>
  </si>
  <si>
    <t>אנלייט אנר אגח ז</t>
  </si>
  <si>
    <t>IL0012181223</t>
  </si>
  <si>
    <t>אחר</t>
  </si>
  <si>
    <t>אנרגיה מתחדשת</t>
  </si>
  <si>
    <t>01/09/2033</t>
  </si>
  <si>
    <t>אנלייט אנרגיה אגח ד</t>
  </si>
  <si>
    <t>IL0072002566</t>
  </si>
  <si>
    <t>ארה"ב</t>
  </si>
  <si>
    <t>02/09/2029</t>
  </si>
  <si>
    <t>אנרג'יקס אנרגיות מתחדשות בע"מ</t>
  </si>
  <si>
    <t>513901371</t>
  </si>
  <si>
    <t>אנרג'יקס אגח א</t>
  </si>
  <si>
    <t>IL0011617516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</si>
  <si>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</si>
  <si>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</si>
  <si>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</si>
  <si>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</si>
  <si>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</si>
  <si>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</si>
  <si>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</si>
  <si>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</si>
  <si>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</si>
  <si>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</si>
  <si>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</si>
  <si>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</si>
  <si>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</si>
  <si>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</si>
  <si>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</si>
  <si>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</si>
  <si>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</si>
  <si>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</si>
  <si>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</si>
  <si>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</si>
  <si>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</si>
  <si>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</si>
  <si>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</si>
  <si>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בתי זקוק לנפט בע"מ</t>
  </si>
  <si>
    <t>520036658</t>
  </si>
  <si>
    <t>בזן אגח י</t>
  </si>
  <si>
    <t>IL0025905113</t>
  </si>
  <si>
    <t>25/09/2031</t>
  </si>
  <si>
    <t>בי קומיוניקיישנס בע"מ לשעבר סמייל 012</t>
  </si>
  <si>
    <t>512832742</t>
  </si>
  <si>
    <t>בי קומיוניקיישנס אגח ז</t>
  </si>
  <si>
    <t>IL0012109885</t>
  </si>
  <si>
    <t>תקשורת ומדיה</t>
  </si>
  <si>
    <t>30/11/2029</t>
  </si>
  <si>
    <t>ביג מרכזי קניות (2004) בע"מ</t>
  </si>
  <si>
    <t>513623314</t>
  </si>
  <si>
    <t>ביג אגח טו</t>
  </si>
  <si>
    <t>IL0011622219</t>
  </si>
  <si>
    <t>31/01/2030</t>
  </si>
  <si>
    <t>ביג אגח יח</t>
  </si>
  <si>
    <t>IL0011742264</t>
  </si>
  <si>
    <t>ביג אגח כ</t>
  </si>
  <si>
    <t>IL0011861882</t>
  </si>
  <si>
    <t>01/05/2033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</si>
  <si>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</si>
  <si>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</si>
  <si>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</si>
  <si>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</si>
  <si>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</si>
  <si>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</si>
  <si>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</si>
  <si>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</si>
  <si>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</si>
  <si>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</si>
  <si>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</si>
  <si>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</si>
  <si>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</si>
  <si>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</si>
  <si>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</si>
  <si>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</si>
  <si>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</si>
  <si>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</si>
  <si>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</si>
  <si>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</si>
  <si>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דיסקונט מנפיקים בע"מ</t>
  </si>
  <si>
    <t>520029935</t>
  </si>
  <si>
    <t>דיסק מנ אגח טז</t>
  </si>
  <si>
    <t>IL0012031576</t>
  </si>
  <si>
    <t>בנקים</t>
  </si>
  <si>
    <t>20/03/2035</t>
  </si>
  <si>
    <t>חברת השקעות דיסקונט בע"מ</t>
  </si>
  <si>
    <t>520023896</t>
  </si>
  <si>
    <t>דיסקונט השקעות אגח ו</t>
  </si>
  <si>
    <t>IL0063902071</t>
  </si>
  <si>
    <t>BBB</t>
  </si>
  <si>
    <t>31/12/2025</t>
  </si>
  <si>
    <t>כן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</si>
  <si>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</si>
  <si>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</si>
  <si>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</si>
  <si>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</si>
  <si>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</si>
  <si>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</si>
  <si>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</si>
  <si>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</si>
  <si>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</si>
  <si>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</si>
  <si>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</si>
  <si>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</si>
  <si>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</si>
  <si>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</si>
  <si>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</si>
  <si>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</si>
  <si>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</si>
  <si>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</si>
  <si>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הראל ביטוח מימון והנפקות בע"מ</t>
  </si>
  <si>
    <t>513834200</t>
  </si>
  <si>
    <t>הראל הנפ אגח טו</t>
  </si>
  <si>
    <t>IL0011431306</t>
  </si>
  <si>
    <t>31/12/2031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</si>
  <si>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</si>
  <si>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</si>
  <si>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</si>
  <si>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</si>
  <si>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</si>
  <si>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</si>
  <si>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</si>
  <si>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    אגח 29</t>
  </si>
  <si>
    <t>IL0060002362</t>
  </si>
  <si>
    <t>01/03/2026</t>
  </si>
  <si>
    <t>חשמל אגח 34</t>
  </si>
  <si>
    <t>IL0011967812</t>
  </si>
  <si>
    <t>12/06/2033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</si>
  <si>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</si>
  <si>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</si>
  <si>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</si>
  <si>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</si>
  <si>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</si>
  <si>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</si>
  <si>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</si>
  <si>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</si>
  <si>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</si>
  <si>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</si>
  <si>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מספר שותפות</t>
  </si>
  <si>
    <t>ישראמקו אגח ג</t>
  </si>
  <si>
    <t>IL0023202323</t>
  </si>
  <si>
    <t>חיפושי נפט וגז</t>
  </si>
  <si>
    <t>10/10/2030</t>
  </si>
  <si>
    <t>כללביט מימון בע"מ</t>
  </si>
  <si>
    <t>513754069</t>
  </si>
  <si>
    <t>כלל מימון אגח יג</t>
  </si>
  <si>
    <t>IL0011979205</t>
  </si>
  <si>
    <t>שירותים פיננסיים</t>
  </si>
  <si>
    <t>31/07/2034</t>
  </si>
  <si>
    <t>520018078</t>
  </si>
  <si>
    <t>לאומי   אגח 179</t>
  </si>
  <si>
    <t>IL0060403727</t>
  </si>
  <si>
    <t>30/06/2026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</si>
  <si>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</si>
  <si>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</si>
  <si>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</si>
  <si>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</si>
  <si>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</si>
  <si>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</si>
  <si>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</si>
  <si>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</si>
  <si>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</si>
  <si>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מבנה נדל"ן (כ.ד)  בע"מ</t>
  </si>
  <si>
    <t>520024126</t>
  </si>
  <si>
    <t>מבנה אגח כה</t>
  </si>
  <si>
    <t>IL0022606367</t>
  </si>
  <si>
    <t>30/09/2033</t>
  </si>
  <si>
    <t>מגדל ביטוח גיוס הון בע"מ</t>
  </si>
  <si>
    <t>513230029</t>
  </si>
  <si>
    <t>מגדל ביטוח הון אגח יד</t>
  </si>
  <si>
    <t>IL0012075219</t>
  </si>
  <si>
    <t>מגדל הון  אגח ו</t>
  </si>
  <si>
    <t>IL0011427858</t>
  </si>
  <si>
    <t>מגדל הון אגח יג 31/12/2032</t>
  </si>
  <si>
    <t>IL0012075136</t>
  </si>
  <si>
    <t>31/12/2032</t>
  </si>
  <si>
    <t>מגדלי הים התיכון</t>
  </si>
  <si>
    <t>512719485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</si>
  <si>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</si>
  <si>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</si>
  <si>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</si>
  <si>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</si>
  <si>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</si>
  <si>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</si>
  <si>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</si>
  <si>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</si>
  <si>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31/03/2032</t>
  </si>
  <si>
    <t>מזרחי טפחות חברה להנפקות בע"מ</t>
  </si>
  <si>
    <t>520032046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</si>
  <si>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</si>
  <si>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</si>
  <si>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</si>
  <si>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</si>
  <si>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</si>
  <si>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</si>
  <si>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</si>
  <si>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</si>
  <si>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</si>
  <si>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הנפקות אגח 42</t>
  </si>
  <si>
    <t>IL0023101830</t>
  </si>
  <si>
    <t>09/06/2030</t>
  </si>
  <si>
    <t>מליסרון בע"מ</t>
  </si>
  <si>
    <t>520037789</t>
  </si>
  <si>
    <t>מליסרון  אגח כא</t>
  </si>
  <si>
    <t>IL0011946386</t>
  </si>
  <si>
    <t>01/01/2037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</si>
  <si>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</si>
  <si>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</si>
  <si>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</si>
  <si>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</si>
  <si>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</si>
  <si>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</si>
  <si>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 xml:space="preserve">מניף - שירותים פיננסים בע"מ </t>
  </si>
  <si>
    <t>512764408</t>
  </si>
  <si>
    <t>מניף אגח א</t>
  </si>
  <si>
    <t>IL0011858839</t>
  </si>
  <si>
    <t>אשראי חוץ בנקאי</t>
  </si>
  <si>
    <t>30/09/2026</t>
  </si>
  <si>
    <t>מניף אגח ב</t>
  </si>
  <si>
    <t>IL0011988602</t>
  </si>
  <si>
    <t>31/07/2028</t>
  </si>
  <si>
    <t>מניף אגח ג</t>
  </si>
  <si>
    <t>IL0012167206</t>
  </si>
  <si>
    <t>קבוצת מנרב  בע"מ</t>
  </si>
  <si>
    <t>520034505</t>
  </si>
  <si>
    <t>מנרב אגח ד</t>
  </si>
  <si>
    <t>IL0015501690</t>
  </si>
  <si>
    <t>BBB+</t>
  </si>
  <si>
    <t>15/04/2032</t>
  </si>
  <si>
    <t>מקורות חברת מים בע"מ</t>
  </si>
  <si>
    <t>520010869</t>
  </si>
  <si>
    <t>מקורות אגח 11</t>
  </si>
  <si>
    <t>IL0011584765</t>
  </si>
  <si>
    <t>שירותים</t>
  </si>
  <si>
    <t>31/12/2053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</si>
  <si>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</si>
  <si>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</si>
  <si>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</si>
  <si>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</si>
  <si>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</si>
  <si>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</si>
  <si>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</si>
  <si>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</si>
  <si>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</si>
  <si>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</si>
  <si>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N/R</t>
  </si>
  <si>
    <t>NR</t>
  </si>
  <si>
    <t>30/09/2030</t>
  </si>
  <si>
    <t>ע.י נופר אנרגי' בע"מ</t>
  </si>
  <si>
    <t>514599943</t>
  </si>
  <si>
    <t>נופר אנרג אגח ג</t>
  </si>
  <si>
    <t>IL0011980435</t>
  </si>
  <si>
    <t>30/06/2030</t>
  </si>
  <si>
    <t>נופר אנרג אגח ד</t>
  </si>
  <si>
    <t>IL0012114166</t>
  </si>
  <si>
    <t>31/12/2033</t>
  </si>
  <si>
    <t>נמקו ריאליטי לטד</t>
  </si>
  <si>
    <t>1905761</t>
  </si>
  <si>
    <t>מספר תאגיד או שותפות בחו"ל</t>
  </si>
  <si>
    <t>נמקו אגח ד 15/04/2029 6.25%</t>
  </si>
  <si>
    <t>IL0012064734</t>
  </si>
  <si>
    <t>15/04/2029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</si>
  <si>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</si>
  <si>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</si>
  <si>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</si>
  <si>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</si>
  <si>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</si>
  <si>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</si>
  <si>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</si>
  <si>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סלקום ישראל בע"מ</t>
  </si>
  <si>
    <t>511930125</t>
  </si>
  <si>
    <t>סלקום אגח יג</t>
  </si>
  <si>
    <t>IL0011891905</t>
  </si>
  <si>
    <t>06/01/2030</t>
  </si>
  <si>
    <t>קבוצת עזריאלי בע"מ (לשעבר קנית מימון)</t>
  </si>
  <si>
    <t>510960719</t>
  </si>
  <si>
    <t>עזריאלי אגח ה</t>
  </si>
  <si>
    <t>IL0011566036</t>
  </si>
  <si>
    <t>AA+</t>
  </si>
  <si>
    <t>30/06/2028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</si>
  <si>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</si>
  <si>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</si>
  <si>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</si>
  <si>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</si>
  <si>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</si>
  <si>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</si>
  <si>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</si>
  <si>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</si>
  <si>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</si>
  <si>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520000118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</si>
  <si>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</si>
  <si>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</si>
  <si>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</si>
  <si>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</si>
  <si>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</si>
  <si>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</si>
  <si>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פז חברת הנפט בע"מ</t>
  </si>
  <si>
    <t>510216054</t>
  </si>
  <si>
    <t>פז נפט אגח ט</t>
  </si>
  <si>
    <t>IL0012059478</t>
  </si>
  <si>
    <t>31/05/2035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</si>
  <si>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</si>
  <si>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</si>
  <si>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</si>
  <si>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</si>
  <si>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</si>
  <si>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</si>
  <si>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</si>
  <si>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</si>
  <si>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</si>
  <si>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</si>
  <si>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</si>
  <si>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</si>
  <si>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</si>
  <si>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</si>
  <si>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</si>
  <si>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</si>
  <si>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</si>
  <si>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</si>
  <si>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</si>
  <si>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</si>
  <si>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צמוד למט"ח</t>
  </si>
  <si>
    <t>בריטניה</t>
  </si>
  <si>
    <t>10/07/2028</t>
  </si>
  <si>
    <t>תדיראן גרופ בע"מ</t>
  </si>
  <si>
    <t>520036732</t>
  </si>
  <si>
    <t>תדיראן גרופ אגח 4</t>
  </si>
  <si>
    <t>IL0012087842</t>
  </si>
  <si>
    <t>מסחר</t>
  </si>
  <si>
    <t>AAPL</t>
  </si>
  <si>
    <t>HWUPKR0MPOU8FGXBT394</t>
  </si>
  <si>
    <t>LEI</t>
  </si>
  <si>
    <t>AAPL 3.2 05/25</t>
  </si>
  <si>
    <t>US037833BG48</t>
  </si>
  <si>
    <t>Technology Hardware, Storage &amp; Peripherals</t>
  </si>
  <si>
    <t>S&amp;P</t>
  </si>
  <si>
    <t>13/05/2025</t>
  </si>
  <si>
    <t>MOTOROLA INC</t>
  </si>
  <si>
    <t>6S552MUG6KGJVEBSEC55</t>
  </si>
  <si>
    <t>MSI 7 1/2 05/15/25</t>
  </si>
  <si>
    <t>US620076AH21</t>
  </si>
  <si>
    <t>15/05/2025</t>
  </si>
  <si>
    <t>טבע תעשיות פרמצבטיות בע"מ</t>
  </si>
  <si>
    <t>520013954</t>
  </si>
  <si>
    <t>TEVA 4.375% 09/05/30</t>
  </si>
  <si>
    <t>XS2406607171</t>
  </si>
  <si>
    <t>פארמה</t>
  </si>
  <si>
    <t>BB-</t>
  </si>
  <si>
    <t>09/05/2030</t>
  </si>
  <si>
    <t>קבוצת אשטרום</t>
  </si>
  <si>
    <t>510381601</t>
  </si>
  <si>
    <t>אשטרום קב אגח ג</t>
  </si>
  <si>
    <t>IL0011401028</t>
  </si>
  <si>
    <t>15/01/2029</t>
  </si>
  <si>
    <t>הראל הנפק אגח יח</t>
  </si>
  <si>
    <t>IL0011826661</t>
  </si>
  <si>
    <t>מז  הנפק    46 1.22% 9/2027</t>
  </si>
  <si>
    <t>IL0023102259</t>
  </si>
  <si>
    <t>28/09/2027</t>
  </si>
  <si>
    <t>מליסרון אגח יא</t>
  </si>
  <si>
    <t>IL0032302080</t>
  </si>
  <si>
    <t>10/07/2025</t>
  </si>
  <si>
    <t>איי.סי.אל גרופ בע"מ (דואלי)</t>
  </si>
  <si>
    <t>520027830</t>
  </si>
  <si>
    <t>אייסיאל   אגח ז</t>
  </si>
  <si>
    <t>IL0028103724</t>
  </si>
  <si>
    <t>31/12/2034</t>
  </si>
  <si>
    <t>אלוני חץ  אגח ט</t>
  </si>
  <si>
    <t>IL0039003541</t>
  </si>
  <si>
    <t>28/02/2027</t>
  </si>
  <si>
    <t>אפי נכסים אגח י</t>
  </si>
  <si>
    <t>IL0011608788</t>
  </si>
  <si>
    <t>30/03/2029</t>
  </si>
  <si>
    <t>ארזים השקעות בע"מ</t>
  </si>
  <si>
    <t>520034281</t>
  </si>
  <si>
    <t>ארזים 2</t>
  </si>
  <si>
    <t>IL0013800474</t>
  </si>
  <si>
    <t>D</t>
  </si>
  <si>
    <t>30/04/2027</t>
  </si>
  <si>
    <t>ג'נריישן קפיטל בע"מ</t>
  </si>
  <si>
    <t>515846558</t>
  </si>
  <si>
    <t>ג'נריישן קפיטל אגח ג</t>
  </si>
  <si>
    <t>IL0011845554</t>
  </si>
  <si>
    <t>הראל הנפקות אגח י</t>
  </si>
  <si>
    <t>IL0011340481</t>
  </si>
  <si>
    <t>31/12/2026</t>
  </si>
  <si>
    <t>מגדל הון אגח ז</t>
  </si>
  <si>
    <t>IL0011560419</t>
  </si>
  <si>
    <t>חברת פרטנר תקשורת בע"מ</t>
  </si>
  <si>
    <t>520044314</t>
  </si>
  <si>
    <t>פרטנר אגח ז</t>
  </si>
  <si>
    <t>IL0011563975</t>
  </si>
  <si>
    <t>25/06/2027</t>
  </si>
  <si>
    <t>Bayer AG</t>
  </si>
  <si>
    <t>549300J4U55H3WP1XT59</t>
  </si>
  <si>
    <t>BAYNGY 4 1/2 03/25/2082</t>
  </si>
  <si>
    <t>XS2451802768</t>
  </si>
  <si>
    <t>גרמניה</t>
  </si>
  <si>
    <t>Pharmaceuticals</t>
  </si>
  <si>
    <t>BB+</t>
  </si>
  <si>
    <t>25/03/2082</t>
  </si>
  <si>
    <t>GOODYEAR TIRE &amp; RUBBER CO</t>
  </si>
  <si>
    <t>5493002BI0S2ZQUY3437</t>
  </si>
  <si>
    <t>GT 5 05/31/26</t>
  </si>
  <si>
    <t>US382550BF73</t>
  </si>
  <si>
    <t>Automobiles</t>
  </si>
  <si>
    <t>B2</t>
  </si>
  <si>
    <t>Moodys</t>
  </si>
  <si>
    <t>HEWLETT-PACKARD CO</t>
  </si>
  <si>
    <t>549300BX44RGX6ANDV88</t>
  </si>
  <si>
    <t>HPE 4.9 10/15/25</t>
  </si>
  <si>
    <t>US42824CAW91</t>
  </si>
  <si>
    <t>15/10/2025</t>
  </si>
  <si>
    <t>Sydney Airport</t>
  </si>
  <si>
    <t>549300MJAANHLHOVTO40</t>
  </si>
  <si>
    <t>SYDAU 3 5/8 04/28/26</t>
  </si>
  <si>
    <t>USQ8809VAH26</t>
  </si>
  <si>
    <t>אוסטרליה</t>
  </si>
  <si>
    <t>Transportation Infrastructure</t>
  </si>
  <si>
    <t>28/04/2026</t>
  </si>
  <si>
    <t>WALGREENS BOOTS ALLIANCE</t>
  </si>
  <si>
    <t>549300RPTUOIXG4LIH86</t>
  </si>
  <si>
    <t>WBA 3.45 06/01/26</t>
  </si>
  <si>
    <t>US931427AQ19</t>
  </si>
  <si>
    <t>Food &amp; Staples Retailing Consumer Staples Distribution &amp; Retail</t>
  </si>
  <si>
    <t>B1</t>
  </si>
  <si>
    <t>01/06/2026</t>
  </si>
  <si>
    <t>אזורים אגח 13</t>
  </si>
  <si>
    <t>IL0071504109</t>
  </si>
  <si>
    <t>אמות השקעות בע"מ</t>
  </si>
  <si>
    <t>520026683</t>
  </si>
  <si>
    <t>אמות אגח ד</t>
  </si>
  <si>
    <t>IL0011331498</t>
  </si>
  <si>
    <t>02/07/2028</t>
  </si>
  <si>
    <t>אמות אגח ה</t>
  </si>
  <si>
    <t>IL0011381147</t>
  </si>
  <si>
    <t>04/01/2026</t>
  </si>
  <si>
    <t>ביג מרכזי קניות יב</t>
  </si>
  <si>
    <t>IL0011562316</t>
  </si>
  <si>
    <t>25/02/2028</t>
  </si>
  <si>
    <t>מניבים קרן הריט החדשה בע"מ</t>
  </si>
  <si>
    <t>515327120</t>
  </si>
  <si>
    <t>מניבים ריט אגח ב</t>
  </si>
  <si>
    <t>IL0011559288</t>
  </si>
  <si>
    <t>רבוע כחול נדל"ן בע"מ</t>
  </si>
  <si>
    <t>513765859</t>
  </si>
  <si>
    <t>רבוע נדלן אגח ו</t>
  </si>
  <si>
    <t>IL0011406076</t>
  </si>
  <si>
    <t>30/11/2026</t>
  </si>
  <si>
    <t>הראל הנפ אג יז</t>
  </si>
  <si>
    <t>IL0011614547</t>
  </si>
  <si>
    <t>מזרחי טפחות הנפק 49</t>
  </si>
  <si>
    <t>IL0023102820</t>
  </si>
  <si>
    <t>23/06/2026</t>
  </si>
  <si>
    <t>מליסרון טז'</t>
  </si>
  <si>
    <t>IL0032302650</t>
  </si>
  <si>
    <t>01/04/2027</t>
  </si>
  <si>
    <t>פועלים אגח 203</t>
  </si>
  <si>
    <t>IL0011998684</t>
  </si>
  <si>
    <t>02/12/2030</t>
  </si>
  <si>
    <t>קיסטון אינפרא בע"מ</t>
  </si>
  <si>
    <t>515983476</t>
  </si>
  <si>
    <t>קיסטון ריט אגח א</t>
  </si>
  <si>
    <t>IL0011821878</t>
  </si>
  <si>
    <t>אשטרום קב אגח ב</t>
  </si>
  <si>
    <t>IL0011323313</t>
  </si>
  <si>
    <t>11/05/2025</t>
  </si>
  <si>
    <t xml:space="preserve">אורמת טכנולגיות אינק </t>
  </si>
  <si>
    <t>5493000TSHHWY24VHM09</t>
  </si>
  <si>
    <t>אורמת טכנולוגיות</t>
  </si>
  <si>
    <t>US6866881021</t>
  </si>
  <si>
    <t>מניות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</si>
  <si>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</si>
  <si>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</si>
  <si>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</si>
  <si>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</si>
  <si>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</si>
  <si>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</si>
  <si>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</si>
  <si>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</si>
  <si>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</si>
  <si>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</si>
  <si>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מתכת ומוצרי בניה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</si>
  <si>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</si>
  <si>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</si>
  <si>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</si>
  <si>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</si>
  <si>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</si>
  <si>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</si>
  <si>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</si>
  <si>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</si>
  <si>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ביטחוניות</t>
  </si>
  <si>
    <t>אלקטרה</t>
  </si>
  <si>
    <t>IL0007390375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</si>
  <si>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</si>
  <si>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</si>
  <si>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</si>
  <si>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</si>
  <si>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</si>
  <si>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</si>
  <si>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אפריקה ישראל תעשיות בע"מ</t>
  </si>
  <si>
    <t>520026618</t>
  </si>
  <si>
    <t>אפריקה תעשיות</t>
  </si>
  <si>
    <t>IL0008000114</t>
  </si>
  <si>
    <t>אשטרום קבוצה</t>
  </si>
  <si>
    <t>IL0011323156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</si>
  <si>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</si>
  <si>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</si>
  <si>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</si>
  <si>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</si>
  <si>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</si>
  <si>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</si>
  <si>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</si>
  <si>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</si>
  <si>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</si>
  <si>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</si>
  <si>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</si>
  <si>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</si>
  <si>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</si>
  <si>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</si>
  <si>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</si>
  <si>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</si>
  <si>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</si>
  <si>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</si>
  <si>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</si>
  <si>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</si>
  <si>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אופנה והלבשה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</si>
  <si>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</si>
  <si>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</si>
  <si>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</si>
  <si>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</si>
  <si>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</si>
  <si>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</si>
  <si>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</si>
  <si>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</si>
  <si>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</si>
  <si>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</si>
  <si>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</si>
  <si>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</si>
  <si>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</si>
  <si>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</si>
  <si>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</si>
  <si>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</si>
  <si>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שירותי מידע</t>
  </si>
  <si>
    <t>טאואר סמיקונדקטור בע"מ</t>
  </si>
  <si>
    <t>520041997</t>
  </si>
  <si>
    <t>טאואר</t>
  </si>
  <si>
    <t>IL0010823792</t>
  </si>
  <si>
    <t>מוליכים למחצה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</si>
  <si>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</si>
  <si>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</si>
  <si>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</si>
  <si>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</si>
  <si>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</si>
  <si>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</si>
  <si>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רשתות שיווק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</si>
  <si>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</si>
  <si>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</si>
  <si>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</si>
  <si>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</si>
  <si>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</si>
  <si>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</si>
  <si>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</si>
  <si>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</si>
  <si>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</si>
  <si>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</si>
  <si>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מבנה</t>
  </si>
  <si>
    <t>IL0002260193</t>
  </si>
  <si>
    <t>מגדלי תיכון</t>
  </si>
  <si>
    <t>IL0011315236</t>
  </si>
  <si>
    <t>מהדרין בע"מ</t>
  </si>
  <si>
    <t>520018482</t>
  </si>
  <si>
    <t>מהדרין</t>
  </si>
  <si>
    <t>IL0006860147</t>
  </si>
  <si>
    <t>מזון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</si>
  <si>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</si>
  <si>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</si>
  <si>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</si>
  <si>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</si>
  <si>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</si>
  <si>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</si>
  <si>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</si>
  <si>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</si>
  <si>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</si>
  <si>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</si>
  <si>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</si>
  <si>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</si>
  <si>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</si>
  <si>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</si>
  <si>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</si>
  <si>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</si>
  <si>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</si>
  <si>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</si>
  <si>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</si>
  <si>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</si>
  <si>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</si>
  <si>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</si>
  <si>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</si>
  <si>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</si>
  <si>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</si>
  <si>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</si>
  <si>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</si>
  <si>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</si>
  <si>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</si>
  <si>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</si>
  <si>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</si>
  <si>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אלקטרוניקה ואופטיקה</t>
  </si>
  <si>
    <t>סלקום</t>
  </si>
  <si>
    <t>IL0011015349</t>
  </si>
  <si>
    <t>עזריאלי קבוצה</t>
  </si>
  <si>
    <t>IL0011194789</t>
  </si>
  <si>
    <t>פועלים</t>
  </si>
  <si>
    <t>IL0006625771</t>
  </si>
  <si>
    <t>פלסאנמור בע"מ</t>
  </si>
  <si>
    <t>515139129</t>
  </si>
  <si>
    <t>פלסאנמור</t>
  </si>
  <si>
    <t>IL0011767006</t>
  </si>
  <si>
    <t>מכשור רפואי</t>
  </si>
  <si>
    <t>פרטנר</t>
  </si>
  <si>
    <t>IL0010834849</t>
  </si>
  <si>
    <t>פתאל החזקות 1998 בע"מ</t>
  </si>
  <si>
    <t>512607888</t>
  </si>
  <si>
    <t>פתאל החזקות</t>
  </si>
  <si>
    <t>IL0011434292</t>
  </si>
  <si>
    <t>מלונאות ותיירות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</si>
  <si>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</si>
  <si>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</si>
  <si>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</si>
  <si>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</si>
  <si>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</si>
  <si>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</si>
  <si>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</si>
  <si>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</si>
  <si>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ריט אזורים - ה.פ ליווינג בע"מ</t>
  </si>
  <si>
    <t>516117181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</si>
  <si>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</si>
  <si>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</si>
  <si>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</si>
  <si>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</si>
  <si>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</si>
  <si>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</si>
  <si>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</si>
  <si>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</si>
  <si>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</si>
  <si>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</si>
  <si>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</si>
  <si>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</si>
  <si>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</si>
  <si>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</si>
  <si>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חשמל</t>
  </si>
  <si>
    <t>Advanced Micro Devices inc</t>
  </si>
  <si>
    <t>R2I72C950HOYXII45366</t>
  </si>
  <si>
    <t>ADVANCED MICRO DEVICES INC</t>
  </si>
  <si>
    <t>US0079031078</t>
  </si>
  <si>
    <t>NASDAQ</t>
  </si>
  <si>
    <t>Semiconductors &amp; Semiconductor Equipment</t>
  </si>
  <si>
    <t>AIRBUS GROUP</t>
  </si>
  <si>
    <t>MINO79WLOO247M1IL051</t>
  </si>
  <si>
    <t>AIRBNB INC</t>
  </si>
  <si>
    <t>US0090661010</t>
  </si>
  <si>
    <t>DiversifiedTelecom Service</t>
  </si>
  <si>
    <t>amazon.com</t>
  </si>
  <si>
    <t>ZXTILKJKG63JELOEG630</t>
  </si>
  <si>
    <t>AMAZON.COM INC</t>
  </si>
  <si>
    <t>US0231351067</t>
  </si>
  <si>
    <t>Textiles, Apparel &amp; Luxury Goods</t>
  </si>
  <si>
    <t>APPLIED MATERIALS</t>
  </si>
  <si>
    <t>41BNNE1AFPNAZELZ6K07</t>
  </si>
  <si>
    <t>APPLIED MATERIALS INC</t>
  </si>
  <si>
    <t>US0382221051</t>
  </si>
  <si>
    <t>Semiconductors &amp; Semiconductor</t>
  </si>
  <si>
    <t>BERKSHIRE HATHAWAY FIN</t>
  </si>
  <si>
    <t>5493000C01ZX7D35SD85</t>
  </si>
  <si>
    <t>BERKSHIRE HATHAWAY INC</t>
  </si>
  <si>
    <t>US0846702076</t>
  </si>
  <si>
    <t>Diversified Financial Services Financial Services</t>
  </si>
  <si>
    <t>BIOGEN IDEC INC</t>
  </si>
  <si>
    <t>W8J5WZB5IY3K0NDQT671</t>
  </si>
  <si>
    <t>Biogen Inc</t>
  </si>
  <si>
    <t>US09062X1037</t>
  </si>
  <si>
    <t>גאמידה סל בע"מ</t>
  </si>
  <si>
    <t>512601204</t>
  </si>
  <si>
    <t>CONTRA GAMILDA CELL LTD</t>
  </si>
  <si>
    <t>USM47CVR0280</t>
  </si>
  <si>
    <t>NYSE</t>
  </si>
  <si>
    <t>Flextronics International ltd</t>
  </si>
  <si>
    <t>549300EAQH74YHD07T53</t>
  </si>
  <si>
    <t>FLEX LTD</t>
  </si>
  <si>
    <t>SG9999000020</t>
  </si>
  <si>
    <t>ALPHABET INC</t>
  </si>
  <si>
    <t>5493006MHB84DD0ZWV18</t>
  </si>
  <si>
    <t>Google Us Class c</t>
  </si>
  <si>
    <t>US02079K1079</t>
  </si>
  <si>
    <t>Diversified Telecommunication Services</t>
  </si>
  <si>
    <t>INTEL CORP</t>
  </si>
  <si>
    <t>KNX4USFCNGPY45LOCE31</t>
  </si>
  <si>
    <t>Intel corp</t>
  </si>
  <si>
    <t>US4581401001</t>
  </si>
  <si>
    <t>Lombard Odier Funds-Asia Value</t>
  </si>
  <si>
    <t>SB6NR8324Y8KG313SQ11</t>
  </si>
  <si>
    <t>LOMBARD ODIER-ASIA VALUE BD(IX</t>
  </si>
  <si>
    <t>LU2332096192</t>
  </si>
  <si>
    <t>אסיה</t>
  </si>
  <si>
    <t>Equity</t>
  </si>
  <si>
    <t>Lvmh Moet Hennessy Louis Vui</t>
  </si>
  <si>
    <t>IOG4E947OATN0KJYSD45</t>
  </si>
  <si>
    <t>LVMH MOET HENNESSY LOUIS VUITT</t>
  </si>
  <si>
    <t>FR0000121014</t>
  </si>
  <si>
    <t>צרפת</t>
  </si>
  <si>
    <t>EUREX</t>
  </si>
  <si>
    <t>ConsumerStaplesDistrib&amp;Retai</t>
  </si>
  <si>
    <t>MASTERCARD INC</t>
  </si>
  <si>
    <t>AR5L2ODV9HN37376R084</t>
  </si>
  <si>
    <t>MASTERCARD UNC</t>
  </si>
  <si>
    <t>US57636Q1040</t>
  </si>
  <si>
    <t>MercadoLibre Inc</t>
  </si>
  <si>
    <t>549300DKPDN9M5S8GB14</t>
  </si>
  <si>
    <t>MERCADOLIBRE INC</t>
  </si>
  <si>
    <t>US58733R1023</t>
  </si>
  <si>
    <t>ארגנטינה</t>
  </si>
  <si>
    <t>MERCK &amp;CO INC</t>
  </si>
  <si>
    <t>4YV9Y5M8S0BRK1RP0397</t>
  </si>
  <si>
    <t>MERCK &amp; CO INC</t>
  </si>
  <si>
    <t>US58933Y1055</t>
  </si>
  <si>
    <t>MICROSOFT CORP</t>
  </si>
  <si>
    <t>INR2EJN1ERAN0W5ZP974</t>
  </si>
  <si>
    <t>Microsoft crop</t>
  </si>
  <si>
    <t>US5949181045</t>
  </si>
  <si>
    <t>Software</t>
  </si>
  <si>
    <t>MODERNA INC</t>
  </si>
  <si>
    <t>549300EI6OKH5K5Q2G38</t>
  </si>
  <si>
    <t>US60770K1079</t>
  </si>
  <si>
    <t>Netflix Inc</t>
  </si>
  <si>
    <t>549300Y7VHGU0I7CE873</t>
  </si>
  <si>
    <t>NETFLIX INC</t>
  </si>
  <si>
    <t>US64110L1061</t>
  </si>
  <si>
    <t>NextEra Energy</t>
  </si>
  <si>
    <t>254900RHL9MEUS5NKX63</t>
  </si>
  <si>
    <t>NEXTERA ENERGY INC</t>
  </si>
  <si>
    <t>US65339F1012</t>
  </si>
  <si>
    <t>NYSE </t>
  </si>
  <si>
    <t>Utilities</t>
  </si>
  <si>
    <t>NIKE INC</t>
  </si>
  <si>
    <t>787RXPR0UX0O0XUXPZ81</t>
  </si>
  <si>
    <t>US6541061031</t>
  </si>
  <si>
    <t>Northrop Grumman Corp</t>
  </si>
  <si>
    <t>RIMU48P07456QXSO0R61</t>
  </si>
  <si>
    <t>NORTHROP GRUMMAN CORP</t>
  </si>
  <si>
    <t>US6668071029</t>
  </si>
  <si>
    <t>NVIDIA CORP</t>
  </si>
  <si>
    <t>549300S4KLFTLO7GSQ80</t>
  </si>
  <si>
    <t>Nvidia corp</t>
  </si>
  <si>
    <t>US67066G1040</t>
  </si>
  <si>
    <t>ORACLE CORP</t>
  </si>
  <si>
    <t>1Z4GXXU7ZHVWFCD8TV52</t>
  </si>
  <si>
    <t>US68389X1054</t>
  </si>
  <si>
    <t>Software &amp; Services</t>
  </si>
  <si>
    <t>Ormat Technologies</t>
  </si>
  <si>
    <t>Water Utilities</t>
  </si>
  <si>
    <t>פלוריסטם תרפיוטיקס אינק</t>
  </si>
  <si>
    <t>PLURISTEM THERAPEUTICS INC</t>
  </si>
  <si>
    <t>US72942G2030</t>
  </si>
  <si>
    <t>SCHLUMBERGER LIMITED</t>
  </si>
  <si>
    <t>529900EZ29I5KXPV2J32</t>
  </si>
  <si>
    <t>Schlumberger Ltd</t>
  </si>
  <si>
    <t>AN8068571086</t>
  </si>
  <si>
    <t>Energy Equipment &amp; Services</t>
  </si>
  <si>
    <t>TAIWAN Semiconductor</t>
  </si>
  <si>
    <t>549300KB6NK5SBD14S87</t>
  </si>
  <si>
    <t>TAIWAN SEMICON ADR</t>
  </si>
  <si>
    <t>US8740391003</t>
  </si>
  <si>
    <t>סין</t>
  </si>
  <si>
    <t>UBER TECHNOLOGIE</t>
  </si>
  <si>
    <t>549300B2FTG34FILDR98</t>
  </si>
  <si>
    <t>UBER TECHNOLOGIES INC</t>
  </si>
  <si>
    <t>US90353T1007</t>
  </si>
  <si>
    <t>VISA  Inc - CLASS  A</t>
  </si>
  <si>
    <t>549300JZ4OKEHW3DPJ59</t>
  </si>
  <si>
    <t>VISA inc-class a</t>
  </si>
  <si>
    <t>US92826C8394</t>
  </si>
  <si>
    <t>אברא טכנולוגיות מידע (לשעבר בבילון)</t>
  </si>
  <si>
    <t>512512468</t>
  </si>
  <si>
    <t>אברא טכנולוגיות מידע</t>
  </si>
  <si>
    <t>IL0011016669</t>
  </si>
  <si>
    <t>קבוצת דלק בע"מ</t>
  </si>
  <si>
    <t>520044322</t>
  </si>
  <si>
    <t>דלק קבוצה</t>
  </si>
  <si>
    <t>IL0010841281</t>
  </si>
  <si>
    <t>הראל השקעות בביטוח ושרותים פיננסים בע"מ</t>
  </si>
  <si>
    <t>520033986</t>
  </si>
  <si>
    <t>הראל השקעות</t>
  </si>
  <si>
    <t>IL0005850180</t>
  </si>
  <si>
    <t>יוחננוף</t>
  </si>
  <si>
    <t>511344186</t>
  </si>
  <si>
    <t>מ. יוחננוף</t>
  </si>
  <si>
    <t>IL0011612640</t>
  </si>
  <si>
    <t>רשת חנויות רמי לוי שיווק השיקמה 2006 בע"מ</t>
  </si>
  <si>
    <t>513770669</t>
  </si>
  <si>
    <t>רמי לוי</t>
  </si>
  <si>
    <t>IL0011042491</t>
  </si>
  <si>
    <t>COSTCO WHOLESAL</t>
  </si>
  <si>
    <t>29DX7H14B9S6O3FD6V18</t>
  </si>
  <si>
    <t>US22160K1051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</si>
  <si>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</si>
  <si>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</si>
  <si>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</si>
  <si>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</si>
  <si>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</si>
  <si>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</si>
  <si>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</si>
  <si>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</si>
  <si>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בוליגו קפיטל בע"מ</t>
  </si>
  <si>
    <t>514766195</t>
  </si>
  <si>
    <t>בוליגו</t>
  </si>
  <si>
    <t>IL0011805954</t>
  </si>
  <si>
    <t>אלומיי קפיטל בע"מ</t>
  </si>
  <si>
    <t>520039868</t>
  </si>
  <si>
    <t>ELLOMAY CAPITAL LTD RESTRICTED</t>
  </si>
  <si>
    <t>IL0010826357</t>
  </si>
  <si>
    <t>מג'יק תעשיות תכנה בע"מ</t>
  </si>
  <si>
    <t>520036740</t>
  </si>
  <si>
    <t>מ.אופנהיימר מג'יק</t>
  </si>
  <si>
    <t>IL0010823123</t>
  </si>
  <si>
    <t>פי אס טי אי - חסום ניתן למכור (אופנהיימר)</t>
  </si>
  <si>
    <t>US72940R1023</t>
  </si>
  <si>
    <t>חסום</t>
  </si>
  <si>
    <t>ביוטכנולוגיה</t>
  </si>
  <si>
    <t>סאמיט אחזקות נדל"ן בע"מ</t>
  </si>
  <si>
    <t>520043720</t>
  </si>
  <si>
    <t>סאמיט</t>
  </si>
  <si>
    <t>IL0010816861</t>
  </si>
  <si>
    <t>CHECK CAP LTD</t>
  </si>
  <si>
    <t>549300VKJF3TJ17U4U73</t>
  </si>
  <si>
    <t>IL0011336851</t>
  </si>
  <si>
    <t>Health Care Equipment &amp; Supplies</t>
  </si>
  <si>
    <t>SAFRAN SA</t>
  </si>
  <si>
    <t>969500UIC89GT3UL7L24</t>
  </si>
  <si>
    <t>FR0000073272</t>
  </si>
  <si>
    <t>סיווג הקרן</t>
  </si>
  <si>
    <t>מגדל קרנות נאמנות בע"מ</t>
  </si>
  <si>
    <t>511303661</t>
  </si>
  <si>
    <t>MTF סל Nasdaq 100 (4D)</t>
  </si>
  <si>
    <t>IL0011813875</t>
  </si>
  <si>
    <t>עוקב אחר מדדי מניות בחו"ל</t>
  </si>
  <si>
    <t>מניות בחו"ל חשופות מט"ח</t>
  </si>
  <si>
    <t>הראל קרנות נאמנות בע"מ</t>
  </si>
  <si>
    <t>511776783</t>
  </si>
  <si>
    <t>הראל קרן סל תא 125</t>
  </si>
  <si>
    <t>IL0011488991</t>
  </si>
  <si>
    <t>עוקב אחר מדדי מניות בישראל</t>
  </si>
  <si>
    <t>מניות בישראל</t>
  </si>
  <si>
    <t>מור ניהול קרנות נאמנות בע"מ</t>
  </si>
  <si>
    <t>514884485</t>
  </si>
  <si>
    <t>מור סל )4D(י NASDAQ 100</t>
  </si>
  <si>
    <t>IL0011658361</t>
  </si>
  <si>
    <t>מור סל )4D(י S&amp;P 500</t>
  </si>
  <si>
    <t>IL0011658106</t>
  </si>
  <si>
    <t>סל mtf Trave l&amp; Vacation</t>
  </si>
  <si>
    <t>IL0011675845</t>
  </si>
  <si>
    <t>State Street Corp</t>
  </si>
  <si>
    <t>07F5H7W3ET8ZLWNMFP29</t>
  </si>
  <si>
    <t>.UTILITIES SELECT S</t>
  </si>
  <si>
    <t>US81369Y8865</t>
  </si>
  <si>
    <t>Equity Funds</t>
  </si>
  <si>
    <t>Invesco investment management limited</t>
  </si>
  <si>
    <t>ECPGFXU8A2SHKVVGJI15</t>
  </si>
  <si>
    <t>AINVESCO AEROSPACE &amp; DEFENSE ET</t>
  </si>
  <si>
    <t>US46137V1008</t>
  </si>
  <si>
    <t>Amundi Asset Management</t>
  </si>
  <si>
    <t>213800VZW861M5FHMD50</t>
  </si>
  <si>
    <t>AMUNDI ETF ICAV - AMUNDI MSCI</t>
  </si>
  <si>
    <t>IE000BI8OT95</t>
  </si>
  <si>
    <t>AMUNDI INDEX MSCI EMERGING MAR</t>
  </si>
  <si>
    <t>LU1437017350</t>
  </si>
  <si>
    <t>שווקים מתעוררים</t>
  </si>
  <si>
    <t>AMUNDI STOXX EUROPE 600 UTILIT</t>
  </si>
  <si>
    <t>LU1834988864</t>
  </si>
  <si>
    <t>COMMUNICATION SERVICES SELECT</t>
  </si>
  <si>
    <t>US81369Y8527</t>
  </si>
  <si>
    <t>Consumer discretionary etf</t>
  </si>
  <si>
    <t>us81369y4070</t>
  </si>
  <si>
    <t>Xtrackers</t>
  </si>
  <si>
    <t>549300L70BS183Y6ML67</t>
  </si>
  <si>
    <t>DB X-TRACKERS MSCI EUR</t>
  </si>
  <si>
    <t>LU0274209237</t>
  </si>
  <si>
    <t>Financial sel sector spdr</t>
  </si>
  <si>
    <t>US81369Y6059</t>
  </si>
  <si>
    <t>First trust</t>
  </si>
  <si>
    <t>549300ZLB3EUU3H8NE60</t>
  </si>
  <si>
    <t>FIRSTTRUST RTUST NASDAQ CLEAN EDGE</t>
  </si>
  <si>
    <t>US33737A1088</t>
  </si>
  <si>
    <t>Global X Management Co LLc</t>
  </si>
  <si>
    <t>213800R3E823B1UBIA81</t>
  </si>
  <si>
    <t>GLOBAL X US INFRASTRUCTURE</t>
  </si>
  <si>
    <t>US37954Y6730</t>
  </si>
  <si>
    <t>Health spdr xlv</t>
  </si>
  <si>
    <t>US81369Y2090</t>
  </si>
  <si>
    <t xml:space="preserve">BlackRock  Asset Managment </t>
  </si>
  <si>
    <t>254900UWHMJRRODS3Z64</t>
  </si>
  <si>
    <t>IGV US_ISHARES EXPANDED TECH</t>
  </si>
  <si>
    <t>US4642875151</t>
  </si>
  <si>
    <t>Industrail select</t>
  </si>
  <si>
    <t>US81369Y7040</t>
  </si>
  <si>
    <t>ISF LN_ISHARES FTSE 100</t>
  </si>
  <si>
    <t>IE0005042456</t>
  </si>
  <si>
    <t>LSE</t>
  </si>
  <si>
    <t>Ishares ftse china25</t>
  </si>
  <si>
    <t>US4642871846</t>
  </si>
  <si>
    <t>ISHARES JP MORGAN USE EM CORP</t>
  </si>
  <si>
    <t>IE00BFM6TD65</t>
  </si>
  <si>
    <t>עוקב אחר מדדים אחרים בחו"ל</t>
  </si>
  <si>
    <t>אירלנד</t>
  </si>
  <si>
    <t>Bond/Fixed Income Funds</t>
  </si>
  <si>
    <t>ISHARES MSCI EMERGING MARKETS</t>
  </si>
  <si>
    <t>US46434G7640</t>
  </si>
  <si>
    <t>ISHARES STOXX ERUOPE 600 INDUS</t>
  </si>
  <si>
    <t>DE000A0H08J9</t>
  </si>
  <si>
    <t>אירופה</t>
  </si>
  <si>
    <t>FWB</t>
  </si>
  <si>
    <t>ISHARES USD SHORT DURATION COR</t>
  </si>
  <si>
    <t>IE00BYXYYP94</t>
  </si>
  <si>
    <t>LYXOR ETF</t>
  </si>
  <si>
    <t>LYXOR CORE STOXX EUROPE 600 DR</t>
  </si>
  <si>
    <t>LU0908500753</t>
  </si>
  <si>
    <t>EURONEXT</t>
  </si>
  <si>
    <t>LYXOR STOXX EUROPE 600 HEALTHC</t>
  </si>
  <si>
    <t>LU1834986900</t>
  </si>
  <si>
    <t>Materiales sel sector</t>
  </si>
  <si>
    <t>US81369Y1001</t>
  </si>
  <si>
    <t>AMUNDI</t>
  </si>
  <si>
    <t>2138007M6OEXDENVTF82</t>
  </si>
  <si>
    <t>NASD LN Equity</t>
  </si>
  <si>
    <t>LU1829221024</t>
  </si>
  <si>
    <t>NERGY S.SECTOR SPDR</t>
  </si>
  <si>
    <t>US81369Y5069</t>
  </si>
  <si>
    <t>Powershares  QQQ NAS1</t>
  </si>
  <si>
    <t>US46090E1038</t>
  </si>
  <si>
    <t>Real Estate Select Sector SPDR</t>
  </si>
  <si>
    <t>US81369Y8600</t>
  </si>
  <si>
    <t>SDJE50 GR Equity</t>
  </si>
  <si>
    <t>IE00B60SWX25</t>
  </si>
  <si>
    <t>SPDR BLOOMBERG SASB U.S. HIGH</t>
  </si>
  <si>
    <t>IE0004TYCC17</t>
  </si>
  <si>
    <t xml:space="preserve"> SPDR MCSI USA Gender Diversity</t>
  </si>
  <si>
    <t>5493004JVD6CQEEJSS37</t>
  </si>
  <si>
    <t>SPDR EUROPE INDUSTRIALS</t>
  </si>
  <si>
    <t>IE00BKWQOJ47</t>
  </si>
  <si>
    <t>SPDR S&amp;P CAPITAL MARKETS ETF</t>
  </si>
  <si>
    <t>US78464A7717</t>
  </si>
  <si>
    <t>Van Eck ETF</t>
  </si>
  <si>
    <t>549300ZLFKNTXC51ZN76</t>
  </si>
  <si>
    <t>VANECK DEFENSE UCITS ETF</t>
  </si>
  <si>
    <t>IE000YYE6WK5</t>
  </si>
  <si>
    <t>LSE </t>
  </si>
  <si>
    <t>Vanguard Group</t>
  </si>
  <si>
    <t>549300Y88GQ3VLJIBX57</t>
  </si>
  <si>
    <t>VANGUARD S&amp;P MID-CAP 400 ETF</t>
  </si>
  <si>
    <t>US9219328856</t>
  </si>
  <si>
    <t>WisdomTree Europe ltd</t>
  </si>
  <si>
    <t>213800B789JS6Y4H8936</t>
  </si>
  <si>
    <t>WISDOMTREE INDI</t>
  </si>
  <si>
    <t>US97717W4226</t>
  </si>
  <si>
    <t>הודו</t>
  </si>
  <si>
    <t>קסם קרנות נאמנות בע"מ</t>
  </si>
  <si>
    <t>510938608</t>
  </si>
  <si>
    <t>FTSE 100 (4D) ETF קסם</t>
  </si>
  <si>
    <t>IL0011464976</t>
  </si>
  <si>
    <t>MTF סל תא 125</t>
  </si>
  <si>
    <t>IL0011502833</t>
  </si>
  <si>
    <t>MTF סל תא 90</t>
  </si>
  <si>
    <t>IL0011502593</t>
  </si>
  <si>
    <t>הראל סל 4DMSCI AC World</t>
  </si>
  <si>
    <t>IL0011493355</t>
  </si>
  <si>
    <t>הראל סל NDX 100</t>
  </si>
  <si>
    <t>IL0011490385</t>
  </si>
  <si>
    <t>הראל סל SP500</t>
  </si>
  <si>
    <t>IL0011490203</t>
  </si>
  <si>
    <t>הראל סל תא 90</t>
  </si>
  <si>
    <t>IL0011489312</t>
  </si>
  <si>
    <t>קסם MSCI AC World (4D) ETF</t>
  </si>
  <si>
    <t>IL0011466799</t>
  </si>
  <si>
    <t>קסם S&amp;P 500 (4D) ETF</t>
  </si>
  <si>
    <t>IL0011464711</t>
  </si>
  <si>
    <t>קסםXOTS006.</t>
  </si>
  <si>
    <t>IL0011462087</t>
  </si>
  <si>
    <t>AMUNDI MSCI EMERGING MARKETS I</t>
  </si>
  <si>
    <t>LU2573967036</t>
  </si>
  <si>
    <t>INVESCO S&amp;P EQUAL WEIGHT I</t>
  </si>
  <si>
    <t>US46137V3244</t>
  </si>
  <si>
    <t>IVV US iShares S&amp;P 500 Index F</t>
  </si>
  <si>
    <t>US4642872000</t>
  </si>
  <si>
    <t>Lyxor S&amp;P 500 Ucits Etf - c-eu</t>
  </si>
  <si>
    <t>LU1135865084</t>
  </si>
  <si>
    <t>SOURCE S&amp;P 500 UCITS EFT</t>
  </si>
  <si>
    <t>IE00B3YCGJ38</t>
  </si>
  <si>
    <t>spdr Amex tech sel indx</t>
  </si>
  <si>
    <t>US81369Y8030</t>
  </si>
  <si>
    <t>SPDR S&amp;P MIDCAP 400 ETF TRUST</t>
  </si>
  <si>
    <t>US78467Y1073</t>
  </si>
  <si>
    <t>VANECK VECTORS SEMICONDUCTOR</t>
  </si>
  <si>
    <t>US92189F6768</t>
  </si>
  <si>
    <t>VANGUARD S&amp;P 50</t>
  </si>
  <si>
    <t>us9229083632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</si>
  <si>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</si>
  <si>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</si>
  <si>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</si>
  <si>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</si>
  <si>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</si>
  <si>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</si>
  <si>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MTF סל תלבונד 60</t>
  </si>
  <si>
    <t>IL0011499964</t>
  </si>
  <si>
    <t>עוקב אחר מדדים אחרים בישראל</t>
  </si>
  <si>
    <t xml:space="preserve">אג"ח בישראל - חברות והמרה  </t>
  </si>
  <si>
    <t>STX600.MTF</t>
  </si>
  <si>
    <t>IL0011502262</t>
  </si>
  <si>
    <t>הראל סל בונד שק- בנקוביט</t>
  </si>
  <si>
    <t>IL0011507477</t>
  </si>
  <si>
    <t>הראל סל תל בונד שקלי</t>
  </si>
  <si>
    <t>IL0011505232</t>
  </si>
  <si>
    <t>אי.בי.אי קרנות נאמנות בע"מ</t>
  </si>
  <si>
    <t>513765339</t>
  </si>
  <si>
    <t>אי.בי.אי. סל (4D)י S&amp;P 500</t>
  </si>
  <si>
    <t>IL0011481624</t>
  </si>
  <si>
    <t>קסם תל דיב</t>
  </si>
  <si>
    <t>IL0011459117</t>
  </si>
  <si>
    <t>AMUNDI S&amp;P 500 UCITS ETF</t>
  </si>
  <si>
    <t>LU1681049018</t>
  </si>
  <si>
    <t>MTF סל (S&amp;P 500 (4D</t>
  </si>
  <si>
    <t>IL0011503336</t>
  </si>
  <si>
    <t>MTF.תלבונדשקלי</t>
  </si>
  <si>
    <t>IL0011500027</t>
  </si>
  <si>
    <t>אי. בי. אי סל תל בונד צמודות A</t>
  </si>
  <si>
    <t>IL0011484776</t>
  </si>
  <si>
    <t>הראל סל תל בונד 60</t>
  </si>
  <si>
    <t>IL0011504730</t>
  </si>
  <si>
    <t>מור סל (A4) ת"א -125</t>
  </si>
  <si>
    <t>IL0011961534</t>
  </si>
  <si>
    <t>קסם iBox $ IG30 ETF</t>
  </si>
  <si>
    <t>IL0011469199</t>
  </si>
  <si>
    <t>קסם תא 90</t>
  </si>
  <si>
    <t>IL0011463317</t>
  </si>
  <si>
    <t>קסם תל בונד שקלי</t>
  </si>
  <si>
    <t>IL0011464141</t>
  </si>
  <si>
    <t>Ishares Msci  Asia ex Japn</t>
  </si>
  <si>
    <t>US4642881829</t>
  </si>
  <si>
    <t>ISHARES MSCI ACWI US ETF</t>
  </si>
  <si>
    <t>US4642882405</t>
  </si>
  <si>
    <t>SPDR S&amp;P 500 ETF TRUST</t>
  </si>
  <si>
    <t>US78462F1030</t>
  </si>
  <si>
    <t>VANGUARD FTSE ALL-WORLD EX-US</t>
  </si>
  <si>
    <t>US9220427754</t>
  </si>
  <si>
    <t xml:space="preserve">שם נייר ערך </t>
  </si>
  <si>
    <t>ריל אימג'ינג החזקות בע"מ לשעבר בי קונטקט</t>
  </si>
  <si>
    <t>F947Y6L7DTLMY45NSP66</t>
  </si>
  <si>
    <t>ARUKGIA LN Equity</t>
  </si>
  <si>
    <t>GB00B2PLJG05</t>
  </si>
  <si>
    <t>CIFC Senior Secured Corporate</t>
  </si>
  <si>
    <t>3912000TN89ESDWHS93</t>
  </si>
  <si>
    <t>Cifc Sen.sec.corp.loan isr Fd</t>
  </si>
  <si>
    <t>KYG2139S1277</t>
  </si>
  <si>
    <t>אג"ח קונצרני</t>
  </si>
  <si>
    <t>אמריקה הצפונית</t>
  </si>
  <si>
    <t>Comgest</t>
  </si>
  <si>
    <t>635400C9QFZKPI23YO22</t>
  </si>
  <si>
    <t>COMGEST GROWTH PLC - EURO</t>
  </si>
  <si>
    <t>IE0004766675</t>
  </si>
  <si>
    <t>ISE </t>
  </si>
  <si>
    <t>Investec</t>
  </si>
  <si>
    <t>2138009JJ8B595FIUW06</t>
  </si>
  <si>
    <t>IGS-EMERG MKT CORP DEBT-IUSD</t>
  </si>
  <si>
    <t>LU0611395327</t>
  </si>
  <si>
    <t>לוכסמבורג</t>
  </si>
  <si>
    <t>IUSSENG LX Equity</t>
  </si>
  <si>
    <t>LU0564079282</t>
  </si>
  <si>
    <t>KBI Global Investors</t>
  </si>
  <si>
    <t>213800G9XQZIV76VNB36</t>
  </si>
  <si>
    <t>KBI FUND ICAV -KBI ENERGY SOL</t>
  </si>
  <si>
    <t>IE00BNGJJ156</t>
  </si>
  <si>
    <t>Kotak</t>
  </si>
  <si>
    <t>213800SJ3IH3EXMXSJ47</t>
  </si>
  <si>
    <t>KOTAK FDS-INDIA MIDCAP (S) USD A</t>
  </si>
  <si>
    <t>LU2126068639</t>
  </si>
  <si>
    <t>LOMBARD ODIER-ASIA INV.GR.BD(I</t>
  </si>
  <si>
    <t>LU2083909536</t>
  </si>
  <si>
    <t>LUXEMBOURG LIFE</t>
  </si>
  <si>
    <t>213800KGUD27KPVIHO77</t>
  </si>
  <si>
    <t>lu24283023721</t>
  </si>
  <si>
    <t>M&amp;G Investments</t>
  </si>
  <si>
    <t>213800KHFEP1L58PDC25</t>
  </si>
  <si>
    <t>MGLEUCA LX Equity</t>
  </si>
  <si>
    <t>LU1670632501</t>
  </si>
  <si>
    <t>PRINCIPAL FINANCIAL</t>
  </si>
  <si>
    <t>Q46JYT8ZSTNVO1V2GB46</t>
  </si>
  <si>
    <t>PRINCIPAL GLOBAL INVEST</t>
  </si>
  <si>
    <t>IE00BKDW9G15</t>
  </si>
  <si>
    <t>Ubam Global</t>
  </si>
  <si>
    <t>5493007WR9BT7NBDHF50</t>
  </si>
  <si>
    <t>UBAM GLOB HIGH YLD SOL-IC</t>
  </si>
  <si>
    <t>LU0569863243</t>
  </si>
  <si>
    <t>INVESCO GLOBAL INVESTMENT GRAD</t>
  </si>
  <si>
    <t>LU1218206339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</si>
  <si>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</si>
  <si>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</si>
  <si>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</si>
  <si>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</si>
  <si>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</si>
  <si>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</si>
  <si>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נכס בסיס</t>
  </si>
  <si>
    <t>חוזים עתידיים בחול</t>
  </si>
  <si>
    <t>10527</t>
  </si>
  <si>
    <t>S&amp;P 500 EMINI FUT JUN25</t>
  </si>
  <si>
    <t>ESM5</t>
  </si>
  <si>
    <t>MINI NASDAQ 100 06/2025</t>
  </si>
  <si>
    <t>NQM5</t>
  </si>
  <si>
    <t>קרדיטו הנפקות בע"מ</t>
  </si>
  <si>
    <t>516804499</t>
  </si>
  <si>
    <t>קרדיטו אגח א</t>
  </si>
  <si>
    <t>IL0012103276</t>
  </si>
  <si>
    <t>קרן מובטחת</t>
  </si>
  <si>
    <t>ריבית ואג"ח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</si>
  <si>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</si>
  <si>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</si>
  <si>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</si>
  <si>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</si>
  <si>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</si>
  <si>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</si>
  <si>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</si>
  <si>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</si>
  <si>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</si>
  <si>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</si>
  <si>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</si>
  <si>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דוראה השקעות ופיתוח בע"מ</t>
  </si>
  <si>
    <t>520038282</t>
  </si>
  <si>
    <t>5.15% 2015 'דוראה סדרה ד</t>
  </si>
  <si>
    <t>IL0037201170</t>
  </si>
  <si>
    <t>28/02/2015</t>
  </si>
  <si>
    <t>31/03/2020</t>
  </si>
  <si>
    <t>אולימפיה החזקות נדל"ן בע"מ</t>
  </si>
  <si>
    <t>520035155</t>
  </si>
  <si>
    <t>אולימפיה אג"ח ב'</t>
  </si>
  <si>
    <t>IL0017900544</t>
  </si>
  <si>
    <t>אג"ח להמרה צמוד למדד המחירים לצרכן</t>
  </si>
  <si>
    <t>30/12/2014</t>
  </si>
  <si>
    <t>31/12/2021</t>
  </si>
  <si>
    <t>החוב נחות</t>
  </si>
  <si>
    <t>גורם תלוי/פנימי</t>
  </si>
  <si>
    <t>30/06/2021</t>
  </si>
  <si>
    <t>ב.ס.ר אירופה בע"מ</t>
  </si>
  <si>
    <t>520033838</t>
  </si>
  <si>
    <t>בסר אירופה אגח ח</t>
  </si>
  <si>
    <t>IL0011701419</t>
  </si>
  <si>
    <t>R/S</t>
  </si>
  <si>
    <t>30/11/2023</t>
  </si>
  <si>
    <t>30/12/2021</t>
  </si>
  <si>
    <t>דוראה אגח ב</t>
  </si>
  <si>
    <t>IL0037200750</t>
  </si>
  <si>
    <t>03/12/2012</t>
  </si>
  <si>
    <t>30/04/2014</t>
  </si>
  <si>
    <t>28/06/2018</t>
  </si>
  <si>
    <t>חבס השקעות (1960) בע"מ</t>
  </si>
  <si>
    <t>520039017</t>
  </si>
  <si>
    <t>חבס אגח 12</t>
  </si>
  <si>
    <t>IL0041500906</t>
  </si>
  <si>
    <t>25/05/2015</t>
  </si>
  <si>
    <t>29/05/2014</t>
  </si>
  <si>
    <t>31/01/2022</t>
  </si>
  <si>
    <t>עוגן- אגח חברתיות 1 בעמ</t>
  </si>
  <si>
    <t>516432044</t>
  </si>
  <si>
    <t>עוגן חלצ אגחב-רמ</t>
  </si>
  <si>
    <t>IL0011968497</t>
  </si>
  <si>
    <t>19/06/2023</t>
  </si>
  <si>
    <t>15/06/2027</t>
  </si>
  <si>
    <t>חברת ציטוט</t>
  </si>
  <si>
    <t>31/03/2025</t>
  </si>
  <si>
    <t>קמור בע"מ</t>
  </si>
  <si>
    <t>520034117</t>
  </si>
  <si>
    <t>קמור אגח ו</t>
  </si>
  <si>
    <t>IL0013201186</t>
  </si>
  <si>
    <t>C</t>
  </si>
  <si>
    <t>27/09/2026</t>
  </si>
  <si>
    <t>09/01/2024</t>
  </si>
  <si>
    <t>א.פ.ס.ק. תעשיות בע"מ(פירוק)</t>
  </si>
  <si>
    <t>520042441</t>
  </si>
  <si>
    <t>אפסק אגח א</t>
  </si>
  <si>
    <t>IL0010910326</t>
  </si>
  <si>
    <t>29/12/2013</t>
  </si>
  <si>
    <t>05/08/2012</t>
  </si>
  <si>
    <t>29/06/2021</t>
  </si>
  <si>
    <t>גמול חברה להשקעות בע"מ</t>
  </si>
  <si>
    <t>520018136</t>
  </si>
  <si>
    <t>גמול השקע ב</t>
  </si>
  <si>
    <t>IL0011167553</t>
  </si>
  <si>
    <t>07/09/2017</t>
  </si>
  <si>
    <t>30/09/2021</t>
  </si>
  <si>
    <t>וי.אי.די. התפלת מי אשקלון</t>
  </si>
  <si>
    <t>513102384</t>
  </si>
  <si>
    <t>התפלת מי אשקלון VID</t>
  </si>
  <si>
    <t>IL0010876832</t>
  </si>
  <si>
    <t>22/10/2025</t>
  </si>
  <si>
    <t>אי תלות</t>
  </si>
  <si>
    <t>חפציבה ג'רוזלם גולד בע"מ</t>
  </si>
  <si>
    <t>510404460</t>
  </si>
  <si>
    <t>חפציבה גרוזלם אגח 1</t>
  </si>
  <si>
    <t>IL0010999444</t>
  </si>
  <si>
    <t>26/08/2009</t>
  </si>
  <si>
    <t>23/01/2023</t>
  </si>
  <si>
    <t>חפציבה גרוזלם אגח 2</t>
  </si>
  <si>
    <t>IL0010999519</t>
  </si>
  <si>
    <t>30/11/2016</t>
  </si>
  <si>
    <t>חפציבה גרוזלם אגח 3</t>
  </si>
  <si>
    <t>IL0010999691</t>
  </si>
  <si>
    <t>25/02/2019</t>
  </si>
  <si>
    <t>חפציבה חופים בע"מ</t>
  </si>
  <si>
    <t>513718734</t>
  </si>
  <si>
    <t>חפציבה חופים אג"ח א' חש 2/09</t>
  </si>
  <si>
    <t>11113562</t>
  </si>
  <si>
    <t>18/05/2020</t>
  </si>
  <si>
    <t>28/02/2012</t>
  </si>
  <si>
    <t>20/05/2020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</si>
  <si>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</si>
  <si>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</si>
  <si>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</si>
  <si>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</si>
  <si>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</si>
  <si>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</si>
  <si>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</si>
  <si>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לא סחיר</t>
  </si>
  <si>
    <t>אג"ח מובנות</t>
  </si>
  <si>
    <t>02/07/2027</t>
  </si>
  <si>
    <t>SYBIL EUROPE LIMITED</t>
  </si>
  <si>
    <t>513948265</t>
  </si>
  <si>
    <t>סיביל יורופ אגח א (חברה מחוקה)</t>
  </si>
  <si>
    <t>IL0011052466</t>
  </si>
  <si>
    <t>31/12/2014</t>
  </si>
  <si>
    <t>01/06/2015</t>
  </si>
  <si>
    <t>אמפל-אמריקן ישראל קורפוריישן</t>
  </si>
  <si>
    <t>130435685</t>
  </si>
  <si>
    <t>אמפל אמריקן ישראל ב'12/16 %6.6(חש)</t>
  </si>
  <si>
    <t>11256240</t>
  </si>
  <si>
    <t>29/06/2023</t>
  </si>
  <si>
    <t>31/12/2012</t>
  </si>
  <si>
    <t>31/05/2021</t>
  </si>
  <si>
    <t>אולימפיה אגח ג (מחוקה)</t>
  </si>
  <si>
    <t>IL0017900627</t>
  </si>
  <si>
    <t>01/01/2018</t>
  </si>
  <si>
    <t>31/08/2015</t>
  </si>
  <si>
    <t>10/11/2021</t>
  </si>
  <si>
    <t>דוראה אגח א</t>
  </si>
  <si>
    <t>IL0037200347</t>
  </si>
  <si>
    <t>01/05/2019</t>
  </si>
  <si>
    <t>31/05/2012</t>
  </si>
  <si>
    <t>31/08/2020</t>
  </si>
  <si>
    <t>ATERA NETWORKS LTD</t>
  </si>
  <si>
    <t>27702</t>
  </si>
  <si>
    <t>60353513</t>
  </si>
  <si>
    <t>מניות לא סחירות</t>
  </si>
  <si>
    <t>24/12/2019</t>
  </si>
  <si>
    <t>CIVAN ADVANCED TECHNOGIES</t>
  </si>
  <si>
    <t>514154244</t>
  </si>
  <si>
    <t>62021290</t>
  </si>
  <si>
    <t>07/08/2023</t>
  </si>
  <si>
    <t>GEMMACERT LTD</t>
  </si>
  <si>
    <t>27994</t>
  </si>
  <si>
    <t>62013677</t>
  </si>
  <si>
    <t>24/07/2019</t>
  </si>
  <si>
    <t>IMM- VX L.P. (Velox</t>
  </si>
  <si>
    <t>89500</t>
  </si>
  <si>
    <t>IMM- VX (VELOX) CLASS B</t>
  </si>
  <si>
    <t>62021647</t>
  </si>
  <si>
    <t>השקעות בהייטק</t>
  </si>
  <si>
    <t>08/05/2024</t>
  </si>
  <si>
    <t>62018924</t>
  </si>
  <si>
    <t>12/08/2021</t>
  </si>
  <si>
    <t>דיווח מנהל הקרן</t>
  </si>
  <si>
    <t>וואן זירו הבנק הדיגיטלי בעמ</t>
  </si>
  <si>
    <t>515981728</t>
  </si>
  <si>
    <t>ONE ZERO DIGITAL BANK LTD</t>
  </si>
  <si>
    <t>62020045</t>
  </si>
  <si>
    <t>03/01/2022</t>
  </si>
  <si>
    <t>89735</t>
  </si>
  <si>
    <t>ONE ZERO SAFE</t>
  </si>
  <si>
    <t>62021506</t>
  </si>
  <si>
    <t>05/12/2023</t>
  </si>
  <si>
    <t>ONE ZERO SAFE 2025</t>
  </si>
  <si>
    <t>62022280</t>
  </si>
  <si>
    <t>20/03/2025</t>
  </si>
  <si>
    <t xml:space="preserve">QUANTUM </t>
  </si>
  <si>
    <t>28588</t>
  </si>
  <si>
    <t>Quantum Machines</t>
  </si>
  <si>
    <t>62020714</t>
  </si>
  <si>
    <t>השקעות בהיי-טק</t>
  </si>
  <si>
    <t>01/08/2022</t>
  </si>
  <si>
    <t>מומחה בלתי תלוי</t>
  </si>
  <si>
    <t>RESONAI</t>
  </si>
  <si>
    <t>89849</t>
  </si>
  <si>
    <t>62020383</t>
  </si>
  <si>
    <t>03/04/2022</t>
  </si>
  <si>
    <t>silentium</t>
  </si>
  <si>
    <t>89338</t>
  </si>
  <si>
    <t>Silentium LTD</t>
  </si>
  <si>
    <t>62018429</t>
  </si>
  <si>
    <t>08/06/2021</t>
  </si>
  <si>
    <t>TIPA CORP LTD</t>
  </si>
  <si>
    <t>514420660</t>
  </si>
  <si>
    <t>62020102</t>
  </si>
  <si>
    <t>12/01/2022</t>
  </si>
  <si>
    <t>TWINE</t>
  </si>
  <si>
    <t>13286</t>
  </si>
  <si>
    <t>TWINE SOLUTIONS LTD</t>
  </si>
  <si>
    <t>62018296</t>
  </si>
  <si>
    <t>19/05/2021</t>
  </si>
  <si>
    <t>UVEYE LTD</t>
  </si>
  <si>
    <t>514234202</t>
  </si>
  <si>
    <t>62018304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</si>
  <si>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</si>
  <si>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</si>
  <si>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</si>
  <si>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</si>
  <si>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</si>
  <si>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</si>
  <si>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</si>
  <si>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</si>
  <si>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>28068</t>
  </si>
  <si>
    <t>BRIGHTON SPC - KIJANI COMMODIT</t>
  </si>
  <si>
    <t>KYG1367R1083</t>
  </si>
  <si>
    <t>27/09/2018</t>
  </si>
  <si>
    <t>EMERALD SIDEPOC</t>
  </si>
  <si>
    <t>27703</t>
  </si>
  <si>
    <t>XXX133661328</t>
  </si>
  <si>
    <t>Silk Technologies INC</t>
  </si>
  <si>
    <t>28307</t>
  </si>
  <si>
    <t>SILK</t>
  </si>
  <si>
    <t>62018056</t>
  </si>
  <si>
    <t>25/03/2021</t>
  </si>
  <si>
    <t>Quantum Machines B</t>
  </si>
  <si>
    <t>62022256</t>
  </si>
  <si>
    <t>11/03/2025</t>
  </si>
  <si>
    <t>INTEGRA HOLDING</t>
  </si>
  <si>
    <t>27771</t>
  </si>
  <si>
    <t>60314101</t>
  </si>
  <si>
    <t>אספרו</t>
  </si>
  <si>
    <t>513868380</t>
  </si>
  <si>
    <t>אספרו מ"ר</t>
  </si>
  <si>
    <t>62406</t>
  </si>
  <si>
    <t>תשתיות</t>
  </si>
  <si>
    <t>15/03/2018</t>
  </si>
  <si>
    <t xml:space="preserve">גת אנרגיה בע"מ </t>
  </si>
  <si>
    <t>514293380</t>
  </si>
  <si>
    <t>גת אנרגיה ג'</t>
  </si>
  <si>
    <t>50000298</t>
  </si>
  <si>
    <t>31/12/2018</t>
  </si>
  <si>
    <t>גת אנרגיה מניה לא סחירה</t>
  </si>
  <si>
    <t>26211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</si>
  <si>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</si>
  <si>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</si>
  <si>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</si>
  <si>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</si>
  <si>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</si>
  <si>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</si>
  <si>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</si>
  <si>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</si>
  <si>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Real Estate Management &amp; Development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</si>
  <si>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</si>
  <si>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</si>
  <si>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</si>
  <si>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</si>
  <si>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</si>
  <si>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</si>
  <si>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מור קרן נדל"ן בינלאומי מניה A</t>
  </si>
  <si>
    <t>10000495</t>
  </si>
  <si>
    <t>מור קרן נדל"ן בינלאומי מניה רגילה</t>
  </si>
  <si>
    <t>9840879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</si>
  <si>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</si>
  <si>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</si>
  <si>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</si>
  <si>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</si>
  <si>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</si>
  <si>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</si>
  <si>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</si>
  <si>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</si>
  <si>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</si>
  <si>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</si>
  <si>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</si>
  <si>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JTLV III FUND, LIMITED PARTNERSHIP</t>
  </si>
  <si>
    <t>540316908</t>
  </si>
  <si>
    <t>3 JTLV</t>
  </si>
  <si>
    <t>פרייבט אקוויטי</t>
  </si>
  <si>
    <t>Direct Real Estate</t>
  </si>
  <si>
    <t>06/06/2022</t>
  </si>
  <si>
    <t>אי-תלות</t>
  </si>
  <si>
    <t>FIMI OPPORTUNITY FUND , L.P</t>
  </si>
  <si>
    <t>530278548</t>
  </si>
  <si>
    <t>FIMI ISRAEL OPPORTUNITY FOUND 7</t>
  </si>
  <si>
    <t>Other</t>
  </si>
  <si>
    <t>24/05/2021</t>
  </si>
  <si>
    <t>Firstime Ventures General Partner L.P.</t>
  </si>
  <si>
    <t>27986</t>
  </si>
  <si>
    <t>FIRST TIME</t>
  </si>
  <si>
    <t>Co-Investment/Direct</t>
  </si>
  <si>
    <t>איי קיימן</t>
  </si>
  <si>
    <t>02/07/2015</t>
  </si>
  <si>
    <t>FIRSTIME III</t>
  </si>
  <si>
    <t>18/11/2021</t>
  </si>
  <si>
    <t>FIRSTIME VENTURES II L.P</t>
  </si>
  <si>
    <t>12/02/2017</t>
  </si>
  <si>
    <t>ION ISRAEL FEEDER FUND LTD</t>
  </si>
  <si>
    <t>27177</t>
  </si>
  <si>
    <t>ION ISR. FEEDER 2013( USA ) 07  ׁ</t>
  </si>
  <si>
    <t>קרן גידור (Hedge Fund)</t>
  </si>
  <si>
    <t>18/02/2021</t>
  </si>
  <si>
    <t>ISRAEL INFRASTRUCTURE FUND III, L.P.</t>
  </si>
  <si>
    <t>530274141</t>
  </si>
  <si>
    <t>ISRAEL INFR III</t>
  </si>
  <si>
    <t>Value Added Infrastructure</t>
  </si>
  <si>
    <t>13/10/2016</t>
  </si>
  <si>
    <t>ISRAEL INFRASTRUCTURE FUND IV, LP</t>
  </si>
  <si>
    <t>540294725</t>
  </si>
  <si>
    <t>Israel Infrastructure Fund IV</t>
  </si>
  <si>
    <t>13/10/2020</t>
  </si>
  <si>
    <t>Israel secondary fund</t>
  </si>
  <si>
    <t>12962</t>
  </si>
  <si>
    <t>ISRAEL SECONDARY FUND II L.P</t>
  </si>
  <si>
    <t>Secondaries</t>
  </si>
  <si>
    <t>06/04/2017</t>
  </si>
  <si>
    <t>JVP VII OPPORTUNITY LP</t>
  </si>
  <si>
    <t>500452859</t>
  </si>
  <si>
    <t>Growth Venture Capital</t>
  </si>
  <si>
    <t>28/02/2016</t>
  </si>
  <si>
    <t xml:space="preserve">Klirmark Opportunity Fund </t>
  </si>
  <si>
    <t>CO-101523</t>
  </si>
  <si>
    <t>KLIRMARK III</t>
  </si>
  <si>
    <t>Special Situations Debt</t>
  </si>
  <si>
    <t>06/11/2019</t>
  </si>
  <si>
    <t>Klirmark IV</t>
  </si>
  <si>
    <t>17/04/2023</t>
  </si>
  <si>
    <t>NEXTIME VENTURES I L.P</t>
  </si>
  <si>
    <t>01/07/2019</t>
  </si>
  <si>
    <t>QUMRA CAPITAL MANAGEMENT LTD</t>
  </si>
  <si>
    <t>514915941</t>
  </si>
  <si>
    <t>ח.פ.</t>
  </si>
  <si>
    <t>QUMRA CAPITAL I</t>
  </si>
  <si>
    <t>QUMRA CAPITAL II LP</t>
  </si>
  <si>
    <t>13/08/2017</t>
  </si>
  <si>
    <t>Qumra Capital III</t>
  </si>
  <si>
    <t>17/02/2021</t>
  </si>
  <si>
    <t>Qumra Opportunity Fund</t>
  </si>
  <si>
    <t>05/05/2021</t>
  </si>
  <si>
    <t>RAFARMA INVESTMENTS 2020, LP</t>
  </si>
  <si>
    <t>540300902</t>
  </si>
  <si>
    <t>RACAH NANO VENTURE FUND</t>
  </si>
  <si>
    <t>09/07/2019</t>
  </si>
  <si>
    <t>RACAH NANO VENTURE FUND, LP</t>
  </si>
  <si>
    <t>540286820</t>
  </si>
  <si>
    <t>RAFARMA INVESTMENTS2020 LP</t>
  </si>
  <si>
    <t>21/12/2020</t>
  </si>
  <si>
    <t>SKY IV</t>
  </si>
  <si>
    <t>89839</t>
  </si>
  <si>
    <t>Buyout</t>
  </si>
  <si>
    <t>20/03/2022</t>
  </si>
  <si>
    <t>TERRA VENTURE PARTNERS</t>
  </si>
  <si>
    <t>222100FKDNQA51J4LR95</t>
  </si>
  <si>
    <t>TERRA VENTURES 3</t>
  </si>
  <si>
    <t>13/06/2019</t>
  </si>
  <si>
    <t>Vintage Fund of Funds IV (Israel), L.P.</t>
  </si>
  <si>
    <t>500450531</t>
  </si>
  <si>
    <t>Vintage FOF IV</t>
  </si>
  <si>
    <t>FOF/Managed Account</t>
  </si>
  <si>
    <t>22/05/2016</t>
  </si>
  <si>
    <t>Vintage Fund of Funds V (Access), L.P.</t>
  </si>
  <si>
    <t>500458815</t>
  </si>
  <si>
    <t>Vintage FOF V Access</t>
  </si>
  <si>
    <t>17/09/2018</t>
  </si>
  <si>
    <t>Vintage Fund of Funds V (Israel), L.P.</t>
  </si>
  <si>
    <t>500461652</t>
  </si>
  <si>
    <t>VINTAGE FOF V ISRAEL</t>
  </si>
  <si>
    <t>23/01/2020</t>
  </si>
  <si>
    <t>Vintage Fund of Funds VI (Access), L.P.</t>
  </si>
  <si>
    <t>500466123</t>
  </si>
  <si>
    <t>VINTAGE FOF VI ACCESS</t>
  </si>
  <si>
    <t>Vintage Fund of Funds VI (Israel), L.P.</t>
  </si>
  <si>
    <t>500469325</t>
  </si>
  <si>
    <t>Vintage FOF VI Israel</t>
  </si>
  <si>
    <t>23/12/2021</t>
  </si>
  <si>
    <t>Vintage Fund of Funds VII (Access) L.P.</t>
  </si>
  <si>
    <t>500472543</t>
  </si>
  <si>
    <t>Vintage FOF VII Access</t>
  </si>
  <si>
    <t>15/08/2022</t>
  </si>
  <si>
    <t>וינטג'</t>
  </si>
  <si>
    <t>Vintage Growth Fund III, L.P</t>
  </si>
  <si>
    <t>06/01/2020</t>
  </si>
  <si>
    <t>Vintage Secondary Fund IV</t>
  </si>
  <si>
    <t>29/05/2018</t>
  </si>
  <si>
    <t>Vintage Secondary Fund V L.P.</t>
  </si>
  <si>
    <t>500471925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</si>
  <si>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</si>
  <si>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</si>
  <si>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</si>
  <si>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</si>
  <si>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</si>
  <si>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</si>
  <si>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</si>
  <si>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</si>
  <si>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Debt Infrastructure</t>
  </si>
  <si>
    <t>20/09/2021</t>
  </si>
  <si>
    <t>גיזה חוב</t>
  </si>
  <si>
    <t>513540757</t>
  </si>
  <si>
    <t>Mezzanine Debt</t>
  </si>
  <si>
    <t>14/02/2022</t>
  </si>
  <si>
    <t>קרן נוי חוצה ישראל</t>
  </si>
  <si>
    <t>514583368</t>
  </si>
  <si>
    <t>נוי 5</t>
  </si>
  <si>
    <t>06/11/2024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</si>
  <si>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</si>
  <si>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</si>
  <si>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</si>
  <si>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</si>
  <si>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</si>
  <si>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</si>
  <si>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</si>
  <si>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Allianz Global Investors Gmbh</t>
  </si>
  <si>
    <t>529900K9B0N5BT694847</t>
  </si>
  <si>
    <t>Allianz Private Debt Secondary Fund I</t>
  </si>
  <si>
    <t>20/01/2025</t>
  </si>
  <si>
    <t>ARCLIGHT</t>
  </si>
  <si>
    <t>89940</t>
  </si>
  <si>
    <t>ARCLIGHT 3C SPV</t>
  </si>
  <si>
    <t>25/07/2022</t>
  </si>
  <si>
    <t>ARDIAN Infrastructure Fund VI</t>
  </si>
  <si>
    <t>98450046FF9E70CFBA37</t>
  </si>
  <si>
    <t>Core-Plus</t>
  </si>
  <si>
    <t>04/09/2023</t>
  </si>
  <si>
    <t>ASF IX</t>
  </si>
  <si>
    <t>SL35491</t>
  </si>
  <si>
    <t>האי ג'רזי</t>
  </si>
  <si>
    <t>06/10/2022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</si>
  <si>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</si>
  <si>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</si>
  <si>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</si>
  <si>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</si>
  <si>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</si>
  <si>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</si>
  <si>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22/11/2021</t>
  </si>
  <si>
    <t>Blue Atlantic Partners III Cayman Feeder I, LP</t>
  </si>
  <si>
    <t>1683231</t>
  </si>
  <si>
    <t>BLUE ATLANTIC PARTNERS 3</t>
  </si>
  <si>
    <t>Value Added Real Estate</t>
  </si>
  <si>
    <t>03/12/2019</t>
  </si>
  <si>
    <t>COLCHIS INCOME FUND, LTD.</t>
  </si>
  <si>
    <t>618052</t>
  </si>
  <si>
    <t>COLCHIS INCOME FUND</t>
  </si>
  <si>
    <t>Direct Lending Debt</t>
  </si>
  <si>
    <t>18/07/2019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</si>
  <si>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</si>
  <si>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</si>
  <si>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</si>
  <si>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</si>
  <si>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</si>
  <si>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</si>
  <si>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</si>
  <si>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</si>
  <si>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</si>
  <si>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</si>
  <si>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</si>
  <si>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</si>
  <si>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</si>
  <si>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</si>
  <si>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</si>
  <si>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ECP V</t>
  </si>
  <si>
    <t>Opportunistic Infrastructure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</si>
  <si>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</si>
  <si>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</si>
  <si>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</si>
  <si>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</si>
  <si>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</si>
  <si>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</si>
  <si>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</si>
  <si>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</si>
  <si>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</si>
  <si>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</si>
  <si>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</si>
  <si>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</si>
  <si>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</si>
  <si>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</si>
  <si>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</si>
  <si>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</si>
  <si>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</si>
  <si>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</si>
  <si>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</si>
  <si>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Master Fund</t>
  </si>
  <si>
    <t>27/05/2024</t>
  </si>
  <si>
    <t>HARBOURVEST PARTNERS, LLC</t>
  </si>
  <si>
    <t>5493001MCDH7I6NIXC24</t>
  </si>
  <si>
    <t>HARBOURVEST 2017 GLOBAL FUND</t>
  </si>
  <si>
    <t>Leveraged Buyout</t>
  </si>
  <si>
    <t>29/10/2017</t>
  </si>
  <si>
    <t>Harbourvest 2018 Global Fund L.P</t>
  </si>
  <si>
    <t>31/12/2024</t>
  </si>
  <si>
    <t>Harbourvest 2019 Global Fund L.P</t>
  </si>
  <si>
    <t>09/12/2019</t>
  </si>
  <si>
    <t>HARBOURVEST 2021 GLOBAL</t>
  </si>
  <si>
    <t xml:space="preserve">harbourvest </t>
  </si>
  <si>
    <t>28346</t>
  </si>
  <si>
    <t>Harbourvest 2024 Global</t>
  </si>
  <si>
    <t>19/12/2024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</si>
  <si>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</si>
  <si>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</si>
  <si>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</si>
  <si>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</si>
  <si>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</si>
  <si>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</si>
  <si>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Harbourvest Direct Lending II</t>
  </si>
  <si>
    <t>25/07/2024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</si>
  <si>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</si>
  <si>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</si>
  <si>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</si>
  <si>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</si>
  <si>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</si>
  <si>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</si>
  <si>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Core</t>
  </si>
  <si>
    <t>22/12/2020</t>
  </si>
  <si>
    <t>LLCP Partners VI GP, L.P.</t>
  </si>
  <si>
    <t>820734071</t>
  </si>
  <si>
    <t>Levine Leichtman VII</t>
  </si>
  <si>
    <t>05/03/2025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</si>
  <si>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</si>
  <si>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</si>
  <si>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</si>
  <si>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</si>
  <si>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</si>
  <si>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</si>
  <si>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</si>
  <si>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</si>
  <si>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</si>
  <si>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</si>
  <si>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</si>
  <si>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</si>
  <si>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</si>
  <si>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</si>
  <si>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</si>
  <si>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Distressed Debt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</si>
  <si>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</si>
  <si>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</si>
  <si>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</si>
  <si>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</si>
  <si>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</si>
  <si>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</si>
  <si>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</si>
  <si>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</si>
  <si>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</si>
  <si>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</t>
  </si>
  <si>
    <t>89429</t>
  </si>
  <si>
    <t>One Equity IX</t>
  </si>
  <si>
    <t>09/10/2024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</si>
  <si>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</si>
  <si>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</si>
  <si>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</si>
  <si>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</si>
  <si>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</si>
  <si>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</si>
  <si>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</si>
  <si>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</si>
  <si>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</si>
  <si>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</si>
  <si>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</si>
  <si>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GLOBAL SECONDARY FUND</t>
  </si>
  <si>
    <t>Pantheon CO III</t>
  </si>
  <si>
    <t>03/09/2024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</si>
  <si>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</si>
  <si>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</si>
  <si>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</si>
  <si>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</si>
  <si>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</si>
  <si>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</si>
  <si>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</si>
  <si>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</si>
  <si>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 xml:space="preserve">Pantheon Access Feeder LP </t>
  </si>
  <si>
    <t>B 201.101</t>
  </si>
  <si>
    <t>Pantheon Debt PSD III USD</t>
  </si>
  <si>
    <t>30/09/2024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</si>
  <si>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</si>
  <si>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</si>
  <si>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</si>
  <si>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</si>
  <si>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</si>
  <si>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</si>
  <si>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</si>
  <si>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</si>
  <si>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</si>
  <si>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</si>
  <si>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</si>
  <si>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</si>
  <si>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</si>
  <si>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</si>
  <si>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</si>
  <si>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</si>
  <si>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</si>
  <si>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</si>
  <si>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</si>
  <si>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</si>
  <si>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</si>
  <si>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Seed/Early Stage Venture Capital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</si>
  <si>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</si>
  <si>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</si>
  <si>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</si>
  <si>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</si>
  <si>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</si>
  <si>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</si>
  <si>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 </t>
  </si>
  <si>
    <t>SCHRODERS CAPITAL PRIVATE EQUITY ASIA V L.P</t>
  </si>
  <si>
    <t>שוויץ</t>
  </si>
  <si>
    <t>08/07/2021</t>
  </si>
  <si>
    <t>SCHRODER INT</t>
  </si>
  <si>
    <t>8AFAYMK90I2QVGLMLS34</t>
  </si>
  <si>
    <t>Schroders Direct IV</t>
  </si>
  <si>
    <t>26/03/2025</t>
  </si>
  <si>
    <t>Schroders Capital Private Equity Secondaries IV S.C.S.</t>
  </si>
  <si>
    <t>875500IALY0CK2QA6W30 </t>
  </si>
  <si>
    <t>Schroders Opportunities II</t>
  </si>
  <si>
    <t>07/02/2022</t>
  </si>
  <si>
    <t>max sp 500</t>
  </si>
  <si>
    <t>5299001OU9CSE29O6S05</t>
  </si>
  <si>
    <t>Tikehau Private Debt Secondaries II</t>
  </si>
  <si>
    <t>11/12/2024</t>
  </si>
  <si>
    <t>Tikehau Special Opp II</t>
  </si>
  <si>
    <t>Vintage Fund of Funds VII (Breakout), L.P.</t>
  </si>
  <si>
    <t>500472568</t>
  </si>
  <si>
    <t>Vintage FOF VII Breakout</t>
  </si>
  <si>
    <t>14/11/2022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</si>
  <si>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</si>
  <si>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</si>
  <si>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</si>
  <si>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</si>
  <si>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</si>
  <si>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</si>
  <si>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</si>
  <si>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IIF FUND II LP</t>
  </si>
  <si>
    <t>28266</t>
  </si>
  <si>
    <t>ISRAEL INFRASTRUCTURE FUND II L.P</t>
  </si>
  <si>
    <t>JVP IV ANNEX LP</t>
  </si>
  <si>
    <t>500438064</t>
  </si>
  <si>
    <t>JVP IV ANNEX</t>
  </si>
  <si>
    <t>JVP VII LP</t>
  </si>
  <si>
    <t>500446158</t>
  </si>
  <si>
    <t>JVP VII</t>
  </si>
  <si>
    <t>JVP VIII L.P</t>
  </si>
  <si>
    <t>27916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</si>
  <si>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</si>
  <si>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</si>
  <si>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</si>
  <si>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</si>
  <si>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</si>
  <si>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</si>
  <si>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</si>
  <si>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500442751</t>
  </si>
  <si>
    <t>Vintage Secondary Fund III (Israel), L.P.</t>
  </si>
  <si>
    <t>500442769</t>
  </si>
  <si>
    <t>Vintage Secondary Fund III</t>
  </si>
  <si>
    <t>28/05/2018</t>
  </si>
  <si>
    <t>אורגרין</t>
  </si>
  <si>
    <t>530223684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</si>
  <si>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</si>
  <si>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</si>
  <si>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</si>
  <si>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</si>
  <si>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</si>
  <si>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</si>
  <si>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</si>
  <si>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</si>
  <si>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</si>
  <si>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</si>
  <si>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</si>
  <si>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פלנוס</t>
  </si>
  <si>
    <t>פלנוס מזנין קרן השקעה</t>
  </si>
  <si>
    <t>AVIV VENTURES I PARTNERS , L.P</t>
  </si>
  <si>
    <t>550205660</t>
  </si>
  <si>
    <t>קרן אביב 2 קרן הון סיכון</t>
  </si>
  <si>
    <t>JVP V LP</t>
  </si>
  <si>
    <t>500438023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</si>
  <si>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</si>
  <si>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</si>
  <si>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</si>
  <si>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</si>
  <si>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</si>
  <si>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</si>
  <si>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</si>
  <si>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</si>
  <si>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</si>
  <si>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</si>
  <si>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</si>
  <si>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</si>
  <si>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</si>
  <si>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</si>
  <si>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</si>
  <si>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</si>
  <si>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</si>
  <si>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</si>
  <si>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</si>
  <si>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</si>
  <si>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</si>
  <si>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</si>
  <si>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</si>
  <si>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</si>
  <si>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</si>
  <si>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</si>
  <si>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</si>
  <si>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</si>
  <si>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</si>
  <si>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</si>
  <si>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</si>
  <si>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</si>
  <si>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</si>
  <si>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</si>
  <si>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</si>
  <si>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</si>
  <si>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</si>
  <si>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</si>
  <si>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</si>
  <si>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</si>
  <si>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</si>
  <si>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</si>
  <si>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</si>
  <si>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</si>
  <si>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</si>
  <si>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</si>
  <si>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</si>
  <si>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</si>
  <si>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</si>
  <si>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</si>
  <si>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</si>
  <si>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969</t>
  </si>
  <si>
    <t>funded Forward</t>
  </si>
  <si>
    <t>9938622</t>
  </si>
  <si>
    <t>מט"ח</t>
  </si>
  <si>
    <t>מדינה/איזור גאוגרפי</t>
  </si>
  <si>
    <t>מט"ח/₪</t>
  </si>
  <si>
    <t>USD ILS</t>
  </si>
  <si>
    <t>04/02/2025</t>
  </si>
  <si>
    <t>05/05/2025</t>
  </si>
  <si>
    <t>ללא</t>
  </si>
  <si>
    <t>delivery</t>
  </si>
  <si>
    <t xml:space="preserve">הצד הנגדי </t>
  </si>
  <si>
    <t>370.072</t>
  </si>
  <si>
    <t>0</t>
  </si>
  <si>
    <t>בנק פועלים</t>
  </si>
  <si>
    <t>9938623</t>
  </si>
  <si>
    <t>EUR ILS</t>
  </si>
  <si>
    <t>401.067</t>
  </si>
  <si>
    <t>9939679</t>
  </si>
  <si>
    <t>1182</t>
  </si>
  <si>
    <t>424</t>
  </si>
  <si>
    <t>7228</t>
  </si>
  <si>
    <t>9940026</t>
  </si>
  <si>
    <t>17/03/2025</t>
  </si>
  <si>
    <t>370.071</t>
  </si>
  <si>
    <t>7229</t>
  </si>
  <si>
    <t>12904</t>
  </si>
  <si>
    <t>12905</t>
  </si>
  <si>
    <t>13680</t>
  </si>
  <si>
    <t>14769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</si>
  <si>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</si>
  <si>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</si>
  <si>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</si>
  <si>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</si>
  <si>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</si>
  <si>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</si>
  <si>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</si>
  <si>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</si>
  <si>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</si>
  <si>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</si>
  <si>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</si>
  <si>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</si>
  <si>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</si>
  <si>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</si>
  <si>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</si>
  <si>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</si>
  <si>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</si>
  <si>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</si>
  <si>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</si>
  <si>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</si>
  <si>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</si>
  <si>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</si>
  <si>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</si>
  <si>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אבנון 2021 משיכה 1</t>
  </si>
  <si>
    <t>תאגיד</t>
  </si>
  <si>
    <t>פעילות שוטפת של התאגיד - אחר/לא מסווג</t>
  </si>
  <si>
    <t>14/04/2022</t>
  </si>
  <si>
    <t>הלוואה</t>
  </si>
  <si>
    <t>צמוד למדד אחר</t>
  </si>
  <si>
    <t>ריבית בנק ישראל</t>
  </si>
  <si>
    <t>שעבוד שוטף</t>
  </si>
  <si>
    <t>קרן שווה</t>
  </si>
  <si>
    <t>הון עצמי משימושים שוטפים</t>
  </si>
  <si>
    <t>מרווח הוגן</t>
  </si>
  <si>
    <t>אשדוד הלוואה 3.55% 19/34</t>
  </si>
  <si>
    <t>06/03/2019</t>
  </si>
  <si>
    <t>30/09/2035</t>
  </si>
  <si>
    <t xml:space="preserve">מימון מחדש. </t>
  </si>
  <si>
    <t>דוראד 2030/2014 5.5%</t>
  </si>
  <si>
    <t>22/05/2019</t>
  </si>
  <si>
    <t>20/12/2030</t>
  </si>
  <si>
    <t xml:space="preserve">חוב בכיר שנמכר ע"י בנקים שונים </t>
  </si>
  <si>
    <t>דוראד אנרגיה 18 2014/2030 5.5%</t>
  </si>
  <si>
    <t>קבועה</t>
  </si>
  <si>
    <t>דוראד אנרגיה 19 14/2030 5.5% (מיטב)</t>
  </si>
  <si>
    <t>דוראד אנרגיה משיכה 11 12/31 %5.5301</t>
  </si>
  <si>
    <t>30/01/2012</t>
  </si>
  <si>
    <t>18/05/2031</t>
  </si>
  <si>
    <t>דוראד אנרגיה משיכה 12 13/12 %5.5301</t>
  </si>
  <si>
    <t>13/02/2012</t>
  </si>
  <si>
    <t>דוראד אנרגיה משיכה 17 12/31 %5.5301</t>
  </si>
  <si>
    <t>28/05/2012</t>
  </si>
  <si>
    <t>דוראד אנרגיה משיכה 27 14/31(ד"ש</t>
  </si>
  <si>
    <t>25/04/2013</t>
  </si>
  <si>
    <t>דוראד אנרגיה משיכה 5 2012/2202 %5.6</t>
  </si>
  <si>
    <t>17/11/2011</t>
  </si>
  <si>
    <t>דוראד אנרגיה משיכה 6 5.681% 17/31</t>
  </si>
  <si>
    <t>26/05/2031</t>
  </si>
  <si>
    <t>דוראד אנרגיה משיכה 9 2014/31(ד"ש</t>
  </si>
  <si>
    <t>09/01/2012</t>
  </si>
  <si>
    <t>דוראד הלוו 7 14/2031 %5.5 (טכנאים</t>
  </si>
  <si>
    <t>14/12/2011</t>
  </si>
  <si>
    <t>דוראד הלוואה 28 14/2030 %5.5</t>
  </si>
  <si>
    <t>28/05/2013</t>
  </si>
  <si>
    <t>דוראד הלוואה 5.5% 14/2030</t>
  </si>
  <si>
    <t>דוראד הלוואה משיכה 14 %5.5 1302/14</t>
  </si>
  <si>
    <t>19/04/2012</t>
  </si>
  <si>
    <t>דוראד הלוואה משיכה 23 14/2030 %5.5</t>
  </si>
  <si>
    <t>26/11/2012</t>
  </si>
  <si>
    <t>דוראד מ 15</t>
  </si>
  <si>
    <t>דוראד מ 2</t>
  </si>
  <si>
    <t>דוראד משיכה 2 11/31 %5.6(מיטב ד</t>
  </si>
  <si>
    <t>24/11/2011</t>
  </si>
  <si>
    <t>דוראד משיכה 20</t>
  </si>
  <si>
    <t>דוראד משיכה 22 2030/2014 5.5%</t>
  </si>
  <si>
    <t>דוראד משיכה 24 2030/2014 5.5%</t>
  </si>
  <si>
    <t>דוראד משיכה 3 %5.662 2011/2031(מיטב</t>
  </si>
  <si>
    <t>25/10/2011</t>
  </si>
  <si>
    <t>דוראד משיכה 3 5.662% 2011/2030</t>
  </si>
  <si>
    <t>דוראד משיכה 33 %5.5 2015/2031</t>
  </si>
  <si>
    <t>14/07/2016</t>
  </si>
  <si>
    <t>דוראד משיכה 4 14/2030 %5.53</t>
  </si>
  <si>
    <t>25/01/2012</t>
  </si>
  <si>
    <t>הלוואה 12 דוראד אנרגיה 26.12.2012</t>
  </si>
  <si>
    <t>26/05/2019</t>
  </si>
  <si>
    <t>הלוואה 13 דוראד אנרגיה 24.01.2013</t>
  </si>
  <si>
    <t>24/01/2013</t>
  </si>
  <si>
    <t>הלוואה 14 דוראד אנרגיה 25.02.2013</t>
  </si>
  <si>
    <t>25/02/2013</t>
  </si>
  <si>
    <t>הלוואה 17 דוראד אנרגיה 25.06.2013</t>
  </si>
  <si>
    <t>הלוואה 18 דוראד אנרגיה 25.07.2013</t>
  </si>
  <si>
    <t>25/07/2013</t>
  </si>
  <si>
    <t>הלוואה 21 דוראד אנרגיה 24.10.2013</t>
  </si>
  <si>
    <t>24/10/2013</t>
  </si>
  <si>
    <t>הלוואה 23 דוראד אנרגיה 22.12.2013</t>
  </si>
  <si>
    <t>22/12/2013</t>
  </si>
  <si>
    <t>הלוואה 25 דוראד אנרגיה 26.02.2014</t>
  </si>
  <si>
    <t>26/02/2014</t>
  </si>
  <si>
    <t>הלוואה 26 דוראד אנרגיה 27.03.2014</t>
  </si>
  <si>
    <t>27/03/2014</t>
  </si>
  <si>
    <t>18/11/2030</t>
  </si>
  <si>
    <t>הלוואה 28 דוראד אנרגיה 28.05.2014</t>
  </si>
  <si>
    <t>28/05/2014</t>
  </si>
  <si>
    <t>הלוואה 29 דוראד אנרגיה 25.06.2014</t>
  </si>
  <si>
    <t>25/06/2014</t>
  </si>
  <si>
    <t>הלוואה 30 דוראד אנרגיה 16.07.2014</t>
  </si>
  <si>
    <t>16/07/2014</t>
  </si>
  <si>
    <t>הלוואה 31 דוראד אנרגיה 29.09.2014</t>
  </si>
  <si>
    <t>הלוואה 32 דוראד אנרגיה 29.01.2015</t>
  </si>
  <si>
    <t>29/01/2015</t>
  </si>
  <si>
    <t>הלוואה 33 דוראד אנרגיה 19.02.2015</t>
  </si>
  <si>
    <t>19/02/2015</t>
  </si>
  <si>
    <t>הלוואה 5 דוראד אנרגיה 25.03.2012</t>
  </si>
  <si>
    <t>הלוואה 6 דוראד אנרגיה 24.05.2012</t>
  </si>
  <si>
    <t>24/05/2012</t>
  </si>
  <si>
    <t>הלוואה 8 דוראד אנרגיה 25.07.2012</t>
  </si>
  <si>
    <t>25/07/2012</t>
  </si>
  <si>
    <t>הלוואה 9 דוראד אנרגיה 27.09.2012</t>
  </si>
  <si>
    <t>ויה מאריס מתקן התפלה 2015/2028</t>
  </si>
  <si>
    <t>10/11/2016</t>
  </si>
  <si>
    <t>רכישת חוב ארוך מבנק הפועלים, שנועד במקור להקמת המתקן.</t>
  </si>
  <si>
    <t>מניף ירושליים 2022</t>
  </si>
  <si>
    <t>90145378/9</t>
  </si>
  <si>
    <t>10/01/2023</t>
  </si>
  <si>
    <t>11/10/2025</t>
  </si>
  <si>
    <t>תזרים מפרויקטים</t>
  </si>
  <si>
    <t>בולט (Bullet)</t>
  </si>
  <si>
    <t xml:space="preserve">השלמת הון עצמי </t>
  </si>
  <si>
    <t>נמל חיפה</t>
  </si>
  <si>
    <t>קרקעות - אחר/לא מסווג</t>
  </si>
  <si>
    <t>Ba2</t>
  </si>
  <si>
    <t>12/04/2025</t>
  </si>
  <si>
    <t>מימון רכישת הנמל</t>
  </si>
  <si>
    <t>עוגן- חוב רגיל א</t>
  </si>
  <si>
    <t>other</t>
  </si>
  <si>
    <t>15/07/2025</t>
  </si>
  <si>
    <t>עוגן- חוב רגיל ב</t>
  </si>
  <si>
    <t>15/01/2026</t>
  </si>
  <si>
    <t>רמת הנגב הלוואה 3.55% 19/35</t>
  </si>
  <si>
    <t>הלוואות עמיתים 4- השתלמות</t>
  </si>
  <si>
    <t>עמית/מבוטח</t>
  </si>
  <si>
    <t>10/01/2019</t>
  </si>
  <si>
    <t>הלוואות עמיתים 6-גמל להשקעה</t>
  </si>
  <si>
    <t>13/11/2024</t>
  </si>
  <si>
    <t>הלוואות עמיתים 2-גמל</t>
  </si>
  <si>
    <t>תאריך פקיעת פיקדון</t>
  </si>
  <si>
    <t>שער פיקדון</t>
  </si>
  <si>
    <t>01/08/2025</t>
  </si>
  <si>
    <t>02/11/2034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</si>
  <si>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</si>
  <si>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</si>
  <si>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</si>
  <si>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</si>
  <si>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</si>
  <si>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</si>
  <si>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</si>
  <si>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ארלוזורוב י-ם</t>
  </si>
  <si>
    <t>נדל"ן מניב</t>
  </si>
  <si>
    <t>מגורים (כולל דיור מוגן)</t>
  </si>
  <si>
    <t>בשימוש</t>
  </si>
  <si>
    <t xml:space="preserve">שיטה השוואתית </t>
  </si>
  <si>
    <t>דניאל רובינזון</t>
  </si>
  <si>
    <t>בית השנהב</t>
  </si>
  <si>
    <t>משרדים</t>
  </si>
  <si>
    <t>בן יהודה 191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</si>
  <si>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</si>
  <si>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</si>
  <si>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</si>
  <si>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</si>
  <si>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</si>
  <si>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</si>
  <si>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</si>
  <si>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</si>
  <si>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</si>
  <si>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</si>
  <si>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</si>
  <si>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</si>
  <si>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</si>
  <si>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</si>
  <si>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</si>
  <si>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</si>
  <si>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</si>
  <si>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</si>
  <si>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</si>
  <si>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</si>
  <si>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</si>
  <si>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</si>
  <si>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</si>
  <si>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</si>
  <si>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</si>
  <si>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זכאים נדלן</t>
  </si>
  <si>
    <t>299918782</t>
  </si>
  <si>
    <t xml:space="preserve">חייבים בגין תקבולים </t>
  </si>
  <si>
    <t>21/06/2020</t>
  </si>
  <si>
    <t>חייבים נדלן</t>
  </si>
  <si>
    <t>299918781</t>
  </si>
  <si>
    <t>30/07/2019</t>
  </si>
  <si>
    <t>אפסק אגח א חש 12/11</t>
  </si>
  <si>
    <t>11253761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</si>
  <si>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</si>
  <si>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</si>
  <si>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</si>
  <si>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</si>
  <si>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</si>
  <si>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</si>
  <si>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</si>
  <si>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</si>
  <si>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</si>
  <si>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</si>
  <si>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</si>
  <si>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</si>
  <si>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</si>
  <si>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</si>
  <si>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</si>
  <si>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</si>
  <si>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</si>
  <si>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</si>
  <si>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</si>
  <si>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</si>
  <si>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</si>
  <si>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</si>
  <si>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</si>
  <si>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</si>
  <si>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</si>
  <si>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</si>
  <si>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</si>
  <si>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</si>
  <si>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אנדורה</t>
  </si>
  <si>
    <t>אסטוניה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</si>
  <si>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</si>
  <si>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</si>
  <si>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</si>
  <si>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</si>
  <si>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</si>
  <si>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</si>
  <si>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</si>
  <si>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</si>
  <si>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</si>
  <si>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</si>
  <si>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</si>
  <si>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</si>
  <si>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</si>
  <si>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</si>
  <si>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</si>
  <si>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</si>
  <si>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</si>
  <si>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</si>
  <si>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</si>
  <si>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</si>
  <si>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</si>
  <si>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</si>
  <si>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</si>
  <si>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</si>
  <si>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</si>
  <si>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</si>
  <si>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</si>
  <si>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</si>
  <si>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</si>
  <si>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</si>
  <si>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</si>
  <si>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</si>
  <si>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</si>
  <si>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</si>
  <si>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</si>
  <si>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</si>
  <si>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</si>
  <si>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</si>
  <si>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</si>
  <si>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</si>
  <si>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</si>
  <si>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</si>
  <si>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</si>
  <si>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</si>
  <si>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</si>
  <si>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</si>
  <si>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</si>
  <si>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</si>
  <si>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</si>
  <si>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</si>
  <si>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</si>
  <si>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</si>
  <si>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</si>
  <si>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</si>
  <si>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</si>
  <si>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</si>
  <si>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</si>
  <si>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</si>
  <si>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</si>
  <si>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</si>
  <si>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</si>
  <si>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</si>
  <si>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t>שווקים מתעוררים לפי הגדרת MSCI</t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</si>
  <si>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</si>
  <si>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</si>
  <si>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</si>
  <si>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</si>
  <si>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</si>
  <si>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</si>
  <si>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</si>
  <si>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</si>
  <si>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</si>
  <si>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</si>
  <si>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</si>
  <si>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</si>
  <si>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</si>
  <si>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</si>
  <si>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</si>
  <si>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</si>
  <si>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</si>
  <si>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</si>
  <si>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</si>
  <si>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</si>
  <si>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</si>
  <si>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</si>
  <si>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</si>
  <si>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</si>
  <si>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</si>
  <si>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</si>
  <si>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</si>
  <si>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</si>
  <si>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</si>
  <si>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</si>
  <si>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</si>
  <si>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</si>
  <si>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</si>
  <si>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</si>
  <si>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</si>
  <si>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</si>
  <si>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</si>
  <si>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</si>
  <si>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</si>
  <si>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</si>
  <si>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</si>
  <si>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</si>
  <si>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</si>
  <si>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</si>
  <si>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</si>
  <si>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</si>
  <si>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</si>
  <si>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</si>
  <si>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</si>
  <si>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</si>
  <si>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</si>
  <si>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</si>
  <si>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</si>
  <si>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</si>
  <si>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</si>
  <si>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</si>
  <si>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</si>
  <si>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</si>
  <si>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</si>
  <si>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</si>
  <si>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</si>
  <si>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</si>
  <si>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</si>
  <si>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</si>
  <si>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</si>
  <si>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</si>
  <si>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</si>
  <si>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</si>
  <si>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</si>
  <si>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</si>
  <si>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</si>
  <si>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</si>
  <si>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</si>
  <si>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</si>
  <si>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</si>
  <si>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</si>
  <si>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</si>
  <si>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</si>
  <si>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</si>
  <si>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</si>
  <si>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</si>
  <si>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</si>
  <si>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</si>
  <si>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</si>
  <si>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</si>
  <si>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</si>
  <si>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</si>
  <si>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</si>
  <si>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</si>
  <si>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</si>
  <si>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</si>
  <si>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</si>
  <si>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</si>
  <si>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</si>
  <si>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</si>
  <si>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</si>
  <si>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</si>
  <si>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</si>
  <si>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</si>
  <si>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</si>
  <si>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</si>
  <si>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</si>
  <si>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</si>
  <si>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</si>
  <si>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</si>
  <si>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</si>
  <si>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</si>
  <si>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</si>
  <si>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אחסנה</t>
  </si>
  <si>
    <t>אנשים פרטיים</t>
  </si>
  <si>
    <t>השקעות במדעי החיים</t>
  </si>
  <si>
    <t>חברות ללא פעילות ומעטפת</t>
  </si>
  <si>
    <t>חברות מעטפת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</si>
  <si>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</si>
  <si>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</si>
  <si>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</si>
  <si>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</si>
  <si>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</si>
  <si>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</si>
  <si>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</si>
  <si>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</si>
  <si>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</si>
  <si>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</si>
  <si>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</si>
  <si>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</si>
  <si>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</si>
  <si>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</si>
  <si>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</si>
  <si>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</si>
  <si>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</si>
  <si>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</si>
  <si>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</si>
  <si>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</si>
  <si>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</si>
  <si>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</si>
  <si>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</si>
  <si>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</si>
  <si>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</si>
  <si>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</si>
  <si>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</si>
  <si>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</si>
  <si>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</si>
  <si>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</si>
  <si>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t>Airlines Passenger Airlines</t>
  </si>
  <si>
    <t>Marine Transportation</t>
  </si>
  <si>
    <t>Marine Marine Transportation</t>
  </si>
  <si>
    <t>Ground Transportation</t>
  </si>
  <si>
    <t>Road &amp; Rail Ground Transportation</t>
  </si>
  <si>
    <t>Automobile Components</t>
  </si>
  <si>
    <t>Auto Components Automobile Components</t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</si>
  <si>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</si>
  <si>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</si>
  <si>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</si>
  <si>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</si>
  <si>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</si>
  <si>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</si>
  <si>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t>Multiline Retail Broadline Retail</t>
  </si>
  <si>
    <t>Specialty Retail</t>
  </si>
  <si>
    <t>Consumer Staples Distribution &amp; Retail</t>
  </si>
  <si>
    <t>Beverages</t>
  </si>
  <si>
    <t>Food Products</t>
  </si>
  <si>
    <t>Tobacco</t>
  </si>
  <si>
    <t>Household Products</t>
  </si>
  <si>
    <t>Personal Care Products</t>
  </si>
  <si>
    <t>Personal Products Personal Care Products</t>
  </si>
  <si>
    <t>Health Care Providers &amp; Services</t>
  </si>
  <si>
    <t>Health Care Technology</t>
  </si>
  <si>
    <t>Biotechnology</t>
  </si>
  <si>
    <t>Life Sciences Tools &amp; Services</t>
  </si>
  <si>
    <t>Banks</t>
  </si>
  <si>
    <t>Financial Services</t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</si>
  <si>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</si>
  <si>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</si>
  <si>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</si>
  <si>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</si>
  <si>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</si>
  <si>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</si>
  <si>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</si>
  <si>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</si>
  <si>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</si>
  <si>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</si>
  <si>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</si>
  <si>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</si>
  <si>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</si>
  <si>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</si>
  <si>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</si>
  <si>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</si>
  <si>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</si>
  <si>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</si>
  <si>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</si>
  <si>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</si>
  <si>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</si>
  <si>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</si>
  <si>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</si>
  <si>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</si>
  <si>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</si>
  <si>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</si>
  <si>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</si>
  <si>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</si>
  <si>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</si>
  <si>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</si>
  <si>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</si>
  <si>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</si>
  <si>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</si>
  <si>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</si>
  <si>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</si>
  <si>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</si>
  <si>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</si>
  <si>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</si>
  <si>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</si>
  <si>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</si>
  <si>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</si>
  <si>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</si>
  <si>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</si>
  <si>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</si>
  <si>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</si>
  <si>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</si>
  <si>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</si>
  <si>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</si>
  <si>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</si>
  <si>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</si>
  <si>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</si>
  <si>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</si>
  <si>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</si>
  <si>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</si>
  <si>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</si>
  <si>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</si>
  <si>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</si>
  <si>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</si>
  <si>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</si>
  <si>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</si>
  <si>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</si>
  <si>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</si>
  <si>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</si>
  <si>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</si>
  <si>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</si>
  <si>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</si>
  <si>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</si>
  <si>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</si>
  <si>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</si>
  <si>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</si>
  <si>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</si>
  <si>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</si>
  <si>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</si>
  <si>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</si>
  <si>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</si>
  <si>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</si>
  <si>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</si>
  <si>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</si>
  <si>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</si>
  <si>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</si>
  <si>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</si>
  <si>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</si>
  <si>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</si>
  <si>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</si>
  <si>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</si>
  <si>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</si>
  <si>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</si>
  <si>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</si>
  <si>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</si>
  <si>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</si>
  <si>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</si>
  <si>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</si>
  <si>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</si>
  <si>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</si>
  <si>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</si>
  <si>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</si>
  <si>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</si>
  <si>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</si>
  <si>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</si>
  <si>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</si>
  <si>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</si>
  <si>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</si>
  <si>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</si>
  <si>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</si>
  <si>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</si>
  <si>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</si>
  <si>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</si>
  <si>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</si>
  <si>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</si>
  <si>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</si>
  <si>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</si>
  <si>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</si>
  <si>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</si>
  <si>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</si>
  <si>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</si>
  <si>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</si>
  <si>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</si>
  <si>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</si>
  <si>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</si>
  <si>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</si>
  <si>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</si>
  <si>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</si>
  <si>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</si>
  <si>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</si>
  <si>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</si>
  <si>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</si>
  <si>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</si>
  <si>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</si>
  <si>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</si>
  <si>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</si>
  <si>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</si>
  <si>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</si>
  <si>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</si>
  <si>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</si>
  <si>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</si>
  <si>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</si>
  <si>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</si>
  <si>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</si>
  <si>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</si>
  <si>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</si>
  <si>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</si>
  <si>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</si>
  <si>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</si>
  <si>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</si>
  <si>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</si>
  <si>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</si>
  <si>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</si>
  <si>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</si>
  <si>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</si>
  <si>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</si>
  <si>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</si>
  <si>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</si>
  <si>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</si>
  <si>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</si>
  <si>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</si>
  <si>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</si>
  <si>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</si>
  <si>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</si>
  <si>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</si>
  <si>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</si>
  <si>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</si>
  <si>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</si>
  <si>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</si>
  <si>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</si>
  <si>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</si>
  <si>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</si>
  <si>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</si>
  <si>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</si>
  <si>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</si>
  <si>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</si>
  <si>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</si>
  <si>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</si>
  <si>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</si>
  <si>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</si>
  <si>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</si>
  <si>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</si>
  <si>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</si>
  <si>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</si>
  <si>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</si>
  <si>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</si>
  <si>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</si>
  <si>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</si>
  <si>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</si>
  <si>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</si>
  <si>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</si>
  <si>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</si>
  <si>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</si>
  <si>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</si>
  <si>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</si>
  <si>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</si>
  <si>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</si>
  <si>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</si>
  <si>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</si>
  <si>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</si>
  <si>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</si>
  <si>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</si>
  <si>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</si>
  <si>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</si>
  <si>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</si>
  <si>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</si>
  <si>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</si>
  <si>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</si>
  <si>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</si>
  <si>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</si>
  <si>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</si>
  <si>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</si>
  <si>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</si>
  <si>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</si>
  <si>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</si>
  <si>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</si>
  <si>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</si>
  <si>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</si>
  <si>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</si>
  <si>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</si>
  <si>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t>נדל"ן שלא בגינו ניתנה ההלוואה</t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</si>
  <si>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</si>
  <si>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</si>
  <si>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</si>
  <si>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</si>
  <si>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</si>
  <si>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</si>
  <si>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</si>
  <si>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בלון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</si>
  <si>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</si>
  <si>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</si>
  <si>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</si>
  <si>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</si>
  <si>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</si>
  <si>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</si>
  <si>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</si>
  <si>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</si>
  <si>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</si>
  <si>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</si>
  <si>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</si>
  <si>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</si>
  <si>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</si>
  <si>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</si>
  <si>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</si>
  <si>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</si>
  <si>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</si>
  <si>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</si>
  <si>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</si>
  <si>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</si>
  <si>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</si>
  <si>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</si>
  <si>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</si>
  <si>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</si>
  <si>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</si>
  <si>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</si>
  <si>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</si>
  <si>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</si>
  <si>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</si>
  <si>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</si>
  <si>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</si>
  <si>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</si>
  <si>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</si>
  <si>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</si>
  <si>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</si>
  <si>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</si>
  <si>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</si>
  <si>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</si>
  <si>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</si>
  <si>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</si>
  <si>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</si>
  <si>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</si>
  <si>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Opportunistic Real Estate</t>
  </si>
  <si>
    <t>Distressed Real Estate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</si>
  <si>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</si>
  <si>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</si>
  <si>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</si>
  <si>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</si>
  <si>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</si>
  <si>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</si>
  <si>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</si>
  <si>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</si>
  <si>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</si>
  <si>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</si>
  <si>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</si>
  <si>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</si>
  <si>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</si>
  <si>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</si>
  <si>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</si>
  <si>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</si>
  <si>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</si>
  <si>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</si>
  <si>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</si>
  <si>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</si>
  <si>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</si>
  <si>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</si>
  <si>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</si>
  <si>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</si>
  <si>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</si>
  <si>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</si>
  <si>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</si>
  <si>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</si>
  <si>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</si>
  <si>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</si>
  <si>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</si>
  <si>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</si>
  <si>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</si>
  <si>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</si>
  <si>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</si>
  <si>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קיימת 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</si>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</sst>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\-??_);_(@_)"/>
    <numFmt numFmtId="165" formatCode="_ * #,##0.00_ ;_ * \-#,##0.00_ ;_ * \-??_ ;_ @_ "/>
    <numFmt numFmtId="166" formatCode="0.000000"/>
    <numFmt numFmtId="167" formatCode="0.000%"/>
    <numFmt numFmtId="168" formatCode="0.000"/>
    <numFmt numFmtId="169" formatCode="m/d/yyyy"/>
    <numFmt numFmtId="170" formatCode="_ * #,##0_ ;_ * \-#,##0_ ;_ * \-??_ ;_ @_ "/>
  </numFmts>
  <fonts count="22" x14ac:knownFonts="1"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4"/>
      <color theme="0"/>
      <name val="Arial"/>
      <family val="2"/>
      <charset val="1"/>
    </font>
    <font>
      <sz val="10"/>
      <color theme="2" tint="-0.749992370372631"/>
      <name val="Open Sans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theme="3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u/>
      <sz val="10"/>
      <color theme="1"/>
      <name val="Arial"/>
      <family val="2"/>
      <charset val="1"/>
    </font>
    <font>
      <sz val="11"/>
      <name val="Arial"/>
      <family val="2"/>
      <charset val="1"/>
    </font>
    <font>
      <sz val="10"/>
      <color theme="1"/>
      <name val="Arial"/>
      <family val="2"/>
      <charset val="177"/>
    </font>
    <font>
      <b/>
      <sz val="11"/>
      <color theme="0"/>
      <name val="Arial"/>
      <family val="2"/>
      <charset val="1"/>
    </font>
    <font>
      <strike/>
      <sz val="11"/>
      <color theme="1"/>
      <name val="Arial"/>
      <family val="2"/>
      <charset val="1"/>
    </font>
    <font>
      <sz val="11"/>
      <color theme="1"/>
      <name val="David"/>
      <family val="2"/>
      <charset val="1"/>
    </font>
    <font>
      <b/>
      <sz val="12"/>
      <color theme="1"/>
      <name val="David"/>
      <family val="2"/>
      <charset val="1"/>
    </font>
    <font>
      <sz val="12"/>
      <color theme="1"/>
      <name val="David"/>
      <family val="2"/>
      <charset val="1"/>
    </font>
    <font>
      <b/>
      <sz val="12"/>
      <color theme="9" tint="-0.499984740745262"/>
      <name val="David"/>
      <family val="2"/>
      <charset val="1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/>
        <bgColor rgb="FF38572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CCFFFF"/>
      </patternFill>
    </fill>
  </fills>
  <borders count="1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theme="4" tint="0.39988402966399123"/>
      </left>
      <right style="thin">
        <color theme="4" tint="0.39988402966399123"/>
      </right>
      <top/>
      <bottom style="thin">
        <color theme="4" tint="0.39988402966399123"/>
      </bottom>
      <diagonal/>
    </border>
    <border>
      <left style="thin">
        <color theme="4" tint="0.39988402966399123"/>
      </left>
      <right style="thin">
        <color theme="4" tint="0.39988402966399123"/>
      </right>
      <top/>
      <bottom/>
      <diagonal/>
    </border>
    <border>
      <left/>
      <right style="thin">
        <color theme="4" tint="0.39988402966399123"/>
      </right>
      <top/>
      <bottom/>
      <diagonal/>
    </border>
    <border>
      <left style="thin">
        <color theme="4" tint="0.39988402966399123"/>
      </left>
      <right/>
      <top/>
      <bottom/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6">
    <xf numFmtId="0" fontId="0" fillId="0" borderId="0"/>
    <xf numFmtId="164" fontId="21" fillId="0" borderId="0"/>
    <xf numFmtId="9" fontId="21" fillId="0" borderId="0"/>
    <xf numFmtId="0" fontId="1" fillId="0" borderId="0"/>
    <xf numFmtId="0" fontId="21" fillId="0" borderId="0"/>
    <xf numFmtId="0" fontId="21" fillId="0" borderId="0"/>
  </cellStyleXfs>
  <cellXfs count="17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4" applyFont="1" applyFill="1" applyBorder="1" applyAlignment="1" applyProtection="1">
      <alignment horizontal="right" vertical="center" wrapText="1"/>
      <protection locked="0"/>
    </xf>
    <xf numFmtId="0" fontId="3" fillId="3" borderId="0" xfId="4" applyFont="1" applyFill="1" applyAlignment="1" applyProtection="1">
      <alignment horizontal="left" vertical="center" wrapText="1" indent="1"/>
      <protection locked="0"/>
    </xf>
    <xf numFmtId="0" fontId="3" fillId="3" borderId="2" xfId="4" applyFont="1" applyFill="1" applyBorder="1" applyAlignment="1">
      <alignment horizontal="right" vertical="center" wrapText="1"/>
    </xf>
    <xf numFmtId="0" fontId="4" fillId="3" borderId="0" xfId="0" applyFont="1" applyFill="1"/>
    <xf numFmtId="0" fontId="0" fillId="0" borderId="0" xfId="0" applyAlignment="1">
      <alignment horizontal="right"/>
    </xf>
    <xf numFmtId="0" fontId="3" fillId="3" borderId="2" xfId="4" applyFont="1" applyFill="1" applyBorder="1" applyAlignment="1" applyProtection="1">
      <alignment horizontal="left" vertical="center" wrapText="1" indent="1"/>
      <protection locked="0"/>
    </xf>
    <xf numFmtId="0" fontId="5" fillId="3" borderId="0" xfId="0" applyFont="1" applyFill="1"/>
    <xf numFmtId="0" fontId="0" fillId="0" borderId="0" xfId="0" applyProtection="1">
      <protection locked="0"/>
    </xf>
    <xf numFmtId="0" fontId="3" fillId="3" borderId="2" xfId="4" applyFont="1" applyFill="1" applyBorder="1" applyAlignment="1" applyProtection="1">
      <alignment vertical="center" wrapText="1"/>
      <protection locked="0"/>
    </xf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7" fillId="0" borderId="0" xfId="0" applyFont="1"/>
    <xf numFmtId="165" fontId="7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7" fillId="0" borderId="0" xfId="2" applyFont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5" fontId="9" fillId="2" borderId="3" xfId="1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/>
    </xf>
    <xf numFmtId="165" fontId="9" fillId="2" borderId="5" xfId="1" applyNumberFormat="1" applyFont="1" applyFill="1" applyBorder="1" applyAlignment="1">
      <alignment horizontal="center" vertical="center"/>
    </xf>
    <xf numFmtId="9" fontId="9" fillId="2" borderId="3" xfId="2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0" borderId="3" xfId="0" applyFont="1" applyBorder="1"/>
    <xf numFmtId="165" fontId="7" fillId="0" borderId="3" xfId="1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0" borderId="3" xfId="2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right" vertical="center" wrapText="1"/>
    </xf>
    <xf numFmtId="165" fontId="10" fillId="0" borderId="3" xfId="1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9" fontId="10" fillId="0" borderId="3" xfId="2" applyFont="1" applyBorder="1" applyAlignment="1">
      <alignment horizontal="center" vertical="center" wrapText="1"/>
    </xf>
    <xf numFmtId="10" fontId="21" fillId="0" borderId="0" xfId="2" applyNumberFormat="1"/>
    <xf numFmtId="0" fontId="9" fillId="2" borderId="6" xfId="0" applyFont="1" applyFill="1" applyBorder="1" applyAlignment="1">
      <alignment horizontal="center" vertical="center" wrapText="1"/>
    </xf>
    <xf numFmtId="166" fontId="9" fillId="2" borderId="6" xfId="0" applyNumberFormat="1" applyFont="1" applyFill="1" applyBorder="1" applyAlignment="1">
      <alignment horizontal="center" vertical="center" wrapText="1"/>
    </xf>
    <xf numFmtId="167" fontId="9" fillId="2" borderId="6" xfId="2" applyNumberFormat="1" applyFont="1" applyFill="1" applyBorder="1" applyAlignment="1">
      <alignment horizontal="center" vertical="center" wrapText="1"/>
    </xf>
    <xf numFmtId="167" fontId="9" fillId="2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center"/>
    </xf>
    <xf numFmtId="166" fontId="0" fillId="0" borderId="0" xfId="0" applyNumberFormat="1"/>
    <xf numFmtId="167" fontId="11" fillId="0" borderId="0" xfId="2" applyNumberFormat="1" applyFont="1" applyAlignment="1">
      <alignment horizontal="center"/>
    </xf>
    <xf numFmtId="4" fontId="0" fillId="0" borderId="0" xfId="0" applyNumberFormat="1"/>
    <xf numFmtId="167" fontId="0" fillId="0" borderId="0" xfId="0" applyNumberFormat="1"/>
    <xf numFmtId="167" fontId="21" fillId="0" borderId="0" xfId="2" applyNumberFormat="1"/>
    <xf numFmtId="168" fontId="9" fillId="2" borderId="6" xfId="0" applyNumberFormat="1" applyFont="1" applyFill="1" applyBorder="1" applyAlignment="1">
      <alignment horizontal="center" vertical="center" wrapText="1"/>
    </xf>
    <xf numFmtId="168" fontId="0" fillId="0" borderId="0" xfId="0" applyNumberFormat="1"/>
    <xf numFmtId="10" fontId="0" fillId="0" borderId="0" xfId="0" applyNumberFormat="1"/>
    <xf numFmtId="10" fontId="9" fillId="2" borderId="6" xfId="2" applyNumberFormat="1" applyFont="1" applyFill="1" applyBorder="1" applyAlignment="1">
      <alignment horizontal="center" vertical="center" wrapText="1"/>
    </xf>
    <xf numFmtId="10" fontId="21" fillId="0" borderId="0" xfId="2" applyNumberFormat="1" applyProtection="1">
      <protection locked="0"/>
    </xf>
    <xf numFmtId="4" fontId="0" fillId="0" borderId="0" xfId="0" applyNumberFormat="1" applyProtection="1">
      <protection locked="0"/>
    </xf>
    <xf numFmtId="167" fontId="21" fillId="0" borderId="0" xfId="2" applyNumberFormat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Protection="1">
      <protection locked="0"/>
    </xf>
    <xf numFmtId="0" fontId="11" fillId="0" borderId="0" xfId="0" applyFont="1"/>
    <xf numFmtId="0" fontId="11" fillId="0" borderId="0" xfId="0" applyFont="1" applyProtection="1">
      <protection locked="0"/>
    </xf>
    <xf numFmtId="4" fontId="11" fillId="0" borderId="0" xfId="0" applyNumberFormat="1" applyFont="1"/>
    <xf numFmtId="169" fontId="9" fillId="2" borderId="6" xfId="0" applyNumberFormat="1" applyFont="1" applyFill="1" applyBorder="1" applyAlignment="1">
      <alignment horizontal="center" vertical="center" wrapText="1"/>
    </xf>
    <xf numFmtId="169" fontId="0" fillId="0" borderId="0" xfId="0" applyNumberFormat="1" applyProtection="1">
      <protection locked="0"/>
    </xf>
    <xf numFmtId="17" fontId="0" fillId="0" borderId="0" xfId="0" applyNumberFormat="1"/>
    <xf numFmtId="169" fontId="0" fillId="0" borderId="0" xfId="0" applyNumberFormat="1"/>
    <xf numFmtId="169" fontId="9" fillId="2" borderId="7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 readingOrder="2"/>
    </xf>
    <xf numFmtId="9" fontId="21" fillId="0" borderId="0" xfId="2"/>
    <xf numFmtId="168" fontId="0" fillId="0" borderId="0" xfId="0" applyNumberFormat="1" applyAlignment="1">
      <alignment horizontal="center"/>
    </xf>
    <xf numFmtId="167" fontId="21" fillId="0" borderId="0" xfId="2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4" borderId="0" xfId="0" applyFill="1"/>
    <xf numFmtId="165" fontId="21" fillId="0" borderId="0" xfId="1" applyNumberFormat="1"/>
    <xf numFmtId="10" fontId="9" fillId="2" borderId="6" xfId="0" applyNumberFormat="1" applyFont="1" applyFill="1" applyBorder="1" applyAlignment="1">
      <alignment horizontal="center" vertical="center" wrapText="1"/>
    </xf>
    <xf numFmtId="2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/>
    <xf numFmtId="17" fontId="12" fillId="0" borderId="0" xfId="0" applyNumberFormat="1" applyFont="1"/>
    <xf numFmtId="170" fontId="21" fillId="0" borderId="0" xfId="1" applyNumberFormat="1"/>
    <xf numFmtId="3" fontId="0" fillId="0" borderId="0" xfId="0" applyNumberFormat="1" applyProtection="1">
      <protection locked="0"/>
    </xf>
    <xf numFmtId="0" fontId="1" fillId="0" borderId="0" xfId="3" applyAlignment="1">
      <alignment horizontal="right"/>
    </xf>
    <xf numFmtId="0" fontId="4" fillId="0" borderId="0" xfId="0" applyFont="1" applyProtection="1">
      <protection locked="0"/>
    </xf>
    <xf numFmtId="170" fontId="21" fillId="0" borderId="0" xfId="1" applyNumberFormat="1" applyProtection="1">
      <protection locked="0"/>
    </xf>
    <xf numFmtId="9" fontId="21" fillId="0" borderId="0" xfId="2" applyProtection="1">
      <protection locked="0"/>
    </xf>
    <xf numFmtId="0" fontId="21" fillId="0" borderId="0" xfId="4"/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9" xfId="0" applyFill="1" applyBorder="1" applyAlignment="1">
      <alignment vertical="center" wrapText="1"/>
    </xf>
    <xf numFmtId="0" fontId="0" fillId="5" borderId="8" xfId="0" applyFill="1" applyBorder="1" applyAlignment="1">
      <alignment horizontal="right"/>
    </xf>
    <xf numFmtId="0" fontId="0" fillId="5" borderId="10" xfId="0" applyFill="1" applyBorder="1" applyAlignment="1">
      <alignment vertical="center" wrapText="1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vertical="top" wrapText="1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vertical="top" wrapText="1"/>
    </xf>
    <xf numFmtId="0" fontId="0" fillId="5" borderId="9" xfId="0" applyFill="1" applyBorder="1" applyAlignment="1">
      <alignment vertical="top"/>
    </xf>
    <xf numFmtId="0" fontId="0" fillId="5" borderId="11" xfId="0" applyFill="1" applyBorder="1" applyAlignment="1">
      <alignment vertical="top"/>
    </xf>
    <xf numFmtId="0" fontId="0" fillId="5" borderId="10" xfId="0" applyFill="1" applyBorder="1" applyAlignment="1">
      <alignment vertical="top"/>
    </xf>
    <xf numFmtId="0" fontId="0" fillId="0" borderId="9" xfId="0" applyBorder="1" applyAlignment="1">
      <alignment horizontal="right" vertical="top"/>
    </xf>
    <xf numFmtId="0" fontId="0" fillId="0" borderId="11" xfId="0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0" fontId="0" fillId="5" borderId="11" xfId="0" applyFill="1" applyBorder="1" applyAlignment="1">
      <alignment horizontal="right" vertical="top"/>
    </xf>
    <xf numFmtId="0" fontId="0" fillId="0" borderId="12" xfId="0" applyBorder="1" applyAlignment="1">
      <alignment horizontal="right" vertical="top"/>
    </xf>
    <xf numFmtId="0" fontId="0" fillId="0" borderId="10" xfId="0" applyBorder="1" applyAlignment="1">
      <alignment horizontal="center"/>
    </xf>
    <xf numFmtId="0" fontId="0" fillId="5" borderId="9" xfId="0" applyFill="1" applyBorder="1" applyAlignment="1">
      <alignment horizontal="right"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5" borderId="9" xfId="0" applyFill="1" applyBorder="1" applyAlignment="1">
      <alignment horizontal="center"/>
    </xf>
    <xf numFmtId="0" fontId="0" fillId="5" borderId="9" xfId="0" applyFill="1" applyBorder="1" applyAlignment="1">
      <alignment horizontal="right"/>
    </xf>
    <xf numFmtId="0" fontId="0" fillId="5" borderId="11" xfId="0" applyFill="1" applyBorder="1" applyAlignment="1">
      <alignment horizontal="center"/>
    </xf>
    <xf numFmtId="0" fontId="0" fillId="0" borderId="8" xfId="0" applyBorder="1"/>
    <xf numFmtId="0" fontId="0" fillId="0" borderId="11" xfId="0" applyBorder="1" applyAlignment="1">
      <alignment vertical="top"/>
    </xf>
    <xf numFmtId="0" fontId="0" fillId="4" borderId="8" xfId="0" applyFill="1" applyBorder="1" applyAlignment="1">
      <alignment horizontal="right"/>
    </xf>
    <xf numFmtId="0" fontId="14" fillId="5" borderId="8" xfId="0" applyFont="1" applyFill="1" applyBorder="1" applyAlignment="1">
      <alignment horizontal="right"/>
    </xf>
    <xf numFmtId="0" fontId="0" fillId="0" borderId="8" xfId="0" applyBorder="1" applyAlignment="1">
      <alignment readingOrder="1"/>
    </xf>
    <xf numFmtId="0" fontId="0" fillId="0" borderId="8" xfId="0" applyBorder="1" applyAlignment="1">
      <alignment horizontal="right" readingOrder="1"/>
    </xf>
    <xf numFmtId="0" fontId="0" fillId="5" borderId="11" xfId="0" applyFill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8" xfId="0" applyBorder="1" applyAlignment="1">
      <alignment horizontal="right" wrapText="1"/>
    </xf>
    <xf numFmtId="0" fontId="0" fillId="0" borderId="10" xfId="0" applyBorder="1" applyAlignment="1">
      <alignment horizontal="center" vertical="top"/>
    </xf>
    <xf numFmtId="0" fontId="0" fillId="0" borderId="13" xfId="0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4" xfId="0" applyBorder="1" applyAlignment="1">
      <alignment horizontal="right"/>
    </xf>
    <xf numFmtId="0" fontId="0" fillId="0" borderId="0" xfId="0" applyAlignment="1">
      <alignment horizontal="right" readingOrder="1"/>
    </xf>
    <xf numFmtId="0" fontId="4" fillId="5" borderId="8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15" fillId="0" borderId="0" xfId="0" applyFont="1"/>
    <xf numFmtId="0" fontId="0" fillId="5" borderId="9" xfId="0" applyFill="1" applyBorder="1" applyAlignment="1">
      <alignment horizontal="right" vertical="top" wrapText="1"/>
    </xf>
    <xf numFmtId="0" fontId="0" fillId="5" borderId="11" xfId="0" applyFill="1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5" borderId="9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 applyAlignment="1">
      <alignment horizontal="right"/>
    </xf>
    <xf numFmtId="0" fontId="16" fillId="0" borderId="0" xfId="0" applyFont="1"/>
    <xf numFmtId="0" fontId="17" fillId="0" borderId="3" xfId="0" applyFont="1" applyBorder="1" applyAlignment="1">
      <alignment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vertical="center" wrapText="1" readingOrder="2"/>
    </xf>
    <xf numFmtId="2" fontId="17" fillId="0" borderId="3" xfId="0" applyNumberFormat="1" applyFont="1" applyBorder="1" applyAlignment="1">
      <alignment vertical="center" wrapText="1" readingOrder="2"/>
    </xf>
    <xf numFmtId="0" fontId="19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168" fontId="17" fillId="0" borderId="3" xfId="0" applyNumberFormat="1" applyFont="1" applyBorder="1" applyAlignment="1">
      <alignment vertical="center" wrapText="1" readingOrder="2"/>
    </xf>
    <xf numFmtId="0" fontId="4" fillId="0" borderId="0" xfId="0" applyFont="1"/>
    <xf numFmtId="0" fontId="20" fillId="0" borderId="0" xfId="0" applyFon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Fill="1"/>
    <xf numFmtId="0" fontId="0" fillId="0" borderId="0" xfId="0" applyFill="1" applyProtection="1">
      <protection locked="0"/>
    </xf>
    <xf numFmtId="169" fontId="0" fillId="0" borderId="0" xfId="0" applyNumberFormat="1" applyFill="1" applyProtection="1">
      <protection locked="0"/>
    </xf>
    <xf numFmtId="4" fontId="0" fillId="0" borderId="0" xfId="0" applyNumberFormat="1" applyFill="1" applyProtection="1">
      <protection locked="0"/>
    </xf>
    <xf numFmtId="167" fontId="21" fillId="0" borderId="0" xfId="2" applyNumberFormat="1" applyFill="1" applyProtection="1">
      <protection locked="0"/>
    </xf>
    <xf numFmtId="10" fontId="0" fillId="0" borderId="0" xfId="0" applyNumberFormat="1" applyFill="1" applyProtection="1">
      <protection locked="0"/>
    </xf>
    <xf numFmtId="167" fontId="0" fillId="0" borderId="0" xfId="0" applyNumberFormat="1" applyFill="1" applyProtection="1">
      <protection locked="0"/>
    </xf>
    <xf numFmtId="2" fontId="0" fillId="0" borderId="0" xfId="0" applyNumberFormat="1" applyFill="1" applyProtection="1">
      <protection locked="0"/>
    </xf>
    <xf numFmtId="169" fontId="0" fillId="0" borderId="0" xfId="0" applyNumberFormat="1" applyFill="1"/>
    <xf numFmtId="167" fontId="21" fillId="0" borderId="0" xfId="2" applyNumberFormat="1" applyFill="1"/>
    <xf numFmtId="165" fontId="21" fillId="0" borderId="0" xfId="1" applyNumberFormat="1" applyFill="1"/>
    <xf numFmtId="168" fontId="0" fillId="0" borderId="0" xfId="0" applyNumberFormat="1" applyFill="1" applyProtection="1">
      <protection locked="0"/>
    </xf>
    <xf numFmtId="166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" fontId="0" fillId="0" borderId="0" xfId="0" applyNumberFormat="1" applyFill="1"/>
    <xf numFmtId="10" fontId="0" fillId="0" borderId="0" xfId="0" applyNumberFormat="1" applyFill="1"/>
    <xf numFmtId="167" fontId="0" fillId="0" borderId="0" xfId="0" applyNumberFormat="1" applyFill="1"/>
    <xf numFmtId="2" fontId="0" fillId="0" borderId="0" xfId="0" applyNumberFormat="1" applyFill="1"/>
    <xf numFmtId="168" fontId="0" fillId="0" borderId="0" xfId="0" applyNumberFormat="1" applyFill="1"/>
    <xf numFmtId="166" fontId="0" fillId="0" borderId="0" xfId="0" applyNumberFormat="1" applyFill="1"/>
  </cellXfs>
  <cellStyles count="6">
    <cellStyle name="Comma" xfId="1" builtinId="3"/>
    <cellStyle name="Normal" xfId="0" builtinId="0"/>
    <cellStyle name="Normal 2" xfId="3" xr:uid="{00000000-0005-0000-0000-000006000000}"/>
    <cellStyle name="Normal 3" xfId="4" xr:uid="{00000000-0005-0000-0000-000007000000}"/>
    <cellStyle name="Normal 9" xfId="5" xr:uid="{00000000-0005-0000-0000-000008000000}"/>
    <cellStyle name="Percent" xfId="2" builtinId="5"/>
  </cellStyles>
  <dxfs count="8"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AFABAB"/>
      <rgbColor rgb="FF003366"/>
      <rgbColor rgb="FF339966"/>
      <rgbColor rgb="FF003300"/>
      <rgbColor rgb="FF385724"/>
      <rgbColor rgb="FF993300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rightToLeft="1" zoomScaleNormal="100" workbookViewId="0"/>
  </sheetViews>
  <sheetFormatPr defaultColWidth="8.59765625" defaultRowHeight="13.8" x14ac:dyDescent="0.25"/>
  <cols>
    <col min="1" max="1" width="29.5" customWidth="1"/>
    <col min="2" max="2" width="11" customWidth="1"/>
    <col min="3" max="3" width="4.59765625" customWidth="1"/>
    <col min="4" max="4" width="67.5" customWidth="1"/>
    <col min="10" max="10" width="34.69921875" customWidth="1"/>
    <col min="11" max="11" width="25.8984375" customWidth="1"/>
    <col min="12" max="12" width="21.5" customWidth="1"/>
  </cols>
  <sheetData>
    <row r="1" spans="1:8" ht="18" customHeight="1" x14ac:dyDescent="0.25">
      <c r="A1" s="1" t="s">
        <v>0</v>
      </c>
      <c r="B1" s="2"/>
      <c r="C1" s="2"/>
      <c r="D1" s="2"/>
    </row>
    <row r="3" spans="1:8" ht="15" customHeight="1" x14ac:dyDescent="0.25">
      <c r="A3" t="s">
        <v>1</v>
      </c>
      <c r="D3" s="3" t="s">
        <v>2</v>
      </c>
    </row>
    <row r="5" spans="1:8" ht="15" customHeight="1" x14ac:dyDescent="0.25">
      <c r="A5" t="s">
        <v>3</v>
      </c>
      <c r="D5" s="3"/>
    </row>
    <row r="7" spans="1:8" ht="15" customHeight="1" x14ac:dyDescent="0.25">
      <c r="A7" t="s">
        <v>4</v>
      </c>
      <c r="D7" s="3"/>
    </row>
    <row r="8" spans="1:8" ht="15" customHeight="1" x14ac:dyDescent="0.25">
      <c r="D8" s="4"/>
      <c r="E8" s="4"/>
      <c r="F8" s="4"/>
      <c r="G8" s="4"/>
      <c r="H8" s="4"/>
    </row>
    <row r="9" spans="1:8" ht="15" customHeight="1" x14ac:dyDescent="0.25">
      <c r="A9" t="s">
        <v>5</v>
      </c>
      <c r="D9" s="3"/>
    </row>
    <row r="11" spans="1:8" ht="15" customHeight="1" x14ac:dyDescent="0.25">
      <c r="A11" t="s">
        <v>6</v>
      </c>
      <c r="D11" s="3"/>
    </row>
    <row r="13" spans="1:8" ht="15" customHeight="1" x14ac:dyDescent="0.25">
      <c r="A13" t="s">
        <v>7</v>
      </c>
      <c r="D13" s="5" t="str">
        <f>IFERROR(VLOOKUP(D11,'File Name Info'!A35:B121,2,0),"תא מחושב")</f>
        <v>תא מחושב</v>
      </c>
    </row>
    <row r="15" spans="1:8" ht="15" customHeight="1" x14ac:dyDescent="0.25">
      <c r="A15" s="6" t="s">
        <v>8</v>
      </c>
      <c r="D15" s="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8" ht="15" customHeight="1" x14ac:dyDescent="0.25">
      <c r="A16" s="6"/>
      <c r="D16" s="4"/>
      <c r="E16" s="4"/>
      <c r="F16" s="4"/>
      <c r="G16" s="4"/>
      <c r="H16" s="4"/>
    </row>
    <row r="17" spans="1:8" ht="15" customHeight="1" x14ac:dyDescent="0.25">
      <c r="A17" s="6" t="s">
        <v>9</v>
      </c>
      <c r="B17" s="7" t="s">
        <v>10</v>
      </c>
      <c r="C17" s="7"/>
      <c r="D17" s="8"/>
    </row>
    <row r="18" spans="1:8" x14ac:dyDescent="0.25">
      <c r="A18" s="9"/>
      <c r="D18" s="10"/>
      <c r="E18" s="10"/>
      <c r="F18" s="10"/>
      <c r="G18" s="10"/>
      <c r="H18" s="10"/>
    </row>
    <row r="19" spans="1:8" ht="15" customHeight="1" x14ac:dyDescent="0.25">
      <c r="A19" s="9"/>
      <c r="B19" s="7" t="s">
        <v>11</v>
      </c>
      <c r="C19" s="7"/>
      <c r="D19" s="8"/>
    </row>
    <row r="20" spans="1:8" x14ac:dyDescent="0.25">
      <c r="A20" s="9"/>
      <c r="D20" s="10"/>
      <c r="E20" s="10"/>
      <c r="F20" s="10"/>
      <c r="G20" s="10"/>
      <c r="H20" s="10"/>
    </row>
    <row r="21" spans="1:8" ht="15" customHeight="1" x14ac:dyDescent="0.25">
      <c r="A21" s="9"/>
      <c r="B21" s="7" t="s">
        <v>12</v>
      </c>
      <c r="C21" s="7"/>
      <c r="D21" s="11"/>
    </row>
    <row r="22" spans="1:8" x14ac:dyDescent="0.25">
      <c r="A22" s="9"/>
      <c r="B22" s="12"/>
      <c r="C22" s="12"/>
    </row>
    <row r="23" spans="1:8" ht="15" customHeight="1" x14ac:dyDescent="0.25">
      <c r="A23" s="6" t="s">
        <v>13</v>
      </c>
      <c r="D23" t="s">
        <v>14</v>
      </c>
    </row>
    <row r="25" spans="1:8" x14ac:dyDescent="0.25">
      <c r="D25" s="13"/>
    </row>
    <row r="28" spans="1:8" ht="13.5" customHeight="1" x14ac:dyDescent="0.25">
      <c r="A28" s="14"/>
      <c r="D28" s="15"/>
      <c r="E28" s="16"/>
      <c r="F28" s="16"/>
      <c r="G28" s="16"/>
      <c r="H28" s="16"/>
    </row>
    <row r="29" spans="1:8" x14ac:dyDescent="0.25">
      <c r="D29" s="7"/>
      <c r="E29" s="7"/>
      <c r="F29" s="7"/>
      <c r="G29" s="7"/>
      <c r="H29" s="7"/>
    </row>
  </sheetData>
  <conditionalFormatting sqref="D3">
    <cfRule type="containsText" dxfId="7" priority="7" operator="containsText" text="Please fill in data">
      <formula>NOT(ISERROR(SEARCH("Please fill in data",D3)))</formula>
    </cfRule>
  </conditionalFormatting>
  <conditionalFormatting sqref="D5">
    <cfRule type="containsText" dxfId="6" priority="6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9" operator="containsText" text="Please fill in data">
      <formula>NOT(ISERROR(SEARCH("Please fill in data",D19)))</formula>
    </cfRule>
  </conditionalFormatting>
  <conditionalFormatting sqref="D21">
    <cfRule type="containsText" dxfId="0" priority="8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  <formula2>0</formula2>
    </dataValidation>
    <dataValidation type="list" allowBlank="1" showInputMessage="1" showErrorMessage="1" sqref="D5" xr:uid="{00000000-0002-0000-0000-000001000000}">
      <formula1>File_Type</formula1>
      <formula2>0</formula2>
    </dataValidation>
    <dataValidation type="list" allowBlank="1" showInputMessage="1" showErrorMessage="1" sqref="D7" xr:uid="{00000000-0002-0000-0000-000002000000}">
      <formula1>QTR</formula1>
      <formula2>0</formula2>
    </dataValidation>
    <dataValidation type="list" allowBlank="1" showInputMessage="1" showErrorMessage="1" sqref="D9" xr:uid="{00000000-0002-0000-0000-000003000000}">
      <formula1>YEAR</formula1>
      <formula2>0</formula2>
    </dataValidation>
    <dataValidation type="list" allowBlank="1" showInputMessage="1" showErrorMessage="1" sqref="D11" xr:uid="{00000000-0002-0000-0000-000004000000}">
      <formula1>Company_Name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rightToLeft="1" zoomScaleNormal="100" workbookViewId="0">
      <selection activeCell="A2" sqref="A2"/>
    </sheetView>
  </sheetViews>
  <sheetFormatPr defaultColWidth="9" defaultRowHeight="13.2" x14ac:dyDescent="0.25"/>
  <cols>
    <col min="1" max="1" width="42.69921875" style="17" customWidth="1"/>
    <col min="2" max="2" width="13" style="18" customWidth="1"/>
    <col min="3" max="3" width="13" style="19" customWidth="1"/>
    <col min="4" max="4" width="13" style="18" customWidth="1"/>
    <col min="5" max="5" width="13" style="20" customWidth="1"/>
    <col min="6" max="6" width="11.09765625" style="17" customWidth="1"/>
    <col min="7" max="8" width="8.59765625" style="17" customWidth="1"/>
    <col min="9" max="10" width="9" style="17"/>
    <col min="11" max="12" width="8.59765625" style="17" customWidth="1"/>
    <col min="13" max="16384" width="9" style="17"/>
  </cols>
  <sheetData>
    <row r="1" spans="1:5" ht="18.75" customHeight="1" x14ac:dyDescent="0.25">
      <c r="A1" s="21"/>
      <c r="B1" s="22"/>
      <c r="C1" s="23" t="s">
        <v>15</v>
      </c>
      <c r="D1" s="24"/>
      <c r="E1" s="25"/>
    </row>
    <row r="2" spans="1:5" ht="39.75" customHeight="1" x14ac:dyDescent="0.25">
      <c r="A2" s="21"/>
      <c r="B2" s="22" t="s">
        <v>16</v>
      </c>
      <c r="C2" s="26" t="s">
        <v>17</v>
      </c>
      <c r="D2" s="22" t="s">
        <v>18</v>
      </c>
      <c r="E2" s="25" t="s">
        <v>19</v>
      </c>
    </row>
    <row r="3" spans="1:5" x14ac:dyDescent="0.25">
      <c r="A3" s="27" t="s">
        <v>20</v>
      </c>
      <c r="B3" s="28">
        <f>SUM('מזומנים ושווי מזומנים'!O:O)</f>
        <v>90541.848000000027</v>
      </c>
      <c r="C3" s="29"/>
      <c r="D3" s="28">
        <f t="shared" ref="D3:D29" si="0">B3+C3</f>
        <v>90541.848000000027</v>
      </c>
      <c r="E3" s="30">
        <f>SUM('מזומנים ושווי מזומנים'!O:O)/B30</f>
        <v>2.8186641659895612E-2</v>
      </c>
    </row>
    <row r="4" spans="1:5" x14ac:dyDescent="0.25">
      <c r="A4" s="27" t="s">
        <v>21</v>
      </c>
      <c r="B4" s="28">
        <f>SUM('איגרות חוב ממשלתיות'!U:U)</f>
        <v>383351.353</v>
      </c>
      <c r="C4" s="29"/>
      <c r="D4" s="28">
        <f t="shared" si="0"/>
        <v>383351.353</v>
      </c>
      <c r="E4" s="30">
        <f>SUM('איגרות חוב ממשלתיות'!U:U)/B30</f>
        <v>0.1193413593330583</v>
      </c>
    </row>
    <row r="5" spans="1:5" x14ac:dyDescent="0.25">
      <c r="A5" s="27" t="s">
        <v>22</v>
      </c>
      <c r="B5" s="28">
        <f>SUM('ניירות ערך מסחריים'!AD:AD)</f>
        <v>0</v>
      </c>
      <c r="C5" s="29"/>
      <c r="D5" s="28">
        <f t="shared" si="0"/>
        <v>0</v>
      </c>
      <c r="E5" s="30">
        <f>SUM('ניירות ערך מסחריים'!AD:AD)/B30</f>
        <v>0</v>
      </c>
    </row>
    <row r="6" spans="1:5" x14ac:dyDescent="0.25">
      <c r="A6" s="27" t="s">
        <v>23</v>
      </c>
      <c r="B6" s="28">
        <f>SUM('איגרות חוב'!AD:AD)</f>
        <v>285555.65200000018</v>
      </c>
      <c r="C6" s="29"/>
      <c r="D6" s="28">
        <f t="shared" si="0"/>
        <v>285555.65200000018</v>
      </c>
      <c r="E6" s="30">
        <f>SUM('איגרות חוב'!AD:AD)/B30</f>
        <v>8.8896515972170742E-2</v>
      </c>
    </row>
    <row r="7" spans="1:5" x14ac:dyDescent="0.25">
      <c r="A7" s="27" t="s">
        <v>24</v>
      </c>
      <c r="B7" s="28">
        <f>SUM('מניות מבכ ויהש'!U:U)</f>
        <v>483137.44300000055</v>
      </c>
      <c r="C7" s="29"/>
      <c r="D7" s="28">
        <f t="shared" si="0"/>
        <v>483137.44300000055</v>
      </c>
      <c r="E7" s="30">
        <f>SUM('מניות מבכ ויהש'!U:U)/B30</f>
        <v>0.15040583198963703</v>
      </c>
    </row>
    <row r="8" spans="1:5" x14ac:dyDescent="0.25">
      <c r="A8" s="27" t="s">
        <v>25</v>
      </c>
      <c r="B8" s="28">
        <f>SUM('קרנות סל'!T:T)</f>
        <v>576783.18300000054</v>
      </c>
      <c r="C8" s="29"/>
      <c r="D8" s="28">
        <f t="shared" si="0"/>
        <v>576783.18300000054</v>
      </c>
      <c r="E8" s="30">
        <f>SUM('קרנות סל'!T:T)/B30</f>
        <v>0.17955874828924415</v>
      </c>
    </row>
    <row r="9" spans="1:5" x14ac:dyDescent="0.25">
      <c r="A9" s="27" t="s">
        <v>26</v>
      </c>
      <c r="B9" s="28">
        <f>SUM('קרנות נאמנות'!T:T)</f>
        <v>170372.49299999999</v>
      </c>
      <c r="C9" s="29"/>
      <c r="D9" s="28">
        <f t="shared" si="0"/>
        <v>170372.49299999999</v>
      </c>
      <c r="E9" s="30">
        <f>SUM('קרנות נאמנות'!T:T)/B30</f>
        <v>5.3038771738942989E-2</v>
      </c>
    </row>
    <row r="10" spans="1:5" x14ac:dyDescent="0.25">
      <c r="A10" s="27" t="s">
        <v>27</v>
      </c>
      <c r="B10" s="28">
        <f>SUM('כתבי אופציה'!W:W)</f>
        <v>267.86700000000002</v>
      </c>
      <c r="C10" s="29"/>
      <c r="D10" s="28">
        <f t="shared" si="0"/>
        <v>267.86700000000002</v>
      </c>
      <c r="E10" s="30">
        <f>SUM('כתבי אופציה'!W:W)/B30</f>
        <v>8.3389850199559162E-5</v>
      </c>
    </row>
    <row r="11" spans="1:5" x14ac:dyDescent="0.25">
      <c r="A11" s="27" t="s">
        <v>28</v>
      </c>
      <c r="B11" s="28">
        <f>SUM(אופציות!V:V)</f>
        <v>0</v>
      </c>
      <c r="C11" s="29"/>
      <c r="D11" s="28">
        <f t="shared" si="0"/>
        <v>0</v>
      </c>
      <c r="E11" s="30">
        <f>SUM(אופציות!V:V)/B30</f>
        <v>0</v>
      </c>
    </row>
    <row r="12" spans="1:5" x14ac:dyDescent="0.25">
      <c r="A12" s="27" t="s">
        <v>29</v>
      </c>
      <c r="B12" s="28">
        <f>SUM('חוזים עתידיים'!R:R)</f>
        <v>-2522.069</v>
      </c>
      <c r="C12" s="29"/>
      <c r="D12" s="28">
        <f t="shared" si="0"/>
        <v>-2522.069</v>
      </c>
      <c r="E12" s="30">
        <f>SUM('חוזים עתידיים'!R:R)/B30</f>
        <v>-7.8514694271019563E-4</v>
      </c>
    </row>
    <row r="13" spans="1:5" x14ac:dyDescent="0.25">
      <c r="A13" s="27" t="s">
        <v>30</v>
      </c>
      <c r="B13" s="28">
        <f>SUM('מוצרים מובנים'!Z:Z)</f>
        <v>5796.1760000000004</v>
      </c>
      <c r="C13" s="29"/>
      <c r="D13" s="28">
        <f t="shared" si="0"/>
        <v>5796.1760000000004</v>
      </c>
      <c r="E13" s="30">
        <f>SUM('מוצרים מובנים'!Z:Z)/B30</f>
        <v>1.8044113249122888E-3</v>
      </c>
    </row>
    <row r="14" spans="1:5" x14ac:dyDescent="0.25">
      <c r="A14" s="27" t="s">
        <v>31</v>
      </c>
      <c r="B14" s="28">
        <f>SUM('לא סחיר איגרות חוב ממשלתיות'!U:U)</f>
        <v>0</v>
      </c>
      <c r="C14" s="29"/>
      <c r="D14" s="28">
        <f t="shared" si="0"/>
        <v>0</v>
      </c>
      <c r="E14" s="30">
        <f>SUM('לא סחיר איגרות חוב ממשלתיות'!U:U)/B30</f>
        <v>0</v>
      </c>
    </row>
    <row r="15" spans="1:5" x14ac:dyDescent="0.25">
      <c r="A15" s="27" t="s">
        <v>32</v>
      </c>
      <c r="B15" s="28">
        <f>SUM('לא סחיר איגרות חוב מיועדות'!N:N)</f>
        <v>0</v>
      </c>
      <c r="C15" s="29"/>
      <c r="D15" s="28">
        <f t="shared" si="0"/>
        <v>0</v>
      </c>
      <c r="E15" s="30">
        <f>SUM('לא סחיר איגרות חוב מיועדות'!N:N)/B30</f>
        <v>0</v>
      </c>
    </row>
    <row r="16" spans="1:5" x14ac:dyDescent="0.25">
      <c r="A16" s="27" t="s">
        <v>33</v>
      </c>
      <c r="B16" s="28">
        <f>SUM('אפיק השקעה מובטח תשואה'!F:F)</f>
        <v>0</v>
      </c>
      <c r="C16" s="29"/>
      <c r="D16" s="28">
        <f t="shared" si="0"/>
        <v>0</v>
      </c>
      <c r="E16" s="30">
        <f>SUM('אפיק השקעה מובטח תשואה'!F:F)/B30</f>
        <v>0</v>
      </c>
    </row>
    <row r="17" spans="1:5" x14ac:dyDescent="0.25">
      <c r="A17" s="27" t="s">
        <v>34</v>
      </c>
      <c r="B17" s="28">
        <f>SUM('לא סחיר ניירות ערך מסחריים'!AI:AI)</f>
        <v>0</v>
      </c>
      <c r="C17" s="29"/>
      <c r="D17" s="28">
        <f t="shared" si="0"/>
        <v>0</v>
      </c>
      <c r="E17" s="30">
        <f>SUM('לא סחיר ניירות ערך מסחריים'!AI:AI)/B30</f>
        <v>0</v>
      </c>
    </row>
    <row r="18" spans="1:5" x14ac:dyDescent="0.25">
      <c r="A18" s="27" t="s">
        <v>35</v>
      </c>
      <c r="B18" s="28">
        <f>SUM('לא סחיר איגרות חוב'!AG:AG)</f>
        <v>5460.0129999999999</v>
      </c>
      <c r="C18" s="29"/>
      <c r="D18" s="28">
        <f t="shared" si="0"/>
        <v>5460.0129999999999</v>
      </c>
      <c r="E18" s="30">
        <f>SUM('לא סחיר איגרות חוב'!AG:AG)/B30</f>
        <v>1.6997602024797591E-3</v>
      </c>
    </row>
    <row r="19" spans="1:5" x14ac:dyDescent="0.25">
      <c r="A19" s="27" t="s">
        <v>36</v>
      </c>
      <c r="B19" s="28">
        <f>SUM('לא סחיר מניות מבכ ויהש'!X:X)</f>
        <v>81327.593000000037</v>
      </c>
      <c r="C19" s="29"/>
      <c r="D19" s="28">
        <f t="shared" si="0"/>
        <v>81327.593000000037</v>
      </c>
      <c r="E19" s="30">
        <f>SUM('לא סחיר מניות מבכ ויהש'!X:X)/B30</f>
        <v>2.5318145935709586E-2</v>
      </c>
    </row>
    <row r="20" spans="1:5" x14ac:dyDescent="0.25">
      <c r="A20" s="27" t="s">
        <v>37</v>
      </c>
      <c r="B20" s="28">
        <f>SUM('קרנות השקעה'!W:W)</f>
        <v>585439.97599999979</v>
      </c>
      <c r="C20" s="29"/>
      <c r="D20" s="28">
        <f t="shared" si="0"/>
        <v>585439.97599999979</v>
      </c>
      <c r="E20" s="30">
        <f>SUM('קרנות השקעה'!W:W)/B30</f>
        <v>0.18225370015520201</v>
      </c>
    </row>
    <row r="21" spans="1:5" x14ac:dyDescent="0.25">
      <c r="A21" s="27" t="s">
        <v>38</v>
      </c>
      <c r="B21" s="28">
        <f>SUM('לא סחיר כתבי אופציה'!Z:Z)</f>
        <v>0</v>
      </c>
      <c r="C21" s="29"/>
      <c r="D21" s="28">
        <f t="shared" si="0"/>
        <v>0</v>
      </c>
      <c r="E21" s="30">
        <f>SUM('לא סחיר כתבי אופציה'!Z:Z)/B30</f>
        <v>0</v>
      </c>
    </row>
    <row r="22" spans="1:5" x14ac:dyDescent="0.25">
      <c r="A22" s="27" t="s">
        <v>39</v>
      </c>
      <c r="B22" s="28">
        <f>SUM('לא סחיר אופציות'!Z:Z)</f>
        <v>0</v>
      </c>
      <c r="C22" s="29"/>
      <c r="D22" s="28">
        <f t="shared" si="0"/>
        <v>0</v>
      </c>
      <c r="E22" s="30">
        <f>SUM('לא סחיר אופציות'!Z:Z)/B30</f>
        <v>0</v>
      </c>
    </row>
    <row r="23" spans="1:5" x14ac:dyDescent="0.25">
      <c r="A23" s="27" t="s">
        <v>40</v>
      </c>
      <c r="B23" s="28">
        <f>SUM('לא סחיר נגזרים אחרים'!R:R)</f>
        <v>-20910.736000000001</v>
      </c>
      <c r="C23" s="29"/>
      <c r="D23" s="28">
        <f t="shared" si="0"/>
        <v>-20910.736000000001</v>
      </c>
      <c r="E23" s="30">
        <f>SUM('לא סחיר נגזרים אחרים'!R:R)/B30</f>
        <v>-6.5097348408073002E-3</v>
      </c>
    </row>
    <row r="24" spans="1:5" x14ac:dyDescent="0.25">
      <c r="A24" s="27" t="s">
        <v>41</v>
      </c>
      <c r="B24" s="28">
        <f>SUM(הלוואות!AT:AT)</f>
        <v>55881.420000000027</v>
      </c>
      <c r="C24" s="29"/>
      <c r="D24" s="28">
        <f t="shared" si="0"/>
        <v>55881.420000000027</v>
      </c>
      <c r="E24" s="30">
        <f>SUM(הלוואות!AT:AT)/B30</f>
        <v>1.7396481249047666E-2</v>
      </c>
    </row>
    <row r="25" spans="1:5" x14ac:dyDescent="0.25">
      <c r="A25" s="27" t="s">
        <v>42</v>
      </c>
      <c r="B25" s="28">
        <f>SUM('לא סחיר מוצרים מובנים'!AB:AB)</f>
        <v>0</v>
      </c>
      <c r="C25" s="29"/>
      <c r="D25" s="28">
        <f t="shared" si="0"/>
        <v>0</v>
      </c>
      <c r="E25" s="30">
        <f>SUM('לא סחיר מוצרים מובנים'!AB:AB)/B30</f>
        <v>0</v>
      </c>
    </row>
    <row r="26" spans="1:5" x14ac:dyDescent="0.25">
      <c r="A26" s="27" t="s">
        <v>43</v>
      </c>
      <c r="B26" s="28">
        <f>SUM('פיקדונות מעל 3 חודשים'!T:T)</f>
        <v>60249.744999999995</v>
      </c>
      <c r="C26" s="29"/>
      <c r="D26" s="28">
        <f t="shared" si="0"/>
        <v>60249.744999999995</v>
      </c>
      <c r="E26" s="30">
        <f>SUM('פיקדונות מעל 3 חודשים'!T:T)/B30</f>
        <v>1.8756387349362327E-2</v>
      </c>
    </row>
    <row r="27" spans="1:5" x14ac:dyDescent="0.25">
      <c r="A27" s="27" t="s">
        <v>44</v>
      </c>
      <c r="B27" s="28">
        <f>SUM('זכויות מקרקעין'!S:S)</f>
        <v>450249.5799999999</v>
      </c>
      <c r="C27" s="29"/>
      <c r="D27" s="28">
        <f t="shared" si="0"/>
        <v>450249.5799999999</v>
      </c>
      <c r="E27" s="30">
        <f>SUM('זכויות מקרקעין'!S:S)/B30</f>
        <v>0.14016748994319725</v>
      </c>
    </row>
    <row r="28" spans="1:5" x14ac:dyDescent="0.25">
      <c r="A28" s="27" t="s">
        <v>45</v>
      </c>
      <c r="B28" s="28">
        <f>SUM('השקעה בחברות מוחזקות'!U:U)</f>
        <v>0</v>
      </c>
      <c r="C28" s="29"/>
      <c r="D28" s="28">
        <f t="shared" si="0"/>
        <v>0</v>
      </c>
      <c r="E28" s="30">
        <f>SUM('השקעה בחברות מוחזקות'!U:U)/B30</f>
        <v>0</v>
      </c>
    </row>
    <row r="29" spans="1:5" x14ac:dyDescent="0.25">
      <c r="A29" s="27" t="s">
        <v>46</v>
      </c>
      <c r="B29" s="28">
        <f>SUM('נכסים אחרים'!N:N)</f>
        <v>1243.924</v>
      </c>
      <c r="C29" s="29"/>
      <c r="D29" s="28">
        <f t="shared" si="0"/>
        <v>1243.924</v>
      </c>
      <c r="E29" s="30">
        <f>SUM('נכסים אחרים'!N:N)/B30</f>
        <v>3.8724679045808717E-4</v>
      </c>
    </row>
    <row r="30" spans="1:5" x14ac:dyDescent="0.25">
      <c r="A30" s="31" t="s">
        <v>47</v>
      </c>
      <c r="B30" s="32">
        <f>IF(SUM(B3:B29)=0,0.0001,SUM(B3:B29))</f>
        <v>3212225.4610000015</v>
      </c>
      <c r="C30" s="33">
        <f>SUM(C3:C29)</f>
        <v>0</v>
      </c>
      <c r="D30" s="32">
        <f>SUM(D3:D29)</f>
        <v>3212225.4610000015</v>
      </c>
      <c r="E30" s="34">
        <f>SUM(E3:E29)</f>
        <v>0.99999999999999989</v>
      </c>
    </row>
    <row r="31" spans="1:5" x14ac:dyDescent="0.25">
      <c r="A31" s="27" t="s">
        <v>48</v>
      </c>
      <c r="B31" s="28"/>
      <c r="C31" s="29"/>
      <c r="D31" s="28"/>
      <c r="E31" s="30"/>
    </row>
    <row r="32" spans="1:5" x14ac:dyDescent="0.25">
      <c r="A32" s="27" t="s">
        <v>49</v>
      </c>
      <c r="B32" s="28">
        <f>SUM('יתרות התחייבות להשקעה'!O:O)</f>
        <v>229339.02581558298</v>
      </c>
      <c r="C32" s="29"/>
      <c r="D32" s="28"/>
      <c r="E32" s="30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1"/>
  <sheetViews>
    <sheetView rightToLeft="1" zoomScale="70" zoomScaleNormal="70" workbookViewId="0"/>
  </sheetViews>
  <sheetFormatPr defaultColWidth="9" defaultRowHeight="13.8" x14ac:dyDescent="0.25"/>
  <cols>
    <col min="1" max="13" width="11.59765625" customWidth="1"/>
    <col min="14" max="14" width="11.59765625" style="35" customWidth="1"/>
    <col min="15" max="18" width="11.59765625" customWidth="1"/>
  </cols>
  <sheetData>
    <row r="1" spans="1:17" s="40" customFormat="1" ht="66.75" customHeight="1" x14ac:dyDescent="0.25">
      <c r="A1" s="36" t="s">
        <v>50</v>
      </c>
      <c r="B1" s="36" t="s">
        <v>51</v>
      </c>
      <c r="C1" s="36" t="s">
        <v>52</v>
      </c>
      <c r="D1" s="36" t="s">
        <v>53</v>
      </c>
      <c r="E1" s="36" t="s">
        <v>54</v>
      </c>
      <c r="F1" s="36" t="s">
        <v>55</v>
      </c>
      <c r="G1" s="36" t="s">
        <v>56</v>
      </c>
      <c r="H1" s="36" t="s">
        <v>57</v>
      </c>
      <c r="I1" s="36" t="s">
        <v>58</v>
      </c>
      <c r="J1" s="36" t="s">
        <v>59</v>
      </c>
      <c r="K1" s="36" t="s">
        <v>60</v>
      </c>
      <c r="L1" s="36" t="s">
        <v>61</v>
      </c>
      <c r="M1" s="37" t="s">
        <v>62</v>
      </c>
      <c r="N1" s="38" t="s">
        <v>63</v>
      </c>
      <c r="O1" s="36" t="s">
        <v>64</v>
      </c>
      <c r="P1" s="39" t="s">
        <v>65</v>
      </c>
      <c r="Q1" s="39" t="s">
        <v>66</v>
      </c>
    </row>
    <row r="2" spans="1:17" x14ac:dyDescent="0.25">
      <c r="A2">
        <v>1182</v>
      </c>
      <c r="B2">
        <v>1182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s="41">
        <v>3154.9679999999998</v>
      </c>
      <c r="M2" s="42">
        <v>3.718</v>
      </c>
      <c r="N2" s="43">
        <v>3.3300000000000003E-2</v>
      </c>
      <c r="O2" s="44">
        <v>11730.171</v>
      </c>
      <c r="P2" s="45">
        <v>0.65630604505910195</v>
      </c>
      <c r="Q2" s="45">
        <v>2.70919866494236E-2</v>
      </c>
    </row>
    <row r="3" spans="1:17" x14ac:dyDescent="0.25">
      <c r="A3">
        <v>1182</v>
      </c>
      <c r="B3">
        <v>1182</v>
      </c>
      <c r="C3" t="s">
        <v>67</v>
      </c>
      <c r="D3" t="s">
        <v>68</v>
      </c>
      <c r="E3" s="10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76</v>
      </c>
      <c r="L3" s="44">
        <v>0</v>
      </c>
      <c r="M3" s="42">
        <v>2.589</v>
      </c>
      <c r="N3" s="46">
        <v>0</v>
      </c>
      <c r="O3" s="44">
        <v>1E-3</v>
      </c>
      <c r="P3" s="45">
        <v>3.7662352301906699E-8</v>
      </c>
      <c r="Q3" s="45">
        <v>1.55468314429019E-9</v>
      </c>
    </row>
    <row r="4" spans="1:17" x14ac:dyDescent="0.25">
      <c r="A4">
        <v>1182</v>
      </c>
      <c r="B4">
        <v>1182</v>
      </c>
      <c r="C4" t="s">
        <v>67</v>
      </c>
      <c r="D4" t="s">
        <v>68</v>
      </c>
      <c r="E4" s="10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77</v>
      </c>
      <c r="L4" s="44">
        <v>5.2619999999999996</v>
      </c>
      <c r="M4" s="42">
        <v>4.0218999999999996</v>
      </c>
      <c r="N4" s="46">
        <v>0</v>
      </c>
      <c r="O4" s="44">
        <v>21.164999999999999</v>
      </c>
      <c r="P4" s="45">
        <v>1.18417173742769E-3</v>
      </c>
      <c r="Q4" s="45">
        <v>4.8882019512903897E-5</v>
      </c>
    </row>
    <row r="5" spans="1:17" x14ac:dyDescent="0.25">
      <c r="A5">
        <v>1182</v>
      </c>
      <c r="B5">
        <v>1182</v>
      </c>
      <c r="C5" t="s">
        <v>67</v>
      </c>
      <c r="D5" t="s">
        <v>68</v>
      </c>
      <c r="E5" s="10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78</v>
      </c>
      <c r="L5" s="44">
        <v>2544.1170000000002</v>
      </c>
      <c r="M5" s="42">
        <v>2.4892999999999998E-2</v>
      </c>
      <c r="N5" s="46">
        <v>0</v>
      </c>
      <c r="O5" s="44">
        <v>63.331000000000003</v>
      </c>
      <c r="P5" s="45">
        <v>3.5433694150967501E-3</v>
      </c>
      <c r="Q5" s="45">
        <v>1.46268524586167E-4</v>
      </c>
    </row>
    <row r="6" spans="1:17" x14ac:dyDescent="0.25">
      <c r="A6">
        <v>1182</v>
      </c>
      <c r="B6">
        <v>1182</v>
      </c>
      <c r="C6" t="s">
        <v>67</v>
      </c>
      <c r="D6" t="s">
        <v>68</v>
      </c>
      <c r="E6" s="10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79</v>
      </c>
      <c r="L6" s="44">
        <v>11.46</v>
      </c>
      <c r="M6" s="42">
        <v>4.8108000000000004</v>
      </c>
      <c r="N6" s="46">
        <v>0</v>
      </c>
      <c r="O6" s="44">
        <v>55.131</v>
      </c>
      <c r="P6" s="45">
        <v>3.0845959110085801E-3</v>
      </c>
      <c r="Q6" s="45">
        <v>1.2733058284170699E-4</v>
      </c>
    </row>
    <row r="7" spans="1:17" x14ac:dyDescent="0.25">
      <c r="A7">
        <v>1182</v>
      </c>
      <c r="B7">
        <v>1182</v>
      </c>
      <c r="C7" t="s">
        <v>67</v>
      </c>
      <c r="D7" t="s">
        <v>68</v>
      </c>
      <c r="E7" s="10" t="s">
        <v>69</v>
      </c>
      <c r="F7" t="s">
        <v>80</v>
      </c>
      <c r="G7" t="s">
        <v>71</v>
      </c>
      <c r="H7" t="s">
        <v>72</v>
      </c>
      <c r="I7" t="s">
        <v>73</v>
      </c>
      <c r="J7" t="s">
        <v>74</v>
      </c>
      <c r="K7" t="s">
        <v>81</v>
      </c>
      <c r="L7" s="44">
        <v>1993.9269999999999</v>
      </c>
      <c r="M7" s="42">
        <v>1</v>
      </c>
      <c r="N7" s="46">
        <v>4.0300000000000002E-2</v>
      </c>
      <c r="O7" s="44">
        <v>1993.9269999999999</v>
      </c>
      <c r="P7" s="45">
        <v>0.111560723857988</v>
      </c>
      <c r="Q7" s="45">
        <v>4.6051711150831799E-3</v>
      </c>
    </row>
    <row r="8" spans="1:17" x14ac:dyDescent="0.25">
      <c r="A8">
        <v>1182</v>
      </c>
      <c r="B8">
        <v>1182</v>
      </c>
      <c r="C8" t="s">
        <v>82</v>
      </c>
      <c r="D8" t="s">
        <v>83</v>
      </c>
      <c r="E8" s="10" t="s">
        <v>69</v>
      </c>
      <c r="F8" t="s">
        <v>80</v>
      </c>
      <c r="G8" t="s">
        <v>71</v>
      </c>
      <c r="H8" t="s">
        <v>72</v>
      </c>
      <c r="I8" t="s">
        <v>73</v>
      </c>
      <c r="J8" t="s">
        <v>74</v>
      </c>
      <c r="K8" t="s">
        <v>81</v>
      </c>
      <c r="L8" s="44">
        <v>1368.924</v>
      </c>
      <c r="M8" s="42">
        <v>1</v>
      </c>
      <c r="N8" s="46">
        <v>4.0300000000000002E-2</v>
      </c>
      <c r="O8" s="44">
        <v>1368.924</v>
      </c>
      <c r="P8" s="45">
        <v>7.6591665598127107E-2</v>
      </c>
      <c r="Q8" s="45">
        <v>3.16166580738216E-3</v>
      </c>
    </row>
    <row r="9" spans="1:17" x14ac:dyDescent="0.25">
      <c r="A9">
        <v>1182</v>
      </c>
      <c r="B9">
        <v>1182</v>
      </c>
      <c r="C9" t="s">
        <v>82</v>
      </c>
      <c r="D9" t="s">
        <v>83</v>
      </c>
      <c r="E9" s="10" t="s">
        <v>69</v>
      </c>
      <c r="F9" t="s">
        <v>80</v>
      </c>
      <c r="G9" t="s">
        <v>71</v>
      </c>
      <c r="H9" t="s">
        <v>72</v>
      </c>
      <c r="I9" t="s">
        <v>73</v>
      </c>
      <c r="J9" t="s">
        <v>74</v>
      </c>
      <c r="K9" t="s">
        <v>81</v>
      </c>
      <c r="L9" s="44">
        <v>2640.36</v>
      </c>
      <c r="M9" s="42">
        <v>1</v>
      </c>
      <c r="N9" s="46">
        <v>4.0300000000000002E-2</v>
      </c>
      <c r="O9" s="44">
        <v>2640.36</v>
      </c>
      <c r="P9" s="45">
        <v>0.147728831256382</v>
      </c>
      <c r="Q9" s="45">
        <v>6.0981725740046197E-3</v>
      </c>
    </row>
    <row r="10" spans="1:17" x14ac:dyDescent="0.25">
      <c r="A10">
        <v>1182</v>
      </c>
      <c r="B10">
        <v>1182</v>
      </c>
      <c r="C10" t="s">
        <v>82</v>
      </c>
      <c r="D10" t="s">
        <v>83</v>
      </c>
      <c r="E10" s="10" t="s">
        <v>69</v>
      </c>
      <c r="F10" t="s">
        <v>80</v>
      </c>
      <c r="G10" t="s">
        <v>71</v>
      </c>
      <c r="H10" t="s">
        <v>72</v>
      </c>
      <c r="I10" t="s">
        <v>73</v>
      </c>
      <c r="J10" t="s">
        <v>74</v>
      </c>
      <c r="K10" t="s">
        <v>81</v>
      </c>
      <c r="L10" s="44">
        <v>0.01</v>
      </c>
      <c r="M10" s="42">
        <v>1</v>
      </c>
      <c r="N10" s="46">
        <v>4.0300000000000002E-2</v>
      </c>
      <c r="O10" s="44">
        <v>0.01</v>
      </c>
      <c r="P10" s="45">
        <v>5.5950251510691305E-7</v>
      </c>
      <c r="Q10" s="45">
        <v>2.30959851485604E-8</v>
      </c>
    </row>
    <row r="11" spans="1:17" x14ac:dyDescent="0.25">
      <c r="A11">
        <v>1182</v>
      </c>
      <c r="B11">
        <v>14769</v>
      </c>
      <c r="C11" t="s">
        <v>67</v>
      </c>
      <c r="D11" t="s">
        <v>68</v>
      </c>
      <c r="E11" s="10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s="44">
        <v>44.027999999999999</v>
      </c>
      <c r="M11" s="42">
        <v>3.718</v>
      </c>
      <c r="N11" s="46">
        <v>3.3300000000000003E-2</v>
      </c>
      <c r="O11" s="44">
        <v>163.696</v>
      </c>
      <c r="P11" s="45">
        <v>0.11500661266832</v>
      </c>
      <c r="Q11" s="45">
        <v>7.0667806890282398E-3</v>
      </c>
    </row>
    <row r="12" spans="1:17" x14ac:dyDescent="0.25">
      <c r="A12">
        <v>1182</v>
      </c>
      <c r="B12">
        <v>14769</v>
      </c>
      <c r="C12" t="s">
        <v>67</v>
      </c>
      <c r="D12" t="s">
        <v>68</v>
      </c>
      <c r="E12" s="10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76</v>
      </c>
      <c r="L12" s="44">
        <v>1E-3</v>
      </c>
      <c r="M12" s="42">
        <v>2.589</v>
      </c>
      <c r="N12" s="46">
        <v>0</v>
      </c>
      <c r="O12" s="44">
        <v>2E-3</v>
      </c>
      <c r="P12" s="45">
        <v>1.47333413935602E-6</v>
      </c>
      <c r="Q12" s="45">
        <v>9.0531570341217397E-8</v>
      </c>
    </row>
    <row r="13" spans="1:17" x14ac:dyDescent="0.25">
      <c r="A13">
        <v>1182</v>
      </c>
      <c r="B13">
        <v>14769</v>
      </c>
      <c r="C13" t="s">
        <v>67</v>
      </c>
      <c r="D13" t="s">
        <v>68</v>
      </c>
      <c r="E13" s="10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77</v>
      </c>
      <c r="L13" s="44">
        <v>0.96</v>
      </c>
      <c r="M13" s="42">
        <v>4.0218999999999996</v>
      </c>
      <c r="N13" s="46">
        <v>0</v>
      </c>
      <c r="O13" s="44">
        <v>3.8620000000000001</v>
      </c>
      <c r="P13" s="45">
        <v>2.7130013763994099E-3</v>
      </c>
      <c r="Q13" s="45">
        <v>1.6670507278863299E-4</v>
      </c>
    </row>
    <row r="14" spans="1:17" x14ac:dyDescent="0.25">
      <c r="A14">
        <v>1182</v>
      </c>
      <c r="B14">
        <v>14769</v>
      </c>
      <c r="C14" t="s">
        <v>67</v>
      </c>
      <c r="D14" t="s">
        <v>68</v>
      </c>
      <c r="E14" s="10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78</v>
      </c>
      <c r="L14" s="44">
        <v>72.320999999999998</v>
      </c>
      <c r="M14" s="42">
        <v>2.4892999999999998E-2</v>
      </c>
      <c r="N14" s="46">
        <v>0</v>
      </c>
      <c r="O14" s="44">
        <v>1.8</v>
      </c>
      <c r="P14" s="45">
        <v>1.2648186090127599E-3</v>
      </c>
      <c r="Q14" s="45">
        <v>7.7718972100089393E-5</v>
      </c>
    </row>
    <row r="15" spans="1:17" x14ac:dyDescent="0.25">
      <c r="A15">
        <v>1182</v>
      </c>
      <c r="B15">
        <v>14769</v>
      </c>
      <c r="C15" t="s">
        <v>67</v>
      </c>
      <c r="D15" t="s">
        <v>68</v>
      </c>
      <c r="E15" s="10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79</v>
      </c>
      <c r="L15" s="44">
        <v>0.72899999999999998</v>
      </c>
      <c r="M15" s="42">
        <v>4.8108000000000004</v>
      </c>
      <c r="N15" s="46">
        <v>0</v>
      </c>
      <c r="O15" s="44">
        <v>3.5070000000000001</v>
      </c>
      <c r="P15" s="45">
        <v>2.46359568887973E-3</v>
      </c>
      <c r="Q15" s="45">
        <v>1.5137990795327801E-4</v>
      </c>
    </row>
    <row r="16" spans="1:17" x14ac:dyDescent="0.25">
      <c r="A16">
        <v>1182</v>
      </c>
      <c r="B16">
        <v>14769</v>
      </c>
      <c r="C16" t="s">
        <v>67</v>
      </c>
      <c r="D16" t="s">
        <v>68</v>
      </c>
      <c r="E16" s="10" t="s">
        <v>69</v>
      </c>
      <c r="F16" t="s">
        <v>80</v>
      </c>
      <c r="G16" t="s">
        <v>71</v>
      </c>
      <c r="H16" t="s">
        <v>72</v>
      </c>
      <c r="I16" t="s">
        <v>73</v>
      </c>
      <c r="J16" t="s">
        <v>74</v>
      </c>
      <c r="K16" t="s">
        <v>81</v>
      </c>
      <c r="L16" s="44">
        <v>448.70499999999998</v>
      </c>
      <c r="M16" s="42">
        <v>1</v>
      </c>
      <c r="N16" s="46">
        <v>4.0300000000000002E-2</v>
      </c>
      <c r="O16" s="44">
        <v>448.70499999999998</v>
      </c>
      <c r="P16" s="45">
        <v>0.31524280197789101</v>
      </c>
      <c r="Q16" s="45">
        <v>1.9370640467408301E-2</v>
      </c>
    </row>
    <row r="17" spans="1:17" x14ac:dyDescent="0.25">
      <c r="A17">
        <v>1182</v>
      </c>
      <c r="B17">
        <v>14769</v>
      </c>
      <c r="C17" t="s">
        <v>82</v>
      </c>
      <c r="D17" t="s">
        <v>83</v>
      </c>
      <c r="E17" s="10" t="s">
        <v>69</v>
      </c>
      <c r="F17" t="s">
        <v>80</v>
      </c>
      <c r="G17" t="s">
        <v>71</v>
      </c>
      <c r="H17" t="s">
        <v>72</v>
      </c>
      <c r="I17" t="s">
        <v>73</v>
      </c>
      <c r="J17" t="s">
        <v>74</v>
      </c>
      <c r="K17" t="s">
        <v>81</v>
      </c>
      <c r="L17" s="44">
        <v>801.79200000000003</v>
      </c>
      <c r="M17" s="42">
        <v>1</v>
      </c>
      <c r="N17" s="46">
        <v>4.0300000000000002E-2</v>
      </c>
      <c r="O17" s="44">
        <v>801.79200000000003</v>
      </c>
      <c r="P17" s="45">
        <v>0.56330769634535804</v>
      </c>
      <c r="Q17" s="45">
        <v>3.4613417943148497E-2</v>
      </c>
    </row>
    <row r="18" spans="1:17" x14ac:dyDescent="0.25">
      <c r="A18">
        <v>12904</v>
      </c>
      <c r="B18">
        <v>12905</v>
      </c>
      <c r="C18" t="s">
        <v>82</v>
      </c>
      <c r="D18" t="s">
        <v>83</v>
      </c>
      <c r="E18" s="10" t="s">
        <v>69</v>
      </c>
      <c r="F18" t="s">
        <v>80</v>
      </c>
      <c r="G18" t="s">
        <v>71</v>
      </c>
      <c r="H18" t="s">
        <v>72</v>
      </c>
      <c r="I18" t="s">
        <v>73</v>
      </c>
      <c r="J18" t="s">
        <v>74</v>
      </c>
      <c r="K18" t="s">
        <v>81</v>
      </c>
      <c r="L18" s="44">
        <v>1065.6099999999999</v>
      </c>
      <c r="M18" s="42">
        <v>1</v>
      </c>
      <c r="N18" s="46">
        <v>4.0300000000000002E-2</v>
      </c>
      <c r="O18" s="44">
        <v>1065.6099999999999</v>
      </c>
      <c r="P18" s="45">
        <v>0.20038436497470999</v>
      </c>
      <c r="Q18" s="45">
        <v>2.49124746605018E-2</v>
      </c>
    </row>
    <row r="19" spans="1:17" x14ac:dyDescent="0.25">
      <c r="A19">
        <v>12904</v>
      </c>
      <c r="B19">
        <v>12905</v>
      </c>
      <c r="C19" t="s">
        <v>67</v>
      </c>
      <c r="D19" t="s">
        <v>68</v>
      </c>
      <c r="E19" s="10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s="44">
        <v>490.73700000000002</v>
      </c>
      <c r="M19" s="42">
        <v>3.718</v>
      </c>
      <c r="N19" s="46">
        <v>3.3300000000000003E-2</v>
      </c>
      <c r="O19" s="44">
        <v>1824.5619999999999</v>
      </c>
      <c r="P19" s="45">
        <v>0.34310269389564402</v>
      </c>
      <c r="Q19" s="45">
        <v>4.2655709035502302E-2</v>
      </c>
    </row>
    <row r="20" spans="1:17" x14ac:dyDescent="0.25">
      <c r="A20">
        <v>12904</v>
      </c>
      <c r="B20">
        <v>12905</v>
      </c>
      <c r="C20" t="s">
        <v>67</v>
      </c>
      <c r="D20" t="s">
        <v>68</v>
      </c>
      <c r="E20" s="1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76</v>
      </c>
      <c r="L20" s="44">
        <v>0</v>
      </c>
      <c r="M20" s="42">
        <v>2.589</v>
      </c>
      <c r="N20" s="46">
        <v>0</v>
      </c>
      <c r="O20" s="44">
        <v>1E-3</v>
      </c>
      <c r="P20" s="45">
        <v>1.16844660211765E-7</v>
      </c>
      <c r="Q20" s="45">
        <v>1.4526530735608599E-8</v>
      </c>
    </row>
    <row r="21" spans="1:17" x14ac:dyDescent="0.25">
      <c r="A21">
        <v>12904</v>
      </c>
      <c r="B21">
        <v>12905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77</v>
      </c>
      <c r="L21" s="44">
        <v>0.245</v>
      </c>
      <c r="M21" s="42">
        <v>4.0218999999999996</v>
      </c>
      <c r="N21" s="46">
        <v>0</v>
      </c>
      <c r="O21" s="44">
        <v>0.98699999999999999</v>
      </c>
      <c r="P21" s="45">
        <v>1.8555937809082101E-4</v>
      </c>
      <c r="Q21" s="45">
        <v>2.30693812128979E-5</v>
      </c>
    </row>
    <row r="22" spans="1:17" x14ac:dyDescent="0.25">
      <c r="A22">
        <v>12904</v>
      </c>
      <c r="B22">
        <v>12905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78</v>
      </c>
      <c r="L22" s="44">
        <v>251.41399999999999</v>
      </c>
      <c r="M22" s="42">
        <v>2.4892999999999998E-2</v>
      </c>
      <c r="N22" s="46">
        <v>0</v>
      </c>
      <c r="O22" s="44">
        <v>6.258</v>
      </c>
      <c r="P22" s="45">
        <v>1.1768809519925199E-3</v>
      </c>
      <c r="Q22" s="45">
        <v>1.4631389479234601E-4</v>
      </c>
    </row>
    <row r="23" spans="1:17" x14ac:dyDescent="0.25">
      <c r="A23">
        <v>12904</v>
      </c>
      <c r="B23">
        <v>12905</v>
      </c>
      <c r="C23" t="s">
        <v>67</v>
      </c>
      <c r="D23" t="s">
        <v>68</v>
      </c>
      <c r="E23" t="s">
        <v>69</v>
      </c>
      <c r="F23" t="s">
        <v>70</v>
      </c>
      <c r="G23" t="s">
        <v>71</v>
      </c>
      <c r="H23" t="s">
        <v>72</v>
      </c>
      <c r="I23" t="s">
        <v>73</v>
      </c>
      <c r="J23" t="s">
        <v>74</v>
      </c>
      <c r="K23" t="s">
        <v>79</v>
      </c>
      <c r="L23" s="44">
        <v>0.49299999999999999</v>
      </c>
      <c r="M23" s="42">
        <v>4.8108000000000004</v>
      </c>
      <c r="N23" s="46">
        <v>0</v>
      </c>
      <c r="O23" s="44">
        <v>2.3730000000000002</v>
      </c>
      <c r="P23" s="45">
        <v>4.4619382840551102E-4</v>
      </c>
      <c r="Q23" s="45">
        <v>5.5472354069278102E-5</v>
      </c>
    </row>
    <row r="24" spans="1:17" x14ac:dyDescent="0.25">
      <c r="A24">
        <v>12904</v>
      </c>
      <c r="B24">
        <v>12905</v>
      </c>
      <c r="C24" t="s">
        <v>67</v>
      </c>
      <c r="D24" t="s">
        <v>68</v>
      </c>
      <c r="E24" t="s">
        <v>69</v>
      </c>
      <c r="F24" t="s">
        <v>80</v>
      </c>
      <c r="G24" t="s">
        <v>71</v>
      </c>
      <c r="H24" t="s">
        <v>72</v>
      </c>
      <c r="I24" t="s">
        <v>73</v>
      </c>
      <c r="J24" t="s">
        <v>74</v>
      </c>
      <c r="K24" t="s">
        <v>81</v>
      </c>
      <c r="L24" s="44">
        <v>2251.7689999999998</v>
      </c>
      <c r="M24" s="42">
        <v>1</v>
      </c>
      <c r="N24" s="46">
        <v>4.0300000000000002E-2</v>
      </c>
      <c r="O24" s="44">
        <v>2251.7689999999998</v>
      </c>
      <c r="P24" s="45">
        <v>0.423437573753497</v>
      </c>
      <c r="Q24" s="45">
        <v>5.2643218086249798E-2</v>
      </c>
    </row>
    <row r="25" spans="1:17" x14ac:dyDescent="0.25">
      <c r="A25">
        <v>12904</v>
      </c>
      <c r="B25">
        <v>12905</v>
      </c>
      <c r="C25" t="s">
        <v>82</v>
      </c>
      <c r="D25" t="s">
        <v>83</v>
      </c>
      <c r="E25" t="s">
        <v>69</v>
      </c>
      <c r="F25" t="s">
        <v>80</v>
      </c>
      <c r="G25" t="s">
        <v>71</v>
      </c>
      <c r="H25" t="s">
        <v>72</v>
      </c>
      <c r="I25" t="s">
        <v>73</v>
      </c>
      <c r="J25" t="s">
        <v>74</v>
      </c>
      <c r="K25" t="s">
        <v>81</v>
      </c>
      <c r="L25" s="44">
        <v>166.27099999999999</v>
      </c>
      <c r="M25" s="42">
        <v>1</v>
      </c>
      <c r="N25" s="46">
        <v>0</v>
      </c>
      <c r="O25" s="44">
        <v>166.27099999999999</v>
      </c>
      <c r="P25" s="45">
        <v>3.1266616372998997E-2</v>
      </c>
      <c r="Q25" s="45">
        <v>3.8871734738899098E-3</v>
      </c>
    </row>
    <row r="26" spans="1:17" x14ac:dyDescent="0.25">
      <c r="A26">
        <v>12904</v>
      </c>
      <c r="B26">
        <v>13680</v>
      </c>
      <c r="C26" t="s">
        <v>82</v>
      </c>
      <c r="D26" t="s">
        <v>83</v>
      </c>
      <c r="E26" t="s">
        <v>69</v>
      </c>
      <c r="F26" t="s">
        <v>80</v>
      </c>
      <c r="G26" t="s">
        <v>71</v>
      </c>
      <c r="H26" t="s">
        <v>72</v>
      </c>
      <c r="I26" t="s">
        <v>73</v>
      </c>
      <c r="J26" t="s">
        <v>74</v>
      </c>
      <c r="K26" t="s">
        <v>81</v>
      </c>
      <c r="L26" s="44">
        <v>767.16700000000003</v>
      </c>
      <c r="M26" s="42">
        <v>1</v>
      </c>
      <c r="N26" s="46">
        <v>4.0300000000000002E-2</v>
      </c>
      <c r="O26" s="44">
        <v>767.16700000000003</v>
      </c>
      <c r="P26" s="45">
        <v>0.39274352484962599</v>
      </c>
      <c r="Q26" s="45">
        <v>1.64996777940681E-2</v>
      </c>
    </row>
    <row r="27" spans="1:17" x14ac:dyDescent="0.25">
      <c r="A27">
        <v>12904</v>
      </c>
      <c r="B27">
        <v>13680</v>
      </c>
      <c r="C27" t="s">
        <v>67</v>
      </c>
      <c r="D27" t="s">
        <v>68</v>
      </c>
      <c r="E27" t="s">
        <v>69</v>
      </c>
      <c r="F27" t="s">
        <v>70</v>
      </c>
      <c r="G27" t="s">
        <v>71</v>
      </c>
      <c r="H27" t="s">
        <v>72</v>
      </c>
      <c r="I27" t="s">
        <v>73</v>
      </c>
      <c r="J27" t="s">
        <v>74</v>
      </c>
      <c r="K27" t="s">
        <v>75</v>
      </c>
      <c r="L27" s="44">
        <v>84.866</v>
      </c>
      <c r="M27" s="42">
        <v>3.718</v>
      </c>
      <c r="N27" s="46">
        <v>3.3300000000000003E-2</v>
      </c>
      <c r="O27" s="44">
        <v>315.53100000000001</v>
      </c>
      <c r="P27" s="45">
        <v>0.16153308534839</v>
      </c>
      <c r="Q27" s="45">
        <v>6.7862197406070796E-3</v>
      </c>
    </row>
    <row r="28" spans="1:17" x14ac:dyDescent="0.25">
      <c r="A28">
        <v>12904</v>
      </c>
      <c r="B28">
        <v>13680</v>
      </c>
      <c r="C28" t="s">
        <v>67</v>
      </c>
      <c r="D28" t="s">
        <v>68</v>
      </c>
      <c r="E28" t="s">
        <v>69</v>
      </c>
      <c r="F28" t="s">
        <v>70</v>
      </c>
      <c r="G28" t="s">
        <v>71</v>
      </c>
      <c r="H28" t="s">
        <v>72</v>
      </c>
      <c r="I28" t="s">
        <v>73</v>
      </c>
      <c r="J28" t="s">
        <v>74</v>
      </c>
      <c r="K28" t="s">
        <v>77</v>
      </c>
      <c r="L28" s="44">
        <v>0.61099999999999999</v>
      </c>
      <c r="M28" s="42">
        <v>4.0218999999999996</v>
      </c>
      <c r="N28" s="46">
        <v>0</v>
      </c>
      <c r="O28" s="44">
        <v>2.456</v>
      </c>
      <c r="P28" s="45">
        <v>1.2571470548992901E-3</v>
      </c>
      <c r="Q28" s="45">
        <v>5.2814419673861898E-5</v>
      </c>
    </row>
    <row r="29" spans="1:17" x14ac:dyDescent="0.25">
      <c r="A29">
        <v>12904</v>
      </c>
      <c r="B29">
        <v>13680</v>
      </c>
      <c r="C29" t="s">
        <v>67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  <c r="J29" t="s">
        <v>74</v>
      </c>
      <c r="K29" t="s">
        <v>78</v>
      </c>
      <c r="L29" s="44">
        <v>730.35299999999995</v>
      </c>
      <c r="M29" s="42">
        <v>2.4892999999999998E-2</v>
      </c>
      <c r="N29" s="46">
        <v>0</v>
      </c>
      <c r="O29" s="44">
        <v>18.181000000000001</v>
      </c>
      <c r="P29" s="45">
        <v>9.30742552115469E-3</v>
      </c>
      <c r="Q29" s="45">
        <v>3.9101732421976401E-4</v>
      </c>
    </row>
    <row r="30" spans="1:17" x14ac:dyDescent="0.25">
      <c r="A30">
        <v>12904</v>
      </c>
      <c r="B30">
        <v>13680</v>
      </c>
      <c r="C30" t="s">
        <v>67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  <c r="I30" t="s">
        <v>73</v>
      </c>
      <c r="J30" t="s">
        <v>74</v>
      </c>
      <c r="K30" t="s">
        <v>79</v>
      </c>
      <c r="L30" s="44">
        <v>0.97699999999999998</v>
      </c>
      <c r="M30" s="42">
        <v>4.8108000000000004</v>
      </c>
      <c r="N30" s="46">
        <v>0</v>
      </c>
      <c r="O30" s="44">
        <v>4.7</v>
      </c>
      <c r="P30" s="45">
        <v>2.4063203498461499E-3</v>
      </c>
      <c r="Q30" s="45">
        <v>1.01092718096301E-4</v>
      </c>
    </row>
    <row r="31" spans="1:17" x14ac:dyDescent="0.25">
      <c r="A31">
        <v>12904</v>
      </c>
      <c r="B31">
        <v>13680</v>
      </c>
      <c r="C31" t="s">
        <v>67</v>
      </c>
      <c r="D31" t="s">
        <v>68</v>
      </c>
      <c r="E31" t="s">
        <v>69</v>
      </c>
      <c r="F31" t="s">
        <v>80</v>
      </c>
      <c r="G31" t="s">
        <v>71</v>
      </c>
      <c r="H31" t="s">
        <v>72</v>
      </c>
      <c r="I31" t="s">
        <v>73</v>
      </c>
      <c r="J31" t="s">
        <v>74</v>
      </c>
      <c r="K31" t="s">
        <v>81</v>
      </c>
      <c r="L31" s="44">
        <v>845.31799999999998</v>
      </c>
      <c r="M31" s="42">
        <v>1</v>
      </c>
      <c r="N31" s="46">
        <v>4.0300000000000002E-2</v>
      </c>
      <c r="O31" s="44">
        <v>845.31799999999998</v>
      </c>
      <c r="P31" s="45">
        <v>0.43275249687608403</v>
      </c>
      <c r="Q31" s="45">
        <v>1.81805079173941E-2</v>
      </c>
    </row>
    <row r="32" spans="1:17" x14ac:dyDescent="0.25">
      <c r="A32">
        <v>424</v>
      </c>
      <c r="B32">
        <v>7228</v>
      </c>
      <c r="C32" t="s">
        <v>67</v>
      </c>
      <c r="D32" t="s">
        <v>68</v>
      </c>
      <c r="E32" t="s">
        <v>69</v>
      </c>
      <c r="F32" t="s">
        <v>70</v>
      </c>
      <c r="G32" t="s">
        <v>71</v>
      </c>
      <c r="H32" t="s">
        <v>72</v>
      </c>
      <c r="I32" t="s">
        <v>73</v>
      </c>
      <c r="J32" t="s">
        <v>74</v>
      </c>
      <c r="K32" t="s">
        <v>84</v>
      </c>
      <c r="L32" s="44">
        <v>0.61199999999999999</v>
      </c>
      <c r="M32" s="42">
        <v>2.3239999999999998</v>
      </c>
      <c r="N32" s="46">
        <v>0</v>
      </c>
      <c r="O32" s="44">
        <v>1.4219999999999999</v>
      </c>
      <c r="P32" s="45">
        <v>2.5315657125339498E-5</v>
      </c>
      <c r="Q32" s="45">
        <v>5.7950144407638603E-7</v>
      </c>
    </row>
    <row r="33" spans="1:17" x14ac:dyDescent="0.25">
      <c r="A33">
        <v>424</v>
      </c>
      <c r="B33">
        <v>7228</v>
      </c>
      <c r="C33" t="s">
        <v>67</v>
      </c>
      <c r="D33" t="s">
        <v>68</v>
      </c>
      <c r="E33" t="s">
        <v>69</v>
      </c>
      <c r="F33" t="s">
        <v>70</v>
      </c>
      <c r="G33" t="s">
        <v>71</v>
      </c>
      <c r="H33" t="s">
        <v>72</v>
      </c>
      <c r="I33" t="s">
        <v>73</v>
      </c>
      <c r="J33" t="s">
        <v>74</v>
      </c>
      <c r="K33" t="s">
        <v>75</v>
      </c>
      <c r="L33" s="44">
        <v>6215.6019999999999</v>
      </c>
      <c r="M33" s="42">
        <v>3.718</v>
      </c>
      <c r="N33" s="46">
        <v>3.3300000000000003E-2</v>
      </c>
      <c r="O33" s="44">
        <v>23109.608</v>
      </c>
      <c r="P33" s="45">
        <v>0.41133364951213602</v>
      </c>
      <c r="Q33" s="45">
        <v>9.4158505429787903E-3</v>
      </c>
    </row>
    <row r="34" spans="1:17" x14ac:dyDescent="0.25">
      <c r="A34">
        <v>424</v>
      </c>
      <c r="B34">
        <v>7228</v>
      </c>
      <c r="C34" t="s">
        <v>67</v>
      </c>
      <c r="D34" t="s">
        <v>68</v>
      </c>
      <c r="E34" t="s">
        <v>69</v>
      </c>
      <c r="F34" t="s">
        <v>70</v>
      </c>
      <c r="G34" t="s">
        <v>71</v>
      </c>
      <c r="H34" t="s">
        <v>72</v>
      </c>
      <c r="I34" t="s">
        <v>73</v>
      </c>
      <c r="J34" t="s">
        <v>74</v>
      </c>
      <c r="K34" t="s">
        <v>76</v>
      </c>
      <c r="L34" s="44">
        <v>0</v>
      </c>
      <c r="M34" s="42">
        <v>2.589</v>
      </c>
      <c r="N34" s="46">
        <v>0</v>
      </c>
      <c r="O34" s="44">
        <v>1E-3</v>
      </c>
      <c r="P34" s="45">
        <v>1.5667966221434299E-8</v>
      </c>
      <c r="Q34" s="45">
        <v>3.5865587079598498E-10</v>
      </c>
    </row>
    <row r="35" spans="1:17" x14ac:dyDescent="0.25">
      <c r="A35">
        <v>424</v>
      </c>
      <c r="B35">
        <v>7228</v>
      </c>
      <c r="C35" t="s">
        <v>67</v>
      </c>
      <c r="D35" t="s">
        <v>68</v>
      </c>
      <c r="E35" t="s">
        <v>69</v>
      </c>
      <c r="F35" t="s">
        <v>70</v>
      </c>
      <c r="G35" t="s">
        <v>71</v>
      </c>
      <c r="H35" t="s">
        <v>72</v>
      </c>
      <c r="I35" t="s">
        <v>73</v>
      </c>
      <c r="J35" t="s">
        <v>74</v>
      </c>
      <c r="K35" t="s">
        <v>77</v>
      </c>
      <c r="L35" s="44">
        <v>57.923999999999999</v>
      </c>
      <c r="M35" s="42">
        <v>4.0218999999999996</v>
      </c>
      <c r="N35" s="46">
        <v>0</v>
      </c>
      <c r="O35" s="44">
        <v>232.964</v>
      </c>
      <c r="P35" s="45">
        <v>4.1465914435770404E-3</v>
      </c>
      <c r="Q35" s="45">
        <v>9.4919745422782803E-5</v>
      </c>
    </row>
    <row r="36" spans="1:17" x14ac:dyDescent="0.25">
      <c r="A36">
        <v>424</v>
      </c>
      <c r="B36">
        <v>7228</v>
      </c>
      <c r="C36" t="s">
        <v>67</v>
      </c>
      <c r="D36" t="s">
        <v>68</v>
      </c>
      <c r="E36" t="s">
        <v>69</v>
      </c>
      <c r="F36" t="s">
        <v>70</v>
      </c>
      <c r="G36" t="s">
        <v>71</v>
      </c>
      <c r="H36" t="s">
        <v>72</v>
      </c>
      <c r="I36" t="s">
        <v>73</v>
      </c>
      <c r="J36" t="s">
        <v>74</v>
      </c>
      <c r="K36" t="s">
        <v>78</v>
      </c>
      <c r="L36" s="44">
        <v>8117.7979999999998</v>
      </c>
      <c r="M36" s="42">
        <v>2.4892999999999998E-2</v>
      </c>
      <c r="N36" s="46">
        <v>0</v>
      </c>
      <c r="O36" s="44">
        <v>202.07599999999999</v>
      </c>
      <c r="P36" s="45">
        <v>3.5968070798781402E-3</v>
      </c>
      <c r="Q36" s="45">
        <v>8.2334615551702696E-5</v>
      </c>
    </row>
    <row r="37" spans="1:17" x14ac:dyDescent="0.25">
      <c r="A37">
        <v>424</v>
      </c>
      <c r="B37">
        <v>7228</v>
      </c>
      <c r="C37" t="s">
        <v>67</v>
      </c>
      <c r="D37" t="s">
        <v>68</v>
      </c>
      <c r="E37" t="s">
        <v>69</v>
      </c>
      <c r="F37" t="s">
        <v>70</v>
      </c>
      <c r="G37" t="s">
        <v>85</v>
      </c>
      <c r="H37" t="s">
        <v>72</v>
      </c>
      <c r="I37" t="s">
        <v>73</v>
      </c>
      <c r="J37" t="s">
        <v>74</v>
      </c>
      <c r="K37" t="s">
        <v>86</v>
      </c>
      <c r="L37" s="44">
        <v>0</v>
      </c>
      <c r="M37" s="42">
        <v>0.35220000000000001</v>
      </c>
      <c r="N37" s="46">
        <v>0</v>
      </c>
      <c r="O37" s="44">
        <v>0</v>
      </c>
      <c r="P37" s="45">
        <v>6.8957847380411205E-10</v>
      </c>
      <c r="Q37" s="45">
        <v>1.5785160914250399E-11</v>
      </c>
    </row>
    <row r="38" spans="1:17" x14ac:dyDescent="0.25">
      <c r="A38">
        <v>424</v>
      </c>
      <c r="B38">
        <v>7228</v>
      </c>
      <c r="C38" t="s">
        <v>67</v>
      </c>
      <c r="D38" t="s">
        <v>68</v>
      </c>
      <c r="E38" t="s">
        <v>69</v>
      </c>
      <c r="F38" t="s">
        <v>70</v>
      </c>
      <c r="G38" t="s">
        <v>71</v>
      </c>
      <c r="H38" t="s">
        <v>72</v>
      </c>
      <c r="I38" t="s">
        <v>73</v>
      </c>
      <c r="J38" t="s">
        <v>74</v>
      </c>
      <c r="K38" t="s">
        <v>79</v>
      </c>
      <c r="L38" s="44">
        <v>92.558999999999997</v>
      </c>
      <c r="M38" s="42">
        <v>4.8108000000000004</v>
      </c>
      <c r="N38" s="46">
        <v>0</v>
      </c>
      <c r="O38" s="44">
        <v>445.28500000000003</v>
      </c>
      <c r="P38" s="45">
        <v>7.9257374155736592E-3</v>
      </c>
      <c r="Q38" s="45">
        <v>1.8142828586100099E-4</v>
      </c>
    </row>
    <row r="39" spans="1:17" x14ac:dyDescent="0.25">
      <c r="A39">
        <v>424</v>
      </c>
      <c r="B39">
        <v>7228</v>
      </c>
      <c r="C39" t="s">
        <v>67</v>
      </c>
      <c r="D39" t="s">
        <v>68</v>
      </c>
      <c r="E39" t="s">
        <v>69</v>
      </c>
      <c r="F39" t="s">
        <v>80</v>
      </c>
      <c r="G39" t="s">
        <v>71</v>
      </c>
      <c r="H39" t="s">
        <v>72</v>
      </c>
      <c r="I39" t="s">
        <v>73</v>
      </c>
      <c r="J39" t="s">
        <v>74</v>
      </c>
      <c r="K39" t="s">
        <v>81</v>
      </c>
      <c r="L39" s="44">
        <v>31442.891</v>
      </c>
      <c r="M39" s="42">
        <v>1</v>
      </c>
      <c r="N39" s="46">
        <v>4.0300000000000002E-2</v>
      </c>
      <c r="O39" s="44">
        <v>31442.891</v>
      </c>
      <c r="P39" s="45">
        <v>0.55965981448105395</v>
      </c>
      <c r="Q39" s="45">
        <v>1.28111891023624E-2</v>
      </c>
    </row>
    <row r="40" spans="1:17" x14ac:dyDescent="0.25">
      <c r="A40">
        <v>424</v>
      </c>
      <c r="B40">
        <v>7228</v>
      </c>
      <c r="C40" t="s">
        <v>82</v>
      </c>
      <c r="D40" t="s">
        <v>83</v>
      </c>
      <c r="E40" t="s">
        <v>69</v>
      </c>
      <c r="F40" t="s">
        <v>80</v>
      </c>
      <c r="G40" t="s">
        <v>71</v>
      </c>
      <c r="H40" t="s">
        <v>72</v>
      </c>
      <c r="I40" t="s">
        <v>73</v>
      </c>
      <c r="J40" t="s">
        <v>74</v>
      </c>
      <c r="K40" t="s">
        <v>81</v>
      </c>
      <c r="L40" s="44">
        <v>1.2999999999999999E-2</v>
      </c>
      <c r="M40" s="42">
        <v>1</v>
      </c>
      <c r="N40" s="46">
        <v>4.0300000000000002E-2</v>
      </c>
      <c r="O40" s="44">
        <v>1.2999999999999999E-2</v>
      </c>
      <c r="P40" s="45">
        <v>2.3085624916729501E-7</v>
      </c>
      <c r="Q40" s="45">
        <v>5.2845371188329797E-9</v>
      </c>
    </row>
    <row r="41" spans="1:17" x14ac:dyDescent="0.25">
      <c r="A41">
        <v>424</v>
      </c>
      <c r="B41">
        <v>7228</v>
      </c>
      <c r="C41" t="s">
        <v>82</v>
      </c>
      <c r="D41" t="s">
        <v>83</v>
      </c>
      <c r="E41" t="s">
        <v>69</v>
      </c>
      <c r="F41" t="s">
        <v>80</v>
      </c>
      <c r="G41" t="s">
        <v>71</v>
      </c>
      <c r="H41" t="s">
        <v>72</v>
      </c>
      <c r="I41" t="s">
        <v>73</v>
      </c>
      <c r="J41" t="s">
        <v>74</v>
      </c>
      <c r="K41" t="s">
        <v>81</v>
      </c>
      <c r="L41" s="44">
        <v>1135.2460000000001</v>
      </c>
      <c r="M41" s="42">
        <v>1</v>
      </c>
      <c r="N41" s="46">
        <v>4.0300000000000002E-2</v>
      </c>
      <c r="O41" s="44">
        <v>1135.2460000000001</v>
      </c>
      <c r="P41" s="45">
        <v>2.0206530840987801E-2</v>
      </c>
      <c r="Q41" s="45">
        <v>4.6254828559854798E-4</v>
      </c>
    </row>
    <row r="42" spans="1:17" x14ac:dyDescent="0.25">
      <c r="A42">
        <v>424</v>
      </c>
      <c r="B42">
        <v>7228</v>
      </c>
      <c r="C42" t="s">
        <v>82</v>
      </c>
      <c r="D42" t="s">
        <v>83</v>
      </c>
      <c r="E42" t="s">
        <v>69</v>
      </c>
      <c r="F42" t="s">
        <v>80</v>
      </c>
      <c r="G42" t="s">
        <v>71</v>
      </c>
      <c r="H42" t="s">
        <v>72</v>
      </c>
      <c r="I42" t="s">
        <v>73</v>
      </c>
      <c r="J42" t="s">
        <v>74</v>
      </c>
      <c r="K42" t="s">
        <v>81</v>
      </c>
      <c r="L42" s="44">
        <v>-391.78500000000003</v>
      </c>
      <c r="M42" s="42">
        <v>1</v>
      </c>
      <c r="N42" s="46">
        <v>4.0300000000000002E-2</v>
      </c>
      <c r="O42" s="44">
        <v>-391.78500000000003</v>
      </c>
      <c r="P42" s="45">
        <v>-6.9734777444686704E-3</v>
      </c>
      <c r="Q42" s="45">
        <v>-1.5963008201391599E-4</v>
      </c>
    </row>
    <row r="43" spans="1:17" x14ac:dyDescent="0.25">
      <c r="A43">
        <v>424</v>
      </c>
      <c r="B43">
        <v>7228</v>
      </c>
      <c r="C43" t="s">
        <v>82</v>
      </c>
      <c r="D43" t="s">
        <v>83</v>
      </c>
      <c r="E43" t="s">
        <v>69</v>
      </c>
      <c r="F43" t="s">
        <v>80</v>
      </c>
      <c r="G43" t="s">
        <v>71</v>
      </c>
      <c r="H43" t="s">
        <v>72</v>
      </c>
      <c r="I43" t="s">
        <v>73</v>
      </c>
      <c r="J43" t="s">
        <v>74</v>
      </c>
      <c r="K43" t="s">
        <v>81</v>
      </c>
      <c r="L43" s="44">
        <v>4.4260000000000002</v>
      </c>
      <c r="M43" s="42">
        <v>1</v>
      </c>
      <c r="N43" s="46">
        <v>4.0300000000000002E-2</v>
      </c>
      <c r="O43" s="44">
        <v>4.4260000000000002</v>
      </c>
      <c r="P43" s="45">
        <v>7.8784100342269104E-5</v>
      </c>
      <c r="Q43" s="45">
        <v>1.80344913397114E-6</v>
      </c>
    </row>
    <row r="44" spans="1:17" x14ac:dyDescent="0.25">
      <c r="A44">
        <v>424</v>
      </c>
      <c r="B44">
        <v>7229</v>
      </c>
      <c r="C44" t="s">
        <v>67</v>
      </c>
      <c r="D44" t="s">
        <v>68</v>
      </c>
      <c r="E44" t="s">
        <v>69</v>
      </c>
      <c r="F44" t="s">
        <v>70</v>
      </c>
      <c r="G44" t="s">
        <v>71</v>
      </c>
      <c r="H44" t="s">
        <v>72</v>
      </c>
      <c r="I44" t="s">
        <v>73</v>
      </c>
      <c r="J44" t="s">
        <v>74</v>
      </c>
      <c r="K44" t="s">
        <v>75</v>
      </c>
      <c r="L44" s="44">
        <v>1238.1659999999999</v>
      </c>
      <c r="M44" s="42">
        <v>3.718</v>
      </c>
      <c r="N44" s="46">
        <v>3.3300000000000003E-2</v>
      </c>
      <c r="O44" s="44">
        <v>4603.5</v>
      </c>
      <c r="P44" s="45">
        <v>0.80338697057616704</v>
      </c>
      <c r="Q44" s="45">
        <v>3.0641480308604901E-2</v>
      </c>
    </row>
    <row r="45" spans="1:17" x14ac:dyDescent="0.25">
      <c r="A45">
        <v>424</v>
      </c>
      <c r="B45">
        <v>7229</v>
      </c>
      <c r="C45" t="s">
        <v>67</v>
      </c>
      <c r="D45" t="s">
        <v>68</v>
      </c>
      <c r="E45" t="s">
        <v>69</v>
      </c>
      <c r="F45" t="s">
        <v>70</v>
      </c>
      <c r="G45" t="s">
        <v>71</v>
      </c>
      <c r="H45" t="s">
        <v>72</v>
      </c>
      <c r="I45" t="s">
        <v>73</v>
      </c>
      <c r="J45" t="s">
        <v>74</v>
      </c>
      <c r="K45" t="s">
        <v>87</v>
      </c>
      <c r="L45" s="44">
        <v>0</v>
      </c>
      <c r="M45" s="42">
        <v>0.47760000000000002</v>
      </c>
      <c r="N45" s="46">
        <v>0</v>
      </c>
      <c r="O45" s="44">
        <v>0</v>
      </c>
      <c r="P45" s="45">
        <v>3.3339639794682601E-9</v>
      </c>
      <c r="Q45" s="45">
        <v>1.27158636333385E-10</v>
      </c>
    </row>
    <row r="46" spans="1:17" x14ac:dyDescent="0.25">
      <c r="A46">
        <v>424</v>
      </c>
      <c r="B46">
        <v>7229</v>
      </c>
      <c r="C46" t="s">
        <v>67</v>
      </c>
      <c r="D46" t="s">
        <v>68</v>
      </c>
      <c r="E46" t="s">
        <v>69</v>
      </c>
      <c r="F46" t="s">
        <v>70</v>
      </c>
      <c r="G46" t="s">
        <v>71</v>
      </c>
      <c r="H46" t="s">
        <v>72</v>
      </c>
      <c r="I46" t="s">
        <v>73</v>
      </c>
      <c r="J46" t="s">
        <v>74</v>
      </c>
      <c r="K46" t="s">
        <v>76</v>
      </c>
      <c r="L46" s="44">
        <v>0</v>
      </c>
      <c r="M46" s="42">
        <v>2.589</v>
      </c>
      <c r="N46" s="46">
        <v>0</v>
      </c>
      <c r="O46" s="44">
        <v>0</v>
      </c>
      <c r="P46" s="45">
        <v>4.0664098976962902E-8</v>
      </c>
      <c r="Q46" s="45">
        <v>1.5509439830424E-9</v>
      </c>
    </row>
    <row r="47" spans="1:17" x14ac:dyDescent="0.25">
      <c r="A47">
        <v>424</v>
      </c>
      <c r="B47">
        <v>7229</v>
      </c>
      <c r="C47" t="s">
        <v>67</v>
      </c>
      <c r="D47" t="s">
        <v>68</v>
      </c>
      <c r="E47" t="s">
        <v>69</v>
      </c>
      <c r="F47" t="s">
        <v>70</v>
      </c>
      <c r="G47" t="s">
        <v>71</v>
      </c>
      <c r="H47" t="s">
        <v>72</v>
      </c>
      <c r="I47" t="s">
        <v>73</v>
      </c>
      <c r="J47" t="s">
        <v>74</v>
      </c>
      <c r="K47" t="s">
        <v>77</v>
      </c>
      <c r="L47" s="44">
        <v>6.0209999999999999</v>
      </c>
      <c r="M47" s="42">
        <v>4.0218999999999996</v>
      </c>
      <c r="N47" s="46">
        <v>0</v>
      </c>
      <c r="O47" s="44">
        <v>24.216000000000001</v>
      </c>
      <c r="P47" s="45">
        <v>4.2260329875923102E-3</v>
      </c>
      <c r="Q47" s="45">
        <v>1.61182482807702E-4</v>
      </c>
    </row>
    <row r="48" spans="1:17" x14ac:dyDescent="0.25">
      <c r="A48">
        <v>424</v>
      </c>
      <c r="B48">
        <v>7229</v>
      </c>
      <c r="C48" t="s">
        <v>67</v>
      </c>
      <c r="D48" t="s">
        <v>68</v>
      </c>
      <c r="E48" t="s">
        <v>69</v>
      </c>
      <c r="F48" t="s">
        <v>70</v>
      </c>
      <c r="G48" t="s">
        <v>71</v>
      </c>
      <c r="H48" t="s">
        <v>72</v>
      </c>
      <c r="I48" t="s">
        <v>73</v>
      </c>
      <c r="J48" t="s">
        <v>74</v>
      </c>
      <c r="K48" t="s">
        <v>78</v>
      </c>
      <c r="L48" s="44">
        <v>497.49200000000002</v>
      </c>
      <c r="M48" s="42">
        <v>2.4892999999999998E-2</v>
      </c>
      <c r="N48" s="46">
        <v>0</v>
      </c>
      <c r="O48" s="44">
        <v>12.384</v>
      </c>
      <c r="P48" s="45">
        <v>2.1612266281874899E-3</v>
      </c>
      <c r="Q48" s="45">
        <v>8.2429994007179701E-5</v>
      </c>
    </row>
    <row r="49" spans="1:17" x14ac:dyDescent="0.25">
      <c r="A49">
        <v>424</v>
      </c>
      <c r="B49">
        <v>7229</v>
      </c>
      <c r="C49" t="s">
        <v>67</v>
      </c>
      <c r="D49" t="s">
        <v>68</v>
      </c>
      <c r="E49" t="s">
        <v>69</v>
      </c>
      <c r="F49" t="s">
        <v>70</v>
      </c>
      <c r="G49" t="s">
        <v>85</v>
      </c>
      <c r="H49" t="s">
        <v>72</v>
      </c>
      <c r="I49" t="s">
        <v>73</v>
      </c>
      <c r="J49" t="s">
        <v>74</v>
      </c>
      <c r="K49" t="s">
        <v>86</v>
      </c>
      <c r="L49" s="44">
        <v>14.944000000000001</v>
      </c>
      <c r="M49" s="42">
        <v>0.35220000000000001</v>
      </c>
      <c r="N49" s="46">
        <v>0</v>
      </c>
      <c r="O49" s="44">
        <v>5.2629999999999999</v>
      </c>
      <c r="P49" s="45">
        <v>9.1855958837038095E-4</v>
      </c>
      <c r="Q49" s="45">
        <v>3.5034207138243397E-5</v>
      </c>
    </row>
    <row r="50" spans="1:17" x14ac:dyDescent="0.25">
      <c r="A50">
        <v>424</v>
      </c>
      <c r="B50">
        <v>7229</v>
      </c>
      <c r="C50" t="s">
        <v>67</v>
      </c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73</v>
      </c>
      <c r="J50" t="s">
        <v>74</v>
      </c>
      <c r="K50" t="s">
        <v>79</v>
      </c>
      <c r="L50" s="44">
        <v>3.78</v>
      </c>
      <c r="M50" s="42">
        <v>4.8108000000000004</v>
      </c>
      <c r="N50" s="46">
        <v>0</v>
      </c>
      <c r="O50" s="44">
        <v>18.183</v>
      </c>
      <c r="P50" s="45">
        <v>3.1732922994376599E-3</v>
      </c>
      <c r="Q50" s="45">
        <v>1.21030558208995E-4</v>
      </c>
    </row>
    <row r="51" spans="1:17" x14ac:dyDescent="0.25">
      <c r="A51">
        <v>424</v>
      </c>
      <c r="B51">
        <v>7229</v>
      </c>
      <c r="C51" t="s">
        <v>67</v>
      </c>
      <c r="D51" t="s">
        <v>68</v>
      </c>
      <c r="E51" t="s">
        <v>69</v>
      </c>
      <c r="F51" t="s">
        <v>80</v>
      </c>
      <c r="G51" t="s">
        <v>71</v>
      </c>
      <c r="H51" t="s">
        <v>72</v>
      </c>
      <c r="I51" t="s">
        <v>73</v>
      </c>
      <c r="J51" t="s">
        <v>74</v>
      </c>
      <c r="K51" t="s">
        <v>81</v>
      </c>
      <c r="L51" s="44">
        <v>639.23500000000001</v>
      </c>
      <c r="M51" s="42">
        <v>1</v>
      </c>
      <c r="N51" s="46">
        <v>4.0300000000000002E-2</v>
      </c>
      <c r="O51" s="44">
        <v>639.23500000000001</v>
      </c>
      <c r="P51" s="45">
        <v>0.11155707867858899</v>
      </c>
      <c r="Q51" s="45">
        <v>4.2548288120281197E-3</v>
      </c>
    </row>
    <row r="52" spans="1:17" x14ac:dyDescent="0.25">
      <c r="A52">
        <v>424</v>
      </c>
      <c r="B52">
        <v>7229</v>
      </c>
      <c r="C52" t="s">
        <v>82</v>
      </c>
      <c r="D52" t="s">
        <v>83</v>
      </c>
      <c r="E52" t="s">
        <v>69</v>
      </c>
      <c r="F52" t="s">
        <v>80</v>
      </c>
      <c r="G52" t="s">
        <v>71</v>
      </c>
      <c r="H52" t="s">
        <v>72</v>
      </c>
      <c r="I52" t="s">
        <v>73</v>
      </c>
      <c r="J52" t="s">
        <v>74</v>
      </c>
      <c r="K52" t="s">
        <v>81</v>
      </c>
      <c r="L52" s="44">
        <v>427.334</v>
      </c>
      <c r="M52" s="42">
        <v>1</v>
      </c>
      <c r="N52" s="46">
        <v>4.0300000000000002E-2</v>
      </c>
      <c r="O52" s="44">
        <v>427.334</v>
      </c>
      <c r="P52" s="45">
        <v>7.4576795243593896E-2</v>
      </c>
      <c r="Q52" s="45">
        <v>2.84438693509879E-3</v>
      </c>
    </row>
    <row r="53" spans="1:17" x14ac:dyDescent="0.25">
      <c r="A53">
        <v>424</v>
      </c>
      <c r="B53">
        <v>9817</v>
      </c>
      <c r="C53" t="s">
        <v>67</v>
      </c>
      <c r="D53" t="s">
        <v>68</v>
      </c>
      <c r="E53" t="s">
        <v>69</v>
      </c>
      <c r="F53" t="s">
        <v>70</v>
      </c>
      <c r="G53" t="s">
        <v>71</v>
      </c>
      <c r="H53" t="s">
        <v>72</v>
      </c>
      <c r="I53" t="s">
        <v>73</v>
      </c>
      <c r="J53" t="s">
        <v>74</v>
      </c>
      <c r="K53" t="s">
        <v>75</v>
      </c>
      <c r="L53" s="44">
        <v>1.5089999999999999</v>
      </c>
      <c r="M53" s="42">
        <v>3.718</v>
      </c>
      <c r="N53" s="46">
        <v>3.3300000000000003E-2</v>
      </c>
      <c r="O53" s="44">
        <v>5.6120000000000001</v>
      </c>
      <c r="P53" s="45">
        <v>1.7473163657826099E-2</v>
      </c>
      <c r="Q53" s="45">
        <v>2.9177340341913901E-3</v>
      </c>
    </row>
    <row r="54" spans="1:17" x14ac:dyDescent="0.25">
      <c r="A54">
        <v>424</v>
      </c>
      <c r="B54">
        <v>9817</v>
      </c>
      <c r="C54" t="s">
        <v>67</v>
      </c>
      <c r="D54" t="s">
        <v>68</v>
      </c>
      <c r="E54" t="s">
        <v>69</v>
      </c>
      <c r="F54" t="s">
        <v>70</v>
      </c>
      <c r="G54" t="s">
        <v>71</v>
      </c>
      <c r="H54" t="s">
        <v>72</v>
      </c>
      <c r="I54" t="s">
        <v>73</v>
      </c>
      <c r="J54" t="s">
        <v>74</v>
      </c>
      <c r="K54" t="s">
        <v>77</v>
      </c>
      <c r="L54" s="44">
        <v>2.9000000000000001E-2</v>
      </c>
      <c r="M54" s="42">
        <v>4.0218999999999996</v>
      </c>
      <c r="N54" s="46">
        <v>0</v>
      </c>
      <c r="O54" s="44">
        <v>0.11799999999999999</v>
      </c>
      <c r="P54" s="45">
        <v>3.6743527043599201E-4</v>
      </c>
      <c r="Q54" s="45">
        <v>6.1355711816574201E-5</v>
      </c>
    </row>
    <row r="55" spans="1:17" x14ac:dyDescent="0.25">
      <c r="A55">
        <v>424</v>
      </c>
      <c r="B55">
        <v>9817</v>
      </c>
      <c r="C55" t="s">
        <v>67</v>
      </c>
      <c r="D55" t="s">
        <v>68</v>
      </c>
      <c r="E55" t="s">
        <v>69</v>
      </c>
      <c r="F55" t="s">
        <v>70</v>
      </c>
      <c r="G55" t="s">
        <v>71</v>
      </c>
      <c r="H55" t="s">
        <v>72</v>
      </c>
      <c r="I55" t="s">
        <v>73</v>
      </c>
      <c r="J55" t="s">
        <v>74</v>
      </c>
      <c r="K55" t="s">
        <v>79</v>
      </c>
      <c r="L55" s="44">
        <v>0.219</v>
      </c>
      <c r="M55" s="42">
        <v>4.8108000000000004</v>
      </c>
      <c r="N55" s="46">
        <v>0</v>
      </c>
      <c r="O55" s="44">
        <v>1.0529999999999999</v>
      </c>
      <c r="P55" s="45">
        <v>3.2796830902954402E-3</v>
      </c>
      <c r="Q55" s="45">
        <v>5.4765371407890597E-4</v>
      </c>
    </row>
    <row r="56" spans="1:17" x14ac:dyDescent="0.25">
      <c r="A56">
        <v>424</v>
      </c>
      <c r="B56">
        <v>9817</v>
      </c>
      <c r="C56" t="s">
        <v>67</v>
      </c>
      <c r="D56" t="s">
        <v>68</v>
      </c>
      <c r="E56" t="s">
        <v>69</v>
      </c>
      <c r="F56" t="s">
        <v>80</v>
      </c>
      <c r="G56" t="s">
        <v>71</v>
      </c>
      <c r="H56" t="s">
        <v>72</v>
      </c>
      <c r="I56" t="s">
        <v>73</v>
      </c>
      <c r="J56" t="s">
        <v>74</v>
      </c>
      <c r="K56" t="s">
        <v>81</v>
      </c>
      <c r="L56" s="44">
        <v>74.018000000000001</v>
      </c>
      <c r="M56" s="42">
        <v>1</v>
      </c>
      <c r="N56" s="46">
        <v>4.0300000000000002E-2</v>
      </c>
      <c r="O56" s="44">
        <v>74.018000000000001</v>
      </c>
      <c r="P56" s="45">
        <v>0.23047646064958999</v>
      </c>
      <c r="Q56" s="45">
        <v>3.84858189670816E-2</v>
      </c>
    </row>
    <row r="57" spans="1:17" x14ac:dyDescent="0.25">
      <c r="A57">
        <v>424</v>
      </c>
      <c r="B57">
        <v>9817</v>
      </c>
      <c r="C57" t="s">
        <v>82</v>
      </c>
      <c r="D57" t="s">
        <v>83</v>
      </c>
      <c r="E57" t="s">
        <v>69</v>
      </c>
      <c r="F57" t="s">
        <v>80</v>
      </c>
      <c r="G57" t="s">
        <v>71</v>
      </c>
      <c r="H57" t="s">
        <v>72</v>
      </c>
      <c r="I57" t="s">
        <v>73</v>
      </c>
      <c r="J57" t="s">
        <v>74</v>
      </c>
      <c r="K57" t="s">
        <v>81</v>
      </c>
      <c r="L57" s="44">
        <v>0.01</v>
      </c>
      <c r="M57" s="42">
        <v>1</v>
      </c>
      <c r="N57" s="46">
        <v>4.0300000000000002E-2</v>
      </c>
      <c r="O57" s="44">
        <v>0.01</v>
      </c>
      <c r="P57" s="45">
        <v>3.1449289504342703E-5</v>
      </c>
      <c r="Q57" s="45">
        <v>5.2515196523590202E-6</v>
      </c>
    </row>
    <row r="58" spans="1:17" x14ac:dyDescent="0.25">
      <c r="A58">
        <v>424</v>
      </c>
      <c r="B58">
        <v>9817</v>
      </c>
      <c r="C58" t="s">
        <v>82</v>
      </c>
      <c r="D58" t="s">
        <v>83</v>
      </c>
      <c r="E58" t="s">
        <v>69</v>
      </c>
      <c r="F58" t="s">
        <v>80</v>
      </c>
      <c r="G58" t="s">
        <v>71</v>
      </c>
      <c r="H58" t="s">
        <v>72</v>
      </c>
      <c r="I58" t="s">
        <v>73</v>
      </c>
      <c r="J58" t="s">
        <v>74</v>
      </c>
      <c r="K58" t="s">
        <v>81</v>
      </c>
      <c r="L58" s="44">
        <v>240.34100000000001</v>
      </c>
      <c r="M58" s="42">
        <v>1</v>
      </c>
      <c r="N58" s="46">
        <v>4.0300000000000002E-2</v>
      </c>
      <c r="O58" s="44">
        <v>240.34100000000001</v>
      </c>
      <c r="P58" s="45">
        <v>0.74837180804234804</v>
      </c>
      <c r="Q58" s="45">
        <v>0.12496591557857401</v>
      </c>
    </row>
    <row r="59" spans="1:17" x14ac:dyDescent="0.25">
      <c r="A59">
        <v>424</v>
      </c>
      <c r="B59">
        <v>15416</v>
      </c>
      <c r="C59" t="s">
        <v>82</v>
      </c>
      <c r="D59" t="s">
        <v>83</v>
      </c>
      <c r="E59" t="s">
        <v>69</v>
      </c>
      <c r="F59" t="s">
        <v>80</v>
      </c>
      <c r="G59" t="s">
        <v>71</v>
      </c>
      <c r="H59" t="s">
        <v>72</v>
      </c>
      <c r="I59" t="s">
        <v>73</v>
      </c>
      <c r="J59" t="s">
        <v>74</v>
      </c>
      <c r="K59" t="s">
        <v>81</v>
      </c>
      <c r="L59" s="44">
        <v>310.08499999999998</v>
      </c>
      <c r="M59" s="42">
        <v>1</v>
      </c>
      <c r="N59" s="46">
        <v>0</v>
      </c>
      <c r="O59" s="44">
        <v>310.08499999999998</v>
      </c>
      <c r="P59" s="45">
        <v>0.93376758319930697</v>
      </c>
      <c r="Q59" s="45">
        <v>3.8878461517230102E-2</v>
      </c>
    </row>
    <row r="60" spans="1:17" x14ac:dyDescent="0.25">
      <c r="A60">
        <v>424</v>
      </c>
      <c r="B60">
        <v>15416</v>
      </c>
      <c r="C60" t="s">
        <v>88</v>
      </c>
      <c r="D60" t="s">
        <v>89</v>
      </c>
      <c r="E60" t="s">
        <v>69</v>
      </c>
      <c r="F60" t="s">
        <v>70</v>
      </c>
      <c r="G60" t="s">
        <v>71</v>
      </c>
      <c r="H60" t="s">
        <v>72</v>
      </c>
      <c r="I60" t="s">
        <v>73</v>
      </c>
      <c r="J60" t="s">
        <v>74</v>
      </c>
      <c r="K60" t="s">
        <v>75</v>
      </c>
      <c r="L60" s="44">
        <v>3.681</v>
      </c>
      <c r="M60" s="42">
        <v>3.718</v>
      </c>
      <c r="N60" s="46">
        <v>0</v>
      </c>
      <c r="O60" s="44">
        <v>13.685</v>
      </c>
      <c r="P60" s="45">
        <v>4.1210485280649398E-2</v>
      </c>
      <c r="Q60" s="45">
        <v>1.7158448150455001E-3</v>
      </c>
    </row>
    <row r="61" spans="1:17" x14ac:dyDescent="0.25">
      <c r="A61">
        <v>424</v>
      </c>
      <c r="B61">
        <v>15416</v>
      </c>
      <c r="C61" t="s">
        <v>88</v>
      </c>
      <c r="D61" t="s">
        <v>89</v>
      </c>
      <c r="E61" t="s">
        <v>69</v>
      </c>
      <c r="F61" t="s">
        <v>80</v>
      </c>
      <c r="G61" t="s">
        <v>71</v>
      </c>
      <c r="H61" t="s">
        <v>72</v>
      </c>
      <c r="I61" t="s">
        <v>73</v>
      </c>
      <c r="J61" t="s">
        <v>74</v>
      </c>
      <c r="K61" t="s">
        <v>81</v>
      </c>
      <c r="L61" s="44">
        <v>8.3089999999999993</v>
      </c>
      <c r="M61" s="42">
        <v>1</v>
      </c>
      <c r="N61" s="46">
        <v>0</v>
      </c>
      <c r="O61" s="44">
        <v>8.3089999999999993</v>
      </c>
      <c r="P61" s="45">
        <v>2.50219315200437E-2</v>
      </c>
      <c r="Q61" s="45">
        <v>1.04181620693631E-3</v>
      </c>
    </row>
    <row r="62" spans="1:17" x14ac:dyDescent="0.25">
      <c r="A62">
        <v>969</v>
      </c>
      <c r="B62">
        <v>969</v>
      </c>
      <c r="C62" t="s">
        <v>67</v>
      </c>
      <c r="D62" t="s">
        <v>68</v>
      </c>
      <c r="E62" t="s">
        <v>69</v>
      </c>
      <c r="F62" t="s">
        <v>70</v>
      </c>
      <c r="G62" t="s">
        <v>71</v>
      </c>
      <c r="H62" t="s">
        <v>72</v>
      </c>
      <c r="I62" t="s">
        <v>73</v>
      </c>
      <c r="J62" t="s">
        <v>74</v>
      </c>
      <c r="K62" t="s">
        <v>75</v>
      </c>
      <c r="L62" s="44">
        <v>16.762</v>
      </c>
      <c r="M62" s="42">
        <v>3.718</v>
      </c>
      <c r="N62" s="46">
        <v>3.3300000000000003E-2</v>
      </c>
      <c r="O62" s="44">
        <v>62.323</v>
      </c>
      <c r="P62" s="45">
        <v>4.4238453871225901E-2</v>
      </c>
      <c r="Q62" s="45">
        <v>8.50710363384951E-4</v>
      </c>
    </row>
    <row r="63" spans="1:17" x14ac:dyDescent="0.25">
      <c r="A63">
        <v>969</v>
      </c>
      <c r="B63">
        <v>969</v>
      </c>
      <c r="C63" t="s">
        <v>67</v>
      </c>
      <c r="D63" t="s">
        <v>68</v>
      </c>
      <c r="E63" t="s">
        <v>69</v>
      </c>
      <c r="F63" t="s">
        <v>70</v>
      </c>
      <c r="G63" t="s">
        <v>71</v>
      </c>
      <c r="H63" t="s">
        <v>72</v>
      </c>
      <c r="I63" t="s">
        <v>73</v>
      </c>
      <c r="J63" t="s">
        <v>74</v>
      </c>
      <c r="K63" t="s">
        <v>87</v>
      </c>
      <c r="L63" s="44">
        <v>0</v>
      </c>
      <c r="M63" s="42">
        <v>0.47760000000000002</v>
      </c>
      <c r="N63" s="46">
        <v>0</v>
      </c>
      <c r="O63" s="44">
        <v>0</v>
      </c>
      <c r="P63" s="45">
        <v>-1.0170451622466801E-8</v>
      </c>
      <c r="Q63" s="45">
        <v>-1.95578910165425E-10</v>
      </c>
    </row>
    <row r="64" spans="1:17" x14ac:dyDescent="0.25">
      <c r="A64">
        <v>969</v>
      </c>
      <c r="B64">
        <v>969</v>
      </c>
      <c r="C64" t="s">
        <v>67</v>
      </c>
      <c r="D64" t="s">
        <v>68</v>
      </c>
      <c r="E64" t="s">
        <v>69</v>
      </c>
      <c r="F64" t="s">
        <v>70</v>
      </c>
      <c r="G64" t="s">
        <v>71</v>
      </c>
      <c r="H64" t="s">
        <v>72</v>
      </c>
      <c r="I64" t="s">
        <v>73</v>
      </c>
      <c r="J64" t="s">
        <v>74</v>
      </c>
      <c r="K64" t="s">
        <v>76</v>
      </c>
      <c r="L64" s="44">
        <v>0</v>
      </c>
      <c r="M64" s="42">
        <v>2.589</v>
      </c>
      <c r="N64" s="46">
        <v>0</v>
      </c>
      <c r="O64" s="44">
        <v>0</v>
      </c>
      <c r="P64" s="45">
        <v>3.4917272875541902E-7</v>
      </c>
      <c r="Q64" s="45">
        <v>6.7146302135311401E-9</v>
      </c>
    </row>
    <row r="65" spans="1:17" x14ac:dyDescent="0.25">
      <c r="A65">
        <v>969</v>
      </c>
      <c r="B65">
        <v>969</v>
      </c>
      <c r="C65" t="s">
        <v>67</v>
      </c>
      <c r="D65" t="s">
        <v>68</v>
      </c>
      <c r="E65" t="s">
        <v>69</v>
      </c>
      <c r="F65" t="s">
        <v>70</v>
      </c>
      <c r="G65" t="s">
        <v>71</v>
      </c>
      <c r="H65" t="s">
        <v>72</v>
      </c>
      <c r="I65" t="s">
        <v>73</v>
      </c>
      <c r="J65" t="s">
        <v>74</v>
      </c>
      <c r="K65" t="s">
        <v>77</v>
      </c>
      <c r="L65" s="44">
        <v>0.25600000000000001</v>
      </c>
      <c r="M65" s="42">
        <v>4.0218999999999996</v>
      </c>
      <c r="N65" s="46">
        <v>0</v>
      </c>
      <c r="O65" s="44">
        <v>1.0309999999999999</v>
      </c>
      <c r="P65" s="45">
        <v>7.3181669631292197E-4</v>
      </c>
      <c r="Q65" s="45">
        <v>1.40729160531642E-5</v>
      </c>
    </row>
    <row r="66" spans="1:17" x14ac:dyDescent="0.25">
      <c r="A66">
        <v>969</v>
      </c>
      <c r="B66">
        <v>969</v>
      </c>
      <c r="C66" t="s">
        <v>67</v>
      </c>
      <c r="D66" t="s">
        <v>68</v>
      </c>
      <c r="E66" t="s">
        <v>69</v>
      </c>
      <c r="F66" t="s">
        <v>70</v>
      </c>
      <c r="G66" t="s">
        <v>71</v>
      </c>
      <c r="H66" t="s">
        <v>72</v>
      </c>
      <c r="I66" t="s">
        <v>73</v>
      </c>
      <c r="J66" t="s">
        <v>74</v>
      </c>
      <c r="K66" t="s">
        <v>78</v>
      </c>
      <c r="L66" s="44">
        <v>456.89699999999999</v>
      </c>
      <c r="M66" s="42">
        <v>2.4892999999999998E-2</v>
      </c>
      <c r="N66" s="46">
        <v>0</v>
      </c>
      <c r="O66" s="44">
        <v>11.374000000000001</v>
      </c>
      <c r="P66" s="45">
        <v>8.0732785195582503E-3</v>
      </c>
      <c r="Q66" s="45">
        <v>1.55250039322656E-4</v>
      </c>
    </row>
    <row r="67" spans="1:17" x14ac:dyDescent="0.25">
      <c r="A67">
        <v>969</v>
      </c>
      <c r="B67">
        <v>969</v>
      </c>
      <c r="C67" t="s">
        <v>67</v>
      </c>
      <c r="D67" t="s">
        <v>68</v>
      </c>
      <c r="E67" t="s">
        <v>69</v>
      </c>
      <c r="F67" t="s">
        <v>70</v>
      </c>
      <c r="G67" t="s">
        <v>71</v>
      </c>
      <c r="H67" t="s">
        <v>72</v>
      </c>
      <c r="I67" t="s">
        <v>73</v>
      </c>
      <c r="J67" t="s">
        <v>74</v>
      </c>
      <c r="K67" t="s">
        <v>90</v>
      </c>
      <c r="L67" s="44">
        <v>0</v>
      </c>
      <c r="M67" s="42">
        <v>0.53900000000000003</v>
      </c>
      <c r="N67" s="46">
        <v>0</v>
      </c>
      <c r="O67" s="44">
        <v>0</v>
      </c>
      <c r="P67" s="45">
        <v>-3.8259864771842598E-9</v>
      </c>
      <c r="Q67" s="45">
        <v>-7.3574143341125205E-11</v>
      </c>
    </row>
    <row r="68" spans="1:17" x14ac:dyDescent="0.25">
      <c r="A68">
        <v>969</v>
      </c>
      <c r="B68">
        <v>969</v>
      </c>
      <c r="C68" t="s">
        <v>67</v>
      </c>
      <c r="D68" t="s">
        <v>68</v>
      </c>
      <c r="E68" t="s">
        <v>69</v>
      </c>
      <c r="F68" t="s">
        <v>70</v>
      </c>
      <c r="G68" t="s">
        <v>71</v>
      </c>
      <c r="H68" t="s">
        <v>72</v>
      </c>
      <c r="I68" t="s">
        <v>73</v>
      </c>
      <c r="J68" t="s">
        <v>74</v>
      </c>
      <c r="K68" t="s">
        <v>79</v>
      </c>
      <c r="L68" s="44">
        <v>1.431</v>
      </c>
      <c r="M68" s="42">
        <v>4.8108000000000004</v>
      </c>
      <c r="N68" s="46">
        <v>0</v>
      </c>
      <c r="O68" s="44">
        <v>6.883</v>
      </c>
      <c r="P68" s="45">
        <v>4.8859711612508202E-3</v>
      </c>
      <c r="Q68" s="45">
        <v>9.3957766113965095E-5</v>
      </c>
    </row>
    <row r="69" spans="1:17" x14ac:dyDescent="0.25">
      <c r="A69">
        <v>969</v>
      </c>
      <c r="B69">
        <v>969</v>
      </c>
      <c r="C69" t="s">
        <v>67</v>
      </c>
      <c r="D69" t="s">
        <v>68</v>
      </c>
      <c r="E69" t="s">
        <v>69</v>
      </c>
      <c r="F69" t="s">
        <v>80</v>
      </c>
      <c r="G69" t="s">
        <v>71</v>
      </c>
      <c r="H69" t="s">
        <v>72</v>
      </c>
      <c r="I69" t="s">
        <v>73</v>
      </c>
      <c r="J69" t="s">
        <v>74</v>
      </c>
      <c r="K69" t="s">
        <v>81</v>
      </c>
      <c r="L69" s="44">
        <v>887.75099999999998</v>
      </c>
      <c r="M69" s="42">
        <v>1</v>
      </c>
      <c r="N69" s="46">
        <v>4.0300000000000002E-2</v>
      </c>
      <c r="O69" s="44">
        <v>887.75099999999998</v>
      </c>
      <c r="P69" s="45">
        <v>0.63015272134830103</v>
      </c>
      <c r="Q69" s="45">
        <v>1.2117906564426999E-2</v>
      </c>
    </row>
    <row r="70" spans="1:17" x14ac:dyDescent="0.25">
      <c r="A70">
        <v>969</v>
      </c>
      <c r="B70">
        <v>969</v>
      </c>
      <c r="C70" t="s">
        <v>82</v>
      </c>
      <c r="D70" t="s">
        <v>83</v>
      </c>
      <c r="E70" t="s">
        <v>69</v>
      </c>
      <c r="F70" t="s">
        <v>80</v>
      </c>
      <c r="G70" t="s">
        <v>71</v>
      </c>
      <c r="H70" t="s">
        <v>72</v>
      </c>
      <c r="I70" t="s">
        <v>73</v>
      </c>
      <c r="J70" t="s">
        <v>74</v>
      </c>
      <c r="K70" t="s">
        <v>81</v>
      </c>
      <c r="L70" s="44">
        <v>4.0000000000000001E-3</v>
      </c>
      <c r="M70" s="42">
        <v>1</v>
      </c>
      <c r="N70" s="46">
        <v>4.0300000000000002E-2</v>
      </c>
      <c r="O70" s="44">
        <v>4.0000000000000001E-3</v>
      </c>
      <c r="P70" s="45">
        <v>2.9245017228198798E-6</v>
      </c>
      <c r="Q70" s="45">
        <v>5.6238491756110503E-8</v>
      </c>
    </row>
    <row r="71" spans="1:17" x14ac:dyDescent="0.25">
      <c r="A71">
        <v>969</v>
      </c>
      <c r="B71">
        <v>969</v>
      </c>
      <c r="C71" t="s">
        <v>82</v>
      </c>
      <c r="D71" t="s">
        <v>83</v>
      </c>
      <c r="E71" t="s">
        <v>69</v>
      </c>
      <c r="F71" t="s">
        <v>80</v>
      </c>
      <c r="G71" t="s">
        <v>71</v>
      </c>
      <c r="H71" t="s">
        <v>72</v>
      </c>
      <c r="I71" t="s">
        <v>73</v>
      </c>
      <c r="J71" t="s">
        <v>74</v>
      </c>
      <c r="K71" t="s">
        <v>81</v>
      </c>
      <c r="L71" s="44">
        <v>439.42099999999999</v>
      </c>
      <c r="M71" s="42">
        <v>1</v>
      </c>
      <c r="N71" s="46">
        <v>4.0300000000000002E-2</v>
      </c>
      <c r="O71" s="44">
        <v>439.42099999999999</v>
      </c>
      <c r="P71" s="45">
        <v>0.311914498725337</v>
      </c>
      <c r="Q71" s="45">
        <v>5.9981503270451703E-3</v>
      </c>
    </row>
  </sheetData>
  <dataValidations count="4">
    <dataValidation type="list" allowBlank="1" showInputMessage="1" showErrorMessage="1" sqref="G2:G20" xr:uid="{00000000-0002-0000-0200-000000000000}">
      <formula1>israel_abroad</formula1>
      <formula2>0</formula2>
    </dataValidation>
    <dataValidation type="list" allowBlank="1" showInputMessage="1" showErrorMessage="1" sqref="H2:H20" xr:uid="{00000000-0002-0000-0200-000001000000}">
      <formula1>Holding_interest</formula1>
      <formula2>0</formula2>
    </dataValidation>
    <dataValidation type="list" allowBlank="1" showInputMessage="1" showErrorMessage="1" sqref="J2:J21" xr:uid="{00000000-0002-0000-0200-000002000000}">
      <formula1>Rating_Agency</formula1>
      <formula2>0</formula2>
    </dataValidation>
    <dataValidation type="list" allowBlank="1" showInputMessage="1" showErrorMessage="1" sqref="E2:E20" xr:uid="{00000000-0002-0000-0200-000003000000}">
      <formula1>Issuer_Number_Banks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3.8" x14ac:dyDescent="0.25"/>
  <cols>
    <col min="1" max="14" width="11.59765625" customWidth="1"/>
    <col min="15" max="15" width="11.59765625" style="35" customWidth="1"/>
    <col min="16" max="30" width="11.59765625" customWidth="1"/>
  </cols>
  <sheetData>
    <row r="1" spans="1:26" ht="66.75" customHeight="1" x14ac:dyDescent="0.25">
      <c r="A1" s="36" t="s">
        <v>50</v>
      </c>
      <c r="B1" s="36" t="s">
        <v>51</v>
      </c>
      <c r="C1" s="36" t="s">
        <v>91</v>
      </c>
      <c r="D1" s="36" t="s">
        <v>92</v>
      </c>
      <c r="E1" s="36" t="s">
        <v>93</v>
      </c>
      <c r="F1" s="36" t="s">
        <v>55</v>
      </c>
      <c r="G1" s="36" t="s">
        <v>56</v>
      </c>
      <c r="H1" s="36" t="s">
        <v>94</v>
      </c>
      <c r="I1" s="36" t="s">
        <v>95</v>
      </c>
      <c r="J1" s="36" t="s">
        <v>96</v>
      </c>
      <c r="K1" s="36" t="s">
        <v>59</v>
      </c>
      <c r="L1" s="36" t="s">
        <v>60</v>
      </c>
      <c r="M1" s="36" t="s">
        <v>97</v>
      </c>
      <c r="N1" s="36" t="s">
        <v>98</v>
      </c>
      <c r="O1" s="38" t="s">
        <v>63</v>
      </c>
      <c r="P1" s="39" t="s">
        <v>99</v>
      </c>
      <c r="Q1" s="36" t="s">
        <v>100</v>
      </c>
      <c r="R1" s="36" t="s">
        <v>101</v>
      </c>
      <c r="S1" s="37" t="s">
        <v>62</v>
      </c>
      <c r="T1" s="47" t="s">
        <v>102</v>
      </c>
      <c r="U1" s="36" t="s">
        <v>64</v>
      </c>
      <c r="V1" s="36" t="s">
        <v>103</v>
      </c>
      <c r="W1" s="36" t="s">
        <v>18</v>
      </c>
      <c r="X1" s="39" t="s">
        <v>104</v>
      </c>
      <c r="Y1" s="39" t="s">
        <v>65</v>
      </c>
      <c r="Z1" s="39" t="s">
        <v>66</v>
      </c>
    </row>
    <row r="2" spans="1:26" x14ac:dyDescent="0.25">
      <c r="A2" s="10">
        <v>1182</v>
      </c>
      <c r="B2" s="10">
        <v>1182</v>
      </c>
      <c r="C2" s="10" t="s">
        <v>105</v>
      </c>
      <c r="D2" s="10" t="s">
        <v>106</v>
      </c>
      <c r="E2" s="10" t="s">
        <v>107</v>
      </c>
      <c r="F2" s="10" t="s">
        <v>108</v>
      </c>
      <c r="G2" s="10" t="s">
        <v>71</v>
      </c>
      <c r="H2" s="10" t="s">
        <v>71</v>
      </c>
      <c r="I2" s="10" t="s">
        <v>109</v>
      </c>
      <c r="J2" s="10" t="s">
        <v>110</v>
      </c>
      <c r="K2" s="10" t="s">
        <v>111</v>
      </c>
      <c r="L2" t="s">
        <v>81</v>
      </c>
      <c r="M2" s="44">
        <v>0.67400000000000004</v>
      </c>
      <c r="N2" t="s">
        <v>112</v>
      </c>
      <c r="O2" s="46">
        <v>0</v>
      </c>
      <c r="P2" s="45">
        <v>4.24E-2</v>
      </c>
      <c r="R2" s="44">
        <v>2491500</v>
      </c>
      <c r="S2" s="42">
        <v>1</v>
      </c>
      <c r="T2" s="48">
        <v>97.24</v>
      </c>
      <c r="U2" s="44">
        <v>2422.7350000000001</v>
      </c>
      <c r="W2" s="10" t="s">
        <v>16</v>
      </c>
      <c r="X2" s="45">
        <v>1.7799999999999999E-4</v>
      </c>
      <c r="Y2" s="45">
        <v>3.64598323540824E-2</v>
      </c>
      <c r="Z2" s="45">
        <v>5.5955442340503399E-3</v>
      </c>
    </row>
    <row r="3" spans="1:26" x14ac:dyDescent="0.25">
      <c r="A3" s="10">
        <v>1182</v>
      </c>
      <c r="B3" s="10">
        <v>1182</v>
      </c>
      <c r="C3" s="10" t="s">
        <v>113</v>
      </c>
      <c r="D3" s="10" t="s">
        <v>114</v>
      </c>
      <c r="E3" s="10" t="s">
        <v>115</v>
      </c>
      <c r="F3" s="10" t="s">
        <v>116</v>
      </c>
      <c r="G3" s="10" t="s">
        <v>71</v>
      </c>
      <c r="H3" s="10" t="s">
        <v>71</v>
      </c>
      <c r="I3" s="10" t="s">
        <v>117</v>
      </c>
      <c r="J3" s="10" t="s">
        <v>110</v>
      </c>
      <c r="K3" s="10" t="s">
        <v>111</v>
      </c>
      <c r="L3" t="s">
        <v>81</v>
      </c>
      <c r="M3" s="44">
        <v>2.1419999999999999</v>
      </c>
      <c r="N3" t="s">
        <v>118</v>
      </c>
      <c r="O3" s="46">
        <v>7.4999999999999997E-3</v>
      </c>
      <c r="P3" s="45">
        <v>1.9449999999999999E-2</v>
      </c>
      <c r="R3" s="44">
        <v>1171463</v>
      </c>
      <c r="S3" s="42">
        <v>1</v>
      </c>
      <c r="T3" s="48">
        <v>114.63</v>
      </c>
      <c r="U3" s="44">
        <v>1342.848</v>
      </c>
      <c r="W3" s="10" t="s">
        <v>16</v>
      </c>
      <c r="X3" s="45">
        <v>4.8000000000000001E-5</v>
      </c>
      <c r="Y3" s="45">
        <v>2.0208575178801098E-2</v>
      </c>
      <c r="Z3" s="45">
        <v>3.1014398317015901E-3</v>
      </c>
    </row>
    <row r="4" spans="1:26" x14ac:dyDescent="0.25">
      <c r="A4" s="10">
        <v>1182</v>
      </c>
      <c r="B4" s="10">
        <v>1182</v>
      </c>
      <c r="C4" s="10" t="s">
        <v>113</v>
      </c>
      <c r="D4" s="10" t="s">
        <v>119</v>
      </c>
      <c r="E4" s="10" t="s">
        <v>120</v>
      </c>
      <c r="F4" s="10" t="s">
        <v>116</v>
      </c>
      <c r="G4" s="10" t="s">
        <v>71</v>
      </c>
      <c r="H4" s="10" t="s">
        <v>71</v>
      </c>
      <c r="I4" s="10" t="s">
        <v>117</v>
      </c>
      <c r="J4" s="10" t="s">
        <v>110</v>
      </c>
      <c r="K4" s="10" t="s">
        <v>111</v>
      </c>
      <c r="L4" t="s">
        <v>81</v>
      </c>
      <c r="M4" s="44">
        <v>17.922999999999998</v>
      </c>
      <c r="N4" t="s">
        <v>121</v>
      </c>
      <c r="O4" s="46">
        <v>0.01</v>
      </c>
      <c r="P4" s="45">
        <v>2.206E-2</v>
      </c>
      <c r="R4" s="44">
        <v>8270758</v>
      </c>
      <c r="S4" s="42">
        <v>1</v>
      </c>
      <c r="T4" s="48">
        <v>94.86</v>
      </c>
      <c r="U4" s="44">
        <v>7845.6409999999996</v>
      </c>
      <c r="W4" s="10" t="s">
        <v>16</v>
      </c>
      <c r="X4" s="45">
        <v>3.7500000000000001E-4</v>
      </c>
      <c r="Y4" s="45">
        <v>0.118069373750206</v>
      </c>
      <c r="Z4" s="45">
        <v>1.8120280891306101E-2</v>
      </c>
    </row>
    <row r="5" spans="1:26" x14ac:dyDescent="0.25">
      <c r="A5" s="10">
        <v>1182</v>
      </c>
      <c r="B5" s="10">
        <v>1182</v>
      </c>
      <c r="C5" s="10" t="s">
        <v>113</v>
      </c>
      <c r="D5" s="10" t="s">
        <v>122</v>
      </c>
      <c r="E5" s="10" t="s">
        <v>123</v>
      </c>
      <c r="F5" s="10" t="s">
        <v>116</v>
      </c>
      <c r="G5" s="10" t="s">
        <v>71</v>
      </c>
      <c r="H5" s="10" t="s">
        <v>71</v>
      </c>
      <c r="I5" s="10" t="s">
        <v>117</v>
      </c>
      <c r="J5" s="10" t="s">
        <v>110</v>
      </c>
      <c r="K5" s="10" t="s">
        <v>111</v>
      </c>
      <c r="L5" t="s">
        <v>81</v>
      </c>
      <c r="M5" s="44">
        <v>0.58399999999999996</v>
      </c>
      <c r="N5" t="s">
        <v>124</v>
      </c>
      <c r="O5" s="46">
        <v>7.4999999999999997E-3</v>
      </c>
      <c r="P5" s="45">
        <v>1.2359999999999999E-2</v>
      </c>
      <c r="R5" s="44">
        <v>1346811</v>
      </c>
      <c r="S5" s="42">
        <v>1</v>
      </c>
      <c r="T5" s="48">
        <v>116.16</v>
      </c>
      <c r="U5" s="44">
        <v>1564.4559999999999</v>
      </c>
      <c r="W5" s="10" t="s">
        <v>16</v>
      </c>
      <c r="X5" s="45">
        <v>6.2000000000000003E-5</v>
      </c>
      <c r="Y5" s="45">
        <v>2.3543557351057599E-2</v>
      </c>
      <c r="Z5" s="45">
        <v>3.6132644633510898E-3</v>
      </c>
    </row>
    <row r="6" spans="1:26" x14ac:dyDescent="0.25">
      <c r="A6" s="10">
        <v>1182</v>
      </c>
      <c r="B6" s="10">
        <v>1182</v>
      </c>
      <c r="C6" s="10" t="s">
        <v>113</v>
      </c>
      <c r="D6" s="10" t="s">
        <v>125</v>
      </c>
      <c r="E6" s="10" t="s">
        <v>126</v>
      </c>
      <c r="F6" s="10" t="s">
        <v>116</v>
      </c>
      <c r="G6" s="10" t="s">
        <v>71</v>
      </c>
      <c r="H6" s="10" t="s">
        <v>71</v>
      </c>
      <c r="I6" s="10" t="s">
        <v>117</v>
      </c>
      <c r="J6" s="10" t="s">
        <v>110</v>
      </c>
      <c r="K6" s="10" t="s">
        <v>111</v>
      </c>
      <c r="L6" t="s">
        <v>81</v>
      </c>
      <c r="M6" s="44">
        <v>6.6459999999999999</v>
      </c>
      <c r="N6" t="s">
        <v>127</v>
      </c>
      <c r="O6" s="46">
        <v>1E-3</v>
      </c>
      <c r="P6" s="45">
        <v>2.0310000000000002E-2</v>
      </c>
      <c r="R6" s="44">
        <v>8536364</v>
      </c>
      <c r="S6" s="42">
        <v>1</v>
      </c>
      <c r="T6" s="48">
        <v>101.91</v>
      </c>
      <c r="U6" s="44">
        <v>8699.4089999999997</v>
      </c>
      <c r="W6" s="10" t="s">
        <v>16</v>
      </c>
      <c r="X6" s="45">
        <v>2.7799999999999998E-4</v>
      </c>
      <c r="Y6" s="45">
        <v>0.13091775607620201</v>
      </c>
      <c r="Z6" s="45">
        <v>2.0092141072748999E-2</v>
      </c>
    </row>
    <row r="7" spans="1:26" x14ac:dyDescent="0.25">
      <c r="A7" s="10">
        <v>1182</v>
      </c>
      <c r="B7" s="10">
        <v>1182</v>
      </c>
      <c r="C7" s="10" t="s">
        <v>128</v>
      </c>
      <c r="D7" s="10" t="s">
        <v>129</v>
      </c>
      <c r="E7" s="10" t="s">
        <v>130</v>
      </c>
      <c r="F7" s="10" t="s">
        <v>131</v>
      </c>
      <c r="G7" s="10" t="s">
        <v>71</v>
      </c>
      <c r="H7" s="10" t="s">
        <v>71</v>
      </c>
      <c r="I7" s="10" t="s">
        <v>117</v>
      </c>
      <c r="J7" s="10" t="s">
        <v>110</v>
      </c>
      <c r="K7" s="10" t="s">
        <v>111</v>
      </c>
      <c r="L7" t="s">
        <v>81</v>
      </c>
      <c r="M7" s="44">
        <v>3.36</v>
      </c>
      <c r="N7" t="s">
        <v>132</v>
      </c>
      <c r="O7" s="46">
        <v>2.2499999999999999E-2</v>
      </c>
      <c r="P7" s="45">
        <v>4.2610000000000002E-2</v>
      </c>
      <c r="R7" s="44">
        <v>266042</v>
      </c>
      <c r="S7" s="42">
        <v>1</v>
      </c>
      <c r="T7" s="48">
        <v>94.71</v>
      </c>
      <c r="U7" s="44">
        <v>251.96799999999999</v>
      </c>
      <c r="W7" s="10" t="s">
        <v>16</v>
      </c>
      <c r="X7" s="45">
        <v>7.9999999999999996E-6</v>
      </c>
      <c r="Y7" s="45">
        <v>3.7918824569979801E-3</v>
      </c>
      <c r="Z7" s="45">
        <v>5.8194579208140399E-4</v>
      </c>
    </row>
    <row r="8" spans="1:26" x14ac:dyDescent="0.25">
      <c r="A8" s="10">
        <v>1182</v>
      </c>
      <c r="B8" s="10">
        <v>1182</v>
      </c>
      <c r="C8" s="10" t="s">
        <v>128</v>
      </c>
      <c r="D8" s="10" t="s">
        <v>133</v>
      </c>
      <c r="E8" s="10" t="s">
        <v>134</v>
      </c>
      <c r="F8" s="10" t="s">
        <v>131</v>
      </c>
      <c r="G8" s="10" t="s">
        <v>71</v>
      </c>
      <c r="H8" s="10" t="s">
        <v>71</v>
      </c>
      <c r="I8" s="10" t="s">
        <v>117</v>
      </c>
      <c r="J8" s="10" t="s">
        <v>110</v>
      </c>
      <c r="K8" s="10" t="s">
        <v>111</v>
      </c>
      <c r="L8" t="s">
        <v>81</v>
      </c>
      <c r="M8" s="44">
        <v>3.7010000000000001</v>
      </c>
      <c r="N8" t="s">
        <v>135</v>
      </c>
      <c r="O8" s="46">
        <v>3.7499999999999999E-2</v>
      </c>
      <c r="P8" s="45">
        <v>4.2680000000000003E-2</v>
      </c>
      <c r="R8" s="44">
        <v>3222360</v>
      </c>
      <c r="S8" s="42">
        <v>1</v>
      </c>
      <c r="T8" s="48">
        <v>98.49</v>
      </c>
      <c r="U8" s="44">
        <v>3173.7020000000002</v>
      </c>
      <c r="W8" s="10" t="s">
        <v>16</v>
      </c>
      <c r="X8" s="45">
        <v>9.1000000000000003E-5</v>
      </c>
      <c r="Y8" s="45">
        <v>4.7761177032430602E-2</v>
      </c>
      <c r="Z8" s="45">
        <v>7.3299782664894998E-3</v>
      </c>
    </row>
    <row r="9" spans="1:26" x14ac:dyDescent="0.25">
      <c r="A9" s="10">
        <v>1182</v>
      </c>
      <c r="B9" s="10">
        <v>1182</v>
      </c>
      <c r="C9" s="10" t="s">
        <v>128</v>
      </c>
      <c r="D9" s="10" t="s">
        <v>136</v>
      </c>
      <c r="E9" s="10" t="s">
        <v>137</v>
      </c>
      <c r="F9" s="10" t="s">
        <v>131</v>
      </c>
      <c r="G9" s="10" t="s">
        <v>71</v>
      </c>
      <c r="H9" s="10" t="s">
        <v>71</v>
      </c>
      <c r="I9" s="10" t="s">
        <v>117</v>
      </c>
      <c r="J9" s="10" t="s">
        <v>110</v>
      </c>
      <c r="K9" s="10" t="s">
        <v>111</v>
      </c>
      <c r="L9" t="s">
        <v>81</v>
      </c>
      <c r="M9" s="44">
        <v>1.9770000000000001</v>
      </c>
      <c r="N9" t="s">
        <v>138</v>
      </c>
      <c r="O9" s="46">
        <v>0.02</v>
      </c>
      <c r="P9" s="45">
        <v>4.224E-2</v>
      </c>
      <c r="R9" s="44">
        <v>528276</v>
      </c>
      <c r="S9" s="42">
        <v>1</v>
      </c>
      <c r="T9" s="48">
        <v>95.83</v>
      </c>
      <c r="U9" s="44">
        <v>506.24700000000001</v>
      </c>
      <c r="W9" s="10" t="s">
        <v>16</v>
      </c>
      <c r="X9" s="45">
        <v>1.9000000000000001E-5</v>
      </c>
      <c r="Y9" s="45">
        <v>7.6185302213224101E-3</v>
      </c>
      <c r="Z9" s="45">
        <v>1.16922706714217E-3</v>
      </c>
    </row>
    <row r="10" spans="1:26" x14ac:dyDescent="0.25">
      <c r="A10" s="10">
        <v>1182</v>
      </c>
      <c r="B10" s="10">
        <v>1182</v>
      </c>
      <c r="C10" s="10" t="s">
        <v>128</v>
      </c>
      <c r="D10" s="10" t="s">
        <v>139</v>
      </c>
      <c r="E10" s="10" t="s">
        <v>140</v>
      </c>
      <c r="F10" s="10" t="s">
        <v>131</v>
      </c>
      <c r="G10" s="10" t="s">
        <v>71</v>
      </c>
      <c r="H10" s="10" t="s">
        <v>71</v>
      </c>
      <c r="I10" s="10" t="s">
        <v>117</v>
      </c>
      <c r="J10" s="10" t="s">
        <v>110</v>
      </c>
      <c r="K10" s="10" t="s">
        <v>111</v>
      </c>
      <c r="L10" t="s">
        <v>81</v>
      </c>
      <c r="M10" s="44">
        <v>14.74</v>
      </c>
      <c r="N10" t="s">
        <v>141</v>
      </c>
      <c r="O10" s="46">
        <v>3.7499999999999999E-2</v>
      </c>
      <c r="P10" s="45">
        <v>4.8599999999999997E-2</v>
      </c>
      <c r="R10" s="44">
        <v>1302268</v>
      </c>
      <c r="S10" s="42">
        <v>1</v>
      </c>
      <c r="T10" s="48">
        <v>85.21</v>
      </c>
      <c r="U10" s="44">
        <v>1109.663</v>
      </c>
      <c r="W10" s="10" t="s">
        <v>16</v>
      </c>
      <c r="X10" s="45">
        <v>5.0000000000000002E-5</v>
      </c>
      <c r="Y10" s="45">
        <v>1.6699357415909E-2</v>
      </c>
      <c r="Z10" s="45">
        <v>2.56287500703423E-3</v>
      </c>
    </row>
    <row r="11" spans="1:26" x14ac:dyDescent="0.25">
      <c r="A11" s="10">
        <v>1182</v>
      </c>
      <c r="B11" s="10">
        <v>1182</v>
      </c>
      <c r="C11" s="10" t="s">
        <v>113</v>
      </c>
      <c r="D11" s="10" t="s">
        <v>142</v>
      </c>
      <c r="E11" s="10" t="s">
        <v>143</v>
      </c>
      <c r="F11" s="10" t="s">
        <v>116</v>
      </c>
      <c r="G11" s="10" t="s">
        <v>71</v>
      </c>
      <c r="H11" s="10" t="s">
        <v>71</v>
      </c>
      <c r="I11" s="10" t="s">
        <v>117</v>
      </c>
      <c r="J11" s="10" t="s">
        <v>110</v>
      </c>
      <c r="K11" s="10" t="s">
        <v>111</v>
      </c>
      <c r="L11" t="s">
        <v>81</v>
      </c>
      <c r="M11" s="44">
        <v>13.379</v>
      </c>
      <c r="N11" t="s">
        <v>144</v>
      </c>
      <c r="O11" s="46">
        <v>2.75E-2</v>
      </c>
      <c r="P11" s="45">
        <v>2.1399999999999999E-2</v>
      </c>
      <c r="R11" s="44">
        <v>68189</v>
      </c>
      <c r="S11" s="42">
        <v>1</v>
      </c>
      <c r="T11" s="48">
        <v>136.1</v>
      </c>
      <c r="U11" s="44">
        <v>92.805000000000007</v>
      </c>
      <c r="W11" s="10" t="s">
        <v>16</v>
      </c>
      <c r="X11" s="45">
        <v>3.0000000000000001E-6</v>
      </c>
      <c r="Y11" s="45">
        <v>1.39662969725294E-3</v>
      </c>
      <c r="Z11" s="45">
        <v>2.1434281906927501E-4</v>
      </c>
    </row>
    <row r="12" spans="1:26" x14ac:dyDescent="0.25">
      <c r="A12" s="10">
        <v>1182</v>
      </c>
      <c r="B12" s="10">
        <v>1182</v>
      </c>
      <c r="C12" s="10" t="s">
        <v>113</v>
      </c>
      <c r="D12" s="10" t="s">
        <v>145</v>
      </c>
      <c r="E12" s="10" t="s">
        <v>146</v>
      </c>
      <c r="F12" s="10" t="s">
        <v>116</v>
      </c>
      <c r="G12" s="10" t="s">
        <v>71</v>
      </c>
      <c r="H12" s="10" t="s">
        <v>71</v>
      </c>
      <c r="I12" s="10" t="s">
        <v>117</v>
      </c>
      <c r="J12" s="10" t="s">
        <v>110</v>
      </c>
      <c r="K12" s="10" t="s">
        <v>111</v>
      </c>
      <c r="L12" t="s">
        <v>81</v>
      </c>
      <c r="M12" s="44">
        <v>9.1519999999999992</v>
      </c>
      <c r="N12" t="s">
        <v>147</v>
      </c>
      <c r="O12" s="46">
        <v>0.04</v>
      </c>
      <c r="P12" s="45">
        <v>2.1219999999999999E-2</v>
      </c>
      <c r="R12" s="44">
        <v>2733038</v>
      </c>
      <c r="S12" s="42">
        <v>1</v>
      </c>
      <c r="T12" s="48">
        <v>167.49</v>
      </c>
      <c r="U12" s="44">
        <v>4577.5649999999996</v>
      </c>
      <c r="W12" s="10" t="s">
        <v>16</v>
      </c>
      <c r="X12" s="45">
        <v>1.7200000000000001E-4</v>
      </c>
      <c r="Y12" s="45">
        <v>6.8887968625333196E-2</v>
      </c>
      <c r="Z12" s="45">
        <v>1.0572338125239999E-2</v>
      </c>
    </row>
    <row r="13" spans="1:26" x14ac:dyDescent="0.25">
      <c r="A13" s="10">
        <v>1182</v>
      </c>
      <c r="B13" s="10">
        <v>1182</v>
      </c>
      <c r="C13" s="10" t="s">
        <v>128</v>
      </c>
      <c r="D13" s="10" t="s">
        <v>148</v>
      </c>
      <c r="E13" s="10" t="s">
        <v>149</v>
      </c>
      <c r="F13" s="10" t="s">
        <v>131</v>
      </c>
      <c r="G13" s="10" t="s">
        <v>71</v>
      </c>
      <c r="H13" s="10" t="s">
        <v>71</v>
      </c>
      <c r="I13" s="10" t="s">
        <v>117</v>
      </c>
      <c r="J13" s="10" t="s">
        <v>110</v>
      </c>
      <c r="K13" s="10" t="s">
        <v>111</v>
      </c>
      <c r="L13" t="s">
        <v>81</v>
      </c>
      <c r="M13" s="44">
        <v>11.552</v>
      </c>
      <c r="N13" t="s">
        <v>150</v>
      </c>
      <c r="O13" s="46">
        <v>5.5E-2</v>
      </c>
      <c r="P13" s="45">
        <v>4.7300000000000002E-2</v>
      </c>
      <c r="R13" s="44">
        <v>1978491</v>
      </c>
      <c r="S13" s="42">
        <v>1</v>
      </c>
      <c r="T13" s="48">
        <v>109.69</v>
      </c>
      <c r="U13" s="44">
        <v>2170.2069999999999</v>
      </c>
      <c r="W13" s="10" t="s">
        <v>16</v>
      </c>
      <c r="X13" s="45">
        <v>7.2999999999999999E-5</v>
      </c>
      <c r="Y13" s="45">
        <v>3.2659530802889997E-2</v>
      </c>
      <c r="Z13" s="45">
        <v>5.0123063511683498E-3</v>
      </c>
    </row>
    <row r="14" spans="1:26" x14ac:dyDescent="0.25">
      <c r="A14" s="10">
        <v>1182</v>
      </c>
      <c r="B14" s="10">
        <v>1182</v>
      </c>
      <c r="C14" s="10" t="s">
        <v>113</v>
      </c>
      <c r="D14" s="10" t="s">
        <v>151</v>
      </c>
      <c r="E14" s="10" t="s">
        <v>152</v>
      </c>
      <c r="F14" s="10" t="s">
        <v>116</v>
      </c>
      <c r="G14" s="10" t="s">
        <v>71</v>
      </c>
      <c r="H14" s="10" t="s">
        <v>71</v>
      </c>
      <c r="I14" s="10" t="s">
        <v>117</v>
      </c>
      <c r="J14" s="10" t="s">
        <v>110</v>
      </c>
      <c r="K14" s="10" t="s">
        <v>111</v>
      </c>
      <c r="L14" t="s">
        <v>81</v>
      </c>
      <c r="M14" s="44">
        <v>4.1150000000000002</v>
      </c>
      <c r="N14" t="s">
        <v>153</v>
      </c>
      <c r="O14" s="46">
        <v>5.0000000000000001E-3</v>
      </c>
      <c r="P14" s="45">
        <v>1.9689999999999999E-2</v>
      </c>
      <c r="R14" s="44">
        <v>2991615</v>
      </c>
      <c r="S14" s="42">
        <v>1</v>
      </c>
      <c r="T14" s="48">
        <v>109.42</v>
      </c>
      <c r="U14" s="44">
        <v>3273.4250000000002</v>
      </c>
      <c r="W14" s="10" t="s">
        <v>16</v>
      </c>
      <c r="X14" s="45">
        <v>1.0900000000000001E-4</v>
      </c>
      <c r="Y14" s="45">
        <v>4.9261909072838499E-2</v>
      </c>
      <c r="Z14" s="45">
        <v>7.5602978256692297E-3</v>
      </c>
    </row>
    <row r="15" spans="1:26" x14ac:dyDescent="0.25">
      <c r="A15" s="10">
        <v>1182</v>
      </c>
      <c r="B15" s="10">
        <v>1182</v>
      </c>
      <c r="C15" s="10" t="s">
        <v>113</v>
      </c>
      <c r="D15" s="10" t="s">
        <v>154</v>
      </c>
      <c r="E15" s="10" t="s">
        <v>155</v>
      </c>
      <c r="F15" s="10" t="s">
        <v>116</v>
      </c>
      <c r="G15" s="10" t="s">
        <v>71</v>
      </c>
      <c r="H15" s="10" t="s">
        <v>71</v>
      </c>
      <c r="I15" s="10" t="s">
        <v>117</v>
      </c>
      <c r="J15" s="10" t="s">
        <v>110</v>
      </c>
      <c r="K15" s="10" t="s">
        <v>111</v>
      </c>
      <c r="L15" t="s">
        <v>81</v>
      </c>
      <c r="M15" s="44">
        <v>1.331</v>
      </c>
      <c r="N15" t="s">
        <v>156</v>
      </c>
      <c r="O15" s="46">
        <v>1E-3</v>
      </c>
      <c r="P15" s="45">
        <v>1.9599999999999999E-2</v>
      </c>
      <c r="R15" s="44">
        <v>5857939</v>
      </c>
      <c r="S15" s="42">
        <v>1</v>
      </c>
      <c r="T15" s="48">
        <v>112.95</v>
      </c>
      <c r="U15" s="44">
        <v>6616.5420000000004</v>
      </c>
      <c r="W15" s="10" t="s">
        <v>16</v>
      </c>
      <c r="X15" s="45">
        <v>2.9E-4</v>
      </c>
      <c r="Y15" s="45">
        <v>9.9572613421196901E-2</v>
      </c>
      <c r="Z15" s="45">
        <v>1.52815558087973E-2</v>
      </c>
    </row>
    <row r="16" spans="1:26" x14ac:dyDescent="0.25">
      <c r="A16" s="10">
        <v>1182</v>
      </c>
      <c r="B16" s="10">
        <v>1182</v>
      </c>
      <c r="C16" s="10" t="s">
        <v>113</v>
      </c>
      <c r="D16" s="10" t="s">
        <v>157</v>
      </c>
      <c r="E16" s="10" t="s">
        <v>158</v>
      </c>
      <c r="F16" s="10" t="s">
        <v>116</v>
      </c>
      <c r="G16" s="10" t="s">
        <v>71</v>
      </c>
      <c r="H16" s="10" t="s">
        <v>71</v>
      </c>
      <c r="I16" s="10" t="s">
        <v>117</v>
      </c>
      <c r="J16" s="10" t="s">
        <v>110</v>
      </c>
      <c r="K16" s="10" t="s">
        <v>111</v>
      </c>
      <c r="L16" t="s">
        <v>81</v>
      </c>
      <c r="M16" s="44">
        <v>3.52</v>
      </c>
      <c r="N16" t="s">
        <v>159</v>
      </c>
      <c r="O16" s="46">
        <v>1.0999999999999999E-2</v>
      </c>
      <c r="P16" s="45">
        <v>1.9820000000000001E-2</v>
      </c>
      <c r="R16" s="44">
        <v>4462520</v>
      </c>
      <c r="S16" s="42">
        <v>1</v>
      </c>
      <c r="T16" s="48">
        <v>101.93</v>
      </c>
      <c r="U16" s="44">
        <v>4548.6469999999999</v>
      </c>
      <c r="W16" s="10" t="s">
        <v>16</v>
      </c>
      <c r="X16" s="45">
        <v>1.5100000000000001E-4</v>
      </c>
      <c r="Y16" s="45">
        <v>6.8452769769549199E-2</v>
      </c>
      <c r="Z16" s="45">
        <v>1.05055475151105E-2</v>
      </c>
    </row>
    <row r="17" spans="1:26" x14ac:dyDescent="0.25">
      <c r="A17" s="10">
        <v>1182</v>
      </c>
      <c r="B17" s="10">
        <v>1182</v>
      </c>
      <c r="C17" s="10" t="s">
        <v>113</v>
      </c>
      <c r="D17" s="10" t="s">
        <v>160</v>
      </c>
      <c r="E17" s="10" t="s">
        <v>161</v>
      </c>
      <c r="F17" s="10" t="s">
        <v>116</v>
      </c>
      <c r="G17" s="10" t="s">
        <v>71</v>
      </c>
      <c r="H17" s="10" t="s">
        <v>71</v>
      </c>
      <c r="I17" s="10" t="s">
        <v>109</v>
      </c>
      <c r="J17" s="10" t="s">
        <v>110</v>
      </c>
      <c r="K17" s="10" t="s">
        <v>111</v>
      </c>
      <c r="L17" t="s">
        <v>81</v>
      </c>
      <c r="M17" s="44">
        <v>8.0280000000000005</v>
      </c>
      <c r="N17" t="s">
        <v>162</v>
      </c>
      <c r="O17" s="46">
        <v>1.6E-2</v>
      </c>
      <c r="P17" s="45">
        <v>2.0969999999999999E-2</v>
      </c>
      <c r="R17" s="44">
        <v>10085539</v>
      </c>
      <c r="S17" s="42">
        <v>1</v>
      </c>
      <c r="T17" s="48">
        <v>100.49</v>
      </c>
      <c r="U17" s="44">
        <v>10134.958000000001</v>
      </c>
      <c r="W17" s="10" t="s">
        <v>16</v>
      </c>
      <c r="X17" s="45">
        <v>5.0000000000000001E-4</v>
      </c>
      <c r="Y17" s="45">
        <v>0.15252140070982101</v>
      </c>
      <c r="Z17" s="45">
        <v>2.34076842708127E-2</v>
      </c>
    </row>
    <row r="18" spans="1:26" x14ac:dyDescent="0.25">
      <c r="A18" s="10">
        <v>1182</v>
      </c>
      <c r="B18" s="10">
        <v>1182</v>
      </c>
      <c r="C18" s="10" t="s">
        <v>128</v>
      </c>
      <c r="D18" s="10" t="s">
        <v>163</v>
      </c>
      <c r="E18" s="10" t="s">
        <v>164</v>
      </c>
      <c r="F18" s="10" t="s">
        <v>131</v>
      </c>
      <c r="G18" s="10" t="s">
        <v>71</v>
      </c>
      <c r="H18" s="10" t="s">
        <v>71</v>
      </c>
      <c r="I18" s="10" t="s">
        <v>117</v>
      </c>
      <c r="J18" s="10" t="s">
        <v>110</v>
      </c>
      <c r="K18" s="10" t="s">
        <v>111</v>
      </c>
      <c r="L18" t="s">
        <v>81</v>
      </c>
      <c r="M18" s="44">
        <v>10.805999999999999</v>
      </c>
      <c r="N18" t="s">
        <v>165</v>
      </c>
      <c r="O18" s="46">
        <v>1.4999999999999999E-2</v>
      </c>
      <c r="P18" s="45">
        <v>4.616E-2</v>
      </c>
      <c r="R18" s="44">
        <v>1776570</v>
      </c>
      <c r="S18" s="42">
        <v>1</v>
      </c>
      <c r="T18" s="48">
        <v>72.72</v>
      </c>
      <c r="U18" s="44">
        <v>1291.922</v>
      </c>
      <c r="W18" s="10" t="s">
        <v>16</v>
      </c>
      <c r="X18" s="45">
        <v>5.3999999999999998E-5</v>
      </c>
      <c r="Y18" s="45">
        <v>1.9442182706451001E-2</v>
      </c>
      <c r="Z18" s="45">
        <v>2.9838204488686799E-3</v>
      </c>
    </row>
    <row r="19" spans="1:26" x14ac:dyDescent="0.25">
      <c r="A19" s="10">
        <v>1182</v>
      </c>
      <c r="B19" s="10">
        <v>1182</v>
      </c>
      <c r="C19" s="10" t="s">
        <v>128</v>
      </c>
      <c r="D19" s="10" t="s">
        <v>166</v>
      </c>
      <c r="E19" s="10" t="s">
        <v>167</v>
      </c>
      <c r="F19" s="10" t="s">
        <v>131</v>
      </c>
      <c r="G19" s="10" t="s">
        <v>71</v>
      </c>
      <c r="H19" s="10" t="s">
        <v>71</v>
      </c>
      <c r="I19" s="10" t="s">
        <v>117</v>
      </c>
      <c r="J19" s="10" t="s">
        <v>110</v>
      </c>
      <c r="K19" s="10" t="s">
        <v>111</v>
      </c>
      <c r="L19" t="s">
        <v>81</v>
      </c>
      <c r="M19" s="44">
        <v>6.681</v>
      </c>
      <c r="N19" t="s">
        <v>168</v>
      </c>
      <c r="O19" s="46">
        <v>1.2999999999999999E-2</v>
      </c>
      <c r="P19" s="45">
        <v>4.3790000000000003E-2</v>
      </c>
      <c r="R19" s="44">
        <v>2919749</v>
      </c>
      <c r="S19" s="42">
        <v>1</v>
      </c>
      <c r="T19" s="48">
        <v>82.78</v>
      </c>
      <c r="U19" s="44">
        <v>2416.9679999999998</v>
      </c>
      <c r="W19" s="10" t="s">
        <v>16</v>
      </c>
      <c r="X19" s="45">
        <v>8.3999999999999995E-5</v>
      </c>
      <c r="Y19" s="45">
        <v>3.6373053898085497E-2</v>
      </c>
      <c r="Z19" s="45">
        <v>5.5822262164473601E-3</v>
      </c>
    </row>
    <row r="20" spans="1:26" x14ac:dyDescent="0.25">
      <c r="A20">
        <v>1182</v>
      </c>
      <c r="B20">
        <v>1182</v>
      </c>
      <c r="C20" t="s">
        <v>105</v>
      </c>
      <c r="D20" t="s">
        <v>169</v>
      </c>
      <c r="E20" t="s">
        <v>170</v>
      </c>
      <c r="F20" s="10" t="s">
        <v>108</v>
      </c>
      <c r="G20" s="10" t="s">
        <v>71</v>
      </c>
      <c r="H20" s="10" t="s">
        <v>71</v>
      </c>
      <c r="I20" s="10" t="s">
        <v>109</v>
      </c>
      <c r="J20" t="s">
        <v>110</v>
      </c>
      <c r="K20" s="10" t="s">
        <v>111</v>
      </c>
      <c r="L20" t="s">
        <v>81</v>
      </c>
      <c r="M20" s="44">
        <v>0.84699999999999998</v>
      </c>
      <c r="N20" t="s">
        <v>171</v>
      </c>
      <c r="O20" s="46">
        <v>0</v>
      </c>
      <c r="P20" s="45">
        <v>4.2599999999999999E-2</v>
      </c>
      <c r="R20" s="44">
        <v>4568227</v>
      </c>
      <c r="S20" s="42">
        <v>1</v>
      </c>
      <c r="T20" s="48">
        <v>96.53</v>
      </c>
      <c r="U20" s="44">
        <v>4409.71</v>
      </c>
      <c r="W20" s="10" t="s">
        <v>16</v>
      </c>
      <c r="X20" s="45">
        <v>2.5399999999999999E-4</v>
      </c>
      <c r="Y20" s="45">
        <v>6.6361899459572105E-2</v>
      </c>
      <c r="Z20" s="45">
        <v>1.01846585654983E-2</v>
      </c>
    </row>
    <row r="21" spans="1:26" x14ac:dyDescent="0.25">
      <c r="A21">
        <v>12904</v>
      </c>
      <c r="B21">
        <v>12905</v>
      </c>
      <c r="C21" t="s">
        <v>105</v>
      </c>
      <c r="D21" t="s">
        <v>172</v>
      </c>
      <c r="E21" t="s">
        <v>173</v>
      </c>
      <c r="F21" t="s">
        <v>108</v>
      </c>
      <c r="G21" t="s">
        <v>71</v>
      </c>
      <c r="H21" t="s">
        <v>71</v>
      </c>
      <c r="I21" t="s">
        <v>109</v>
      </c>
      <c r="J21" t="s">
        <v>110</v>
      </c>
      <c r="K21" t="s">
        <v>111</v>
      </c>
      <c r="L21" s="10" t="s">
        <v>81</v>
      </c>
      <c r="M21" s="44">
        <v>0.17499999999999999</v>
      </c>
      <c r="N21" t="s">
        <v>174</v>
      </c>
      <c r="O21" s="46">
        <v>0</v>
      </c>
      <c r="P21" s="45">
        <v>4.3270000000000003E-2</v>
      </c>
      <c r="R21" s="44">
        <v>227649</v>
      </c>
      <c r="S21" s="42">
        <v>1</v>
      </c>
      <c r="T21" s="48">
        <v>99.26</v>
      </c>
      <c r="U21" s="44">
        <v>225.964</v>
      </c>
      <c r="W21" t="s">
        <v>16</v>
      </c>
      <c r="X21" s="45">
        <v>7.9999999999999996E-6</v>
      </c>
      <c r="Y21" s="45">
        <v>2.6357182227954998E-2</v>
      </c>
      <c r="Z21" s="45">
        <v>5.2827326573715201E-3</v>
      </c>
    </row>
    <row r="22" spans="1:26" x14ac:dyDescent="0.25">
      <c r="A22">
        <v>12904</v>
      </c>
      <c r="B22">
        <v>12905</v>
      </c>
      <c r="C22" t="s">
        <v>113</v>
      </c>
      <c r="D22" t="s">
        <v>119</v>
      </c>
      <c r="E22" t="s">
        <v>120</v>
      </c>
      <c r="F22" t="s">
        <v>116</v>
      </c>
      <c r="G22" t="s">
        <v>71</v>
      </c>
      <c r="H22" t="s">
        <v>71</v>
      </c>
      <c r="I22" t="s">
        <v>117</v>
      </c>
      <c r="J22" t="s">
        <v>110</v>
      </c>
      <c r="K22" t="s">
        <v>111</v>
      </c>
      <c r="L22" s="10" t="s">
        <v>81</v>
      </c>
      <c r="M22" s="44">
        <v>17.922999999999998</v>
      </c>
      <c r="N22" t="s">
        <v>121</v>
      </c>
      <c r="O22" s="46">
        <v>0.01</v>
      </c>
      <c r="P22" s="45">
        <v>2.206E-2</v>
      </c>
      <c r="R22" s="44">
        <v>609170</v>
      </c>
      <c r="S22" s="42">
        <v>1</v>
      </c>
      <c r="T22" s="48">
        <v>94.86</v>
      </c>
      <c r="U22" s="44">
        <v>577.85900000000004</v>
      </c>
      <c r="W22" t="s">
        <v>16</v>
      </c>
      <c r="X22" s="45">
        <v>2.8E-5</v>
      </c>
      <c r="Y22" s="45">
        <v>6.7403211442088301E-2</v>
      </c>
      <c r="Z22" s="45">
        <v>1.35095300862312E-2</v>
      </c>
    </row>
    <row r="23" spans="1:26" x14ac:dyDescent="0.25">
      <c r="A23">
        <v>12904</v>
      </c>
      <c r="B23">
        <v>12905</v>
      </c>
      <c r="C23" t="s">
        <v>113</v>
      </c>
      <c r="D23" t="s">
        <v>122</v>
      </c>
      <c r="E23" t="s">
        <v>123</v>
      </c>
      <c r="F23" t="s">
        <v>116</v>
      </c>
      <c r="G23" t="s">
        <v>71</v>
      </c>
      <c r="H23" t="s">
        <v>71</v>
      </c>
      <c r="I23" t="s">
        <v>117</v>
      </c>
      <c r="J23" t="s">
        <v>110</v>
      </c>
      <c r="K23" t="s">
        <v>111</v>
      </c>
      <c r="L23" s="10" t="s">
        <v>81</v>
      </c>
      <c r="M23" s="44">
        <v>0.58399999999999996</v>
      </c>
      <c r="N23" t="s">
        <v>124</v>
      </c>
      <c r="O23" s="46">
        <v>7.4999999999999997E-3</v>
      </c>
      <c r="P23" s="45">
        <v>1.2359999999999999E-2</v>
      </c>
      <c r="R23" s="44">
        <v>509082</v>
      </c>
      <c r="S23" s="42">
        <v>1</v>
      </c>
      <c r="T23" s="48">
        <v>116.16</v>
      </c>
      <c r="U23" s="44">
        <v>591.35</v>
      </c>
      <c r="W23" t="s">
        <v>16</v>
      </c>
      <c r="X23" s="45">
        <v>2.3E-5</v>
      </c>
      <c r="Y23" s="45">
        <v>6.8976841911627798E-2</v>
      </c>
      <c r="Z23" s="45">
        <v>1.3824930609708099E-2</v>
      </c>
    </row>
    <row r="24" spans="1:26" x14ac:dyDescent="0.25">
      <c r="A24">
        <v>12904</v>
      </c>
      <c r="B24">
        <v>12905</v>
      </c>
      <c r="C24" t="s">
        <v>113</v>
      </c>
      <c r="D24" t="s">
        <v>125</v>
      </c>
      <c r="E24" t="s">
        <v>126</v>
      </c>
      <c r="F24" t="s">
        <v>116</v>
      </c>
      <c r="G24" t="s">
        <v>71</v>
      </c>
      <c r="H24" t="s">
        <v>71</v>
      </c>
      <c r="I24" t="s">
        <v>117</v>
      </c>
      <c r="J24" t="s">
        <v>110</v>
      </c>
      <c r="K24" t="s">
        <v>111</v>
      </c>
      <c r="L24" s="10" t="s">
        <v>81</v>
      </c>
      <c r="M24" s="44">
        <v>6.6459999999999999</v>
      </c>
      <c r="N24" t="s">
        <v>127</v>
      </c>
      <c r="O24" s="46">
        <v>1E-3</v>
      </c>
      <c r="P24" s="45">
        <v>2.0310000000000002E-2</v>
      </c>
      <c r="R24" s="44">
        <v>1196387</v>
      </c>
      <c r="S24" s="42">
        <v>1</v>
      </c>
      <c r="T24" s="48">
        <v>101.91</v>
      </c>
      <c r="U24" s="44">
        <v>1219.2380000000001</v>
      </c>
      <c r="W24" t="s">
        <v>16</v>
      </c>
      <c r="X24" s="45">
        <v>3.8999999999999999E-5</v>
      </c>
      <c r="Y24" s="45">
        <v>0.14221566891175599</v>
      </c>
      <c r="Z24" s="45">
        <v>2.8504084846870899E-2</v>
      </c>
    </row>
    <row r="25" spans="1:26" x14ac:dyDescent="0.25">
      <c r="A25">
        <v>12904</v>
      </c>
      <c r="B25">
        <v>12905</v>
      </c>
      <c r="C25" t="s">
        <v>128</v>
      </c>
      <c r="D25" t="s">
        <v>175</v>
      </c>
      <c r="E25" t="s">
        <v>176</v>
      </c>
      <c r="F25" t="s">
        <v>131</v>
      </c>
      <c r="G25" t="s">
        <v>71</v>
      </c>
      <c r="H25" t="s">
        <v>71</v>
      </c>
      <c r="I25" t="s">
        <v>117</v>
      </c>
      <c r="J25" t="s">
        <v>110</v>
      </c>
      <c r="K25" t="s">
        <v>111</v>
      </c>
      <c r="L25" s="10" t="s">
        <v>81</v>
      </c>
      <c r="M25" s="44">
        <v>2.391</v>
      </c>
      <c r="N25" t="s">
        <v>177</v>
      </c>
      <c r="O25" s="46">
        <v>3.7499999999999999E-2</v>
      </c>
      <c r="P25" s="45">
        <v>4.258E-2</v>
      </c>
      <c r="R25" s="44">
        <v>151063</v>
      </c>
      <c r="S25" s="42">
        <v>1</v>
      </c>
      <c r="T25" s="48">
        <v>100.68</v>
      </c>
      <c r="U25" s="44">
        <v>152.09</v>
      </c>
      <c r="W25" t="s">
        <v>16</v>
      </c>
      <c r="X25" s="45">
        <v>5.0000000000000004E-6</v>
      </c>
      <c r="Y25" s="45">
        <v>1.7740271968304799E-2</v>
      </c>
      <c r="Z25" s="45">
        <v>3.5556575534928699E-3</v>
      </c>
    </row>
    <row r="26" spans="1:26" x14ac:dyDescent="0.25">
      <c r="A26">
        <v>12904</v>
      </c>
      <c r="B26">
        <v>12905</v>
      </c>
      <c r="C26" t="s">
        <v>128</v>
      </c>
      <c r="D26" t="s">
        <v>133</v>
      </c>
      <c r="E26" t="s">
        <v>134</v>
      </c>
      <c r="F26" t="s">
        <v>131</v>
      </c>
      <c r="G26" t="s">
        <v>71</v>
      </c>
      <c r="H26" t="s">
        <v>71</v>
      </c>
      <c r="I26" t="s">
        <v>117</v>
      </c>
      <c r="J26" t="s">
        <v>110</v>
      </c>
      <c r="K26" t="s">
        <v>111</v>
      </c>
      <c r="L26" s="10" t="s">
        <v>81</v>
      </c>
      <c r="M26" s="44">
        <v>3.7010000000000001</v>
      </c>
      <c r="N26" t="s">
        <v>135</v>
      </c>
      <c r="O26" s="46">
        <v>3.7499999999999999E-2</v>
      </c>
      <c r="P26" s="45">
        <v>4.2680000000000003E-2</v>
      </c>
      <c r="R26" s="44">
        <v>900891</v>
      </c>
      <c r="S26" s="42">
        <v>1</v>
      </c>
      <c r="T26" s="48">
        <v>98.49</v>
      </c>
      <c r="U26" s="44">
        <v>887.28800000000001</v>
      </c>
      <c r="W26" t="s">
        <v>16</v>
      </c>
      <c r="X26" s="45">
        <v>2.5000000000000001E-5</v>
      </c>
      <c r="Y26" s="45">
        <v>0.10349594805629</v>
      </c>
      <c r="Z26" s="45">
        <v>2.0743546103449001E-2</v>
      </c>
    </row>
    <row r="27" spans="1:26" x14ac:dyDescent="0.25">
      <c r="A27">
        <v>12904</v>
      </c>
      <c r="B27">
        <v>12905</v>
      </c>
      <c r="C27" t="s">
        <v>128</v>
      </c>
      <c r="D27" t="s">
        <v>136</v>
      </c>
      <c r="E27" t="s">
        <v>137</v>
      </c>
      <c r="F27" t="s">
        <v>131</v>
      </c>
      <c r="G27" t="s">
        <v>71</v>
      </c>
      <c r="H27" t="s">
        <v>71</v>
      </c>
      <c r="I27" t="s">
        <v>117</v>
      </c>
      <c r="J27" t="s">
        <v>110</v>
      </c>
      <c r="K27" t="s">
        <v>111</v>
      </c>
      <c r="L27" t="s">
        <v>81</v>
      </c>
      <c r="M27" s="44">
        <v>1.9770000000000001</v>
      </c>
      <c r="N27" t="s">
        <v>138</v>
      </c>
      <c r="O27" s="46">
        <v>0.02</v>
      </c>
      <c r="P27" s="45">
        <v>4.224E-2</v>
      </c>
      <c r="R27" s="44">
        <v>32343</v>
      </c>
      <c r="S27" s="42">
        <v>1</v>
      </c>
      <c r="T27" s="48">
        <v>95.83</v>
      </c>
      <c r="U27" s="44">
        <v>30.994</v>
      </c>
      <c r="W27" t="s">
        <v>16</v>
      </c>
      <c r="X27" s="45">
        <v>9.9999999999999995E-7</v>
      </c>
      <c r="Y27" s="45">
        <v>3.6152701081247499E-3</v>
      </c>
      <c r="Z27" s="45">
        <v>7.2460346103132996E-4</v>
      </c>
    </row>
    <row r="28" spans="1:26" x14ac:dyDescent="0.25">
      <c r="A28">
        <v>12904</v>
      </c>
      <c r="B28">
        <v>12905</v>
      </c>
      <c r="C28" t="s">
        <v>113</v>
      </c>
      <c r="D28" t="s">
        <v>145</v>
      </c>
      <c r="E28" t="s">
        <v>146</v>
      </c>
      <c r="F28" t="s">
        <v>116</v>
      </c>
      <c r="G28" t="s">
        <v>71</v>
      </c>
      <c r="H28" t="s">
        <v>71</v>
      </c>
      <c r="I28" t="s">
        <v>117</v>
      </c>
      <c r="J28" t="s">
        <v>110</v>
      </c>
      <c r="K28" t="s">
        <v>111</v>
      </c>
      <c r="L28" t="s">
        <v>81</v>
      </c>
      <c r="M28" s="44">
        <v>9.1519999999999992</v>
      </c>
      <c r="N28" t="s">
        <v>147</v>
      </c>
      <c r="O28" s="46">
        <v>0.04</v>
      </c>
      <c r="P28" s="45">
        <v>2.1219999999999999E-2</v>
      </c>
      <c r="R28" s="44">
        <v>232156</v>
      </c>
      <c r="S28" s="42">
        <v>1</v>
      </c>
      <c r="T28" s="48">
        <v>167.49</v>
      </c>
      <c r="U28" s="44">
        <v>388.83800000000002</v>
      </c>
      <c r="W28" t="s">
        <v>16</v>
      </c>
      <c r="X28" s="45">
        <v>1.5E-5</v>
      </c>
      <c r="Y28" s="45">
        <v>4.53552699700637E-2</v>
      </c>
      <c r="Z28" s="45">
        <v>9.0904924427252405E-3</v>
      </c>
    </row>
    <row r="29" spans="1:26" x14ac:dyDescent="0.25">
      <c r="A29">
        <v>12904</v>
      </c>
      <c r="B29">
        <v>12905</v>
      </c>
      <c r="C29" t="s">
        <v>178</v>
      </c>
      <c r="D29" t="s">
        <v>179</v>
      </c>
      <c r="E29" t="s">
        <v>180</v>
      </c>
      <c r="F29" t="s">
        <v>181</v>
      </c>
      <c r="G29" t="s">
        <v>71</v>
      </c>
      <c r="H29" t="s">
        <v>71</v>
      </c>
      <c r="I29" t="s">
        <v>117</v>
      </c>
      <c r="J29" t="s">
        <v>110</v>
      </c>
      <c r="K29" t="s">
        <v>111</v>
      </c>
      <c r="L29" t="s">
        <v>81</v>
      </c>
      <c r="M29" s="44">
        <v>1.1379999999999999</v>
      </c>
      <c r="N29" t="s">
        <v>182</v>
      </c>
      <c r="O29" s="46">
        <v>4.3200000000000002E-2</v>
      </c>
      <c r="P29" s="45">
        <v>4.5109999999999997E-2</v>
      </c>
      <c r="R29" s="44">
        <v>330309</v>
      </c>
      <c r="S29" s="42">
        <v>1</v>
      </c>
      <c r="T29" s="48">
        <v>100.16</v>
      </c>
      <c r="U29" s="44">
        <v>330.83699999999999</v>
      </c>
      <c r="W29" t="s">
        <v>16</v>
      </c>
      <c r="X29" s="45">
        <v>1.5999999999999999E-5</v>
      </c>
      <c r="Y29" s="45">
        <v>3.8589902781476199E-2</v>
      </c>
      <c r="Z29" s="45">
        <v>7.7345194909445797E-3</v>
      </c>
    </row>
    <row r="30" spans="1:26" x14ac:dyDescent="0.25">
      <c r="A30">
        <v>12904</v>
      </c>
      <c r="B30">
        <v>12905</v>
      </c>
      <c r="C30" t="s">
        <v>113</v>
      </c>
      <c r="D30" t="s">
        <v>151</v>
      </c>
      <c r="E30" t="s">
        <v>152</v>
      </c>
      <c r="F30" t="s">
        <v>116</v>
      </c>
      <c r="G30" t="s">
        <v>71</v>
      </c>
      <c r="H30" t="s">
        <v>71</v>
      </c>
      <c r="I30" t="s">
        <v>117</v>
      </c>
      <c r="J30" t="s">
        <v>110</v>
      </c>
      <c r="K30" t="s">
        <v>111</v>
      </c>
      <c r="L30" t="s">
        <v>81</v>
      </c>
      <c r="M30" s="44">
        <v>4.1150000000000002</v>
      </c>
      <c r="N30" t="s">
        <v>153</v>
      </c>
      <c r="O30" s="46">
        <v>5.0000000000000001E-3</v>
      </c>
      <c r="P30" s="45">
        <v>1.9689999999999999E-2</v>
      </c>
      <c r="R30" s="44">
        <v>1030677</v>
      </c>
      <c r="S30" s="42">
        <v>1</v>
      </c>
      <c r="T30" s="48">
        <v>109.42</v>
      </c>
      <c r="U30" s="44">
        <v>1127.7670000000001</v>
      </c>
      <c r="W30" t="s">
        <v>16</v>
      </c>
      <c r="X30" s="45">
        <v>3.6999999999999998E-5</v>
      </c>
      <c r="Y30" s="45">
        <v>0.13154618470501001</v>
      </c>
      <c r="Z30" s="45">
        <v>2.6365615257488699E-2</v>
      </c>
    </row>
    <row r="31" spans="1:26" x14ac:dyDescent="0.25">
      <c r="A31">
        <v>12904</v>
      </c>
      <c r="B31">
        <v>12905</v>
      </c>
      <c r="C31" t="s">
        <v>113</v>
      </c>
      <c r="D31" t="s">
        <v>154</v>
      </c>
      <c r="E31" t="s">
        <v>155</v>
      </c>
      <c r="F31" t="s">
        <v>116</v>
      </c>
      <c r="G31" t="s">
        <v>71</v>
      </c>
      <c r="H31" t="s">
        <v>71</v>
      </c>
      <c r="I31" t="s">
        <v>117</v>
      </c>
      <c r="J31" t="s">
        <v>110</v>
      </c>
      <c r="K31" t="s">
        <v>111</v>
      </c>
      <c r="L31" t="s">
        <v>81</v>
      </c>
      <c r="M31" s="44">
        <v>1.331</v>
      </c>
      <c r="N31" t="s">
        <v>156</v>
      </c>
      <c r="O31" s="46">
        <v>1E-3</v>
      </c>
      <c r="P31" s="45">
        <v>1.9599999999999999E-2</v>
      </c>
      <c r="R31" s="44">
        <v>279189</v>
      </c>
      <c r="S31" s="42">
        <v>1</v>
      </c>
      <c r="T31" s="48">
        <v>112.95</v>
      </c>
      <c r="U31" s="44">
        <v>315.34399999999999</v>
      </c>
      <c r="W31" t="s">
        <v>16</v>
      </c>
      <c r="X31" s="45">
        <v>1.4E-5</v>
      </c>
      <c r="Y31" s="45">
        <v>3.6782691089287903E-2</v>
      </c>
      <c r="Z31" s="45">
        <v>7.3723026142489797E-3</v>
      </c>
    </row>
    <row r="32" spans="1:26" x14ac:dyDescent="0.25">
      <c r="A32">
        <v>12904</v>
      </c>
      <c r="B32">
        <v>12905</v>
      </c>
      <c r="C32" t="s">
        <v>113</v>
      </c>
      <c r="D32" t="s">
        <v>157</v>
      </c>
      <c r="E32" t="s">
        <v>158</v>
      </c>
      <c r="F32" t="s">
        <v>116</v>
      </c>
      <c r="G32" t="s">
        <v>71</v>
      </c>
      <c r="H32" t="s">
        <v>71</v>
      </c>
      <c r="I32" t="s">
        <v>117</v>
      </c>
      <c r="J32" t="s">
        <v>110</v>
      </c>
      <c r="K32" t="s">
        <v>111</v>
      </c>
      <c r="L32" t="s">
        <v>81</v>
      </c>
      <c r="M32" s="44">
        <v>3.52</v>
      </c>
      <c r="N32" t="s">
        <v>159</v>
      </c>
      <c r="O32" s="46">
        <v>1.0999999999999999E-2</v>
      </c>
      <c r="P32" s="45">
        <v>1.9820000000000001E-2</v>
      </c>
      <c r="R32" s="44">
        <v>941644</v>
      </c>
      <c r="S32" s="42">
        <v>1</v>
      </c>
      <c r="T32" s="48">
        <v>101.93</v>
      </c>
      <c r="U32" s="44">
        <v>959.81799999999998</v>
      </c>
      <c r="W32" t="s">
        <v>16</v>
      </c>
      <c r="X32" s="45">
        <v>3.1999999999999999E-5</v>
      </c>
      <c r="Y32" s="45">
        <v>0.111956091690692</v>
      </c>
      <c r="Z32" s="45">
        <v>2.2439200694936601E-2</v>
      </c>
    </row>
    <row r="33" spans="1:26" x14ac:dyDescent="0.25">
      <c r="A33">
        <v>12904</v>
      </c>
      <c r="B33">
        <v>12905</v>
      </c>
      <c r="C33" t="s">
        <v>113</v>
      </c>
      <c r="D33" t="s">
        <v>160</v>
      </c>
      <c r="E33" t="s">
        <v>161</v>
      </c>
      <c r="F33" t="s">
        <v>116</v>
      </c>
      <c r="G33" t="s">
        <v>71</v>
      </c>
      <c r="H33" t="s">
        <v>71</v>
      </c>
      <c r="I33" t="s">
        <v>109</v>
      </c>
      <c r="J33" t="s">
        <v>110</v>
      </c>
      <c r="K33" t="s">
        <v>111</v>
      </c>
      <c r="L33" t="s">
        <v>81</v>
      </c>
      <c r="M33" s="44">
        <v>8.0280000000000005</v>
      </c>
      <c r="N33" t="s">
        <v>162</v>
      </c>
      <c r="O33" s="46">
        <v>1.6E-2</v>
      </c>
      <c r="P33" s="45">
        <v>2.0969999999999999E-2</v>
      </c>
      <c r="R33" s="44">
        <v>1214113</v>
      </c>
      <c r="S33" s="42">
        <v>1</v>
      </c>
      <c r="T33" s="48">
        <v>100.49</v>
      </c>
      <c r="U33" s="44">
        <v>1220.0619999999999</v>
      </c>
      <c r="W33" t="s">
        <v>16</v>
      </c>
      <c r="X33" s="45">
        <v>6.0000000000000002E-5</v>
      </c>
      <c r="Y33" s="45">
        <v>0.142311801702006</v>
      </c>
      <c r="Z33" s="45">
        <v>2.8523352605696901E-2</v>
      </c>
    </row>
    <row r="34" spans="1:26" x14ac:dyDescent="0.25">
      <c r="A34">
        <v>12904</v>
      </c>
      <c r="B34">
        <v>12905</v>
      </c>
      <c r="C34" t="s">
        <v>128</v>
      </c>
      <c r="D34" t="s">
        <v>163</v>
      </c>
      <c r="E34" t="s">
        <v>164</v>
      </c>
      <c r="F34" t="s">
        <v>131</v>
      </c>
      <c r="G34" t="s">
        <v>71</v>
      </c>
      <c r="H34" t="s">
        <v>71</v>
      </c>
      <c r="I34" t="s">
        <v>117</v>
      </c>
      <c r="J34" t="s">
        <v>110</v>
      </c>
      <c r="K34" t="s">
        <v>111</v>
      </c>
      <c r="L34" t="s">
        <v>81</v>
      </c>
      <c r="M34" s="44">
        <v>10.805999999999999</v>
      </c>
      <c r="N34" t="s">
        <v>165</v>
      </c>
      <c r="O34" s="46">
        <v>1.4999999999999999E-2</v>
      </c>
      <c r="P34" s="45">
        <v>4.616E-2</v>
      </c>
      <c r="R34" s="44">
        <v>161681</v>
      </c>
      <c r="S34" s="42">
        <v>1</v>
      </c>
      <c r="T34" s="48">
        <v>72.72</v>
      </c>
      <c r="U34" s="44">
        <v>117.574</v>
      </c>
      <c r="W34" t="s">
        <v>16</v>
      </c>
      <c r="X34" s="45">
        <v>5.0000000000000004E-6</v>
      </c>
      <c r="Y34" s="45">
        <v>1.37142423022659E-2</v>
      </c>
      <c r="Z34" s="45">
        <v>2.7487261367584799E-3</v>
      </c>
    </row>
    <row r="35" spans="1:26" x14ac:dyDescent="0.25">
      <c r="A35">
        <v>12904</v>
      </c>
      <c r="B35">
        <v>12905</v>
      </c>
      <c r="C35" t="s">
        <v>128</v>
      </c>
      <c r="D35" t="s">
        <v>166</v>
      </c>
      <c r="E35" t="s">
        <v>167</v>
      </c>
      <c r="F35" t="s">
        <v>131</v>
      </c>
      <c r="G35" t="s">
        <v>71</v>
      </c>
      <c r="H35" t="s">
        <v>71</v>
      </c>
      <c r="I35" t="s">
        <v>117</v>
      </c>
      <c r="J35" t="s">
        <v>110</v>
      </c>
      <c r="K35" t="s">
        <v>111</v>
      </c>
      <c r="L35" t="s">
        <v>81</v>
      </c>
      <c r="M35" s="44">
        <v>6.681</v>
      </c>
      <c r="N35" t="s">
        <v>168</v>
      </c>
      <c r="O35" s="46">
        <v>1.2999999999999999E-2</v>
      </c>
      <c r="P35" s="45">
        <v>4.3790000000000003E-2</v>
      </c>
      <c r="R35" s="44">
        <v>123403</v>
      </c>
      <c r="S35" s="42">
        <v>1</v>
      </c>
      <c r="T35" s="48">
        <v>82.78</v>
      </c>
      <c r="U35" s="44">
        <v>102.15300000000001</v>
      </c>
      <c r="W35" t="s">
        <v>16</v>
      </c>
      <c r="X35" s="45">
        <v>3.9999999999999998E-6</v>
      </c>
      <c r="Y35" s="45">
        <v>1.1915440470830201E-2</v>
      </c>
      <c r="Z35" s="45">
        <v>2.3881948365276598E-3</v>
      </c>
    </row>
    <row r="36" spans="1:26" x14ac:dyDescent="0.25">
      <c r="A36">
        <v>12904</v>
      </c>
      <c r="B36">
        <v>12905</v>
      </c>
      <c r="C36" t="s">
        <v>105</v>
      </c>
      <c r="D36" t="s">
        <v>169</v>
      </c>
      <c r="E36" t="s">
        <v>170</v>
      </c>
      <c r="F36" t="s">
        <v>108</v>
      </c>
      <c r="G36" t="s">
        <v>71</v>
      </c>
      <c r="H36" t="s">
        <v>71</v>
      </c>
      <c r="I36" t="s">
        <v>109</v>
      </c>
      <c r="J36" t="s">
        <v>110</v>
      </c>
      <c r="K36" t="s">
        <v>111</v>
      </c>
      <c r="L36" t="s">
        <v>81</v>
      </c>
      <c r="M36" s="44">
        <v>0.84699999999999998</v>
      </c>
      <c r="N36" t="s">
        <v>171</v>
      </c>
      <c r="O36" s="46">
        <v>0</v>
      </c>
      <c r="P36" s="45">
        <v>4.2599999999999999E-2</v>
      </c>
      <c r="R36" s="44">
        <v>104156</v>
      </c>
      <c r="S36" s="42">
        <v>1</v>
      </c>
      <c r="T36" s="48">
        <v>96.53</v>
      </c>
      <c r="U36" s="44">
        <v>100.542</v>
      </c>
      <c r="W36" t="s">
        <v>16</v>
      </c>
      <c r="X36" s="45">
        <v>6.0000000000000002E-6</v>
      </c>
      <c r="Y36" s="45">
        <v>1.17275032115825E-2</v>
      </c>
      <c r="Z36" s="45">
        <v>2.3505268381666098E-3</v>
      </c>
    </row>
    <row r="37" spans="1:26" x14ac:dyDescent="0.25">
      <c r="A37">
        <v>12904</v>
      </c>
      <c r="B37">
        <v>12905</v>
      </c>
      <c r="C37" t="s">
        <v>105</v>
      </c>
      <c r="D37" t="s">
        <v>183</v>
      </c>
      <c r="E37" t="s">
        <v>184</v>
      </c>
      <c r="F37" t="s">
        <v>108</v>
      </c>
      <c r="G37" t="s">
        <v>71</v>
      </c>
      <c r="H37" t="s">
        <v>71</v>
      </c>
      <c r="I37" t="s">
        <v>109</v>
      </c>
      <c r="J37" t="s">
        <v>110</v>
      </c>
      <c r="K37" t="s">
        <v>111</v>
      </c>
      <c r="L37" t="s">
        <v>81</v>
      </c>
      <c r="M37" s="44">
        <v>0.34799999999999998</v>
      </c>
      <c r="N37" t="s">
        <v>185</v>
      </c>
      <c r="O37" s="46">
        <v>0</v>
      </c>
      <c r="P37" s="45">
        <v>4.2869999999999998E-2</v>
      </c>
      <c r="R37" s="44">
        <v>228761</v>
      </c>
      <c r="S37" s="42">
        <v>1</v>
      </c>
      <c r="T37" s="48">
        <v>98.55</v>
      </c>
      <c r="U37" s="44">
        <v>225.44399999999999</v>
      </c>
      <c r="W37" t="s">
        <v>16</v>
      </c>
      <c r="X37" s="45">
        <v>1.9000000000000001E-5</v>
      </c>
      <c r="Y37" s="45">
        <v>2.62964774506389E-2</v>
      </c>
      <c r="Z37" s="45">
        <v>5.2705656849382403E-3</v>
      </c>
    </row>
    <row r="38" spans="1:26" x14ac:dyDescent="0.25">
      <c r="A38">
        <v>424</v>
      </c>
      <c r="B38">
        <v>7228</v>
      </c>
      <c r="C38" t="s">
        <v>105</v>
      </c>
      <c r="D38" t="s">
        <v>172</v>
      </c>
      <c r="E38" t="s">
        <v>173</v>
      </c>
      <c r="F38" t="s">
        <v>108</v>
      </c>
      <c r="G38" t="s">
        <v>71</v>
      </c>
      <c r="H38" t="s">
        <v>71</v>
      </c>
      <c r="I38" t="s">
        <v>109</v>
      </c>
      <c r="J38" t="s">
        <v>110</v>
      </c>
      <c r="K38" t="s">
        <v>111</v>
      </c>
      <c r="L38" t="s">
        <v>81</v>
      </c>
      <c r="M38" s="44">
        <v>0.17499999999999999</v>
      </c>
      <c r="N38" t="s">
        <v>174</v>
      </c>
      <c r="O38" s="46">
        <v>0</v>
      </c>
      <c r="P38" s="45">
        <v>4.3270000000000003E-2</v>
      </c>
      <c r="R38" s="44">
        <v>432308</v>
      </c>
      <c r="S38" s="42">
        <v>1</v>
      </c>
      <c r="T38" s="48">
        <v>99.26</v>
      </c>
      <c r="U38" s="44">
        <v>429.10899999999998</v>
      </c>
      <c r="W38" t="s">
        <v>16</v>
      </c>
      <c r="X38" s="45">
        <v>1.4E-5</v>
      </c>
      <c r="Y38" s="45">
        <v>1.6380521945349E-3</v>
      </c>
      <c r="Z38" s="45">
        <v>1.7483747262836999E-4</v>
      </c>
    </row>
    <row r="39" spans="1:26" x14ac:dyDescent="0.25">
      <c r="A39">
        <v>424</v>
      </c>
      <c r="B39">
        <v>7228</v>
      </c>
      <c r="C39" t="s">
        <v>105</v>
      </c>
      <c r="D39" t="s">
        <v>186</v>
      </c>
      <c r="E39" t="s">
        <v>187</v>
      </c>
      <c r="F39" t="s">
        <v>108</v>
      </c>
      <c r="G39" t="s">
        <v>71</v>
      </c>
      <c r="H39" t="s">
        <v>71</v>
      </c>
      <c r="I39" t="s">
        <v>109</v>
      </c>
      <c r="J39" t="s">
        <v>110</v>
      </c>
      <c r="K39" t="s">
        <v>111</v>
      </c>
      <c r="L39" t="s">
        <v>81</v>
      </c>
      <c r="M39" s="44">
        <v>0.252</v>
      </c>
      <c r="N39" t="s">
        <v>188</v>
      </c>
      <c r="O39" s="46">
        <v>0</v>
      </c>
      <c r="P39" s="45">
        <v>4.2770000000000002E-2</v>
      </c>
      <c r="R39" s="44">
        <v>14666000</v>
      </c>
      <c r="S39" s="42">
        <v>1</v>
      </c>
      <c r="T39" s="48">
        <v>98.95</v>
      </c>
      <c r="U39" s="44">
        <v>14512.007</v>
      </c>
      <c r="W39" t="s">
        <v>16</v>
      </c>
      <c r="X39" s="45">
        <v>1.222E-3</v>
      </c>
      <c r="Y39" s="45">
        <v>5.5397181837045201E-2</v>
      </c>
      <c r="Z39" s="45">
        <v>5.9128172444305399E-3</v>
      </c>
    </row>
    <row r="40" spans="1:26" x14ac:dyDescent="0.25">
      <c r="A40">
        <v>424</v>
      </c>
      <c r="B40">
        <v>7228</v>
      </c>
      <c r="C40" t="s">
        <v>113</v>
      </c>
      <c r="D40" t="s">
        <v>119</v>
      </c>
      <c r="E40" t="s">
        <v>120</v>
      </c>
      <c r="F40" t="s">
        <v>116</v>
      </c>
      <c r="G40" t="s">
        <v>71</v>
      </c>
      <c r="H40" t="s">
        <v>71</v>
      </c>
      <c r="I40" t="s">
        <v>117</v>
      </c>
      <c r="J40" t="s">
        <v>110</v>
      </c>
      <c r="K40" t="s">
        <v>111</v>
      </c>
      <c r="L40" t="s">
        <v>81</v>
      </c>
      <c r="M40" s="44">
        <v>17.922999999999998</v>
      </c>
      <c r="N40" t="s">
        <v>121</v>
      </c>
      <c r="O40" s="46">
        <v>0.01</v>
      </c>
      <c r="P40" s="45">
        <v>2.206E-2</v>
      </c>
      <c r="R40" s="44">
        <v>47140437</v>
      </c>
      <c r="S40" s="42">
        <v>1</v>
      </c>
      <c r="T40" s="48">
        <v>94.86</v>
      </c>
      <c r="U40" s="44">
        <v>44717.419000000002</v>
      </c>
      <c r="W40" t="s">
        <v>16</v>
      </c>
      <c r="X40" s="45">
        <v>2.1359999999999999E-3</v>
      </c>
      <c r="Y40" s="45">
        <v>0.170701334835624</v>
      </c>
      <c r="Z40" s="45">
        <v>1.82198040187747E-2</v>
      </c>
    </row>
    <row r="41" spans="1:26" x14ac:dyDescent="0.25">
      <c r="A41">
        <v>424</v>
      </c>
      <c r="B41">
        <v>7228</v>
      </c>
      <c r="C41" t="s">
        <v>113</v>
      </c>
      <c r="D41" t="s">
        <v>122</v>
      </c>
      <c r="E41" t="s">
        <v>123</v>
      </c>
      <c r="F41" t="s">
        <v>116</v>
      </c>
      <c r="G41" t="s">
        <v>71</v>
      </c>
      <c r="H41" t="s">
        <v>71</v>
      </c>
      <c r="I41" t="s">
        <v>117</v>
      </c>
      <c r="J41" t="s">
        <v>110</v>
      </c>
      <c r="K41" t="s">
        <v>111</v>
      </c>
      <c r="L41" t="s">
        <v>81</v>
      </c>
      <c r="M41" s="44">
        <v>0.58399999999999996</v>
      </c>
      <c r="N41" t="s">
        <v>124</v>
      </c>
      <c r="O41" s="46">
        <v>7.4999999999999997E-3</v>
      </c>
      <c r="P41" s="45">
        <v>1.2359999999999999E-2</v>
      </c>
      <c r="R41" s="44">
        <v>3645174</v>
      </c>
      <c r="S41" s="42">
        <v>1</v>
      </c>
      <c r="T41" s="48">
        <v>116.16</v>
      </c>
      <c r="U41" s="44">
        <v>4234.2340000000004</v>
      </c>
      <c r="W41" t="s">
        <v>16</v>
      </c>
      <c r="X41" s="45">
        <v>1.6799999999999999E-4</v>
      </c>
      <c r="Y41" s="45">
        <v>1.61634870626527E-2</v>
      </c>
      <c r="Z41" s="45">
        <v>1.72520951183607E-3</v>
      </c>
    </row>
    <row r="42" spans="1:26" x14ac:dyDescent="0.25">
      <c r="A42">
        <v>424</v>
      </c>
      <c r="B42">
        <v>7228</v>
      </c>
      <c r="C42" t="s">
        <v>113</v>
      </c>
      <c r="D42" t="s">
        <v>125</v>
      </c>
      <c r="E42" t="s">
        <v>126</v>
      </c>
      <c r="F42" t="s">
        <v>116</v>
      </c>
      <c r="G42" t="s">
        <v>71</v>
      </c>
      <c r="H42" t="s">
        <v>71</v>
      </c>
      <c r="I42" t="s">
        <v>117</v>
      </c>
      <c r="J42" t="s">
        <v>110</v>
      </c>
      <c r="K42" t="s">
        <v>111</v>
      </c>
      <c r="L42" t="s">
        <v>81</v>
      </c>
      <c r="M42" s="44">
        <v>6.6459999999999999</v>
      </c>
      <c r="N42" t="s">
        <v>127</v>
      </c>
      <c r="O42" s="46">
        <v>1E-3</v>
      </c>
      <c r="P42" s="45">
        <v>2.0310000000000002E-2</v>
      </c>
      <c r="R42" s="44">
        <v>25265700</v>
      </c>
      <c r="S42" s="42">
        <v>1</v>
      </c>
      <c r="T42" s="48">
        <v>101.91</v>
      </c>
      <c r="U42" s="44">
        <v>25748.275000000001</v>
      </c>
      <c r="W42" t="s">
        <v>16</v>
      </c>
      <c r="X42" s="45">
        <v>8.2299999999999995E-4</v>
      </c>
      <c r="Y42" s="45">
        <v>9.8289772390794103E-2</v>
      </c>
      <c r="Z42" s="45">
        <v>1.04909571546977E-2</v>
      </c>
    </row>
    <row r="43" spans="1:26" x14ac:dyDescent="0.25">
      <c r="A43">
        <v>424</v>
      </c>
      <c r="B43">
        <v>7228</v>
      </c>
      <c r="C43" t="s">
        <v>128</v>
      </c>
      <c r="D43" t="s">
        <v>136</v>
      </c>
      <c r="E43" t="s">
        <v>137</v>
      </c>
      <c r="F43" t="s">
        <v>131</v>
      </c>
      <c r="G43" t="s">
        <v>71</v>
      </c>
      <c r="H43" t="s">
        <v>71</v>
      </c>
      <c r="I43" t="s">
        <v>117</v>
      </c>
      <c r="J43" t="s">
        <v>110</v>
      </c>
      <c r="K43" t="s">
        <v>111</v>
      </c>
      <c r="L43" t="s">
        <v>81</v>
      </c>
      <c r="M43" s="44">
        <v>1.9770000000000001</v>
      </c>
      <c r="N43" t="s">
        <v>138</v>
      </c>
      <c r="O43" s="46">
        <v>0.02</v>
      </c>
      <c r="P43" s="45">
        <v>4.224E-2</v>
      </c>
      <c r="R43" s="44">
        <v>4286562</v>
      </c>
      <c r="S43" s="42">
        <v>1</v>
      </c>
      <c r="T43" s="48">
        <v>95.83</v>
      </c>
      <c r="U43" s="44">
        <v>4107.8119999999999</v>
      </c>
      <c r="W43" t="s">
        <v>16</v>
      </c>
      <c r="X43" s="45">
        <v>1.5200000000000001E-4</v>
      </c>
      <c r="Y43" s="45">
        <v>1.5680892967747901E-2</v>
      </c>
      <c r="Z43" s="45">
        <v>1.6736998394703E-3</v>
      </c>
    </row>
    <row r="44" spans="1:26" x14ac:dyDescent="0.25">
      <c r="A44">
        <v>424</v>
      </c>
      <c r="B44">
        <v>7228</v>
      </c>
      <c r="C44" t="s">
        <v>128</v>
      </c>
      <c r="D44" t="s">
        <v>139</v>
      </c>
      <c r="E44" t="s">
        <v>140</v>
      </c>
      <c r="F44" t="s">
        <v>131</v>
      </c>
      <c r="G44" t="s">
        <v>71</v>
      </c>
      <c r="H44" t="s">
        <v>71</v>
      </c>
      <c r="I44" t="s">
        <v>117</v>
      </c>
      <c r="J44" t="s">
        <v>110</v>
      </c>
      <c r="K44" t="s">
        <v>111</v>
      </c>
      <c r="L44" t="s">
        <v>81</v>
      </c>
      <c r="M44" s="44">
        <v>14.74</v>
      </c>
      <c r="N44" t="s">
        <v>141</v>
      </c>
      <c r="O44" s="46">
        <v>3.7499999999999999E-2</v>
      </c>
      <c r="P44" s="45">
        <v>4.8599999999999997E-2</v>
      </c>
      <c r="R44" s="44">
        <v>17785914</v>
      </c>
      <c r="S44" s="42">
        <v>1</v>
      </c>
      <c r="T44" s="48">
        <v>85.21</v>
      </c>
      <c r="U44" s="44">
        <v>15155.377</v>
      </c>
      <c r="W44" t="s">
        <v>16</v>
      </c>
      <c r="X44" s="45">
        <v>6.78E-4</v>
      </c>
      <c r="Y44" s="45">
        <v>5.7853141413991303E-2</v>
      </c>
      <c r="Z44" s="45">
        <v>6.1749540473622798E-3</v>
      </c>
    </row>
    <row r="45" spans="1:26" x14ac:dyDescent="0.25">
      <c r="A45">
        <v>424</v>
      </c>
      <c r="B45">
        <v>7228</v>
      </c>
      <c r="C45" t="s">
        <v>113</v>
      </c>
      <c r="D45" t="s">
        <v>142</v>
      </c>
      <c r="E45" t="s">
        <v>143</v>
      </c>
      <c r="F45" t="s">
        <v>116</v>
      </c>
      <c r="G45" t="s">
        <v>71</v>
      </c>
      <c r="H45" t="s">
        <v>71</v>
      </c>
      <c r="I45" t="s">
        <v>117</v>
      </c>
      <c r="J45" t="s">
        <v>110</v>
      </c>
      <c r="K45" t="s">
        <v>111</v>
      </c>
      <c r="L45" t="s">
        <v>81</v>
      </c>
      <c r="M45" s="44">
        <v>13.379</v>
      </c>
      <c r="N45" t="s">
        <v>144</v>
      </c>
      <c r="O45" s="46">
        <v>2.75E-2</v>
      </c>
      <c r="P45" s="45">
        <v>2.1399999999999999E-2</v>
      </c>
      <c r="R45" s="44">
        <v>1271754</v>
      </c>
      <c r="S45" s="42">
        <v>1</v>
      </c>
      <c r="T45" s="48">
        <v>136.1</v>
      </c>
      <c r="U45" s="44">
        <v>1730.857</v>
      </c>
      <c r="W45" t="s">
        <v>16</v>
      </c>
      <c r="X45" s="45">
        <v>6.4999999999999994E-5</v>
      </c>
      <c r="Y45" s="45">
        <v>6.6072605057299E-3</v>
      </c>
      <c r="Z45" s="45">
        <v>7.0522583570486498E-4</v>
      </c>
    </row>
    <row r="46" spans="1:26" x14ac:dyDescent="0.25">
      <c r="A46">
        <v>424</v>
      </c>
      <c r="B46">
        <v>7228</v>
      </c>
      <c r="C46" t="s">
        <v>113</v>
      </c>
      <c r="D46" t="s">
        <v>145</v>
      </c>
      <c r="E46" t="s">
        <v>146</v>
      </c>
      <c r="F46" t="s">
        <v>116</v>
      </c>
      <c r="G46" t="s">
        <v>71</v>
      </c>
      <c r="H46" t="s">
        <v>71</v>
      </c>
      <c r="I46" t="s">
        <v>117</v>
      </c>
      <c r="J46" t="s">
        <v>110</v>
      </c>
      <c r="K46" t="s">
        <v>111</v>
      </c>
      <c r="L46" t="s">
        <v>81</v>
      </c>
      <c r="M46" s="44">
        <v>9.1519999999999992</v>
      </c>
      <c r="N46" t="s">
        <v>147</v>
      </c>
      <c r="O46" s="46">
        <v>0.04</v>
      </c>
      <c r="P46" s="45">
        <v>2.1219999999999999E-2</v>
      </c>
      <c r="R46" s="44">
        <v>2823111</v>
      </c>
      <c r="S46" s="42">
        <v>1</v>
      </c>
      <c r="T46" s="48">
        <v>167.49</v>
      </c>
      <c r="U46" s="44">
        <v>4728.4290000000001</v>
      </c>
      <c r="W46" t="s">
        <v>16</v>
      </c>
      <c r="X46" s="45">
        <v>1.7699999999999999E-4</v>
      </c>
      <c r="Y46" s="45">
        <v>1.8049992652822301E-2</v>
      </c>
      <c r="Z46" s="45">
        <v>1.92656565334669E-3</v>
      </c>
    </row>
    <row r="47" spans="1:26" x14ac:dyDescent="0.25">
      <c r="A47">
        <v>424</v>
      </c>
      <c r="B47">
        <v>7228</v>
      </c>
      <c r="C47" t="s">
        <v>128</v>
      </c>
      <c r="D47" t="s">
        <v>148</v>
      </c>
      <c r="E47" t="s">
        <v>149</v>
      </c>
      <c r="F47" t="s">
        <v>131</v>
      </c>
      <c r="G47" t="s">
        <v>71</v>
      </c>
      <c r="H47" t="s">
        <v>71</v>
      </c>
      <c r="I47" t="s">
        <v>117</v>
      </c>
      <c r="J47" t="s">
        <v>110</v>
      </c>
      <c r="K47" t="s">
        <v>111</v>
      </c>
      <c r="L47" t="s">
        <v>81</v>
      </c>
      <c r="M47" s="44">
        <v>11.552</v>
      </c>
      <c r="N47" t="s">
        <v>150</v>
      </c>
      <c r="O47" s="46">
        <v>5.5E-2</v>
      </c>
      <c r="P47" s="45">
        <v>4.7300000000000002E-2</v>
      </c>
      <c r="R47" s="44">
        <v>1794526</v>
      </c>
      <c r="S47" s="42">
        <v>1</v>
      </c>
      <c r="T47" s="48">
        <v>109.69</v>
      </c>
      <c r="U47" s="44">
        <v>1968.4159999999999</v>
      </c>
      <c r="W47" t="s">
        <v>16</v>
      </c>
      <c r="X47" s="45">
        <v>6.6000000000000005E-5</v>
      </c>
      <c r="Y47" s="45">
        <v>7.5141002363713497E-3</v>
      </c>
      <c r="Z47" s="45">
        <v>8.0201735865713603E-4</v>
      </c>
    </row>
    <row r="48" spans="1:26" x14ac:dyDescent="0.25">
      <c r="A48">
        <v>424</v>
      </c>
      <c r="B48">
        <v>7228</v>
      </c>
      <c r="C48" t="s">
        <v>113</v>
      </c>
      <c r="D48" t="s">
        <v>151</v>
      </c>
      <c r="E48" t="s">
        <v>152</v>
      </c>
      <c r="F48" t="s">
        <v>116</v>
      </c>
      <c r="G48" t="s">
        <v>71</v>
      </c>
      <c r="H48" t="s">
        <v>71</v>
      </c>
      <c r="I48" t="s">
        <v>117</v>
      </c>
      <c r="J48" t="s">
        <v>110</v>
      </c>
      <c r="K48" t="s">
        <v>111</v>
      </c>
      <c r="L48" t="s">
        <v>81</v>
      </c>
      <c r="M48" s="44">
        <v>4.1150000000000002</v>
      </c>
      <c r="N48" t="s">
        <v>153</v>
      </c>
      <c r="O48" s="46">
        <v>5.0000000000000001E-3</v>
      </c>
      <c r="P48" s="45">
        <v>1.9689999999999999E-2</v>
      </c>
      <c r="R48" s="44">
        <v>16051533</v>
      </c>
      <c r="S48" s="42">
        <v>1</v>
      </c>
      <c r="T48" s="48">
        <v>109.42</v>
      </c>
      <c r="U48" s="44">
        <v>17563.587</v>
      </c>
      <c r="W48" t="s">
        <v>16</v>
      </c>
      <c r="X48" s="45">
        <v>5.8399999999999999E-4</v>
      </c>
      <c r="Y48" s="45">
        <v>6.7046084348295301E-2</v>
      </c>
      <c r="Z48" s="45">
        <v>7.1561626523218404E-3</v>
      </c>
    </row>
    <row r="49" spans="1:26" x14ac:dyDescent="0.25">
      <c r="A49">
        <v>424</v>
      </c>
      <c r="B49">
        <v>7228</v>
      </c>
      <c r="C49" t="s">
        <v>113</v>
      </c>
      <c r="D49" t="s">
        <v>154</v>
      </c>
      <c r="E49" t="s">
        <v>155</v>
      </c>
      <c r="F49" t="s">
        <v>116</v>
      </c>
      <c r="G49" t="s">
        <v>71</v>
      </c>
      <c r="H49" t="s">
        <v>71</v>
      </c>
      <c r="I49" t="s">
        <v>117</v>
      </c>
      <c r="J49" t="s">
        <v>110</v>
      </c>
      <c r="K49" t="s">
        <v>111</v>
      </c>
      <c r="L49" t="s">
        <v>81</v>
      </c>
      <c r="M49" s="44">
        <v>1.331</v>
      </c>
      <c r="N49" t="s">
        <v>156</v>
      </c>
      <c r="O49" s="46">
        <v>1E-3</v>
      </c>
      <c r="P49" s="45">
        <v>1.9599999999999999E-2</v>
      </c>
      <c r="R49" s="44">
        <v>26880802</v>
      </c>
      <c r="S49" s="42">
        <v>1</v>
      </c>
      <c r="T49" s="48">
        <v>112.95</v>
      </c>
      <c r="U49" s="44">
        <v>30361.866000000002</v>
      </c>
      <c r="W49" t="s">
        <v>16</v>
      </c>
      <c r="X49" s="45">
        <v>1.33E-3</v>
      </c>
      <c r="Y49" s="45">
        <v>0.115901391441101</v>
      </c>
      <c r="Z49" s="45">
        <v>1.23707330091683E-2</v>
      </c>
    </row>
    <row r="50" spans="1:26" x14ac:dyDescent="0.25">
      <c r="A50">
        <v>424</v>
      </c>
      <c r="B50">
        <v>7228</v>
      </c>
      <c r="C50" t="s">
        <v>113</v>
      </c>
      <c r="D50" t="s">
        <v>157</v>
      </c>
      <c r="E50" t="s">
        <v>158</v>
      </c>
      <c r="F50" t="s">
        <v>116</v>
      </c>
      <c r="G50" t="s">
        <v>71</v>
      </c>
      <c r="H50" t="s">
        <v>71</v>
      </c>
      <c r="I50" t="s">
        <v>117</v>
      </c>
      <c r="J50" t="s">
        <v>110</v>
      </c>
      <c r="K50" t="s">
        <v>111</v>
      </c>
      <c r="L50" t="s">
        <v>81</v>
      </c>
      <c r="M50" s="44">
        <v>3.52</v>
      </c>
      <c r="N50" t="s">
        <v>159</v>
      </c>
      <c r="O50" s="46">
        <v>1.0999999999999999E-2</v>
      </c>
      <c r="P50" s="45">
        <v>1.9820000000000001E-2</v>
      </c>
      <c r="R50" s="44">
        <v>36655169</v>
      </c>
      <c r="S50" s="42">
        <v>1</v>
      </c>
      <c r="T50" s="48">
        <v>101.93</v>
      </c>
      <c r="U50" s="44">
        <v>37362.614000000001</v>
      </c>
      <c r="W50" t="s">
        <v>16</v>
      </c>
      <c r="X50" s="45">
        <v>1.238E-3</v>
      </c>
      <c r="Y50" s="45">
        <v>0.14262558641710801</v>
      </c>
      <c r="Z50" s="45">
        <v>1.5223139497326401E-2</v>
      </c>
    </row>
    <row r="51" spans="1:26" x14ac:dyDescent="0.25">
      <c r="A51">
        <v>424</v>
      </c>
      <c r="B51">
        <v>7228</v>
      </c>
      <c r="C51" t="s">
        <v>113</v>
      </c>
      <c r="D51" t="s">
        <v>160</v>
      </c>
      <c r="E51" t="s">
        <v>161</v>
      </c>
      <c r="F51" t="s">
        <v>116</v>
      </c>
      <c r="G51" t="s">
        <v>71</v>
      </c>
      <c r="H51" t="s">
        <v>71</v>
      </c>
      <c r="I51" t="s">
        <v>109</v>
      </c>
      <c r="J51" t="s">
        <v>110</v>
      </c>
      <c r="K51" t="s">
        <v>111</v>
      </c>
      <c r="L51" t="s">
        <v>81</v>
      </c>
      <c r="M51" s="44">
        <v>8.0280000000000005</v>
      </c>
      <c r="N51" t="s">
        <v>162</v>
      </c>
      <c r="O51" s="46">
        <v>1.6E-2</v>
      </c>
      <c r="P51" s="45">
        <v>2.0969999999999999E-2</v>
      </c>
      <c r="R51" s="44">
        <v>31251651</v>
      </c>
      <c r="S51" s="42">
        <v>1</v>
      </c>
      <c r="T51" s="48">
        <v>100.49</v>
      </c>
      <c r="U51" s="44">
        <v>31404.784</v>
      </c>
      <c r="W51" t="s">
        <v>16</v>
      </c>
      <c r="X51" s="45">
        <v>1.5499999999999999E-3</v>
      </c>
      <c r="Y51" s="45">
        <v>0.11988255895833901</v>
      </c>
      <c r="Z51" s="45">
        <v>1.2795662855205199E-2</v>
      </c>
    </row>
    <row r="52" spans="1:26" x14ac:dyDescent="0.25">
      <c r="A52">
        <v>424</v>
      </c>
      <c r="B52">
        <v>7228</v>
      </c>
      <c r="C52" t="s">
        <v>128</v>
      </c>
      <c r="D52" t="s">
        <v>166</v>
      </c>
      <c r="E52" t="s">
        <v>167</v>
      </c>
      <c r="F52" t="s">
        <v>131</v>
      </c>
      <c r="G52" t="s">
        <v>71</v>
      </c>
      <c r="H52" t="s">
        <v>71</v>
      </c>
      <c r="I52" t="s">
        <v>117</v>
      </c>
      <c r="J52" t="s">
        <v>110</v>
      </c>
      <c r="K52" t="s">
        <v>111</v>
      </c>
      <c r="L52" t="s">
        <v>81</v>
      </c>
      <c r="M52" s="44">
        <v>6.681</v>
      </c>
      <c r="N52" t="s">
        <v>168</v>
      </c>
      <c r="O52" s="46">
        <v>1.2999999999999999E-2</v>
      </c>
      <c r="P52" s="45">
        <v>4.3790000000000003E-2</v>
      </c>
      <c r="R52" s="44">
        <v>9098503</v>
      </c>
      <c r="S52" s="42">
        <v>1</v>
      </c>
      <c r="T52" s="48">
        <v>82.78</v>
      </c>
      <c r="U52" s="44">
        <v>7531.741</v>
      </c>
      <c r="W52" t="s">
        <v>16</v>
      </c>
      <c r="X52" s="45">
        <v>2.63E-4</v>
      </c>
      <c r="Y52" s="45">
        <v>2.8751172303562101E-2</v>
      </c>
      <c r="Z52" s="45">
        <v>3.0687558781268701E-3</v>
      </c>
    </row>
    <row r="53" spans="1:26" x14ac:dyDescent="0.25">
      <c r="A53">
        <v>424</v>
      </c>
      <c r="B53">
        <v>7228</v>
      </c>
      <c r="C53" t="s">
        <v>105</v>
      </c>
      <c r="D53" t="s">
        <v>189</v>
      </c>
      <c r="E53" t="s">
        <v>190</v>
      </c>
      <c r="F53" t="s">
        <v>108</v>
      </c>
      <c r="G53" t="s">
        <v>71</v>
      </c>
      <c r="H53" t="s">
        <v>71</v>
      </c>
      <c r="I53" t="s">
        <v>109</v>
      </c>
      <c r="J53" t="s">
        <v>110</v>
      </c>
      <c r="K53" t="s">
        <v>111</v>
      </c>
      <c r="L53" t="s">
        <v>81</v>
      </c>
      <c r="M53" s="44">
        <v>0.92300000000000004</v>
      </c>
      <c r="N53" t="s">
        <v>191</v>
      </c>
      <c r="O53" s="46">
        <v>0</v>
      </c>
      <c r="P53" s="45">
        <v>4.2619999999999998E-2</v>
      </c>
      <c r="R53" s="44">
        <v>4167969</v>
      </c>
      <c r="S53" s="42">
        <v>1</v>
      </c>
      <c r="T53" s="48">
        <v>96.22</v>
      </c>
      <c r="U53" s="44">
        <v>4010.42</v>
      </c>
      <c r="W53" t="s">
        <v>16</v>
      </c>
      <c r="X53" s="45">
        <v>2.32E-4</v>
      </c>
      <c r="Y53" s="45">
        <v>1.53091128843368E-2</v>
      </c>
      <c r="Z53" s="45">
        <v>1.6340178987030701E-3</v>
      </c>
    </row>
    <row r="54" spans="1:26" x14ac:dyDescent="0.25">
      <c r="A54">
        <v>424</v>
      </c>
      <c r="B54">
        <v>7228</v>
      </c>
      <c r="C54" t="s">
        <v>105</v>
      </c>
      <c r="D54" t="s">
        <v>183</v>
      </c>
      <c r="E54" t="s">
        <v>184</v>
      </c>
      <c r="F54" t="s">
        <v>108</v>
      </c>
      <c r="G54" t="s">
        <v>71</v>
      </c>
      <c r="H54" t="s">
        <v>71</v>
      </c>
      <c r="I54" t="s">
        <v>109</v>
      </c>
      <c r="J54" t="s">
        <v>110</v>
      </c>
      <c r="K54" t="s">
        <v>111</v>
      </c>
      <c r="L54" t="s">
        <v>81</v>
      </c>
      <c r="M54" s="44">
        <v>0.34799999999999998</v>
      </c>
      <c r="N54" t="s">
        <v>185</v>
      </c>
      <c r="O54" s="46">
        <v>0</v>
      </c>
      <c r="P54" s="45">
        <v>4.2869999999999998E-2</v>
      </c>
      <c r="R54" s="44">
        <v>16637204</v>
      </c>
      <c r="S54" s="42">
        <v>1</v>
      </c>
      <c r="T54" s="48">
        <v>98.55</v>
      </c>
      <c r="U54" s="44">
        <v>16395.965</v>
      </c>
      <c r="W54" t="s">
        <v>16</v>
      </c>
      <c r="X54" s="45">
        <v>1.3860000000000001E-3</v>
      </c>
      <c r="Y54" s="45">
        <v>6.2588877549943203E-2</v>
      </c>
      <c r="Z54" s="45">
        <v>6.6804227618557002E-3</v>
      </c>
    </row>
    <row r="55" spans="1:26" x14ac:dyDescent="0.25">
      <c r="A55">
        <v>424</v>
      </c>
      <c r="B55">
        <v>7229</v>
      </c>
      <c r="C55" t="s">
        <v>105</v>
      </c>
      <c r="D55" t="s">
        <v>172</v>
      </c>
      <c r="E55" t="s">
        <v>173</v>
      </c>
      <c r="F55" t="s">
        <v>108</v>
      </c>
      <c r="G55" t="s">
        <v>71</v>
      </c>
      <c r="H55" t="s">
        <v>71</v>
      </c>
      <c r="I55" t="s">
        <v>109</v>
      </c>
      <c r="J55" t="s">
        <v>110</v>
      </c>
      <c r="K55" t="s">
        <v>111</v>
      </c>
      <c r="L55" t="s">
        <v>81</v>
      </c>
      <c r="M55" s="44">
        <v>0.17499999999999999</v>
      </c>
      <c r="N55" t="s">
        <v>174</v>
      </c>
      <c r="O55" s="46">
        <v>0</v>
      </c>
      <c r="P55" s="45">
        <v>4.3270000000000003E-2</v>
      </c>
      <c r="R55" s="44">
        <v>1034768</v>
      </c>
      <c r="S55" s="42">
        <v>1</v>
      </c>
      <c r="T55" s="48">
        <v>99.26</v>
      </c>
      <c r="U55" s="44">
        <v>1027.1110000000001</v>
      </c>
      <c r="W55" t="s">
        <v>16</v>
      </c>
      <c r="X55" s="45">
        <v>3.4E-5</v>
      </c>
      <c r="Y55" s="45">
        <v>3.2148871378867697E-2</v>
      </c>
      <c r="Z55" s="45">
        <v>6.8365786281246801E-3</v>
      </c>
    </row>
    <row r="56" spans="1:26" x14ac:dyDescent="0.25">
      <c r="A56">
        <v>424</v>
      </c>
      <c r="B56">
        <v>7229</v>
      </c>
      <c r="C56" t="s">
        <v>105</v>
      </c>
      <c r="D56" t="s">
        <v>186</v>
      </c>
      <c r="E56" t="s">
        <v>187</v>
      </c>
      <c r="F56" t="s">
        <v>108</v>
      </c>
      <c r="G56" t="s">
        <v>71</v>
      </c>
      <c r="H56" t="s">
        <v>71</v>
      </c>
      <c r="I56" t="s">
        <v>109</v>
      </c>
      <c r="J56" t="s">
        <v>110</v>
      </c>
      <c r="K56" t="s">
        <v>111</v>
      </c>
      <c r="L56" t="s">
        <v>81</v>
      </c>
      <c r="M56" s="44">
        <v>0.252</v>
      </c>
      <c r="N56" t="s">
        <v>188</v>
      </c>
      <c r="O56" s="46">
        <v>0</v>
      </c>
      <c r="P56" s="45">
        <v>4.2770000000000002E-2</v>
      </c>
      <c r="R56" s="44">
        <v>1300000</v>
      </c>
      <c r="S56" s="42">
        <v>1</v>
      </c>
      <c r="T56" s="48">
        <v>98.95</v>
      </c>
      <c r="U56" s="44">
        <v>1286.3499999999999</v>
      </c>
      <c r="W56" t="s">
        <v>16</v>
      </c>
      <c r="X56" s="45">
        <v>1.08E-4</v>
      </c>
      <c r="Y56" s="45">
        <v>4.0263138162016703E-2</v>
      </c>
      <c r="Z56" s="45">
        <v>8.5621080322157792E-3</v>
      </c>
    </row>
    <row r="57" spans="1:26" x14ac:dyDescent="0.25">
      <c r="A57">
        <v>424</v>
      </c>
      <c r="B57">
        <v>7229</v>
      </c>
      <c r="C57" t="s">
        <v>113</v>
      </c>
      <c r="D57" t="s">
        <v>114</v>
      </c>
      <c r="E57" t="s">
        <v>115</v>
      </c>
      <c r="F57" t="s">
        <v>116</v>
      </c>
      <c r="G57" t="s">
        <v>71</v>
      </c>
      <c r="H57" t="s">
        <v>71</v>
      </c>
      <c r="I57" t="s">
        <v>117</v>
      </c>
      <c r="J57" t="s">
        <v>110</v>
      </c>
      <c r="K57" t="s">
        <v>111</v>
      </c>
      <c r="L57" t="s">
        <v>81</v>
      </c>
      <c r="M57" s="44">
        <v>2.1419999999999999</v>
      </c>
      <c r="N57" t="s">
        <v>118</v>
      </c>
      <c r="O57" s="46">
        <v>7.4999999999999997E-3</v>
      </c>
      <c r="P57" s="45">
        <v>1.9449999999999999E-2</v>
      </c>
      <c r="R57" s="44">
        <v>1411526</v>
      </c>
      <c r="S57" s="42">
        <v>1</v>
      </c>
      <c r="T57" s="48">
        <v>114.63</v>
      </c>
      <c r="U57" s="44">
        <v>1618.0319999999999</v>
      </c>
      <c r="W57" t="s">
        <v>16</v>
      </c>
      <c r="X57" s="45">
        <v>5.8E-5</v>
      </c>
      <c r="Y57" s="45">
        <v>5.0644891503361197E-2</v>
      </c>
      <c r="Z57" s="45">
        <v>1.07698269962648E-2</v>
      </c>
    </row>
    <row r="58" spans="1:26" x14ac:dyDescent="0.25">
      <c r="A58">
        <v>424</v>
      </c>
      <c r="B58">
        <v>7229</v>
      </c>
      <c r="C58" t="s">
        <v>113</v>
      </c>
      <c r="D58" t="s">
        <v>119</v>
      </c>
      <c r="E58" t="s">
        <v>120</v>
      </c>
      <c r="F58" t="s">
        <v>116</v>
      </c>
      <c r="G58" t="s">
        <v>71</v>
      </c>
      <c r="H58" t="s">
        <v>71</v>
      </c>
      <c r="I58" t="s">
        <v>117</v>
      </c>
      <c r="J58" t="s">
        <v>110</v>
      </c>
      <c r="K58" t="s">
        <v>111</v>
      </c>
      <c r="L58" t="s">
        <v>81</v>
      </c>
      <c r="M58" s="44">
        <v>17.922999999999998</v>
      </c>
      <c r="N58" t="s">
        <v>121</v>
      </c>
      <c r="O58" s="46">
        <v>0.01</v>
      </c>
      <c r="P58" s="45">
        <v>2.206E-2</v>
      </c>
      <c r="R58" s="44">
        <v>3613800</v>
      </c>
      <c r="S58" s="42">
        <v>1</v>
      </c>
      <c r="T58" s="48">
        <v>94.86</v>
      </c>
      <c r="U58" s="44">
        <v>3428.0509999999999</v>
      </c>
      <c r="W58" t="s">
        <v>16</v>
      </c>
      <c r="X58" s="45">
        <v>1.64E-4</v>
      </c>
      <c r="Y58" s="45">
        <v>0.10729900738930701</v>
      </c>
      <c r="Z58" s="45">
        <v>2.2817538198834499E-2</v>
      </c>
    </row>
    <row r="59" spans="1:26" x14ac:dyDescent="0.25">
      <c r="A59">
        <v>424</v>
      </c>
      <c r="B59">
        <v>7229</v>
      </c>
      <c r="C59" t="s">
        <v>113</v>
      </c>
      <c r="D59" t="s">
        <v>122</v>
      </c>
      <c r="E59" t="s">
        <v>123</v>
      </c>
      <c r="F59" t="s">
        <v>116</v>
      </c>
      <c r="G59" t="s">
        <v>71</v>
      </c>
      <c r="H59" t="s">
        <v>71</v>
      </c>
      <c r="I59" t="s">
        <v>117</v>
      </c>
      <c r="J59" t="s">
        <v>110</v>
      </c>
      <c r="K59" t="s">
        <v>111</v>
      </c>
      <c r="L59" t="s">
        <v>81</v>
      </c>
      <c r="M59" s="44">
        <v>0.58399999999999996</v>
      </c>
      <c r="N59" t="s">
        <v>124</v>
      </c>
      <c r="O59" s="46">
        <v>7.4999999999999997E-3</v>
      </c>
      <c r="P59" s="45">
        <v>1.2359999999999999E-2</v>
      </c>
      <c r="R59" s="44">
        <v>4042176</v>
      </c>
      <c r="S59" s="42">
        <v>1</v>
      </c>
      <c r="T59" s="48">
        <v>116.16</v>
      </c>
      <c r="U59" s="44">
        <v>4695.3919999999998</v>
      </c>
      <c r="W59" t="s">
        <v>16</v>
      </c>
      <c r="X59" s="45">
        <v>1.8599999999999999E-4</v>
      </c>
      <c r="Y59" s="45">
        <v>0.14696715698722701</v>
      </c>
      <c r="Z59" s="45">
        <v>3.1253119671117602E-2</v>
      </c>
    </row>
    <row r="60" spans="1:26" x14ac:dyDescent="0.25">
      <c r="A60">
        <v>424</v>
      </c>
      <c r="B60">
        <v>7229</v>
      </c>
      <c r="C60" t="s">
        <v>113</v>
      </c>
      <c r="D60" t="s">
        <v>125</v>
      </c>
      <c r="E60" t="s">
        <v>126</v>
      </c>
      <c r="F60" t="s">
        <v>116</v>
      </c>
      <c r="G60" t="s">
        <v>71</v>
      </c>
      <c r="H60" t="s">
        <v>71</v>
      </c>
      <c r="I60" t="s">
        <v>117</v>
      </c>
      <c r="J60" t="s">
        <v>110</v>
      </c>
      <c r="K60" t="s">
        <v>111</v>
      </c>
      <c r="L60" t="s">
        <v>81</v>
      </c>
      <c r="M60" s="44">
        <v>6.6459999999999999</v>
      </c>
      <c r="N60" t="s">
        <v>127</v>
      </c>
      <c r="O60" s="46">
        <v>1E-3</v>
      </c>
      <c r="P60" s="45">
        <v>2.0310000000000002E-2</v>
      </c>
      <c r="R60" s="44">
        <v>4094300</v>
      </c>
      <c r="S60" s="42">
        <v>1</v>
      </c>
      <c r="T60" s="48">
        <v>101.91</v>
      </c>
      <c r="U60" s="44">
        <v>4172.5010000000002</v>
      </c>
      <c r="W60" t="s">
        <v>16</v>
      </c>
      <c r="X60" s="45">
        <v>1.3300000000000001E-4</v>
      </c>
      <c r="Y60" s="45">
        <v>0.130600528221993</v>
      </c>
      <c r="Z60" s="45">
        <v>2.7772694398571499E-2</v>
      </c>
    </row>
    <row r="61" spans="1:26" x14ac:dyDescent="0.25">
      <c r="A61">
        <v>424</v>
      </c>
      <c r="B61">
        <v>7229</v>
      </c>
      <c r="C61" t="s">
        <v>128</v>
      </c>
      <c r="D61" t="s">
        <v>136</v>
      </c>
      <c r="E61" t="s">
        <v>137</v>
      </c>
      <c r="F61" t="s">
        <v>131</v>
      </c>
      <c r="G61" t="s">
        <v>71</v>
      </c>
      <c r="H61" t="s">
        <v>71</v>
      </c>
      <c r="I61" t="s">
        <v>117</v>
      </c>
      <c r="J61" t="s">
        <v>110</v>
      </c>
      <c r="K61" t="s">
        <v>111</v>
      </c>
      <c r="L61" t="s">
        <v>81</v>
      </c>
      <c r="M61" s="44">
        <v>1.9770000000000001</v>
      </c>
      <c r="N61" t="s">
        <v>138</v>
      </c>
      <c r="O61" s="46">
        <v>0.02</v>
      </c>
      <c r="P61" s="45">
        <v>4.224E-2</v>
      </c>
      <c r="R61" s="44">
        <v>321278</v>
      </c>
      <c r="S61" s="42">
        <v>1</v>
      </c>
      <c r="T61" s="48">
        <v>95.83</v>
      </c>
      <c r="U61" s="44">
        <v>307.88099999999997</v>
      </c>
      <c r="W61" t="s">
        <v>16</v>
      </c>
      <c r="X61" s="45">
        <v>1.1E-5</v>
      </c>
      <c r="Y61" s="45">
        <v>9.63675784931446E-3</v>
      </c>
      <c r="Z61" s="45">
        <v>2.0492928657004799E-3</v>
      </c>
    </row>
    <row r="62" spans="1:26" x14ac:dyDescent="0.25">
      <c r="A62">
        <v>424</v>
      </c>
      <c r="B62">
        <v>7229</v>
      </c>
      <c r="C62" t="s">
        <v>113</v>
      </c>
      <c r="D62" t="s">
        <v>142</v>
      </c>
      <c r="E62" t="s">
        <v>143</v>
      </c>
      <c r="F62" t="s">
        <v>116</v>
      </c>
      <c r="G62" t="s">
        <v>71</v>
      </c>
      <c r="H62" t="s">
        <v>71</v>
      </c>
      <c r="I62" t="s">
        <v>117</v>
      </c>
      <c r="J62" t="s">
        <v>110</v>
      </c>
      <c r="K62" t="s">
        <v>111</v>
      </c>
      <c r="L62" t="s">
        <v>81</v>
      </c>
      <c r="M62" s="44">
        <v>13.379</v>
      </c>
      <c r="N62" t="s">
        <v>144</v>
      </c>
      <c r="O62" s="46">
        <v>2.75E-2</v>
      </c>
      <c r="P62" s="45">
        <v>2.1399999999999999E-2</v>
      </c>
      <c r="R62" s="44">
        <v>317439</v>
      </c>
      <c r="S62" s="42">
        <v>1</v>
      </c>
      <c r="T62" s="48">
        <v>136.1</v>
      </c>
      <c r="U62" s="44">
        <v>432.03399999999999</v>
      </c>
      <c r="W62" t="s">
        <v>16</v>
      </c>
      <c r="X62" s="45">
        <v>1.5999999999999999E-5</v>
      </c>
      <c r="Y62" s="45">
        <v>1.35228078817833E-2</v>
      </c>
      <c r="Z62" s="45">
        <v>2.87567604683022E-3</v>
      </c>
    </row>
    <row r="63" spans="1:26" x14ac:dyDescent="0.25">
      <c r="A63">
        <v>424</v>
      </c>
      <c r="B63">
        <v>7229</v>
      </c>
      <c r="C63" t="s">
        <v>113</v>
      </c>
      <c r="D63" t="s">
        <v>145</v>
      </c>
      <c r="E63" t="s">
        <v>146</v>
      </c>
      <c r="F63" t="s">
        <v>116</v>
      </c>
      <c r="G63" t="s">
        <v>71</v>
      </c>
      <c r="H63" t="s">
        <v>71</v>
      </c>
      <c r="I63" t="s">
        <v>117</v>
      </c>
      <c r="J63" t="s">
        <v>110</v>
      </c>
      <c r="K63" t="s">
        <v>111</v>
      </c>
      <c r="L63" t="s">
        <v>81</v>
      </c>
      <c r="M63" s="44">
        <v>9.1519999999999992</v>
      </c>
      <c r="N63" t="s">
        <v>147</v>
      </c>
      <c r="O63" s="46">
        <v>0.04</v>
      </c>
      <c r="P63" s="45">
        <v>2.1219999999999999E-2</v>
      </c>
      <c r="R63" s="44">
        <v>853528</v>
      </c>
      <c r="S63" s="42">
        <v>1</v>
      </c>
      <c r="T63" s="48">
        <v>167.49</v>
      </c>
      <c r="U63" s="44">
        <v>1429.5740000000001</v>
      </c>
      <c r="W63" t="s">
        <v>16</v>
      </c>
      <c r="X63" s="45">
        <v>5.3999999999999998E-5</v>
      </c>
      <c r="Y63" s="45">
        <v>4.47460935011832E-2</v>
      </c>
      <c r="Z63" s="45">
        <v>9.5154253758140007E-3</v>
      </c>
    </row>
    <row r="64" spans="1:26" x14ac:dyDescent="0.25">
      <c r="A64">
        <v>424</v>
      </c>
      <c r="B64">
        <v>7229</v>
      </c>
      <c r="C64" t="s">
        <v>113</v>
      </c>
      <c r="D64" t="s">
        <v>151</v>
      </c>
      <c r="E64" t="s">
        <v>152</v>
      </c>
      <c r="F64" t="s">
        <v>116</v>
      </c>
      <c r="G64" t="s">
        <v>71</v>
      </c>
      <c r="H64" t="s">
        <v>71</v>
      </c>
      <c r="I64" t="s">
        <v>117</v>
      </c>
      <c r="J64" t="s">
        <v>110</v>
      </c>
      <c r="K64" t="s">
        <v>111</v>
      </c>
      <c r="L64" t="s">
        <v>81</v>
      </c>
      <c r="M64" s="44">
        <v>4.1150000000000002</v>
      </c>
      <c r="N64" t="s">
        <v>153</v>
      </c>
      <c r="O64" s="46">
        <v>5.0000000000000001E-3</v>
      </c>
      <c r="P64" s="45">
        <v>1.9689999999999999E-2</v>
      </c>
      <c r="R64" s="44">
        <v>4464104</v>
      </c>
      <c r="S64" s="42">
        <v>1</v>
      </c>
      <c r="T64" s="48">
        <v>109.42</v>
      </c>
      <c r="U64" s="44">
        <v>4884.6229999999996</v>
      </c>
      <c r="W64" t="s">
        <v>16</v>
      </c>
      <c r="X64" s="45">
        <v>1.6200000000000001E-4</v>
      </c>
      <c r="Y64" s="45">
        <v>0.152890142250762</v>
      </c>
      <c r="Z64" s="45">
        <v>3.2512664803827897E-2</v>
      </c>
    </row>
    <row r="65" spans="1:26" x14ac:dyDescent="0.25">
      <c r="A65">
        <v>424</v>
      </c>
      <c r="B65">
        <v>7229</v>
      </c>
      <c r="C65" t="s">
        <v>113</v>
      </c>
      <c r="D65" t="s">
        <v>157</v>
      </c>
      <c r="E65" t="s">
        <v>158</v>
      </c>
      <c r="F65" t="s">
        <v>116</v>
      </c>
      <c r="G65" t="s">
        <v>71</v>
      </c>
      <c r="H65" t="s">
        <v>71</v>
      </c>
      <c r="I65" t="s">
        <v>117</v>
      </c>
      <c r="J65" t="s">
        <v>110</v>
      </c>
      <c r="K65" t="s">
        <v>111</v>
      </c>
      <c r="L65" t="s">
        <v>81</v>
      </c>
      <c r="M65" s="44">
        <v>3.52</v>
      </c>
      <c r="N65" t="s">
        <v>159</v>
      </c>
      <c r="O65" s="46">
        <v>1.0999999999999999E-2</v>
      </c>
      <c r="P65" s="45">
        <v>1.9820000000000001E-2</v>
      </c>
      <c r="R65" s="44">
        <v>2386500</v>
      </c>
      <c r="S65" s="42">
        <v>1</v>
      </c>
      <c r="T65" s="48">
        <v>101.93</v>
      </c>
      <c r="U65" s="44">
        <v>2432.5590000000002</v>
      </c>
      <c r="W65" t="s">
        <v>16</v>
      </c>
      <c r="X65" s="45">
        <v>8.1000000000000004E-5</v>
      </c>
      <c r="Y65" s="45">
        <v>7.6139835365701E-2</v>
      </c>
      <c r="Z65" s="45">
        <v>1.61914228675612E-2</v>
      </c>
    </row>
    <row r="66" spans="1:26" x14ac:dyDescent="0.25">
      <c r="A66">
        <v>424</v>
      </c>
      <c r="B66">
        <v>7229</v>
      </c>
      <c r="C66" t="s">
        <v>113</v>
      </c>
      <c r="D66" t="s">
        <v>160</v>
      </c>
      <c r="E66" t="s">
        <v>161</v>
      </c>
      <c r="F66" t="s">
        <v>116</v>
      </c>
      <c r="G66" t="s">
        <v>71</v>
      </c>
      <c r="H66" t="s">
        <v>71</v>
      </c>
      <c r="I66" t="s">
        <v>109</v>
      </c>
      <c r="J66" t="s">
        <v>110</v>
      </c>
      <c r="K66" t="s">
        <v>111</v>
      </c>
      <c r="L66" t="s">
        <v>81</v>
      </c>
      <c r="M66" s="44">
        <v>8.0280000000000005</v>
      </c>
      <c r="N66" t="s">
        <v>162</v>
      </c>
      <c r="O66" s="46">
        <v>1.6E-2</v>
      </c>
      <c r="P66" s="45">
        <v>2.0969999999999999E-2</v>
      </c>
      <c r="R66" s="44">
        <v>2872019</v>
      </c>
      <c r="S66" s="42">
        <v>1</v>
      </c>
      <c r="T66" s="48">
        <v>100.49</v>
      </c>
      <c r="U66" s="44">
        <v>2886.0920000000001</v>
      </c>
      <c r="W66" t="s">
        <v>16</v>
      </c>
      <c r="X66" s="45">
        <v>1.4200000000000001E-4</v>
      </c>
      <c r="Y66" s="45">
        <v>9.0335535927361807E-2</v>
      </c>
      <c r="Z66" s="45">
        <v>1.9210192078069201E-2</v>
      </c>
    </row>
    <row r="67" spans="1:26" x14ac:dyDescent="0.25">
      <c r="A67">
        <v>424</v>
      </c>
      <c r="B67">
        <v>7229</v>
      </c>
      <c r="C67" t="s">
        <v>128</v>
      </c>
      <c r="D67" t="s">
        <v>166</v>
      </c>
      <c r="E67" t="s">
        <v>167</v>
      </c>
      <c r="F67" t="s">
        <v>131</v>
      </c>
      <c r="G67" t="s">
        <v>71</v>
      </c>
      <c r="H67" t="s">
        <v>71</v>
      </c>
      <c r="I67" t="s">
        <v>117</v>
      </c>
      <c r="J67" t="s">
        <v>110</v>
      </c>
      <c r="K67" t="s">
        <v>111</v>
      </c>
      <c r="L67" t="s">
        <v>81</v>
      </c>
      <c r="M67" s="44">
        <v>6.681</v>
      </c>
      <c r="N67" t="s">
        <v>168</v>
      </c>
      <c r="O67" s="46">
        <v>1.2999999999999999E-2</v>
      </c>
      <c r="P67" s="45">
        <v>4.3790000000000003E-2</v>
      </c>
      <c r="R67" s="44">
        <v>4044912</v>
      </c>
      <c r="S67" s="42">
        <v>1</v>
      </c>
      <c r="T67" s="48">
        <v>82.78</v>
      </c>
      <c r="U67" s="44">
        <v>3348.3780000000002</v>
      </c>
      <c r="W67" t="s">
        <v>16</v>
      </c>
      <c r="X67" s="45">
        <v>1.17E-4</v>
      </c>
      <c r="Y67" s="45">
        <v>0.104805233581121</v>
      </c>
      <c r="Z67" s="45">
        <v>2.2287227802568799E-2</v>
      </c>
    </row>
    <row r="68" spans="1:26" x14ac:dyDescent="0.25">
      <c r="A68">
        <v>424</v>
      </c>
      <c r="B68">
        <v>9817</v>
      </c>
      <c r="C68" t="s">
        <v>113</v>
      </c>
      <c r="D68" t="s">
        <v>114</v>
      </c>
      <c r="E68" t="s">
        <v>115</v>
      </c>
      <c r="F68" t="s">
        <v>116</v>
      </c>
      <c r="G68" t="s">
        <v>71</v>
      </c>
      <c r="H68" t="s">
        <v>71</v>
      </c>
      <c r="I68" t="s">
        <v>117</v>
      </c>
      <c r="J68" t="s">
        <v>110</v>
      </c>
      <c r="K68" t="s">
        <v>111</v>
      </c>
      <c r="L68" t="s">
        <v>81</v>
      </c>
      <c r="M68" s="44">
        <v>2.1419999999999999</v>
      </c>
      <c r="N68" t="s">
        <v>118</v>
      </c>
      <c r="O68" s="46">
        <v>7.4999999999999997E-3</v>
      </c>
      <c r="P68" s="45">
        <v>1.9449999999999999E-2</v>
      </c>
      <c r="R68" s="44">
        <v>32655</v>
      </c>
      <c r="S68" s="42">
        <v>1</v>
      </c>
      <c r="T68" s="48">
        <v>114.63</v>
      </c>
      <c r="U68" s="44">
        <v>37.432000000000002</v>
      </c>
      <c r="W68" t="s">
        <v>16</v>
      </c>
      <c r="X68" s="45">
        <v>9.9999999999999995E-7</v>
      </c>
      <c r="Y68" s="45">
        <v>9.9605080758855102E-2</v>
      </c>
      <c r="Z68" s="45">
        <v>1.9463081524775699E-2</v>
      </c>
    </row>
    <row r="69" spans="1:26" x14ac:dyDescent="0.25">
      <c r="A69">
        <v>424</v>
      </c>
      <c r="B69">
        <v>9817</v>
      </c>
      <c r="C69" t="s">
        <v>113</v>
      </c>
      <c r="D69" t="s">
        <v>119</v>
      </c>
      <c r="E69" t="s">
        <v>120</v>
      </c>
      <c r="F69" t="s">
        <v>116</v>
      </c>
      <c r="G69" t="s">
        <v>71</v>
      </c>
      <c r="H69" t="s">
        <v>71</v>
      </c>
      <c r="I69" t="s">
        <v>117</v>
      </c>
      <c r="J69" t="s">
        <v>110</v>
      </c>
      <c r="K69" t="s">
        <v>111</v>
      </c>
      <c r="L69" t="s">
        <v>81</v>
      </c>
      <c r="M69" s="44">
        <v>17.922999999999998</v>
      </c>
      <c r="N69" t="s">
        <v>121</v>
      </c>
      <c r="O69" s="46">
        <v>0.01</v>
      </c>
      <c r="P69" s="45">
        <v>2.206E-2</v>
      </c>
      <c r="R69" s="44">
        <v>8018</v>
      </c>
      <c r="S69" s="42">
        <v>1</v>
      </c>
      <c r="T69" s="48">
        <v>94.86</v>
      </c>
      <c r="U69" s="44">
        <v>7.6059999999999999</v>
      </c>
      <c r="W69" t="s">
        <v>16</v>
      </c>
      <c r="X69" s="45">
        <v>0</v>
      </c>
      <c r="Y69" s="45">
        <v>2.0238703299016399E-2</v>
      </c>
      <c r="Z69" s="45">
        <v>3.9546931668893301E-3</v>
      </c>
    </row>
    <row r="70" spans="1:26" x14ac:dyDescent="0.25">
      <c r="A70">
        <v>424</v>
      </c>
      <c r="B70">
        <v>9817</v>
      </c>
      <c r="C70" t="s">
        <v>113</v>
      </c>
      <c r="D70" t="s">
        <v>125</v>
      </c>
      <c r="E70" t="s">
        <v>126</v>
      </c>
      <c r="F70" t="s">
        <v>116</v>
      </c>
      <c r="G70" t="s">
        <v>71</v>
      </c>
      <c r="H70" t="s">
        <v>71</v>
      </c>
      <c r="I70" t="s">
        <v>117</v>
      </c>
      <c r="J70" t="s">
        <v>110</v>
      </c>
      <c r="K70" t="s">
        <v>111</v>
      </c>
      <c r="L70" t="s">
        <v>81</v>
      </c>
      <c r="M70" s="44">
        <v>6.6459999999999999</v>
      </c>
      <c r="N70" t="s">
        <v>127</v>
      </c>
      <c r="O70" s="46">
        <v>1E-3</v>
      </c>
      <c r="P70" s="45">
        <v>2.0310000000000002E-2</v>
      </c>
      <c r="R70" s="44">
        <v>32186</v>
      </c>
      <c r="S70" s="42">
        <v>1</v>
      </c>
      <c r="T70" s="48">
        <v>101.91</v>
      </c>
      <c r="U70" s="44">
        <v>32.801000000000002</v>
      </c>
      <c r="W70" t="s">
        <v>16</v>
      </c>
      <c r="X70" s="45">
        <v>9.9999999999999995E-7</v>
      </c>
      <c r="Y70" s="45">
        <v>8.7280518981964095E-2</v>
      </c>
      <c r="Z70" s="45">
        <v>1.7054831375353099E-2</v>
      </c>
    </row>
    <row r="71" spans="1:26" x14ac:dyDescent="0.25">
      <c r="A71">
        <v>424</v>
      </c>
      <c r="B71">
        <v>9817</v>
      </c>
      <c r="C71" t="s">
        <v>128</v>
      </c>
      <c r="D71" t="s">
        <v>133</v>
      </c>
      <c r="E71" t="s">
        <v>134</v>
      </c>
      <c r="F71" t="s">
        <v>131</v>
      </c>
      <c r="G71" t="s">
        <v>71</v>
      </c>
      <c r="H71" t="s">
        <v>71</v>
      </c>
      <c r="I71" t="s">
        <v>117</v>
      </c>
      <c r="J71" t="s">
        <v>110</v>
      </c>
      <c r="K71" t="s">
        <v>111</v>
      </c>
      <c r="L71" t="s">
        <v>81</v>
      </c>
      <c r="M71" s="44">
        <v>3.7010000000000001</v>
      </c>
      <c r="N71" t="s">
        <v>135</v>
      </c>
      <c r="O71" s="46">
        <v>3.7499999999999999E-2</v>
      </c>
      <c r="P71" s="45">
        <v>4.2680000000000003E-2</v>
      </c>
      <c r="R71" s="44">
        <v>67057</v>
      </c>
      <c r="S71" s="42">
        <v>1</v>
      </c>
      <c r="T71" s="48">
        <v>98.49</v>
      </c>
      <c r="U71" s="44">
        <v>66.043999999999997</v>
      </c>
      <c r="W71" t="s">
        <v>16</v>
      </c>
      <c r="X71" s="45">
        <v>1.9999999999999999E-6</v>
      </c>
      <c r="Y71" s="45">
        <v>0.17573965476563</v>
      </c>
      <c r="Z71" s="45">
        <v>3.4339967417126999E-2</v>
      </c>
    </row>
    <row r="72" spans="1:26" x14ac:dyDescent="0.25">
      <c r="A72">
        <v>424</v>
      </c>
      <c r="B72">
        <v>9817</v>
      </c>
      <c r="C72" t="s">
        <v>128</v>
      </c>
      <c r="D72" t="s">
        <v>136</v>
      </c>
      <c r="E72" t="s">
        <v>137</v>
      </c>
      <c r="F72" t="s">
        <v>131</v>
      </c>
      <c r="G72" t="s">
        <v>71</v>
      </c>
      <c r="H72" t="s">
        <v>71</v>
      </c>
      <c r="I72" t="s">
        <v>117</v>
      </c>
      <c r="J72" t="s">
        <v>110</v>
      </c>
      <c r="K72" t="s">
        <v>111</v>
      </c>
      <c r="L72" t="s">
        <v>81</v>
      </c>
      <c r="M72" s="44">
        <v>1.9770000000000001</v>
      </c>
      <c r="N72" t="s">
        <v>138</v>
      </c>
      <c r="O72" s="46">
        <v>0.02</v>
      </c>
      <c r="P72" s="45">
        <v>4.224E-2</v>
      </c>
      <c r="R72" s="44">
        <v>23827</v>
      </c>
      <c r="S72" s="42">
        <v>1</v>
      </c>
      <c r="T72" s="48">
        <v>95.83</v>
      </c>
      <c r="U72" s="44">
        <v>22.832999999999998</v>
      </c>
      <c r="W72" t="s">
        <v>16</v>
      </c>
      <c r="X72" s="45">
        <v>9.9999999999999995E-7</v>
      </c>
      <c r="Y72" s="45">
        <v>6.0758125189423202E-2</v>
      </c>
      <c r="Z72" s="45">
        <v>1.1872289393722899E-2</v>
      </c>
    </row>
    <row r="73" spans="1:26" x14ac:dyDescent="0.25">
      <c r="A73">
        <v>424</v>
      </c>
      <c r="B73">
        <v>9817</v>
      </c>
      <c r="C73" t="s">
        <v>113</v>
      </c>
      <c r="D73" t="s">
        <v>145</v>
      </c>
      <c r="E73" t="s">
        <v>146</v>
      </c>
      <c r="F73" t="s">
        <v>116</v>
      </c>
      <c r="G73" t="s">
        <v>71</v>
      </c>
      <c r="H73" t="s">
        <v>71</v>
      </c>
      <c r="I73" t="s">
        <v>117</v>
      </c>
      <c r="J73" t="s">
        <v>110</v>
      </c>
      <c r="K73" t="s">
        <v>111</v>
      </c>
      <c r="L73" t="s">
        <v>81</v>
      </c>
      <c r="M73" s="44">
        <v>9.1519999999999992</v>
      </c>
      <c r="N73" t="s">
        <v>147</v>
      </c>
      <c r="O73" s="46">
        <v>0.04</v>
      </c>
      <c r="P73" s="45">
        <v>2.1219999999999999E-2</v>
      </c>
      <c r="R73" s="44">
        <v>6685</v>
      </c>
      <c r="S73" s="42">
        <v>1</v>
      </c>
      <c r="T73" s="48">
        <v>167.49</v>
      </c>
      <c r="U73" s="44">
        <v>11.196999999999999</v>
      </c>
      <c r="W73" t="s">
        <v>16</v>
      </c>
      <c r="X73" s="45">
        <v>0</v>
      </c>
      <c r="Y73" s="45">
        <v>2.97936564482588E-2</v>
      </c>
      <c r="Z73" s="45">
        <v>5.8217548739055401E-3</v>
      </c>
    </row>
    <row r="74" spans="1:26" x14ac:dyDescent="0.25">
      <c r="A74">
        <v>424</v>
      </c>
      <c r="B74">
        <v>9817</v>
      </c>
      <c r="C74" t="s">
        <v>128</v>
      </c>
      <c r="D74" t="s">
        <v>192</v>
      </c>
      <c r="E74" t="s">
        <v>193</v>
      </c>
      <c r="F74" t="s">
        <v>131</v>
      </c>
      <c r="G74" t="s">
        <v>71</v>
      </c>
      <c r="H74" t="s">
        <v>71</v>
      </c>
      <c r="I74" t="s">
        <v>117</v>
      </c>
      <c r="J74" t="s">
        <v>110</v>
      </c>
      <c r="K74" t="s">
        <v>111</v>
      </c>
      <c r="L74" t="s">
        <v>81</v>
      </c>
      <c r="M74" s="44">
        <v>1.5229999999999999</v>
      </c>
      <c r="N74" t="s">
        <v>194</v>
      </c>
      <c r="O74" s="46">
        <v>6.25E-2</v>
      </c>
      <c r="P74" s="45">
        <v>4.1709999999999997E-2</v>
      </c>
      <c r="R74" s="44">
        <v>50083</v>
      </c>
      <c r="S74" s="42">
        <v>1</v>
      </c>
      <c r="T74" s="48">
        <v>105.69</v>
      </c>
      <c r="U74" s="44">
        <v>52.933</v>
      </c>
      <c r="W74" t="s">
        <v>16</v>
      </c>
      <c r="X74" s="45">
        <v>3.0000000000000001E-6</v>
      </c>
      <c r="Y74" s="45">
        <v>0.14085028977000999</v>
      </c>
      <c r="Z74" s="45">
        <v>2.7522498367516898E-2</v>
      </c>
    </row>
    <row r="75" spans="1:26" x14ac:dyDescent="0.25">
      <c r="A75">
        <v>424</v>
      </c>
      <c r="B75">
        <v>9817</v>
      </c>
      <c r="C75" t="s">
        <v>128</v>
      </c>
      <c r="D75" t="s">
        <v>148</v>
      </c>
      <c r="E75" t="s">
        <v>149</v>
      </c>
      <c r="F75" t="s">
        <v>131</v>
      </c>
      <c r="G75" t="s">
        <v>71</v>
      </c>
      <c r="H75" t="s">
        <v>71</v>
      </c>
      <c r="I75" t="s">
        <v>117</v>
      </c>
      <c r="J75" t="s">
        <v>110</v>
      </c>
      <c r="K75" t="s">
        <v>111</v>
      </c>
      <c r="L75" t="s">
        <v>81</v>
      </c>
      <c r="M75" s="44">
        <v>11.552</v>
      </c>
      <c r="N75" t="s">
        <v>150</v>
      </c>
      <c r="O75" s="46">
        <v>5.5E-2</v>
      </c>
      <c r="P75" s="45">
        <v>4.7300000000000002E-2</v>
      </c>
      <c r="R75" s="44">
        <v>14496</v>
      </c>
      <c r="S75" s="42">
        <v>1</v>
      </c>
      <c r="T75" s="48">
        <v>109.69</v>
      </c>
      <c r="U75" s="44">
        <v>15.901</v>
      </c>
      <c r="W75" t="s">
        <v>16</v>
      </c>
      <c r="X75" s="45">
        <v>9.9999999999999995E-7</v>
      </c>
      <c r="Y75" s="45">
        <v>4.2310555594660397E-2</v>
      </c>
      <c r="Z75" s="45">
        <v>8.2675882256560591E-3</v>
      </c>
    </row>
    <row r="76" spans="1:26" x14ac:dyDescent="0.25">
      <c r="A76">
        <v>424</v>
      </c>
      <c r="B76">
        <v>9817</v>
      </c>
      <c r="C76" t="s">
        <v>113</v>
      </c>
      <c r="D76" t="s">
        <v>151</v>
      </c>
      <c r="E76" t="s">
        <v>152</v>
      </c>
      <c r="F76" t="s">
        <v>116</v>
      </c>
      <c r="G76" t="s">
        <v>71</v>
      </c>
      <c r="H76" t="s">
        <v>71</v>
      </c>
      <c r="I76" t="s">
        <v>117</v>
      </c>
      <c r="J76" t="s">
        <v>110</v>
      </c>
      <c r="K76" t="s">
        <v>111</v>
      </c>
      <c r="L76" t="s">
        <v>81</v>
      </c>
      <c r="M76" s="44">
        <v>4.1150000000000002</v>
      </c>
      <c r="N76" t="s">
        <v>153</v>
      </c>
      <c r="O76" s="46">
        <v>5.0000000000000001E-3</v>
      </c>
      <c r="P76" s="45">
        <v>1.9689999999999999E-2</v>
      </c>
      <c r="R76" s="44">
        <v>97754</v>
      </c>
      <c r="S76" s="42">
        <v>1</v>
      </c>
      <c r="T76" s="48">
        <v>109.42</v>
      </c>
      <c r="U76" s="44">
        <v>106.962</v>
      </c>
      <c r="W76" t="s">
        <v>16</v>
      </c>
      <c r="X76" s="45">
        <v>3.9999999999999998E-6</v>
      </c>
      <c r="Y76" s="45">
        <v>0.28461957067028798</v>
      </c>
      <c r="Z76" s="45">
        <v>5.5615374891506301E-2</v>
      </c>
    </row>
    <row r="77" spans="1:26" x14ac:dyDescent="0.25">
      <c r="A77">
        <v>424</v>
      </c>
      <c r="B77">
        <v>9817</v>
      </c>
      <c r="C77" t="s">
        <v>113</v>
      </c>
      <c r="D77" t="s">
        <v>154</v>
      </c>
      <c r="E77" t="s">
        <v>155</v>
      </c>
      <c r="F77" t="s">
        <v>116</v>
      </c>
      <c r="G77" t="s">
        <v>71</v>
      </c>
      <c r="H77" t="s">
        <v>71</v>
      </c>
      <c r="I77" t="s">
        <v>117</v>
      </c>
      <c r="J77" t="s">
        <v>110</v>
      </c>
      <c r="K77" t="s">
        <v>111</v>
      </c>
      <c r="L77" t="s">
        <v>81</v>
      </c>
      <c r="M77" s="44">
        <v>1.331</v>
      </c>
      <c r="N77" t="s">
        <v>156</v>
      </c>
      <c r="O77" s="46">
        <v>1E-3</v>
      </c>
      <c r="P77" s="45">
        <v>1.9599999999999999E-2</v>
      </c>
      <c r="R77" s="44">
        <v>4610</v>
      </c>
      <c r="S77" s="42">
        <v>1</v>
      </c>
      <c r="T77" s="48">
        <v>112.95</v>
      </c>
      <c r="U77" s="44">
        <v>5.2069999999999999</v>
      </c>
      <c r="W77" t="s">
        <v>16</v>
      </c>
      <c r="X77" s="45">
        <v>0</v>
      </c>
      <c r="Y77" s="45">
        <v>1.3855451168412899E-2</v>
      </c>
      <c r="Z77" s="45">
        <v>2.7073897596272402E-3</v>
      </c>
    </row>
    <row r="78" spans="1:26" x14ac:dyDescent="0.25">
      <c r="A78">
        <v>424</v>
      </c>
      <c r="B78">
        <v>9817</v>
      </c>
      <c r="C78" t="s">
        <v>128</v>
      </c>
      <c r="D78" t="s">
        <v>195</v>
      </c>
      <c r="E78" t="s">
        <v>196</v>
      </c>
      <c r="F78" t="s">
        <v>131</v>
      </c>
      <c r="G78" t="s">
        <v>71</v>
      </c>
      <c r="H78" t="s">
        <v>71</v>
      </c>
      <c r="I78" t="s">
        <v>117</v>
      </c>
      <c r="J78" t="s">
        <v>110</v>
      </c>
      <c r="K78" t="s">
        <v>111</v>
      </c>
      <c r="L78" t="s">
        <v>81</v>
      </c>
      <c r="M78" s="44">
        <v>0.08</v>
      </c>
      <c r="N78" t="s">
        <v>197</v>
      </c>
      <c r="O78" s="46">
        <v>5.0000000000000001E-3</v>
      </c>
      <c r="P78" s="45">
        <v>4.3569999999999998E-2</v>
      </c>
      <c r="R78" s="44">
        <v>16865</v>
      </c>
      <c r="S78" s="42">
        <v>1</v>
      </c>
      <c r="T78" s="48">
        <v>100.16</v>
      </c>
      <c r="U78" s="44">
        <v>16.891999999999999</v>
      </c>
      <c r="W78" t="s">
        <v>16</v>
      </c>
      <c r="X78" s="45">
        <v>1.9999999999999999E-6</v>
      </c>
      <c r="Y78" s="45">
        <v>4.4948393353481601E-2</v>
      </c>
      <c r="Z78" s="45">
        <v>8.7830283112211999E-3</v>
      </c>
    </row>
    <row r="79" spans="1:26" x14ac:dyDescent="0.25">
      <c r="A79">
        <v>969</v>
      </c>
      <c r="B79">
        <v>969</v>
      </c>
      <c r="C79" t="s">
        <v>113</v>
      </c>
      <c r="D79" t="s">
        <v>119</v>
      </c>
      <c r="E79" t="s">
        <v>120</v>
      </c>
      <c r="F79" t="s">
        <v>116</v>
      </c>
      <c r="G79" t="s">
        <v>71</v>
      </c>
      <c r="H79" t="s">
        <v>71</v>
      </c>
      <c r="I79" t="s">
        <v>117</v>
      </c>
      <c r="J79" t="s">
        <v>110</v>
      </c>
      <c r="K79" t="s">
        <v>111</v>
      </c>
      <c r="L79" t="s">
        <v>81</v>
      </c>
      <c r="M79" s="44">
        <v>17.922999999999998</v>
      </c>
      <c r="N79" t="s">
        <v>121</v>
      </c>
      <c r="O79" s="46">
        <v>0.01</v>
      </c>
      <c r="P79" s="45">
        <v>2.206E-2</v>
      </c>
      <c r="R79" s="44">
        <v>1512638</v>
      </c>
      <c r="S79" s="42">
        <v>1</v>
      </c>
      <c r="T79" s="48">
        <v>94.86</v>
      </c>
      <c r="U79" s="44">
        <v>1434.8879999999999</v>
      </c>
      <c r="W79" t="s">
        <v>16</v>
      </c>
      <c r="X79" s="45">
        <v>6.8999999999999997E-5</v>
      </c>
      <c r="Y79" s="45">
        <v>0.102189292923574</v>
      </c>
      <c r="Z79" s="45">
        <v>1.9586398018631102E-2</v>
      </c>
    </row>
    <row r="80" spans="1:26" x14ac:dyDescent="0.25">
      <c r="A80">
        <v>969</v>
      </c>
      <c r="B80">
        <v>969</v>
      </c>
      <c r="C80" t="s">
        <v>113</v>
      </c>
      <c r="D80" t="s">
        <v>125</v>
      </c>
      <c r="E80" t="s">
        <v>126</v>
      </c>
      <c r="F80" t="s">
        <v>116</v>
      </c>
      <c r="G80" t="s">
        <v>71</v>
      </c>
      <c r="H80" t="s">
        <v>71</v>
      </c>
      <c r="I80" t="s">
        <v>117</v>
      </c>
      <c r="J80" t="s">
        <v>110</v>
      </c>
      <c r="K80" t="s">
        <v>111</v>
      </c>
      <c r="L80" t="s">
        <v>81</v>
      </c>
      <c r="M80" s="44">
        <v>6.6459999999999999</v>
      </c>
      <c r="N80" t="s">
        <v>127</v>
      </c>
      <c r="O80" s="46">
        <v>1E-3</v>
      </c>
      <c r="P80" s="45">
        <v>2.0310000000000002E-2</v>
      </c>
      <c r="R80" s="44">
        <v>1500000</v>
      </c>
      <c r="S80" s="42">
        <v>1</v>
      </c>
      <c r="T80" s="48">
        <v>101.91</v>
      </c>
      <c r="U80" s="44">
        <v>1528.65</v>
      </c>
      <c r="W80" t="s">
        <v>16</v>
      </c>
      <c r="X80" s="45">
        <v>4.8999999999999998E-5</v>
      </c>
      <c r="Y80" s="45">
        <v>0.108866767539083</v>
      </c>
      <c r="Z80" s="45">
        <v>2.0866254957033599E-2</v>
      </c>
    </row>
    <row r="81" spans="1:26" x14ac:dyDescent="0.25">
      <c r="A81">
        <v>969</v>
      </c>
      <c r="B81">
        <v>969</v>
      </c>
      <c r="C81" t="s">
        <v>128</v>
      </c>
      <c r="D81" t="s">
        <v>133</v>
      </c>
      <c r="E81" t="s">
        <v>134</v>
      </c>
      <c r="F81" t="s">
        <v>131</v>
      </c>
      <c r="G81" t="s">
        <v>71</v>
      </c>
      <c r="H81" t="s">
        <v>71</v>
      </c>
      <c r="I81" t="s">
        <v>117</v>
      </c>
      <c r="J81" t="s">
        <v>110</v>
      </c>
      <c r="K81" t="s">
        <v>111</v>
      </c>
      <c r="L81" t="s">
        <v>81</v>
      </c>
      <c r="M81" s="44">
        <v>3.7010000000000001</v>
      </c>
      <c r="N81" t="s">
        <v>135</v>
      </c>
      <c r="O81" s="46">
        <v>3.7499999999999999E-2</v>
      </c>
      <c r="P81" s="45">
        <v>4.2680000000000003E-2</v>
      </c>
      <c r="R81" s="44">
        <v>1705284</v>
      </c>
      <c r="S81" s="42">
        <v>1</v>
      </c>
      <c r="T81" s="48">
        <v>98.49</v>
      </c>
      <c r="U81" s="44">
        <v>1679.5340000000001</v>
      </c>
      <c r="W81" t="s">
        <v>16</v>
      </c>
      <c r="X81" s="45">
        <v>4.8000000000000001E-5</v>
      </c>
      <c r="Y81" s="45">
        <v>0.11961237731867599</v>
      </c>
      <c r="Z81" s="45">
        <v>2.29258424546534E-2</v>
      </c>
    </row>
    <row r="82" spans="1:26" x14ac:dyDescent="0.25">
      <c r="A82">
        <v>969</v>
      </c>
      <c r="B82">
        <v>969</v>
      </c>
      <c r="C82" t="s">
        <v>128</v>
      </c>
      <c r="D82" t="s">
        <v>136</v>
      </c>
      <c r="E82" t="s">
        <v>137</v>
      </c>
      <c r="F82" t="s">
        <v>131</v>
      </c>
      <c r="G82" t="s">
        <v>71</v>
      </c>
      <c r="H82" t="s">
        <v>71</v>
      </c>
      <c r="I82" t="s">
        <v>117</v>
      </c>
      <c r="J82" t="s">
        <v>110</v>
      </c>
      <c r="K82" t="s">
        <v>111</v>
      </c>
      <c r="L82" t="s">
        <v>81</v>
      </c>
      <c r="M82" s="44">
        <v>1.9770000000000001</v>
      </c>
      <c r="N82" t="s">
        <v>138</v>
      </c>
      <c r="O82" s="46">
        <v>0.02</v>
      </c>
      <c r="P82" s="45">
        <v>4.224E-2</v>
      </c>
      <c r="R82" s="44">
        <v>146623</v>
      </c>
      <c r="S82" s="42">
        <v>1</v>
      </c>
      <c r="T82" s="48">
        <v>95.83</v>
      </c>
      <c r="U82" s="44">
        <v>140.50899999999999</v>
      </c>
      <c r="W82" t="s">
        <v>16</v>
      </c>
      <c r="X82" s="45">
        <v>5.0000000000000004E-6</v>
      </c>
      <c r="Y82" s="45">
        <v>1.00066994682308E-2</v>
      </c>
      <c r="Z82" s="45">
        <v>1.9179621761760801E-3</v>
      </c>
    </row>
    <row r="83" spans="1:26" x14ac:dyDescent="0.25">
      <c r="A83">
        <v>969</v>
      </c>
      <c r="B83">
        <v>969</v>
      </c>
      <c r="C83" t="s">
        <v>128</v>
      </c>
      <c r="D83" t="s">
        <v>139</v>
      </c>
      <c r="E83" t="s">
        <v>140</v>
      </c>
      <c r="F83" t="s">
        <v>131</v>
      </c>
      <c r="G83" t="s">
        <v>71</v>
      </c>
      <c r="H83" t="s">
        <v>71</v>
      </c>
      <c r="I83" t="s">
        <v>117</v>
      </c>
      <c r="J83" t="s">
        <v>110</v>
      </c>
      <c r="K83" t="s">
        <v>111</v>
      </c>
      <c r="L83" t="s">
        <v>81</v>
      </c>
      <c r="M83" s="44">
        <v>14.74</v>
      </c>
      <c r="N83" t="s">
        <v>141</v>
      </c>
      <c r="O83" s="46">
        <v>3.7499999999999999E-2</v>
      </c>
      <c r="P83" s="45">
        <v>4.8599999999999997E-2</v>
      </c>
      <c r="R83" s="44">
        <v>253360</v>
      </c>
      <c r="S83" s="42">
        <v>1</v>
      </c>
      <c r="T83" s="48">
        <v>85.21</v>
      </c>
      <c r="U83" s="44">
        <v>215.88800000000001</v>
      </c>
      <c r="W83" t="s">
        <v>16</v>
      </c>
      <c r="X83" s="45">
        <v>1.0000000000000001E-5</v>
      </c>
      <c r="Y83" s="45">
        <v>1.53750268583499E-2</v>
      </c>
      <c r="Z83" s="45">
        <v>2.94689773242687E-3</v>
      </c>
    </row>
    <row r="84" spans="1:26" x14ac:dyDescent="0.25">
      <c r="A84">
        <v>969</v>
      </c>
      <c r="B84">
        <v>969</v>
      </c>
      <c r="C84" t="s">
        <v>113</v>
      </c>
      <c r="D84" t="s">
        <v>142</v>
      </c>
      <c r="E84" t="s">
        <v>143</v>
      </c>
      <c r="F84" t="s">
        <v>116</v>
      </c>
      <c r="G84" t="s">
        <v>71</v>
      </c>
      <c r="H84" t="s">
        <v>71</v>
      </c>
      <c r="I84" t="s">
        <v>117</v>
      </c>
      <c r="J84" t="s">
        <v>110</v>
      </c>
      <c r="K84" t="s">
        <v>111</v>
      </c>
      <c r="L84" t="s">
        <v>81</v>
      </c>
      <c r="M84" s="44">
        <v>13.379</v>
      </c>
      <c r="N84" t="s">
        <v>144</v>
      </c>
      <c r="O84" s="46">
        <v>2.75E-2</v>
      </c>
      <c r="P84" s="45">
        <v>2.1399999999999999E-2</v>
      </c>
      <c r="R84" s="44">
        <v>506322</v>
      </c>
      <c r="S84" s="42">
        <v>1</v>
      </c>
      <c r="T84" s="48">
        <v>136.1</v>
      </c>
      <c r="U84" s="44">
        <v>689.10400000000004</v>
      </c>
      <c r="W84" t="s">
        <v>16</v>
      </c>
      <c r="X84" s="45">
        <v>2.5999999999999998E-5</v>
      </c>
      <c r="Y84" s="45">
        <v>4.9076342736407999E-2</v>
      </c>
      <c r="Z84" s="45">
        <v>9.4063551535965503E-3</v>
      </c>
    </row>
    <row r="85" spans="1:26" x14ac:dyDescent="0.25">
      <c r="A85">
        <v>969</v>
      </c>
      <c r="B85">
        <v>969</v>
      </c>
      <c r="C85" t="s">
        <v>113</v>
      </c>
      <c r="D85" t="s">
        <v>151</v>
      </c>
      <c r="E85" t="s">
        <v>152</v>
      </c>
      <c r="F85" t="s">
        <v>116</v>
      </c>
      <c r="G85" t="s">
        <v>71</v>
      </c>
      <c r="H85" t="s">
        <v>71</v>
      </c>
      <c r="I85" t="s">
        <v>117</v>
      </c>
      <c r="J85" t="s">
        <v>110</v>
      </c>
      <c r="K85" t="s">
        <v>111</v>
      </c>
      <c r="L85" t="s">
        <v>81</v>
      </c>
      <c r="M85" s="44">
        <v>4.1150000000000002</v>
      </c>
      <c r="N85" t="s">
        <v>153</v>
      </c>
      <c r="O85" s="46">
        <v>5.0000000000000001E-3</v>
      </c>
      <c r="P85" s="45">
        <v>1.9689999999999999E-2</v>
      </c>
      <c r="R85" s="44">
        <v>2249360</v>
      </c>
      <c r="S85" s="42">
        <v>1</v>
      </c>
      <c r="T85" s="48">
        <v>109.42</v>
      </c>
      <c r="U85" s="44">
        <v>2461.25</v>
      </c>
      <c r="W85" t="s">
        <v>16</v>
      </c>
      <c r="X85" s="45">
        <v>8.2000000000000001E-5</v>
      </c>
      <c r="Y85" s="45">
        <v>0.17528427059950899</v>
      </c>
      <c r="Z85" s="45">
        <v>3.35963523393304E-2</v>
      </c>
    </row>
    <row r="86" spans="1:26" x14ac:dyDescent="0.25">
      <c r="A86">
        <v>969</v>
      </c>
      <c r="B86">
        <v>969</v>
      </c>
      <c r="C86" t="s">
        <v>113</v>
      </c>
      <c r="D86" t="s">
        <v>154</v>
      </c>
      <c r="E86" t="s">
        <v>155</v>
      </c>
      <c r="F86" t="s">
        <v>116</v>
      </c>
      <c r="G86" t="s">
        <v>71</v>
      </c>
      <c r="H86" t="s">
        <v>71</v>
      </c>
      <c r="I86" t="s">
        <v>117</v>
      </c>
      <c r="J86" t="s">
        <v>110</v>
      </c>
      <c r="K86" t="s">
        <v>111</v>
      </c>
      <c r="L86" t="s">
        <v>81</v>
      </c>
      <c r="M86" s="44">
        <v>1.331</v>
      </c>
      <c r="N86" t="s">
        <v>156</v>
      </c>
      <c r="O86" s="46">
        <v>1E-3</v>
      </c>
      <c r="P86" s="45">
        <v>1.9599999999999999E-2</v>
      </c>
      <c r="R86" s="44">
        <v>2690862</v>
      </c>
      <c r="S86" s="42">
        <v>1</v>
      </c>
      <c r="T86" s="48">
        <v>112.95</v>
      </c>
      <c r="U86" s="44">
        <v>3039.3290000000002</v>
      </c>
      <c r="W86" t="s">
        <v>16</v>
      </c>
      <c r="X86" s="45">
        <v>1.3300000000000001E-4</v>
      </c>
      <c r="Y86" s="45">
        <v>0.21645365736317901</v>
      </c>
      <c r="Z86" s="45">
        <v>4.1487198554885203E-2</v>
      </c>
    </row>
    <row r="87" spans="1:26" x14ac:dyDescent="0.25">
      <c r="A87">
        <v>969</v>
      </c>
      <c r="B87">
        <v>969</v>
      </c>
      <c r="C87" t="s">
        <v>113</v>
      </c>
      <c r="D87" t="s">
        <v>157</v>
      </c>
      <c r="E87" t="s">
        <v>158</v>
      </c>
      <c r="F87" t="s">
        <v>116</v>
      </c>
      <c r="G87" t="s">
        <v>71</v>
      </c>
      <c r="H87" t="s">
        <v>71</v>
      </c>
      <c r="I87" t="s">
        <v>117</v>
      </c>
      <c r="J87" t="s">
        <v>110</v>
      </c>
      <c r="K87" t="s">
        <v>111</v>
      </c>
      <c r="L87" t="s">
        <v>81</v>
      </c>
      <c r="M87" s="44">
        <v>3.52</v>
      </c>
      <c r="N87" t="s">
        <v>159</v>
      </c>
      <c r="O87" s="46">
        <v>1.0999999999999999E-2</v>
      </c>
      <c r="P87" s="45">
        <v>1.9820000000000001E-2</v>
      </c>
      <c r="R87" s="44">
        <v>700000</v>
      </c>
      <c r="S87" s="42">
        <v>1</v>
      </c>
      <c r="T87" s="48">
        <v>101.93</v>
      </c>
      <c r="U87" s="44">
        <v>713.51</v>
      </c>
      <c r="W87" t="s">
        <v>16</v>
      </c>
      <c r="X87" s="45">
        <v>2.4000000000000001E-5</v>
      </c>
      <c r="Y87" s="45">
        <v>5.0814461980709297E-2</v>
      </c>
      <c r="Z87" s="45">
        <v>9.7394966633258199E-3</v>
      </c>
    </row>
    <row r="88" spans="1:26" x14ac:dyDescent="0.25">
      <c r="A88">
        <v>969</v>
      </c>
      <c r="B88">
        <v>969</v>
      </c>
      <c r="C88" t="s">
        <v>113</v>
      </c>
      <c r="D88" t="s">
        <v>160</v>
      </c>
      <c r="E88" t="s">
        <v>161</v>
      </c>
      <c r="F88" t="s">
        <v>116</v>
      </c>
      <c r="G88" t="s">
        <v>71</v>
      </c>
      <c r="H88" t="s">
        <v>71</v>
      </c>
      <c r="I88" t="s">
        <v>109</v>
      </c>
      <c r="J88" t="s">
        <v>110</v>
      </c>
      <c r="K88" t="s">
        <v>111</v>
      </c>
      <c r="L88" t="s">
        <v>81</v>
      </c>
      <c r="M88" s="44">
        <v>8.0280000000000005</v>
      </c>
      <c r="N88" t="s">
        <v>162</v>
      </c>
      <c r="O88" s="46">
        <v>1.6E-2</v>
      </c>
      <c r="P88" s="45">
        <v>2.0969999999999999E-2</v>
      </c>
      <c r="R88" s="44">
        <v>1618509</v>
      </c>
      <c r="S88" s="42">
        <v>1</v>
      </c>
      <c r="T88" s="48">
        <v>100.49</v>
      </c>
      <c r="U88" s="44">
        <v>1626.44</v>
      </c>
      <c r="W88" t="s">
        <v>16</v>
      </c>
      <c r="X88" s="45">
        <v>8.0000000000000007E-5</v>
      </c>
      <c r="Y88" s="45">
        <v>0.11583111378924001</v>
      </c>
      <c r="Z88" s="45">
        <v>2.22010959535082E-2</v>
      </c>
    </row>
    <row r="89" spans="1:26" x14ac:dyDescent="0.25">
      <c r="A89">
        <v>969</v>
      </c>
      <c r="B89">
        <v>969</v>
      </c>
      <c r="C89" t="s">
        <v>105</v>
      </c>
      <c r="D89" t="s">
        <v>183</v>
      </c>
      <c r="E89" t="s">
        <v>184</v>
      </c>
      <c r="F89" t="s">
        <v>108</v>
      </c>
      <c r="G89" t="s">
        <v>71</v>
      </c>
      <c r="H89" t="s">
        <v>71</v>
      </c>
      <c r="I89" t="s">
        <v>109</v>
      </c>
      <c r="J89" t="s">
        <v>110</v>
      </c>
      <c r="K89" t="s">
        <v>111</v>
      </c>
      <c r="L89" t="s">
        <v>81</v>
      </c>
      <c r="M89" s="44">
        <v>0.34799999999999998</v>
      </c>
      <c r="N89" t="s">
        <v>185</v>
      </c>
      <c r="O89" s="46">
        <v>0</v>
      </c>
      <c r="P89" s="45">
        <v>4.2869999999999998E-2</v>
      </c>
      <c r="R89" s="44">
        <v>519912</v>
      </c>
      <c r="S89" s="42">
        <v>1</v>
      </c>
      <c r="T89" s="48">
        <v>98.55</v>
      </c>
      <c r="U89" s="44">
        <v>512.37300000000005</v>
      </c>
      <c r="W89" t="s">
        <v>16</v>
      </c>
      <c r="X89" s="45">
        <v>4.3000000000000002E-5</v>
      </c>
      <c r="Y89" s="45">
        <v>3.6489989423040298E-2</v>
      </c>
      <c r="Z89" s="45">
        <v>6.9939563733925599E-3</v>
      </c>
    </row>
    <row r="90" spans="1:26" x14ac:dyDescent="0.25">
      <c r="X90" s="49"/>
    </row>
    <row r="91" spans="1:26" x14ac:dyDescent="0.25">
      <c r="X91" s="49"/>
    </row>
    <row r="92" spans="1:26" x14ac:dyDescent="0.25">
      <c r="X92" s="49"/>
    </row>
    <row r="93" spans="1:26" x14ac:dyDescent="0.25">
      <c r="X93" s="49"/>
    </row>
    <row r="94" spans="1:26" x14ac:dyDescent="0.25">
      <c r="X94" s="49"/>
    </row>
    <row r="95" spans="1:26" x14ac:dyDescent="0.25">
      <c r="X95" s="49"/>
    </row>
    <row r="96" spans="1:26" x14ac:dyDescent="0.25">
      <c r="X96" s="49"/>
    </row>
    <row r="97" spans="24:24" x14ac:dyDescent="0.25">
      <c r="X97" s="49"/>
    </row>
    <row r="98" spans="24:24" x14ac:dyDescent="0.25">
      <c r="X98" s="49"/>
    </row>
    <row r="99" spans="24:24" x14ac:dyDescent="0.25">
      <c r="X99" s="49"/>
    </row>
    <row r="100" spans="24:24" x14ac:dyDescent="0.25">
      <c r="X100" s="49"/>
    </row>
    <row r="101" spans="24:24" x14ac:dyDescent="0.25">
      <c r="X101" s="49"/>
    </row>
    <row r="102" spans="24:24" x14ac:dyDescent="0.25">
      <c r="X102" s="49"/>
    </row>
    <row r="103" spans="24:24" x14ac:dyDescent="0.25">
      <c r="X103" s="49"/>
    </row>
    <row r="104" spans="24:24" x14ac:dyDescent="0.25">
      <c r="X104" s="49"/>
    </row>
    <row r="105" spans="24:24" x14ac:dyDescent="0.25">
      <c r="X105" s="49"/>
    </row>
    <row r="106" spans="24:24" x14ac:dyDescent="0.25">
      <c r="X106" s="49"/>
    </row>
    <row r="107" spans="24:24" x14ac:dyDescent="0.25">
      <c r="X107" s="49"/>
    </row>
    <row r="108" spans="24:24" x14ac:dyDescent="0.25">
      <c r="X108" s="49"/>
    </row>
    <row r="109" spans="24:24" x14ac:dyDescent="0.25">
      <c r="X109" s="49"/>
    </row>
    <row r="110" spans="24:24" x14ac:dyDescent="0.25">
      <c r="X110" s="49"/>
    </row>
    <row r="111" spans="24:24" x14ac:dyDescent="0.25">
      <c r="X111" s="49"/>
    </row>
    <row r="112" spans="24:24" x14ac:dyDescent="0.25">
      <c r="X112" s="49"/>
    </row>
    <row r="113" spans="24:24" x14ac:dyDescent="0.25">
      <c r="X113" s="49"/>
    </row>
    <row r="114" spans="24:24" x14ac:dyDescent="0.25">
      <c r="X114" s="49"/>
    </row>
    <row r="115" spans="24:24" x14ac:dyDescent="0.25">
      <c r="X115" s="49"/>
    </row>
    <row r="116" spans="24:24" x14ac:dyDescent="0.25">
      <c r="X116" s="49"/>
    </row>
    <row r="117" spans="24:24" x14ac:dyDescent="0.25">
      <c r="X117" s="49"/>
    </row>
    <row r="118" spans="24:24" x14ac:dyDescent="0.25">
      <c r="X118" s="49"/>
    </row>
    <row r="119" spans="24:24" x14ac:dyDescent="0.25">
      <c r="X119" s="49"/>
    </row>
    <row r="120" spans="24:24" x14ac:dyDescent="0.25">
      <c r="X120" s="49"/>
    </row>
    <row r="121" spans="24:24" x14ac:dyDescent="0.25">
      <c r="X121" s="49"/>
    </row>
    <row r="122" spans="24:24" x14ac:dyDescent="0.25">
      <c r="X122" s="49"/>
    </row>
    <row r="123" spans="24:24" x14ac:dyDescent="0.25">
      <c r="X123" s="49"/>
    </row>
    <row r="124" spans="24:24" x14ac:dyDescent="0.25">
      <c r="X124" s="49"/>
    </row>
    <row r="125" spans="24:24" x14ac:dyDescent="0.25">
      <c r="X125" s="49"/>
    </row>
    <row r="126" spans="24:24" x14ac:dyDescent="0.25">
      <c r="X126" s="49"/>
    </row>
    <row r="127" spans="24:24" x14ac:dyDescent="0.25">
      <c r="X127" s="49"/>
    </row>
    <row r="128" spans="24:24" x14ac:dyDescent="0.25">
      <c r="X128" s="49"/>
    </row>
    <row r="129" spans="24:24" x14ac:dyDescent="0.25">
      <c r="X129" s="49"/>
    </row>
    <row r="130" spans="24:24" x14ac:dyDescent="0.25">
      <c r="X130" s="49"/>
    </row>
    <row r="131" spans="24:24" x14ac:dyDescent="0.25">
      <c r="X131" s="49"/>
    </row>
    <row r="132" spans="24:24" x14ac:dyDescent="0.25">
      <c r="X132" s="49"/>
    </row>
    <row r="133" spans="24:24" x14ac:dyDescent="0.25">
      <c r="X133" s="49"/>
    </row>
    <row r="134" spans="24:24" x14ac:dyDescent="0.25">
      <c r="X134" s="49"/>
    </row>
    <row r="135" spans="24:24" x14ac:dyDescent="0.25">
      <c r="X135" s="49"/>
    </row>
    <row r="136" spans="24:24" x14ac:dyDescent="0.25">
      <c r="X136" s="49"/>
    </row>
    <row r="137" spans="24:24" x14ac:dyDescent="0.25">
      <c r="X137" s="49"/>
    </row>
    <row r="138" spans="24:24" x14ac:dyDescent="0.25">
      <c r="X138" s="49"/>
    </row>
    <row r="139" spans="24:24" x14ac:dyDescent="0.25">
      <c r="X139" s="49"/>
    </row>
    <row r="140" spans="24:24" x14ac:dyDescent="0.25">
      <c r="X140" s="49"/>
    </row>
    <row r="141" spans="24:24" x14ac:dyDescent="0.25">
      <c r="X141" s="49"/>
    </row>
    <row r="142" spans="24:24" x14ac:dyDescent="0.25">
      <c r="X142" s="49"/>
    </row>
    <row r="143" spans="24:24" x14ac:dyDescent="0.25">
      <c r="X143" s="49"/>
    </row>
    <row r="144" spans="24:24" x14ac:dyDescent="0.25">
      <c r="X144" s="49"/>
    </row>
    <row r="145" spans="24:24" x14ac:dyDescent="0.25">
      <c r="X145" s="49"/>
    </row>
    <row r="146" spans="24:24" x14ac:dyDescent="0.25">
      <c r="X146" s="49"/>
    </row>
    <row r="147" spans="24:24" x14ac:dyDescent="0.25">
      <c r="X147" s="49"/>
    </row>
    <row r="148" spans="24:24" x14ac:dyDescent="0.25">
      <c r="X148" s="49"/>
    </row>
    <row r="149" spans="24:24" x14ac:dyDescent="0.25">
      <c r="X149" s="49"/>
    </row>
    <row r="150" spans="24:24" x14ac:dyDescent="0.25">
      <c r="X150" s="49"/>
    </row>
    <row r="151" spans="24:24" x14ac:dyDescent="0.25">
      <c r="X151" s="49"/>
    </row>
    <row r="152" spans="24:24" x14ac:dyDescent="0.25">
      <c r="X152" s="49"/>
    </row>
    <row r="153" spans="24:24" x14ac:dyDescent="0.25">
      <c r="X153" s="49"/>
    </row>
    <row r="154" spans="24:24" x14ac:dyDescent="0.25">
      <c r="X154" s="49"/>
    </row>
    <row r="155" spans="24:24" x14ac:dyDescent="0.25">
      <c r="X155" s="49"/>
    </row>
    <row r="156" spans="24:24" x14ac:dyDescent="0.25">
      <c r="X156" s="49"/>
    </row>
    <row r="157" spans="24:24" x14ac:dyDescent="0.25">
      <c r="X157" s="49"/>
    </row>
    <row r="158" spans="24:24" x14ac:dyDescent="0.25">
      <c r="X158" s="49"/>
    </row>
    <row r="159" spans="24:24" x14ac:dyDescent="0.25">
      <c r="X159" s="49"/>
    </row>
    <row r="160" spans="24:24" x14ac:dyDescent="0.25">
      <c r="X160" s="49"/>
    </row>
    <row r="161" spans="24:24" x14ac:dyDescent="0.25">
      <c r="X161" s="49"/>
    </row>
    <row r="162" spans="24:24" x14ac:dyDescent="0.25">
      <c r="X162" s="49"/>
    </row>
    <row r="163" spans="24:24" x14ac:dyDescent="0.25">
      <c r="X163" s="49"/>
    </row>
    <row r="164" spans="24:24" x14ac:dyDescent="0.25">
      <c r="X164" s="49"/>
    </row>
    <row r="165" spans="24:24" x14ac:dyDescent="0.25">
      <c r="X165" s="49"/>
    </row>
    <row r="166" spans="24:24" x14ac:dyDescent="0.25">
      <c r="X166" s="49"/>
    </row>
    <row r="167" spans="24:24" x14ac:dyDescent="0.25">
      <c r="X167" s="49"/>
    </row>
    <row r="168" spans="24:24" x14ac:dyDescent="0.25">
      <c r="X168" s="49"/>
    </row>
    <row r="169" spans="24:24" x14ac:dyDescent="0.25">
      <c r="X169" s="49"/>
    </row>
    <row r="170" spans="24:24" x14ac:dyDescent="0.25">
      <c r="X170" s="49"/>
    </row>
    <row r="171" spans="24:24" x14ac:dyDescent="0.25">
      <c r="X171" s="49"/>
    </row>
    <row r="172" spans="24:24" x14ac:dyDescent="0.25">
      <c r="X172" s="49"/>
    </row>
    <row r="173" spans="24:24" x14ac:dyDescent="0.25">
      <c r="X173" s="49"/>
    </row>
    <row r="174" spans="24:24" x14ac:dyDescent="0.25">
      <c r="X174" s="49"/>
    </row>
    <row r="175" spans="24:24" x14ac:dyDescent="0.25">
      <c r="X175" s="49"/>
    </row>
    <row r="176" spans="24:24" x14ac:dyDescent="0.25">
      <c r="X176" s="49"/>
    </row>
    <row r="177" spans="24:24" x14ac:dyDescent="0.25">
      <c r="X177" s="49"/>
    </row>
    <row r="178" spans="24:24" x14ac:dyDescent="0.25">
      <c r="X178" s="49"/>
    </row>
    <row r="179" spans="24:24" x14ac:dyDescent="0.25">
      <c r="X179" s="49"/>
    </row>
    <row r="180" spans="24:24" x14ac:dyDescent="0.25">
      <c r="X180" s="49"/>
    </row>
    <row r="181" spans="24:24" x14ac:dyDescent="0.25">
      <c r="X181" s="49"/>
    </row>
    <row r="182" spans="24:24" x14ac:dyDescent="0.25">
      <c r="X182" s="49"/>
    </row>
    <row r="183" spans="24:24" x14ac:dyDescent="0.25">
      <c r="X183" s="49"/>
    </row>
    <row r="184" spans="24:24" x14ac:dyDescent="0.25">
      <c r="X184" s="49"/>
    </row>
    <row r="185" spans="24:24" x14ac:dyDescent="0.25">
      <c r="X185" s="49"/>
    </row>
    <row r="186" spans="24:24" x14ac:dyDescent="0.25">
      <c r="X186" s="49"/>
    </row>
    <row r="187" spans="24:24" x14ac:dyDescent="0.25">
      <c r="X187" s="49"/>
    </row>
    <row r="188" spans="24:24" x14ac:dyDescent="0.25">
      <c r="X188" s="49"/>
    </row>
    <row r="189" spans="24:24" x14ac:dyDescent="0.25">
      <c r="X189" s="49"/>
    </row>
    <row r="190" spans="24:24" x14ac:dyDescent="0.25">
      <c r="X190" s="49"/>
    </row>
    <row r="191" spans="24:24" x14ac:dyDescent="0.25">
      <c r="X191" s="49"/>
    </row>
    <row r="192" spans="24:24" x14ac:dyDescent="0.25">
      <c r="X192" s="49"/>
    </row>
    <row r="193" spans="24:24" x14ac:dyDescent="0.25">
      <c r="X193" s="49"/>
    </row>
    <row r="194" spans="24:24" x14ac:dyDescent="0.25">
      <c r="X194" s="49"/>
    </row>
    <row r="195" spans="24:24" x14ac:dyDescent="0.25">
      <c r="X195" s="49"/>
    </row>
    <row r="196" spans="24:24" x14ac:dyDescent="0.25">
      <c r="X196" s="49"/>
    </row>
    <row r="197" spans="24:24" x14ac:dyDescent="0.25">
      <c r="X197" s="49"/>
    </row>
    <row r="198" spans="24:24" x14ac:dyDescent="0.25">
      <c r="X198" s="49"/>
    </row>
    <row r="199" spans="24:24" x14ac:dyDescent="0.25">
      <c r="X199" s="49"/>
    </row>
    <row r="200" spans="24:24" x14ac:dyDescent="0.25">
      <c r="X200" s="49"/>
    </row>
    <row r="201" spans="24:24" x14ac:dyDescent="0.25">
      <c r="X201" s="49"/>
    </row>
    <row r="202" spans="24:24" x14ac:dyDescent="0.25">
      <c r="X202" s="49"/>
    </row>
    <row r="203" spans="24:24" x14ac:dyDescent="0.25">
      <c r="X203" s="49"/>
    </row>
    <row r="204" spans="24:24" x14ac:dyDescent="0.25">
      <c r="X204" s="49"/>
    </row>
    <row r="205" spans="24:24" x14ac:dyDescent="0.25">
      <c r="X205" s="49"/>
    </row>
    <row r="206" spans="24:24" x14ac:dyDescent="0.25">
      <c r="X206" s="49"/>
    </row>
    <row r="207" spans="24:24" x14ac:dyDescent="0.25">
      <c r="X207" s="49"/>
    </row>
    <row r="208" spans="24:24" x14ac:dyDescent="0.25">
      <c r="X208" s="49"/>
    </row>
    <row r="209" spans="24:24" x14ac:dyDescent="0.25">
      <c r="X209" s="49"/>
    </row>
    <row r="210" spans="24:24" x14ac:dyDescent="0.25">
      <c r="X210" s="49"/>
    </row>
    <row r="211" spans="24:24" x14ac:dyDescent="0.25">
      <c r="X211" s="49"/>
    </row>
    <row r="212" spans="24:24" x14ac:dyDescent="0.25">
      <c r="X212" s="49"/>
    </row>
    <row r="213" spans="24:24" x14ac:dyDescent="0.25">
      <c r="X213" s="49"/>
    </row>
    <row r="214" spans="24:24" x14ac:dyDescent="0.25">
      <c r="X214" s="49"/>
    </row>
    <row r="215" spans="24:24" x14ac:dyDescent="0.25">
      <c r="X215" s="49"/>
    </row>
    <row r="216" spans="24:24" x14ac:dyDescent="0.25">
      <c r="X216" s="49"/>
    </row>
    <row r="217" spans="24:24" x14ac:dyDescent="0.25">
      <c r="X217" s="49"/>
    </row>
    <row r="218" spans="24:24" x14ac:dyDescent="0.25">
      <c r="X218" s="49"/>
    </row>
    <row r="219" spans="24:24" x14ac:dyDescent="0.25">
      <c r="X219" s="49"/>
    </row>
    <row r="220" spans="24:24" x14ac:dyDescent="0.25">
      <c r="X220" s="49"/>
    </row>
    <row r="221" spans="24:24" x14ac:dyDescent="0.25">
      <c r="X221" s="49"/>
    </row>
    <row r="222" spans="24:24" x14ac:dyDescent="0.25">
      <c r="X222" s="49"/>
    </row>
    <row r="223" spans="24:24" x14ac:dyDescent="0.25">
      <c r="X223" s="49"/>
    </row>
    <row r="224" spans="24:24" x14ac:dyDescent="0.25">
      <c r="X224" s="49"/>
    </row>
    <row r="225" spans="24:24" x14ac:dyDescent="0.25">
      <c r="X225" s="49"/>
    </row>
    <row r="226" spans="24:24" x14ac:dyDescent="0.25">
      <c r="X226" s="49"/>
    </row>
    <row r="227" spans="24:24" x14ac:dyDescent="0.25">
      <c r="X227" s="49"/>
    </row>
    <row r="228" spans="24:24" x14ac:dyDescent="0.25">
      <c r="X228" s="49"/>
    </row>
    <row r="229" spans="24:24" x14ac:dyDescent="0.25">
      <c r="X229" s="49"/>
    </row>
    <row r="230" spans="24:24" x14ac:dyDescent="0.25">
      <c r="X230" s="49"/>
    </row>
    <row r="231" spans="24:24" x14ac:dyDescent="0.25">
      <c r="X231" s="49"/>
    </row>
    <row r="232" spans="24:24" x14ac:dyDescent="0.25">
      <c r="X232" s="49"/>
    </row>
    <row r="233" spans="24:24" x14ac:dyDescent="0.25">
      <c r="X233" s="49"/>
    </row>
    <row r="234" spans="24:24" x14ac:dyDescent="0.25">
      <c r="X234" s="49"/>
    </row>
    <row r="235" spans="24:24" x14ac:dyDescent="0.25">
      <c r="X235" s="49"/>
    </row>
    <row r="236" spans="24:24" x14ac:dyDescent="0.25">
      <c r="X236" s="49"/>
    </row>
    <row r="237" spans="24:24" x14ac:dyDescent="0.25">
      <c r="X237" s="49"/>
    </row>
    <row r="238" spans="24:24" x14ac:dyDescent="0.25">
      <c r="X238" s="49"/>
    </row>
    <row r="239" spans="24:24" x14ac:dyDescent="0.25">
      <c r="X239" s="49"/>
    </row>
    <row r="240" spans="24:24" x14ac:dyDescent="0.25">
      <c r="X240" s="49"/>
    </row>
    <row r="241" spans="24:24" x14ac:dyDescent="0.25">
      <c r="X241" s="49"/>
    </row>
    <row r="242" spans="24:24" x14ac:dyDescent="0.25">
      <c r="X242" s="49"/>
    </row>
    <row r="243" spans="24:24" x14ac:dyDescent="0.25">
      <c r="X243" s="49"/>
    </row>
    <row r="244" spans="24:24" x14ac:dyDescent="0.25">
      <c r="X244" s="49"/>
    </row>
    <row r="245" spans="24:24" x14ac:dyDescent="0.25">
      <c r="X245" s="49"/>
    </row>
    <row r="246" spans="24:24" x14ac:dyDescent="0.25">
      <c r="X246" s="49"/>
    </row>
    <row r="247" spans="24:24" x14ac:dyDescent="0.25">
      <c r="X247" s="49"/>
    </row>
    <row r="248" spans="24:24" x14ac:dyDescent="0.25">
      <c r="X248" s="49"/>
    </row>
    <row r="249" spans="24:24" x14ac:dyDescent="0.25">
      <c r="X249" s="49"/>
    </row>
    <row r="250" spans="24:24" x14ac:dyDescent="0.25">
      <c r="X250" s="49"/>
    </row>
    <row r="251" spans="24:24" x14ac:dyDescent="0.25">
      <c r="X251" s="49"/>
    </row>
    <row r="252" spans="24:24" x14ac:dyDescent="0.25">
      <c r="X252" s="49"/>
    </row>
    <row r="253" spans="24:24" x14ac:dyDescent="0.25">
      <c r="X253" s="49"/>
    </row>
    <row r="254" spans="24:24" x14ac:dyDescent="0.25">
      <c r="X254" s="49"/>
    </row>
    <row r="255" spans="24:24" x14ac:dyDescent="0.25">
      <c r="X255" s="49"/>
    </row>
    <row r="256" spans="24:24" x14ac:dyDescent="0.25">
      <c r="X256" s="49"/>
    </row>
    <row r="257" spans="24:24" x14ac:dyDescent="0.25">
      <c r="X257" s="49"/>
    </row>
    <row r="258" spans="24:24" x14ac:dyDescent="0.25">
      <c r="X258" s="49"/>
    </row>
    <row r="259" spans="24:24" x14ac:dyDescent="0.25">
      <c r="X259" s="49"/>
    </row>
    <row r="260" spans="24:24" x14ac:dyDescent="0.25">
      <c r="X260" s="49"/>
    </row>
    <row r="261" spans="24:24" x14ac:dyDescent="0.25">
      <c r="X261" s="49"/>
    </row>
    <row r="262" spans="24:24" x14ac:dyDescent="0.25">
      <c r="X262" s="49"/>
    </row>
    <row r="263" spans="24:24" x14ac:dyDescent="0.25">
      <c r="X263" s="49"/>
    </row>
    <row r="264" spans="24:24" x14ac:dyDescent="0.25">
      <c r="X264" s="49"/>
    </row>
    <row r="265" spans="24:24" x14ac:dyDescent="0.25">
      <c r="X265" s="49"/>
    </row>
    <row r="266" spans="24:24" x14ac:dyDescent="0.25">
      <c r="X266" s="49"/>
    </row>
    <row r="267" spans="24:24" x14ac:dyDescent="0.25">
      <c r="X267" s="49"/>
    </row>
    <row r="268" spans="24:24" x14ac:dyDescent="0.25">
      <c r="X268" s="49"/>
    </row>
    <row r="269" spans="24:24" x14ac:dyDescent="0.25">
      <c r="X269" s="49"/>
    </row>
    <row r="270" spans="24:24" x14ac:dyDescent="0.25">
      <c r="X270" s="49"/>
    </row>
    <row r="271" spans="24:24" x14ac:dyDescent="0.25">
      <c r="X271" s="49"/>
    </row>
    <row r="272" spans="24:24" x14ac:dyDescent="0.25">
      <c r="X272" s="49"/>
    </row>
    <row r="273" spans="24:24" x14ac:dyDescent="0.25">
      <c r="X273" s="49"/>
    </row>
    <row r="274" spans="24:24" x14ac:dyDescent="0.25">
      <c r="X274" s="49"/>
    </row>
    <row r="275" spans="24:24" x14ac:dyDescent="0.25">
      <c r="X275" s="49"/>
    </row>
    <row r="276" spans="24:24" x14ac:dyDescent="0.25">
      <c r="X276" s="49"/>
    </row>
    <row r="277" spans="24:24" x14ac:dyDescent="0.25">
      <c r="X277" s="49"/>
    </row>
    <row r="278" spans="24:24" x14ac:dyDescent="0.25">
      <c r="X278" s="49"/>
    </row>
    <row r="279" spans="24:24" x14ac:dyDescent="0.25">
      <c r="X279" s="49"/>
    </row>
    <row r="280" spans="24:24" x14ac:dyDescent="0.25">
      <c r="X280" s="49"/>
    </row>
    <row r="281" spans="24:24" x14ac:dyDescent="0.25">
      <c r="X281" s="49"/>
    </row>
    <row r="282" spans="24:24" x14ac:dyDescent="0.25">
      <c r="X282" s="49"/>
    </row>
    <row r="283" spans="24:24" x14ac:dyDescent="0.25">
      <c r="X283" s="49"/>
    </row>
    <row r="284" spans="24:24" x14ac:dyDescent="0.25">
      <c r="X284" s="49"/>
    </row>
    <row r="285" spans="24:24" x14ac:dyDescent="0.25">
      <c r="X285" s="49"/>
    </row>
    <row r="286" spans="24:24" x14ac:dyDescent="0.25">
      <c r="X286" s="49"/>
    </row>
    <row r="287" spans="24:24" x14ac:dyDescent="0.25">
      <c r="X287" s="49"/>
    </row>
    <row r="288" spans="24:24" x14ac:dyDescent="0.25">
      <c r="X288" s="49"/>
    </row>
    <row r="289" spans="24:24" x14ac:dyDescent="0.25">
      <c r="X289" s="49"/>
    </row>
    <row r="290" spans="24:24" x14ac:dyDescent="0.25">
      <c r="X290" s="49"/>
    </row>
    <row r="291" spans="24:24" x14ac:dyDescent="0.25">
      <c r="X291" s="49"/>
    </row>
    <row r="292" spans="24:24" x14ac:dyDescent="0.25">
      <c r="X292" s="49"/>
    </row>
    <row r="293" spans="24:24" x14ac:dyDescent="0.25">
      <c r="X293" s="49"/>
    </row>
    <row r="294" spans="24:24" x14ac:dyDescent="0.25">
      <c r="X294" s="49"/>
    </row>
    <row r="295" spans="24:24" x14ac:dyDescent="0.25">
      <c r="X295" s="49"/>
    </row>
    <row r="296" spans="24:24" x14ac:dyDescent="0.25">
      <c r="X296" s="49"/>
    </row>
    <row r="297" spans="24:24" x14ac:dyDescent="0.25">
      <c r="X297" s="49"/>
    </row>
    <row r="298" spans="24:24" x14ac:dyDescent="0.25">
      <c r="X298" s="49"/>
    </row>
    <row r="299" spans="24:24" x14ac:dyDescent="0.25">
      <c r="X299" s="49"/>
    </row>
    <row r="300" spans="24:24" x14ac:dyDescent="0.25">
      <c r="X300" s="49"/>
    </row>
    <row r="301" spans="24:24" x14ac:dyDescent="0.25">
      <c r="X301" s="49"/>
    </row>
    <row r="302" spans="24:24" x14ac:dyDescent="0.25">
      <c r="X302" s="49"/>
    </row>
    <row r="303" spans="24:24" x14ac:dyDescent="0.25">
      <c r="X303" s="49"/>
    </row>
    <row r="304" spans="24:24" x14ac:dyDescent="0.25">
      <c r="X304" s="49"/>
    </row>
    <row r="305" spans="24:24" x14ac:dyDescent="0.25">
      <c r="X305" s="49"/>
    </row>
    <row r="306" spans="24:24" x14ac:dyDescent="0.25">
      <c r="X306" s="49"/>
    </row>
    <row r="307" spans="24:24" x14ac:dyDescent="0.25">
      <c r="X307" s="49"/>
    </row>
    <row r="308" spans="24:24" x14ac:dyDescent="0.25">
      <c r="X308" s="49"/>
    </row>
    <row r="309" spans="24:24" x14ac:dyDescent="0.25">
      <c r="X309" s="49"/>
    </row>
    <row r="310" spans="24:24" x14ac:dyDescent="0.25">
      <c r="X310" s="49"/>
    </row>
    <row r="311" spans="24:24" x14ac:dyDescent="0.25">
      <c r="X311" s="49"/>
    </row>
    <row r="312" spans="24:24" x14ac:dyDescent="0.25">
      <c r="X312" s="49"/>
    </row>
    <row r="313" spans="24:24" x14ac:dyDescent="0.25">
      <c r="X313" s="49"/>
    </row>
    <row r="314" spans="24:24" x14ac:dyDescent="0.25">
      <c r="X314" s="49"/>
    </row>
    <row r="315" spans="24:24" x14ac:dyDescent="0.25">
      <c r="X315" s="49"/>
    </row>
    <row r="316" spans="24:24" x14ac:dyDescent="0.25">
      <c r="X316" s="49"/>
    </row>
    <row r="317" spans="24:24" x14ac:dyDescent="0.25">
      <c r="X317" s="49"/>
    </row>
    <row r="318" spans="24:24" x14ac:dyDescent="0.25">
      <c r="X318" s="49"/>
    </row>
    <row r="319" spans="24:24" x14ac:dyDescent="0.25">
      <c r="X319" s="49"/>
    </row>
    <row r="320" spans="24:24" x14ac:dyDescent="0.25">
      <c r="X320" s="49"/>
    </row>
    <row r="321" spans="24:24" x14ac:dyDescent="0.25">
      <c r="X321" s="49"/>
    </row>
    <row r="322" spans="24:24" x14ac:dyDescent="0.25">
      <c r="X322" s="49"/>
    </row>
    <row r="323" spans="24:24" x14ac:dyDescent="0.25">
      <c r="X323" s="49"/>
    </row>
    <row r="324" spans="24:24" x14ac:dyDescent="0.25">
      <c r="X324" s="49"/>
    </row>
    <row r="325" spans="24:24" x14ac:dyDescent="0.25">
      <c r="X325" s="49"/>
    </row>
    <row r="326" spans="24:24" x14ac:dyDescent="0.25">
      <c r="X326" s="49"/>
    </row>
    <row r="327" spans="24:24" x14ac:dyDescent="0.25">
      <c r="X327" s="49"/>
    </row>
    <row r="328" spans="24:24" x14ac:dyDescent="0.25">
      <c r="X328" s="49"/>
    </row>
    <row r="329" spans="24:24" x14ac:dyDescent="0.25">
      <c r="X329" s="49"/>
    </row>
    <row r="330" spans="24:24" x14ac:dyDescent="0.25">
      <c r="X330" s="49"/>
    </row>
    <row r="331" spans="24:24" x14ac:dyDescent="0.25">
      <c r="X331" s="49"/>
    </row>
    <row r="332" spans="24:24" x14ac:dyDescent="0.25">
      <c r="X332" s="49"/>
    </row>
    <row r="333" spans="24:24" x14ac:dyDescent="0.25">
      <c r="X333" s="49"/>
    </row>
    <row r="334" spans="24:24" x14ac:dyDescent="0.25">
      <c r="X334" s="49"/>
    </row>
    <row r="335" spans="24:24" x14ac:dyDescent="0.25">
      <c r="X335" s="49"/>
    </row>
    <row r="336" spans="24:24" x14ac:dyDescent="0.25">
      <c r="X336" s="49"/>
    </row>
    <row r="337" spans="24:24" x14ac:dyDescent="0.25">
      <c r="X337" s="49"/>
    </row>
    <row r="338" spans="24:24" x14ac:dyDescent="0.25">
      <c r="X338" s="49"/>
    </row>
    <row r="339" spans="24:24" x14ac:dyDescent="0.25">
      <c r="X339" s="49"/>
    </row>
    <row r="340" spans="24:24" x14ac:dyDescent="0.25">
      <c r="X340" s="49"/>
    </row>
    <row r="341" spans="24:24" x14ac:dyDescent="0.25">
      <c r="X341" s="49"/>
    </row>
    <row r="342" spans="24:24" x14ac:dyDescent="0.25">
      <c r="X342" s="49"/>
    </row>
    <row r="343" spans="24:24" x14ac:dyDescent="0.25">
      <c r="X343" s="49"/>
    </row>
    <row r="344" spans="24:24" x14ac:dyDescent="0.25">
      <c r="X344" s="49"/>
    </row>
    <row r="345" spans="24:24" x14ac:dyDescent="0.25">
      <c r="X345" s="49"/>
    </row>
    <row r="346" spans="24:24" x14ac:dyDescent="0.25">
      <c r="X346" s="49"/>
    </row>
    <row r="347" spans="24:24" x14ac:dyDescent="0.25">
      <c r="X347" s="49"/>
    </row>
    <row r="348" spans="24:24" x14ac:dyDescent="0.25">
      <c r="X348" s="49"/>
    </row>
    <row r="349" spans="24:24" x14ac:dyDescent="0.25">
      <c r="X349" s="49"/>
    </row>
    <row r="350" spans="24:24" x14ac:dyDescent="0.25">
      <c r="X350" s="49"/>
    </row>
    <row r="351" spans="24:24" x14ac:dyDescent="0.25">
      <c r="X351" s="49"/>
    </row>
    <row r="352" spans="24:24" x14ac:dyDescent="0.25">
      <c r="X352" s="49"/>
    </row>
    <row r="353" spans="24:24" x14ac:dyDescent="0.25">
      <c r="X353" s="49"/>
    </row>
    <row r="354" spans="24:24" x14ac:dyDescent="0.25">
      <c r="X354" s="49"/>
    </row>
    <row r="355" spans="24:24" x14ac:dyDescent="0.25">
      <c r="X355" s="49"/>
    </row>
    <row r="356" spans="24:24" x14ac:dyDescent="0.25">
      <c r="X356" s="49"/>
    </row>
    <row r="357" spans="24:24" x14ac:dyDescent="0.25">
      <c r="X357" s="49"/>
    </row>
    <row r="358" spans="24:24" x14ac:dyDescent="0.25">
      <c r="X358" s="49"/>
    </row>
    <row r="359" spans="24:24" x14ac:dyDescent="0.25">
      <c r="X359" s="49"/>
    </row>
    <row r="360" spans="24:24" x14ac:dyDescent="0.25">
      <c r="X360" s="49"/>
    </row>
    <row r="361" spans="24:24" x14ac:dyDescent="0.25">
      <c r="X361" s="49"/>
    </row>
    <row r="362" spans="24:24" x14ac:dyDescent="0.25">
      <c r="X362" s="49"/>
    </row>
    <row r="363" spans="24:24" x14ac:dyDescent="0.25">
      <c r="X363" s="49"/>
    </row>
    <row r="364" spans="24:24" x14ac:dyDescent="0.25">
      <c r="X364" s="49"/>
    </row>
    <row r="365" spans="24:24" x14ac:dyDescent="0.25">
      <c r="X365" s="49"/>
    </row>
    <row r="366" spans="24:24" x14ac:dyDescent="0.25">
      <c r="X366" s="49"/>
    </row>
    <row r="367" spans="24:24" x14ac:dyDescent="0.25">
      <c r="X367" s="49"/>
    </row>
    <row r="368" spans="24:24" x14ac:dyDescent="0.25">
      <c r="X368" s="49"/>
    </row>
    <row r="369" spans="24:24" x14ac:dyDescent="0.25">
      <c r="X369" s="49"/>
    </row>
    <row r="370" spans="24:24" x14ac:dyDescent="0.25">
      <c r="X370" s="49"/>
    </row>
    <row r="371" spans="24:24" x14ac:dyDescent="0.25">
      <c r="X371" s="49"/>
    </row>
    <row r="372" spans="24:24" x14ac:dyDescent="0.25">
      <c r="X372" s="49"/>
    </row>
    <row r="373" spans="24:24" x14ac:dyDescent="0.25">
      <c r="X373" s="49"/>
    </row>
    <row r="374" spans="24:24" x14ac:dyDescent="0.25">
      <c r="X374" s="49"/>
    </row>
    <row r="375" spans="24:24" x14ac:dyDescent="0.25">
      <c r="X375" s="49"/>
    </row>
    <row r="376" spans="24:24" x14ac:dyDescent="0.25">
      <c r="X376" s="49"/>
    </row>
    <row r="377" spans="24:24" x14ac:dyDescent="0.25">
      <c r="X377" s="49"/>
    </row>
    <row r="378" spans="24:24" x14ac:dyDescent="0.25">
      <c r="X378" s="49"/>
    </row>
    <row r="379" spans="24:24" x14ac:dyDescent="0.25">
      <c r="X379" s="49"/>
    </row>
    <row r="380" spans="24:24" x14ac:dyDescent="0.25">
      <c r="X380" s="49"/>
    </row>
    <row r="381" spans="24:24" x14ac:dyDescent="0.25">
      <c r="X381" s="49"/>
    </row>
    <row r="382" spans="24:24" x14ac:dyDescent="0.25">
      <c r="X382" s="49"/>
    </row>
    <row r="383" spans="24:24" x14ac:dyDescent="0.25">
      <c r="X383" s="49"/>
    </row>
    <row r="384" spans="24:24" x14ac:dyDescent="0.25">
      <c r="X384" s="49"/>
    </row>
    <row r="385" spans="24:24" x14ac:dyDescent="0.25">
      <c r="X385" s="49"/>
    </row>
    <row r="386" spans="24:24" x14ac:dyDescent="0.25">
      <c r="X386" s="49"/>
    </row>
    <row r="387" spans="24:24" x14ac:dyDescent="0.25">
      <c r="X387" s="49"/>
    </row>
    <row r="388" spans="24:24" x14ac:dyDescent="0.25">
      <c r="X388" s="49"/>
    </row>
    <row r="389" spans="24:24" x14ac:dyDescent="0.25">
      <c r="X389" s="49"/>
    </row>
    <row r="390" spans="24:24" x14ac:dyDescent="0.25">
      <c r="X390" s="49"/>
    </row>
    <row r="391" spans="24:24" x14ac:dyDescent="0.25">
      <c r="X391" s="49"/>
    </row>
    <row r="392" spans="24:24" x14ac:dyDescent="0.25">
      <c r="X392" s="49"/>
    </row>
    <row r="393" spans="24:24" x14ac:dyDescent="0.25">
      <c r="X393" s="49"/>
    </row>
    <row r="394" spans="24:24" x14ac:dyDescent="0.25">
      <c r="X394" s="49"/>
    </row>
    <row r="395" spans="24:24" x14ac:dyDescent="0.25">
      <c r="X395" s="49"/>
    </row>
    <row r="396" spans="24:24" x14ac:dyDescent="0.25">
      <c r="X396" s="49"/>
    </row>
    <row r="397" spans="24:24" x14ac:dyDescent="0.25">
      <c r="X397" s="49"/>
    </row>
    <row r="398" spans="24:24" x14ac:dyDescent="0.25">
      <c r="X398" s="49"/>
    </row>
    <row r="399" spans="24:24" x14ac:dyDescent="0.25">
      <c r="X399" s="49"/>
    </row>
    <row r="400" spans="24:24" x14ac:dyDescent="0.25">
      <c r="X400" s="49"/>
    </row>
    <row r="401" spans="24:24" x14ac:dyDescent="0.25">
      <c r="X401" s="49"/>
    </row>
    <row r="402" spans="24:24" x14ac:dyDescent="0.25">
      <c r="X402" s="49"/>
    </row>
    <row r="403" spans="24:24" x14ac:dyDescent="0.25">
      <c r="X403" s="49"/>
    </row>
    <row r="404" spans="24:24" x14ac:dyDescent="0.25">
      <c r="X404" s="49"/>
    </row>
    <row r="405" spans="24:24" x14ac:dyDescent="0.25">
      <c r="X405" s="49"/>
    </row>
    <row r="406" spans="24:24" x14ac:dyDescent="0.25">
      <c r="X406" s="49"/>
    </row>
    <row r="407" spans="24:24" x14ac:dyDescent="0.25">
      <c r="X407" s="49"/>
    </row>
    <row r="408" spans="24:24" x14ac:dyDescent="0.25">
      <c r="X408" s="49"/>
    </row>
    <row r="409" spans="24:24" x14ac:dyDescent="0.25">
      <c r="X409" s="49"/>
    </row>
    <row r="410" spans="24:24" x14ac:dyDescent="0.25">
      <c r="X410" s="49"/>
    </row>
    <row r="411" spans="24:24" x14ac:dyDescent="0.25">
      <c r="X411" s="49"/>
    </row>
    <row r="412" spans="24:24" x14ac:dyDescent="0.25">
      <c r="X412" s="49"/>
    </row>
    <row r="413" spans="24:24" x14ac:dyDescent="0.25">
      <c r="X413" s="49"/>
    </row>
    <row r="414" spans="24:24" x14ac:dyDescent="0.25">
      <c r="X414" s="49"/>
    </row>
    <row r="415" spans="24:24" x14ac:dyDescent="0.25">
      <c r="X415" s="49"/>
    </row>
    <row r="416" spans="24:24" x14ac:dyDescent="0.25">
      <c r="X416" s="49"/>
    </row>
    <row r="417" spans="24:24" x14ac:dyDescent="0.25">
      <c r="X417" s="49"/>
    </row>
    <row r="418" spans="24:24" x14ac:dyDescent="0.25">
      <c r="X418" s="49"/>
    </row>
    <row r="419" spans="24:24" x14ac:dyDescent="0.25">
      <c r="X419" s="49"/>
    </row>
    <row r="420" spans="24:24" x14ac:dyDescent="0.25">
      <c r="X420" s="49"/>
    </row>
    <row r="421" spans="24:24" x14ac:dyDescent="0.25">
      <c r="X421" s="49"/>
    </row>
    <row r="422" spans="24:24" x14ac:dyDescent="0.25">
      <c r="X422" s="49"/>
    </row>
    <row r="423" spans="24:24" x14ac:dyDescent="0.25">
      <c r="X423" s="49"/>
    </row>
    <row r="424" spans="24:24" x14ac:dyDescent="0.25">
      <c r="X424" s="49"/>
    </row>
    <row r="425" spans="24:24" x14ac:dyDescent="0.25">
      <c r="X425" s="49"/>
    </row>
    <row r="426" spans="24:24" x14ac:dyDescent="0.25">
      <c r="X426" s="49"/>
    </row>
    <row r="427" spans="24:24" x14ac:dyDescent="0.25">
      <c r="X427" s="49"/>
    </row>
    <row r="428" spans="24:24" x14ac:dyDescent="0.25">
      <c r="X428" s="49"/>
    </row>
    <row r="429" spans="24:24" x14ac:dyDescent="0.25">
      <c r="X429" s="49"/>
    </row>
    <row r="430" spans="24:24" x14ac:dyDescent="0.25">
      <c r="X430" s="49"/>
    </row>
    <row r="431" spans="24:24" x14ac:dyDescent="0.25">
      <c r="X431" s="49"/>
    </row>
    <row r="432" spans="24:24" x14ac:dyDescent="0.25">
      <c r="X432" s="49"/>
    </row>
    <row r="433" spans="24:24" x14ac:dyDescent="0.25">
      <c r="X433" s="49"/>
    </row>
    <row r="434" spans="24:24" x14ac:dyDescent="0.25">
      <c r="X434" s="49"/>
    </row>
    <row r="435" spans="24:24" x14ac:dyDescent="0.25">
      <c r="X435" s="49"/>
    </row>
    <row r="436" spans="24:24" x14ac:dyDescent="0.25">
      <c r="X436" s="49"/>
    </row>
    <row r="437" spans="24:24" x14ac:dyDescent="0.25">
      <c r="X437" s="49"/>
    </row>
    <row r="438" spans="24:24" x14ac:dyDescent="0.25">
      <c r="X438" s="49"/>
    </row>
    <row r="439" spans="24:24" x14ac:dyDescent="0.25">
      <c r="X439" s="49"/>
    </row>
    <row r="440" spans="24:24" x14ac:dyDescent="0.25">
      <c r="X440" s="49"/>
    </row>
    <row r="441" spans="24:24" x14ac:dyDescent="0.25">
      <c r="X441" s="49"/>
    </row>
    <row r="442" spans="24:24" x14ac:dyDescent="0.25">
      <c r="X442" s="49"/>
    </row>
    <row r="443" spans="24:24" x14ac:dyDescent="0.25">
      <c r="X443" s="49"/>
    </row>
    <row r="444" spans="24:24" x14ac:dyDescent="0.25">
      <c r="X444" s="49"/>
    </row>
    <row r="445" spans="24:24" x14ac:dyDescent="0.25">
      <c r="X445" s="49"/>
    </row>
    <row r="446" spans="24:24" x14ac:dyDescent="0.25">
      <c r="X446" s="49"/>
    </row>
    <row r="447" spans="24:24" x14ac:dyDescent="0.25">
      <c r="X447" s="49"/>
    </row>
    <row r="448" spans="24:24" x14ac:dyDescent="0.25">
      <c r="X448" s="49"/>
    </row>
    <row r="449" spans="24:24" x14ac:dyDescent="0.25">
      <c r="X449" s="49"/>
    </row>
    <row r="450" spans="24:24" x14ac:dyDescent="0.25">
      <c r="X450" s="49"/>
    </row>
    <row r="451" spans="24:24" x14ac:dyDescent="0.25">
      <c r="X451" s="49"/>
    </row>
    <row r="452" spans="24:24" x14ac:dyDescent="0.25">
      <c r="X452" s="49"/>
    </row>
    <row r="453" spans="24:24" x14ac:dyDescent="0.25">
      <c r="X453" s="49"/>
    </row>
    <row r="454" spans="24:24" x14ac:dyDescent="0.25">
      <c r="X454" s="49"/>
    </row>
    <row r="455" spans="24:24" x14ac:dyDescent="0.25">
      <c r="X455" s="49"/>
    </row>
    <row r="456" spans="24:24" x14ac:dyDescent="0.25">
      <c r="X456" s="49"/>
    </row>
    <row r="457" spans="24:24" x14ac:dyDescent="0.25">
      <c r="X457" s="49"/>
    </row>
    <row r="458" spans="24:24" x14ac:dyDescent="0.25">
      <c r="X458" s="49"/>
    </row>
    <row r="459" spans="24:24" x14ac:dyDescent="0.25">
      <c r="X459" s="49"/>
    </row>
    <row r="460" spans="24:24" x14ac:dyDescent="0.25">
      <c r="X460" s="49"/>
    </row>
    <row r="461" spans="24:24" x14ac:dyDescent="0.25">
      <c r="X461" s="49"/>
    </row>
    <row r="462" spans="24:24" x14ac:dyDescent="0.25">
      <c r="X462" s="49"/>
    </row>
    <row r="463" spans="24:24" x14ac:dyDescent="0.25">
      <c r="X463" s="49"/>
    </row>
    <row r="464" spans="24:24" x14ac:dyDescent="0.25">
      <c r="X464" s="49"/>
    </row>
    <row r="465" spans="24:24" x14ac:dyDescent="0.25">
      <c r="X465" s="49"/>
    </row>
    <row r="466" spans="24:24" x14ac:dyDescent="0.25">
      <c r="X466" s="49"/>
    </row>
    <row r="467" spans="24:24" x14ac:dyDescent="0.25">
      <c r="X467" s="49"/>
    </row>
    <row r="468" spans="24:24" x14ac:dyDescent="0.25">
      <c r="X468" s="49"/>
    </row>
    <row r="469" spans="24:24" x14ac:dyDescent="0.25">
      <c r="X469" s="49"/>
    </row>
    <row r="470" spans="24:24" x14ac:dyDescent="0.25">
      <c r="X470" s="49"/>
    </row>
    <row r="471" spans="24:24" x14ac:dyDescent="0.25">
      <c r="X471" s="49"/>
    </row>
    <row r="472" spans="24:24" x14ac:dyDescent="0.25">
      <c r="X472" s="49"/>
    </row>
    <row r="473" spans="24:24" x14ac:dyDescent="0.25">
      <c r="X473" s="49"/>
    </row>
    <row r="474" spans="24:24" x14ac:dyDescent="0.25">
      <c r="X474" s="49"/>
    </row>
    <row r="475" spans="24:24" x14ac:dyDescent="0.25">
      <c r="X475" s="49"/>
    </row>
    <row r="476" spans="24:24" x14ac:dyDescent="0.25">
      <c r="X476" s="49"/>
    </row>
    <row r="477" spans="24:24" x14ac:dyDescent="0.25">
      <c r="X477" s="49"/>
    </row>
    <row r="478" spans="24:24" x14ac:dyDescent="0.25">
      <c r="X478" s="49"/>
    </row>
    <row r="479" spans="24:24" x14ac:dyDescent="0.25">
      <c r="X479" s="49"/>
    </row>
    <row r="480" spans="24:24" x14ac:dyDescent="0.25">
      <c r="X480" s="49"/>
    </row>
    <row r="481" spans="24:24" x14ac:dyDescent="0.25">
      <c r="X481" s="49"/>
    </row>
    <row r="482" spans="24:24" x14ac:dyDescent="0.25">
      <c r="X482" s="49"/>
    </row>
    <row r="483" spans="24:24" x14ac:dyDescent="0.25">
      <c r="X483" s="49"/>
    </row>
    <row r="484" spans="24:24" x14ac:dyDescent="0.25">
      <c r="X484" s="49"/>
    </row>
    <row r="485" spans="24:24" x14ac:dyDescent="0.25">
      <c r="X485" s="49"/>
    </row>
    <row r="486" spans="24:24" x14ac:dyDescent="0.25">
      <c r="X486" s="49"/>
    </row>
    <row r="487" spans="24:24" x14ac:dyDescent="0.25">
      <c r="X487" s="49"/>
    </row>
    <row r="488" spans="24:24" x14ac:dyDescent="0.25">
      <c r="X488" s="49"/>
    </row>
    <row r="489" spans="24:24" x14ac:dyDescent="0.25">
      <c r="X489" s="49"/>
    </row>
    <row r="490" spans="24:24" x14ac:dyDescent="0.25">
      <c r="X490" s="49"/>
    </row>
    <row r="491" spans="24:24" x14ac:dyDescent="0.25">
      <c r="X491" s="49"/>
    </row>
    <row r="492" spans="24:24" x14ac:dyDescent="0.25">
      <c r="X492" s="49"/>
    </row>
    <row r="493" spans="24:24" x14ac:dyDescent="0.25">
      <c r="X493" s="49"/>
    </row>
    <row r="494" spans="24:24" x14ac:dyDescent="0.25">
      <c r="X494" s="49"/>
    </row>
    <row r="495" spans="24:24" x14ac:dyDescent="0.25">
      <c r="X495" s="49"/>
    </row>
    <row r="496" spans="24:24" x14ac:dyDescent="0.25">
      <c r="X496" s="49"/>
    </row>
    <row r="497" spans="24:24" x14ac:dyDescent="0.25">
      <c r="X497" s="49"/>
    </row>
    <row r="498" spans="24:24" x14ac:dyDescent="0.25">
      <c r="X498" s="49"/>
    </row>
    <row r="499" spans="24:24" x14ac:dyDescent="0.25">
      <c r="X499" s="49"/>
    </row>
    <row r="500" spans="24:24" x14ac:dyDescent="0.25">
      <c r="X500" s="49"/>
    </row>
    <row r="501" spans="24:24" x14ac:dyDescent="0.25">
      <c r="X501" s="49"/>
    </row>
    <row r="502" spans="24:24" x14ac:dyDescent="0.25">
      <c r="X502" s="49"/>
    </row>
    <row r="503" spans="24:24" x14ac:dyDescent="0.25">
      <c r="X503" s="49"/>
    </row>
    <row r="504" spans="24:24" x14ac:dyDescent="0.25">
      <c r="X504" s="49"/>
    </row>
    <row r="505" spans="24:24" x14ac:dyDescent="0.25">
      <c r="X505" s="49"/>
    </row>
    <row r="506" spans="24:24" x14ac:dyDescent="0.25">
      <c r="X506" s="49"/>
    </row>
    <row r="507" spans="24:24" x14ac:dyDescent="0.25">
      <c r="X507" s="49"/>
    </row>
    <row r="508" spans="24:24" x14ac:dyDescent="0.25">
      <c r="X508" s="49"/>
    </row>
    <row r="509" spans="24:24" x14ac:dyDescent="0.25">
      <c r="X509" s="49"/>
    </row>
    <row r="510" spans="24:24" x14ac:dyDescent="0.25">
      <c r="X510" s="49"/>
    </row>
    <row r="511" spans="24:24" x14ac:dyDescent="0.25">
      <c r="X511" s="49"/>
    </row>
    <row r="512" spans="24:24" x14ac:dyDescent="0.25">
      <c r="X512" s="49"/>
    </row>
    <row r="513" spans="24:24" x14ac:dyDescent="0.25">
      <c r="X513" s="49"/>
    </row>
    <row r="514" spans="24:24" x14ac:dyDescent="0.25">
      <c r="X514" s="49"/>
    </row>
    <row r="515" spans="24:24" x14ac:dyDescent="0.25">
      <c r="X515" s="49"/>
    </row>
    <row r="516" spans="24:24" x14ac:dyDescent="0.25">
      <c r="X516" s="49"/>
    </row>
    <row r="517" spans="24:24" x14ac:dyDescent="0.25">
      <c r="X517" s="49"/>
    </row>
    <row r="518" spans="24:24" x14ac:dyDescent="0.25">
      <c r="X518" s="49"/>
    </row>
    <row r="519" spans="24:24" x14ac:dyDescent="0.25">
      <c r="X519" s="49"/>
    </row>
    <row r="520" spans="24:24" x14ac:dyDescent="0.25">
      <c r="X520" s="49"/>
    </row>
    <row r="521" spans="24:24" x14ac:dyDescent="0.25">
      <c r="X521" s="49"/>
    </row>
    <row r="522" spans="24:24" x14ac:dyDescent="0.25">
      <c r="X522" s="49"/>
    </row>
    <row r="523" spans="24:24" x14ac:dyDescent="0.25">
      <c r="X523" s="49"/>
    </row>
    <row r="524" spans="24:24" x14ac:dyDescent="0.25">
      <c r="X524" s="49"/>
    </row>
    <row r="525" spans="24:24" x14ac:dyDescent="0.25">
      <c r="X525" s="49"/>
    </row>
    <row r="526" spans="24:24" x14ac:dyDescent="0.25">
      <c r="X526" s="49"/>
    </row>
    <row r="527" spans="24:24" x14ac:dyDescent="0.25">
      <c r="X527" s="49"/>
    </row>
    <row r="528" spans="24:24" x14ac:dyDescent="0.25">
      <c r="X528" s="49"/>
    </row>
    <row r="529" spans="24:24" x14ac:dyDescent="0.25">
      <c r="X529" s="49"/>
    </row>
    <row r="530" spans="24:24" x14ac:dyDescent="0.25">
      <c r="X530" s="49"/>
    </row>
    <row r="531" spans="24:24" x14ac:dyDescent="0.25">
      <c r="X531" s="49"/>
    </row>
    <row r="532" spans="24:24" x14ac:dyDescent="0.25">
      <c r="X532" s="49"/>
    </row>
    <row r="533" spans="24:24" x14ac:dyDescent="0.25">
      <c r="X533" s="49"/>
    </row>
    <row r="534" spans="24:24" x14ac:dyDescent="0.25">
      <c r="X534" s="49"/>
    </row>
    <row r="535" spans="24:24" x14ac:dyDescent="0.25">
      <c r="X535" s="49"/>
    </row>
    <row r="536" spans="24:24" x14ac:dyDescent="0.25">
      <c r="X536" s="49"/>
    </row>
    <row r="537" spans="24:24" x14ac:dyDescent="0.25">
      <c r="X537" s="49"/>
    </row>
    <row r="538" spans="24:24" x14ac:dyDescent="0.25">
      <c r="X538" s="49"/>
    </row>
    <row r="539" spans="24:24" x14ac:dyDescent="0.25">
      <c r="X539" s="49"/>
    </row>
    <row r="540" spans="24:24" x14ac:dyDescent="0.25">
      <c r="X540" s="49"/>
    </row>
    <row r="541" spans="24:24" x14ac:dyDescent="0.25">
      <c r="X541" s="49"/>
    </row>
    <row r="542" spans="24:24" x14ac:dyDescent="0.25">
      <c r="X542" s="49"/>
    </row>
    <row r="543" spans="24:24" x14ac:dyDescent="0.25">
      <c r="X543" s="49"/>
    </row>
    <row r="544" spans="24:24" x14ac:dyDescent="0.25">
      <c r="X544" s="49"/>
    </row>
    <row r="545" spans="24:24" x14ac:dyDescent="0.25">
      <c r="X545" s="49"/>
    </row>
    <row r="546" spans="24:24" x14ac:dyDescent="0.25">
      <c r="X546" s="49"/>
    </row>
    <row r="547" spans="24:24" x14ac:dyDescent="0.25">
      <c r="X547" s="49"/>
    </row>
    <row r="548" spans="24:24" x14ac:dyDescent="0.25">
      <c r="X548" s="49"/>
    </row>
    <row r="549" spans="24:24" x14ac:dyDescent="0.25">
      <c r="X549" s="49"/>
    </row>
    <row r="550" spans="24:24" x14ac:dyDescent="0.25">
      <c r="X550" s="49"/>
    </row>
    <row r="551" spans="24:24" x14ac:dyDescent="0.25">
      <c r="X551" s="49"/>
    </row>
    <row r="552" spans="24:24" x14ac:dyDescent="0.25">
      <c r="X552" s="49"/>
    </row>
    <row r="553" spans="24:24" x14ac:dyDescent="0.25">
      <c r="X553" s="49"/>
    </row>
    <row r="554" spans="24:24" x14ac:dyDescent="0.25">
      <c r="X554" s="49"/>
    </row>
    <row r="555" spans="24:24" x14ac:dyDescent="0.25">
      <c r="X555" s="49"/>
    </row>
    <row r="556" spans="24:24" x14ac:dyDescent="0.25">
      <c r="X556" s="49"/>
    </row>
    <row r="557" spans="24:24" x14ac:dyDescent="0.25">
      <c r="X557" s="49"/>
    </row>
    <row r="558" spans="24:24" x14ac:dyDescent="0.25">
      <c r="X558" s="49"/>
    </row>
    <row r="559" spans="24:24" x14ac:dyDescent="0.25">
      <c r="X559" s="49"/>
    </row>
    <row r="560" spans="24:24" x14ac:dyDescent="0.25">
      <c r="X560" s="49"/>
    </row>
    <row r="561" spans="24:24" x14ac:dyDescent="0.25">
      <c r="X561" s="49"/>
    </row>
    <row r="562" spans="24:24" x14ac:dyDescent="0.25">
      <c r="X562" s="49"/>
    </row>
    <row r="563" spans="24:24" x14ac:dyDescent="0.25">
      <c r="X563" s="49"/>
    </row>
    <row r="564" spans="24:24" x14ac:dyDescent="0.25">
      <c r="X564" s="49"/>
    </row>
    <row r="565" spans="24:24" x14ac:dyDescent="0.25">
      <c r="X565" s="49"/>
    </row>
    <row r="566" spans="24:24" x14ac:dyDescent="0.25">
      <c r="X566" s="49"/>
    </row>
    <row r="567" spans="24:24" x14ac:dyDescent="0.25">
      <c r="X567" s="49"/>
    </row>
    <row r="568" spans="24:24" x14ac:dyDescent="0.25">
      <c r="X568" s="49"/>
    </row>
    <row r="569" spans="24:24" x14ac:dyDescent="0.25">
      <c r="X569" s="49"/>
    </row>
    <row r="570" spans="24:24" x14ac:dyDescent="0.25">
      <c r="X570" s="49"/>
    </row>
    <row r="571" spans="24:24" x14ac:dyDescent="0.25">
      <c r="X571" s="49"/>
    </row>
    <row r="572" spans="24:24" x14ac:dyDescent="0.25">
      <c r="X572" s="49"/>
    </row>
    <row r="573" spans="24:24" x14ac:dyDescent="0.25">
      <c r="X573" s="49"/>
    </row>
    <row r="574" spans="24:24" x14ac:dyDescent="0.25">
      <c r="X574" s="49"/>
    </row>
    <row r="575" spans="24:24" x14ac:dyDescent="0.25">
      <c r="X575" s="49"/>
    </row>
    <row r="576" spans="24:24" x14ac:dyDescent="0.25">
      <c r="X576" s="49"/>
    </row>
    <row r="577" spans="24:24" x14ac:dyDescent="0.25">
      <c r="X577" s="49"/>
    </row>
    <row r="578" spans="24:24" x14ac:dyDescent="0.25">
      <c r="X578" s="49"/>
    </row>
    <row r="579" spans="24:24" x14ac:dyDescent="0.25">
      <c r="X579" s="49"/>
    </row>
    <row r="580" spans="24:24" x14ac:dyDescent="0.25">
      <c r="X580" s="49"/>
    </row>
    <row r="581" spans="24:24" x14ac:dyDescent="0.25">
      <c r="X581" s="49"/>
    </row>
    <row r="582" spans="24:24" x14ac:dyDescent="0.25">
      <c r="X582" s="49"/>
    </row>
    <row r="583" spans="24:24" x14ac:dyDescent="0.25">
      <c r="X583" s="49"/>
    </row>
    <row r="584" spans="24:24" x14ac:dyDescent="0.25">
      <c r="X584" s="49"/>
    </row>
    <row r="585" spans="24:24" x14ac:dyDescent="0.25">
      <c r="X585" s="49"/>
    </row>
    <row r="586" spans="24:24" x14ac:dyDescent="0.25">
      <c r="X586" s="49"/>
    </row>
    <row r="587" spans="24:24" x14ac:dyDescent="0.25">
      <c r="X587" s="49"/>
    </row>
    <row r="588" spans="24:24" x14ac:dyDescent="0.25">
      <c r="X588" s="49"/>
    </row>
    <row r="589" spans="24:24" x14ac:dyDescent="0.25">
      <c r="X589" s="49"/>
    </row>
    <row r="590" spans="24:24" x14ac:dyDescent="0.25">
      <c r="X590" s="49"/>
    </row>
    <row r="591" spans="24:24" x14ac:dyDescent="0.25">
      <c r="X591" s="49"/>
    </row>
    <row r="592" spans="24:24" x14ac:dyDescent="0.25">
      <c r="X592" s="49"/>
    </row>
    <row r="593" spans="24:24" x14ac:dyDescent="0.25">
      <c r="X593" s="49"/>
    </row>
    <row r="594" spans="24:24" x14ac:dyDescent="0.25">
      <c r="X594" s="49"/>
    </row>
    <row r="595" spans="24:24" x14ac:dyDescent="0.25">
      <c r="X595" s="49"/>
    </row>
    <row r="596" spans="24:24" x14ac:dyDescent="0.25">
      <c r="X596" s="49"/>
    </row>
    <row r="597" spans="24:24" x14ac:dyDescent="0.25">
      <c r="X597" s="49"/>
    </row>
    <row r="598" spans="24:24" x14ac:dyDescent="0.25">
      <c r="X598" s="49"/>
    </row>
    <row r="599" spans="24:24" x14ac:dyDescent="0.25">
      <c r="X599" s="49"/>
    </row>
    <row r="600" spans="24:24" x14ac:dyDescent="0.25">
      <c r="X600" s="49"/>
    </row>
    <row r="601" spans="24:24" x14ac:dyDescent="0.25">
      <c r="X601" s="49"/>
    </row>
    <row r="602" spans="24:24" x14ac:dyDescent="0.25">
      <c r="X602" s="49"/>
    </row>
    <row r="603" spans="24:24" x14ac:dyDescent="0.25">
      <c r="X603" s="49"/>
    </row>
    <row r="604" spans="24:24" x14ac:dyDescent="0.25">
      <c r="X604" s="49"/>
    </row>
    <row r="605" spans="24:24" x14ac:dyDescent="0.25">
      <c r="X605" s="49"/>
    </row>
    <row r="606" spans="24:24" x14ac:dyDescent="0.25">
      <c r="X606" s="49"/>
    </row>
    <row r="607" spans="24:24" x14ac:dyDescent="0.25">
      <c r="X607" s="49"/>
    </row>
    <row r="608" spans="24:24" x14ac:dyDescent="0.25">
      <c r="X608" s="49"/>
    </row>
    <row r="609" spans="24:24" x14ac:dyDescent="0.25">
      <c r="X609" s="49"/>
    </row>
    <row r="610" spans="24:24" x14ac:dyDescent="0.25">
      <c r="X610" s="49"/>
    </row>
    <row r="611" spans="24:24" x14ac:dyDescent="0.25">
      <c r="X611" s="49"/>
    </row>
    <row r="612" spans="24:24" x14ac:dyDescent="0.25">
      <c r="X612" s="49"/>
    </row>
    <row r="613" spans="24:24" x14ac:dyDescent="0.25">
      <c r="X613" s="49"/>
    </row>
    <row r="614" spans="24:24" x14ac:dyDescent="0.25">
      <c r="X614" s="49"/>
    </row>
    <row r="615" spans="24:24" x14ac:dyDescent="0.25">
      <c r="X615" s="49"/>
    </row>
    <row r="616" spans="24:24" x14ac:dyDescent="0.25">
      <c r="X616" s="49"/>
    </row>
    <row r="617" spans="24:24" x14ac:dyDescent="0.25">
      <c r="X617" s="49"/>
    </row>
    <row r="618" spans="24:24" x14ac:dyDescent="0.25">
      <c r="X618" s="49"/>
    </row>
    <row r="619" spans="24:24" x14ac:dyDescent="0.25">
      <c r="X619" s="49"/>
    </row>
    <row r="620" spans="24:24" x14ac:dyDescent="0.25">
      <c r="X620" s="49"/>
    </row>
    <row r="621" spans="24:24" x14ac:dyDescent="0.25">
      <c r="X621" s="49"/>
    </row>
    <row r="622" spans="24:24" x14ac:dyDescent="0.25">
      <c r="X622" s="49"/>
    </row>
    <row r="623" spans="24:24" x14ac:dyDescent="0.25">
      <c r="X623" s="49"/>
    </row>
    <row r="624" spans="24:24" x14ac:dyDescent="0.25">
      <c r="X624" s="49"/>
    </row>
    <row r="625" spans="24:24" x14ac:dyDescent="0.25">
      <c r="X625" s="49"/>
    </row>
    <row r="626" spans="24:24" x14ac:dyDescent="0.25">
      <c r="X626" s="49"/>
    </row>
    <row r="627" spans="24:24" x14ac:dyDescent="0.25">
      <c r="X627" s="49"/>
    </row>
    <row r="628" spans="24:24" x14ac:dyDescent="0.25">
      <c r="X628" s="49"/>
    </row>
    <row r="629" spans="24:24" x14ac:dyDescent="0.25">
      <c r="X629" s="49"/>
    </row>
    <row r="630" spans="24:24" x14ac:dyDescent="0.25">
      <c r="X630" s="49"/>
    </row>
    <row r="631" spans="24:24" x14ac:dyDescent="0.25">
      <c r="X631" s="49"/>
    </row>
    <row r="632" spans="24:24" x14ac:dyDescent="0.25">
      <c r="X632" s="49"/>
    </row>
    <row r="633" spans="24:24" x14ac:dyDescent="0.25">
      <c r="X633" s="49"/>
    </row>
    <row r="634" spans="24:24" x14ac:dyDescent="0.25">
      <c r="X634" s="49"/>
    </row>
    <row r="635" spans="24:24" x14ac:dyDescent="0.25">
      <c r="X635" s="49"/>
    </row>
    <row r="636" spans="24:24" x14ac:dyDescent="0.25">
      <c r="X636" s="49"/>
    </row>
    <row r="637" spans="24:24" x14ac:dyDescent="0.25">
      <c r="X637" s="49"/>
    </row>
    <row r="638" spans="24:24" x14ac:dyDescent="0.25">
      <c r="X638" s="49"/>
    </row>
    <row r="639" spans="24:24" x14ac:dyDescent="0.25">
      <c r="X639" s="49"/>
    </row>
    <row r="640" spans="24:24" x14ac:dyDescent="0.25">
      <c r="X640" s="49"/>
    </row>
    <row r="641" spans="24:24" x14ac:dyDescent="0.25">
      <c r="X641" s="49"/>
    </row>
    <row r="642" spans="24:24" x14ac:dyDescent="0.25">
      <c r="X642" s="49"/>
    </row>
    <row r="643" spans="24:24" x14ac:dyDescent="0.25">
      <c r="X643" s="49"/>
    </row>
    <row r="644" spans="24:24" x14ac:dyDescent="0.25">
      <c r="X644" s="49"/>
    </row>
    <row r="645" spans="24:24" x14ac:dyDescent="0.25">
      <c r="X645" s="49"/>
    </row>
    <row r="646" spans="24:24" x14ac:dyDescent="0.25">
      <c r="X646" s="49"/>
    </row>
    <row r="647" spans="24:24" x14ac:dyDescent="0.25">
      <c r="X647" s="49"/>
    </row>
    <row r="648" spans="24:24" x14ac:dyDescent="0.25">
      <c r="X648" s="49"/>
    </row>
    <row r="649" spans="24:24" x14ac:dyDescent="0.25">
      <c r="X649" s="49"/>
    </row>
    <row r="650" spans="24:24" x14ac:dyDescent="0.25">
      <c r="X650" s="49"/>
    </row>
    <row r="651" spans="24:24" x14ac:dyDescent="0.25">
      <c r="X651" s="49"/>
    </row>
    <row r="652" spans="24:24" x14ac:dyDescent="0.25">
      <c r="X652" s="49"/>
    </row>
    <row r="653" spans="24:24" x14ac:dyDescent="0.25">
      <c r="X653" s="49"/>
    </row>
    <row r="654" spans="24:24" x14ac:dyDescent="0.25">
      <c r="X654" s="49"/>
    </row>
    <row r="655" spans="24:24" x14ac:dyDescent="0.25">
      <c r="X655" s="49"/>
    </row>
    <row r="656" spans="24:24" x14ac:dyDescent="0.25">
      <c r="X656" s="49"/>
    </row>
    <row r="657" spans="24:24" x14ac:dyDescent="0.25">
      <c r="X657" s="49"/>
    </row>
    <row r="658" spans="24:24" x14ac:dyDescent="0.25">
      <c r="X658" s="49"/>
    </row>
    <row r="659" spans="24:24" x14ac:dyDescent="0.25">
      <c r="X659" s="49"/>
    </row>
    <row r="660" spans="24:24" x14ac:dyDescent="0.25">
      <c r="X660" s="49"/>
    </row>
    <row r="661" spans="24:24" x14ac:dyDescent="0.25">
      <c r="X661" s="49"/>
    </row>
    <row r="662" spans="24:24" x14ac:dyDescent="0.25">
      <c r="X662" s="49"/>
    </row>
    <row r="663" spans="24:24" x14ac:dyDescent="0.25">
      <c r="X663" s="49"/>
    </row>
    <row r="664" spans="24:24" x14ac:dyDescent="0.25">
      <c r="X664" s="49"/>
    </row>
    <row r="665" spans="24:24" x14ac:dyDescent="0.25">
      <c r="X665" s="49"/>
    </row>
    <row r="666" spans="24:24" x14ac:dyDescent="0.25">
      <c r="X666" s="49"/>
    </row>
    <row r="667" spans="24:24" x14ac:dyDescent="0.25">
      <c r="X667" s="49"/>
    </row>
    <row r="668" spans="24:24" x14ac:dyDescent="0.25">
      <c r="X668" s="49"/>
    </row>
    <row r="669" spans="24:24" x14ac:dyDescent="0.25">
      <c r="X669" s="49"/>
    </row>
    <row r="670" spans="24:24" x14ac:dyDescent="0.25">
      <c r="X670" s="49"/>
    </row>
    <row r="671" spans="24:24" x14ac:dyDescent="0.25">
      <c r="X671" s="49"/>
    </row>
    <row r="672" spans="24:24" x14ac:dyDescent="0.25">
      <c r="X672" s="49"/>
    </row>
    <row r="673" spans="24:24" x14ac:dyDescent="0.25">
      <c r="X673" s="49"/>
    </row>
    <row r="674" spans="24:24" x14ac:dyDescent="0.25">
      <c r="X674" s="49"/>
    </row>
    <row r="675" spans="24:24" x14ac:dyDescent="0.25">
      <c r="X675" s="49"/>
    </row>
    <row r="676" spans="24:24" x14ac:dyDescent="0.25">
      <c r="X676" s="49"/>
    </row>
    <row r="677" spans="24:24" x14ac:dyDescent="0.25">
      <c r="X677" s="49"/>
    </row>
    <row r="678" spans="24:24" x14ac:dyDescent="0.25">
      <c r="X678" s="49"/>
    </row>
    <row r="679" spans="24:24" x14ac:dyDescent="0.25">
      <c r="X679" s="49"/>
    </row>
    <row r="680" spans="24:24" x14ac:dyDescent="0.25">
      <c r="X680" s="49"/>
    </row>
    <row r="681" spans="24:24" x14ac:dyDescent="0.25">
      <c r="X681" s="49"/>
    </row>
    <row r="682" spans="24:24" x14ac:dyDescent="0.25">
      <c r="X682" s="49"/>
    </row>
    <row r="683" spans="24:24" x14ac:dyDescent="0.25">
      <c r="X683" s="49"/>
    </row>
    <row r="684" spans="24:24" x14ac:dyDescent="0.25">
      <c r="X684" s="49"/>
    </row>
    <row r="685" spans="24:24" x14ac:dyDescent="0.25">
      <c r="X685" s="49"/>
    </row>
    <row r="686" spans="24:24" x14ac:dyDescent="0.25">
      <c r="X686" s="49"/>
    </row>
    <row r="687" spans="24:24" x14ac:dyDescent="0.25">
      <c r="X687" s="49"/>
    </row>
    <row r="688" spans="24:24" x14ac:dyDescent="0.25">
      <c r="X688" s="49"/>
    </row>
    <row r="689" spans="24:24" x14ac:dyDescent="0.25">
      <c r="X689" s="49"/>
    </row>
    <row r="690" spans="24:24" x14ac:dyDescent="0.25">
      <c r="X690" s="49"/>
    </row>
    <row r="691" spans="24:24" x14ac:dyDescent="0.25">
      <c r="X691" s="49"/>
    </row>
    <row r="692" spans="24:24" x14ac:dyDescent="0.25">
      <c r="X692" s="49"/>
    </row>
    <row r="693" spans="24:24" x14ac:dyDescent="0.25">
      <c r="X693" s="49"/>
    </row>
    <row r="694" spans="24:24" x14ac:dyDescent="0.25">
      <c r="X694" s="49"/>
    </row>
    <row r="695" spans="24:24" x14ac:dyDescent="0.25">
      <c r="X695" s="49"/>
    </row>
    <row r="696" spans="24:24" x14ac:dyDescent="0.25">
      <c r="X696" s="49"/>
    </row>
    <row r="697" spans="24:24" x14ac:dyDescent="0.25">
      <c r="X697" s="49"/>
    </row>
    <row r="698" spans="24:24" x14ac:dyDescent="0.25">
      <c r="X698" s="49"/>
    </row>
    <row r="699" spans="24:24" x14ac:dyDescent="0.25">
      <c r="X699" s="49"/>
    </row>
    <row r="700" spans="24:24" x14ac:dyDescent="0.25">
      <c r="X700" s="49"/>
    </row>
    <row r="701" spans="24:24" x14ac:dyDescent="0.25">
      <c r="X701" s="49"/>
    </row>
    <row r="702" spans="24:24" x14ac:dyDescent="0.25">
      <c r="X702" s="49"/>
    </row>
    <row r="703" spans="24:24" x14ac:dyDescent="0.25">
      <c r="X703" s="49"/>
    </row>
    <row r="704" spans="24:24" x14ac:dyDescent="0.25">
      <c r="X704" s="49"/>
    </row>
    <row r="705" spans="24:24" x14ac:dyDescent="0.25">
      <c r="X705" s="49"/>
    </row>
    <row r="706" spans="24:24" x14ac:dyDescent="0.25">
      <c r="X706" s="49"/>
    </row>
    <row r="707" spans="24:24" x14ac:dyDescent="0.25">
      <c r="X707" s="49"/>
    </row>
    <row r="708" spans="24:24" x14ac:dyDescent="0.25">
      <c r="X708" s="49"/>
    </row>
    <row r="709" spans="24:24" x14ac:dyDescent="0.25">
      <c r="X709" s="49"/>
    </row>
    <row r="710" spans="24:24" x14ac:dyDescent="0.25">
      <c r="X710" s="49"/>
    </row>
    <row r="711" spans="24:24" x14ac:dyDescent="0.25">
      <c r="X711" s="49"/>
    </row>
    <row r="712" spans="24:24" x14ac:dyDescent="0.25">
      <c r="X712" s="49"/>
    </row>
    <row r="713" spans="24:24" x14ac:dyDescent="0.25">
      <c r="X713" s="49"/>
    </row>
    <row r="714" spans="24:24" x14ac:dyDescent="0.25">
      <c r="X714" s="49"/>
    </row>
    <row r="715" spans="24:24" x14ac:dyDescent="0.25">
      <c r="X715" s="49"/>
    </row>
    <row r="716" spans="24:24" x14ac:dyDescent="0.25">
      <c r="X716" s="49"/>
    </row>
    <row r="717" spans="24:24" x14ac:dyDescent="0.25">
      <c r="X717" s="49"/>
    </row>
    <row r="718" spans="24:24" x14ac:dyDescent="0.25">
      <c r="X718" s="49"/>
    </row>
    <row r="719" spans="24:24" x14ac:dyDescent="0.25">
      <c r="X719" s="49"/>
    </row>
    <row r="720" spans="24:24" x14ac:dyDescent="0.25">
      <c r="X720" s="49"/>
    </row>
    <row r="721" spans="24:24" x14ac:dyDescent="0.25">
      <c r="X721" s="49"/>
    </row>
    <row r="722" spans="24:24" x14ac:dyDescent="0.25">
      <c r="X722" s="49"/>
    </row>
    <row r="723" spans="24:24" x14ac:dyDescent="0.25">
      <c r="X723" s="49"/>
    </row>
    <row r="724" spans="24:24" x14ac:dyDescent="0.25">
      <c r="X724" s="49"/>
    </row>
    <row r="725" spans="24:24" x14ac:dyDescent="0.25">
      <c r="X725" s="49"/>
    </row>
    <row r="726" spans="24:24" x14ac:dyDescent="0.25">
      <c r="X726" s="49"/>
    </row>
    <row r="727" spans="24:24" x14ac:dyDescent="0.25">
      <c r="X727" s="49"/>
    </row>
    <row r="728" spans="24:24" x14ac:dyDescent="0.25">
      <c r="X728" s="49"/>
    </row>
    <row r="729" spans="24:24" x14ac:dyDescent="0.25">
      <c r="X729" s="49"/>
    </row>
    <row r="730" spans="24:24" x14ac:dyDescent="0.25">
      <c r="X730" s="49"/>
    </row>
    <row r="731" spans="24:24" x14ac:dyDescent="0.25">
      <c r="X731" s="49"/>
    </row>
    <row r="732" spans="24:24" x14ac:dyDescent="0.25">
      <c r="X732" s="49"/>
    </row>
    <row r="733" spans="24:24" x14ac:dyDescent="0.25">
      <c r="X733" s="49"/>
    </row>
    <row r="734" spans="24:24" x14ac:dyDescent="0.25">
      <c r="X734" s="49"/>
    </row>
    <row r="735" spans="24:24" x14ac:dyDescent="0.25">
      <c r="X735" s="49"/>
    </row>
    <row r="736" spans="24:24" x14ac:dyDescent="0.25">
      <c r="X736" s="49"/>
    </row>
    <row r="737" spans="24:24" x14ac:dyDescent="0.25">
      <c r="X737" s="49"/>
    </row>
    <row r="738" spans="24:24" x14ac:dyDescent="0.25">
      <c r="X738" s="49"/>
    </row>
    <row r="739" spans="24:24" x14ac:dyDescent="0.25">
      <c r="X739" s="49"/>
    </row>
    <row r="740" spans="24:24" x14ac:dyDescent="0.25">
      <c r="X740" s="49"/>
    </row>
    <row r="741" spans="24:24" x14ac:dyDescent="0.25">
      <c r="X741" s="49"/>
    </row>
    <row r="742" spans="24:24" x14ac:dyDescent="0.25">
      <c r="X742" s="49"/>
    </row>
    <row r="743" spans="24:24" x14ac:dyDescent="0.25">
      <c r="X743" s="49"/>
    </row>
    <row r="744" spans="24:24" x14ac:dyDescent="0.25">
      <c r="X744" s="49"/>
    </row>
    <row r="745" spans="24:24" x14ac:dyDescent="0.25">
      <c r="X745" s="49"/>
    </row>
    <row r="746" spans="24:24" x14ac:dyDescent="0.25">
      <c r="X746" s="49"/>
    </row>
    <row r="747" spans="24:24" x14ac:dyDescent="0.25">
      <c r="X747" s="49"/>
    </row>
    <row r="748" spans="24:24" x14ac:dyDescent="0.25">
      <c r="X748" s="49"/>
    </row>
    <row r="749" spans="24:24" x14ac:dyDescent="0.25">
      <c r="X749" s="49"/>
    </row>
    <row r="750" spans="24:24" x14ac:dyDescent="0.25">
      <c r="X750" s="49"/>
    </row>
    <row r="751" spans="24:24" x14ac:dyDescent="0.25">
      <c r="X751" s="49"/>
    </row>
    <row r="752" spans="24:24" x14ac:dyDescent="0.25">
      <c r="X752" s="49"/>
    </row>
    <row r="753" spans="24:24" x14ac:dyDescent="0.25">
      <c r="X753" s="49"/>
    </row>
    <row r="754" spans="24:24" x14ac:dyDescent="0.25">
      <c r="X754" s="49"/>
    </row>
    <row r="755" spans="24:24" x14ac:dyDescent="0.25">
      <c r="X755" s="49"/>
    </row>
    <row r="756" spans="24:24" x14ac:dyDescent="0.25">
      <c r="X756" s="49"/>
    </row>
    <row r="757" spans="24:24" x14ac:dyDescent="0.25">
      <c r="X757" s="49"/>
    </row>
    <row r="758" spans="24:24" x14ac:dyDescent="0.25">
      <c r="X758" s="49"/>
    </row>
    <row r="759" spans="24:24" x14ac:dyDescent="0.25">
      <c r="X759" s="49"/>
    </row>
    <row r="760" spans="24:24" x14ac:dyDescent="0.25">
      <c r="X760" s="49"/>
    </row>
    <row r="761" spans="24:24" x14ac:dyDescent="0.25">
      <c r="X761" s="49"/>
    </row>
    <row r="762" spans="24:24" x14ac:dyDescent="0.25">
      <c r="X762" s="49"/>
    </row>
    <row r="763" spans="24:24" x14ac:dyDescent="0.25">
      <c r="X763" s="49"/>
    </row>
    <row r="764" spans="24:24" x14ac:dyDescent="0.25">
      <c r="X764" s="49"/>
    </row>
    <row r="765" spans="24:24" x14ac:dyDescent="0.25">
      <c r="X765" s="49"/>
    </row>
    <row r="766" spans="24:24" x14ac:dyDescent="0.25">
      <c r="X766" s="49"/>
    </row>
    <row r="767" spans="24:24" x14ac:dyDescent="0.25">
      <c r="X767" s="49"/>
    </row>
    <row r="768" spans="24:24" x14ac:dyDescent="0.25">
      <c r="X768" s="49"/>
    </row>
    <row r="769" spans="24:24" x14ac:dyDescent="0.25">
      <c r="X769" s="49"/>
    </row>
    <row r="770" spans="24:24" x14ac:dyDescent="0.25">
      <c r="X770" s="49"/>
    </row>
    <row r="771" spans="24:24" x14ac:dyDescent="0.25">
      <c r="X771" s="49"/>
    </row>
    <row r="772" spans="24:24" x14ac:dyDescent="0.25">
      <c r="X772" s="49"/>
    </row>
    <row r="773" spans="24:24" x14ac:dyDescent="0.25">
      <c r="X773" s="49"/>
    </row>
    <row r="774" spans="24:24" x14ac:dyDescent="0.25">
      <c r="X774" s="49"/>
    </row>
    <row r="775" spans="24:24" x14ac:dyDescent="0.25">
      <c r="X775" s="49"/>
    </row>
    <row r="776" spans="24:24" x14ac:dyDescent="0.25">
      <c r="X776" s="49"/>
    </row>
    <row r="777" spans="24:24" x14ac:dyDescent="0.25">
      <c r="X777" s="49"/>
    </row>
    <row r="778" spans="24:24" x14ac:dyDescent="0.25">
      <c r="X778" s="49"/>
    </row>
    <row r="779" spans="24:24" x14ac:dyDescent="0.25">
      <c r="X779" s="49"/>
    </row>
    <row r="780" spans="24:24" x14ac:dyDescent="0.25">
      <c r="X780" s="49"/>
    </row>
    <row r="781" spans="24:24" x14ac:dyDescent="0.25">
      <c r="X781" s="49"/>
    </row>
    <row r="782" spans="24:24" x14ac:dyDescent="0.25">
      <c r="X782" s="49"/>
    </row>
    <row r="783" spans="24:24" x14ac:dyDescent="0.25">
      <c r="X783" s="49"/>
    </row>
    <row r="784" spans="24:24" x14ac:dyDescent="0.25">
      <c r="X784" s="49"/>
    </row>
    <row r="785" spans="24:24" x14ac:dyDescent="0.25">
      <c r="X785" s="49"/>
    </row>
    <row r="786" spans="24:24" x14ac:dyDescent="0.25">
      <c r="X786" s="49"/>
    </row>
    <row r="787" spans="24:24" x14ac:dyDescent="0.25">
      <c r="X787" s="49"/>
    </row>
    <row r="788" spans="24:24" x14ac:dyDescent="0.25">
      <c r="X788" s="49"/>
    </row>
    <row r="789" spans="24:24" x14ac:dyDescent="0.25">
      <c r="X789" s="49"/>
    </row>
    <row r="790" spans="24:24" x14ac:dyDescent="0.25">
      <c r="X790" s="49"/>
    </row>
    <row r="791" spans="24:24" x14ac:dyDescent="0.25">
      <c r="X791" s="49"/>
    </row>
    <row r="792" spans="24:24" x14ac:dyDescent="0.25">
      <c r="X792" s="49"/>
    </row>
    <row r="793" spans="24:24" x14ac:dyDescent="0.25">
      <c r="X793" s="49"/>
    </row>
    <row r="794" spans="24:24" x14ac:dyDescent="0.25">
      <c r="X794" s="49"/>
    </row>
    <row r="795" spans="24:24" x14ac:dyDescent="0.25">
      <c r="X795" s="49"/>
    </row>
    <row r="796" spans="24:24" x14ac:dyDescent="0.25">
      <c r="X796" s="49"/>
    </row>
    <row r="797" spans="24:24" x14ac:dyDescent="0.25">
      <c r="X797" s="49"/>
    </row>
    <row r="798" spans="24:24" x14ac:dyDescent="0.25">
      <c r="X798" s="49"/>
    </row>
    <row r="799" spans="24:24" x14ac:dyDescent="0.25">
      <c r="X799" s="49"/>
    </row>
    <row r="800" spans="24:24" x14ac:dyDescent="0.25">
      <c r="X800" s="49"/>
    </row>
    <row r="801" spans="24:24" x14ac:dyDescent="0.25">
      <c r="X801" s="49"/>
    </row>
    <row r="802" spans="24:24" x14ac:dyDescent="0.25">
      <c r="X802" s="49"/>
    </row>
    <row r="803" spans="24:24" x14ac:dyDescent="0.25">
      <c r="X803" s="49"/>
    </row>
    <row r="804" spans="24:24" x14ac:dyDescent="0.25">
      <c r="X804" s="49"/>
    </row>
    <row r="805" spans="24:24" x14ac:dyDescent="0.25">
      <c r="X805" s="49"/>
    </row>
    <row r="806" spans="24:24" x14ac:dyDescent="0.25">
      <c r="X806" s="49"/>
    </row>
    <row r="807" spans="24:24" x14ac:dyDescent="0.25">
      <c r="X807" s="49"/>
    </row>
    <row r="808" spans="24:24" x14ac:dyDescent="0.25">
      <c r="X808" s="49"/>
    </row>
    <row r="809" spans="24:24" x14ac:dyDescent="0.25">
      <c r="X809" s="49"/>
    </row>
    <row r="810" spans="24:24" x14ac:dyDescent="0.25">
      <c r="X810" s="49"/>
    </row>
    <row r="811" spans="24:24" x14ac:dyDescent="0.25">
      <c r="X811" s="49"/>
    </row>
    <row r="812" spans="24:24" x14ac:dyDescent="0.25">
      <c r="X812" s="49"/>
    </row>
    <row r="813" spans="24:24" x14ac:dyDescent="0.25">
      <c r="X813" s="49"/>
    </row>
    <row r="814" spans="24:24" x14ac:dyDescent="0.25">
      <c r="X814" s="49"/>
    </row>
    <row r="815" spans="24:24" x14ac:dyDescent="0.25">
      <c r="X815" s="49"/>
    </row>
    <row r="816" spans="24:24" x14ac:dyDescent="0.25">
      <c r="X816" s="49"/>
    </row>
    <row r="817" spans="24:24" x14ac:dyDescent="0.25">
      <c r="X817" s="49"/>
    </row>
    <row r="818" spans="24:24" x14ac:dyDescent="0.25">
      <c r="X818" s="49"/>
    </row>
    <row r="819" spans="24:24" x14ac:dyDescent="0.25">
      <c r="X819" s="49"/>
    </row>
    <row r="820" spans="24:24" x14ac:dyDescent="0.25">
      <c r="X820" s="49"/>
    </row>
    <row r="821" spans="24:24" x14ac:dyDescent="0.25">
      <c r="X821" s="49"/>
    </row>
    <row r="822" spans="24:24" x14ac:dyDescent="0.25">
      <c r="X822" s="49"/>
    </row>
    <row r="823" spans="24:24" x14ac:dyDescent="0.25">
      <c r="X823" s="49"/>
    </row>
    <row r="824" spans="24:24" x14ac:dyDescent="0.25">
      <c r="X824" s="49"/>
    </row>
    <row r="825" spans="24:24" x14ac:dyDescent="0.25">
      <c r="X825" s="49"/>
    </row>
    <row r="826" spans="24:24" x14ac:dyDescent="0.25">
      <c r="X826" s="49"/>
    </row>
    <row r="827" spans="24:24" x14ac:dyDescent="0.25">
      <c r="X827" s="49"/>
    </row>
    <row r="828" spans="24:24" x14ac:dyDescent="0.25">
      <c r="X828" s="49"/>
    </row>
    <row r="829" spans="24:24" x14ac:dyDescent="0.25">
      <c r="X829" s="49"/>
    </row>
    <row r="830" spans="24:24" x14ac:dyDescent="0.25">
      <c r="X830" s="49"/>
    </row>
    <row r="831" spans="24:24" x14ac:dyDescent="0.25">
      <c r="X831" s="49"/>
    </row>
    <row r="832" spans="24:24" x14ac:dyDescent="0.25">
      <c r="X832" s="49"/>
    </row>
    <row r="833" spans="24:24" x14ac:dyDescent="0.25">
      <c r="X833" s="49"/>
    </row>
    <row r="834" spans="24:24" x14ac:dyDescent="0.25">
      <c r="X834" s="49"/>
    </row>
    <row r="835" spans="24:24" x14ac:dyDescent="0.25">
      <c r="X835" s="49"/>
    </row>
    <row r="836" spans="24:24" x14ac:dyDescent="0.25">
      <c r="X836" s="49"/>
    </row>
    <row r="837" spans="24:24" x14ac:dyDescent="0.25">
      <c r="X837" s="49"/>
    </row>
    <row r="838" spans="24:24" x14ac:dyDescent="0.25">
      <c r="X838" s="49"/>
    </row>
    <row r="839" spans="24:24" x14ac:dyDescent="0.25">
      <c r="X839" s="49"/>
    </row>
    <row r="840" spans="24:24" x14ac:dyDescent="0.25">
      <c r="X840" s="49"/>
    </row>
    <row r="841" spans="24:24" x14ac:dyDescent="0.25">
      <c r="X841" s="49"/>
    </row>
    <row r="842" spans="24:24" x14ac:dyDescent="0.25">
      <c r="X842" s="49"/>
    </row>
    <row r="843" spans="24:24" x14ac:dyDescent="0.25">
      <c r="X843" s="49"/>
    </row>
    <row r="844" spans="24:24" x14ac:dyDescent="0.25">
      <c r="X844" s="49"/>
    </row>
  </sheetData>
  <dataValidations count="5">
    <dataValidation type="list" allowBlank="1" showInputMessage="1" showErrorMessage="1" sqref="G2:G20" xr:uid="{00000000-0002-0000-0300-000000000000}">
      <formula1>israel_abroad</formula1>
      <formula2>0</formula2>
    </dataValidation>
    <dataValidation type="list" allowBlank="1" showInputMessage="1" showErrorMessage="1" sqref="I2:I20" xr:uid="{00000000-0002-0000-0300-000001000000}">
      <formula1>Stock_Exchange_Gov_Bonds</formula1>
      <formula2>0</formula2>
    </dataValidation>
    <dataValidation type="list" allowBlank="1" showInputMessage="1" showErrorMessage="1" sqref="K2:K20" xr:uid="{00000000-0002-0000-0300-000002000000}">
      <formula1>Rating_Agency</formula1>
      <formula2>0</formula2>
    </dataValidation>
    <dataValidation type="list" allowBlank="1" showInputMessage="1" showErrorMessage="1" sqref="W2:W20" xr:uid="{00000000-0002-0000-0300-000003000000}">
      <formula1>In_the_books</formula1>
      <formula2>0</formula2>
    </dataValidation>
    <dataValidation type="list" allowBlank="1" showInputMessage="1" showErrorMessage="1" sqref="H2:H20" xr:uid="{00000000-0002-0000-0300-000004000000}">
      <formula1>Country_list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0"/>
  <sheetViews>
    <sheetView rightToLeft="1" topLeftCell="X1" zoomScale="70" zoomScaleNormal="70" workbookViewId="0">
      <selection activeCell="AH14" sqref="AH14"/>
    </sheetView>
  </sheetViews>
  <sheetFormatPr defaultColWidth="11.59765625" defaultRowHeight="13.8" x14ac:dyDescent="0.25"/>
  <cols>
    <col min="22" max="22" width="11.59765625" style="35"/>
  </cols>
  <sheetData>
    <row r="1" spans="1:36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95</v>
      </c>
      <c r="M1" s="36" t="s">
        <v>201</v>
      </c>
      <c r="N1" s="36" t="s">
        <v>57</v>
      </c>
      <c r="O1" s="36" t="s">
        <v>96</v>
      </c>
      <c r="P1" s="36" t="s">
        <v>59</v>
      </c>
      <c r="Q1" s="36" t="s">
        <v>202</v>
      </c>
      <c r="R1" s="36" t="s">
        <v>60</v>
      </c>
      <c r="S1" s="36" t="s">
        <v>97</v>
      </c>
      <c r="T1" s="36" t="s">
        <v>203</v>
      </c>
      <c r="U1" s="36" t="s">
        <v>98</v>
      </c>
      <c r="V1" s="50" t="s">
        <v>63</v>
      </c>
      <c r="W1" s="36" t="s">
        <v>99</v>
      </c>
      <c r="X1" s="36" t="s">
        <v>204</v>
      </c>
      <c r="Y1" s="36" t="s">
        <v>205</v>
      </c>
      <c r="Z1" s="36" t="s">
        <v>101</v>
      </c>
      <c r="AA1" s="36" t="s">
        <v>62</v>
      </c>
      <c r="AB1" s="36" t="s">
        <v>102</v>
      </c>
      <c r="AC1" s="36" t="s">
        <v>100</v>
      </c>
      <c r="AD1" s="36" t="s">
        <v>64</v>
      </c>
      <c r="AE1" s="36" t="s">
        <v>103</v>
      </c>
      <c r="AF1" s="36" t="s">
        <v>206</v>
      </c>
      <c r="AG1" s="36" t="s">
        <v>18</v>
      </c>
      <c r="AH1" s="36" t="s">
        <v>104</v>
      </c>
      <c r="AI1" s="36" t="s">
        <v>65</v>
      </c>
      <c r="AJ1" s="36" t="s">
        <v>66</v>
      </c>
    </row>
    <row r="2" spans="1:3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P2" s="10"/>
      <c r="Q2" s="10"/>
      <c r="R2" s="10"/>
      <c r="S2" s="10"/>
      <c r="T2" s="10"/>
      <c r="U2" s="10"/>
      <c r="V2" s="51"/>
      <c r="X2" s="10"/>
      <c r="Y2" s="10"/>
      <c r="Z2" s="10"/>
      <c r="AA2" s="10"/>
      <c r="AB2" s="10"/>
      <c r="AC2" s="10"/>
      <c r="AD2" s="10"/>
      <c r="AE2" s="10"/>
      <c r="AG2" s="10"/>
    </row>
    <row r="3" spans="1:3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P3" s="10"/>
      <c r="Q3" s="10"/>
      <c r="R3" s="10"/>
      <c r="S3" s="10"/>
      <c r="T3" s="10"/>
      <c r="U3" s="10"/>
      <c r="V3" s="51"/>
      <c r="W3" s="10"/>
      <c r="X3" s="10"/>
      <c r="Y3" s="10"/>
      <c r="Z3" s="10"/>
      <c r="AA3" s="10"/>
      <c r="AB3" s="10"/>
      <c r="AC3" s="10"/>
      <c r="AD3" s="10"/>
      <c r="AE3" s="10"/>
      <c r="AG3" s="10"/>
    </row>
    <row r="4" spans="1:36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P4" s="10"/>
      <c r="Q4" s="10"/>
      <c r="R4" s="10"/>
      <c r="S4" s="10"/>
      <c r="T4" s="10"/>
      <c r="U4" s="10"/>
      <c r="V4" s="51"/>
      <c r="W4" s="10"/>
      <c r="X4" s="10"/>
      <c r="Y4" s="10"/>
      <c r="Z4" s="10"/>
      <c r="AA4" s="10"/>
      <c r="AB4" s="10"/>
      <c r="AC4" s="10"/>
      <c r="AD4" s="10"/>
      <c r="AE4" s="10"/>
      <c r="AG4" s="10"/>
    </row>
    <row r="5" spans="1:3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P5" s="10"/>
      <c r="Q5" s="10"/>
      <c r="R5" s="10"/>
      <c r="S5" s="10"/>
      <c r="T5" s="10"/>
      <c r="U5" s="10"/>
      <c r="V5" s="51"/>
      <c r="W5" s="10"/>
      <c r="X5" s="10"/>
      <c r="Y5" s="10"/>
      <c r="Z5" s="10"/>
      <c r="AA5" s="10"/>
      <c r="AB5" s="10"/>
      <c r="AC5" s="10"/>
      <c r="AD5" s="10"/>
      <c r="AE5" s="10"/>
      <c r="AG5" s="10"/>
    </row>
    <row r="6" spans="1:3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P6" s="10"/>
      <c r="Q6" s="10"/>
      <c r="R6" s="10"/>
      <c r="S6" s="10"/>
      <c r="T6" s="10"/>
      <c r="U6" s="10"/>
      <c r="V6" s="51"/>
      <c r="W6" s="10"/>
      <c r="X6" s="10"/>
      <c r="Y6" s="10"/>
      <c r="Z6" s="10"/>
      <c r="AA6" s="10"/>
      <c r="AB6" s="10"/>
      <c r="AC6" s="10"/>
      <c r="AD6" s="10"/>
      <c r="AE6" s="10"/>
      <c r="AG6" s="10"/>
    </row>
    <row r="7" spans="1:3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P7" s="10"/>
      <c r="Q7" s="10"/>
      <c r="R7" s="10"/>
      <c r="S7" s="10"/>
      <c r="T7" s="10"/>
      <c r="U7" s="10"/>
      <c r="V7" s="51"/>
      <c r="W7" s="10"/>
      <c r="X7" s="10"/>
      <c r="Y7" s="10"/>
      <c r="Z7" s="10"/>
      <c r="AA7" s="10"/>
      <c r="AB7" s="10"/>
      <c r="AC7" s="10"/>
      <c r="AD7" s="10"/>
      <c r="AE7" s="10"/>
    </row>
    <row r="8" spans="1:3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P8" s="10"/>
      <c r="Q8" s="10"/>
      <c r="R8" s="10"/>
      <c r="S8" s="10"/>
      <c r="T8" s="10"/>
      <c r="U8" s="10"/>
      <c r="V8" s="51"/>
      <c r="W8" s="10"/>
      <c r="X8" s="10"/>
      <c r="Y8" s="10"/>
      <c r="Z8" s="10"/>
    </row>
    <row r="9" spans="1:3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P9" s="10"/>
      <c r="Q9" s="10"/>
      <c r="R9" s="10"/>
      <c r="S9" s="10"/>
      <c r="T9" s="10"/>
      <c r="U9" s="10"/>
      <c r="V9" s="51"/>
      <c r="W9" s="10"/>
      <c r="X9" s="10"/>
      <c r="Y9" s="10"/>
      <c r="Z9" s="10"/>
      <c r="AB9" s="10"/>
      <c r="AC9" s="10"/>
      <c r="AD9" s="10"/>
      <c r="AG9" s="10"/>
    </row>
    <row r="10" spans="1:3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P10" s="10"/>
      <c r="Q10" s="10"/>
      <c r="R10" s="10"/>
      <c r="S10" s="10"/>
      <c r="T10" s="10"/>
      <c r="U10" s="10"/>
      <c r="V10" s="51"/>
      <c r="W10" s="10"/>
      <c r="X10" s="10"/>
      <c r="Y10" s="10"/>
      <c r="Z10" s="10"/>
      <c r="AA10" s="10"/>
      <c r="AB10" s="10"/>
      <c r="AC10" s="10"/>
      <c r="AD10" s="10"/>
      <c r="AE10" s="10"/>
      <c r="AG10" s="10"/>
    </row>
    <row r="11" spans="1:3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P11" s="10"/>
      <c r="Q11" s="10"/>
      <c r="R11" s="10"/>
      <c r="S11" s="10"/>
      <c r="T11" s="10"/>
      <c r="U11" s="10"/>
      <c r="V11" s="51"/>
      <c r="W11" s="10"/>
      <c r="X11" s="10"/>
      <c r="Y11" s="10"/>
      <c r="Z11" s="10"/>
      <c r="AA11" s="10"/>
      <c r="AB11" s="10"/>
      <c r="AC11" s="10"/>
      <c r="AD11" s="10"/>
      <c r="AE11" s="10"/>
      <c r="AG11" s="10"/>
    </row>
    <row r="12" spans="1:3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P12" s="10"/>
      <c r="Q12" s="10"/>
      <c r="R12" s="10"/>
      <c r="S12" s="10"/>
      <c r="T12" s="10"/>
      <c r="U12" s="10"/>
      <c r="V12" s="51"/>
      <c r="W12" s="10"/>
      <c r="X12" s="10"/>
      <c r="Y12" s="10"/>
      <c r="Z12" s="10"/>
      <c r="AA12" s="10"/>
      <c r="AB12" s="10"/>
      <c r="AC12" s="10"/>
      <c r="AD12" s="10"/>
      <c r="AE12" s="10"/>
      <c r="AG12" s="10"/>
    </row>
    <row r="13" spans="1:3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P13" s="10"/>
      <c r="Q13" s="10"/>
      <c r="R13" s="10"/>
      <c r="S13" s="10"/>
      <c r="T13" s="10"/>
      <c r="U13" s="10"/>
      <c r="V13" s="51"/>
      <c r="W13" s="10"/>
      <c r="X13" s="10"/>
      <c r="Y13" s="10"/>
      <c r="Z13" s="10"/>
      <c r="AA13" s="10"/>
      <c r="AB13" s="10"/>
      <c r="AC13" s="10"/>
      <c r="AD13" s="10"/>
      <c r="AE13" s="10"/>
      <c r="AG13" s="10"/>
    </row>
    <row r="14" spans="1:3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P14" s="10"/>
      <c r="Q14" s="10"/>
      <c r="R14" s="10"/>
      <c r="S14" s="10"/>
      <c r="T14" s="10"/>
      <c r="U14" s="10"/>
      <c r="V14" s="51"/>
      <c r="W14" s="10"/>
      <c r="X14" s="10"/>
      <c r="Y14" s="10"/>
      <c r="Z14" s="10"/>
      <c r="AA14" s="10"/>
      <c r="AB14" s="10"/>
      <c r="AC14" s="10"/>
      <c r="AD14" s="10"/>
      <c r="AE14" s="10"/>
      <c r="AG14" s="10"/>
    </row>
    <row r="15" spans="1:3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P15" s="10"/>
      <c r="Q15" s="10"/>
      <c r="R15" s="10"/>
      <c r="S15" s="10"/>
      <c r="T15" s="10"/>
      <c r="U15" s="10"/>
      <c r="V15" s="51"/>
      <c r="W15" s="10"/>
      <c r="X15" s="10"/>
      <c r="Y15" s="10"/>
      <c r="Z15" s="10"/>
      <c r="AA15" s="10"/>
      <c r="AB15" s="10"/>
      <c r="AC15" s="10"/>
      <c r="AD15" s="10"/>
      <c r="AE15" s="10"/>
      <c r="AG15" s="10"/>
    </row>
    <row r="16" spans="1:3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P16" s="10"/>
      <c r="Q16" s="10"/>
      <c r="R16" s="10"/>
      <c r="S16" s="10"/>
      <c r="T16" s="10"/>
      <c r="U16" s="10"/>
      <c r="V16" s="51"/>
      <c r="W16" s="10"/>
      <c r="X16" s="10"/>
      <c r="Y16" s="10"/>
      <c r="Z16" s="10"/>
      <c r="AA16" s="10"/>
      <c r="AB16" s="10"/>
      <c r="AC16" s="10"/>
      <c r="AD16" s="10"/>
      <c r="AE16" s="10"/>
      <c r="AG16" s="10"/>
    </row>
    <row r="17" spans="1:3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P17" s="10"/>
      <c r="Q17" s="10"/>
      <c r="R17" s="10"/>
      <c r="S17" s="10"/>
      <c r="T17" s="10"/>
      <c r="U17" s="10"/>
      <c r="V17" s="51"/>
      <c r="W17" s="10"/>
      <c r="X17" s="10"/>
      <c r="Y17" s="10"/>
      <c r="Z17" s="10"/>
      <c r="AA17" s="10"/>
      <c r="AB17" s="10"/>
      <c r="AC17" s="10"/>
      <c r="AD17" s="10"/>
      <c r="AE17" s="10"/>
      <c r="AG17" s="10"/>
    </row>
    <row r="18" spans="1:3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P18" s="10"/>
      <c r="Q18" s="10"/>
      <c r="R18" s="10"/>
      <c r="S18" s="10"/>
      <c r="T18" s="10"/>
      <c r="U18" s="10"/>
      <c r="V18" s="51"/>
      <c r="W18" s="10"/>
      <c r="X18" s="10"/>
      <c r="Y18" s="10"/>
      <c r="Z18" s="10"/>
      <c r="AA18" s="10"/>
      <c r="AB18" s="10"/>
      <c r="AC18" s="10"/>
      <c r="AD18" s="10"/>
      <c r="AE18" s="10"/>
      <c r="AG18" s="10"/>
    </row>
    <row r="19" spans="1:3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P19" s="10"/>
      <c r="Q19" s="10"/>
      <c r="R19" s="10"/>
      <c r="S19" s="10"/>
      <c r="T19" s="10"/>
      <c r="U19" s="10"/>
      <c r="V19" s="51"/>
      <c r="W19" s="10"/>
      <c r="X19" s="10"/>
      <c r="Y19" s="10"/>
      <c r="Z19" s="10"/>
      <c r="AA19" s="10"/>
      <c r="AB19" s="10"/>
      <c r="AC19" s="10"/>
      <c r="AD19" s="10"/>
      <c r="AE19" s="10"/>
      <c r="AG19" s="10"/>
    </row>
    <row r="20" spans="1:33" x14ac:dyDescent="0.25">
      <c r="E20" s="10"/>
      <c r="H20" s="10"/>
      <c r="I20" s="10"/>
      <c r="J20" s="10"/>
      <c r="K20" s="10"/>
      <c r="L20" s="10"/>
      <c r="M20" s="10"/>
      <c r="N20" s="10"/>
      <c r="P20" s="10"/>
      <c r="Q20" s="10"/>
      <c r="T20" s="10"/>
      <c r="X20" s="10"/>
      <c r="Y20" s="10"/>
      <c r="AG20" s="10"/>
    </row>
  </sheetData>
  <dataValidations count="14">
    <dataValidation type="list" allowBlank="1" showInputMessage="1" showErrorMessage="1" sqref="J2:J20" xr:uid="{00000000-0002-0000-0400-000000000000}">
      <formula1>israel_abroad</formula1>
      <formula2>0</formula2>
    </dataValidation>
    <dataValidation type="list" allowBlank="1" showInputMessage="1" showErrorMessage="1" sqref="N2:N20" xr:uid="{00000000-0002-0000-0400-000001000000}">
      <formula1>Holding_interest</formula1>
      <formula2>0</formula2>
    </dataValidation>
    <dataValidation type="list" allowBlank="1" showInputMessage="1" showErrorMessage="1" sqref="P2:P20" xr:uid="{00000000-0002-0000-0400-000002000000}">
      <formula1>Rating_Agency</formula1>
      <formula2>0</formula2>
    </dataValidation>
    <dataValidation type="list" allowBlank="1" showInputMessage="1" showErrorMessage="1" sqref="Q2:Q20" xr:uid="{00000000-0002-0000-0400-000003000000}">
      <formula1>What_is_rated</formula1>
      <formula2>0</formula2>
    </dataValidation>
    <dataValidation type="list" allowBlank="1" showInputMessage="1" showErrorMessage="1" sqref="AG2:AG6 AG9:AG20" xr:uid="{00000000-0002-0000-0400-000004000000}">
      <formula1>In_the_books</formula1>
      <formula2>0</formula2>
    </dataValidation>
    <dataValidation type="list" allowBlank="1" showInputMessage="1" showErrorMessage="1" sqref="K2:K20" xr:uid="{00000000-0002-0000-0400-000005000000}">
      <formula1>Country_list</formula1>
      <formula2>0</formula2>
    </dataValidation>
    <dataValidation type="list" allowBlank="1" showInputMessage="1" showErrorMessage="1" sqref="T2:T20" xr:uid="{00000000-0002-0000-0400-000006000000}">
      <formula1>Underlying_Interest_Rates</formula1>
      <formula2>0</formula2>
    </dataValidation>
    <dataValidation type="list" allowBlank="1" showInputMessage="1" showErrorMessage="1" sqref="Y2:Y20" xr:uid="{00000000-0002-0000-0400-000007000000}">
      <formula1>Yes_No_Bad_Debt</formula1>
      <formula2>0</formula2>
    </dataValidation>
    <dataValidation type="list" allowBlank="1" showInputMessage="1" showErrorMessage="1" sqref="X2:X20" xr:uid="{00000000-0002-0000-0400-000008000000}">
      <formula1>Subordination_Risk</formula1>
      <formula2>0</formula2>
    </dataValidation>
    <dataValidation type="list" allowBlank="1" showInputMessage="1" showErrorMessage="1" sqref="E2:E20" xr:uid="{00000000-0002-0000-0400-000009000000}">
      <formula1>Issuer_Number_Type_2</formula1>
      <formula2>0</formula2>
    </dataValidation>
    <dataValidation type="list" allowBlank="1" showInputMessage="1" showErrorMessage="1" sqref="H3:H20" xr:uid="{00000000-0002-0000-0400-00000A000000}">
      <formula1>Type_of_Security_ID_Fund</formula1>
      <formula2>0</formula2>
    </dataValidation>
    <dataValidation type="list" allowBlank="1" showInputMessage="1" showErrorMessage="1" sqref="H2" xr:uid="{00000000-0002-0000-0400-00000B000000}">
      <formula1>Security_ID_Number_Type</formula1>
      <formula2>0</formula2>
    </dataValidation>
    <dataValidation type="list" allowBlank="1" showInputMessage="1" showErrorMessage="1" sqref="M2:M20" xr:uid="{00000000-0002-0000-0400-00000C000000}">
      <formula1>Industry_Sector</formula1>
      <formula2>0</formula2>
    </dataValidation>
    <dataValidation type="list" allowBlank="1" showInputMessage="1" showErrorMessage="1" sqref="L2:L20" xr:uid="{00000000-0002-0000-0400-00000D000000}">
      <formula1>Stock_Exchange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19"/>
  <sheetViews>
    <sheetView rightToLeft="1" zoomScale="70" zoomScaleNormal="70" workbookViewId="0"/>
  </sheetViews>
  <sheetFormatPr defaultColWidth="11.59765625" defaultRowHeight="13.8" x14ac:dyDescent="0.25"/>
  <cols>
    <col min="22" max="22" width="11.59765625" style="35"/>
  </cols>
  <sheetData>
    <row r="1" spans="1:36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207</v>
      </c>
      <c r="M1" s="36" t="s">
        <v>95</v>
      </c>
      <c r="N1" s="36" t="s">
        <v>201</v>
      </c>
      <c r="O1" s="36" t="s">
        <v>57</v>
      </c>
      <c r="P1" s="36" t="s">
        <v>96</v>
      </c>
      <c r="Q1" s="36" t="s">
        <v>59</v>
      </c>
      <c r="R1" s="36" t="s">
        <v>202</v>
      </c>
      <c r="S1" s="36" t="s">
        <v>60</v>
      </c>
      <c r="T1" s="36" t="s">
        <v>97</v>
      </c>
      <c r="U1" s="36" t="s">
        <v>98</v>
      </c>
      <c r="V1" s="38" t="s">
        <v>63</v>
      </c>
      <c r="W1" s="39" t="s">
        <v>99</v>
      </c>
      <c r="X1" s="36" t="s">
        <v>204</v>
      </c>
      <c r="Y1" s="36" t="s">
        <v>205</v>
      </c>
      <c r="Z1" s="36" t="s">
        <v>101</v>
      </c>
      <c r="AA1" s="37" t="s">
        <v>62</v>
      </c>
      <c r="AB1" s="47" t="s">
        <v>102</v>
      </c>
      <c r="AC1" s="36" t="s">
        <v>100</v>
      </c>
      <c r="AD1" s="36" t="s">
        <v>64</v>
      </c>
      <c r="AE1" s="36" t="s">
        <v>103</v>
      </c>
      <c r="AF1" s="36" t="s">
        <v>206</v>
      </c>
      <c r="AG1" s="36" t="s">
        <v>18</v>
      </c>
      <c r="AH1" s="39" t="s">
        <v>104</v>
      </c>
      <c r="AI1" s="39" t="s">
        <v>65</v>
      </c>
      <c r="AJ1" s="39" t="s">
        <v>66</v>
      </c>
    </row>
    <row r="2" spans="1:36" x14ac:dyDescent="0.25">
      <c r="A2">
        <v>1182</v>
      </c>
      <c r="B2" s="10">
        <v>1182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10" t="s">
        <v>213</v>
      </c>
      <c r="I2" s="10" t="s">
        <v>214</v>
      </c>
      <c r="J2" s="10" t="s">
        <v>71</v>
      </c>
      <c r="K2" s="10" t="s">
        <v>215</v>
      </c>
      <c r="L2" s="10" t="s">
        <v>216</v>
      </c>
      <c r="M2" s="10" t="s">
        <v>117</v>
      </c>
      <c r="N2" s="10" t="s">
        <v>217</v>
      </c>
      <c r="O2" s="10" t="s">
        <v>72</v>
      </c>
      <c r="P2" s="10" t="s">
        <v>218</v>
      </c>
      <c r="Q2" s="10" t="s">
        <v>219</v>
      </c>
      <c r="R2" s="10" t="s">
        <v>220</v>
      </c>
      <c r="S2" s="10" t="s">
        <v>81</v>
      </c>
      <c r="T2" s="52">
        <v>0.249</v>
      </c>
      <c r="U2" s="10" t="s">
        <v>221</v>
      </c>
      <c r="V2" s="53">
        <v>4.65E-2</v>
      </c>
      <c r="W2" s="54">
        <v>1.9990000000000001E-2</v>
      </c>
      <c r="X2" s="10" t="s">
        <v>222</v>
      </c>
      <c r="Y2" s="10" t="s">
        <v>72</v>
      </c>
      <c r="Z2" s="52">
        <v>48819.199999999997</v>
      </c>
      <c r="AA2" s="55">
        <v>1</v>
      </c>
      <c r="AB2" s="56">
        <v>118.24</v>
      </c>
      <c r="AC2" s="10"/>
      <c r="AD2" s="52">
        <v>57.723999999999997</v>
      </c>
      <c r="AE2" s="10"/>
      <c r="AF2" s="10"/>
      <c r="AG2" s="10" t="s">
        <v>16</v>
      </c>
      <c r="AH2" s="45">
        <v>3.4099999999999999E-4</v>
      </c>
      <c r="AI2" s="45">
        <v>1.4180033531197499E-3</v>
      </c>
      <c r="AJ2" s="45">
        <v>1.33318853747782E-4</v>
      </c>
    </row>
    <row r="3" spans="1:36" x14ac:dyDescent="0.25">
      <c r="A3" s="10">
        <v>1182</v>
      </c>
      <c r="B3" s="10">
        <v>1182</v>
      </c>
      <c r="C3" s="10" t="s">
        <v>223</v>
      </c>
      <c r="D3" s="10" t="s">
        <v>224</v>
      </c>
      <c r="E3" s="10" t="s">
        <v>210</v>
      </c>
      <c r="F3" s="10" t="s">
        <v>225</v>
      </c>
      <c r="G3" s="10" t="s">
        <v>226</v>
      </c>
      <c r="H3" s="10" t="s">
        <v>213</v>
      </c>
      <c r="I3" s="10" t="s">
        <v>214</v>
      </c>
      <c r="J3" s="10" t="s">
        <v>71</v>
      </c>
      <c r="K3" s="10" t="s">
        <v>71</v>
      </c>
      <c r="L3" s="10" t="s">
        <v>216</v>
      </c>
      <c r="M3" s="10" t="s">
        <v>117</v>
      </c>
      <c r="N3" s="10" t="s">
        <v>227</v>
      </c>
      <c r="O3" s="10" t="s">
        <v>72</v>
      </c>
      <c r="P3" s="10" t="s">
        <v>228</v>
      </c>
      <c r="Q3" s="10" t="s">
        <v>74</v>
      </c>
      <c r="R3" s="10" t="s">
        <v>220</v>
      </c>
      <c r="S3" s="10" t="s">
        <v>81</v>
      </c>
      <c r="T3" s="52">
        <v>5.1289999999999996</v>
      </c>
      <c r="U3" s="10" t="s">
        <v>229</v>
      </c>
      <c r="V3" s="53">
        <v>5.1499999999999997E-2</v>
      </c>
      <c r="W3" s="54">
        <v>4.5159999999999999E-2</v>
      </c>
      <c r="X3" s="10" t="s">
        <v>222</v>
      </c>
      <c r="Y3" s="10" t="s">
        <v>72</v>
      </c>
      <c r="Z3" s="52">
        <v>0.33</v>
      </c>
      <c r="AA3" s="55">
        <v>1</v>
      </c>
      <c r="AB3" s="56">
        <v>146.6</v>
      </c>
      <c r="AC3" s="10"/>
      <c r="AD3" s="52">
        <v>0</v>
      </c>
      <c r="AE3" s="10"/>
      <c r="AG3" s="10" t="s">
        <v>16</v>
      </c>
      <c r="AH3" s="45">
        <v>0</v>
      </c>
      <c r="AI3" s="45">
        <v>1.1884203738649501E-8</v>
      </c>
      <c r="AJ3" s="45">
        <v>1.1173375695170499E-9</v>
      </c>
    </row>
    <row r="4" spans="1:36" x14ac:dyDescent="0.25">
      <c r="A4" s="10">
        <v>1182</v>
      </c>
      <c r="B4" s="10">
        <v>1182</v>
      </c>
      <c r="C4" s="10" t="s">
        <v>230</v>
      </c>
      <c r="D4" s="10" t="s">
        <v>231</v>
      </c>
      <c r="E4" s="10" t="s">
        <v>210</v>
      </c>
      <c r="F4" s="10" t="s">
        <v>232</v>
      </c>
      <c r="G4" s="10" t="s">
        <v>233</v>
      </c>
      <c r="H4" s="10" t="s">
        <v>213</v>
      </c>
      <c r="I4" s="10" t="s">
        <v>214</v>
      </c>
      <c r="J4" s="10" t="s">
        <v>71</v>
      </c>
      <c r="K4" s="10" t="s">
        <v>71</v>
      </c>
      <c r="L4" s="10" t="s">
        <v>216</v>
      </c>
      <c r="M4" s="10" t="s">
        <v>117</v>
      </c>
      <c r="N4" s="10" t="s">
        <v>234</v>
      </c>
      <c r="O4" s="10" t="s">
        <v>72</v>
      </c>
      <c r="P4" s="10" t="s">
        <v>235</v>
      </c>
      <c r="Q4" s="10" t="s">
        <v>74</v>
      </c>
      <c r="R4" s="10" t="s">
        <v>220</v>
      </c>
      <c r="S4" s="10" t="s">
        <v>81</v>
      </c>
      <c r="T4" s="52">
        <v>2.7240000000000002</v>
      </c>
      <c r="U4" s="10" t="s">
        <v>236</v>
      </c>
      <c r="V4" s="53">
        <v>2.75E-2</v>
      </c>
      <c r="W4" s="54">
        <v>3.075E-2</v>
      </c>
      <c r="X4" s="10" t="s">
        <v>222</v>
      </c>
      <c r="Y4" s="10" t="s">
        <v>72</v>
      </c>
      <c r="Z4" s="52">
        <v>173675.95</v>
      </c>
      <c r="AA4" s="55">
        <v>1</v>
      </c>
      <c r="AB4" s="56">
        <v>114.05</v>
      </c>
      <c r="AC4" s="10"/>
      <c r="AD4" s="52">
        <v>198.077</v>
      </c>
      <c r="AE4" s="10"/>
      <c r="AG4" s="10" t="s">
        <v>16</v>
      </c>
      <c r="AH4" s="45">
        <v>2.33E-4</v>
      </c>
      <c r="AI4" s="45">
        <v>4.8658324587480704E-3</v>
      </c>
      <c r="AJ4" s="45">
        <v>4.57479317310374E-4</v>
      </c>
    </row>
    <row r="5" spans="1:36" x14ac:dyDescent="0.25">
      <c r="A5" s="10">
        <v>1182</v>
      </c>
      <c r="B5" s="10">
        <v>1182</v>
      </c>
      <c r="C5" s="10" t="s">
        <v>230</v>
      </c>
      <c r="D5" s="10" t="s">
        <v>231</v>
      </c>
      <c r="E5" s="10" t="s">
        <v>210</v>
      </c>
      <c r="F5" s="10" t="s">
        <v>237</v>
      </c>
      <c r="G5" s="10" t="s">
        <v>238</v>
      </c>
      <c r="H5" s="10" t="s">
        <v>213</v>
      </c>
      <c r="I5" s="10" t="s">
        <v>239</v>
      </c>
      <c r="J5" s="10" t="s">
        <v>71</v>
      </c>
      <c r="K5" s="10" t="s">
        <v>71</v>
      </c>
      <c r="L5" s="10" t="s">
        <v>216</v>
      </c>
      <c r="M5" s="10" t="s">
        <v>117</v>
      </c>
      <c r="N5" s="10" t="s">
        <v>234</v>
      </c>
      <c r="O5" s="10" t="s">
        <v>72</v>
      </c>
      <c r="P5" s="10" t="s">
        <v>235</v>
      </c>
      <c r="Q5" s="10" t="s">
        <v>74</v>
      </c>
      <c r="R5" s="10" t="s">
        <v>220</v>
      </c>
      <c r="S5" s="10" t="s">
        <v>81</v>
      </c>
      <c r="T5" s="52">
        <v>3.0310000000000001</v>
      </c>
      <c r="U5" s="10" t="s">
        <v>240</v>
      </c>
      <c r="V5" s="53">
        <v>2.5000000000000001E-2</v>
      </c>
      <c r="W5" s="54">
        <v>5.5559999999999998E-2</v>
      </c>
      <c r="X5" s="10" t="s">
        <v>222</v>
      </c>
      <c r="Y5" s="10" t="s">
        <v>72</v>
      </c>
      <c r="Z5" s="52">
        <v>268800</v>
      </c>
      <c r="AA5" s="55">
        <v>1</v>
      </c>
      <c r="AB5" s="56">
        <v>91.59</v>
      </c>
      <c r="AC5" s="10"/>
      <c r="AD5" s="52">
        <v>246.19399999999999</v>
      </c>
      <c r="AE5" s="10"/>
      <c r="AG5" s="10" t="s">
        <v>16</v>
      </c>
      <c r="AH5" s="45">
        <v>3.7599999999999998E-4</v>
      </c>
      <c r="AI5" s="45">
        <v>6.0478289811417797E-3</v>
      </c>
      <c r="AJ5" s="45">
        <v>5.6860911199858595E-4</v>
      </c>
    </row>
    <row r="6" spans="1:36" x14ac:dyDescent="0.25">
      <c r="A6" s="10">
        <v>1182</v>
      </c>
      <c r="B6" s="10">
        <v>1182</v>
      </c>
      <c r="C6" s="10" t="s">
        <v>241</v>
      </c>
      <c r="D6" s="10" t="s">
        <v>242</v>
      </c>
      <c r="E6" s="10" t="s">
        <v>210</v>
      </c>
      <c r="F6" s="10" t="s">
        <v>243</v>
      </c>
      <c r="G6" s="10" t="s">
        <v>244</v>
      </c>
      <c r="H6" s="10" t="s">
        <v>213</v>
      </c>
      <c r="I6" s="10" t="s">
        <v>239</v>
      </c>
      <c r="J6" s="10" t="s">
        <v>71</v>
      </c>
      <c r="K6" s="10" t="s">
        <v>71</v>
      </c>
      <c r="L6" s="10" t="s">
        <v>216</v>
      </c>
      <c r="M6" s="10" t="s">
        <v>117</v>
      </c>
      <c r="N6" s="10" t="s">
        <v>245</v>
      </c>
      <c r="O6" s="10" t="s">
        <v>72</v>
      </c>
      <c r="P6" s="10" t="s">
        <v>246</v>
      </c>
      <c r="Q6" s="10" t="s">
        <v>219</v>
      </c>
      <c r="R6" s="10" t="s">
        <v>220</v>
      </c>
      <c r="S6" s="10" t="s">
        <v>81</v>
      </c>
      <c r="T6" s="52">
        <v>2.169</v>
      </c>
      <c r="U6" s="10" t="s">
        <v>247</v>
      </c>
      <c r="V6" s="53">
        <v>2.5499999999999998E-2</v>
      </c>
      <c r="W6" s="54">
        <v>5.432E-2</v>
      </c>
      <c r="X6" s="10" t="s">
        <v>222</v>
      </c>
      <c r="Y6" s="10" t="s">
        <v>72</v>
      </c>
      <c r="Z6" s="44">
        <v>334156.25</v>
      </c>
      <c r="AA6" s="42">
        <v>1</v>
      </c>
      <c r="AB6" s="48">
        <v>94.76</v>
      </c>
      <c r="AC6" s="10"/>
      <c r="AD6" s="44">
        <v>316.64600000000002</v>
      </c>
      <c r="AG6" t="s">
        <v>16</v>
      </c>
      <c r="AH6" s="45">
        <v>5.1099999999999995E-4</v>
      </c>
      <c r="AI6" s="45">
        <v>7.7785172464191E-3</v>
      </c>
      <c r="AJ6" s="45">
        <v>7.3132619952441795E-4</v>
      </c>
    </row>
    <row r="7" spans="1:36" x14ac:dyDescent="0.25">
      <c r="A7" s="10">
        <v>1182</v>
      </c>
      <c r="B7" s="10">
        <v>1182</v>
      </c>
      <c r="C7" s="10" t="s">
        <v>248</v>
      </c>
      <c r="D7" s="10" t="s">
        <v>249</v>
      </c>
      <c r="E7" s="10" t="s">
        <v>210</v>
      </c>
      <c r="F7" s="10" t="s">
        <v>250</v>
      </c>
      <c r="G7" s="10" t="s">
        <v>251</v>
      </c>
      <c r="H7" s="10" t="s">
        <v>213</v>
      </c>
      <c r="I7" s="10" t="s">
        <v>239</v>
      </c>
      <c r="J7" s="10" t="s">
        <v>71</v>
      </c>
      <c r="K7" s="10" t="s">
        <v>71</v>
      </c>
      <c r="L7" s="10" t="s">
        <v>216</v>
      </c>
      <c r="M7" s="10" t="s">
        <v>117</v>
      </c>
      <c r="N7" s="10" t="s">
        <v>252</v>
      </c>
      <c r="O7" s="10" t="s">
        <v>72</v>
      </c>
      <c r="P7" s="10" t="s">
        <v>218</v>
      </c>
      <c r="Q7" s="10" t="s">
        <v>219</v>
      </c>
      <c r="R7" s="10" t="s">
        <v>220</v>
      </c>
      <c r="S7" s="10" t="s">
        <v>81</v>
      </c>
      <c r="T7" s="52">
        <v>3.55</v>
      </c>
      <c r="U7" s="10" t="s">
        <v>253</v>
      </c>
      <c r="V7" s="53">
        <v>2.18E-2</v>
      </c>
      <c r="W7" s="54">
        <v>5.3659999999999999E-2</v>
      </c>
      <c r="X7" s="10" t="s">
        <v>222</v>
      </c>
      <c r="Y7" s="10" t="s">
        <v>72</v>
      </c>
      <c r="Z7" s="44">
        <v>965867</v>
      </c>
      <c r="AA7" s="42">
        <v>1</v>
      </c>
      <c r="AB7" s="48">
        <v>90.26</v>
      </c>
      <c r="AC7" s="10"/>
      <c r="AD7" s="44">
        <v>871.79200000000003</v>
      </c>
      <c r="AG7" t="s">
        <v>16</v>
      </c>
      <c r="AH7" s="45">
        <v>5.875E-3</v>
      </c>
      <c r="AI7" s="45">
        <v>2.1415826300687699E-2</v>
      </c>
      <c r="AJ7" s="45">
        <v>2.0134884788443599E-3</v>
      </c>
    </row>
    <row r="8" spans="1:36" x14ac:dyDescent="0.25">
      <c r="A8" s="10">
        <v>1182</v>
      </c>
      <c r="B8" s="10">
        <v>1182</v>
      </c>
      <c r="C8" s="10" t="s">
        <v>254</v>
      </c>
      <c r="D8" s="10" t="s">
        <v>255</v>
      </c>
      <c r="E8" s="10" t="s">
        <v>210</v>
      </c>
      <c r="F8" s="10" t="s">
        <v>256</v>
      </c>
      <c r="G8" s="10" t="s">
        <v>257</v>
      </c>
      <c r="H8" s="10" t="s">
        <v>213</v>
      </c>
      <c r="I8" s="10" t="s">
        <v>214</v>
      </c>
      <c r="J8" s="10" t="s">
        <v>71</v>
      </c>
      <c r="K8" s="10" t="s">
        <v>71</v>
      </c>
      <c r="L8" s="10" t="s">
        <v>216</v>
      </c>
      <c r="M8" s="10" t="s">
        <v>117</v>
      </c>
      <c r="N8" s="10" t="s">
        <v>258</v>
      </c>
      <c r="O8" s="10" t="s">
        <v>72</v>
      </c>
      <c r="P8" s="10" t="s">
        <v>259</v>
      </c>
      <c r="Q8" s="10" t="s">
        <v>74</v>
      </c>
      <c r="R8" s="10" t="s">
        <v>220</v>
      </c>
      <c r="S8" s="10" t="s">
        <v>81</v>
      </c>
      <c r="T8" s="52">
        <v>2.2669999999999999</v>
      </c>
      <c r="U8" s="10" t="s">
        <v>135</v>
      </c>
      <c r="V8" s="53">
        <v>2.3400000000000001E-2</v>
      </c>
      <c r="W8" s="54">
        <v>2.7969999999999998E-2</v>
      </c>
      <c r="X8" s="10" t="s">
        <v>222</v>
      </c>
      <c r="Y8" s="10" t="s">
        <v>72</v>
      </c>
      <c r="Z8" s="52">
        <v>102000.02</v>
      </c>
      <c r="AA8" s="55">
        <v>1</v>
      </c>
      <c r="AB8" s="56">
        <v>114.39</v>
      </c>
      <c r="AC8" s="10"/>
      <c r="AD8" s="52">
        <v>116.678</v>
      </c>
      <c r="AE8" s="10"/>
      <c r="AG8" s="10" t="s">
        <v>16</v>
      </c>
      <c r="AH8" s="45">
        <v>6.3E-5</v>
      </c>
      <c r="AI8" s="45">
        <v>2.86622642288687E-3</v>
      </c>
      <c r="AJ8" s="45">
        <v>2.6947892643566502E-4</v>
      </c>
    </row>
    <row r="9" spans="1:36" x14ac:dyDescent="0.25">
      <c r="A9" s="10">
        <v>1182</v>
      </c>
      <c r="B9" s="10">
        <v>1182</v>
      </c>
      <c r="C9" s="10" t="s">
        <v>260</v>
      </c>
      <c r="D9" s="10" t="s">
        <v>261</v>
      </c>
      <c r="E9" s="10" t="s">
        <v>210</v>
      </c>
      <c r="F9" s="10" t="s">
        <v>262</v>
      </c>
      <c r="G9" s="10" t="s">
        <v>263</v>
      </c>
      <c r="H9" s="10" t="s">
        <v>213</v>
      </c>
      <c r="I9" s="10" t="s">
        <v>239</v>
      </c>
      <c r="J9" s="10" t="s">
        <v>71</v>
      </c>
      <c r="K9" s="10" t="s">
        <v>71</v>
      </c>
      <c r="L9" s="10" t="s">
        <v>216</v>
      </c>
      <c r="M9" s="10" t="s">
        <v>117</v>
      </c>
      <c r="N9" s="10" t="s">
        <v>258</v>
      </c>
      <c r="O9" s="10" t="s">
        <v>72</v>
      </c>
      <c r="P9" s="10" t="s">
        <v>228</v>
      </c>
      <c r="Q9" s="10" t="s">
        <v>74</v>
      </c>
      <c r="R9" s="10" t="s">
        <v>220</v>
      </c>
      <c r="S9" s="10" t="s">
        <v>81</v>
      </c>
      <c r="T9" s="52">
        <v>3.9510000000000001</v>
      </c>
      <c r="U9" s="10" t="s">
        <v>264</v>
      </c>
      <c r="V9" s="53">
        <v>2.41E-2</v>
      </c>
      <c r="W9" s="54">
        <v>5.2909999999999999E-2</v>
      </c>
      <c r="X9" s="10" t="s">
        <v>222</v>
      </c>
      <c r="Y9" s="10" t="s">
        <v>72</v>
      </c>
      <c r="Z9" s="52">
        <v>204444.44</v>
      </c>
      <c r="AA9" s="55">
        <v>1</v>
      </c>
      <c r="AB9" s="56">
        <v>89.75</v>
      </c>
      <c r="AC9" s="10"/>
      <c r="AD9" s="52">
        <v>183.489</v>
      </c>
      <c r="AE9" s="10"/>
      <c r="AG9" s="10" t="s">
        <v>16</v>
      </c>
      <c r="AH9" s="45">
        <v>9.8999999999999994E-5</v>
      </c>
      <c r="AI9" s="45">
        <v>4.5074606059142697E-3</v>
      </c>
      <c r="AJ9" s="45">
        <v>4.23785656057631E-4</v>
      </c>
    </row>
    <row r="10" spans="1:36" x14ac:dyDescent="0.25">
      <c r="A10" s="10">
        <v>1182</v>
      </c>
      <c r="B10" s="10">
        <v>1182</v>
      </c>
      <c r="C10" s="10" t="s">
        <v>260</v>
      </c>
      <c r="D10" s="10" t="s">
        <v>261</v>
      </c>
      <c r="E10" s="10" t="s">
        <v>210</v>
      </c>
      <c r="F10" s="10" t="s">
        <v>265</v>
      </c>
      <c r="G10" s="10" t="s">
        <v>266</v>
      </c>
      <c r="H10" s="10" t="s">
        <v>213</v>
      </c>
      <c r="I10" s="10" t="s">
        <v>239</v>
      </c>
      <c r="J10" s="10" t="s">
        <v>71</v>
      </c>
      <c r="K10" s="10" t="s">
        <v>71</v>
      </c>
      <c r="L10" s="10" t="s">
        <v>216</v>
      </c>
      <c r="M10" s="10" t="s">
        <v>117</v>
      </c>
      <c r="N10" s="10" t="s">
        <v>258</v>
      </c>
      <c r="O10" s="10" t="s">
        <v>72</v>
      </c>
      <c r="P10" s="10" t="s">
        <v>228</v>
      </c>
      <c r="Q10" s="10" t="s">
        <v>74</v>
      </c>
      <c r="R10" s="10" t="s">
        <v>220</v>
      </c>
      <c r="S10" s="10" t="s">
        <v>81</v>
      </c>
      <c r="T10" s="52">
        <v>6.1609999999999996</v>
      </c>
      <c r="U10" s="10" t="s">
        <v>267</v>
      </c>
      <c r="V10" s="53">
        <v>4.9399999999999999E-2</v>
      </c>
      <c r="W10" s="54">
        <v>5.5919999999999997E-2</v>
      </c>
      <c r="X10" s="10" t="s">
        <v>222</v>
      </c>
      <c r="Y10" s="10" t="s">
        <v>72</v>
      </c>
      <c r="Z10" s="52">
        <v>235951</v>
      </c>
      <c r="AA10" s="55">
        <v>1</v>
      </c>
      <c r="AB10" s="56">
        <v>96.63</v>
      </c>
      <c r="AC10" s="10"/>
      <c r="AD10" s="52">
        <v>227.999</v>
      </c>
      <c r="AE10" s="10"/>
      <c r="AG10" s="10" t="s">
        <v>16</v>
      </c>
      <c r="AH10" s="45">
        <v>1.73E-4</v>
      </c>
      <c r="AI10" s="45">
        <v>5.6008762899447898E-3</v>
      </c>
      <c r="AJ10" s="45">
        <v>5.2658719411047196E-4</v>
      </c>
    </row>
    <row r="11" spans="1:36" x14ac:dyDescent="0.25">
      <c r="A11" s="10">
        <v>1182</v>
      </c>
      <c r="B11" s="10">
        <v>1182</v>
      </c>
      <c r="C11" s="10" t="s">
        <v>268</v>
      </c>
      <c r="D11" s="10" t="s">
        <v>269</v>
      </c>
      <c r="E11" s="10" t="s">
        <v>210</v>
      </c>
      <c r="F11" s="10" t="s">
        <v>270</v>
      </c>
      <c r="G11" s="10" t="s">
        <v>271</v>
      </c>
      <c r="H11" s="10" t="s">
        <v>213</v>
      </c>
      <c r="I11" s="10" t="s">
        <v>239</v>
      </c>
      <c r="J11" s="10" t="s">
        <v>71</v>
      </c>
      <c r="K11" s="10" t="s">
        <v>71</v>
      </c>
      <c r="L11" s="10" t="s">
        <v>216</v>
      </c>
      <c r="M11" s="10" t="s">
        <v>117</v>
      </c>
      <c r="N11" s="10" t="s">
        <v>272</v>
      </c>
      <c r="O11" s="10" t="s">
        <v>72</v>
      </c>
      <c r="P11" s="10" t="s">
        <v>246</v>
      </c>
      <c r="Q11" s="10" t="s">
        <v>74</v>
      </c>
      <c r="R11" s="10" t="s">
        <v>220</v>
      </c>
      <c r="S11" s="10" t="s">
        <v>81</v>
      </c>
      <c r="T11" s="52">
        <v>2.996</v>
      </c>
      <c r="U11" s="10" t="s">
        <v>273</v>
      </c>
      <c r="V11" s="53">
        <v>0.04</v>
      </c>
      <c r="W11" s="54">
        <v>5.2400000000000002E-2</v>
      </c>
      <c r="X11" s="10" t="s">
        <v>222</v>
      </c>
      <c r="Y11" s="10" t="s">
        <v>72</v>
      </c>
      <c r="Z11" s="52">
        <v>187500.07</v>
      </c>
      <c r="AA11" s="55">
        <v>1</v>
      </c>
      <c r="AB11" s="56">
        <v>97.45</v>
      </c>
      <c r="AC11" s="10"/>
      <c r="AD11" s="52">
        <v>182.71899999999999</v>
      </c>
      <c r="AE11" s="10"/>
      <c r="AG11" s="10" t="s">
        <v>16</v>
      </c>
      <c r="AH11" s="45">
        <v>3.2299999999999999E-4</v>
      </c>
      <c r="AI11" s="45">
        <v>4.4885436821537001E-3</v>
      </c>
      <c r="AJ11" s="45">
        <v>4.2200711118561401E-4</v>
      </c>
    </row>
    <row r="12" spans="1:36" x14ac:dyDescent="0.25">
      <c r="A12" s="10">
        <v>1182</v>
      </c>
      <c r="B12" s="10">
        <v>1182</v>
      </c>
      <c r="C12" s="10" t="s">
        <v>268</v>
      </c>
      <c r="D12" s="10" t="s">
        <v>269</v>
      </c>
      <c r="E12" s="10" t="s">
        <v>210</v>
      </c>
      <c r="F12" s="10" t="s">
        <v>274</v>
      </c>
      <c r="G12" s="10" t="s">
        <v>275</v>
      </c>
      <c r="H12" s="10" t="s">
        <v>213</v>
      </c>
      <c r="I12" s="10" t="s">
        <v>239</v>
      </c>
      <c r="J12" s="10" t="s">
        <v>71</v>
      </c>
      <c r="K12" s="10" t="s">
        <v>71</v>
      </c>
      <c r="L12" s="10" t="s">
        <v>216</v>
      </c>
      <c r="M12" s="10" t="s">
        <v>117</v>
      </c>
      <c r="N12" s="10" t="s">
        <v>272</v>
      </c>
      <c r="O12" s="10" t="s">
        <v>72</v>
      </c>
      <c r="P12" s="10" t="s">
        <v>246</v>
      </c>
      <c r="Q12" s="10" t="s">
        <v>74</v>
      </c>
      <c r="R12" s="10" t="s">
        <v>220</v>
      </c>
      <c r="S12" s="10" t="s">
        <v>81</v>
      </c>
      <c r="T12" s="52">
        <v>4.9290000000000003</v>
      </c>
      <c r="U12" s="10" t="s">
        <v>276</v>
      </c>
      <c r="V12" s="53">
        <v>2.07E-2</v>
      </c>
      <c r="W12" s="54">
        <v>5.3780000000000001E-2</v>
      </c>
      <c r="X12" s="10" t="s">
        <v>222</v>
      </c>
      <c r="Y12" s="10" t="s">
        <v>72</v>
      </c>
      <c r="Z12" s="52">
        <v>906757.56</v>
      </c>
      <c r="AA12" s="55">
        <v>1</v>
      </c>
      <c r="AB12" s="56">
        <v>85.61</v>
      </c>
      <c r="AC12" s="10"/>
      <c r="AD12" s="52">
        <v>776.27499999999998</v>
      </c>
      <c r="AE12" s="10"/>
      <c r="AG12" s="10" t="s">
        <v>16</v>
      </c>
      <c r="AH12" s="45">
        <v>1.2489999999999999E-3</v>
      </c>
      <c r="AI12" s="45">
        <v>1.9069436532259801E-2</v>
      </c>
      <c r="AJ12" s="45">
        <v>1.7928839268987701E-3</v>
      </c>
    </row>
    <row r="13" spans="1:36" x14ac:dyDescent="0.25">
      <c r="A13" s="10">
        <v>1182</v>
      </c>
      <c r="B13" s="10">
        <v>1182</v>
      </c>
      <c r="C13" s="10" t="s">
        <v>277</v>
      </c>
      <c r="D13" s="10" t="s">
        <v>278</v>
      </c>
      <c r="E13" s="10" t="s">
        <v>210</v>
      </c>
      <c r="F13" s="10" t="s">
        <v>279</v>
      </c>
      <c r="G13" s="10" t="s">
        <v>280</v>
      </c>
      <c r="H13" s="10" t="s">
        <v>213</v>
      </c>
      <c r="I13" s="10" t="s">
        <v>239</v>
      </c>
      <c r="J13" s="10" t="s">
        <v>71</v>
      </c>
      <c r="K13" s="10" t="s">
        <v>71</v>
      </c>
      <c r="L13" s="10" t="s">
        <v>216</v>
      </c>
      <c r="M13" s="10" t="s">
        <v>117</v>
      </c>
      <c r="N13" s="10" t="s">
        <v>217</v>
      </c>
      <c r="O13" s="10" t="s">
        <v>72</v>
      </c>
      <c r="P13" s="10" t="s">
        <v>235</v>
      </c>
      <c r="Q13" s="10" t="s">
        <v>219</v>
      </c>
      <c r="R13" s="10" t="s">
        <v>220</v>
      </c>
      <c r="S13" s="10" t="s">
        <v>81</v>
      </c>
      <c r="T13" s="52">
        <v>4.1399999999999997</v>
      </c>
      <c r="U13" s="10" t="s">
        <v>281</v>
      </c>
      <c r="V13" s="53">
        <v>6.0699999999999997E-2</v>
      </c>
      <c r="W13" s="54">
        <v>5.9700000000000003E-2</v>
      </c>
      <c r="X13" s="10" t="s">
        <v>222</v>
      </c>
      <c r="Y13" s="10" t="s">
        <v>72</v>
      </c>
      <c r="Z13" s="52">
        <v>417080</v>
      </c>
      <c r="AA13" s="55">
        <v>1</v>
      </c>
      <c r="AB13" s="56">
        <v>102.73</v>
      </c>
      <c r="AC13" s="10"/>
      <c r="AD13" s="52">
        <v>428.46600000000001</v>
      </c>
      <c r="AE13" s="10"/>
      <c r="AG13" s="10" t="s">
        <v>16</v>
      </c>
      <c r="AH13" s="45">
        <v>1E-3</v>
      </c>
      <c r="AI13" s="45">
        <v>1.0525405378887199E-2</v>
      </c>
      <c r="AJ13" s="45">
        <v>9.8958509319228599E-4</v>
      </c>
    </row>
    <row r="14" spans="1:36" x14ac:dyDescent="0.25">
      <c r="A14" s="10">
        <v>1182</v>
      </c>
      <c r="B14" s="10">
        <v>1182</v>
      </c>
      <c r="C14" s="10" t="s">
        <v>282</v>
      </c>
      <c r="D14" s="10" t="s">
        <v>283</v>
      </c>
      <c r="E14" s="10" t="s">
        <v>210</v>
      </c>
      <c r="F14" s="10" t="s">
        <v>284</v>
      </c>
      <c r="G14" s="10" t="s">
        <v>285</v>
      </c>
      <c r="H14" s="10" t="s">
        <v>213</v>
      </c>
      <c r="I14" s="10" t="s">
        <v>239</v>
      </c>
      <c r="J14" s="10" t="s">
        <v>71</v>
      </c>
      <c r="K14" s="10" t="s">
        <v>71</v>
      </c>
      <c r="L14" s="10" t="s">
        <v>216</v>
      </c>
      <c r="M14" s="10" t="s">
        <v>286</v>
      </c>
      <c r="N14" s="10" t="s">
        <v>287</v>
      </c>
      <c r="O14" s="10" t="s">
        <v>72</v>
      </c>
      <c r="P14" s="10" t="s">
        <v>218</v>
      </c>
      <c r="Q14" s="10" t="s">
        <v>219</v>
      </c>
      <c r="R14" s="10" t="s">
        <v>220</v>
      </c>
      <c r="S14" s="10" t="s">
        <v>81</v>
      </c>
      <c r="T14" s="52">
        <v>5.859</v>
      </c>
      <c r="U14" s="10" t="s">
        <v>288</v>
      </c>
      <c r="V14" s="53">
        <v>0.05</v>
      </c>
      <c r="W14" s="54">
        <v>5.74E-2</v>
      </c>
      <c r="X14" s="10" t="s">
        <v>222</v>
      </c>
      <c r="Y14" s="10" t="s">
        <v>72</v>
      </c>
      <c r="Z14" s="52">
        <v>600000</v>
      </c>
      <c r="AA14" s="55">
        <v>1</v>
      </c>
      <c r="AB14" s="56">
        <v>96.72</v>
      </c>
      <c r="AC14" s="10"/>
      <c r="AD14" s="52">
        <v>580.32000000000005</v>
      </c>
      <c r="AE14" s="10"/>
      <c r="AG14" s="10" t="s">
        <v>16</v>
      </c>
      <c r="AH14" s="45">
        <v>1.2800000000000001E-3</v>
      </c>
      <c r="AI14" s="45">
        <v>1.42557383802825E-2</v>
      </c>
      <c r="AJ14" s="45">
        <v>1.34030621014126E-3</v>
      </c>
    </row>
    <row r="15" spans="1:36" x14ac:dyDescent="0.25">
      <c r="A15" s="10">
        <v>1182</v>
      </c>
      <c r="B15" s="10">
        <v>1182</v>
      </c>
      <c r="C15" s="10" t="s">
        <v>282</v>
      </c>
      <c r="D15" s="10" t="s">
        <v>283</v>
      </c>
      <c r="E15" s="10" t="s">
        <v>210</v>
      </c>
      <c r="F15" s="10" t="s">
        <v>289</v>
      </c>
      <c r="G15" s="10" t="s">
        <v>290</v>
      </c>
      <c r="H15" s="10" t="s">
        <v>213</v>
      </c>
      <c r="I15" s="10" t="s">
        <v>239</v>
      </c>
      <c r="J15" s="10" t="s">
        <v>71</v>
      </c>
      <c r="K15" s="10" t="s">
        <v>291</v>
      </c>
      <c r="L15" s="10" t="s">
        <v>216</v>
      </c>
      <c r="M15" s="10" t="s">
        <v>117</v>
      </c>
      <c r="N15" s="10" t="s">
        <v>287</v>
      </c>
      <c r="O15" s="10" t="s">
        <v>72</v>
      </c>
      <c r="P15" s="10" t="s">
        <v>218</v>
      </c>
      <c r="Q15" s="10" t="s">
        <v>219</v>
      </c>
      <c r="R15" s="10" t="s">
        <v>220</v>
      </c>
      <c r="S15" s="10" t="s">
        <v>81</v>
      </c>
      <c r="T15" s="52">
        <v>3.2930000000000001</v>
      </c>
      <c r="U15" s="10" t="s">
        <v>292</v>
      </c>
      <c r="V15" s="53">
        <v>1.4999999999999999E-2</v>
      </c>
      <c r="W15" s="54">
        <v>5.5910000000000001E-2</v>
      </c>
      <c r="X15" s="10" t="s">
        <v>222</v>
      </c>
      <c r="Y15" s="10" t="s">
        <v>72</v>
      </c>
      <c r="Z15" s="52">
        <v>742</v>
      </c>
      <c r="AA15" s="55">
        <v>1</v>
      </c>
      <c r="AB15" s="56">
        <v>87.84</v>
      </c>
      <c r="AC15" s="10"/>
      <c r="AD15" s="52">
        <v>0.65200000000000002</v>
      </c>
      <c r="AE15" s="10"/>
      <c r="AG15" s="10" t="s">
        <v>16</v>
      </c>
      <c r="AH15" s="45">
        <v>9.9999999999999995E-7</v>
      </c>
      <c r="AI15" s="45">
        <v>1.6010998277130201E-5</v>
      </c>
      <c r="AJ15" s="45">
        <v>1.5053334909035601E-6</v>
      </c>
    </row>
    <row r="16" spans="1:36" x14ac:dyDescent="0.25">
      <c r="A16" s="10">
        <v>1182</v>
      </c>
      <c r="B16" s="10">
        <v>1182</v>
      </c>
      <c r="C16" s="10" t="s">
        <v>293</v>
      </c>
      <c r="D16" s="10" t="s">
        <v>294</v>
      </c>
      <c r="E16" s="10" t="s">
        <v>210</v>
      </c>
      <c r="F16" s="10" t="s">
        <v>295</v>
      </c>
      <c r="G16" s="10" t="s">
        <v>296</v>
      </c>
      <c r="H16" s="10" t="s">
        <v>213</v>
      </c>
      <c r="I16" s="10" t="s">
        <v>239</v>
      </c>
      <c r="J16" s="10" t="s">
        <v>71</v>
      </c>
      <c r="K16" s="10" t="s">
        <v>71</v>
      </c>
      <c r="L16" s="10" t="s">
        <v>216</v>
      </c>
      <c r="M16" s="10" t="s">
        <v>117</v>
      </c>
      <c r="N16" s="10" t="s">
        <v>287</v>
      </c>
      <c r="O16" s="10" t="s">
        <v>72</v>
      </c>
      <c r="P16" s="10" t="s">
        <v>218</v>
      </c>
      <c r="Q16" s="10" t="s">
        <v>74</v>
      </c>
      <c r="R16" s="10" t="s">
        <v>220</v>
      </c>
      <c r="S16" s="10" t="s">
        <v>81</v>
      </c>
      <c r="T16" s="52">
        <v>2.6560000000000001</v>
      </c>
      <c r="U16" s="10" t="s">
        <v>297</v>
      </c>
      <c r="V16" s="53">
        <v>2.0500000000000001E-2</v>
      </c>
      <c r="W16" s="54">
        <v>5.4919999999999997E-2</v>
      </c>
      <c r="X16" s="10" t="s">
        <v>222</v>
      </c>
      <c r="Y16" s="10" t="s">
        <v>72</v>
      </c>
      <c r="Z16" s="52">
        <v>813398</v>
      </c>
      <c r="AA16" s="55">
        <v>1</v>
      </c>
      <c r="AB16" s="56">
        <v>91.77</v>
      </c>
      <c r="AC16" s="10"/>
      <c r="AD16" s="52">
        <v>746.45500000000004</v>
      </c>
      <c r="AE16" s="10"/>
      <c r="AG16" s="10" t="s">
        <v>16</v>
      </c>
      <c r="AH16" s="45">
        <v>8.4800000000000001E-4</v>
      </c>
      <c r="AI16" s="45">
        <v>1.8336903958473299E-2</v>
      </c>
      <c r="AJ16" s="45">
        <v>1.7240121552945099E-3</v>
      </c>
    </row>
    <row r="17" spans="1:36" x14ac:dyDescent="0.25">
      <c r="A17" s="10">
        <v>1182</v>
      </c>
      <c r="B17" s="10">
        <v>1182</v>
      </c>
      <c r="C17" s="10" t="s">
        <v>298</v>
      </c>
      <c r="D17" s="10" t="s">
        <v>299</v>
      </c>
      <c r="E17" s="10" t="s">
        <v>210</v>
      </c>
      <c r="F17" s="10" t="s">
        <v>300</v>
      </c>
      <c r="G17" s="10" t="s">
        <v>301</v>
      </c>
      <c r="H17" s="10" t="s">
        <v>213</v>
      </c>
      <c r="I17" s="10" t="s">
        <v>214</v>
      </c>
      <c r="J17" s="10" t="s">
        <v>71</v>
      </c>
      <c r="K17" s="10" t="s">
        <v>71</v>
      </c>
      <c r="L17" s="10" t="s">
        <v>216</v>
      </c>
      <c r="M17" s="10" t="s">
        <v>117</v>
      </c>
      <c r="N17" s="10" t="s">
        <v>217</v>
      </c>
      <c r="O17" s="10" t="s">
        <v>72</v>
      </c>
      <c r="P17" s="10" t="s">
        <v>246</v>
      </c>
      <c r="Q17" s="10" t="s">
        <v>74</v>
      </c>
      <c r="R17" s="10" t="s">
        <v>220</v>
      </c>
      <c r="S17" s="10" t="s">
        <v>81</v>
      </c>
      <c r="T17" s="52">
        <v>1.2929999999999999</v>
      </c>
      <c r="U17" s="10" t="s">
        <v>302</v>
      </c>
      <c r="V17" s="53">
        <v>2.5700000000000001E-2</v>
      </c>
      <c r="W17" s="54">
        <v>3.1449999999999999E-2</v>
      </c>
      <c r="X17" s="10" t="s">
        <v>222</v>
      </c>
      <c r="Y17" s="10" t="s">
        <v>72</v>
      </c>
      <c r="Z17" s="52">
        <v>750021.18</v>
      </c>
      <c r="AA17" s="55">
        <v>1</v>
      </c>
      <c r="AB17" s="56">
        <v>117.15</v>
      </c>
      <c r="AC17" s="10"/>
      <c r="AD17" s="52">
        <v>878.65</v>
      </c>
      <c r="AE17" s="10"/>
      <c r="AG17" s="10" t="s">
        <v>16</v>
      </c>
      <c r="AH17" s="45">
        <v>7.1000000000000002E-4</v>
      </c>
      <c r="AI17" s="45">
        <v>2.1584301511288598E-2</v>
      </c>
      <c r="AJ17" s="45">
        <v>2.0293283017282899E-3</v>
      </c>
    </row>
    <row r="18" spans="1:36" x14ac:dyDescent="0.25">
      <c r="A18" s="10">
        <v>1182</v>
      </c>
      <c r="B18" s="10">
        <v>1182</v>
      </c>
      <c r="C18" s="10" t="s">
        <v>298</v>
      </c>
      <c r="D18" s="10" t="s">
        <v>299</v>
      </c>
      <c r="E18" s="10" t="s">
        <v>210</v>
      </c>
      <c r="F18" s="10" t="s">
        <v>303</v>
      </c>
      <c r="G18" s="10" t="s">
        <v>304</v>
      </c>
      <c r="H18" s="10" t="s">
        <v>213</v>
      </c>
      <c r="I18" s="10" t="s">
        <v>214</v>
      </c>
      <c r="J18" s="10" t="s">
        <v>71</v>
      </c>
      <c r="K18" s="10" t="s">
        <v>71</v>
      </c>
      <c r="L18" s="10" t="s">
        <v>216</v>
      </c>
      <c r="M18" s="10" t="s">
        <v>117</v>
      </c>
      <c r="N18" s="10" t="s">
        <v>217</v>
      </c>
      <c r="O18" s="10" t="s">
        <v>72</v>
      </c>
      <c r="P18" s="10" t="s">
        <v>246</v>
      </c>
      <c r="Q18" s="10" t="s">
        <v>74</v>
      </c>
      <c r="R18" s="10" t="s">
        <v>220</v>
      </c>
      <c r="S18" s="10" t="s">
        <v>81</v>
      </c>
      <c r="T18" s="52">
        <v>4.7030000000000003</v>
      </c>
      <c r="U18" s="10" t="s">
        <v>305</v>
      </c>
      <c r="V18" s="53">
        <v>1.54E-2</v>
      </c>
      <c r="W18" s="54">
        <v>3.2759999999999997E-2</v>
      </c>
      <c r="X18" s="10" t="s">
        <v>222</v>
      </c>
      <c r="Y18" s="10" t="s">
        <v>72</v>
      </c>
      <c r="Z18" s="52">
        <v>317000</v>
      </c>
      <c r="AA18" s="55">
        <v>1</v>
      </c>
      <c r="AB18" s="56">
        <v>103.7</v>
      </c>
      <c r="AC18" s="10"/>
      <c r="AD18" s="52">
        <v>328.72899999999998</v>
      </c>
      <c r="AE18" s="10"/>
      <c r="AG18" s="10" t="s">
        <v>16</v>
      </c>
      <c r="AH18" s="45">
        <v>5.31E-4</v>
      </c>
      <c r="AI18" s="45">
        <v>8.0753284774122604E-3</v>
      </c>
      <c r="AJ18" s="45">
        <v>7.59232010190111E-4</v>
      </c>
    </row>
    <row r="19" spans="1:36" x14ac:dyDescent="0.25">
      <c r="A19" s="10">
        <v>1182</v>
      </c>
      <c r="B19" s="10">
        <v>1182</v>
      </c>
      <c r="C19" s="10" t="s">
        <v>298</v>
      </c>
      <c r="D19" s="10" t="s">
        <v>299</v>
      </c>
      <c r="E19" s="10" t="s">
        <v>210</v>
      </c>
      <c r="F19" s="10" t="s">
        <v>306</v>
      </c>
      <c r="G19" s="10" t="s">
        <v>307</v>
      </c>
      <c r="H19" s="10" t="s">
        <v>213</v>
      </c>
      <c r="I19" s="10" t="s">
        <v>214</v>
      </c>
      <c r="J19" s="10" t="s">
        <v>71</v>
      </c>
      <c r="K19" s="10" t="s">
        <v>71</v>
      </c>
      <c r="L19" s="10" t="s">
        <v>216</v>
      </c>
      <c r="M19" s="10" t="s">
        <v>109</v>
      </c>
      <c r="N19" s="10" t="s">
        <v>217</v>
      </c>
      <c r="O19" s="10" t="s">
        <v>72</v>
      </c>
      <c r="P19" s="10" t="s">
        <v>246</v>
      </c>
      <c r="Q19" s="10" t="s">
        <v>74</v>
      </c>
      <c r="R19" s="10" t="s">
        <v>220</v>
      </c>
      <c r="S19" s="10" t="s">
        <v>81</v>
      </c>
      <c r="T19" s="52">
        <v>6.8319999999999999</v>
      </c>
      <c r="U19" s="10" t="s">
        <v>308</v>
      </c>
      <c r="V19" s="53">
        <v>4.02E-2</v>
      </c>
      <c r="W19" s="54">
        <v>3.5560000000000001E-2</v>
      </c>
      <c r="X19" s="10" t="s">
        <v>222</v>
      </c>
      <c r="Y19" s="10" t="s">
        <v>72</v>
      </c>
      <c r="Z19" s="52">
        <v>398000</v>
      </c>
      <c r="AA19" s="55">
        <v>1</v>
      </c>
      <c r="AB19" s="56">
        <v>104.52</v>
      </c>
      <c r="AC19" s="10"/>
      <c r="AD19" s="52">
        <v>415.99</v>
      </c>
      <c r="AE19" s="10"/>
      <c r="AG19" s="10" t="s">
        <v>16</v>
      </c>
      <c r="AH19" s="45">
        <v>4.9299999999999995E-4</v>
      </c>
      <c r="AI19" s="45">
        <v>1.02189118185111E-2</v>
      </c>
      <c r="AJ19" s="45">
        <v>9.6076896235555698E-4</v>
      </c>
    </row>
    <row r="20" spans="1:36" x14ac:dyDescent="0.25">
      <c r="A20">
        <v>1182</v>
      </c>
      <c r="B20">
        <v>1182</v>
      </c>
      <c r="C20" t="s">
        <v>254</v>
      </c>
      <c r="D20" t="s">
        <v>255</v>
      </c>
      <c r="E20" s="10" t="s">
        <v>210</v>
      </c>
      <c r="F20" t="s">
        <v>309</v>
      </c>
      <c r="G20" t="s">
        <v>310</v>
      </c>
      <c r="H20" s="10" t="s">
        <v>213</v>
      </c>
      <c r="I20" s="10" t="s">
        <v>214</v>
      </c>
      <c r="J20" s="10" t="s">
        <v>71</v>
      </c>
      <c r="K20" s="10" t="s">
        <v>71</v>
      </c>
      <c r="L20" s="10" t="s">
        <v>216</v>
      </c>
      <c r="M20" s="10" t="s">
        <v>109</v>
      </c>
      <c r="N20" s="10" t="s">
        <v>258</v>
      </c>
      <c r="O20" s="10" t="s">
        <v>72</v>
      </c>
      <c r="P20" t="s">
        <v>259</v>
      </c>
      <c r="Q20" s="10" t="s">
        <v>74</v>
      </c>
      <c r="R20" s="10" t="s">
        <v>220</v>
      </c>
      <c r="S20" t="s">
        <v>81</v>
      </c>
      <c r="T20" s="44">
        <v>7.2910000000000004</v>
      </c>
      <c r="U20" t="s">
        <v>311</v>
      </c>
      <c r="V20" s="46">
        <v>3.5999999999999997E-2</v>
      </c>
      <c r="W20" s="45">
        <v>3.2489999999999998E-2</v>
      </c>
      <c r="X20" s="10" t="s">
        <v>222</v>
      </c>
      <c r="Y20" s="10" t="s">
        <v>72</v>
      </c>
      <c r="Z20" s="44">
        <v>420000</v>
      </c>
      <c r="AA20" s="42">
        <v>1</v>
      </c>
      <c r="AB20" s="48">
        <v>104.88</v>
      </c>
      <c r="AD20" s="44">
        <v>440.49599999999998</v>
      </c>
      <c r="AG20" t="s">
        <v>16</v>
      </c>
      <c r="AH20" s="45">
        <v>5.7499999999999999E-4</v>
      </c>
      <c r="AI20" s="45">
        <v>1.08209190335693E-2</v>
      </c>
      <c r="AJ20" s="45">
        <v>1.0173689074000299E-3</v>
      </c>
    </row>
    <row r="21" spans="1:36" x14ac:dyDescent="0.25">
      <c r="A21">
        <v>1182</v>
      </c>
      <c r="B21">
        <v>1182</v>
      </c>
      <c r="C21" t="s">
        <v>312</v>
      </c>
      <c r="D21" t="s">
        <v>313</v>
      </c>
      <c r="E21" t="s">
        <v>210</v>
      </c>
      <c r="F21" t="s">
        <v>314</v>
      </c>
      <c r="G21" t="s">
        <v>315</v>
      </c>
      <c r="H21" t="s">
        <v>213</v>
      </c>
      <c r="I21" t="s">
        <v>214</v>
      </c>
      <c r="J21" t="s">
        <v>71</v>
      </c>
      <c r="K21" t="s">
        <v>71</v>
      </c>
      <c r="L21" t="s">
        <v>216</v>
      </c>
      <c r="M21" t="s">
        <v>117</v>
      </c>
      <c r="N21" t="s">
        <v>258</v>
      </c>
      <c r="O21" t="s">
        <v>72</v>
      </c>
      <c r="P21" t="s">
        <v>218</v>
      </c>
      <c r="Q21" t="s">
        <v>74</v>
      </c>
      <c r="R21" t="s">
        <v>220</v>
      </c>
      <c r="S21" t="s">
        <v>81</v>
      </c>
      <c r="T21" s="44">
        <v>5.7060000000000004</v>
      </c>
      <c r="U21" t="s">
        <v>316</v>
      </c>
      <c r="V21" s="46">
        <v>3.6799999999999999E-2</v>
      </c>
      <c r="W21" s="45">
        <v>3.5349999999999999E-2</v>
      </c>
      <c r="X21" t="s">
        <v>222</v>
      </c>
      <c r="Y21" t="s">
        <v>72</v>
      </c>
      <c r="Z21" s="44">
        <v>864000</v>
      </c>
      <c r="AA21" s="42">
        <v>1</v>
      </c>
      <c r="AB21" s="48">
        <v>105.69</v>
      </c>
      <c r="AD21" s="44">
        <v>913.16200000000003</v>
      </c>
      <c r="AG21" t="s">
        <v>16</v>
      </c>
      <c r="AH21" s="45">
        <v>1.9469999999999999E-3</v>
      </c>
      <c r="AI21" s="45">
        <v>2.2432094135167099E-2</v>
      </c>
      <c r="AJ21" s="45">
        <v>2.10903667518356E-3</v>
      </c>
    </row>
    <row r="22" spans="1:36" x14ac:dyDescent="0.25">
      <c r="A22">
        <v>1182</v>
      </c>
      <c r="B22">
        <v>1182</v>
      </c>
      <c r="C22" t="s">
        <v>312</v>
      </c>
      <c r="D22" t="s">
        <v>313</v>
      </c>
      <c r="E22" t="s">
        <v>210</v>
      </c>
      <c r="F22" t="s">
        <v>317</v>
      </c>
      <c r="G22" t="s">
        <v>318</v>
      </c>
      <c r="H22" t="s">
        <v>213</v>
      </c>
      <c r="I22" t="s">
        <v>214</v>
      </c>
      <c r="J22" t="s">
        <v>71</v>
      </c>
      <c r="K22" t="s">
        <v>71</v>
      </c>
      <c r="L22" t="s">
        <v>216</v>
      </c>
      <c r="M22" t="s">
        <v>117</v>
      </c>
      <c r="N22" t="s">
        <v>258</v>
      </c>
      <c r="O22" t="s">
        <v>72</v>
      </c>
      <c r="P22" t="s">
        <v>218</v>
      </c>
      <c r="Q22" t="s">
        <v>74</v>
      </c>
      <c r="R22" t="s">
        <v>220</v>
      </c>
      <c r="S22" t="s">
        <v>81</v>
      </c>
      <c r="T22" s="44">
        <v>1.4610000000000001</v>
      </c>
      <c r="U22" t="s">
        <v>319</v>
      </c>
      <c r="V22" s="46">
        <v>3.4599999999999999E-2</v>
      </c>
      <c r="W22" s="45">
        <v>3.0300000000000001E-2</v>
      </c>
      <c r="X22" t="s">
        <v>222</v>
      </c>
      <c r="Y22" t="s">
        <v>72</v>
      </c>
      <c r="Z22" s="44">
        <v>0.36</v>
      </c>
      <c r="AA22" s="42">
        <v>1</v>
      </c>
      <c r="AB22" s="48">
        <v>118.35</v>
      </c>
      <c r="AD22" s="44">
        <v>0</v>
      </c>
      <c r="AG22" t="s">
        <v>16</v>
      </c>
      <c r="AH22" s="45">
        <v>0</v>
      </c>
      <c r="AI22" s="45">
        <v>1.0466294276094501E-8</v>
      </c>
      <c r="AJ22" s="45">
        <v>9.8402754323956391E-10</v>
      </c>
    </row>
    <row r="23" spans="1:36" x14ac:dyDescent="0.25">
      <c r="A23">
        <v>1182</v>
      </c>
      <c r="B23">
        <v>1182</v>
      </c>
      <c r="C23" t="s">
        <v>320</v>
      </c>
      <c r="D23" t="s">
        <v>321</v>
      </c>
      <c r="E23" t="s">
        <v>210</v>
      </c>
      <c r="F23" t="s">
        <v>322</v>
      </c>
      <c r="G23" t="s">
        <v>323</v>
      </c>
      <c r="H23" t="s">
        <v>213</v>
      </c>
      <c r="I23" t="s">
        <v>239</v>
      </c>
      <c r="J23" t="s">
        <v>71</v>
      </c>
      <c r="K23" t="s">
        <v>71</v>
      </c>
      <c r="L23" t="s">
        <v>216</v>
      </c>
      <c r="M23" t="s">
        <v>117</v>
      </c>
      <c r="N23" t="s">
        <v>234</v>
      </c>
      <c r="O23" t="s">
        <v>72</v>
      </c>
      <c r="P23" t="s">
        <v>246</v>
      </c>
      <c r="Q23" t="s">
        <v>74</v>
      </c>
      <c r="R23" t="s">
        <v>220</v>
      </c>
      <c r="S23" t="s">
        <v>81</v>
      </c>
      <c r="T23" s="44">
        <v>2.2389999999999999</v>
      </c>
      <c r="U23" t="s">
        <v>324</v>
      </c>
      <c r="V23" s="46">
        <v>2.7E-2</v>
      </c>
      <c r="W23" s="45">
        <v>5.4039999999999998E-2</v>
      </c>
      <c r="X23" t="s">
        <v>222</v>
      </c>
      <c r="Y23" t="s">
        <v>72</v>
      </c>
      <c r="Z23" s="44">
        <v>162500</v>
      </c>
      <c r="AA23" s="42">
        <v>1</v>
      </c>
      <c r="AB23" s="48">
        <v>94.31</v>
      </c>
      <c r="AD23" s="44">
        <v>153.25399999999999</v>
      </c>
      <c r="AG23" t="s">
        <v>16</v>
      </c>
      <c r="AH23" s="45">
        <v>2.8400000000000002E-4</v>
      </c>
      <c r="AI23" s="45">
        <v>3.7647252650213998E-3</v>
      </c>
      <c r="AJ23" s="45">
        <v>3.5395463339611899E-4</v>
      </c>
    </row>
    <row r="24" spans="1:36" x14ac:dyDescent="0.25">
      <c r="A24">
        <v>1182</v>
      </c>
      <c r="B24">
        <v>1182</v>
      </c>
      <c r="C24" t="s">
        <v>325</v>
      </c>
      <c r="D24" t="s">
        <v>326</v>
      </c>
      <c r="E24" t="s">
        <v>210</v>
      </c>
      <c r="F24" t="s">
        <v>327</v>
      </c>
      <c r="G24" t="s">
        <v>328</v>
      </c>
      <c r="H24" t="s">
        <v>213</v>
      </c>
      <c r="I24" t="s">
        <v>239</v>
      </c>
      <c r="J24" t="s">
        <v>71</v>
      </c>
      <c r="K24" t="s">
        <v>71</v>
      </c>
      <c r="L24" t="s">
        <v>216</v>
      </c>
      <c r="M24" t="s">
        <v>109</v>
      </c>
      <c r="N24" t="s">
        <v>329</v>
      </c>
      <c r="O24" t="s">
        <v>72</v>
      </c>
      <c r="P24" t="s">
        <v>235</v>
      </c>
      <c r="Q24" t="s">
        <v>219</v>
      </c>
      <c r="R24" t="s">
        <v>220</v>
      </c>
      <c r="S24" t="s">
        <v>81</v>
      </c>
      <c r="T24" s="44">
        <v>4.07</v>
      </c>
      <c r="U24" t="s">
        <v>330</v>
      </c>
      <c r="V24" s="46">
        <v>5.5E-2</v>
      </c>
      <c r="W24" s="45">
        <v>5.1830000000000001E-2</v>
      </c>
      <c r="X24" t="s">
        <v>222</v>
      </c>
      <c r="Y24" t="s">
        <v>72</v>
      </c>
      <c r="Z24" s="44">
        <v>646389.79</v>
      </c>
      <c r="AA24" s="42">
        <v>1</v>
      </c>
      <c r="AB24" s="48">
        <v>104.5</v>
      </c>
      <c r="AD24" s="44">
        <v>675.47699999999998</v>
      </c>
      <c r="AG24" t="s">
        <v>16</v>
      </c>
      <c r="AH24" s="45">
        <v>6.4099999999999997E-4</v>
      </c>
      <c r="AI24" s="45">
        <v>1.6593307323773801E-2</v>
      </c>
      <c r="AJ24" s="45">
        <v>1.5600814394572001E-3</v>
      </c>
    </row>
    <row r="25" spans="1:36" x14ac:dyDescent="0.25">
      <c r="A25">
        <v>1182</v>
      </c>
      <c r="B25">
        <v>1182</v>
      </c>
      <c r="C25" t="s">
        <v>331</v>
      </c>
      <c r="D25" t="s">
        <v>332</v>
      </c>
      <c r="E25" t="s">
        <v>210</v>
      </c>
      <c r="F25" t="s">
        <v>333</v>
      </c>
      <c r="G25" t="s">
        <v>334</v>
      </c>
      <c r="H25" t="s">
        <v>213</v>
      </c>
      <c r="I25" t="s">
        <v>214</v>
      </c>
      <c r="J25" t="s">
        <v>71</v>
      </c>
      <c r="K25" t="s">
        <v>71</v>
      </c>
      <c r="L25" t="s">
        <v>216</v>
      </c>
      <c r="M25" t="s">
        <v>117</v>
      </c>
      <c r="N25" t="s">
        <v>258</v>
      </c>
      <c r="O25" t="s">
        <v>72</v>
      </c>
      <c r="P25" t="s">
        <v>228</v>
      </c>
      <c r="Q25" t="s">
        <v>219</v>
      </c>
      <c r="R25" t="s">
        <v>220</v>
      </c>
      <c r="S25" t="s">
        <v>81</v>
      </c>
      <c r="T25" s="44">
        <v>4.0019999999999998</v>
      </c>
      <c r="U25" t="s">
        <v>335</v>
      </c>
      <c r="V25" s="46">
        <v>1.17E-2</v>
      </c>
      <c r="W25" s="45">
        <v>2.9520000000000001E-2</v>
      </c>
      <c r="X25" t="s">
        <v>222</v>
      </c>
      <c r="Y25" t="s">
        <v>72</v>
      </c>
      <c r="Z25" s="44">
        <v>190888.24</v>
      </c>
      <c r="AA25" s="42">
        <v>1</v>
      </c>
      <c r="AB25" s="48">
        <v>107.32</v>
      </c>
      <c r="AD25" s="44">
        <v>204.86099999999999</v>
      </c>
      <c r="AG25" t="s">
        <v>16</v>
      </c>
      <c r="AH25" s="45">
        <v>2.7700000000000001E-4</v>
      </c>
      <c r="AI25" s="45">
        <v>5.0324795198412198E-3</v>
      </c>
      <c r="AJ25" s="45">
        <v>4.7314725992595098E-4</v>
      </c>
    </row>
    <row r="26" spans="1:36" x14ac:dyDescent="0.25">
      <c r="A26">
        <v>1182</v>
      </c>
      <c r="B26">
        <v>1182</v>
      </c>
      <c r="C26" t="s">
        <v>331</v>
      </c>
      <c r="D26" t="s">
        <v>332</v>
      </c>
      <c r="E26" t="s">
        <v>210</v>
      </c>
      <c r="F26" t="s">
        <v>336</v>
      </c>
      <c r="G26" t="s">
        <v>337</v>
      </c>
      <c r="H26" t="s">
        <v>213</v>
      </c>
      <c r="I26" t="s">
        <v>214</v>
      </c>
      <c r="J26" t="s">
        <v>71</v>
      </c>
      <c r="K26" t="s">
        <v>71</v>
      </c>
      <c r="L26" t="s">
        <v>216</v>
      </c>
      <c r="M26" t="s">
        <v>117</v>
      </c>
      <c r="N26" t="s">
        <v>258</v>
      </c>
      <c r="O26" t="s">
        <v>72</v>
      </c>
      <c r="P26" t="s">
        <v>228</v>
      </c>
      <c r="Q26" t="s">
        <v>219</v>
      </c>
      <c r="R26" t="s">
        <v>220</v>
      </c>
      <c r="S26" t="s">
        <v>81</v>
      </c>
      <c r="T26" s="44">
        <v>4.0090000000000003</v>
      </c>
      <c r="U26" t="s">
        <v>305</v>
      </c>
      <c r="V26" s="46">
        <v>1.3299999999999999E-2</v>
      </c>
      <c r="W26" s="45">
        <v>3.049E-2</v>
      </c>
      <c r="X26" t="s">
        <v>222</v>
      </c>
      <c r="Y26" t="s">
        <v>72</v>
      </c>
      <c r="Z26" s="44">
        <v>153000</v>
      </c>
      <c r="AA26" s="42">
        <v>1</v>
      </c>
      <c r="AB26" s="48">
        <v>107.88</v>
      </c>
      <c r="AD26" s="44">
        <v>165.05600000000001</v>
      </c>
      <c r="AG26" t="s">
        <v>16</v>
      </c>
      <c r="AH26" s="45">
        <v>1.36E-4</v>
      </c>
      <c r="AI26" s="45">
        <v>4.0546609739303503E-3</v>
      </c>
      <c r="AJ26" s="45">
        <v>3.8121401630748401E-4</v>
      </c>
    </row>
    <row r="27" spans="1:36" x14ac:dyDescent="0.25">
      <c r="A27">
        <v>1182</v>
      </c>
      <c r="B27">
        <v>1182</v>
      </c>
      <c r="C27" t="s">
        <v>331</v>
      </c>
      <c r="D27" t="s">
        <v>332</v>
      </c>
      <c r="E27" t="s">
        <v>210</v>
      </c>
      <c r="F27" t="s">
        <v>338</v>
      </c>
      <c r="G27" t="s">
        <v>339</v>
      </c>
      <c r="H27" t="s">
        <v>213</v>
      </c>
      <c r="I27" t="s">
        <v>214</v>
      </c>
      <c r="J27" t="s">
        <v>71</v>
      </c>
      <c r="K27" t="s">
        <v>71</v>
      </c>
      <c r="L27" t="s">
        <v>216</v>
      </c>
      <c r="M27" t="s">
        <v>117</v>
      </c>
      <c r="N27" t="s">
        <v>258</v>
      </c>
      <c r="O27" t="s">
        <v>72</v>
      </c>
      <c r="P27" t="s">
        <v>228</v>
      </c>
      <c r="Q27" t="s">
        <v>74</v>
      </c>
      <c r="R27" t="s">
        <v>220</v>
      </c>
      <c r="S27" t="s">
        <v>81</v>
      </c>
      <c r="T27" s="44">
        <v>4.8780000000000001</v>
      </c>
      <c r="U27" t="s">
        <v>340</v>
      </c>
      <c r="V27" s="46">
        <v>1.8700000000000001E-2</v>
      </c>
      <c r="W27" s="45">
        <v>3.1629999999999998E-2</v>
      </c>
      <c r="X27" t="s">
        <v>222</v>
      </c>
      <c r="Y27" t="s">
        <v>72</v>
      </c>
      <c r="Z27" s="44">
        <v>590000</v>
      </c>
      <c r="AA27" s="42">
        <v>1</v>
      </c>
      <c r="AB27" s="48">
        <v>105.08</v>
      </c>
      <c r="AD27" s="44">
        <v>619.97199999999998</v>
      </c>
      <c r="AG27" t="s">
        <v>16</v>
      </c>
      <c r="AH27" s="45">
        <v>5.7600000000000001E-4</v>
      </c>
      <c r="AI27" s="45">
        <v>1.52298018939559E-2</v>
      </c>
      <c r="AJ27" s="45">
        <v>1.4318864104523299E-3</v>
      </c>
    </row>
    <row r="28" spans="1:36" x14ac:dyDescent="0.25">
      <c r="A28">
        <v>1182</v>
      </c>
      <c r="B28">
        <v>1182</v>
      </c>
      <c r="C28" t="s">
        <v>320</v>
      </c>
      <c r="D28" t="s">
        <v>321</v>
      </c>
      <c r="E28" t="s">
        <v>210</v>
      </c>
      <c r="F28" t="s">
        <v>341</v>
      </c>
      <c r="G28" t="s">
        <v>342</v>
      </c>
      <c r="H28" t="s">
        <v>213</v>
      </c>
      <c r="I28" t="s">
        <v>239</v>
      </c>
      <c r="J28" t="s">
        <v>71</v>
      </c>
      <c r="K28" t="s">
        <v>71</v>
      </c>
      <c r="L28" t="s">
        <v>216</v>
      </c>
      <c r="M28" t="s">
        <v>117</v>
      </c>
      <c r="N28" t="s">
        <v>234</v>
      </c>
      <c r="O28" t="s">
        <v>72</v>
      </c>
      <c r="P28" t="s">
        <v>246</v>
      </c>
      <c r="Q28" t="s">
        <v>74</v>
      </c>
      <c r="R28" t="s">
        <v>220</v>
      </c>
      <c r="S28" t="s">
        <v>81</v>
      </c>
      <c r="T28" s="44">
        <v>4.2629999999999999</v>
      </c>
      <c r="U28" t="s">
        <v>343</v>
      </c>
      <c r="V28" s="46">
        <v>5.7500000000000002E-2</v>
      </c>
      <c r="W28" s="45">
        <v>5.493E-2</v>
      </c>
      <c r="X28" t="s">
        <v>222</v>
      </c>
      <c r="Y28" t="s">
        <v>72</v>
      </c>
      <c r="Z28" s="44">
        <v>353711</v>
      </c>
      <c r="AA28" s="42">
        <v>1</v>
      </c>
      <c r="AB28" s="48">
        <v>101.46</v>
      </c>
      <c r="AD28" s="44">
        <v>358.875</v>
      </c>
      <c r="AG28" t="s">
        <v>16</v>
      </c>
      <c r="AH28" s="45">
        <v>6.7400000000000001E-4</v>
      </c>
      <c r="AI28" s="45">
        <v>8.8158786287052503E-3</v>
      </c>
      <c r="AJ28" s="45">
        <v>8.2885758413245205E-4</v>
      </c>
    </row>
    <row r="29" spans="1:36" x14ac:dyDescent="0.25">
      <c r="A29">
        <v>1182</v>
      </c>
      <c r="B29">
        <v>1182</v>
      </c>
      <c r="C29" t="s">
        <v>344</v>
      </c>
      <c r="D29" t="s">
        <v>345</v>
      </c>
      <c r="E29" t="s">
        <v>210</v>
      </c>
      <c r="F29" t="s">
        <v>346</v>
      </c>
      <c r="G29" t="s">
        <v>347</v>
      </c>
      <c r="H29" t="s">
        <v>213</v>
      </c>
      <c r="I29" t="s">
        <v>239</v>
      </c>
      <c r="J29" t="s">
        <v>71</v>
      </c>
      <c r="K29" t="s">
        <v>71</v>
      </c>
      <c r="L29" t="s">
        <v>216</v>
      </c>
      <c r="M29" t="s">
        <v>117</v>
      </c>
      <c r="N29" t="s">
        <v>258</v>
      </c>
      <c r="O29" t="s">
        <v>72</v>
      </c>
      <c r="P29" t="s">
        <v>259</v>
      </c>
      <c r="Q29" t="s">
        <v>74</v>
      </c>
      <c r="R29" t="s">
        <v>220</v>
      </c>
      <c r="S29" t="s">
        <v>81</v>
      </c>
      <c r="T29" s="44">
        <v>4.7640000000000002</v>
      </c>
      <c r="U29" t="s">
        <v>348</v>
      </c>
      <c r="V29" s="46">
        <v>2.5499999999999998E-2</v>
      </c>
      <c r="W29" s="45">
        <v>5.2690000000000001E-2</v>
      </c>
      <c r="X29" t="s">
        <v>222</v>
      </c>
      <c r="Y29" t="s">
        <v>72</v>
      </c>
      <c r="Z29" s="44">
        <v>108506.68</v>
      </c>
      <c r="AA29" s="42">
        <v>1</v>
      </c>
      <c r="AB29" s="48">
        <v>88.7</v>
      </c>
      <c r="AD29" s="44">
        <v>96.245000000000005</v>
      </c>
      <c r="AG29" t="s">
        <v>16</v>
      </c>
      <c r="AH29" s="45">
        <v>4.6E-5</v>
      </c>
      <c r="AI29" s="45">
        <v>2.3642983205473199E-3</v>
      </c>
      <c r="AJ29" s="45">
        <v>2.22288291011224E-4</v>
      </c>
    </row>
    <row r="30" spans="1:36" x14ac:dyDescent="0.25">
      <c r="A30">
        <v>1182</v>
      </c>
      <c r="B30">
        <v>1182</v>
      </c>
      <c r="C30" t="s">
        <v>344</v>
      </c>
      <c r="D30" t="s">
        <v>345</v>
      </c>
      <c r="E30" t="s">
        <v>210</v>
      </c>
      <c r="F30" t="s">
        <v>349</v>
      </c>
      <c r="G30" t="s">
        <v>350</v>
      </c>
      <c r="H30" t="s">
        <v>213</v>
      </c>
      <c r="I30" t="s">
        <v>214</v>
      </c>
      <c r="J30" t="s">
        <v>71</v>
      </c>
      <c r="K30" t="s">
        <v>71</v>
      </c>
      <c r="L30" t="s">
        <v>216</v>
      </c>
      <c r="M30" t="s">
        <v>117</v>
      </c>
      <c r="N30" t="s">
        <v>258</v>
      </c>
      <c r="O30" t="s">
        <v>72</v>
      </c>
      <c r="P30" t="s">
        <v>259</v>
      </c>
      <c r="Q30" t="s">
        <v>74</v>
      </c>
      <c r="R30" t="s">
        <v>220</v>
      </c>
      <c r="S30" t="s">
        <v>81</v>
      </c>
      <c r="T30" s="44">
        <v>3.4889999999999999</v>
      </c>
      <c r="U30" t="s">
        <v>351</v>
      </c>
      <c r="V30" s="46">
        <v>5.0000000000000001E-3</v>
      </c>
      <c r="W30" s="45">
        <v>3.0589999999999999E-2</v>
      </c>
      <c r="X30" t="s">
        <v>222</v>
      </c>
      <c r="Y30" t="s">
        <v>72</v>
      </c>
      <c r="Z30" s="44">
        <v>65501.11</v>
      </c>
      <c r="AA30" s="42">
        <v>1</v>
      </c>
      <c r="AB30" s="48">
        <v>105.54</v>
      </c>
      <c r="AD30" s="44">
        <v>69.13</v>
      </c>
      <c r="AG30" t="s">
        <v>16</v>
      </c>
      <c r="AH30" s="45">
        <v>4.1E-5</v>
      </c>
      <c r="AI30" s="45">
        <v>1.69819644727222E-3</v>
      </c>
      <c r="AJ30" s="45">
        <v>1.5966224853473099E-4</v>
      </c>
    </row>
    <row r="31" spans="1:36" x14ac:dyDescent="0.25">
      <c r="A31">
        <v>1182</v>
      </c>
      <c r="B31">
        <v>1182</v>
      </c>
      <c r="C31" t="s">
        <v>344</v>
      </c>
      <c r="D31" t="s">
        <v>345</v>
      </c>
      <c r="E31" t="s">
        <v>210</v>
      </c>
      <c r="F31" t="s">
        <v>352</v>
      </c>
      <c r="G31" t="s">
        <v>353</v>
      </c>
      <c r="H31" t="s">
        <v>213</v>
      </c>
      <c r="I31" t="s">
        <v>214</v>
      </c>
      <c r="J31" t="s">
        <v>71</v>
      </c>
      <c r="K31" t="s">
        <v>71</v>
      </c>
      <c r="L31" t="s">
        <v>216</v>
      </c>
      <c r="M31" t="s">
        <v>117</v>
      </c>
      <c r="N31" t="s">
        <v>258</v>
      </c>
      <c r="O31" t="s">
        <v>72</v>
      </c>
      <c r="P31" t="s">
        <v>259</v>
      </c>
      <c r="Q31" t="s">
        <v>74</v>
      </c>
      <c r="R31" t="s">
        <v>220</v>
      </c>
      <c r="S31" t="s">
        <v>81</v>
      </c>
      <c r="T31" s="44">
        <v>4.673</v>
      </c>
      <c r="U31" t="s">
        <v>354</v>
      </c>
      <c r="V31" s="46">
        <v>5.8999999999999999E-3</v>
      </c>
      <c r="W31" s="45">
        <v>3.0779999999999998E-2</v>
      </c>
      <c r="X31" t="s">
        <v>222</v>
      </c>
      <c r="Y31" t="s">
        <v>72</v>
      </c>
      <c r="Z31" s="44">
        <v>559140</v>
      </c>
      <c r="AA31" s="42">
        <v>1</v>
      </c>
      <c r="AB31" s="48">
        <v>100.11</v>
      </c>
      <c r="AD31" s="44">
        <v>559.755</v>
      </c>
      <c r="AG31" t="s">
        <v>16</v>
      </c>
      <c r="AH31" s="45">
        <v>3.9899999999999999E-4</v>
      </c>
      <c r="AI31" s="45">
        <v>1.37505541888353E-2</v>
      </c>
      <c r="AJ31" s="45">
        <v>1.2928094414015601E-3</v>
      </c>
    </row>
    <row r="32" spans="1:36" x14ac:dyDescent="0.25">
      <c r="A32">
        <v>1182</v>
      </c>
      <c r="B32">
        <v>1182</v>
      </c>
      <c r="C32" t="s">
        <v>344</v>
      </c>
      <c r="D32" t="s">
        <v>345</v>
      </c>
      <c r="E32" t="s">
        <v>210</v>
      </c>
      <c r="F32" t="s">
        <v>355</v>
      </c>
      <c r="G32" t="s">
        <v>356</v>
      </c>
      <c r="H32" t="s">
        <v>213</v>
      </c>
      <c r="I32" t="s">
        <v>214</v>
      </c>
      <c r="J32" t="s">
        <v>71</v>
      </c>
      <c r="K32" t="s">
        <v>71</v>
      </c>
      <c r="L32" t="s">
        <v>216</v>
      </c>
      <c r="M32" t="s">
        <v>109</v>
      </c>
      <c r="N32" t="s">
        <v>258</v>
      </c>
      <c r="O32" t="s">
        <v>72</v>
      </c>
      <c r="P32" t="s">
        <v>259</v>
      </c>
      <c r="Q32" t="s">
        <v>74</v>
      </c>
      <c r="R32" t="s">
        <v>220</v>
      </c>
      <c r="S32" t="s">
        <v>81</v>
      </c>
      <c r="T32" s="44">
        <v>3.3180000000000001</v>
      </c>
      <c r="U32" t="s">
        <v>357</v>
      </c>
      <c r="V32" s="46">
        <v>3.3399999999999999E-2</v>
      </c>
      <c r="W32" s="45">
        <v>3.0470000000000001E-2</v>
      </c>
      <c r="X32" t="s">
        <v>222</v>
      </c>
      <c r="Y32" t="s">
        <v>72</v>
      </c>
      <c r="Z32" s="44">
        <v>673039</v>
      </c>
      <c r="AA32" s="42">
        <v>1</v>
      </c>
      <c r="AB32" s="48">
        <v>102.84</v>
      </c>
      <c r="AD32" s="44">
        <v>692.15300000000002</v>
      </c>
      <c r="AG32" t="s">
        <v>16</v>
      </c>
      <c r="AH32" s="45">
        <v>6.2500000000000001E-4</v>
      </c>
      <c r="AI32" s="45">
        <v>1.70029578029239E-2</v>
      </c>
      <c r="AJ32" s="45">
        <v>1.5985962512856499E-3</v>
      </c>
    </row>
    <row r="33" spans="1:36" x14ac:dyDescent="0.25">
      <c r="A33">
        <v>1182</v>
      </c>
      <c r="B33">
        <v>1182</v>
      </c>
      <c r="C33" t="s">
        <v>344</v>
      </c>
      <c r="D33" t="s">
        <v>345</v>
      </c>
      <c r="E33" t="s">
        <v>210</v>
      </c>
      <c r="F33" t="s">
        <v>358</v>
      </c>
      <c r="G33" t="s">
        <v>359</v>
      </c>
      <c r="H33" t="s">
        <v>213</v>
      </c>
      <c r="I33" t="s">
        <v>214</v>
      </c>
      <c r="J33" t="s">
        <v>71</v>
      </c>
      <c r="K33" t="s">
        <v>71</v>
      </c>
      <c r="L33" t="s">
        <v>216</v>
      </c>
      <c r="M33" t="s">
        <v>117</v>
      </c>
      <c r="N33" t="s">
        <v>258</v>
      </c>
      <c r="O33" t="s">
        <v>72</v>
      </c>
      <c r="P33" t="s">
        <v>259</v>
      </c>
      <c r="Q33" t="s">
        <v>74</v>
      </c>
      <c r="R33" t="s">
        <v>220</v>
      </c>
      <c r="S33" t="s">
        <v>81</v>
      </c>
      <c r="T33" s="44">
        <v>0.98599999999999999</v>
      </c>
      <c r="U33" t="s">
        <v>360</v>
      </c>
      <c r="V33" s="46">
        <v>4.7500000000000001E-2</v>
      </c>
      <c r="W33" s="45">
        <v>2.462E-2</v>
      </c>
      <c r="X33" t="s">
        <v>222</v>
      </c>
      <c r="Y33" t="s">
        <v>72</v>
      </c>
      <c r="Z33" s="44">
        <v>90088.84</v>
      </c>
      <c r="AA33" s="42">
        <v>1</v>
      </c>
      <c r="AB33" s="48">
        <v>143.4</v>
      </c>
      <c r="AD33" s="44">
        <v>129.18700000000001</v>
      </c>
      <c r="AG33" t="s">
        <v>16</v>
      </c>
      <c r="AH33" s="45">
        <v>1.8900000000000001E-4</v>
      </c>
      <c r="AI33" s="45">
        <v>3.1735279283656701E-3</v>
      </c>
      <c r="AJ33" s="45">
        <v>2.9837101923309398E-4</v>
      </c>
    </row>
    <row r="34" spans="1:36" x14ac:dyDescent="0.25">
      <c r="A34">
        <v>1182</v>
      </c>
      <c r="B34">
        <v>1182</v>
      </c>
      <c r="C34" t="s">
        <v>361</v>
      </c>
      <c r="D34" t="s">
        <v>362</v>
      </c>
      <c r="E34" t="s">
        <v>210</v>
      </c>
      <c r="F34" t="s">
        <v>363</v>
      </c>
      <c r="G34" t="s">
        <v>364</v>
      </c>
      <c r="H34" t="s">
        <v>213</v>
      </c>
      <c r="I34" t="s">
        <v>214</v>
      </c>
      <c r="J34" t="s">
        <v>71</v>
      </c>
      <c r="K34" t="s">
        <v>71</v>
      </c>
      <c r="L34" t="s">
        <v>216</v>
      </c>
      <c r="M34" t="s">
        <v>117</v>
      </c>
      <c r="N34" t="s">
        <v>365</v>
      </c>
      <c r="O34" t="s">
        <v>72</v>
      </c>
      <c r="P34" t="s">
        <v>73</v>
      </c>
      <c r="Q34" t="s">
        <v>74</v>
      </c>
      <c r="R34" t="s">
        <v>220</v>
      </c>
      <c r="S34" t="s">
        <v>81</v>
      </c>
      <c r="T34" s="44">
        <v>5.1459999999999999</v>
      </c>
      <c r="U34" t="s">
        <v>366</v>
      </c>
      <c r="V34" s="46">
        <v>2.47E-2</v>
      </c>
      <c r="W34" s="45">
        <v>2.6089999999999999E-2</v>
      </c>
      <c r="X34" t="s">
        <v>222</v>
      </c>
      <c r="Y34" t="s">
        <v>72</v>
      </c>
      <c r="Z34" s="44">
        <v>914330.69</v>
      </c>
      <c r="AA34" s="42">
        <v>1</v>
      </c>
      <c r="AB34" s="48">
        <v>101.3</v>
      </c>
      <c r="AD34" s="44">
        <v>926.21699999999998</v>
      </c>
      <c r="AG34" t="s">
        <v>16</v>
      </c>
      <c r="AH34" s="45">
        <v>3.5100000000000002E-4</v>
      </c>
      <c r="AI34" s="45">
        <v>2.2752803760217301E-2</v>
      </c>
      <c r="AJ34" s="45">
        <v>2.1391893821595398E-3</v>
      </c>
    </row>
    <row r="35" spans="1:36" x14ac:dyDescent="0.25">
      <c r="A35">
        <v>1182</v>
      </c>
      <c r="B35">
        <v>1182</v>
      </c>
      <c r="C35" t="s">
        <v>367</v>
      </c>
      <c r="D35" t="s">
        <v>368</v>
      </c>
      <c r="E35" t="s">
        <v>210</v>
      </c>
      <c r="F35" t="s">
        <v>369</v>
      </c>
      <c r="G35" t="s">
        <v>370</v>
      </c>
      <c r="H35" t="s">
        <v>213</v>
      </c>
      <c r="I35" t="s">
        <v>214</v>
      </c>
      <c r="J35" t="s">
        <v>71</v>
      </c>
      <c r="K35" t="s">
        <v>71</v>
      </c>
      <c r="L35" t="s">
        <v>216</v>
      </c>
      <c r="M35" t="s">
        <v>117</v>
      </c>
      <c r="N35" t="s">
        <v>272</v>
      </c>
      <c r="O35" t="s">
        <v>72</v>
      </c>
      <c r="P35" t="s">
        <v>371</v>
      </c>
      <c r="Q35" t="s">
        <v>74</v>
      </c>
      <c r="R35" t="s">
        <v>220</v>
      </c>
      <c r="S35" t="s">
        <v>81</v>
      </c>
      <c r="T35" s="44">
        <v>0.751</v>
      </c>
      <c r="U35" t="s">
        <v>372</v>
      </c>
      <c r="V35" s="46">
        <v>4.9500000000000002E-2</v>
      </c>
      <c r="W35" s="45">
        <v>3.3649999999999999E-2</v>
      </c>
      <c r="X35" t="s">
        <v>222</v>
      </c>
      <c r="Y35" t="s">
        <v>373</v>
      </c>
      <c r="Z35" s="44">
        <v>0.03</v>
      </c>
      <c r="AA35" s="42">
        <v>1</v>
      </c>
      <c r="AB35" s="48">
        <v>142.91999999999999</v>
      </c>
      <c r="AD35" s="44">
        <v>0</v>
      </c>
      <c r="AG35" t="s">
        <v>16</v>
      </c>
      <c r="AH35" s="45">
        <v>0</v>
      </c>
      <c r="AI35" s="45">
        <v>1.0532620602305499E-9</v>
      </c>
      <c r="AJ35" s="45">
        <v>9.9026345922967503E-11</v>
      </c>
    </row>
    <row r="36" spans="1:36" x14ac:dyDescent="0.25">
      <c r="A36">
        <v>1182</v>
      </c>
      <c r="B36">
        <v>1182</v>
      </c>
      <c r="C36" t="s">
        <v>361</v>
      </c>
      <c r="D36" t="s">
        <v>362</v>
      </c>
      <c r="E36" t="s">
        <v>210</v>
      </c>
      <c r="F36" t="s">
        <v>374</v>
      </c>
      <c r="G36" t="s">
        <v>375</v>
      </c>
      <c r="H36" t="s">
        <v>213</v>
      </c>
      <c r="I36" t="s">
        <v>214</v>
      </c>
      <c r="J36" t="s">
        <v>71</v>
      </c>
      <c r="K36" t="s">
        <v>71</v>
      </c>
      <c r="L36" t="s">
        <v>216</v>
      </c>
      <c r="M36" t="s">
        <v>117</v>
      </c>
      <c r="N36" t="s">
        <v>365</v>
      </c>
      <c r="O36" t="s">
        <v>72</v>
      </c>
      <c r="P36" t="s">
        <v>228</v>
      </c>
      <c r="Q36" t="s">
        <v>74</v>
      </c>
      <c r="R36" t="s">
        <v>220</v>
      </c>
      <c r="S36" t="s">
        <v>81</v>
      </c>
      <c r="T36" s="44">
        <v>3.488</v>
      </c>
      <c r="U36" t="s">
        <v>376</v>
      </c>
      <c r="V36" s="46">
        <v>3.1699999999999999E-2</v>
      </c>
      <c r="W36" s="45">
        <v>3.0249999999999999E-2</v>
      </c>
      <c r="X36" t="s">
        <v>222</v>
      </c>
      <c r="Y36" t="s">
        <v>72</v>
      </c>
      <c r="Z36" s="44">
        <v>400000</v>
      </c>
      <c r="AA36" s="42">
        <v>1</v>
      </c>
      <c r="AB36" s="48">
        <v>108.94</v>
      </c>
      <c r="AD36" s="44">
        <v>435.76</v>
      </c>
      <c r="AG36" t="s">
        <v>16</v>
      </c>
      <c r="AH36" s="45">
        <v>4.7399999999999997E-4</v>
      </c>
      <c r="AI36" s="45">
        <v>1.0704577744334001E-2</v>
      </c>
      <c r="AJ36" s="45">
        <v>1.0064306488336699E-3</v>
      </c>
    </row>
    <row r="37" spans="1:36" x14ac:dyDescent="0.25">
      <c r="A37">
        <v>1182</v>
      </c>
      <c r="B37">
        <v>1182</v>
      </c>
      <c r="C37" t="s">
        <v>377</v>
      </c>
      <c r="D37" t="s">
        <v>378</v>
      </c>
      <c r="E37" t="s">
        <v>210</v>
      </c>
      <c r="F37" t="s">
        <v>379</v>
      </c>
      <c r="G37" t="s">
        <v>380</v>
      </c>
      <c r="H37" t="s">
        <v>213</v>
      </c>
      <c r="I37" t="s">
        <v>214</v>
      </c>
      <c r="J37" t="s">
        <v>71</v>
      </c>
      <c r="K37" t="s">
        <v>71</v>
      </c>
      <c r="L37" t="s">
        <v>216</v>
      </c>
      <c r="M37" t="s">
        <v>117</v>
      </c>
      <c r="N37" t="s">
        <v>234</v>
      </c>
      <c r="O37" t="s">
        <v>72</v>
      </c>
      <c r="P37" t="s">
        <v>235</v>
      </c>
      <c r="Q37" t="s">
        <v>219</v>
      </c>
      <c r="R37" t="s">
        <v>220</v>
      </c>
      <c r="S37" t="s">
        <v>81</v>
      </c>
      <c r="T37" s="44">
        <v>3.448</v>
      </c>
      <c r="U37" t="s">
        <v>381</v>
      </c>
      <c r="V37" s="46">
        <v>1.7999999999999999E-2</v>
      </c>
      <c r="W37" s="45">
        <v>3.4950000000000002E-2</v>
      </c>
      <c r="X37" t="s">
        <v>222</v>
      </c>
      <c r="Y37" t="s">
        <v>72</v>
      </c>
      <c r="Z37" s="44">
        <v>161827.97</v>
      </c>
      <c r="AA37" s="42">
        <v>1</v>
      </c>
      <c r="AB37" s="48">
        <v>109.14</v>
      </c>
      <c r="AD37" s="44">
        <v>176.619</v>
      </c>
      <c r="AG37" t="s">
        <v>16</v>
      </c>
      <c r="AH37" s="45">
        <v>1.84E-4</v>
      </c>
      <c r="AI37" s="45">
        <v>4.3387009223880097E-3</v>
      </c>
      <c r="AJ37" s="45">
        <v>4.0791908739468602E-4</v>
      </c>
    </row>
    <row r="38" spans="1:36" x14ac:dyDescent="0.25">
      <c r="A38">
        <v>1182</v>
      </c>
      <c r="B38">
        <v>1182</v>
      </c>
      <c r="C38" t="s">
        <v>377</v>
      </c>
      <c r="D38" t="s">
        <v>378</v>
      </c>
      <c r="E38" t="s">
        <v>210</v>
      </c>
      <c r="F38" t="s">
        <v>382</v>
      </c>
      <c r="G38" t="s">
        <v>383</v>
      </c>
      <c r="H38" t="s">
        <v>213</v>
      </c>
      <c r="I38" t="s">
        <v>214</v>
      </c>
      <c r="J38" t="s">
        <v>71</v>
      </c>
      <c r="K38" t="s">
        <v>71</v>
      </c>
      <c r="L38" t="s">
        <v>216</v>
      </c>
      <c r="M38" t="s">
        <v>117</v>
      </c>
      <c r="N38" t="s">
        <v>234</v>
      </c>
      <c r="O38" t="s">
        <v>72</v>
      </c>
      <c r="P38" t="s">
        <v>235</v>
      </c>
      <c r="Q38" t="s">
        <v>74</v>
      </c>
      <c r="R38" t="s">
        <v>220</v>
      </c>
      <c r="S38" t="s">
        <v>81</v>
      </c>
      <c r="T38" s="44">
        <v>5.7770000000000001</v>
      </c>
      <c r="U38" t="s">
        <v>384</v>
      </c>
      <c r="V38" s="46">
        <v>3.3000000000000002E-2</v>
      </c>
      <c r="W38" s="45">
        <v>3.7769999999999998E-2</v>
      </c>
      <c r="X38" t="s">
        <v>222</v>
      </c>
      <c r="Y38" t="s">
        <v>72</v>
      </c>
      <c r="Z38" s="44">
        <v>639484.62</v>
      </c>
      <c r="AA38" s="42">
        <v>1</v>
      </c>
      <c r="AB38" s="48">
        <v>104.23</v>
      </c>
      <c r="AD38" s="44">
        <v>666.53499999999997</v>
      </c>
      <c r="AG38" t="s">
        <v>16</v>
      </c>
      <c r="AH38" s="45">
        <v>5.3899999999999998E-4</v>
      </c>
      <c r="AI38" s="45">
        <v>1.6373631801567898E-2</v>
      </c>
      <c r="AJ38" s="45">
        <v>1.53942782904613E-3</v>
      </c>
    </row>
    <row r="39" spans="1:36" x14ac:dyDescent="0.25">
      <c r="A39">
        <v>1182</v>
      </c>
      <c r="B39">
        <v>1182</v>
      </c>
      <c r="C39" t="s">
        <v>385</v>
      </c>
      <c r="D39" t="s">
        <v>386</v>
      </c>
      <c r="E39" t="s">
        <v>210</v>
      </c>
      <c r="F39" t="s">
        <v>387</v>
      </c>
      <c r="G39" t="s">
        <v>388</v>
      </c>
      <c r="H39" t="s">
        <v>213</v>
      </c>
      <c r="I39" t="s">
        <v>214</v>
      </c>
      <c r="J39" t="s">
        <v>71</v>
      </c>
      <c r="K39" t="s">
        <v>71</v>
      </c>
      <c r="L39" t="s">
        <v>216</v>
      </c>
      <c r="M39" t="s">
        <v>117</v>
      </c>
      <c r="N39" t="s">
        <v>258</v>
      </c>
      <c r="O39" t="s">
        <v>72</v>
      </c>
      <c r="P39" t="s">
        <v>235</v>
      </c>
      <c r="Q39" t="s">
        <v>74</v>
      </c>
      <c r="R39" t="s">
        <v>220</v>
      </c>
      <c r="S39" t="s">
        <v>81</v>
      </c>
      <c r="T39" s="44">
        <v>2.1389999999999998</v>
      </c>
      <c r="U39" t="s">
        <v>247</v>
      </c>
      <c r="V39" s="46">
        <v>3.6499999999999998E-2</v>
      </c>
      <c r="W39" s="45">
        <v>3.637E-2</v>
      </c>
      <c r="X39" t="s">
        <v>222</v>
      </c>
      <c r="Y39" t="s">
        <v>72</v>
      </c>
      <c r="Z39" s="44">
        <v>320000</v>
      </c>
      <c r="AA39" s="42">
        <v>1</v>
      </c>
      <c r="AB39" s="48">
        <v>108.36</v>
      </c>
      <c r="AD39" s="44">
        <v>346.75200000000001</v>
      </c>
      <c r="AG39" t="s">
        <v>16</v>
      </c>
      <c r="AH39" s="45">
        <v>1.227E-3</v>
      </c>
      <c r="AI39" s="45">
        <v>8.5180689875236394E-3</v>
      </c>
      <c r="AJ39" s="45">
        <v>8.0085790422336099E-4</v>
      </c>
    </row>
    <row r="40" spans="1:36" x14ac:dyDescent="0.25">
      <c r="A40">
        <v>1182</v>
      </c>
      <c r="B40">
        <v>1182</v>
      </c>
      <c r="C40" t="s">
        <v>385</v>
      </c>
      <c r="D40" t="s">
        <v>386</v>
      </c>
      <c r="E40" t="s">
        <v>210</v>
      </c>
      <c r="F40" t="s">
        <v>389</v>
      </c>
      <c r="G40" t="s">
        <v>390</v>
      </c>
      <c r="H40" t="s">
        <v>213</v>
      </c>
      <c r="I40" t="s">
        <v>214</v>
      </c>
      <c r="J40" t="s">
        <v>71</v>
      </c>
      <c r="K40" t="s">
        <v>71</v>
      </c>
      <c r="L40" t="s">
        <v>216</v>
      </c>
      <c r="M40" t="s">
        <v>117</v>
      </c>
      <c r="N40" t="s">
        <v>258</v>
      </c>
      <c r="O40" t="s">
        <v>72</v>
      </c>
      <c r="P40" t="s">
        <v>218</v>
      </c>
      <c r="Q40" t="s">
        <v>74</v>
      </c>
      <c r="R40" t="s">
        <v>220</v>
      </c>
      <c r="S40" t="s">
        <v>81</v>
      </c>
      <c r="T40" s="44">
        <v>2.492</v>
      </c>
      <c r="U40" t="s">
        <v>391</v>
      </c>
      <c r="V40" s="46">
        <v>1.7999999999999999E-2</v>
      </c>
      <c r="W40" s="45">
        <v>2.9749999999999999E-2</v>
      </c>
      <c r="X40" t="s">
        <v>222</v>
      </c>
      <c r="Y40" t="s">
        <v>72</v>
      </c>
      <c r="Z40" s="44">
        <v>211621.76000000001</v>
      </c>
      <c r="AA40" s="42">
        <v>1</v>
      </c>
      <c r="AB40" s="48">
        <v>113.34</v>
      </c>
      <c r="AD40" s="44">
        <v>239.852</v>
      </c>
      <c r="AG40" t="s">
        <v>16</v>
      </c>
      <c r="AH40" s="45">
        <v>2.8600000000000001E-4</v>
      </c>
      <c r="AI40" s="45">
        <v>5.8920403006088602E-3</v>
      </c>
      <c r="AJ40" s="45">
        <v>5.5396206037502396E-4</v>
      </c>
    </row>
    <row r="41" spans="1:36" x14ac:dyDescent="0.25">
      <c r="A41">
        <v>1182</v>
      </c>
      <c r="B41">
        <v>1182</v>
      </c>
      <c r="C41" t="s">
        <v>392</v>
      </c>
      <c r="D41" t="s">
        <v>393</v>
      </c>
      <c r="E41" t="s">
        <v>210</v>
      </c>
      <c r="F41" t="s">
        <v>394</v>
      </c>
      <c r="G41" t="s">
        <v>395</v>
      </c>
      <c r="H41" t="s">
        <v>213</v>
      </c>
      <c r="I41" t="s">
        <v>239</v>
      </c>
      <c r="J41" t="s">
        <v>71</v>
      </c>
      <c r="K41" t="s">
        <v>71</v>
      </c>
      <c r="L41" t="s">
        <v>216</v>
      </c>
      <c r="M41" t="s">
        <v>117</v>
      </c>
      <c r="N41" t="s">
        <v>252</v>
      </c>
      <c r="O41" t="s">
        <v>72</v>
      </c>
      <c r="P41" t="s">
        <v>228</v>
      </c>
      <c r="Q41" t="s">
        <v>74</v>
      </c>
      <c r="R41" t="s">
        <v>220</v>
      </c>
      <c r="S41" t="s">
        <v>81</v>
      </c>
      <c r="T41" s="44">
        <v>6.0570000000000004</v>
      </c>
      <c r="U41" t="s">
        <v>396</v>
      </c>
      <c r="V41" s="46">
        <v>3.0499999999999999E-2</v>
      </c>
      <c r="W41" s="45">
        <v>5.1069999999999997E-2</v>
      </c>
      <c r="X41" t="s">
        <v>222</v>
      </c>
      <c r="Y41" t="s">
        <v>72</v>
      </c>
      <c r="Z41" s="44">
        <v>199313</v>
      </c>
      <c r="AA41" s="42">
        <v>1</v>
      </c>
      <c r="AB41" s="48">
        <v>89.46</v>
      </c>
      <c r="AD41" s="44">
        <v>178.30500000000001</v>
      </c>
      <c r="AG41" t="s">
        <v>16</v>
      </c>
      <c r="AH41" s="45">
        <v>2.92E-4</v>
      </c>
      <c r="AI41" s="45">
        <v>4.3801269539182897E-3</v>
      </c>
      <c r="AJ41" s="45">
        <v>4.1181390966487698E-4</v>
      </c>
    </row>
    <row r="42" spans="1:36" x14ac:dyDescent="0.25">
      <c r="A42">
        <v>1182</v>
      </c>
      <c r="B42">
        <v>1182</v>
      </c>
      <c r="C42" t="s">
        <v>397</v>
      </c>
      <c r="D42" t="s">
        <v>398</v>
      </c>
      <c r="E42" t="s">
        <v>210</v>
      </c>
      <c r="F42" t="s">
        <v>399</v>
      </c>
      <c r="G42" t="s">
        <v>400</v>
      </c>
      <c r="H42" t="s">
        <v>213</v>
      </c>
      <c r="I42" t="s">
        <v>214</v>
      </c>
      <c r="J42" t="s">
        <v>71</v>
      </c>
      <c r="L42" t="s">
        <v>216</v>
      </c>
      <c r="M42" t="s">
        <v>286</v>
      </c>
      <c r="N42" t="s">
        <v>258</v>
      </c>
      <c r="O42" t="s">
        <v>72</v>
      </c>
      <c r="P42" t="s">
        <v>218</v>
      </c>
      <c r="Q42" t="s">
        <v>219</v>
      </c>
      <c r="R42" t="s">
        <v>220</v>
      </c>
      <c r="S42" t="s">
        <v>81</v>
      </c>
      <c r="T42" s="44">
        <v>5.2880000000000003</v>
      </c>
      <c r="U42" t="s">
        <v>401</v>
      </c>
      <c r="V42" s="46">
        <v>3.1800000000000002E-2</v>
      </c>
      <c r="W42" s="45">
        <v>3.2190000000000003E-2</v>
      </c>
      <c r="X42" t="s">
        <v>222</v>
      </c>
      <c r="Y42" t="s">
        <v>72</v>
      </c>
      <c r="Z42" s="44">
        <v>630000</v>
      </c>
      <c r="AA42" s="42">
        <v>1</v>
      </c>
      <c r="AB42" s="48">
        <v>101.12</v>
      </c>
      <c r="AD42" s="44">
        <v>637.05600000000004</v>
      </c>
      <c r="AG42" t="s">
        <v>16</v>
      </c>
      <c r="AH42" s="45">
        <v>2.823E-3</v>
      </c>
      <c r="AI42" s="45">
        <v>1.5649475581729501E-2</v>
      </c>
      <c r="AJ42" s="45">
        <v>1.47134359148013E-3</v>
      </c>
    </row>
    <row r="43" spans="1:36" x14ac:dyDescent="0.25">
      <c r="A43">
        <v>1182</v>
      </c>
      <c r="B43">
        <v>1182</v>
      </c>
      <c r="C43" t="s">
        <v>402</v>
      </c>
      <c r="D43" t="s">
        <v>403</v>
      </c>
      <c r="E43" t="s">
        <v>210</v>
      </c>
      <c r="F43" t="s">
        <v>404</v>
      </c>
      <c r="G43" t="s">
        <v>405</v>
      </c>
      <c r="H43" t="s">
        <v>213</v>
      </c>
      <c r="I43" t="s">
        <v>214</v>
      </c>
      <c r="J43" t="s">
        <v>71</v>
      </c>
      <c r="K43" t="s">
        <v>71</v>
      </c>
      <c r="L43" t="s">
        <v>216</v>
      </c>
      <c r="M43" t="s">
        <v>117</v>
      </c>
      <c r="N43" t="s">
        <v>234</v>
      </c>
      <c r="O43" t="s">
        <v>72</v>
      </c>
      <c r="P43" t="s">
        <v>73</v>
      </c>
      <c r="Q43" t="s">
        <v>74</v>
      </c>
      <c r="R43" t="s">
        <v>220</v>
      </c>
      <c r="S43" t="s">
        <v>81</v>
      </c>
      <c r="T43" s="44">
        <v>0.90400000000000003</v>
      </c>
      <c r="U43" t="s">
        <v>406</v>
      </c>
      <c r="V43" s="46">
        <v>4.4999999999999998E-2</v>
      </c>
      <c r="W43" s="45">
        <v>2.3970000000000002E-2</v>
      </c>
      <c r="X43" t="s">
        <v>222</v>
      </c>
      <c r="Y43" t="s">
        <v>72</v>
      </c>
      <c r="Z43" s="44">
        <v>83591</v>
      </c>
      <c r="AA43" s="42">
        <v>1</v>
      </c>
      <c r="AB43" s="48">
        <v>119.86</v>
      </c>
      <c r="AD43" s="44">
        <v>100.19199999999999</v>
      </c>
      <c r="AG43" t="s">
        <v>16</v>
      </c>
      <c r="AH43" s="45">
        <v>5.7000000000000003E-5</v>
      </c>
      <c r="AI43" s="45">
        <v>2.4612513791316998E-3</v>
      </c>
      <c r="AJ43" s="45">
        <v>2.3140369303716E-4</v>
      </c>
    </row>
    <row r="44" spans="1:36" x14ac:dyDescent="0.25">
      <c r="A44">
        <v>1182</v>
      </c>
      <c r="B44">
        <v>1182</v>
      </c>
      <c r="C44" t="s">
        <v>402</v>
      </c>
      <c r="D44" t="s">
        <v>403</v>
      </c>
      <c r="E44" t="s">
        <v>210</v>
      </c>
      <c r="F44" t="s">
        <v>407</v>
      </c>
      <c r="G44" t="s">
        <v>408</v>
      </c>
      <c r="H44" t="s">
        <v>213</v>
      </c>
      <c r="I44" t="s">
        <v>214</v>
      </c>
      <c r="J44" t="s">
        <v>71</v>
      </c>
      <c r="K44" t="s">
        <v>71</v>
      </c>
      <c r="L44" t="s">
        <v>216</v>
      </c>
      <c r="M44" t="s">
        <v>117</v>
      </c>
      <c r="N44" t="s">
        <v>234</v>
      </c>
      <c r="O44" t="s">
        <v>72</v>
      </c>
      <c r="P44" t="s">
        <v>73</v>
      </c>
      <c r="Q44" t="s">
        <v>74</v>
      </c>
      <c r="R44" t="s">
        <v>220</v>
      </c>
      <c r="S44" t="s">
        <v>81</v>
      </c>
      <c r="T44" s="44">
        <v>7.2709999999999999</v>
      </c>
      <c r="U44" t="s">
        <v>409</v>
      </c>
      <c r="V44" s="46">
        <v>0.03</v>
      </c>
      <c r="W44" s="45">
        <v>2.9510000000000002E-2</v>
      </c>
      <c r="X44" t="s">
        <v>222</v>
      </c>
      <c r="Y44" t="s">
        <v>72</v>
      </c>
      <c r="Z44" s="44">
        <v>1000000</v>
      </c>
      <c r="AA44" s="42">
        <v>1</v>
      </c>
      <c r="AB44" s="48">
        <v>106.29</v>
      </c>
      <c r="AD44" s="44">
        <v>1062.9000000000001</v>
      </c>
      <c r="AG44" t="s">
        <v>16</v>
      </c>
      <c r="AH44" s="45">
        <v>2.4499999999999999E-4</v>
      </c>
      <c r="AI44" s="45">
        <v>2.6110463751727101E-2</v>
      </c>
      <c r="AJ44" s="45">
        <v>2.4548722614404798E-3</v>
      </c>
    </row>
    <row r="45" spans="1:36" x14ac:dyDescent="0.25">
      <c r="A45">
        <v>1182</v>
      </c>
      <c r="B45">
        <v>1182</v>
      </c>
      <c r="C45" t="s">
        <v>402</v>
      </c>
      <c r="D45" t="s">
        <v>403</v>
      </c>
      <c r="E45" t="s">
        <v>210</v>
      </c>
      <c r="F45" t="s">
        <v>410</v>
      </c>
      <c r="G45" t="s">
        <v>411</v>
      </c>
      <c r="H45" t="s">
        <v>213</v>
      </c>
      <c r="I45" t="s">
        <v>214</v>
      </c>
      <c r="J45" t="s">
        <v>71</v>
      </c>
      <c r="K45" t="s">
        <v>71</v>
      </c>
      <c r="L45" t="s">
        <v>216</v>
      </c>
      <c r="M45" t="s">
        <v>117</v>
      </c>
      <c r="N45" t="s">
        <v>234</v>
      </c>
      <c r="O45" t="s">
        <v>72</v>
      </c>
      <c r="P45" t="s">
        <v>73</v>
      </c>
      <c r="Q45" t="s">
        <v>74</v>
      </c>
      <c r="R45" t="s">
        <v>220</v>
      </c>
      <c r="S45" t="s">
        <v>81</v>
      </c>
      <c r="T45" s="44">
        <v>10.119999999999999</v>
      </c>
      <c r="U45" t="s">
        <v>412</v>
      </c>
      <c r="V45" s="46">
        <v>3.2000000000000001E-2</v>
      </c>
      <c r="W45" s="45">
        <v>3.1019999999999999E-2</v>
      </c>
      <c r="X45" t="s">
        <v>222</v>
      </c>
      <c r="Y45" t="s">
        <v>72</v>
      </c>
      <c r="Z45" s="44">
        <v>1000000</v>
      </c>
      <c r="AA45" s="42">
        <v>1</v>
      </c>
      <c r="AB45" s="48">
        <v>107.1</v>
      </c>
      <c r="AD45" s="44">
        <v>1071</v>
      </c>
      <c r="AG45" t="s">
        <v>16</v>
      </c>
      <c r="AH45" s="45">
        <v>2.03E-4</v>
      </c>
      <c r="AI45" s="45">
        <v>2.6309442730360101E-2</v>
      </c>
      <c r="AJ45" s="45">
        <v>2.4735800094108202E-3</v>
      </c>
    </row>
    <row r="46" spans="1:36" x14ac:dyDescent="0.25">
      <c r="A46">
        <v>1182</v>
      </c>
      <c r="B46">
        <v>1182</v>
      </c>
      <c r="C46" t="s">
        <v>413</v>
      </c>
      <c r="D46" t="s">
        <v>414</v>
      </c>
      <c r="E46" t="s">
        <v>210</v>
      </c>
      <c r="F46" t="s">
        <v>415</v>
      </c>
      <c r="G46" t="s">
        <v>416</v>
      </c>
      <c r="H46" t="s">
        <v>213</v>
      </c>
      <c r="I46" t="s">
        <v>214</v>
      </c>
      <c r="J46" t="s">
        <v>71</v>
      </c>
      <c r="K46" t="s">
        <v>71</v>
      </c>
      <c r="L46" t="s">
        <v>216</v>
      </c>
      <c r="M46" t="s">
        <v>117</v>
      </c>
      <c r="N46" t="s">
        <v>365</v>
      </c>
      <c r="O46" t="s">
        <v>72</v>
      </c>
      <c r="P46" t="s">
        <v>228</v>
      </c>
      <c r="Q46" t="s">
        <v>74</v>
      </c>
      <c r="R46" t="s">
        <v>220</v>
      </c>
      <c r="S46" t="s">
        <v>81</v>
      </c>
      <c r="T46" s="44">
        <v>4.1260000000000003</v>
      </c>
      <c r="U46" t="s">
        <v>417</v>
      </c>
      <c r="V46" s="46">
        <v>2.5899999999999999E-2</v>
      </c>
      <c r="W46" s="45">
        <v>2.7740000000000001E-2</v>
      </c>
      <c r="X46" t="s">
        <v>222</v>
      </c>
      <c r="Y46" t="s">
        <v>72</v>
      </c>
      <c r="Z46" s="44">
        <v>467000</v>
      </c>
      <c r="AA46" s="42">
        <v>1</v>
      </c>
      <c r="AB46" s="48">
        <v>103.09</v>
      </c>
      <c r="AD46" s="44">
        <v>481.43</v>
      </c>
      <c r="AG46" t="s">
        <v>16</v>
      </c>
      <c r="AH46" s="45">
        <v>6.8400000000000004E-4</v>
      </c>
      <c r="AI46" s="45">
        <v>1.18264826391317E-2</v>
      </c>
      <c r="AJ46" s="45">
        <v>1.1119107058867E-3</v>
      </c>
    </row>
    <row r="47" spans="1:36" x14ac:dyDescent="0.25">
      <c r="A47">
        <v>1182</v>
      </c>
      <c r="B47">
        <v>1182</v>
      </c>
      <c r="C47" t="s">
        <v>418</v>
      </c>
      <c r="D47" t="s">
        <v>419</v>
      </c>
      <c r="E47" t="s">
        <v>420</v>
      </c>
      <c r="F47" t="s">
        <v>421</v>
      </c>
      <c r="G47" t="s">
        <v>422</v>
      </c>
      <c r="H47" t="s">
        <v>213</v>
      </c>
      <c r="I47" t="s">
        <v>239</v>
      </c>
      <c r="J47" t="s">
        <v>71</v>
      </c>
      <c r="K47" t="s">
        <v>71</v>
      </c>
      <c r="L47" t="s">
        <v>216</v>
      </c>
      <c r="M47" t="s">
        <v>117</v>
      </c>
      <c r="N47" t="s">
        <v>423</v>
      </c>
      <c r="O47" t="s">
        <v>72</v>
      </c>
      <c r="P47" t="s">
        <v>259</v>
      </c>
      <c r="Q47" t="s">
        <v>74</v>
      </c>
      <c r="R47" t="s">
        <v>220</v>
      </c>
      <c r="S47" t="s">
        <v>81</v>
      </c>
      <c r="T47" s="44">
        <v>2.9729999999999999</v>
      </c>
      <c r="U47" t="s">
        <v>424</v>
      </c>
      <c r="V47" s="46">
        <v>2.24E-2</v>
      </c>
      <c r="W47" s="45">
        <v>4.9860000000000002E-2</v>
      </c>
      <c r="X47" t="s">
        <v>222</v>
      </c>
      <c r="Y47" t="s">
        <v>72</v>
      </c>
      <c r="Z47" s="44">
        <v>146618.19</v>
      </c>
      <c r="AA47" s="42">
        <v>1</v>
      </c>
      <c r="AB47" s="48">
        <v>93.35</v>
      </c>
      <c r="AD47" s="44">
        <v>136.86799999999999</v>
      </c>
      <c r="AG47" t="s">
        <v>16</v>
      </c>
      <c r="AH47" s="45">
        <v>2.6200000000000003E-4</v>
      </c>
      <c r="AI47" s="45">
        <v>3.3622062763560101E-3</v>
      </c>
      <c r="AJ47" s="45">
        <v>3.16110315142201E-4</v>
      </c>
    </row>
    <row r="48" spans="1:36" x14ac:dyDescent="0.25">
      <c r="A48">
        <v>1182</v>
      </c>
      <c r="B48">
        <v>1182</v>
      </c>
      <c r="C48" t="s">
        <v>425</v>
      </c>
      <c r="D48" t="s">
        <v>426</v>
      </c>
      <c r="E48" t="s">
        <v>210</v>
      </c>
      <c r="F48" t="s">
        <v>427</v>
      </c>
      <c r="G48" t="s">
        <v>428</v>
      </c>
      <c r="H48" t="s">
        <v>213</v>
      </c>
      <c r="I48" t="s">
        <v>239</v>
      </c>
      <c r="J48" t="s">
        <v>71</v>
      </c>
      <c r="K48" t="s">
        <v>71</v>
      </c>
      <c r="L48" t="s">
        <v>216</v>
      </c>
      <c r="M48" t="s">
        <v>117</v>
      </c>
      <c r="N48" t="s">
        <v>429</v>
      </c>
      <c r="O48" t="s">
        <v>72</v>
      </c>
      <c r="P48" t="s">
        <v>228</v>
      </c>
      <c r="Q48" t="s">
        <v>74</v>
      </c>
      <c r="R48" t="s">
        <v>220</v>
      </c>
      <c r="S48" t="s">
        <v>81</v>
      </c>
      <c r="T48" s="44">
        <v>7.415</v>
      </c>
      <c r="U48" t="s">
        <v>430</v>
      </c>
      <c r="V48" s="46">
        <v>5.3100000000000001E-2</v>
      </c>
      <c r="W48" s="45">
        <v>5.425E-2</v>
      </c>
      <c r="X48" t="s">
        <v>222</v>
      </c>
      <c r="Y48" t="s">
        <v>72</v>
      </c>
      <c r="Z48" s="44">
        <v>581743</v>
      </c>
      <c r="AA48" s="42">
        <v>1</v>
      </c>
      <c r="AB48" s="48">
        <v>100.54</v>
      </c>
      <c r="AD48" s="44">
        <v>584.88400000000001</v>
      </c>
      <c r="AG48" t="s">
        <v>16</v>
      </c>
      <c r="AH48" s="45">
        <v>4.57E-4</v>
      </c>
      <c r="AI48" s="45">
        <v>1.43678645627042E-2</v>
      </c>
      <c r="AJ48" s="45">
        <v>1.3508481697795699E-3</v>
      </c>
    </row>
    <row r="49" spans="1:36" x14ac:dyDescent="0.25">
      <c r="A49">
        <v>1182</v>
      </c>
      <c r="B49">
        <v>1182</v>
      </c>
      <c r="C49" t="s">
        <v>82</v>
      </c>
      <c r="D49" t="s">
        <v>431</v>
      </c>
      <c r="E49" t="s">
        <v>210</v>
      </c>
      <c r="F49" t="s">
        <v>432</v>
      </c>
      <c r="G49" t="s">
        <v>433</v>
      </c>
      <c r="H49" t="s">
        <v>213</v>
      </c>
      <c r="I49" t="s">
        <v>214</v>
      </c>
      <c r="J49" t="s">
        <v>71</v>
      </c>
      <c r="K49" t="s">
        <v>71</v>
      </c>
      <c r="L49" t="s">
        <v>216</v>
      </c>
      <c r="M49" t="s">
        <v>117</v>
      </c>
      <c r="N49" t="s">
        <v>365</v>
      </c>
      <c r="O49" t="s">
        <v>72</v>
      </c>
      <c r="P49" t="s">
        <v>73</v>
      </c>
      <c r="Q49" t="s">
        <v>74</v>
      </c>
      <c r="R49" t="s">
        <v>220</v>
      </c>
      <c r="S49" t="s">
        <v>81</v>
      </c>
      <c r="T49" s="44">
        <v>1.238</v>
      </c>
      <c r="U49" t="s">
        <v>434</v>
      </c>
      <c r="V49" s="46">
        <v>8.3000000000000001E-3</v>
      </c>
      <c r="W49" s="45">
        <v>2.29E-2</v>
      </c>
      <c r="X49" t="s">
        <v>222</v>
      </c>
      <c r="Y49" t="s">
        <v>72</v>
      </c>
      <c r="Z49" s="44">
        <v>118106</v>
      </c>
      <c r="AA49" s="42">
        <v>1</v>
      </c>
      <c r="AB49" s="48">
        <v>114.23</v>
      </c>
      <c r="AD49" s="44">
        <v>134.91200000000001</v>
      </c>
      <c r="AG49" t="s">
        <v>16</v>
      </c>
      <c r="AH49" s="45">
        <v>7.7999999999999999E-5</v>
      </c>
      <c r="AI49" s="45">
        <v>3.3141664483162798E-3</v>
      </c>
      <c r="AJ49" s="45">
        <v>3.11593672220019E-4</v>
      </c>
    </row>
    <row r="50" spans="1:36" x14ac:dyDescent="0.25">
      <c r="A50">
        <v>1182</v>
      </c>
      <c r="B50">
        <v>1182</v>
      </c>
      <c r="C50" t="s">
        <v>82</v>
      </c>
      <c r="D50" t="s">
        <v>431</v>
      </c>
      <c r="E50" t="s">
        <v>210</v>
      </c>
      <c r="F50" t="s">
        <v>435</v>
      </c>
      <c r="G50" t="s">
        <v>436</v>
      </c>
      <c r="H50" t="s">
        <v>213</v>
      </c>
      <c r="I50" t="s">
        <v>214</v>
      </c>
      <c r="J50" t="s">
        <v>71</v>
      </c>
      <c r="K50" t="s">
        <v>71</v>
      </c>
      <c r="L50" t="s">
        <v>216</v>
      </c>
      <c r="M50" t="s">
        <v>117</v>
      </c>
      <c r="N50" t="s">
        <v>365</v>
      </c>
      <c r="O50" t="s">
        <v>72</v>
      </c>
      <c r="P50" t="s">
        <v>73</v>
      </c>
      <c r="Q50" t="s">
        <v>74</v>
      </c>
      <c r="R50" t="s">
        <v>220</v>
      </c>
      <c r="S50" t="s">
        <v>81</v>
      </c>
      <c r="T50" s="44">
        <v>4.5970000000000004</v>
      </c>
      <c r="U50" t="s">
        <v>437</v>
      </c>
      <c r="V50" s="46">
        <v>2.0199999999999999E-2</v>
      </c>
      <c r="W50" s="45">
        <v>2.5819999999999999E-2</v>
      </c>
      <c r="X50" t="s">
        <v>222</v>
      </c>
      <c r="Y50" t="s">
        <v>72</v>
      </c>
      <c r="Z50" s="44">
        <v>600000</v>
      </c>
      <c r="AA50" s="42">
        <v>1</v>
      </c>
      <c r="AB50" s="48">
        <v>101.85</v>
      </c>
      <c r="AD50" s="44">
        <v>611.1</v>
      </c>
      <c r="AG50" t="s">
        <v>16</v>
      </c>
      <c r="AH50" s="45">
        <v>1.6799999999999999E-4</v>
      </c>
      <c r="AI50" s="45">
        <v>1.50118584990878E-2</v>
      </c>
      <c r="AJ50" s="45">
        <v>1.41139565242852E-3</v>
      </c>
    </row>
    <row r="51" spans="1:36" x14ac:dyDescent="0.25">
      <c r="A51">
        <v>1182</v>
      </c>
      <c r="B51">
        <v>1182</v>
      </c>
      <c r="C51" t="s">
        <v>82</v>
      </c>
      <c r="D51" t="s">
        <v>431</v>
      </c>
      <c r="E51" t="s">
        <v>210</v>
      </c>
      <c r="F51" t="s">
        <v>438</v>
      </c>
      <c r="G51" t="s">
        <v>439</v>
      </c>
      <c r="H51" t="s">
        <v>213</v>
      </c>
      <c r="I51" t="s">
        <v>214</v>
      </c>
      <c r="J51" t="s">
        <v>71</v>
      </c>
      <c r="K51" t="s">
        <v>71</v>
      </c>
      <c r="L51" t="s">
        <v>216</v>
      </c>
      <c r="M51" t="s">
        <v>117</v>
      </c>
      <c r="N51" t="s">
        <v>365</v>
      </c>
      <c r="O51" t="s">
        <v>72</v>
      </c>
      <c r="P51" t="s">
        <v>73</v>
      </c>
      <c r="Q51" t="s">
        <v>74</v>
      </c>
      <c r="R51" t="s">
        <v>220</v>
      </c>
      <c r="S51" t="s">
        <v>81</v>
      </c>
      <c r="T51" s="44">
        <v>4.6440000000000001</v>
      </c>
      <c r="U51" t="s">
        <v>440</v>
      </c>
      <c r="V51" s="46">
        <v>1E-3</v>
      </c>
      <c r="W51" s="45">
        <v>2.571E-2</v>
      </c>
      <c r="X51" t="s">
        <v>222</v>
      </c>
      <c r="Y51" t="s">
        <v>72</v>
      </c>
      <c r="Z51" s="44">
        <v>400000</v>
      </c>
      <c r="AA51" s="42">
        <v>1</v>
      </c>
      <c r="AB51" s="48">
        <v>100.7</v>
      </c>
      <c r="AD51" s="44">
        <v>402.8</v>
      </c>
      <c r="AG51" t="s">
        <v>16</v>
      </c>
      <c r="AH51" s="45">
        <v>1.6100000000000001E-4</v>
      </c>
      <c r="AI51" s="45">
        <v>9.8949052584398102E-3</v>
      </c>
      <c r="AJ51" s="45">
        <v>9.3030628178401202E-4</v>
      </c>
    </row>
    <row r="52" spans="1:36" x14ac:dyDescent="0.25">
      <c r="A52">
        <v>1182</v>
      </c>
      <c r="B52">
        <v>1182</v>
      </c>
      <c r="C52" t="s">
        <v>82</v>
      </c>
      <c r="D52" t="s">
        <v>431</v>
      </c>
      <c r="E52" t="s">
        <v>210</v>
      </c>
      <c r="F52" t="s">
        <v>441</v>
      </c>
      <c r="G52" t="s">
        <v>442</v>
      </c>
      <c r="H52" t="s">
        <v>213</v>
      </c>
      <c r="I52" t="s">
        <v>214</v>
      </c>
      <c r="J52" t="s">
        <v>71</v>
      </c>
      <c r="K52" t="s">
        <v>71</v>
      </c>
      <c r="L52" t="s">
        <v>216</v>
      </c>
      <c r="M52" t="s">
        <v>109</v>
      </c>
      <c r="N52" t="s">
        <v>365</v>
      </c>
      <c r="O52" t="s">
        <v>72</v>
      </c>
      <c r="P52" t="s">
        <v>228</v>
      </c>
      <c r="Q52" t="s">
        <v>74</v>
      </c>
      <c r="R52" t="s">
        <v>220</v>
      </c>
      <c r="S52" t="s">
        <v>81</v>
      </c>
      <c r="T52" s="44">
        <v>5.4809999999999999</v>
      </c>
      <c r="U52" t="s">
        <v>443</v>
      </c>
      <c r="V52" s="46">
        <v>3.1E-2</v>
      </c>
      <c r="W52" s="45">
        <v>3.1029999999999999E-2</v>
      </c>
      <c r="X52" t="s">
        <v>222</v>
      </c>
      <c r="Y52" t="s">
        <v>72</v>
      </c>
      <c r="Z52" s="44">
        <v>600000</v>
      </c>
      <c r="AA52" s="42">
        <v>1</v>
      </c>
      <c r="AB52" s="48">
        <v>100.81</v>
      </c>
      <c r="AD52" s="44">
        <v>604.86</v>
      </c>
      <c r="AG52" t="s">
        <v>16</v>
      </c>
      <c r="AH52" s="45">
        <v>3.9100000000000002E-4</v>
      </c>
      <c r="AI52" s="45">
        <v>1.4858570989622399E-2</v>
      </c>
      <c r="AJ52" s="45">
        <v>1.39698375769582E-3</v>
      </c>
    </row>
    <row r="53" spans="1:36" x14ac:dyDescent="0.25">
      <c r="A53">
        <v>1182</v>
      </c>
      <c r="B53">
        <v>1182</v>
      </c>
      <c r="C53" t="s">
        <v>444</v>
      </c>
      <c r="D53" t="s">
        <v>445</v>
      </c>
      <c r="E53" t="s">
        <v>210</v>
      </c>
      <c r="F53" t="s">
        <v>446</v>
      </c>
      <c r="G53" t="s">
        <v>447</v>
      </c>
      <c r="H53" t="s">
        <v>213</v>
      </c>
      <c r="I53" t="s">
        <v>214</v>
      </c>
      <c r="J53" t="s">
        <v>71</v>
      </c>
      <c r="K53" t="s">
        <v>71</v>
      </c>
      <c r="L53" t="s">
        <v>216</v>
      </c>
      <c r="M53" t="s">
        <v>117</v>
      </c>
      <c r="N53" t="s">
        <v>258</v>
      </c>
      <c r="O53" t="s">
        <v>72</v>
      </c>
      <c r="P53" t="s">
        <v>259</v>
      </c>
      <c r="Q53" t="s">
        <v>74</v>
      </c>
      <c r="R53" t="s">
        <v>220</v>
      </c>
      <c r="S53" t="s">
        <v>81</v>
      </c>
      <c r="T53" s="44">
        <v>5.3559999999999999</v>
      </c>
      <c r="U53" t="s">
        <v>448</v>
      </c>
      <c r="V53" s="46">
        <v>3.5000000000000001E-3</v>
      </c>
      <c r="W53" s="45">
        <v>3.125E-2</v>
      </c>
      <c r="X53" t="s">
        <v>222</v>
      </c>
      <c r="Y53" t="s">
        <v>72</v>
      </c>
      <c r="Z53" s="44">
        <v>750677</v>
      </c>
      <c r="AA53" s="42">
        <v>1</v>
      </c>
      <c r="AB53" s="48">
        <v>97.32</v>
      </c>
      <c r="AD53" s="44">
        <v>730.55899999999997</v>
      </c>
      <c r="AG53" t="s">
        <v>16</v>
      </c>
      <c r="AH53" s="45">
        <v>2.1499999999999999E-4</v>
      </c>
      <c r="AI53" s="45">
        <v>1.79464018614502E-2</v>
      </c>
      <c r="AJ53" s="45">
        <v>1.6872976497563699E-3</v>
      </c>
    </row>
    <row r="54" spans="1:36" x14ac:dyDescent="0.25">
      <c r="A54">
        <v>1182</v>
      </c>
      <c r="B54">
        <v>1182</v>
      </c>
      <c r="C54" t="s">
        <v>449</v>
      </c>
      <c r="D54" t="s">
        <v>450</v>
      </c>
      <c r="E54" t="s">
        <v>210</v>
      </c>
      <c r="F54" t="s">
        <v>451</v>
      </c>
      <c r="G54" t="s">
        <v>452</v>
      </c>
      <c r="H54" t="s">
        <v>213</v>
      </c>
      <c r="I54" t="s">
        <v>239</v>
      </c>
      <c r="J54" t="s">
        <v>71</v>
      </c>
      <c r="K54" t="s">
        <v>71</v>
      </c>
      <c r="L54" t="s">
        <v>216</v>
      </c>
      <c r="M54" t="s">
        <v>109</v>
      </c>
      <c r="N54" t="s">
        <v>252</v>
      </c>
      <c r="O54" t="s">
        <v>72</v>
      </c>
      <c r="P54" t="s">
        <v>246</v>
      </c>
      <c r="Q54" t="s">
        <v>219</v>
      </c>
      <c r="R54" t="s">
        <v>220</v>
      </c>
      <c r="S54" t="s">
        <v>81</v>
      </c>
      <c r="T54" s="44">
        <v>6.867</v>
      </c>
      <c r="U54" t="s">
        <v>316</v>
      </c>
      <c r="V54" s="46">
        <v>6.0699999999999997E-2</v>
      </c>
      <c r="W54" s="45">
        <v>5.5280000000000003E-2</v>
      </c>
      <c r="X54" t="s">
        <v>222</v>
      </c>
      <c r="Y54" t="s">
        <v>72</v>
      </c>
      <c r="Z54" s="44">
        <v>399000</v>
      </c>
      <c r="AA54" s="42">
        <v>1</v>
      </c>
      <c r="AB54" s="48">
        <v>105.72</v>
      </c>
      <c r="AD54" s="44">
        <v>421.82299999999998</v>
      </c>
      <c r="AG54" t="s">
        <v>16</v>
      </c>
      <c r="AH54" s="45">
        <v>8.8199999999999997E-4</v>
      </c>
      <c r="AI54" s="45">
        <v>1.03622061614941E-2</v>
      </c>
      <c r="AJ54" s="45">
        <v>9.7424131241241596E-4</v>
      </c>
    </row>
    <row r="55" spans="1:36" x14ac:dyDescent="0.25">
      <c r="A55">
        <v>1182</v>
      </c>
      <c r="B55">
        <v>1182</v>
      </c>
      <c r="C55" t="s">
        <v>449</v>
      </c>
      <c r="D55" t="s">
        <v>450</v>
      </c>
      <c r="E55" t="s">
        <v>210</v>
      </c>
      <c r="F55" t="s">
        <v>453</v>
      </c>
      <c r="G55" t="s">
        <v>454</v>
      </c>
      <c r="H55" t="s">
        <v>213</v>
      </c>
      <c r="I55" t="s">
        <v>239</v>
      </c>
      <c r="J55" t="s">
        <v>71</v>
      </c>
      <c r="K55" t="s">
        <v>71</v>
      </c>
      <c r="L55" t="s">
        <v>216</v>
      </c>
      <c r="M55" t="s">
        <v>117</v>
      </c>
      <c r="N55" t="s">
        <v>252</v>
      </c>
      <c r="O55" t="s">
        <v>72</v>
      </c>
      <c r="P55" t="s">
        <v>246</v>
      </c>
      <c r="Q55" t="s">
        <v>219</v>
      </c>
      <c r="R55" t="s">
        <v>220</v>
      </c>
      <c r="S55" t="s">
        <v>81</v>
      </c>
      <c r="T55" s="44">
        <v>0.751</v>
      </c>
      <c r="U55" t="s">
        <v>372</v>
      </c>
      <c r="V55" s="46">
        <v>2.63E-2</v>
      </c>
      <c r="W55" s="45">
        <v>5.3670000000000002E-2</v>
      </c>
      <c r="X55" t="s">
        <v>222</v>
      </c>
      <c r="Y55" t="s">
        <v>72</v>
      </c>
      <c r="Z55" s="44">
        <v>799041</v>
      </c>
      <c r="AA55" s="42">
        <v>1</v>
      </c>
      <c r="AB55" s="48">
        <v>98.68</v>
      </c>
      <c r="AD55" s="44">
        <v>788.49400000000003</v>
      </c>
      <c r="AG55" t="s">
        <v>16</v>
      </c>
      <c r="AH55" s="45">
        <v>9.2599999999999996E-4</v>
      </c>
      <c r="AI55" s="45">
        <v>1.93695880106916E-2</v>
      </c>
      <c r="AJ55" s="45">
        <v>1.8211037833378799E-3</v>
      </c>
    </row>
    <row r="56" spans="1:36" x14ac:dyDescent="0.25">
      <c r="A56">
        <v>1182</v>
      </c>
      <c r="B56">
        <v>1182</v>
      </c>
      <c r="C56" t="s">
        <v>449</v>
      </c>
      <c r="D56" t="s">
        <v>450</v>
      </c>
      <c r="E56" t="s">
        <v>210</v>
      </c>
      <c r="F56" t="s">
        <v>455</v>
      </c>
      <c r="G56" t="s">
        <v>456</v>
      </c>
      <c r="H56" t="s">
        <v>213</v>
      </c>
      <c r="I56" t="s">
        <v>239</v>
      </c>
      <c r="J56" t="s">
        <v>71</v>
      </c>
      <c r="K56" t="s">
        <v>71</v>
      </c>
      <c r="L56" t="s">
        <v>216</v>
      </c>
      <c r="M56" t="s">
        <v>109</v>
      </c>
      <c r="N56" t="s">
        <v>252</v>
      </c>
      <c r="O56" t="s">
        <v>72</v>
      </c>
      <c r="P56" t="s">
        <v>246</v>
      </c>
      <c r="Q56" t="s">
        <v>74</v>
      </c>
      <c r="R56" t="s">
        <v>220</v>
      </c>
      <c r="S56" t="s">
        <v>81</v>
      </c>
      <c r="T56" s="44">
        <v>6.2469999999999999</v>
      </c>
      <c r="U56" t="s">
        <v>457</v>
      </c>
      <c r="V56" s="46">
        <v>6.0699999999999997E-2</v>
      </c>
      <c r="W56" s="45">
        <v>5.457E-2</v>
      </c>
      <c r="X56" t="s">
        <v>222</v>
      </c>
      <c r="Y56" t="s">
        <v>72</v>
      </c>
      <c r="Z56" s="44">
        <v>700077</v>
      </c>
      <c r="AA56" s="42">
        <v>1</v>
      </c>
      <c r="AB56" s="48">
        <v>105.78</v>
      </c>
      <c r="AD56" s="44">
        <v>740.54100000000005</v>
      </c>
      <c r="AG56" t="s">
        <v>16</v>
      </c>
      <c r="AH56" s="45">
        <v>1.547E-3</v>
      </c>
      <c r="AI56" s="45">
        <v>1.8191627342687599E-2</v>
      </c>
      <c r="AJ56" s="45">
        <v>1.7103534344951E-3</v>
      </c>
    </row>
    <row r="57" spans="1:36" x14ac:dyDescent="0.25">
      <c r="A57">
        <v>1182</v>
      </c>
      <c r="B57">
        <v>1182</v>
      </c>
      <c r="C57" t="s">
        <v>458</v>
      </c>
      <c r="D57" t="s">
        <v>459</v>
      </c>
      <c r="E57" t="s">
        <v>210</v>
      </c>
      <c r="F57" t="s">
        <v>460</v>
      </c>
      <c r="G57" t="s">
        <v>461</v>
      </c>
      <c r="H57" t="s">
        <v>213</v>
      </c>
      <c r="I57" t="s">
        <v>239</v>
      </c>
      <c r="J57" t="s">
        <v>71</v>
      </c>
      <c r="K57" t="s">
        <v>71</v>
      </c>
      <c r="L57" t="s">
        <v>216</v>
      </c>
      <c r="M57" t="s">
        <v>117</v>
      </c>
      <c r="N57" t="s">
        <v>258</v>
      </c>
      <c r="O57" t="s">
        <v>72</v>
      </c>
      <c r="P57" t="s">
        <v>218</v>
      </c>
      <c r="Q57" t="s">
        <v>219</v>
      </c>
      <c r="R57" t="s">
        <v>220</v>
      </c>
      <c r="S57" t="s">
        <v>81</v>
      </c>
      <c r="T57" s="44">
        <v>4.9870000000000001</v>
      </c>
      <c r="U57" t="s">
        <v>401</v>
      </c>
      <c r="V57" s="46">
        <v>5.4800000000000001E-2</v>
      </c>
      <c r="W57" s="45">
        <v>5.3800000000000001E-2</v>
      </c>
      <c r="X57" t="s">
        <v>222</v>
      </c>
      <c r="Y57" t="s">
        <v>72</v>
      </c>
      <c r="Z57" s="44">
        <v>531429</v>
      </c>
      <c r="AA57" s="42">
        <v>1</v>
      </c>
      <c r="AB57" s="48">
        <v>102.2</v>
      </c>
      <c r="AD57" s="44">
        <v>543.12</v>
      </c>
      <c r="AG57" t="s">
        <v>16</v>
      </c>
      <c r="AH57" s="45">
        <v>1.771E-3</v>
      </c>
      <c r="AI57" s="45">
        <v>1.3341919756535099E-2</v>
      </c>
      <c r="AJ57" s="45">
        <v>1.2543901569927599E-3</v>
      </c>
    </row>
    <row r="58" spans="1:36" x14ac:dyDescent="0.25">
      <c r="A58">
        <v>1182</v>
      </c>
      <c r="B58">
        <v>1182</v>
      </c>
      <c r="C58" t="s">
        <v>458</v>
      </c>
      <c r="D58" t="s">
        <v>459</v>
      </c>
      <c r="E58" t="s">
        <v>210</v>
      </c>
      <c r="F58" t="s">
        <v>462</v>
      </c>
      <c r="G58" t="s">
        <v>463</v>
      </c>
      <c r="H58" t="s">
        <v>213</v>
      </c>
      <c r="I58" t="s">
        <v>239</v>
      </c>
      <c r="J58" t="s">
        <v>71</v>
      </c>
      <c r="K58" t="s">
        <v>71</v>
      </c>
      <c r="L58" t="s">
        <v>216</v>
      </c>
      <c r="M58" t="s">
        <v>286</v>
      </c>
      <c r="N58" t="s">
        <v>258</v>
      </c>
      <c r="O58" t="s">
        <v>72</v>
      </c>
      <c r="P58" t="s">
        <v>218</v>
      </c>
      <c r="Q58" t="s">
        <v>219</v>
      </c>
      <c r="R58" t="s">
        <v>220</v>
      </c>
      <c r="S58" t="s">
        <v>81</v>
      </c>
      <c r="T58" s="44">
        <v>6.6580000000000004</v>
      </c>
      <c r="U58" t="s">
        <v>354</v>
      </c>
      <c r="V58" s="46">
        <v>5.2900000000000003E-2</v>
      </c>
      <c r="W58" s="45">
        <v>5.527E-2</v>
      </c>
      <c r="X58" t="s">
        <v>222</v>
      </c>
      <c r="Y58" t="s">
        <v>72</v>
      </c>
      <c r="Z58" s="44">
        <v>633000</v>
      </c>
      <c r="AA58" s="42">
        <v>1</v>
      </c>
      <c r="AB58" s="48">
        <v>99.53</v>
      </c>
      <c r="AD58" s="44">
        <v>630.02499999999998</v>
      </c>
      <c r="AG58" t="s">
        <v>16</v>
      </c>
      <c r="AH58" s="45">
        <v>3.1649999999999998E-3</v>
      </c>
      <c r="AI58" s="45">
        <v>1.5476754458684201E-2</v>
      </c>
      <c r="AJ58" s="45">
        <v>1.4551045733623199E-3</v>
      </c>
    </row>
    <row r="59" spans="1:36" x14ac:dyDescent="0.25">
      <c r="A59">
        <v>1182</v>
      </c>
      <c r="B59">
        <v>1182</v>
      </c>
      <c r="C59" t="s">
        <v>464</v>
      </c>
      <c r="D59" t="s">
        <v>465</v>
      </c>
      <c r="E59" t="s">
        <v>210</v>
      </c>
      <c r="F59" t="s">
        <v>466</v>
      </c>
      <c r="G59" t="s">
        <v>467</v>
      </c>
      <c r="H59" t="s">
        <v>213</v>
      </c>
      <c r="I59" t="s">
        <v>214</v>
      </c>
      <c r="J59" t="s">
        <v>71</v>
      </c>
      <c r="K59" t="s">
        <v>71</v>
      </c>
      <c r="L59" t="s">
        <v>216</v>
      </c>
      <c r="M59" t="s">
        <v>117</v>
      </c>
      <c r="N59" t="s">
        <v>258</v>
      </c>
      <c r="O59" t="s">
        <v>72</v>
      </c>
      <c r="P59" t="s">
        <v>246</v>
      </c>
      <c r="Q59" t="s">
        <v>74</v>
      </c>
      <c r="R59" t="s">
        <v>220</v>
      </c>
      <c r="S59" t="s">
        <v>81</v>
      </c>
      <c r="T59" s="44">
        <v>5.3570000000000002</v>
      </c>
      <c r="U59" t="s">
        <v>468</v>
      </c>
      <c r="V59" s="46">
        <v>9.7000000000000003E-3</v>
      </c>
      <c r="W59" s="45">
        <v>3.3239999999999999E-2</v>
      </c>
      <c r="X59" t="s">
        <v>222</v>
      </c>
      <c r="Y59" t="s">
        <v>72</v>
      </c>
      <c r="Z59" s="44">
        <v>630882.35</v>
      </c>
      <c r="AA59" s="42">
        <v>1</v>
      </c>
      <c r="AB59" s="48">
        <v>100.61</v>
      </c>
      <c r="AD59" s="44">
        <v>634.73099999999999</v>
      </c>
      <c r="AG59" t="s">
        <v>16</v>
      </c>
      <c r="AH59" s="45">
        <v>1.0480000000000001E-3</v>
      </c>
      <c r="AI59" s="45">
        <v>1.5592354669997401E-2</v>
      </c>
      <c r="AJ59" s="45">
        <v>1.4659731567344E-3</v>
      </c>
    </row>
    <row r="60" spans="1:36" x14ac:dyDescent="0.25">
      <c r="A60">
        <v>1182</v>
      </c>
      <c r="B60">
        <v>1182</v>
      </c>
      <c r="C60" t="s">
        <v>469</v>
      </c>
      <c r="D60" t="s">
        <v>470</v>
      </c>
      <c r="E60" t="s">
        <v>210</v>
      </c>
      <c r="F60" t="s">
        <v>471</v>
      </c>
      <c r="G60" t="s">
        <v>472</v>
      </c>
      <c r="H60" t="s">
        <v>213</v>
      </c>
      <c r="I60" t="s">
        <v>214</v>
      </c>
      <c r="J60" t="s">
        <v>71</v>
      </c>
      <c r="K60" t="s">
        <v>71</v>
      </c>
      <c r="L60" t="s">
        <v>216</v>
      </c>
      <c r="M60" t="s">
        <v>117</v>
      </c>
      <c r="N60" t="s">
        <v>365</v>
      </c>
      <c r="O60" t="s">
        <v>72</v>
      </c>
      <c r="P60" t="s">
        <v>73</v>
      </c>
      <c r="Q60" t="s">
        <v>74</v>
      </c>
      <c r="R60" t="s">
        <v>220</v>
      </c>
      <c r="S60" t="s">
        <v>81</v>
      </c>
      <c r="T60" s="44">
        <v>5.22</v>
      </c>
      <c r="U60" t="s">
        <v>473</v>
      </c>
      <c r="V60" s="46">
        <v>2E-3</v>
      </c>
      <c r="W60" s="45">
        <v>2.606E-2</v>
      </c>
      <c r="X60" t="s">
        <v>222</v>
      </c>
      <c r="Y60" t="s">
        <v>72</v>
      </c>
      <c r="Z60" s="44">
        <v>420000</v>
      </c>
      <c r="AA60" s="42">
        <v>1</v>
      </c>
      <c r="AB60" s="48">
        <v>102.35</v>
      </c>
      <c r="AD60" s="44">
        <v>429.87</v>
      </c>
      <c r="AG60" t="s">
        <v>16</v>
      </c>
      <c r="AH60" s="45">
        <v>1.21E-4</v>
      </c>
      <c r="AI60" s="45">
        <v>1.0559888091969999E-2</v>
      </c>
      <c r="AJ60" s="45">
        <v>9.9282711358116504E-4</v>
      </c>
    </row>
    <row r="61" spans="1:36" x14ac:dyDescent="0.25">
      <c r="A61">
        <v>1182</v>
      </c>
      <c r="B61">
        <v>1182</v>
      </c>
      <c r="C61" t="s">
        <v>469</v>
      </c>
      <c r="D61" t="s">
        <v>470</v>
      </c>
      <c r="E61" t="s">
        <v>210</v>
      </c>
      <c r="F61" t="s">
        <v>474</v>
      </c>
      <c r="G61" t="s">
        <v>475</v>
      </c>
      <c r="H61" t="s">
        <v>213</v>
      </c>
      <c r="I61" t="s">
        <v>214</v>
      </c>
      <c r="J61" t="s">
        <v>71</v>
      </c>
      <c r="K61" t="s">
        <v>71</v>
      </c>
      <c r="L61" t="s">
        <v>216</v>
      </c>
      <c r="M61" t="s">
        <v>117</v>
      </c>
      <c r="N61" t="s">
        <v>365</v>
      </c>
      <c r="O61" t="s">
        <v>72</v>
      </c>
      <c r="P61" t="s">
        <v>228</v>
      </c>
      <c r="Q61" t="s">
        <v>74</v>
      </c>
      <c r="R61" t="s">
        <v>220</v>
      </c>
      <c r="S61" t="s">
        <v>81</v>
      </c>
      <c r="T61" s="44">
        <v>3.9239999999999999</v>
      </c>
      <c r="U61" t="s">
        <v>476</v>
      </c>
      <c r="V61" s="46">
        <v>3.3599999999999998E-2</v>
      </c>
      <c r="W61" s="45">
        <v>3.0030000000000001E-2</v>
      </c>
      <c r="X61" t="s">
        <v>222</v>
      </c>
      <c r="Y61" t="s">
        <v>72</v>
      </c>
      <c r="Z61" s="44">
        <v>500000</v>
      </c>
      <c r="AA61" s="42">
        <v>1</v>
      </c>
      <c r="AB61" s="48">
        <v>107.83</v>
      </c>
      <c r="AD61" s="44">
        <v>539.15</v>
      </c>
      <c r="AG61" t="s">
        <v>16</v>
      </c>
      <c r="AH61" s="45">
        <v>4.28E-4</v>
      </c>
      <c r="AI61" s="45">
        <v>1.32443847320949E-2</v>
      </c>
      <c r="AJ61" s="45">
        <v>1.24522003928463E-3</v>
      </c>
    </row>
    <row r="62" spans="1:36" x14ac:dyDescent="0.25">
      <c r="A62">
        <v>1182</v>
      </c>
      <c r="B62">
        <v>1182</v>
      </c>
      <c r="C62" t="s">
        <v>469</v>
      </c>
      <c r="D62" t="s">
        <v>470</v>
      </c>
      <c r="E62" t="s">
        <v>210</v>
      </c>
      <c r="F62" t="s">
        <v>477</v>
      </c>
      <c r="G62" t="s">
        <v>478</v>
      </c>
      <c r="H62" t="s">
        <v>213</v>
      </c>
      <c r="I62" t="s">
        <v>214</v>
      </c>
      <c r="J62" t="s">
        <v>71</v>
      </c>
      <c r="K62" t="s">
        <v>71</v>
      </c>
      <c r="L62" t="s">
        <v>216</v>
      </c>
      <c r="M62" t="s">
        <v>117</v>
      </c>
      <c r="N62" t="s">
        <v>365</v>
      </c>
      <c r="O62" t="s">
        <v>72</v>
      </c>
      <c r="P62" t="s">
        <v>228</v>
      </c>
      <c r="Q62" t="s">
        <v>74</v>
      </c>
      <c r="R62" t="s">
        <v>220</v>
      </c>
      <c r="S62" t="s">
        <v>81</v>
      </c>
      <c r="T62" s="44">
        <v>5.1970000000000001</v>
      </c>
      <c r="U62" t="s">
        <v>479</v>
      </c>
      <c r="V62" s="46">
        <v>3.3500000000000002E-2</v>
      </c>
      <c r="W62" s="45">
        <v>3.1109999999999999E-2</v>
      </c>
      <c r="X62" t="s">
        <v>222</v>
      </c>
      <c r="Y62" t="s">
        <v>72</v>
      </c>
      <c r="Z62" s="44">
        <v>620000</v>
      </c>
      <c r="AA62" s="42">
        <v>1</v>
      </c>
      <c r="AB62" s="48">
        <v>102.42</v>
      </c>
      <c r="AD62" s="44">
        <v>635.00400000000002</v>
      </c>
      <c r="AG62" t="s">
        <v>16</v>
      </c>
      <c r="AH62" s="45">
        <v>7.2900000000000005E-4</v>
      </c>
      <c r="AI62" s="45">
        <v>1.55990675738091E-2</v>
      </c>
      <c r="AJ62" s="45">
        <v>1.46660429532764E-3</v>
      </c>
    </row>
    <row r="63" spans="1:36" x14ac:dyDescent="0.25">
      <c r="A63">
        <v>1182</v>
      </c>
      <c r="B63">
        <v>1182</v>
      </c>
      <c r="C63" t="s">
        <v>469</v>
      </c>
      <c r="D63" t="s">
        <v>470</v>
      </c>
      <c r="E63" t="s">
        <v>210</v>
      </c>
      <c r="F63" t="s">
        <v>480</v>
      </c>
      <c r="G63" t="s">
        <v>481</v>
      </c>
      <c r="H63" t="s">
        <v>213</v>
      </c>
      <c r="I63" t="s">
        <v>214</v>
      </c>
      <c r="J63" t="s">
        <v>71</v>
      </c>
      <c r="K63" t="s">
        <v>71</v>
      </c>
      <c r="L63" t="s">
        <v>216</v>
      </c>
      <c r="M63" t="s">
        <v>117</v>
      </c>
      <c r="N63" t="s">
        <v>365</v>
      </c>
      <c r="O63" t="s">
        <v>72</v>
      </c>
      <c r="P63" t="s">
        <v>73</v>
      </c>
      <c r="Q63" t="s">
        <v>74</v>
      </c>
      <c r="R63" t="s">
        <v>220</v>
      </c>
      <c r="S63" t="s">
        <v>81</v>
      </c>
      <c r="T63" s="44">
        <v>4.8879999999999999</v>
      </c>
      <c r="U63" t="s">
        <v>482</v>
      </c>
      <c r="V63" s="46">
        <v>2.2013000000000001E-2</v>
      </c>
      <c r="W63" s="45">
        <v>2.606E-2</v>
      </c>
      <c r="X63" t="s">
        <v>222</v>
      </c>
      <c r="Y63" t="s">
        <v>72</v>
      </c>
      <c r="Z63" s="44">
        <v>810000</v>
      </c>
      <c r="AA63" s="42">
        <v>1</v>
      </c>
      <c r="AB63" s="48">
        <v>118.7</v>
      </c>
      <c r="AD63" s="44">
        <v>961.47</v>
      </c>
      <c r="AG63" t="s">
        <v>16</v>
      </c>
      <c r="AH63" s="45">
        <v>1.1540000000000001E-3</v>
      </c>
      <c r="AI63" s="45">
        <v>2.3618804763734201E-2</v>
      </c>
      <c r="AJ63" s="45">
        <v>2.2206096840786402E-3</v>
      </c>
    </row>
    <row r="64" spans="1:36" x14ac:dyDescent="0.25">
      <c r="A64">
        <v>1182</v>
      </c>
      <c r="B64">
        <v>1182</v>
      </c>
      <c r="C64" t="s">
        <v>483</v>
      </c>
      <c r="D64" t="s">
        <v>484</v>
      </c>
      <c r="E64" t="s">
        <v>210</v>
      </c>
      <c r="F64" t="s">
        <v>485</v>
      </c>
      <c r="G64" t="s">
        <v>486</v>
      </c>
      <c r="H64" t="s">
        <v>213</v>
      </c>
      <c r="I64" t="s">
        <v>214</v>
      </c>
      <c r="J64" t="s">
        <v>71</v>
      </c>
      <c r="K64" t="s">
        <v>71</v>
      </c>
      <c r="L64" t="s">
        <v>216</v>
      </c>
      <c r="M64" t="s">
        <v>117</v>
      </c>
      <c r="N64" t="s">
        <v>258</v>
      </c>
      <c r="O64" t="s">
        <v>72</v>
      </c>
      <c r="P64" t="s">
        <v>259</v>
      </c>
      <c r="Q64" t="s">
        <v>74</v>
      </c>
      <c r="R64" t="s">
        <v>220</v>
      </c>
      <c r="S64" t="s">
        <v>81</v>
      </c>
      <c r="T64" s="44">
        <v>5.726</v>
      </c>
      <c r="U64" t="s">
        <v>487</v>
      </c>
      <c r="V64" s="46">
        <v>3.61E-2</v>
      </c>
      <c r="W64" s="45">
        <v>3.0759999999999999E-2</v>
      </c>
      <c r="X64" t="s">
        <v>222</v>
      </c>
      <c r="Y64" t="s">
        <v>72</v>
      </c>
      <c r="Z64" s="44">
        <v>1023342.36</v>
      </c>
      <c r="AA64" s="42">
        <v>1</v>
      </c>
      <c r="AB64" s="48">
        <v>110.37</v>
      </c>
      <c r="AD64" s="44">
        <v>1129.463</v>
      </c>
      <c r="AG64" t="s">
        <v>16</v>
      </c>
      <c r="AH64" s="45">
        <v>6.5099999999999999E-4</v>
      </c>
      <c r="AI64" s="45">
        <v>2.7745603299776302E-2</v>
      </c>
      <c r="AJ64" s="45">
        <v>2.6086059813107301E-3</v>
      </c>
    </row>
    <row r="65" spans="1:36" x14ac:dyDescent="0.25">
      <c r="A65">
        <v>1182</v>
      </c>
      <c r="B65">
        <v>1182</v>
      </c>
      <c r="C65" t="s">
        <v>483</v>
      </c>
      <c r="D65" t="s">
        <v>484</v>
      </c>
      <c r="E65" t="s">
        <v>210</v>
      </c>
      <c r="F65" t="s">
        <v>488</v>
      </c>
      <c r="G65" t="s">
        <v>489</v>
      </c>
      <c r="H65" t="s">
        <v>213</v>
      </c>
      <c r="I65" t="s">
        <v>214</v>
      </c>
      <c r="J65" t="s">
        <v>71</v>
      </c>
      <c r="K65" t="s">
        <v>71</v>
      </c>
      <c r="L65" t="s">
        <v>216</v>
      </c>
      <c r="M65" t="s">
        <v>117</v>
      </c>
      <c r="N65" t="s">
        <v>258</v>
      </c>
      <c r="O65" t="s">
        <v>72</v>
      </c>
      <c r="P65" t="s">
        <v>259</v>
      </c>
      <c r="Q65" t="s">
        <v>74</v>
      </c>
      <c r="R65" t="s">
        <v>220</v>
      </c>
      <c r="S65" t="s">
        <v>81</v>
      </c>
      <c r="T65" s="44">
        <v>1.038</v>
      </c>
      <c r="U65" t="s">
        <v>490</v>
      </c>
      <c r="V65" s="46">
        <v>2.1499999999999998E-2</v>
      </c>
      <c r="W65" s="45">
        <v>2.657E-2</v>
      </c>
      <c r="X65" t="s">
        <v>222</v>
      </c>
      <c r="Y65" t="s">
        <v>72</v>
      </c>
      <c r="Z65" s="44">
        <v>20537</v>
      </c>
      <c r="AA65" s="42">
        <v>1</v>
      </c>
      <c r="AB65" s="48">
        <v>118.15</v>
      </c>
      <c r="AD65" s="44">
        <v>24.263999999999999</v>
      </c>
      <c r="AG65" t="s">
        <v>16</v>
      </c>
      <c r="AH65" s="45">
        <v>1.7E-5</v>
      </c>
      <c r="AI65" s="45">
        <v>5.9606402003272395E-4</v>
      </c>
      <c r="AJ65" s="45">
        <v>5.6041173482575603E-5</v>
      </c>
    </row>
    <row r="66" spans="1:36" x14ac:dyDescent="0.25">
      <c r="A66">
        <v>1182</v>
      </c>
      <c r="B66">
        <v>1182</v>
      </c>
      <c r="C66" t="s">
        <v>483</v>
      </c>
      <c r="D66" t="s">
        <v>484</v>
      </c>
      <c r="E66" t="s">
        <v>210</v>
      </c>
      <c r="F66" t="s">
        <v>491</v>
      </c>
      <c r="G66" t="s">
        <v>492</v>
      </c>
      <c r="H66" t="s">
        <v>213</v>
      </c>
      <c r="I66" t="s">
        <v>214</v>
      </c>
      <c r="J66" t="s">
        <v>71</v>
      </c>
      <c r="K66" t="s">
        <v>71</v>
      </c>
      <c r="L66" t="s">
        <v>216</v>
      </c>
      <c r="M66" t="s">
        <v>117</v>
      </c>
      <c r="N66" t="s">
        <v>258</v>
      </c>
      <c r="O66" t="s">
        <v>72</v>
      </c>
      <c r="P66" t="s">
        <v>259</v>
      </c>
      <c r="Q66" t="s">
        <v>74</v>
      </c>
      <c r="R66" t="s">
        <v>220</v>
      </c>
      <c r="S66" t="s">
        <v>81</v>
      </c>
      <c r="T66" s="44">
        <v>3.4910000000000001</v>
      </c>
      <c r="U66" t="s">
        <v>493</v>
      </c>
      <c r="V66" s="46">
        <v>2.2499999999999999E-2</v>
      </c>
      <c r="W66" s="45">
        <v>2.9399999999999999E-2</v>
      </c>
      <c r="X66" t="s">
        <v>222</v>
      </c>
      <c r="Y66" t="s">
        <v>72</v>
      </c>
      <c r="Z66" s="44">
        <v>475672.84</v>
      </c>
      <c r="AA66" s="42">
        <v>1</v>
      </c>
      <c r="AB66" s="48">
        <v>115.02</v>
      </c>
      <c r="AD66" s="44">
        <v>547.11900000000003</v>
      </c>
      <c r="AG66" t="s">
        <v>16</v>
      </c>
      <c r="AH66" s="45">
        <v>2.7E-4</v>
      </c>
      <c r="AI66" s="45">
        <v>1.3440143213063801E-2</v>
      </c>
      <c r="AJ66" s="45">
        <v>1.26362500020152E-3</v>
      </c>
    </row>
    <row r="67" spans="1:36" x14ac:dyDescent="0.25">
      <c r="A67">
        <v>1182</v>
      </c>
      <c r="B67">
        <v>1182</v>
      </c>
      <c r="C67" t="s">
        <v>494</v>
      </c>
      <c r="D67" t="s">
        <v>495</v>
      </c>
      <c r="E67" t="s">
        <v>210</v>
      </c>
      <c r="F67" t="s">
        <v>496</v>
      </c>
      <c r="G67" t="s">
        <v>497</v>
      </c>
      <c r="H67" t="s">
        <v>213</v>
      </c>
      <c r="I67" t="s">
        <v>239</v>
      </c>
      <c r="J67" t="s">
        <v>71</v>
      </c>
      <c r="K67" t="s">
        <v>71</v>
      </c>
      <c r="L67" t="s">
        <v>216</v>
      </c>
      <c r="M67" t="s">
        <v>117</v>
      </c>
      <c r="N67" t="s">
        <v>498</v>
      </c>
      <c r="O67" t="s">
        <v>72</v>
      </c>
      <c r="P67" t="s">
        <v>235</v>
      </c>
      <c r="Q67" t="s">
        <v>219</v>
      </c>
      <c r="R67" t="s">
        <v>220</v>
      </c>
      <c r="S67" t="s">
        <v>81</v>
      </c>
      <c r="T67" s="44">
        <v>0.98399999999999999</v>
      </c>
      <c r="U67" t="s">
        <v>499</v>
      </c>
      <c r="V67" s="46">
        <v>0.114</v>
      </c>
      <c r="W67" s="45">
        <v>5.747E-2</v>
      </c>
      <c r="X67" t="s">
        <v>222</v>
      </c>
      <c r="Y67" t="s">
        <v>72</v>
      </c>
      <c r="Z67" s="44">
        <v>517152.9</v>
      </c>
      <c r="AA67" s="42">
        <v>1</v>
      </c>
      <c r="AB67" s="48">
        <v>101.2</v>
      </c>
      <c r="AD67" s="44">
        <v>523.35900000000004</v>
      </c>
      <c r="AG67" t="s">
        <v>16</v>
      </c>
      <c r="AH67" s="45">
        <v>2.1389999999999998E-3</v>
      </c>
      <c r="AI67" s="45">
        <v>1.28564674702655E-2</v>
      </c>
      <c r="AJ67" s="45">
        <v>1.2087485566310201E-3</v>
      </c>
    </row>
    <row r="68" spans="1:36" x14ac:dyDescent="0.25">
      <c r="A68">
        <v>1182</v>
      </c>
      <c r="B68">
        <v>1182</v>
      </c>
      <c r="C68" t="s">
        <v>494</v>
      </c>
      <c r="D68" t="s">
        <v>495</v>
      </c>
      <c r="E68" t="s">
        <v>210</v>
      </c>
      <c r="F68" t="s">
        <v>500</v>
      </c>
      <c r="G68" t="s">
        <v>501</v>
      </c>
      <c r="H68" t="s">
        <v>213</v>
      </c>
      <c r="I68" t="s">
        <v>239</v>
      </c>
      <c r="J68" t="s">
        <v>71</v>
      </c>
      <c r="K68" t="s">
        <v>71</v>
      </c>
      <c r="L68" t="s">
        <v>216</v>
      </c>
      <c r="M68" t="s">
        <v>117</v>
      </c>
      <c r="N68" t="s">
        <v>498</v>
      </c>
      <c r="O68" t="s">
        <v>72</v>
      </c>
      <c r="P68" t="s">
        <v>235</v>
      </c>
      <c r="Q68" t="s">
        <v>219</v>
      </c>
      <c r="R68" t="s">
        <v>220</v>
      </c>
      <c r="S68" t="s">
        <v>81</v>
      </c>
      <c r="T68" s="44">
        <v>2.1619999999999999</v>
      </c>
      <c r="U68" t="s">
        <v>502</v>
      </c>
      <c r="V68" s="46">
        <v>7.22E-2</v>
      </c>
      <c r="W68" s="45">
        <v>6.2089999999999999E-2</v>
      </c>
      <c r="X68" t="s">
        <v>222</v>
      </c>
      <c r="Y68" t="s">
        <v>72</v>
      </c>
      <c r="Z68" s="44">
        <v>299000</v>
      </c>
      <c r="AA68" s="42">
        <v>1</v>
      </c>
      <c r="AB68" s="48">
        <v>103.55</v>
      </c>
      <c r="AD68" s="44">
        <v>309.61500000000001</v>
      </c>
      <c r="AG68" t="s">
        <v>16</v>
      </c>
      <c r="AH68" s="45">
        <v>8.5899999999999995E-4</v>
      </c>
      <c r="AI68" s="45">
        <v>7.60577493579745E-3</v>
      </c>
      <c r="AJ68" s="45">
        <v>7.1508518937789505E-4</v>
      </c>
    </row>
    <row r="69" spans="1:36" x14ac:dyDescent="0.25">
      <c r="A69">
        <v>1182</v>
      </c>
      <c r="B69">
        <v>1182</v>
      </c>
      <c r="C69" t="s">
        <v>494</v>
      </c>
      <c r="D69" t="s">
        <v>495</v>
      </c>
      <c r="E69" t="s">
        <v>210</v>
      </c>
      <c r="F69" t="s">
        <v>503</v>
      </c>
      <c r="G69" t="s">
        <v>504</v>
      </c>
      <c r="H69" t="s">
        <v>213</v>
      </c>
      <c r="I69" t="s">
        <v>239</v>
      </c>
      <c r="J69" t="s">
        <v>71</v>
      </c>
      <c r="K69" t="s">
        <v>71</v>
      </c>
      <c r="L69" t="s">
        <v>216</v>
      </c>
      <c r="M69" t="s">
        <v>109</v>
      </c>
      <c r="N69" t="s">
        <v>498</v>
      </c>
      <c r="O69" t="s">
        <v>72</v>
      </c>
      <c r="P69" t="s">
        <v>235</v>
      </c>
      <c r="Q69" t="s">
        <v>219</v>
      </c>
      <c r="R69" t="s">
        <v>220</v>
      </c>
      <c r="S69" t="s">
        <v>81</v>
      </c>
      <c r="T69" s="44">
        <v>3.2839999999999998</v>
      </c>
      <c r="U69" t="s">
        <v>330</v>
      </c>
      <c r="V69" s="46">
        <v>6.4000000000000001E-2</v>
      </c>
      <c r="W69" s="45">
        <v>6.4170000000000005E-2</v>
      </c>
      <c r="X69" t="s">
        <v>222</v>
      </c>
      <c r="Y69" t="s">
        <v>72</v>
      </c>
      <c r="Z69" s="44">
        <v>409000</v>
      </c>
      <c r="AA69" s="42">
        <v>1</v>
      </c>
      <c r="AB69" s="48">
        <v>101.3</v>
      </c>
      <c r="AD69" s="44">
        <v>414.31700000000001</v>
      </c>
      <c r="AG69" t="s">
        <v>16</v>
      </c>
      <c r="AH69" s="45">
        <v>2.0449999999999999E-3</v>
      </c>
      <c r="AI69" s="45">
        <v>1.0177823887688699E-2</v>
      </c>
      <c r="AJ69" s="45">
        <v>9.5690592787960895E-4</v>
      </c>
    </row>
    <row r="70" spans="1:36" x14ac:dyDescent="0.25">
      <c r="A70">
        <v>1182</v>
      </c>
      <c r="B70">
        <v>1182</v>
      </c>
      <c r="C70" t="s">
        <v>505</v>
      </c>
      <c r="D70" t="s">
        <v>506</v>
      </c>
      <c r="E70" t="s">
        <v>210</v>
      </c>
      <c r="F70" t="s">
        <v>507</v>
      </c>
      <c r="G70" t="s">
        <v>508</v>
      </c>
      <c r="H70" t="s">
        <v>213</v>
      </c>
      <c r="I70" t="s">
        <v>214</v>
      </c>
      <c r="J70" t="s">
        <v>71</v>
      </c>
      <c r="K70" t="s">
        <v>71</v>
      </c>
      <c r="L70" t="s">
        <v>216</v>
      </c>
      <c r="M70" t="s">
        <v>117</v>
      </c>
      <c r="N70" t="s">
        <v>245</v>
      </c>
      <c r="O70" t="s">
        <v>72</v>
      </c>
      <c r="P70" t="s">
        <v>509</v>
      </c>
      <c r="Q70" t="s">
        <v>219</v>
      </c>
      <c r="R70" t="s">
        <v>220</v>
      </c>
      <c r="S70" t="s">
        <v>81</v>
      </c>
      <c r="T70" s="44">
        <v>3.2440000000000002</v>
      </c>
      <c r="U70" t="s">
        <v>510</v>
      </c>
      <c r="V70" s="46">
        <v>2.07E-2</v>
      </c>
      <c r="W70" s="45">
        <v>4.1939999999999998E-2</v>
      </c>
      <c r="X70" t="s">
        <v>222</v>
      </c>
      <c r="Y70" t="s">
        <v>72</v>
      </c>
      <c r="Z70" s="44">
        <v>350537.71</v>
      </c>
      <c r="AA70" s="42">
        <v>1</v>
      </c>
      <c r="AB70" s="48">
        <v>105.96</v>
      </c>
      <c r="AD70" s="44">
        <v>371.43</v>
      </c>
      <c r="AG70" t="s">
        <v>16</v>
      </c>
      <c r="AH70" s="45">
        <v>7.3499999999999998E-4</v>
      </c>
      <c r="AI70" s="45">
        <v>9.1242856523984402E-3</v>
      </c>
      <c r="AJ70" s="45">
        <v>8.5785361633229195E-4</v>
      </c>
    </row>
    <row r="71" spans="1:36" x14ac:dyDescent="0.25">
      <c r="A71">
        <v>1182</v>
      </c>
      <c r="B71">
        <v>1182</v>
      </c>
      <c r="C71" t="s">
        <v>511</v>
      </c>
      <c r="D71" t="s">
        <v>512</v>
      </c>
      <c r="E71" t="s">
        <v>210</v>
      </c>
      <c r="F71" t="s">
        <v>513</v>
      </c>
      <c r="G71" t="s">
        <v>514</v>
      </c>
      <c r="H71" t="s">
        <v>213</v>
      </c>
      <c r="I71" t="s">
        <v>214</v>
      </c>
      <c r="J71" t="s">
        <v>71</v>
      </c>
      <c r="K71" t="s">
        <v>71</v>
      </c>
      <c r="L71" t="s">
        <v>216</v>
      </c>
      <c r="M71" t="s">
        <v>117</v>
      </c>
      <c r="N71" t="s">
        <v>515</v>
      </c>
      <c r="O71" t="s">
        <v>72</v>
      </c>
      <c r="P71" t="s">
        <v>73</v>
      </c>
      <c r="Q71" t="s">
        <v>74</v>
      </c>
      <c r="R71" t="s">
        <v>220</v>
      </c>
      <c r="S71" t="s">
        <v>81</v>
      </c>
      <c r="T71" s="44">
        <v>11.712999999999999</v>
      </c>
      <c r="U71" t="s">
        <v>516</v>
      </c>
      <c r="V71" s="46">
        <v>2.07E-2</v>
      </c>
      <c r="W71" s="45">
        <v>2.9860000000000001E-2</v>
      </c>
      <c r="X71" t="s">
        <v>222</v>
      </c>
      <c r="Y71" t="s">
        <v>72</v>
      </c>
      <c r="Z71" s="44">
        <v>283659.58</v>
      </c>
      <c r="AA71" s="42">
        <v>1</v>
      </c>
      <c r="AB71" s="48">
        <v>102.91</v>
      </c>
      <c r="AD71" s="44">
        <v>291.91399999999999</v>
      </c>
      <c r="AG71" t="s">
        <v>16</v>
      </c>
      <c r="AH71" s="45">
        <v>5.1999999999999997E-5</v>
      </c>
      <c r="AI71" s="45">
        <v>7.1709585492515399E-3</v>
      </c>
      <c r="AJ71" s="45">
        <v>6.7420431126324497E-4</v>
      </c>
    </row>
    <row r="72" spans="1:36" x14ac:dyDescent="0.25">
      <c r="A72">
        <v>1182</v>
      </c>
      <c r="B72">
        <v>1182</v>
      </c>
      <c r="C72" t="s">
        <v>517</v>
      </c>
      <c r="D72" t="s">
        <v>518</v>
      </c>
      <c r="E72" t="s">
        <v>420</v>
      </c>
      <c r="F72" t="s">
        <v>519</v>
      </c>
      <c r="G72" t="s">
        <v>520</v>
      </c>
      <c r="H72" t="s">
        <v>213</v>
      </c>
      <c r="I72" t="s">
        <v>239</v>
      </c>
      <c r="J72" t="s">
        <v>71</v>
      </c>
      <c r="K72" t="s">
        <v>71</v>
      </c>
      <c r="L72" t="s">
        <v>216</v>
      </c>
      <c r="M72" t="s">
        <v>109</v>
      </c>
      <c r="N72" t="s">
        <v>423</v>
      </c>
      <c r="O72" t="s">
        <v>72</v>
      </c>
      <c r="P72" t="s">
        <v>235</v>
      </c>
      <c r="Q72" t="s">
        <v>74</v>
      </c>
      <c r="R72" t="s">
        <v>220</v>
      </c>
      <c r="S72" t="s">
        <v>81</v>
      </c>
      <c r="T72" s="44">
        <v>3.3740000000000001</v>
      </c>
      <c r="U72" t="s">
        <v>521</v>
      </c>
      <c r="V72" s="46">
        <v>6.7000000000000004E-2</v>
      </c>
      <c r="W72" s="45">
        <v>5.6849999999999998E-2</v>
      </c>
      <c r="X72" t="s">
        <v>222</v>
      </c>
      <c r="Y72" t="s">
        <v>72</v>
      </c>
      <c r="Z72" s="44">
        <v>261000</v>
      </c>
      <c r="AA72" s="42">
        <v>1</v>
      </c>
      <c r="AB72" s="48">
        <v>103.63</v>
      </c>
      <c r="AD72" s="44">
        <v>270.47399999999999</v>
      </c>
      <c r="AG72" t="s">
        <v>16</v>
      </c>
      <c r="AH72" s="45">
        <v>2.8699999999999998E-4</v>
      </c>
      <c r="AI72" s="45">
        <v>6.6442839457369098E-3</v>
      </c>
      <c r="AJ72" s="45">
        <v>6.24687041586726E-4</v>
      </c>
    </row>
    <row r="73" spans="1:36" x14ac:dyDescent="0.25">
      <c r="A73">
        <v>1182</v>
      </c>
      <c r="B73">
        <v>1182</v>
      </c>
      <c r="C73" t="s">
        <v>522</v>
      </c>
      <c r="D73" t="s">
        <v>523</v>
      </c>
      <c r="E73" t="s">
        <v>210</v>
      </c>
      <c r="F73" t="s">
        <v>524</v>
      </c>
      <c r="G73" t="s">
        <v>525</v>
      </c>
      <c r="H73" t="s">
        <v>213</v>
      </c>
      <c r="I73" t="s">
        <v>239</v>
      </c>
      <c r="J73" t="s">
        <v>71</v>
      </c>
      <c r="K73" t="s">
        <v>71</v>
      </c>
      <c r="L73" t="s">
        <v>216</v>
      </c>
      <c r="M73" t="s">
        <v>109</v>
      </c>
      <c r="N73" t="s">
        <v>526</v>
      </c>
      <c r="O73" t="s">
        <v>72</v>
      </c>
      <c r="P73" t="s">
        <v>527</v>
      </c>
      <c r="Q73" t="s">
        <v>528</v>
      </c>
      <c r="R73" t="s">
        <v>528</v>
      </c>
      <c r="S73" t="s">
        <v>81</v>
      </c>
      <c r="T73" s="44">
        <v>4.0650000000000004</v>
      </c>
      <c r="U73" t="s">
        <v>529</v>
      </c>
      <c r="V73" s="46">
        <v>5.8999999999999997E-2</v>
      </c>
      <c r="W73" s="45">
        <v>5.9499999999999997E-2</v>
      </c>
      <c r="X73" t="s">
        <v>222</v>
      </c>
      <c r="Y73" t="s">
        <v>72</v>
      </c>
      <c r="Z73" s="44">
        <v>620000</v>
      </c>
      <c r="AA73" s="42">
        <v>1</v>
      </c>
      <c r="AB73" s="48">
        <v>100.46</v>
      </c>
      <c r="AD73" s="44">
        <v>622.85199999999998</v>
      </c>
      <c r="AG73" t="s">
        <v>16</v>
      </c>
      <c r="AH73" s="45">
        <v>1.2750000000000001E-3</v>
      </c>
      <c r="AI73" s="45">
        <v>1.53005499752476E-2</v>
      </c>
      <c r="AJ73" s="45">
        <v>1.43853805417511E-3</v>
      </c>
    </row>
    <row r="74" spans="1:36" x14ac:dyDescent="0.25">
      <c r="A74">
        <v>1182</v>
      </c>
      <c r="B74">
        <v>1182</v>
      </c>
      <c r="C74" t="s">
        <v>530</v>
      </c>
      <c r="D74" t="s">
        <v>531</v>
      </c>
      <c r="E74" t="s">
        <v>210</v>
      </c>
      <c r="F74" t="s">
        <v>532</v>
      </c>
      <c r="G74" t="s">
        <v>533</v>
      </c>
      <c r="H74" t="s">
        <v>213</v>
      </c>
      <c r="I74" t="s">
        <v>239</v>
      </c>
      <c r="J74" t="s">
        <v>71</v>
      </c>
      <c r="K74" t="s">
        <v>71</v>
      </c>
      <c r="L74" t="s">
        <v>216</v>
      </c>
      <c r="M74" t="s">
        <v>117</v>
      </c>
      <c r="N74" t="s">
        <v>287</v>
      </c>
      <c r="O74" t="s">
        <v>72</v>
      </c>
      <c r="P74" t="s">
        <v>235</v>
      </c>
      <c r="Q74" t="s">
        <v>219</v>
      </c>
      <c r="R74" t="s">
        <v>220</v>
      </c>
      <c r="S74" t="s">
        <v>81</v>
      </c>
      <c r="T74" s="44">
        <v>3.2429999999999999</v>
      </c>
      <c r="U74" t="s">
        <v>534</v>
      </c>
      <c r="V74" s="46">
        <v>6.9500000000000006E-2</v>
      </c>
      <c r="W74" s="45">
        <v>5.7419999999999999E-2</v>
      </c>
      <c r="X74" t="s">
        <v>222</v>
      </c>
      <c r="Y74" t="s">
        <v>72</v>
      </c>
      <c r="Z74" s="44">
        <v>370000</v>
      </c>
      <c r="AA74" s="42">
        <v>1</v>
      </c>
      <c r="AB74" s="48">
        <v>105.91</v>
      </c>
      <c r="AD74" s="44">
        <v>391.86700000000002</v>
      </c>
      <c r="AG74" t="s">
        <v>16</v>
      </c>
      <c r="AH74" s="45">
        <v>4.3800000000000002E-4</v>
      </c>
      <c r="AI74" s="45">
        <v>9.6263327678972992E-3</v>
      </c>
      <c r="AJ74" s="45">
        <v>9.0505544122109101E-4</v>
      </c>
    </row>
    <row r="75" spans="1:36" x14ac:dyDescent="0.25">
      <c r="A75">
        <v>1182</v>
      </c>
      <c r="B75">
        <v>1182</v>
      </c>
      <c r="C75" t="s">
        <v>530</v>
      </c>
      <c r="D75" t="s">
        <v>531</v>
      </c>
      <c r="E75" t="s">
        <v>210</v>
      </c>
      <c r="F75" t="s">
        <v>535</v>
      </c>
      <c r="G75" t="s">
        <v>536</v>
      </c>
      <c r="H75" t="s">
        <v>213</v>
      </c>
      <c r="I75" t="s">
        <v>239</v>
      </c>
      <c r="J75" t="s">
        <v>71</v>
      </c>
      <c r="K75" t="s">
        <v>71</v>
      </c>
      <c r="L75" t="s">
        <v>216</v>
      </c>
      <c r="M75" t="s">
        <v>109</v>
      </c>
      <c r="N75" t="s">
        <v>287</v>
      </c>
      <c r="O75" t="s">
        <v>72</v>
      </c>
      <c r="P75" t="s">
        <v>235</v>
      </c>
      <c r="Q75" t="s">
        <v>219</v>
      </c>
      <c r="R75" t="s">
        <v>220</v>
      </c>
      <c r="S75" t="s">
        <v>81</v>
      </c>
      <c r="T75" s="44">
        <v>5.819</v>
      </c>
      <c r="U75" t="s">
        <v>537</v>
      </c>
      <c r="V75" s="46">
        <v>6.6900000000000001E-2</v>
      </c>
      <c r="W75" s="45">
        <v>6.0769999999999998E-2</v>
      </c>
      <c r="X75" t="s">
        <v>222</v>
      </c>
      <c r="Y75" t="s">
        <v>72</v>
      </c>
      <c r="Z75" s="44">
        <v>171558</v>
      </c>
      <c r="AA75" s="42">
        <v>1</v>
      </c>
      <c r="AB75" s="48">
        <v>105.74</v>
      </c>
      <c r="AD75" s="44">
        <v>181.405</v>
      </c>
      <c r="AG75" t="s">
        <v>16</v>
      </c>
      <c r="AH75" s="45">
        <v>2.2699999999999999E-4</v>
      </c>
      <c r="AI75" s="45">
        <v>4.4562798790978402E-3</v>
      </c>
      <c r="AJ75" s="45">
        <v>4.1897370986714201E-4</v>
      </c>
    </row>
    <row r="76" spans="1:36" x14ac:dyDescent="0.25">
      <c r="A76">
        <v>1182</v>
      </c>
      <c r="B76">
        <v>1182</v>
      </c>
      <c r="C76" t="s">
        <v>538</v>
      </c>
      <c r="D76" t="s">
        <v>539</v>
      </c>
      <c r="E76" t="s">
        <v>540</v>
      </c>
      <c r="F76" t="s">
        <v>541</v>
      </c>
      <c r="G76" t="s">
        <v>542</v>
      </c>
      <c r="H76" t="s">
        <v>213</v>
      </c>
      <c r="I76" t="s">
        <v>239</v>
      </c>
      <c r="J76" t="s">
        <v>71</v>
      </c>
      <c r="K76" t="s">
        <v>71</v>
      </c>
      <c r="L76" t="s">
        <v>216</v>
      </c>
      <c r="M76" t="s">
        <v>109</v>
      </c>
      <c r="N76" t="s">
        <v>217</v>
      </c>
      <c r="O76" t="s">
        <v>72</v>
      </c>
      <c r="P76" t="s">
        <v>259</v>
      </c>
      <c r="Q76" t="s">
        <v>74</v>
      </c>
      <c r="R76" t="s">
        <v>220</v>
      </c>
      <c r="S76" t="s">
        <v>81</v>
      </c>
      <c r="T76" s="44">
        <v>3.5379999999999998</v>
      </c>
      <c r="U76" t="s">
        <v>543</v>
      </c>
      <c r="V76" s="46">
        <v>6.25E-2</v>
      </c>
      <c r="W76" s="45">
        <v>5.7919999999999999E-2</v>
      </c>
      <c r="X76" t="s">
        <v>222</v>
      </c>
      <c r="Y76" t="s">
        <v>72</v>
      </c>
      <c r="Z76" s="44">
        <v>576871</v>
      </c>
      <c r="AA76" s="42">
        <v>1</v>
      </c>
      <c r="AB76" s="48">
        <v>104.79</v>
      </c>
      <c r="AD76" s="44">
        <v>604.50300000000004</v>
      </c>
      <c r="AG76" t="s">
        <v>16</v>
      </c>
      <c r="AH76" s="45">
        <v>1.049E-3</v>
      </c>
      <c r="AI76" s="45">
        <v>1.48498041453244E-2</v>
      </c>
      <c r="AJ76" s="45">
        <v>1.39615951025648E-3</v>
      </c>
    </row>
    <row r="77" spans="1:36" x14ac:dyDescent="0.25">
      <c r="A77">
        <v>1182</v>
      </c>
      <c r="B77">
        <v>1182</v>
      </c>
      <c r="C77" t="s">
        <v>544</v>
      </c>
      <c r="D77" t="s">
        <v>545</v>
      </c>
      <c r="E77" t="s">
        <v>540</v>
      </c>
      <c r="F77" t="s">
        <v>546</v>
      </c>
      <c r="G77" t="s">
        <v>547</v>
      </c>
      <c r="H77" t="s">
        <v>213</v>
      </c>
      <c r="I77" t="s">
        <v>239</v>
      </c>
      <c r="J77" t="s">
        <v>71</v>
      </c>
      <c r="K77" t="s">
        <v>291</v>
      </c>
      <c r="L77" t="s">
        <v>216</v>
      </c>
      <c r="M77" t="s">
        <v>117</v>
      </c>
      <c r="N77" t="s">
        <v>217</v>
      </c>
      <c r="O77" t="s">
        <v>72</v>
      </c>
      <c r="P77" t="s">
        <v>259</v>
      </c>
      <c r="Q77" t="s">
        <v>74</v>
      </c>
      <c r="R77" t="s">
        <v>220</v>
      </c>
      <c r="S77" t="s">
        <v>81</v>
      </c>
      <c r="T77" s="44">
        <v>1.675</v>
      </c>
      <c r="U77" t="s">
        <v>391</v>
      </c>
      <c r="V77" s="46">
        <v>3.49E-2</v>
      </c>
      <c r="W77" s="45">
        <v>5.8569999999999997E-2</v>
      </c>
      <c r="X77" t="s">
        <v>222</v>
      </c>
      <c r="Y77" t="s">
        <v>72</v>
      </c>
      <c r="Z77" s="44">
        <v>744564</v>
      </c>
      <c r="AA77" s="42">
        <v>1</v>
      </c>
      <c r="AB77" s="48">
        <v>97.15</v>
      </c>
      <c r="AD77" s="44">
        <v>723.34400000000005</v>
      </c>
      <c r="AG77" t="s">
        <v>16</v>
      </c>
      <c r="AH77" s="45">
        <v>7.8700000000000005E-4</v>
      </c>
      <c r="AI77" s="45">
        <v>1.7769164888376099E-2</v>
      </c>
      <c r="AJ77" s="45">
        <v>1.6706340572197401E-3</v>
      </c>
    </row>
    <row r="78" spans="1:36" x14ac:dyDescent="0.25">
      <c r="A78">
        <v>1182</v>
      </c>
      <c r="B78">
        <v>1182</v>
      </c>
      <c r="C78" t="s">
        <v>544</v>
      </c>
      <c r="D78" t="s">
        <v>545</v>
      </c>
      <c r="E78" t="s">
        <v>540</v>
      </c>
      <c r="F78" t="s">
        <v>548</v>
      </c>
      <c r="G78" t="s">
        <v>549</v>
      </c>
      <c r="H78" t="s">
        <v>213</v>
      </c>
      <c r="I78" t="s">
        <v>239</v>
      </c>
      <c r="J78" t="s">
        <v>71</v>
      </c>
      <c r="K78" t="s">
        <v>291</v>
      </c>
      <c r="L78" t="s">
        <v>216</v>
      </c>
      <c r="M78" t="s">
        <v>109</v>
      </c>
      <c r="N78" t="s">
        <v>217</v>
      </c>
      <c r="O78" t="s">
        <v>72</v>
      </c>
      <c r="P78" t="s">
        <v>259</v>
      </c>
      <c r="Q78" t="s">
        <v>74</v>
      </c>
      <c r="R78" t="s">
        <v>220</v>
      </c>
      <c r="S78" t="s">
        <v>81</v>
      </c>
      <c r="T78" s="44">
        <v>4.016</v>
      </c>
      <c r="U78" t="s">
        <v>550</v>
      </c>
      <c r="V78" s="46">
        <v>6.7400000000000002E-2</v>
      </c>
      <c r="W78" s="45">
        <v>6.0229999999999999E-2</v>
      </c>
      <c r="X78" t="s">
        <v>222</v>
      </c>
      <c r="Y78" t="s">
        <v>72</v>
      </c>
      <c r="Z78" s="44">
        <v>381000</v>
      </c>
      <c r="AA78" s="42">
        <v>1</v>
      </c>
      <c r="AB78" s="48">
        <v>106.73</v>
      </c>
      <c r="AD78" s="44">
        <v>406.64100000000002</v>
      </c>
      <c r="AG78" t="s">
        <v>16</v>
      </c>
      <c r="AH78" s="45">
        <v>1.3370000000000001E-3</v>
      </c>
      <c r="AI78" s="45">
        <v>9.9892679683932506E-3</v>
      </c>
      <c r="AJ78" s="45">
        <v>9.3917814255912904E-4</v>
      </c>
    </row>
    <row r="79" spans="1:36" x14ac:dyDescent="0.25">
      <c r="A79">
        <v>1182</v>
      </c>
      <c r="B79">
        <v>1182</v>
      </c>
      <c r="C79" t="s">
        <v>551</v>
      </c>
      <c r="D79" t="s">
        <v>552</v>
      </c>
      <c r="E79" t="s">
        <v>210</v>
      </c>
      <c r="F79" t="s">
        <v>553</v>
      </c>
      <c r="G79" t="s">
        <v>554</v>
      </c>
      <c r="H79" t="s">
        <v>213</v>
      </c>
      <c r="I79" t="s">
        <v>239</v>
      </c>
      <c r="J79" t="s">
        <v>71</v>
      </c>
      <c r="K79" t="s">
        <v>71</v>
      </c>
      <c r="L79" t="s">
        <v>216</v>
      </c>
      <c r="M79" t="s">
        <v>117</v>
      </c>
      <c r="N79" t="s">
        <v>329</v>
      </c>
      <c r="O79" t="s">
        <v>72</v>
      </c>
      <c r="P79" t="s">
        <v>246</v>
      </c>
      <c r="Q79" t="s">
        <v>74</v>
      </c>
      <c r="R79" t="s">
        <v>220</v>
      </c>
      <c r="S79" t="s">
        <v>81</v>
      </c>
      <c r="T79" s="44">
        <v>2.9910000000000001</v>
      </c>
      <c r="U79" t="s">
        <v>555</v>
      </c>
      <c r="V79" s="46">
        <v>4.7300000000000002E-2</v>
      </c>
      <c r="W79" s="45">
        <v>5.0959999999999998E-2</v>
      </c>
      <c r="X79" t="s">
        <v>222</v>
      </c>
      <c r="Y79" t="s">
        <v>72</v>
      </c>
      <c r="Z79" s="44">
        <v>209000</v>
      </c>
      <c r="AA79" s="42">
        <v>1</v>
      </c>
      <c r="AB79" s="48">
        <v>100.21</v>
      </c>
      <c r="AD79" s="44">
        <v>209.43899999999999</v>
      </c>
      <c r="AG79" t="s">
        <v>16</v>
      </c>
      <c r="AH79" s="45">
        <v>4.4499999999999997E-4</v>
      </c>
      <c r="AI79" s="45">
        <v>5.1449306676560301E-3</v>
      </c>
      <c r="AJ79" s="45">
        <v>4.8371977239308202E-4</v>
      </c>
    </row>
    <row r="80" spans="1:36" x14ac:dyDescent="0.25">
      <c r="A80">
        <v>1182</v>
      </c>
      <c r="B80">
        <v>1182</v>
      </c>
      <c r="C80" t="s">
        <v>556</v>
      </c>
      <c r="D80" t="s">
        <v>557</v>
      </c>
      <c r="E80" t="s">
        <v>210</v>
      </c>
      <c r="F80" t="s">
        <v>558</v>
      </c>
      <c r="G80" t="s">
        <v>559</v>
      </c>
      <c r="H80" t="s">
        <v>213</v>
      </c>
      <c r="I80" t="s">
        <v>214</v>
      </c>
      <c r="J80" t="s">
        <v>71</v>
      </c>
      <c r="K80" t="s">
        <v>71</v>
      </c>
      <c r="L80" t="s">
        <v>216</v>
      </c>
      <c r="M80" t="s">
        <v>117</v>
      </c>
      <c r="N80" t="s">
        <v>258</v>
      </c>
      <c r="O80" t="s">
        <v>72</v>
      </c>
      <c r="P80" t="s">
        <v>560</v>
      </c>
      <c r="Q80" t="s">
        <v>219</v>
      </c>
      <c r="R80" t="s">
        <v>220</v>
      </c>
      <c r="S80" t="s">
        <v>81</v>
      </c>
      <c r="T80" s="44">
        <v>2.0680000000000001</v>
      </c>
      <c r="U80" t="s">
        <v>561</v>
      </c>
      <c r="V80" s="46">
        <v>1.77E-2</v>
      </c>
      <c r="W80" s="45">
        <v>2.751E-2</v>
      </c>
      <c r="X80" t="s">
        <v>222</v>
      </c>
      <c r="Y80" t="s">
        <v>72</v>
      </c>
      <c r="Z80" s="44">
        <v>192000</v>
      </c>
      <c r="AA80" s="42">
        <v>1</v>
      </c>
      <c r="AB80" s="48">
        <v>113.81</v>
      </c>
      <c r="AD80" s="44">
        <v>218.51499999999999</v>
      </c>
      <c r="AG80" t="s">
        <v>16</v>
      </c>
      <c r="AH80" s="45">
        <v>7.3999999999999996E-5</v>
      </c>
      <c r="AI80" s="45">
        <v>5.3678927545407797E-3</v>
      </c>
      <c r="AJ80" s="45">
        <v>5.0468238139346998E-4</v>
      </c>
    </row>
    <row r="81" spans="1:36" x14ac:dyDescent="0.25">
      <c r="A81">
        <v>1182</v>
      </c>
      <c r="B81">
        <v>1182</v>
      </c>
      <c r="C81" t="s">
        <v>556</v>
      </c>
      <c r="D81" t="s">
        <v>557</v>
      </c>
      <c r="E81" t="s">
        <v>210</v>
      </c>
      <c r="F81" t="s">
        <v>562</v>
      </c>
      <c r="G81" t="s">
        <v>563</v>
      </c>
      <c r="H81" t="s">
        <v>213</v>
      </c>
      <c r="I81" t="s">
        <v>214</v>
      </c>
      <c r="J81" t="s">
        <v>71</v>
      </c>
      <c r="K81" t="s">
        <v>71</v>
      </c>
      <c r="L81" t="s">
        <v>216</v>
      </c>
      <c r="M81" t="s">
        <v>117</v>
      </c>
      <c r="N81" t="s">
        <v>258</v>
      </c>
      <c r="O81" t="s">
        <v>72</v>
      </c>
      <c r="P81" t="s">
        <v>560</v>
      </c>
      <c r="Q81" t="s">
        <v>74</v>
      </c>
      <c r="R81" t="s">
        <v>220</v>
      </c>
      <c r="S81" t="s">
        <v>81</v>
      </c>
      <c r="T81" s="44">
        <v>6.4729999999999999</v>
      </c>
      <c r="U81" t="s">
        <v>564</v>
      </c>
      <c r="V81" s="46">
        <v>8.9999999999999993E-3</v>
      </c>
      <c r="W81" s="45">
        <v>3.0720000000000001E-2</v>
      </c>
      <c r="X81" t="s">
        <v>222</v>
      </c>
      <c r="Y81" t="s">
        <v>72</v>
      </c>
      <c r="Z81" s="44">
        <v>600000</v>
      </c>
      <c r="AA81" s="42">
        <v>1</v>
      </c>
      <c r="AB81" s="48">
        <v>99.26</v>
      </c>
      <c r="AD81" s="44">
        <v>595.55999999999995</v>
      </c>
      <c r="AG81" t="s">
        <v>16</v>
      </c>
      <c r="AH81" s="45">
        <v>2.1800000000000001E-4</v>
      </c>
      <c r="AI81" s="45">
        <v>1.46301136437845E-2</v>
      </c>
      <c r="AJ81" s="45">
        <v>1.3755044915076599E-3</v>
      </c>
    </row>
    <row r="82" spans="1:36" x14ac:dyDescent="0.25">
      <c r="A82">
        <v>1182</v>
      </c>
      <c r="B82">
        <v>1182</v>
      </c>
      <c r="C82" t="s">
        <v>556</v>
      </c>
      <c r="D82" t="s">
        <v>557</v>
      </c>
      <c r="E82" t="s">
        <v>210</v>
      </c>
      <c r="F82" t="s">
        <v>565</v>
      </c>
      <c r="G82" t="s">
        <v>566</v>
      </c>
      <c r="H82" t="s">
        <v>213</v>
      </c>
      <c r="I82" t="s">
        <v>214</v>
      </c>
      <c r="J82" t="s">
        <v>71</v>
      </c>
      <c r="K82" t="s">
        <v>71</v>
      </c>
      <c r="L82" t="s">
        <v>216</v>
      </c>
      <c r="M82" t="s">
        <v>117</v>
      </c>
      <c r="N82" t="s">
        <v>258</v>
      </c>
      <c r="O82" t="s">
        <v>72</v>
      </c>
      <c r="P82" t="s">
        <v>560</v>
      </c>
      <c r="Q82" t="s">
        <v>74</v>
      </c>
      <c r="R82" t="s">
        <v>220</v>
      </c>
      <c r="S82" t="s">
        <v>81</v>
      </c>
      <c r="T82" s="44">
        <v>9.9939999999999998</v>
      </c>
      <c r="U82" t="s">
        <v>567</v>
      </c>
      <c r="V82" s="46">
        <v>1.6899999999999998E-2</v>
      </c>
      <c r="W82" s="45">
        <v>3.2899999999999999E-2</v>
      </c>
      <c r="X82" t="s">
        <v>222</v>
      </c>
      <c r="Y82" t="s">
        <v>72</v>
      </c>
      <c r="Z82" s="44">
        <v>532888</v>
      </c>
      <c r="AA82" s="42">
        <v>1</v>
      </c>
      <c r="AB82" s="48">
        <v>97.7</v>
      </c>
      <c r="AD82" s="44">
        <v>520.63199999999995</v>
      </c>
      <c r="AG82" t="s">
        <v>16</v>
      </c>
      <c r="AH82" s="45">
        <v>1.22E-4</v>
      </c>
      <c r="AI82" s="45">
        <v>1.2789473979821799E-2</v>
      </c>
      <c r="AJ82" s="45">
        <v>1.20244991471676E-3</v>
      </c>
    </row>
    <row r="83" spans="1:36" x14ac:dyDescent="0.25">
      <c r="A83">
        <v>1182</v>
      </c>
      <c r="B83">
        <v>1182</v>
      </c>
      <c r="C83" t="s">
        <v>556</v>
      </c>
      <c r="D83" t="s">
        <v>557</v>
      </c>
      <c r="E83" t="s">
        <v>210</v>
      </c>
      <c r="F83" t="s">
        <v>568</v>
      </c>
      <c r="G83" t="s">
        <v>569</v>
      </c>
      <c r="H83" t="s">
        <v>213</v>
      </c>
      <c r="I83" t="s">
        <v>214</v>
      </c>
      <c r="J83" t="s">
        <v>71</v>
      </c>
      <c r="K83" t="s">
        <v>71</v>
      </c>
      <c r="L83" t="s">
        <v>216</v>
      </c>
      <c r="M83" t="s">
        <v>109</v>
      </c>
      <c r="N83" t="s">
        <v>258</v>
      </c>
      <c r="O83" t="s">
        <v>72</v>
      </c>
      <c r="P83" t="s">
        <v>560</v>
      </c>
      <c r="Q83" t="s">
        <v>219</v>
      </c>
      <c r="R83" t="s">
        <v>220</v>
      </c>
      <c r="S83" t="s">
        <v>81</v>
      </c>
      <c r="T83" s="44">
        <v>11.904</v>
      </c>
      <c r="U83" t="s">
        <v>570</v>
      </c>
      <c r="V83" s="46">
        <v>3.6700000000000003E-2</v>
      </c>
      <c r="W83" s="45">
        <v>3.4259999999999999E-2</v>
      </c>
      <c r="X83" t="s">
        <v>222</v>
      </c>
      <c r="Y83" t="s">
        <v>72</v>
      </c>
      <c r="Z83" s="44">
        <v>600000</v>
      </c>
      <c r="AA83" s="42">
        <v>1</v>
      </c>
      <c r="AB83" s="48">
        <v>105.88</v>
      </c>
      <c r="AD83" s="44">
        <v>635.28</v>
      </c>
      <c r="AG83" t="s">
        <v>16</v>
      </c>
      <c r="AH83" s="45">
        <v>1.83E-4</v>
      </c>
      <c r="AI83" s="45">
        <v>1.56058475982662E-2</v>
      </c>
      <c r="AJ83" s="45">
        <v>1.46724174451774E-3</v>
      </c>
    </row>
    <row r="84" spans="1:36" x14ac:dyDescent="0.25">
      <c r="A84">
        <v>1182</v>
      </c>
      <c r="B84">
        <v>1182</v>
      </c>
      <c r="C84" t="s">
        <v>88</v>
      </c>
      <c r="D84" t="s">
        <v>571</v>
      </c>
      <c r="E84" t="s">
        <v>210</v>
      </c>
      <c r="F84" t="s">
        <v>572</v>
      </c>
      <c r="G84" t="s">
        <v>573</v>
      </c>
      <c r="H84" t="s">
        <v>213</v>
      </c>
      <c r="I84" t="s">
        <v>214</v>
      </c>
      <c r="J84" t="s">
        <v>71</v>
      </c>
      <c r="K84" t="s">
        <v>71</v>
      </c>
      <c r="L84" t="s">
        <v>216</v>
      </c>
      <c r="M84" t="s">
        <v>117</v>
      </c>
      <c r="N84" t="s">
        <v>365</v>
      </c>
      <c r="O84" t="s">
        <v>72</v>
      </c>
      <c r="P84" t="s">
        <v>228</v>
      </c>
      <c r="Q84" t="s">
        <v>74</v>
      </c>
      <c r="R84" t="s">
        <v>220</v>
      </c>
      <c r="S84" t="s">
        <v>81</v>
      </c>
      <c r="T84" s="44">
        <v>4.3479999999999999</v>
      </c>
      <c r="U84" t="s">
        <v>574</v>
      </c>
      <c r="V84" s="46">
        <v>3.7100000000000001E-2</v>
      </c>
      <c r="W84" s="45">
        <v>3.031E-2</v>
      </c>
      <c r="X84" t="s">
        <v>222</v>
      </c>
      <c r="Y84" t="s">
        <v>72</v>
      </c>
      <c r="Z84" s="44">
        <v>500000</v>
      </c>
      <c r="AA84" s="42">
        <v>1</v>
      </c>
      <c r="AB84" s="48">
        <v>107.64</v>
      </c>
      <c r="AD84" s="44">
        <v>538.20000000000005</v>
      </c>
      <c r="AG84" t="s">
        <v>16</v>
      </c>
      <c r="AH84" s="45">
        <v>1.302E-3</v>
      </c>
      <c r="AI84" s="45">
        <v>1.3221047691391E-2</v>
      </c>
      <c r="AJ84" s="45">
        <v>1.2430259206955201E-3</v>
      </c>
    </row>
    <row r="85" spans="1:36" x14ac:dyDescent="0.25">
      <c r="A85">
        <v>1182</v>
      </c>
      <c r="B85">
        <v>1182</v>
      </c>
      <c r="C85" t="s">
        <v>88</v>
      </c>
      <c r="D85" t="s">
        <v>571</v>
      </c>
      <c r="E85" t="s">
        <v>210</v>
      </c>
      <c r="F85" t="s">
        <v>575</v>
      </c>
      <c r="G85" t="s">
        <v>576</v>
      </c>
      <c r="H85" t="s">
        <v>213</v>
      </c>
      <c r="I85" t="s">
        <v>214</v>
      </c>
      <c r="J85" t="s">
        <v>71</v>
      </c>
      <c r="K85" t="s">
        <v>71</v>
      </c>
      <c r="L85" t="s">
        <v>216</v>
      </c>
      <c r="M85" t="s">
        <v>109</v>
      </c>
      <c r="N85" t="s">
        <v>365</v>
      </c>
      <c r="O85" t="s">
        <v>72</v>
      </c>
      <c r="P85" t="s">
        <v>228</v>
      </c>
      <c r="Q85" t="s">
        <v>74</v>
      </c>
      <c r="R85" t="s">
        <v>220</v>
      </c>
      <c r="S85" t="s">
        <v>81</v>
      </c>
      <c r="T85" s="44">
        <v>6.8019999999999996</v>
      </c>
      <c r="U85" t="s">
        <v>577</v>
      </c>
      <c r="V85" s="46">
        <v>3.4500000000000003E-2</v>
      </c>
      <c r="W85" s="45">
        <v>3.1910000000000001E-2</v>
      </c>
      <c r="X85" t="s">
        <v>222</v>
      </c>
      <c r="Y85" t="s">
        <v>72</v>
      </c>
      <c r="Z85" s="44">
        <v>620000</v>
      </c>
      <c r="AA85" s="42">
        <v>1</v>
      </c>
      <c r="AB85" s="48">
        <v>102.77</v>
      </c>
      <c r="AD85" s="44">
        <v>637.17399999999998</v>
      </c>
      <c r="AG85" t="s">
        <v>16</v>
      </c>
      <c r="AH85" s="45">
        <v>6.7400000000000001E-4</v>
      </c>
      <c r="AI85" s="45">
        <v>1.5652374287838E-2</v>
      </c>
      <c r="AJ85" s="45">
        <v>1.47161612410488E-3</v>
      </c>
    </row>
    <row r="86" spans="1:36" x14ac:dyDescent="0.25">
      <c r="A86">
        <v>1182</v>
      </c>
      <c r="B86">
        <v>1182</v>
      </c>
      <c r="C86" t="s">
        <v>578</v>
      </c>
      <c r="D86" t="s">
        <v>579</v>
      </c>
      <c r="E86" t="s">
        <v>210</v>
      </c>
      <c r="F86" t="s">
        <v>580</v>
      </c>
      <c r="G86" t="s">
        <v>581</v>
      </c>
      <c r="H86" t="s">
        <v>213</v>
      </c>
      <c r="I86" t="s">
        <v>239</v>
      </c>
      <c r="J86" t="s">
        <v>71</v>
      </c>
      <c r="K86" t="s">
        <v>71</v>
      </c>
      <c r="L86" t="s">
        <v>216</v>
      </c>
      <c r="M86" t="s">
        <v>109</v>
      </c>
      <c r="N86" t="s">
        <v>234</v>
      </c>
      <c r="O86" t="s">
        <v>72</v>
      </c>
      <c r="P86" t="s">
        <v>228</v>
      </c>
      <c r="Q86" t="s">
        <v>74</v>
      </c>
      <c r="R86" t="s">
        <v>220</v>
      </c>
      <c r="S86" t="s">
        <v>81</v>
      </c>
      <c r="T86" s="44">
        <v>6.3479999999999999</v>
      </c>
      <c r="U86" t="s">
        <v>582</v>
      </c>
      <c r="V86" s="46">
        <v>5.8599999999999999E-2</v>
      </c>
      <c r="W86" s="45">
        <v>5.2040000000000003E-2</v>
      </c>
      <c r="X86" t="s">
        <v>222</v>
      </c>
      <c r="Y86" t="s">
        <v>72</v>
      </c>
      <c r="Z86" s="44">
        <v>573374</v>
      </c>
      <c r="AA86" s="42">
        <v>1</v>
      </c>
      <c r="AB86" s="48">
        <v>106.56</v>
      </c>
      <c r="AD86" s="44">
        <v>610.98699999999997</v>
      </c>
      <c r="AG86" t="s">
        <v>16</v>
      </c>
      <c r="AH86" s="45">
        <v>2.8739999999999998E-3</v>
      </c>
      <c r="AI86" s="45">
        <v>1.50090908341477E-2</v>
      </c>
      <c r="AJ86" s="45">
        <v>1.4111354401260901E-3</v>
      </c>
    </row>
    <row r="87" spans="1:36" x14ac:dyDescent="0.25">
      <c r="A87">
        <v>1182</v>
      </c>
      <c r="B87">
        <v>1182</v>
      </c>
      <c r="C87" t="s">
        <v>583</v>
      </c>
      <c r="D87" t="s">
        <v>584</v>
      </c>
      <c r="E87" t="s">
        <v>210</v>
      </c>
      <c r="F87" t="s">
        <v>585</v>
      </c>
      <c r="G87" t="s">
        <v>586</v>
      </c>
      <c r="H87" t="s">
        <v>213</v>
      </c>
      <c r="I87" t="s">
        <v>239</v>
      </c>
      <c r="J87" t="s">
        <v>71</v>
      </c>
      <c r="K87" t="s">
        <v>71</v>
      </c>
      <c r="L87" t="s">
        <v>216</v>
      </c>
      <c r="M87" t="s">
        <v>286</v>
      </c>
      <c r="N87" t="s">
        <v>217</v>
      </c>
      <c r="O87" t="s">
        <v>72</v>
      </c>
      <c r="P87" t="s">
        <v>218</v>
      </c>
      <c r="Q87" t="s">
        <v>219</v>
      </c>
      <c r="R87" t="s">
        <v>220</v>
      </c>
      <c r="S87" t="s">
        <v>81</v>
      </c>
      <c r="T87" s="44">
        <v>5.8659999999999997</v>
      </c>
      <c r="U87" t="s">
        <v>384</v>
      </c>
      <c r="V87" s="46">
        <v>5.5899999999999998E-2</v>
      </c>
      <c r="W87" s="45">
        <v>5.8259999999999999E-2</v>
      </c>
      <c r="X87" t="s">
        <v>222</v>
      </c>
      <c r="Y87" t="s">
        <v>72</v>
      </c>
      <c r="Z87" s="44">
        <v>565000</v>
      </c>
      <c r="AA87" s="42">
        <v>1</v>
      </c>
      <c r="AB87" s="48">
        <v>99.28</v>
      </c>
      <c r="AD87" s="44">
        <v>560.93200000000002</v>
      </c>
      <c r="AG87" t="s">
        <v>16</v>
      </c>
      <c r="AH87" s="45">
        <v>2.526E-3</v>
      </c>
      <c r="AI87" s="45">
        <v>1.37794662274756E-2</v>
      </c>
      <c r="AJ87" s="45">
        <v>1.29552771413523E-3</v>
      </c>
    </row>
    <row r="88" spans="1:36" x14ac:dyDescent="0.25">
      <c r="A88">
        <v>1182</v>
      </c>
      <c r="B88">
        <v>1182</v>
      </c>
      <c r="C88" t="s">
        <v>583</v>
      </c>
      <c r="D88" t="s">
        <v>584</v>
      </c>
      <c r="E88" t="s">
        <v>210</v>
      </c>
      <c r="F88" t="s">
        <v>587</v>
      </c>
      <c r="G88" t="s">
        <v>588</v>
      </c>
      <c r="H88" t="s">
        <v>213</v>
      </c>
      <c r="I88" t="s">
        <v>239</v>
      </c>
      <c r="J88" t="s">
        <v>71</v>
      </c>
      <c r="K88" t="s">
        <v>71</v>
      </c>
      <c r="L88" t="s">
        <v>216</v>
      </c>
      <c r="M88" t="s">
        <v>117</v>
      </c>
      <c r="N88" t="s">
        <v>217</v>
      </c>
      <c r="O88" t="s">
        <v>72</v>
      </c>
      <c r="P88" t="s">
        <v>218</v>
      </c>
      <c r="Q88" t="s">
        <v>219</v>
      </c>
      <c r="R88" t="s">
        <v>220</v>
      </c>
      <c r="S88" t="s">
        <v>81</v>
      </c>
      <c r="T88" s="44">
        <v>1.5649999999999999</v>
      </c>
      <c r="U88" t="s">
        <v>589</v>
      </c>
      <c r="V88" s="46">
        <v>2.6499999999999999E-2</v>
      </c>
      <c r="W88" s="45">
        <v>5.5599999999999997E-2</v>
      </c>
      <c r="X88" t="s">
        <v>222</v>
      </c>
      <c r="Y88" t="s">
        <v>72</v>
      </c>
      <c r="Z88" s="44">
        <v>210714.28</v>
      </c>
      <c r="AA88" s="42">
        <v>1</v>
      </c>
      <c r="AB88" s="48">
        <v>95.94</v>
      </c>
      <c r="AD88" s="44">
        <v>202.15899999999999</v>
      </c>
      <c r="AG88" t="s">
        <v>16</v>
      </c>
      <c r="AH88" s="45">
        <v>4.1100000000000002E-4</v>
      </c>
      <c r="AI88" s="45">
        <v>4.9661045804618303E-3</v>
      </c>
      <c r="AJ88" s="45">
        <v>4.6690677338819301E-4</v>
      </c>
    </row>
    <row r="89" spans="1:36" x14ac:dyDescent="0.25">
      <c r="A89">
        <v>1182</v>
      </c>
      <c r="B89">
        <v>1182</v>
      </c>
      <c r="C89" t="s">
        <v>590</v>
      </c>
      <c r="D89" t="s">
        <v>591</v>
      </c>
      <c r="E89" t="s">
        <v>210</v>
      </c>
      <c r="F89" t="s">
        <v>592</v>
      </c>
      <c r="G89" t="s">
        <v>593</v>
      </c>
      <c r="H89" t="s">
        <v>213</v>
      </c>
      <c r="I89" t="s">
        <v>214</v>
      </c>
      <c r="J89" t="s">
        <v>71</v>
      </c>
      <c r="K89" t="s">
        <v>71</v>
      </c>
      <c r="L89" t="s">
        <v>216</v>
      </c>
      <c r="M89" t="s">
        <v>117</v>
      </c>
      <c r="N89" t="s">
        <v>258</v>
      </c>
      <c r="O89" t="s">
        <v>72</v>
      </c>
      <c r="P89" t="s">
        <v>259</v>
      </c>
      <c r="Q89" t="s">
        <v>74</v>
      </c>
      <c r="R89" t="s">
        <v>220</v>
      </c>
      <c r="S89" t="s">
        <v>81</v>
      </c>
      <c r="T89" s="44">
        <v>6.2430000000000003</v>
      </c>
      <c r="U89" t="s">
        <v>594</v>
      </c>
      <c r="V89" s="46">
        <v>2.5000000000000001E-2</v>
      </c>
      <c r="W89" s="45">
        <v>3.1879999999999999E-2</v>
      </c>
      <c r="X89" t="s">
        <v>222</v>
      </c>
      <c r="Y89" t="s">
        <v>72</v>
      </c>
      <c r="Z89" s="44">
        <v>327000</v>
      </c>
      <c r="AA89" s="42">
        <v>1</v>
      </c>
      <c r="AB89" s="48">
        <v>111</v>
      </c>
      <c r="AD89" s="44">
        <v>362.97</v>
      </c>
      <c r="AG89" t="s">
        <v>16</v>
      </c>
      <c r="AH89" s="45">
        <v>3.1199999999999999E-4</v>
      </c>
      <c r="AI89" s="45">
        <v>8.9164691202976605E-3</v>
      </c>
      <c r="AJ89" s="45">
        <v>8.3831497293729599E-4</v>
      </c>
    </row>
    <row r="90" spans="1:36" x14ac:dyDescent="0.25">
      <c r="A90">
        <v>1182</v>
      </c>
      <c r="B90">
        <v>1182</v>
      </c>
      <c r="C90" t="s">
        <v>595</v>
      </c>
      <c r="D90" t="s">
        <v>596</v>
      </c>
      <c r="E90" t="s">
        <v>210</v>
      </c>
      <c r="F90" t="s">
        <v>597</v>
      </c>
      <c r="G90" t="s">
        <v>598</v>
      </c>
      <c r="H90" t="s">
        <v>213</v>
      </c>
      <c r="I90" t="s">
        <v>239</v>
      </c>
      <c r="J90" t="s">
        <v>71</v>
      </c>
      <c r="K90" t="s">
        <v>71</v>
      </c>
      <c r="L90" t="s">
        <v>216</v>
      </c>
      <c r="M90" t="s">
        <v>109</v>
      </c>
      <c r="N90" t="s">
        <v>245</v>
      </c>
      <c r="O90" t="s">
        <v>72</v>
      </c>
      <c r="P90" t="s">
        <v>218</v>
      </c>
      <c r="Q90" t="s">
        <v>219</v>
      </c>
      <c r="R90" t="s">
        <v>220</v>
      </c>
      <c r="S90" t="s">
        <v>81</v>
      </c>
      <c r="T90" s="44">
        <v>3.782</v>
      </c>
      <c r="U90" t="s">
        <v>168</v>
      </c>
      <c r="V90" s="46">
        <v>5.8200000000000002E-2</v>
      </c>
      <c r="W90" s="45">
        <v>5.3960000000000001E-2</v>
      </c>
      <c r="X90" t="s">
        <v>222</v>
      </c>
      <c r="Y90" t="s">
        <v>72</v>
      </c>
      <c r="Z90" s="44">
        <v>251383</v>
      </c>
      <c r="AA90" s="42">
        <v>1</v>
      </c>
      <c r="AB90" s="48">
        <v>105.12</v>
      </c>
      <c r="AD90" s="44">
        <v>264.25400000000002</v>
      </c>
      <c r="AG90" t="s">
        <v>16</v>
      </c>
      <c r="AH90" s="45">
        <v>1.436E-3</v>
      </c>
      <c r="AI90" s="45">
        <v>6.4914756955655201E-3</v>
      </c>
      <c r="AJ90" s="45">
        <v>6.1032020619721005E-4</v>
      </c>
    </row>
    <row r="91" spans="1:36" x14ac:dyDescent="0.25">
      <c r="A91">
        <v>1182</v>
      </c>
      <c r="B91">
        <v>1182</v>
      </c>
      <c r="C91" t="s">
        <v>599</v>
      </c>
      <c r="D91" t="s">
        <v>600</v>
      </c>
      <c r="E91" t="s">
        <v>540</v>
      </c>
      <c r="F91" t="s">
        <v>601</v>
      </c>
      <c r="G91" t="s">
        <v>602</v>
      </c>
      <c r="H91" t="s">
        <v>213</v>
      </c>
      <c r="I91" t="s">
        <v>603</v>
      </c>
      <c r="J91" t="s">
        <v>71</v>
      </c>
      <c r="K91" t="s">
        <v>604</v>
      </c>
      <c r="L91" t="s">
        <v>216</v>
      </c>
      <c r="M91" t="s">
        <v>117</v>
      </c>
      <c r="N91" t="s">
        <v>217</v>
      </c>
      <c r="O91" t="s">
        <v>72</v>
      </c>
      <c r="P91" t="s">
        <v>228</v>
      </c>
      <c r="Q91" t="s">
        <v>219</v>
      </c>
      <c r="R91" t="s">
        <v>220</v>
      </c>
      <c r="S91" t="s">
        <v>81</v>
      </c>
      <c r="T91" s="44">
        <v>2.6120000000000001</v>
      </c>
      <c r="U91" t="s">
        <v>605</v>
      </c>
      <c r="V91" s="46">
        <v>4.2999999999999997E-2</v>
      </c>
      <c r="W91" s="45">
        <v>8.6080000000000004E-2</v>
      </c>
      <c r="X91" t="s">
        <v>222</v>
      </c>
      <c r="Y91" t="s">
        <v>72</v>
      </c>
      <c r="Z91" s="44">
        <v>0.72</v>
      </c>
      <c r="AA91" s="42">
        <v>1</v>
      </c>
      <c r="AB91" s="48">
        <v>91.56</v>
      </c>
      <c r="AD91" s="44">
        <v>1E-3</v>
      </c>
      <c r="AG91" t="s">
        <v>16</v>
      </c>
      <c r="AH91" s="45">
        <v>0</v>
      </c>
      <c r="AI91" s="45">
        <v>1.6194235807675801E-8</v>
      </c>
      <c r="AJ91" s="45">
        <v>1.5225612481455799E-9</v>
      </c>
    </row>
    <row r="92" spans="1:36" x14ac:dyDescent="0.25">
      <c r="A92">
        <v>1182</v>
      </c>
      <c r="B92">
        <v>1182</v>
      </c>
      <c r="C92" t="s">
        <v>606</v>
      </c>
      <c r="D92" t="s">
        <v>607</v>
      </c>
      <c r="E92" t="s">
        <v>210</v>
      </c>
      <c r="F92" t="s">
        <v>608</v>
      </c>
      <c r="G92" t="s">
        <v>609</v>
      </c>
      <c r="H92" t="s">
        <v>213</v>
      </c>
      <c r="I92" t="s">
        <v>239</v>
      </c>
      <c r="J92" t="s">
        <v>71</v>
      </c>
      <c r="K92" t="s">
        <v>71</v>
      </c>
      <c r="L92" t="s">
        <v>216</v>
      </c>
      <c r="M92" t="s">
        <v>109</v>
      </c>
      <c r="N92" t="s">
        <v>610</v>
      </c>
      <c r="O92" t="s">
        <v>72</v>
      </c>
      <c r="P92" t="s">
        <v>246</v>
      </c>
      <c r="Q92" t="s">
        <v>219</v>
      </c>
      <c r="R92" t="s">
        <v>220</v>
      </c>
      <c r="S92" t="s">
        <v>81</v>
      </c>
      <c r="T92" s="44">
        <v>4.7789999999999999</v>
      </c>
      <c r="U92" t="s">
        <v>348</v>
      </c>
      <c r="V92" s="46">
        <v>5.8500000000000003E-2</v>
      </c>
      <c r="W92" s="45">
        <v>5.2679999999999998E-2</v>
      </c>
      <c r="X92" t="s">
        <v>222</v>
      </c>
      <c r="Y92" t="s">
        <v>72</v>
      </c>
      <c r="Z92" s="44">
        <v>332000</v>
      </c>
      <c r="AA92" s="42">
        <v>1</v>
      </c>
      <c r="AB92" s="48">
        <v>106.89</v>
      </c>
      <c r="AD92" s="44">
        <v>354.875</v>
      </c>
      <c r="AG92" t="s">
        <v>16</v>
      </c>
      <c r="AH92" s="45">
        <v>2.1419999999999998E-3</v>
      </c>
      <c r="AI92" s="45">
        <v>8.7176080551335002E-3</v>
      </c>
      <c r="AJ92" s="45">
        <v>8.1961831103983401E-4</v>
      </c>
    </row>
    <row r="93" spans="1:36" x14ac:dyDescent="0.25">
      <c r="A93">
        <v>1182</v>
      </c>
      <c r="B93">
        <v>1182</v>
      </c>
      <c r="C93" t="s">
        <v>611</v>
      </c>
      <c r="D93" t="s">
        <v>612</v>
      </c>
      <c r="E93" t="s">
        <v>613</v>
      </c>
      <c r="F93" t="s">
        <v>614</v>
      </c>
      <c r="G93" t="s">
        <v>615</v>
      </c>
      <c r="H93" t="s">
        <v>213</v>
      </c>
      <c r="I93" t="s">
        <v>603</v>
      </c>
      <c r="J93" t="s">
        <v>85</v>
      </c>
      <c r="K93" t="s">
        <v>291</v>
      </c>
      <c r="L93" t="s">
        <v>216</v>
      </c>
      <c r="M93" t="s">
        <v>286</v>
      </c>
      <c r="N93" t="s">
        <v>616</v>
      </c>
      <c r="O93" t="s">
        <v>72</v>
      </c>
      <c r="P93" t="s">
        <v>560</v>
      </c>
      <c r="Q93" t="s">
        <v>617</v>
      </c>
      <c r="R93" t="s">
        <v>220</v>
      </c>
      <c r="S93" t="s">
        <v>75</v>
      </c>
      <c r="T93" s="44">
        <v>0.111</v>
      </c>
      <c r="U93" t="s">
        <v>618</v>
      </c>
      <c r="V93" s="46">
        <v>3.2000000000000001E-2</v>
      </c>
      <c r="W93" s="45">
        <v>4.5519999999999998E-2</v>
      </c>
      <c r="X93" t="s">
        <v>222</v>
      </c>
      <c r="Y93" t="s">
        <v>72</v>
      </c>
      <c r="Z93" s="44">
        <v>20000</v>
      </c>
      <c r="AA93" s="42">
        <v>3.718</v>
      </c>
      <c r="AB93" s="48">
        <v>101.111</v>
      </c>
      <c r="AD93" s="44">
        <v>75.186000000000007</v>
      </c>
      <c r="AG93" t="s">
        <v>16</v>
      </c>
      <c r="AH93" s="45">
        <v>1.0000000000000001E-5</v>
      </c>
      <c r="AI93" s="45">
        <v>1.84696504651034E-3</v>
      </c>
      <c r="AJ93" s="45">
        <v>1.73649281132682E-4</v>
      </c>
    </row>
    <row r="94" spans="1:36" x14ac:dyDescent="0.25">
      <c r="A94">
        <v>1182</v>
      </c>
      <c r="B94">
        <v>1182</v>
      </c>
      <c r="C94" t="s">
        <v>619</v>
      </c>
      <c r="D94" t="s">
        <v>620</v>
      </c>
      <c r="E94" t="s">
        <v>613</v>
      </c>
      <c r="F94" t="s">
        <v>621</v>
      </c>
      <c r="G94" t="s">
        <v>622</v>
      </c>
      <c r="H94" t="s">
        <v>213</v>
      </c>
      <c r="I94" t="s">
        <v>603</v>
      </c>
      <c r="J94" t="s">
        <v>85</v>
      </c>
      <c r="K94" t="s">
        <v>291</v>
      </c>
      <c r="L94" t="s">
        <v>216</v>
      </c>
      <c r="M94" t="s">
        <v>286</v>
      </c>
      <c r="N94" t="s">
        <v>616</v>
      </c>
      <c r="O94" t="s">
        <v>72</v>
      </c>
      <c r="P94" t="s">
        <v>371</v>
      </c>
      <c r="Q94" t="s">
        <v>617</v>
      </c>
      <c r="R94" t="s">
        <v>220</v>
      </c>
      <c r="S94" t="s">
        <v>75</v>
      </c>
      <c r="T94" s="44">
        <v>0.11700000000000001</v>
      </c>
      <c r="U94" t="s">
        <v>623</v>
      </c>
      <c r="V94" s="46">
        <v>7.4999999999999997E-2</v>
      </c>
      <c r="W94" s="45">
        <v>5.815E-2</v>
      </c>
      <c r="X94" t="s">
        <v>222</v>
      </c>
      <c r="Y94" t="s">
        <v>72</v>
      </c>
      <c r="Z94" s="44">
        <v>30000</v>
      </c>
      <c r="AA94" s="42">
        <v>3.718</v>
      </c>
      <c r="AB94" s="48">
        <v>103.215</v>
      </c>
      <c r="AD94" s="44">
        <v>115.126</v>
      </c>
      <c r="AG94" t="s">
        <v>16</v>
      </c>
      <c r="AH94" s="45">
        <v>1.1900000000000001E-4</v>
      </c>
      <c r="AI94" s="45">
        <v>2.8281139092857402E-3</v>
      </c>
      <c r="AJ94" s="45">
        <v>2.6589563686475498E-4</v>
      </c>
    </row>
    <row r="95" spans="1:36" x14ac:dyDescent="0.25">
      <c r="A95">
        <v>1182</v>
      </c>
      <c r="B95">
        <v>1182</v>
      </c>
      <c r="C95" t="s">
        <v>624</v>
      </c>
      <c r="D95" t="s">
        <v>625</v>
      </c>
      <c r="E95" t="s">
        <v>210</v>
      </c>
      <c r="F95" t="s">
        <v>626</v>
      </c>
      <c r="G95" t="s">
        <v>627</v>
      </c>
      <c r="H95" t="s">
        <v>213</v>
      </c>
      <c r="I95" t="s">
        <v>603</v>
      </c>
      <c r="J95" t="s">
        <v>85</v>
      </c>
      <c r="K95" t="s">
        <v>291</v>
      </c>
      <c r="L95" t="s">
        <v>216</v>
      </c>
      <c r="M95" t="s">
        <v>286</v>
      </c>
      <c r="N95" t="s">
        <v>628</v>
      </c>
      <c r="O95" t="s">
        <v>72</v>
      </c>
      <c r="P95" t="s">
        <v>629</v>
      </c>
      <c r="Q95" t="s">
        <v>617</v>
      </c>
      <c r="R95" t="s">
        <v>220</v>
      </c>
      <c r="S95" t="s">
        <v>77</v>
      </c>
      <c r="T95" s="44">
        <v>4.3479999999999999</v>
      </c>
      <c r="U95" t="s">
        <v>630</v>
      </c>
      <c r="V95" s="46">
        <v>4.3749999999999997E-2</v>
      </c>
      <c r="W95" s="45">
        <v>4.4729999999999999E-2</v>
      </c>
      <c r="X95" t="s">
        <v>222</v>
      </c>
      <c r="Y95" t="s">
        <v>72</v>
      </c>
      <c r="Z95" s="44">
        <v>124000</v>
      </c>
      <c r="AA95" s="42">
        <v>4.0218999999999996</v>
      </c>
      <c r="AB95" s="48">
        <v>101.59099999999999</v>
      </c>
      <c r="AD95" s="44">
        <v>506.649</v>
      </c>
      <c r="AG95" t="s">
        <v>16</v>
      </c>
      <c r="AH95" s="45">
        <v>8.2999999999999998E-5</v>
      </c>
      <c r="AI95" s="45">
        <v>1.2445991842850199E-2</v>
      </c>
      <c r="AJ95" s="45">
        <v>1.1701561654226299E-3</v>
      </c>
    </row>
    <row r="96" spans="1:36" x14ac:dyDescent="0.25">
      <c r="A96">
        <v>1182</v>
      </c>
      <c r="B96">
        <v>14769</v>
      </c>
      <c r="C96" t="s">
        <v>241</v>
      </c>
      <c r="D96" t="s">
        <v>242</v>
      </c>
      <c r="E96" t="s">
        <v>210</v>
      </c>
      <c r="F96" t="s">
        <v>243</v>
      </c>
      <c r="G96" t="s">
        <v>244</v>
      </c>
      <c r="H96" t="s">
        <v>213</v>
      </c>
      <c r="I96" t="s">
        <v>239</v>
      </c>
      <c r="J96" t="s">
        <v>71</v>
      </c>
      <c r="K96" t="s">
        <v>71</v>
      </c>
      <c r="L96" t="s">
        <v>216</v>
      </c>
      <c r="M96" t="s">
        <v>117</v>
      </c>
      <c r="N96" t="s">
        <v>245</v>
      </c>
      <c r="O96" t="s">
        <v>72</v>
      </c>
      <c r="P96" t="s">
        <v>246</v>
      </c>
      <c r="Q96" t="s">
        <v>219</v>
      </c>
      <c r="R96" t="s">
        <v>220</v>
      </c>
      <c r="S96" t="s">
        <v>81</v>
      </c>
      <c r="T96" s="44">
        <v>2.169</v>
      </c>
      <c r="U96" t="s">
        <v>247</v>
      </c>
      <c r="V96" s="46">
        <v>2.5499999999999998E-2</v>
      </c>
      <c r="W96" s="45">
        <v>5.432E-2</v>
      </c>
      <c r="X96" t="s">
        <v>222</v>
      </c>
      <c r="Y96" t="s">
        <v>72</v>
      </c>
      <c r="Z96" s="44">
        <v>7433.25</v>
      </c>
      <c r="AA96" s="42">
        <v>1</v>
      </c>
      <c r="AB96" s="48">
        <v>94.76</v>
      </c>
      <c r="AD96" s="44">
        <v>7.0439999999999996</v>
      </c>
      <c r="AG96" t="s">
        <v>16</v>
      </c>
      <c r="AH96" s="45">
        <v>1.1E-5</v>
      </c>
      <c r="AI96" s="45">
        <v>1.8253042039086498E-2</v>
      </c>
      <c r="AJ96" s="45">
        <v>3.0407924331733E-4</v>
      </c>
    </row>
    <row r="97" spans="1:36" x14ac:dyDescent="0.25">
      <c r="A97">
        <v>1182</v>
      </c>
      <c r="B97">
        <v>14769</v>
      </c>
      <c r="C97" t="s">
        <v>268</v>
      </c>
      <c r="D97" t="s">
        <v>269</v>
      </c>
      <c r="E97" t="s">
        <v>210</v>
      </c>
      <c r="F97" t="s">
        <v>274</v>
      </c>
      <c r="G97" t="s">
        <v>275</v>
      </c>
      <c r="H97" t="s">
        <v>213</v>
      </c>
      <c r="I97" t="s">
        <v>239</v>
      </c>
      <c r="J97" t="s">
        <v>71</v>
      </c>
      <c r="K97" t="s">
        <v>71</v>
      </c>
      <c r="L97" t="s">
        <v>216</v>
      </c>
      <c r="M97" t="s">
        <v>117</v>
      </c>
      <c r="N97" t="s">
        <v>272</v>
      </c>
      <c r="O97" t="s">
        <v>72</v>
      </c>
      <c r="P97" t="s">
        <v>246</v>
      </c>
      <c r="Q97" t="s">
        <v>74</v>
      </c>
      <c r="R97" t="s">
        <v>220</v>
      </c>
      <c r="S97" t="s">
        <v>81</v>
      </c>
      <c r="T97" s="44">
        <v>4.9290000000000003</v>
      </c>
      <c r="U97" t="s">
        <v>276</v>
      </c>
      <c r="V97" s="46">
        <v>2.07E-2</v>
      </c>
      <c r="W97" s="45">
        <v>5.3780000000000001E-2</v>
      </c>
      <c r="X97" t="s">
        <v>222</v>
      </c>
      <c r="Y97" t="s">
        <v>72</v>
      </c>
      <c r="Z97" s="44">
        <v>14105.32</v>
      </c>
      <c r="AA97" s="42">
        <v>1</v>
      </c>
      <c r="AB97" s="48">
        <v>85.61</v>
      </c>
      <c r="AD97" s="44">
        <v>12.076000000000001</v>
      </c>
      <c r="AG97" t="s">
        <v>16</v>
      </c>
      <c r="AH97" s="45">
        <v>1.9000000000000001E-5</v>
      </c>
      <c r="AI97" s="45">
        <v>3.12924021381479E-2</v>
      </c>
      <c r="AJ97" s="45">
        <v>5.2130324048855396E-4</v>
      </c>
    </row>
    <row r="98" spans="1:36" x14ac:dyDescent="0.25">
      <c r="A98">
        <v>1182</v>
      </c>
      <c r="B98">
        <v>14769</v>
      </c>
      <c r="C98" t="s">
        <v>277</v>
      </c>
      <c r="D98" t="s">
        <v>278</v>
      </c>
      <c r="E98" t="s">
        <v>210</v>
      </c>
      <c r="F98" t="s">
        <v>279</v>
      </c>
      <c r="G98" t="s">
        <v>280</v>
      </c>
      <c r="H98" t="s">
        <v>213</v>
      </c>
      <c r="I98" t="s">
        <v>239</v>
      </c>
      <c r="J98" t="s">
        <v>71</v>
      </c>
      <c r="K98" t="s">
        <v>71</v>
      </c>
      <c r="L98" t="s">
        <v>216</v>
      </c>
      <c r="M98" t="s">
        <v>117</v>
      </c>
      <c r="N98" t="s">
        <v>217</v>
      </c>
      <c r="O98" t="s">
        <v>72</v>
      </c>
      <c r="P98" t="s">
        <v>235</v>
      </c>
      <c r="Q98" t="s">
        <v>219</v>
      </c>
      <c r="R98" t="s">
        <v>220</v>
      </c>
      <c r="S98" t="s">
        <v>81</v>
      </c>
      <c r="T98" s="44">
        <v>4.1399999999999997</v>
      </c>
      <c r="U98" t="s">
        <v>281</v>
      </c>
      <c r="V98" s="46">
        <v>6.0699999999999997E-2</v>
      </c>
      <c r="W98" s="45">
        <v>5.9700000000000003E-2</v>
      </c>
      <c r="X98" t="s">
        <v>222</v>
      </c>
      <c r="Y98" t="s">
        <v>72</v>
      </c>
      <c r="Z98" s="44">
        <v>19861</v>
      </c>
      <c r="AA98" s="42">
        <v>1</v>
      </c>
      <c r="AB98" s="48">
        <v>102.73</v>
      </c>
      <c r="AD98" s="44">
        <v>20.402999999999999</v>
      </c>
      <c r="AG98" t="s">
        <v>16</v>
      </c>
      <c r="AH98" s="45">
        <v>4.8000000000000001E-5</v>
      </c>
      <c r="AI98" s="45">
        <v>5.2872501959860499E-2</v>
      </c>
      <c r="AJ98" s="45">
        <v>8.8080827041436003E-4</v>
      </c>
    </row>
    <row r="99" spans="1:36" x14ac:dyDescent="0.25">
      <c r="A99">
        <v>1182</v>
      </c>
      <c r="B99">
        <v>14769</v>
      </c>
      <c r="C99" t="s">
        <v>282</v>
      </c>
      <c r="D99" t="s">
        <v>283</v>
      </c>
      <c r="E99" t="s">
        <v>210</v>
      </c>
      <c r="F99" t="s">
        <v>289</v>
      </c>
      <c r="G99" t="s">
        <v>290</v>
      </c>
      <c r="H99" t="s">
        <v>213</v>
      </c>
      <c r="I99" t="s">
        <v>239</v>
      </c>
      <c r="J99" t="s">
        <v>71</v>
      </c>
      <c r="K99" t="s">
        <v>291</v>
      </c>
      <c r="L99" t="s">
        <v>216</v>
      </c>
      <c r="M99" t="s">
        <v>117</v>
      </c>
      <c r="N99" t="s">
        <v>287</v>
      </c>
      <c r="O99" t="s">
        <v>72</v>
      </c>
      <c r="P99" t="s">
        <v>218</v>
      </c>
      <c r="Q99" t="s">
        <v>219</v>
      </c>
      <c r="R99" t="s">
        <v>220</v>
      </c>
      <c r="S99" t="s">
        <v>81</v>
      </c>
      <c r="T99" s="44">
        <v>3.2930000000000001</v>
      </c>
      <c r="U99" t="s">
        <v>292</v>
      </c>
      <c r="V99" s="46">
        <v>1.4999999999999999E-2</v>
      </c>
      <c r="W99" s="45">
        <v>5.5910000000000001E-2</v>
      </c>
      <c r="X99" t="s">
        <v>222</v>
      </c>
      <c r="Y99" t="s">
        <v>72</v>
      </c>
      <c r="Z99" s="44">
        <v>31783</v>
      </c>
      <c r="AA99" s="42">
        <v>1</v>
      </c>
      <c r="AB99" s="48">
        <v>87.84</v>
      </c>
      <c r="AD99" s="44">
        <v>27.917999999999999</v>
      </c>
      <c r="AG99" t="s">
        <v>16</v>
      </c>
      <c r="AH99" s="45">
        <v>2.6999999999999999E-5</v>
      </c>
      <c r="AI99" s="45">
        <v>7.2346691891972098E-2</v>
      </c>
      <c r="AJ99" s="45">
        <v>1.2052307379731299E-3</v>
      </c>
    </row>
    <row r="100" spans="1:36" x14ac:dyDescent="0.25">
      <c r="A100">
        <v>1182</v>
      </c>
      <c r="B100">
        <v>14769</v>
      </c>
      <c r="C100" t="s">
        <v>293</v>
      </c>
      <c r="D100" t="s">
        <v>294</v>
      </c>
      <c r="E100" t="s">
        <v>210</v>
      </c>
      <c r="F100" t="s">
        <v>295</v>
      </c>
      <c r="G100" t="s">
        <v>296</v>
      </c>
      <c r="H100" t="s">
        <v>213</v>
      </c>
      <c r="I100" t="s">
        <v>239</v>
      </c>
      <c r="J100" t="s">
        <v>71</v>
      </c>
      <c r="K100" t="s">
        <v>71</v>
      </c>
      <c r="L100" t="s">
        <v>216</v>
      </c>
      <c r="M100" t="s">
        <v>117</v>
      </c>
      <c r="N100" t="s">
        <v>287</v>
      </c>
      <c r="O100" t="s">
        <v>72</v>
      </c>
      <c r="P100" t="s">
        <v>218</v>
      </c>
      <c r="Q100" t="s">
        <v>74</v>
      </c>
      <c r="R100" t="s">
        <v>220</v>
      </c>
      <c r="S100" t="s">
        <v>81</v>
      </c>
      <c r="T100" s="44">
        <v>2.6560000000000001</v>
      </c>
      <c r="U100" t="s">
        <v>297</v>
      </c>
      <c r="V100" s="46">
        <v>2.0500000000000001E-2</v>
      </c>
      <c r="W100" s="45">
        <v>5.4919999999999997E-2</v>
      </c>
      <c r="X100" t="s">
        <v>222</v>
      </c>
      <c r="Y100" t="s">
        <v>72</v>
      </c>
      <c r="Z100" s="44">
        <v>22000</v>
      </c>
      <c r="AA100" s="42">
        <v>1</v>
      </c>
      <c r="AB100" s="48">
        <v>91.77</v>
      </c>
      <c r="AD100" s="44">
        <v>20.189</v>
      </c>
      <c r="AG100" t="s">
        <v>16</v>
      </c>
      <c r="AH100" s="45">
        <v>2.3E-5</v>
      </c>
      <c r="AI100" s="45">
        <v>5.2318450722465999E-2</v>
      </c>
      <c r="AJ100" s="45">
        <v>8.7157827572825904E-4</v>
      </c>
    </row>
    <row r="101" spans="1:36" x14ac:dyDescent="0.25">
      <c r="A101">
        <v>1182</v>
      </c>
      <c r="B101">
        <v>14769</v>
      </c>
      <c r="C101" t="s">
        <v>298</v>
      </c>
      <c r="D101" t="s">
        <v>299</v>
      </c>
      <c r="E101" t="s">
        <v>210</v>
      </c>
      <c r="F101" t="s">
        <v>306</v>
      </c>
      <c r="G101" t="s">
        <v>307</v>
      </c>
      <c r="H101" t="s">
        <v>213</v>
      </c>
      <c r="I101" t="s">
        <v>214</v>
      </c>
      <c r="J101" t="s">
        <v>71</v>
      </c>
      <c r="K101" t="s">
        <v>71</v>
      </c>
      <c r="L101" t="s">
        <v>216</v>
      </c>
      <c r="M101" t="s">
        <v>109</v>
      </c>
      <c r="N101" t="s">
        <v>217</v>
      </c>
      <c r="O101" t="s">
        <v>72</v>
      </c>
      <c r="P101" t="s">
        <v>246</v>
      </c>
      <c r="Q101" t="s">
        <v>74</v>
      </c>
      <c r="R101" t="s">
        <v>220</v>
      </c>
      <c r="S101" t="s">
        <v>81</v>
      </c>
      <c r="T101" s="44">
        <v>6.8319999999999999</v>
      </c>
      <c r="U101" t="s">
        <v>308</v>
      </c>
      <c r="V101" s="46">
        <v>4.02E-2</v>
      </c>
      <c r="W101" s="45">
        <v>3.5560000000000001E-2</v>
      </c>
      <c r="X101" t="s">
        <v>222</v>
      </c>
      <c r="Y101" t="s">
        <v>72</v>
      </c>
      <c r="Z101" s="44">
        <v>15000</v>
      </c>
      <c r="AA101" s="42">
        <v>1</v>
      </c>
      <c r="AB101" s="48">
        <v>104.52</v>
      </c>
      <c r="AD101" s="44">
        <v>15.678000000000001</v>
      </c>
      <c r="AG101" t="s">
        <v>16</v>
      </c>
      <c r="AH101" s="45">
        <v>1.9000000000000001E-5</v>
      </c>
      <c r="AI101" s="45">
        <v>4.0627689303635701E-2</v>
      </c>
      <c r="AJ101" s="45">
        <v>6.7682071814257195E-4</v>
      </c>
    </row>
    <row r="102" spans="1:36" x14ac:dyDescent="0.25">
      <c r="A102">
        <v>1182</v>
      </c>
      <c r="B102">
        <v>14769</v>
      </c>
      <c r="C102" t="s">
        <v>312</v>
      </c>
      <c r="D102" t="s">
        <v>313</v>
      </c>
      <c r="E102" t="s">
        <v>210</v>
      </c>
      <c r="F102" t="s">
        <v>314</v>
      </c>
      <c r="G102" t="s">
        <v>315</v>
      </c>
      <c r="H102" t="s">
        <v>213</v>
      </c>
      <c r="I102" t="s">
        <v>214</v>
      </c>
      <c r="J102" t="s">
        <v>71</v>
      </c>
      <c r="K102" t="s">
        <v>71</v>
      </c>
      <c r="L102" t="s">
        <v>216</v>
      </c>
      <c r="M102" t="s">
        <v>117</v>
      </c>
      <c r="N102" t="s">
        <v>258</v>
      </c>
      <c r="O102" t="s">
        <v>72</v>
      </c>
      <c r="P102" t="s">
        <v>218</v>
      </c>
      <c r="Q102" t="s">
        <v>74</v>
      </c>
      <c r="R102" t="s">
        <v>220</v>
      </c>
      <c r="S102" t="s">
        <v>81</v>
      </c>
      <c r="T102" s="44">
        <v>5.7060000000000004</v>
      </c>
      <c r="U102" t="s">
        <v>316</v>
      </c>
      <c r="V102" s="46">
        <v>3.6799999999999999E-2</v>
      </c>
      <c r="W102" s="45">
        <v>3.5349999999999999E-2</v>
      </c>
      <c r="X102" t="s">
        <v>222</v>
      </c>
      <c r="Y102" t="s">
        <v>72</v>
      </c>
      <c r="Z102" s="44">
        <v>28130</v>
      </c>
      <c r="AA102" s="42">
        <v>1</v>
      </c>
      <c r="AB102" s="48">
        <v>105.69</v>
      </c>
      <c r="AD102" s="44">
        <v>29.731000000000002</v>
      </c>
      <c r="AG102" t="s">
        <v>16</v>
      </c>
      <c r="AH102" s="45">
        <v>6.3E-5</v>
      </c>
      <c r="AI102" s="45">
        <v>7.7043338291083202E-2</v>
      </c>
      <c r="AJ102" s="45">
        <v>1.2834726376034799E-3</v>
      </c>
    </row>
    <row r="103" spans="1:36" x14ac:dyDescent="0.25">
      <c r="A103">
        <v>1182</v>
      </c>
      <c r="B103">
        <v>14769</v>
      </c>
      <c r="C103" t="s">
        <v>331</v>
      </c>
      <c r="D103" t="s">
        <v>332</v>
      </c>
      <c r="E103" t="s">
        <v>210</v>
      </c>
      <c r="F103" t="s">
        <v>338</v>
      </c>
      <c r="G103" t="s">
        <v>339</v>
      </c>
      <c r="H103" t="s">
        <v>213</v>
      </c>
      <c r="I103" t="s">
        <v>214</v>
      </c>
      <c r="J103" t="s">
        <v>71</v>
      </c>
      <c r="K103" t="s">
        <v>71</v>
      </c>
      <c r="L103" t="s">
        <v>216</v>
      </c>
      <c r="M103" t="s">
        <v>117</v>
      </c>
      <c r="N103" t="s">
        <v>258</v>
      </c>
      <c r="O103" t="s">
        <v>72</v>
      </c>
      <c r="P103" t="s">
        <v>228</v>
      </c>
      <c r="Q103" t="s">
        <v>74</v>
      </c>
      <c r="R103" t="s">
        <v>220</v>
      </c>
      <c r="S103" t="s">
        <v>81</v>
      </c>
      <c r="T103" s="44">
        <v>4.8780000000000001</v>
      </c>
      <c r="U103" t="s">
        <v>340</v>
      </c>
      <c r="V103" s="46">
        <v>1.8700000000000001E-2</v>
      </c>
      <c r="W103" s="45">
        <v>3.1629999999999998E-2</v>
      </c>
      <c r="X103" t="s">
        <v>222</v>
      </c>
      <c r="Y103" t="s">
        <v>72</v>
      </c>
      <c r="Z103" s="44">
        <v>30000</v>
      </c>
      <c r="AA103" s="42">
        <v>1</v>
      </c>
      <c r="AB103" s="48">
        <v>105.08</v>
      </c>
      <c r="AD103" s="44">
        <v>31.524000000000001</v>
      </c>
      <c r="AG103" t="s">
        <v>16</v>
      </c>
      <c r="AH103" s="45">
        <v>2.9E-5</v>
      </c>
      <c r="AI103" s="45">
        <v>8.1690730807999101E-2</v>
      </c>
      <c r="AJ103" s="45">
        <v>1.36089401191009E-3</v>
      </c>
    </row>
    <row r="104" spans="1:36" x14ac:dyDescent="0.25">
      <c r="A104">
        <v>1182</v>
      </c>
      <c r="B104">
        <v>14769</v>
      </c>
      <c r="C104" t="s">
        <v>320</v>
      </c>
      <c r="D104" t="s">
        <v>321</v>
      </c>
      <c r="E104" t="s">
        <v>210</v>
      </c>
      <c r="F104" t="s">
        <v>341</v>
      </c>
      <c r="G104" t="s">
        <v>342</v>
      </c>
      <c r="H104" t="s">
        <v>213</v>
      </c>
      <c r="I104" t="s">
        <v>239</v>
      </c>
      <c r="J104" t="s">
        <v>71</v>
      </c>
      <c r="K104" t="s">
        <v>71</v>
      </c>
      <c r="L104" t="s">
        <v>216</v>
      </c>
      <c r="M104" t="s">
        <v>117</v>
      </c>
      <c r="N104" t="s">
        <v>234</v>
      </c>
      <c r="O104" t="s">
        <v>72</v>
      </c>
      <c r="P104" t="s">
        <v>246</v>
      </c>
      <c r="Q104" t="s">
        <v>74</v>
      </c>
      <c r="R104" t="s">
        <v>220</v>
      </c>
      <c r="S104" t="s">
        <v>81</v>
      </c>
      <c r="T104" s="44">
        <v>4.2629999999999999</v>
      </c>
      <c r="U104" t="s">
        <v>343</v>
      </c>
      <c r="V104" s="46">
        <v>5.7500000000000002E-2</v>
      </c>
      <c r="W104" s="45">
        <v>5.493E-2</v>
      </c>
      <c r="X104" t="s">
        <v>222</v>
      </c>
      <c r="Y104" t="s">
        <v>72</v>
      </c>
      <c r="Z104" s="44">
        <v>7993</v>
      </c>
      <c r="AA104" s="42">
        <v>1</v>
      </c>
      <c r="AB104" s="48">
        <v>101.46</v>
      </c>
      <c r="AD104" s="44">
        <v>8.11</v>
      </c>
      <c r="AG104" t="s">
        <v>16</v>
      </c>
      <c r="AH104" s="45">
        <v>1.5E-5</v>
      </c>
      <c r="AI104" s="45">
        <v>2.10153260980213E-2</v>
      </c>
      <c r="AJ104" s="45">
        <v>3.50096408273711E-4</v>
      </c>
    </row>
    <row r="105" spans="1:36" x14ac:dyDescent="0.25">
      <c r="A105">
        <v>1182</v>
      </c>
      <c r="B105">
        <v>14769</v>
      </c>
      <c r="C105" t="s">
        <v>344</v>
      </c>
      <c r="D105" t="s">
        <v>345</v>
      </c>
      <c r="E105" t="s">
        <v>210</v>
      </c>
      <c r="F105" t="s">
        <v>352</v>
      </c>
      <c r="G105" t="s">
        <v>353</v>
      </c>
      <c r="H105" t="s">
        <v>213</v>
      </c>
      <c r="I105" t="s">
        <v>214</v>
      </c>
      <c r="J105" t="s">
        <v>71</v>
      </c>
      <c r="K105" t="s">
        <v>71</v>
      </c>
      <c r="L105" t="s">
        <v>216</v>
      </c>
      <c r="M105" t="s">
        <v>117</v>
      </c>
      <c r="N105" t="s">
        <v>258</v>
      </c>
      <c r="O105" t="s">
        <v>72</v>
      </c>
      <c r="P105" t="s">
        <v>259</v>
      </c>
      <c r="Q105" t="s">
        <v>74</v>
      </c>
      <c r="R105" t="s">
        <v>220</v>
      </c>
      <c r="S105" t="s">
        <v>81</v>
      </c>
      <c r="T105" s="44">
        <v>4.673</v>
      </c>
      <c r="U105" t="s">
        <v>354</v>
      </c>
      <c r="V105" s="46">
        <v>5.8999999999999999E-3</v>
      </c>
      <c r="W105" s="45">
        <v>3.0779999999999998E-2</v>
      </c>
      <c r="X105" t="s">
        <v>222</v>
      </c>
      <c r="Y105" t="s">
        <v>72</v>
      </c>
      <c r="Z105" s="44">
        <v>8614</v>
      </c>
      <c r="AA105" s="42">
        <v>1</v>
      </c>
      <c r="AB105" s="48">
        <v>100.11</v>
      </c>
      <c r="AD105" s="44">
        <v>8.6229999999999993</v>
      </c>
      <c r="AG105" t="s">
        <v>16</v>
      </c>
      <c r="AH105" s="45">
        <v>6.0000000000000002E-6</v>
      </c>
      <c r="AI105" s="45">
        <v>2.2346720198287099E-2</v>
      </c>
      <c r="AJ105" s="45">
        <v>3.7227623504992998E-4</v>
      </c>
    </row>
    <row r="106" spans="1:36" x14ac:dyDescent="0.25">
      <c r="A106">
        <v>1182</v>
      </c>
      <c r="B106">
        <v>14769</v>
      </c>
      <c r="C106" t="s">
        <v>377</v>
      </c>
      <c r="D106" t="s">
        <v>378</v>
      </c>
      <c r="E106" t="s">
        <v>210</v>
      </c>
      <c r="F106" t="s">
        <v>382</v>
      </c>
      <c r="G106" t="s">
        <v>383</v>
      </c>
      <c r="H106" t="s">
        <v>213</v>
      </c>
      <c r="I106" t="s">
        <v>214</v>
      </c>
      <c r="J106" t="s">
        <v>71</v>
      </c>
      <c r="K106" t="s">
        <v>71</v>
      </c>
      <c r="L106" t="s">
        <v>216</v>
      </c>
      <c r="M106" t="s">
        <v>117</v>
      </c>
      <c r="N106" t="s">
        <v>234</v>
      </c>
      <c r="O106" t="s">
        <v>72</v>
      </c>
      <c r="P106" t="s">
        <v>235</v>
      </c>
      <c r="Q106" t="s">
        <v>74</v>
      </c>
      <c r="R106" t="s">
        <v>220</v>
      </c>
      <c r="S106" t="s">
        <v>81</v>
      </c>
      <c r="T106" s="44">
        <v>5.7770000000000001</v>
      </c>
      <c r="U106" t="s">
        <v>384</v>
      </c>
      <c r="V106" s="46">
        <v>3.3000000000000002E-2</v>
      </c>
      <c r="W106" s="45">
        <v>3.7769999999999998E-2</v>
      </c>
      <c r="X106" t="s">
        <v>222</v>
      </c>
      <c r="Y106" t="s">
        <v>72</v>
      </c>
      <c r="Z106" s="44">
        <v>7440.93</v>
      </c>
      <c r="AA106" s="42">
        <v>1</v>
      </c>
      <c r="AB106" s="48">
        <v>104.23</v>
      </c>
      <c r="AD106" s="44">
        <v>7.7560000000000002</v>
      </c>
      <c r="AG106" t="s">
        <v>16</v>
      </c>
      <c r="AH106" s="45">
        <v>6.0000000000000002E-6</v>
      </c>
      <c r="AI106" s="45">
        <v>2.00979341611747E-2</v>
      </c>
      <c r="AJ106" s="45">
        <v>3.3481348472681001E-4</v>
      </c>
    </row>
    <row r="107" spans="1:36" x14ac:dyDescent="0.25">
      <c r="A107">
        <v>1182</v>
      </c>
      <c r="B107">
        <v>14769</v>
      </c>
      <c r="C107" t="s">
        <v>385</v>
      </c>
      <c r="D107" t="s">
        <v>386</v>
      </c>
      <c r="E107" t="s">
        <v>210</v>
      </c>
      <c r="F107" t="s">
        <v>387</v>
      </c>
      <c r="G107" t="s">
        <v>388</v>
      </c>
      <c r="H107" t="s">
        <v>213</v>
      </c>
      <c r="I107" t="s">
        <v>214</v>
      </c>
      <c r="J107" t="s">
        <v>71</v>
      </c>
      <c r="K107" t="s">
        <v>71</v>
      </c>
      <c r="L107" t="s">
        <v>216</v>
      </c>
      <c r="M107" t="s">
        <v>117</v>
      </c>
      <c r="N107" t="s">
        <v>258</v>
      </c>
      <c r="O107" t="s">
        <v>72</v>
      </c>
      <c r="P107" t="s">
        <v>235</v>
      </c>
      <c r="Q107" t="s">
        <v>74</v>
      </c>
      <c r="R107" t="s">
        <v>220</v>
      </c>
      <c r="S107" t="s">
        <v>81</v>
      </c>
      <c r="T107" s="44">
        <v>2.1389999999999998</v>
      </c>
      <c r="U107" t="s">
        <v>247</v>
      </c>
      <c r="V107" s="46">
        <v>3.6499999999999998E-2</v>
      </c>
      <c r="W107" s="45">
        <v>3.637E-2</v>
      </c>
      <c r="X107" t="s">
        <v>222</v>
      </c>
      <c r="Y107" t="s">
        <v>72</v>
      </c>
      <c r="Z107" s="44">
        <v>6289.6</v>
      </c>
      <c r="AA107" s="42">
        <v>1</v>
      </c>
      <c r="AB107" s="48">
        <v>108.36</v>
      </c>
      <c r="AD107" s="44">
        <v>6.8150000000000004</v>
      </c>
      <c r="AG107" t="s">
        <v>16</v>
      </c>
      <c r="AH107" s="45">
        <v>2.4000000000000001E-5</v>
      </c>
      <c r="AI107" s="45">
        <v>1.7661333250950199E-2</v>
      </c>
      <c r="AJ107" s="45">
        <v>2.9422190774688601E-4</v>
      </c>
    </row>
    <row r="108" spans="1:36" x14ac:dyDescent="0.25">
      <c r="A108">
        <v>1182</v>
      </c>
      <c r="B108">
        <v>14769</v>
      </c>
      <c r="C108" t="s">
        <v>402</v>
      </c>
      <c r="D108" t="s">
        <v>403</v>
      </c>
      <c r="E108" t="s">
        <v>210</v>
      </c>
      <c r="F108" t="s">
        <v>407</v>
      </c>
      <c r="G108" t="s">
        <v>408</v>
      </c>
      <c r="H108" t="s">
        <v>213</v>
      </c>
      <c r="I108" t="s">
        <v>214</v>
      </c>
      <c r="J108" t="s">
        <v>71</v>
      </c>
      <c r="K108" t="s">
        <v>71</v>
      </c>
      <c r="L108" t="s">
        <v>216</v>
      </c>
      <c r="M108" t="s">
        <v>117</v>
      </c>
      <c r="N108" t="s">
        <v>234</v>
      </c>
      <c r="O108" t="s">
        <v>72</v>
      </c>
      <c r="P108" t="s">
        <v>73</v>
      </c>
      <c r="Q108" t="s">
        <v>74</v>
      </c>
      <c r="R108" t="s">
        <v>220</v>
      </c>
      <c r="S108" t="s">
        <v>81</v>
      </c>
      <c r="T108" s="44">
        <v>7.2709999999999999</v>
      </c>
      <c r="U108" t="s">
        <v>409</v>
      </c>
      <c r="V108" s="46">
        <v>0.03</v>
      </c>
      <c r="W108" s="45">
        <v>2.9510000000000002E-2</v>
      </c>
      <c r="X108" t="s">
        <v>222</v>
      </c>
      <c r="Y108" t="s">
        <v>72</v>
      </c>
      <c r="Z108" s="44">
        <v>21000</v>
      </c>
      <c r="AA108" s="42">
        <v>1</v>
      </c>
      <c r="AB108" s="48">
        <v>106.29</v>
      </c>
      <c r="AD108" s="44">
        <v>22.321000000000002</v>
      </c>
      <c r="AG108" t="s">
        <v>16</v>
      </c>
      <c r="AH108" s="45">
        <v>5.0000000000000004E-6</v>
      </c>
      <c r="AI108" s="45">
        <v>5.7841981769200197E-2</v>
      </c>
      <c r="AJ108" s="45">
        <v>9.6359532896980098E-4</v>
      </c>
    </row>
    <row r="109" spans="1:36" x14ac:dyDescent="0.25">
      <c r="A109">
        <v>1182</v>
      </c>
      <c r="B109">
        <v>14769</v>
      </c>
      <c r="C109" t="s">
        <v>402</v>
      </c>
      <c r="D109" t="s">
        <v>403</v>
      </c>
      <c r="E109" t="s">
        <v>210</v>
      </c>
      <c r="F109" t="s">
        <v>410</v>
      </c>
      <c r="G109" t="s">
        <v>411</v>
      </c>
      <c r="H109" t="s">
        <v>213</v>
      </c>
      <c r="I109" t="s">
        <v>214</v>
      </c>
      <c r="J109" t="s">
        <v>71</v>
      </c>
      <c r="K109" t="s">
        <v>71</v>
      </c>
      <c r="L109" t="s">
        <v>216</v>
      </c>
      <c r="M109" t="s">
        <v>117</v>
      </c>
      <c r="N109" t="s">
        <v>234</v>
      </c>
      <c r="O109" t="s">
        <v>72</v>
      </c>
      <c r="P109" t="s">
        <v>73</v>
      </c>
      <c r="Q109" t="s">
        <v>74</v>
      </c>
      <c r="R109" t="s">
        <v>220</v>
      </c>
      <c r="S109" t="s">
        <v>81</v>
      </c>
      <c r="T109" s="44">
        <v>10.119999999999999</v>
      </c>
      <c r="U109" t="s">
        <v>412</v>
      </c>
      <c r="V109" s="46">
        <v>3.2000000000000001E-2</v>
      </c>
      <c r="W109" s="45">
        <v>3.1019999999999999E-2</v>
      </c>
      <c r="X109" t="s">
        <v>222</v>
      </c>
      <c r="Y109" t="s">
        <v>72</v>
      </c>
      <c r="Z109" s="44">
        <v>21000</v>
      </c>
      <c r="AA109" s="42">
        <v>1</v>
      </c>
      <c r="AB109" s="48">
        <v>107.1</v>
      </c>
      <c r="AD109" s="44">
        <v>22.491</v>
      </c>
      <c r="AG109" t="s">
        <v>16</v>
      </c>
      <c r="AH109" s="45">
        <v>3.9999999999999998E-6</v>
      </c>
      <c r="AI109" s="45">
        <v>5.8282775872437201E-2</v>
      </c>
      <c r="AJ109" s="45">
        <v>9.7093856179006203E-4</v>
      </c>
    </row>
    <row r="110" spans="1:36" x14ac:dyDescent="0.25">
      <c r="A110">
        <v>1182</v>
      </c>
      <c r="B110">
        <v>14769</v>
      </c>
      <c r="C110" t="s">
        <v>444</v>
      </c>
      <c r="D110" t="s">
        <v>445</v>
      </c>
      <c r="E110" t="s">
        <v>210</v>
      </c>
      <c r="F110" t="s">
        <v>446</v>
      </c>
      <c r="G110" t="s">
        <v>447</v>
      </c>
      <c r="H110" t="s">
        <v>213</v>
      </c>
      <c r="I110" t="s">
        <v>214</v>
      </c>
      <c r="J110" t="s">
        <v>71</v>
      </c>
      <c r="K110" t="s">
        <v>71</v>
      </c>
      <c r="L110" t="s">
        <v>216</v>
      </c>
      <c r="M110" t="s">
        <v>117</v>
      </c>
      <c r="N110" t="s">
        <v>258</v>
      </c>
      <c r="O110" t="s">
        <v>72</v>
      </c>
      <c r="P110" t="s">
        <v>259</v>
      </c>
      <c r="Q110" t="s">
        <v>74</v>
      </c>
      <c r="R110" t="s">
        <v>220</v>
      </c>
      <c r="S110" t="s">
        <v>81</v>
      </c>
      <c r="T110" s="44">
        <v>5.3559999999999999</v>
      </c>
      <c r="U110" t="s">
        <v>448</v>
      </c>
      <c r="V110" s="46">
        <v>3.5000000000000001E-3</v>
      </c>
      <c r="W110" s="45">
        <v>3.125E-2</v>
      </c>
      <c r="X110" t="s">
        <v>222</v>
      </c>
      <c r="Y110" t="s">
        <v>72</v>
      </c>
      <c r="Z110" s="44">
        <v>8890</v>
      </c>
      <c r="AA110" s="42">
        <v>1</v>
      </c>
      <c r="AB110" s="48">
        <v>97.32</v>
      </c>
      <c r="AD110" s="44">
        <v>8.6519999999999992</v>
      </c>
      <c r="AG110" t="s">
        <v>16</v>
      </c>
      <c r="AH110" s="45">
        <v>3.0000000000000001E-6</v>
      </c>
      <c r="AI110" s="45">
        <v>2.2419985309181701E-2</v>
      </c>
      <c r="AJ110" s="45">
        <v>3.7349676582144198E-4</v>
      </c>
    </row>
    <row r="111" spans="1:36" x14ac:dyDescent="0.25">
      <c r="A111">
        <v>1182</v>
      </c>
      <c r="B111">
        <v>14769</v>
      </c>
      <c r="C111" t="s">
        <v>483</v>
      </c>
      <c r="D111" t="s">
        <v>484</v>
      </c>
      <c r="E111" t="s">
        <v>210</v>
      </c>
      <c r="F111" t="s">
        <v>485</v>
      </c>
      <c r="G111" t="s">
        <v>486</v>
      </c>
      <c r="H111" t="s">
        <v>213</v>
      </c>
      <c r="I111" t="s">
        <v>214</v>
      </c>
      <c r="J111" t="s">
        <v>71</v>
      </c>
      <c r="K111" t="s">
        <v>71</v>
      </c>
      <c r="L111" t="s">
        <v>216</v>
      </c>
      <c r="M111" t="s">
        <v>117</v>
      </c>
      <c r="N111" t="s">
        <v>258</v>
      </c>
      <c r="O111" t="s">
        <v>72</v>
      </c>
      <c r="P111" t="s">
        <v>259</v>
      </c>
      <c r="Q111" t="s">
        <v>74</v>
      </c>
      <c r="R111" t="s">
        <v>220</v>
      </c>
      <c r="S111" t="s">
        <v>81</v>
      </c>
      <c r="T111" s="44">
        <v>5.726</v>
      </c>
      <c r="U111" t="s">
        <v>487</v>
      </c>
      <c r="V111" s="46">
        <v>3.61E-2</v>
      </c>
      <c r="W111" s="45">
        <v>3.0759999999999999E-2</v>
      </c>
      <c r="X111" t="s">
        <v>222</v>
      </c>
      <c r="Y111" t="s">
        <v>72</v>
      </c>
      <c r="Z111" s="44">
        <v>24936.22</v>
      </c>
      <c r="AA111" s="42">
        <v>1</v>
      </c>
      <c r="AB111" s="48">
        <v>110.37</v>
      </c>
      <c r="AD111" s="44">
        <v>27.521999999999998</v>
      </c>
      <c r="AG111" t="s">
        <v>16</v>
      </c>
      <c r="AH111" s="45">
        <v>1.5999999999999999E-5</v>
      </c>
      <c r="AI111" s="45">
        <v>7.1320294177734098E-2</v>
      </c>
      <c r="AJ111" s="45">
        <v>1.18813187633572E-3</v>
      </c>
    </row>
    <row r="112" spans="1:36" x14ac:dyDescent="0.25">
      <c r="A112">
        <v>1182</v>
      </c>
      <c r="B112">
        <v>14769</v>
      </c>
      <c r="C112" t="s">
        <v>517</v>
      </c>
      <c r="D112" t="s">
        <v>518</v>
      </c>
      <c r="E112" t="s">
        <v>420</v>
      </c>
      <c r="F112" t="s">
        <v>519</v>
      </c>
      <c r="G112" t="s">
        <v>520</v>
      </c>
      <c r="H112" t="s">
        <v>213</v>
      </c>
      <c r="I112" t="s">
        <v>239</v>
      </c>
      <c r="J112" t="s">
        <v>71</v>
      </c>
      <c r="K112" t="s">
        <v>71</v>
      </c>
      <c r="L112" t="s">
        <v>216</v>
      </c>
      <c r="M112" t="s">
        <v>109</v>
      </c>
      <c r="N112" t="s">
        <v>423</v>
      </c>
      <c r="O112" t="s">
        <v>72</v>
      </c>
      <c r="P112" t="s">
        <v>235</v>
      </c>
      <c r="Q112" t="s">
        <v>74</v>
      </c>
      <c r="R112" t="s">
        <v>220</v>
      </c>
      <c r="S112" t="s">
        <v>81</v>
      </c>
      <c r="T112" s="44">
        <v>3.3740000000000001</v>
      </c>
      <c r="U112" t="s">
        <v>521</v>
      </c>
      <c r="V112" s="46">
        <v>6.7000000000000004E-2</v>
      </c>
      <c r="W112" s="45">
        <v>5.6849999999999998E-2</v>
      </c>
      <c r="X112" t="s">
        <v>222</v>
      </c>
      <c r="Y112" t="s">
        <v>72</v>
      </c>
      <c r="Z112" s="44">
        <v>7000</v>
      </c>
      <c r="AA112" s="42">
        <v>1</v>
      </c>
      <c r="AB112" s="48">
        <v>103.63</v>
      </c>
      <c r="AD112" s="44">
        <v>7.2539999999999996</v>
      </c>
      <c r="AG112" t="s">
        <v>16</v>
      </c>
      <c r="AH112" s="45">
        <v>7.9999999999999996E-6</v>
      </c>
      <c r="AI112" s="45">
        <v>1.87981452339267E-2</v>
      </c>
      <c r="AJ112" s="45">
        <v>3.1316017167228201E-4</v>
      </c>
    </row>
    <row r="113" spans="1:36" x14ac:dyDescent="0.25">
      <c r="A113">
        <v>1182</v>
      </c>
      <c r="B113">
        <v>14769</v>
      </c>
      <c r="C113" t="s">
        <v>538</v>
      </c>
      <c r="D113" t="s">
        <v>539</v>
      </c>
      <c r="E113" t="s">
        <v>540</v>
      </c>
      <c r="F113" t="s">
        <v>541</v>
      </c>
      <c r="G113" t="s">
        <v>542</v>
      </c>
      <c r="H113" t="s">
        <v>213</v>
      </c>
      <c r="I113" t="s">
        <v>239</v>
      </c>
      <c r="J113" t="s">
        <v>71</v>
      </c>
      <c r="K113" t="s">
        <v>71</v>
      </c>
      <c r="L113" t="s">
        <v>216</v>
      </c>
      <c r="M113" t="s">
        <v>109</v>
      </c>
      <c r="N113" t="s">
        <v>217</v>
      </c>
      <c r="O113" t="s">
        <v>72</v>
      </c>
      <c r="P113" t="s">
        <v>259</v>
      </c>
      <c r="Q113" t="s">
        <v>74</v>
      </c>
      <c r="R113" t="s">
        <v>220</v>
      </c>
      <c r="S113" t="s">
        <v>81</v>
      </c>
      <c r="T113" s="44">
        <v>3.5379999999999998</v>
      </c>
      <c r="U113" t="s">
        <v>543</v>
      </c>
      <c r="V113" s="46">
        <v>6.25E-2</v>
      </c>
      <c r="W113" s="45">
        <v>5.7919999999999999E-2</v>
      </c>
      <c r="X113" t="s">
        <v>222</v>
      </c>
      <c r="Y113" t="s">
        <v>72</v>
      </c>
      <c r="Z113" s="44">
        <v>12832</v>
      </c>
      <c r="AA113" s="42">
        <v>1</v>
      </c>
      <c r="AB113" s="48">
        <v>104.79</v>
      </c>
      <c r="AD113" s="44">
        <v>13.446999999999999</v>
      </c>
      <c r="AG113" t="s">
        <v>16</v>
      </c>
      <c r="AH113" s="45">
        <v>2.3E-5</v>
      </c>
      <c r="AI113" s="45">
        <v>3.4845416005374601E-2</v>
      </c>
      <c r="AJ113" s="45">
        <v>5.8049325199067698E-4</v>
      </c>
    </row>
    <row r="114" spans="1:36" x14ac:dyDescent="0.25">
      <c r="A114">
        <v>1182</v>
      </c>
      <c r="B114">
        <v>14769</v>
      </c>
      <c r="C114" t="s">
        <v>544</v>
      </c>
      <c r="D114" t="s">
        <v>545</v>
      </c>
      <c r="E114" t="s">
        <v>540</v>
      </c>
      <c r="F114" t="s">
        <v>546</v>
      </c>
      <c r="G114" t="s">
        <v>547</v>
      </c>
      <c r="H114" t="s">
        <v>213</v>
      </c>
      <c r="I114" t="s">
        <v>239</v>
      </c>
      <c r="J114" t="s">
        <v>71</v>
      </c>
      <c r="K114" t="s">
        <v>291</v>
      </c>
      <c r="L114" t="s">
        <v>216</v>
      </c>
      <c r="M114" t="s">
        <v>117</v>
      </c>
      <c r="N114" t="s">
        <v>217</v>
      </c>
      <c r="O114" t="s">
        <v>72</v>
      </c>
      <c r="P114" t="s">
        <v>259</v>
      </c>
      <c r="Q114" t="s">
        <v>74</v>
      </c>
      <c r="R114" t="s">
        <v>220</v>
      </c>
      <c r="S114" t="s">
        <v>81</v>
      </c>
      <c r="T114" s="44">
        <v>1.675</v>
      </c>
      <c r="U114" t="s">
        <v>391</v>
      </c>
      <c r="V114" s="46">
        <v>3.49E-2</v>
      </c>
      <c r="W114" s="45">
        <v>5.8569999999999997E-2</v>
      </c>
      <c r="X114" t="s">
        <v>222</v>
      </c>
      <c r="Y114" t="s">
        <v>72</v>
      </c>
      <c r="Z114" s="44">
        <v>19259</v>
      </c>
      <c r="AA114" s="42">
        <v>1</v>
      </c>
      <c r="AB114" s="48">
        <v>97.15</v>
      </c>
      <c r="AD114" s="44">
        <v>18.71</v>
      </c>
      <c r="AG114" t="s">
        <v>16</v>
      </c>
      <c r="AH114" s="45">
        <v>2.0000000000000002E-5</v>
      </c>
      <c r="AI114" s="45">
        <v>4.8485067052698401E-2</v>
      </c>
      <c r="AJ114" s="45">
        <v>8.07717555791722E-4</v>
      </c>
    </row>
    <row r="115" spans="1:36" x14ac:dyDescent="0.25">
      <c r="A115">
        <v>1182</v>
      </c>
      <c r="B115">
        <v>14769</v>
      </c>
      <c r="C115" t="s">
        <v>544</v>
      </c>
      <c r="D115" t="s">
        <v>545</v>
      </c>
      <c r="E115" t="s">
        <v>540</v>
      </c>
      <c r="F115" t="s">
        <v>548</v>
      </c>
      <c r="G115" t="s">
        <v>549</v>
      </c>
      <c r="H115" t="s">
        <v>213</v>
      </c>
      <c r="I115" t="s">
        <v>239</v>
      </c>
      <c r="J115" t="s">
        <v>71</v>
      </c>
      <c r="K115" t="s">
        <v>291</v>
      </c>
      <c r="L115" t="s">
        <v>216</v>
      </c>
      <c r="M115" t="s">
        <v>109</v>
      </c>
      <c r="N115" t="s">
        <v>217</v>
      </c>
      <c r="O115" t="s">
        <v>72</v>
      </c>
      <c r="P115" t="s">
        <v>259</v>
      </c>
      <c r="Q115" t="s">
        <v>74</v>
      </c>
      <c r="R115" t="s">
        <v>220</v>
      </c>
      <c r="S115" t="s">
        <v>81</v>
      </c>
      <c r="T115" s="44">
        <v>4.016</v>
      </c>
      <c r="U115" t="s">
        <v>550</v>
      </c>
      <c r="V115" s="46">
        <v>6.7400000000000002E-2</v>
      </c>
      <c r="W115" s="45">
        <v>6.0229999999999999E-2</v>
      </c>
      <c r="X115" t="s">
        <v>222</v>
      </c>
      <c r="Y115" t="s">
        <v>72</v>
      </c>
      <c r="Z115" s="44">
        <v>14000</v>
      </c>
      <c r="AA115" s="42">
        <v>1</v>
      </c>
      <c r="AB115" s="48">
        <v>106.73</v>
      </c>
      <c r="AD115" s="44">
        <v>14.942</v>
      </c>
      <c r="AG115" t="s">
        <v>16</v>
      </c>
      <c r="AH115" s="45">
        <v>4.8999999999999998E-5</v>
      </c>
      <c r="AI115" s="45">
        <v>3.8720950319733702E-2</v>
      </c>
      <c r="AJ115" s="45">
        <v>6.4505616370901496E-4</v>
      </c>
    </row>
    <row r="116" spans="1:36" x14ac:dyDescent="0.25">
      <c r="A116">
        <v>1182</v>
      </c>
      <c r="B116">
        <v>14769</v>
      </c>
      <c r="C116" t="s">
        <v>556</v>
      </c>
      <c r="D116" t="s">
        <v>557</v>
      </c>
      <c r="E116" t="s">
        <v>210</v>
      </c>
      <c r="F116" t="s">
        <v>568</v>
      </c>
      <c r="G116" t="s">
        <v>569</v>
      </c>
      <c r="H116" t="s">
        <v>213</v>
      </c>
      <c r="I116" t="s">
        <v>214</v>
      </c>
      <c r="J116" t="s">
        <v>71</v>
      </c>
      <c r="K116" t="s">
        <v>71</v>
      </c>
      <c r="L116" t="s">
        <v>216</v>
      </c>
      <c r="M116" t="s">
        <v>109</v>
      </c>
      <c r="N116" t="s">
        <v>258</v>
      </c>
      <c r="O116" t="s">
        <v>72</v>
      </c>
      <c r="P116" t="s">
        <v>560</v>
      </c>
      <c r="Q116" t="s">
        <v>219</v>
      </c>
      <c r="R116" t="s">
        <v>220</v>
      </c>
      <c r="S116" t="s">
        <v>81</v>
      </c>
      <c r="T116" s="44">
        <v>11.904</v>
      </c>
      <c r="U116" t="s">
        <v>570</v>
      </c>
      <c r="V116" s="46">
        <v>3.6700000000000003E-2</v>
      </c>
      <c r="W116" s="45">
        <v>3.4259999999999999E-2</v>
      </c>
      <c r="X116" t="s">
        <v>222</v>
      </c>
      <c r="Y116" t="s">
        <v>72</v>
      </c>
      <c r="Z116" s="44">
        <v>21000</v>
      </c>
      <c r="AA116" s="42">
        <v>1</v>
      </c>
      <c r="AB116" s="48">
        <v>105.88</v>
      </c>
      <c r="AD116" s="44">
        <v>22.234999999999999</v>
      </c>
      <c r="AG116" t="s">
        <v>16</v>
      </c>
      <c r="AH116" s="45">
        <v>6.0000000000000002E-6</v>
      </c>
      <c r="AI116" s="45">
        <v>5.7618863766327202E-2</v>
      </c>
      <c r="AJ116" s="45">
        <v>9.5987838396201502E-4</v>
      </c>
    </row>
    <row r="117" spans="1:36" x14ac:dyDescent="0.25">
      <c r="A117">
        <v>1182</v>
      </c>
      <c r="B117">
        <v>14769</v>
      </c>
      <c r="C117" t="s">
        <v>578</v>
      </c>
      <c r="D117" t="s">
        <v>579</v>
      </c>
      <c r="E117" t="s">
        <v>210</v>
      </c>
      <c r="F117" t="s">
        <v>580</v>
      </c>
      <c r="G117" t="s">
        <v>581</v>
      </c>
      <c r="H117" t="s">
        <v>213</v>
      </c>
      <c r="I117" t="s">
        <v>239</v>
      </c>
      <c r="J117" t="s">
        <v>71</v>
      </c>
      <c r="K117" t="s">
        <v>71</v>
      </c>
      <c r="L117" t="s">
        <v>216</v>
      </c>
      <c r="M117" t="s">
        <v>109</v>
      </c>
      <c r="N117" t="s">
        <v>234</v>
      </c>
      <c r="O117" t="s">
        <v>72</v>
      </c>
      <c r="P117" t="s">
        <v>228</v>
      </c>
      <c r="Q117" t="s">
        <v>74</v>
      </c>
      <c r="R117" t="s">
        <v>220</v>
      </c>
      <c r="S117" t="s">
        <v>81</v>
      </c>
      <c r="T117" s="44">
        <v>6.3479999999999999</v>
      </c>
      <c r="U117" t="s">
        <v>582</v>
      </c>
      <c r="V117" s="46">
        <v>5.8599999999999999E-2</v>
      </c>
      <c r="W117" s="45">
        <v>5.2040000000000003E-2</v>
      </c>
      <c r="X117" t="s">
        <v>222</v>
      </c>
      <c r="Y117" t="s">
        <v>72</v>
      </c>
      <c r="Z117" s="44">
        <v>12754</v>
      </c>
      <c r="AA117" s="42">
        <v>1</v>
      </c>
      <c r="AB117" s="48">
        <v>106.56</v>
      </c>
      <c r="AD117" s="44">
        <v>13.590999999999999</v>
      </c>
      <c r="AG117" t="s">
        <v>16</v>
      </c>
      <c r="AH117" s="45">
        <v>6.3999999999999997E-5</v>
      </c>
      <c r="AI117" s="45">
        <v>3.5218599911838497E-2</v>
      </c>
      <c r="AJ117" s="45">
        <v>5.8671015981638305E-4</v>
      </c>
    </row>
    <row r="118" spans="1:36" x14ac:dyDescent="0.25">
      <c r="A118">
        <v>1182</v>
      </c>
      <c r="B118">
        <v>14769</v>
      </c>
      <c r="C118" t="s">
        <v>583</v>
      </c>
      <c r="D118" t="s">
        <v>584</v>
      </c>
      <c r="E118" t="s">
        <v>210</v>
      </c>
      <c r="F118" t="s">
        <v>585</v>
      </c>
      <c r="G118" t="s">
        <v>586</v>
      </c>
      <c r="H118" t="s">
        <v>213</v>
      </c>
      <c r="I118" t="s">
        <v>239</v>
      </c>
      <c r="J118" t="s">
        <v>71</v>
      </c>
      <c r="K118" t="s">
        <v>71</v>
      </c>
      <c r="L118" t="s">
        <v>216</v>
      </c>
      <c r="M118" t="s">
        <v>286</v>
      </c>
      <c r="N118" t="s">
        <v>217</v>
      </c>
      <c r="O118" t="s">
        <v>72</v>
      </c>
      <c r="P118" t="s">
        <v>218</v>
      </c>
      <c r="Q118" t="s">
        <v>219</v>
      </c>
      <c r="R118" t="s">
        <v>220</v>
      </c>
      <c r="S118" t="s">
        <v>81</v>
      </c>
      <c r="T118" s="44">
        <v>5.8659999999999997</v>
      </c>
      <c r="U118" t="s">
        <v>384</v>
      </c>
      <c r="V118" s="46">
        <v>5.5899999999999998E-2</v>
      </c>
      <c r="W118" s="45">
        <v>5.8259999999999999E-2</v>
      </c>
      <c r="X118" t="s">
        <v>222</v>
      </c>
      <c r="Y118" t="s">
        <v>72</v>
      </c>
      <c r="Z118" s="44">
        <v>19000</v>
      </c>
      <c r="AA118" s="42">
        <v>1</v>
      </c>
      <c r="AB118" s="48">
        <v>99.28</v>
      </c>
      <c r="AD118" s="44">
        <v>18.863</v>
      </c>
      <c r="AG118" t="s">
        <v>16</v>
      </c>
      <c r="AH118" s="45">
        <v>8.5000000000000006E-5</v>
      </c>
      <c r="AI118" s="45">
        <v>4.8881759718863403E-2</v>
      </c>
      <c r="AJ118" s="45">
        <v>8.1432609838416701E-4</v>
      </c>
    </row>
    <row r="119" spans="1:36" x14ac:dyDescent="0.25">
      <c r="A119">
        <v>12904</v>
      </c>
      <c r="B119">
        <v>12905</v>
      </c>
      <c r="C119" t="s">
        <v>230</v>
      </c>
      <c r="D119" t="s">
        <v>231</v>
      </c>
      <c r="E119" t="s">
        <v>210</v>
      </c>
      <c r="F119" t="s">
        <v>232</v>
      </c>
      <c r="G119" t="s">
        <v>233</v>
      </c>
      <c r="H119" t="s">
        <v>213</v>
      </c>
      <c r="I119" t="s">
        <v>214</v>
      </c>
      <c r="J119" t="s">
        <v>71</v>
      </c>
      <c r="K119" t="s">
        <v>71</v>
      </c>
      <c r="L119" t="s">
        <v>216</v>
      </c>
      <c r="M119" t="s">
        <v>117</v>
      </c>
      <c r="N119" t="s">
        <v>234</v>
      </c>
      <c r="O119" t="s">
        <v>72</v>
      </c>
      <c r="P119" t="s">
        <v>235</v>
      </c>
      <c r="Q119" t="s">
        <v>74</v>
      </c>
      <c r="R119" t="s">
        <v>220</v>
      </c>
      <c r="S119" t="s">
        <v>81</v>
      </c>
      <c r="T119" s="44">
        <v>2.7240000000000002</v>
      </c>
      <c r="U119" t="s">
        <v>236</v>
      </c>
      <c r="V119" s="46">
        <v>2.75E-2</v>
      </c>
      <c r="W119" s="45">
        <v>3.075E-2</v>
      </c>
      <c r="X119" t="s">
        <v>222</v>
      </c>
      <c r="Y119" t="s">
        <v>72</v>
      </c>
      <c r="Z119" s="44">
        <v>19637.32</v>
      </c>
      <c r="AA119" s="42">
        <v>1</v>
      </c>
      <c r="AB119" s="48">
        <v>114.05</v>
      </c>
      <c r="AD119" s="44">
        <v>22.396000000000001</v>
      </c>
      <c r="AG119" t="s">
        <v>16</v>
      </c>
      <c r="AH119" s="45">
        <v>2.5999999999999998E-5</v>
      </c>
      <c r="AI119" s="45">
        <v>5.9102359991628304E-3</v>
      </c>
      <c r="AJ119" s="45">
        <v>5.2359576118119996E-4</v>
      </c>
    </row>
    <row r="120" spans="1:36" x14ac:dyDescent="0.25">
      <c r="A120">
        <v>12904</v>
      </c>
      <c r="B120">
        <v>12905</v>
      </c>
      <c r="C120" t="s">
        <v>230</v>
      </c>
      <c r="D120" t="s">
        <v>231</v>
      </c>
      <c r="E120" t="s">
        <v>210</v>
      </c>
      <c r="F120" t="s">
        <v>237</v>
      </c>
      <c r="G120" t="s">
        <v>238</v>
      </c>
      <c r="H120" t="s">
        <v>213</v>
      </c>
      <c r="I120" t="s">
        <v>239</v>
      </c>
      <c r="J120" t="s">
        <v>71</v>
      </c>
      <c r="K120" t="s">
        <v>71</v>
      </c>
      <c r="L120" t="s">
        <v>216</v>
      </c>
      <c r="M120" t="s">
        <v>117</v>
      </c>
      <c r="N120" t="s">
        <v>234</v>
      </c>
      <c r="O120" t="s">
        <v>72</v>
      </c>
      <c r="P120" t="s">
        <v>235</v>
      </c>
      <c r="Q120" t="s">
        <v>74</v>
      </c>
      <c r="R120" t="s">
        <v>220</v>
      </c>
      <c r="S120" t="s">
        <v>81</v>
      </c>
      <c r="T120" s="44">
        <v>3.0310000000000001</v>
      </c>
      <c r="U120" t="s">
        <v>240</v>
      </c>
      <c r="V120" s="46">
        <v>2.5000000000000001E-2</v>
      </c>
      <c r="W120" s="45">
        <v>5.5559999999999998E-2</v>
      </c>
      <c r="X120" t="s">
        <v>222</v>
      </c>
      <c r="Y120" t="s">
        <v>72</v>
      </c>
      <c r="Z120" s="44">
        <v>13075.44</v>
      </c>
      <c r="AA120" s="42">
        <v>1</v>
      </c>
      <c r="AB120" s="48">
        <v>91.59</v>
      </c>
      <c r="AD120" s="44">
        <v>11.976000000000001</v>
      </c>
      <c r="AG120" t="s">
        <v>16</v>
      </c>
      <c r="AH120" s="45">
        <v>1.8E-5</v>
      </c>
      <c r="AI120" s="45">
        <v>3.1603245672220102E-3</v>
      </c>
      <c r="AJ120" s="45">
        <v>2.7997740658556501E-4</v>
      </c>
    </row>
    <row r="121" spans="1:36" x14ac:dyDescent="0.25">
      <c r="A121">
        <v>12904</v>
      </c>
      <c r="B121">
        <v>12905</v>
      </c>
      <c r="C121" t="s">
        <v>241</v>
      </c>
      <c r="D121" t="s">
        <v>242</v>
      </c>
      <c r="E121" t="s">
        <v>210</v>
      </c>
      <c r="F121" t="s">
        <v>243</v>
      </c>
      <c r="G121" t="s">
        <v>244</v>
      </c>
      <c r="H121" t="s">
        <v>213</v>
      </c>
      <c r="I121" t="s">
        <v>239</v>
      </c>
      <c r="J121" t="s">
        <v>71</v>
      </c>
      <c r="K121" t="s">
        <v>71</v>
      </c>
      <c r="L121" t="s">
        <v>216</v>
      </c>
      <c r="M121" t="s">
        <v>117</v>
      </c>
      <c r="N121" t="s">
        <v>245</v>
      </c>
      <c r="O121" t="s">
        <v>72</v>
      </c>
      <c r="P121" t="s">
        <v>246</v>
      </c>
      <c r="Q121" t="s">
        <v>219</v>
      </c>
      <c r="R121" t="s">
        <v>220</v>
      </c>
      <c r="S121" t="s">
        <v>81</v>
      </c>
      <c r="T121" s="44">
        <v>2.169</v>
      </c>
      <c r="U121" t="s">
        <v>247</v>
      </c>
      <c r="V121" s="46">
        <v>2.5499999999999998E-2</v>
      </c>
      <c r="W121" s="45">
        <v>5.432E-2</v>
      </c>
      <c r="X121" t="s">
        <v>222</v>
      </c>
      <c r="Y121" t="s">
        <v>72</v>
      </c>
      <c r="Z121" s="44">
        <v>23216.05</v>
      </c>
      <c r="AA121" s="42">
        <v>1</v>
      </c>
      <c r="AB121" s="48">
        <v>94.76</v>
      </c>
      <c r="AD121" s="44">
        <v>22</v>
      </c>
      <c r="AG121" t="s">
        <v>16</v>
      </c>
      <c r="AH121" s="45">
        <v>3.6000000000000001E-5</v>
      </c>
      <c r="AI121" s="45">
        <v>5.8055142913912196E-3</v>
      </c>
      <c r="AJ121" s="45">
        <v>5.1431832415488798E-4</v>
      </c>
    </row>
    <row r="122" spans="1:36" x14ac:dyDescent="0.25">
      <c r="A122">
        <v>12904</v>
      </c>
      <c r="B122">
        <v>12905</v>
      </c>
      <c r="C122" t="s">
        <v>248</v>
      </c>
      <c r="D122" t="s">
        <v>249</v>
      </c>
      <c r="E122" t="s">
        <v>210</v>
      </c>
      <c r="F122" t="s">
        <v>250</v>
      </c>
      <c r="G122" t="s">
        <v>251</v>
      </c>
      <c r="H122" t="s">
        <v>213</v>
      </c>
      <c r="I122" t="s">
        <v>239</v>
      </c>
      <c r="J122" t="s">
        <v>71</v>
      </c>
      <c r="K122" t="s">
        <v>71</v>
      </c>
      <c r="L122" t="s">
        <v>216</v>
      </c>
      <c r="M122" t="s">
        <v>117</v>
      </c>
      <c r="N122" t="s">
        <v>252</v>
      </c>
      <c r="O122" t="s">
        <v>72</v>
      </c>
      <c r="P122" t="s">
        <v>218</v>
      </c>
      <c r="Q122" t="s">
        <v>219</v>
      </c>
      <c r="R122" t="s">
        <v>220</v>
      </c>
      <c r="S122" t="s">
        <v>81</v>
      </c>
      <c r="T122" s="44">
        <v>3.55</v>
      </c>
      <c r="U122" t="s">
        <v>253</v>
      </c>
      <c r="V122" s="46">
        <v>2.18E-2</v>
      </c>
      <c r="W122" s="45">
        <v>5.3659999999999999E-2</v>
      </c>
      <c r="X122" t="s">
        <v>222</v>
      </c>
      <c r="Y122" t="s">
        <v>72</v>
      </c>
      <c r="Z122" s="44">
        <v>72602</v>
      </c>
      <c r="AA122" s="42">
        <v>1</v>
      </c>
      <c r="AB122" s="48">
        <v>90.26</v>
      </c>
      <c r="AD122" s="44">
        <v>65.531000000000006</v>
      </c>
      <c r="AG122" t="s">
        <v>16</v>
      </c>
      <c r="AH122" s="45">
        <v>4.4200000000000001E-4</v>
      </c>
      <c r="AI122" s="45">
        <v>1.7293035370775599E-2</v>
      </c>
      <c r="AJ122" s="45">
        <v>1.53201327652182E-3</v>
      </c>
    </row>
    <row r="123" spans="1:36" x14ac:dyDescent="0.25">
      <c r="A123">
        <v>12904</v>
      </c>
      <c r="B123">
        <v>12905</v>
      </c>
      <c r="C123" t="s">
        <v>260</v>
      </c>
      <c r="D123" t="s">
        <v>261</v>
      </c>
      <c r="E123" t="s">
        <v>210</v>
      </c>
      <c r="F123" t="s">
        <v>262</v>
      </c>
      <c r="G123" t="s">
        <v>263</v>
      </c>
      <c r="H123" t="s">
        <v>213</v>
      </c>
      <c r="I123" t="s">
        <v>239</v>
      </c>
      <c r="J123" t="s">
        <v>71</v>
      </c>
      <c r="K123" t="s">
        <v>71</v>
      </c>
      <c r="L123" t="s">
        <v>216</v>
      </c>
      <c r="M123" t="s">
        <v>117</v>
      </c>
      <c r="N123" t="s">
        <v>258</v>
      </c>
      <c r="O123" t="s">
        <v>72</v>
      </c>
      <c r="P123" t="s">
        <v>228</v>
      </c>
      <c r="Q123" t="s">
        <v>74</v>
      </c>
      <c r="R123" t="s">
        <v>220</v>
      </c>
      <c r="S123" t="s">
        <v>81</v>
      </c>
      <c r="T123" s="44">
        <v>3.9510000000000001</v>
      </c>
      <c r="U123" t="s">
        <v>264</v>
      </c>
      <c r="V123" s="46">
        <v>2.41E-2</v>
      </c>
      <c r="W123" s="45">
        <v>5.2909999999999999E-2</v>
      </c>
      <c r="X123" t="s">
        <v>222</v>
      </c>
      <c r="Y123" t="s">
        <v>72</v>
      </c>
      <c r="Z123" s="44">
        <v>10666.67</v>
      </c>
      <c r="AA123" s="42">
        <v>1</v>
      </c>
      <c r="AB123" s="48">
        <v>89.75</v>
      </c>
      <c r="AD123" s="44">
        <v>9.5730000000000004</v>
      </c>
      <c r="AG123" t="s">
        <v>16</v>
      </c>
      <c r="AH123" s="45">
        <v>5.0000000000000004E-6</v>
      </c>
      <c r="AI123" s="45">
        <v>2.5263332183888499E-3</v>
      </c>
      <c r="AJ123" s="45">
        <v>2.2381125976475899E-4</v>
      </c>
    </row>
    <row r="124" spans="1:36" x14ac:dyDescent="0.25">
      <c r="A124">
        <v>12904</v>
      </c>
      <c r="B124">
        <v>12905</v>
      </c>
      <c r="C124" t="s">
        <v>260</v>
      </c>
      <c r="D124" t="s">
        <v>261</v>
      </c>
      <c r="E124" t="s">
        <v>210</v>
      </c>
      <c r="F124" t="s">
        <v>265</v>
      </c>
      <c r="G124" t="s">
        <v>266</v>
      </c>
      <c r="H124" t="s">
        <v>213</v>
      </c>
      <c r="I124" t="s">
        <v>239</v>
      </c>
      <c r="J124" t="s">
        <v>71</v>
      </c>
      <c r="K124" t="s">
        <v>71</v>
      </c>
      <c r="L124" t="s">
        <v>216</v>
      </c>
      <c r="M124" t="s">
        <v>117</v>
      </c>
      <c r="N124" t="s">
        <v>258</v>
      </c>
      <c r="O124" t="s">
        <v>72</v>
      </c>
      <c r="P124" t="s">
        <v>228</v>
      </c>
      <c r="Q124" t="s">
        <v>74</v>
      </c>
      <c r="R124" t="s">
        <v>220</v>
      </c>
      <c r="S124" t="s">
        <v>81</v>
      </c>
      <c r="T124" s="44">
        <v>6.1609999999999996</v>
      </c>
      <c r="U124" t="s">
        <v>267</v>
      </c>
      <c r="V124" s="46">
        <v>4.9399999999999999E-2</v>
      </c>
      <c r="W124" s="45">
        <v>5.5919999999999997E-2</v>
      </c>
      <c r="X124" t="s">
        <v>222</v>
      </c>
      <c r="Y124" t="s">
        <v>72</v>
      </c>
      <c r="Z124" s="44">
        <v>12310</v>
      </c>
      <c r="AA124" s="42">
        <v>1</v>
      </c>
      <c r="AB124" s="48">
        <v>96.63</v>
      </c>
      <c r="AD124" s="44">
        <v>11.895</v>
      </c>
      <c r="AG124" t="s">
        <v>16</v>
      </c>
      <c r="AH124" s="45">
        <v>9.0000000000000002E-6</v>
      </c>
      <c r="AI124" s="45">
        <v>3.13904360418652E-3</v>
      </c>
      <c r="AJ124" s="45">
        <v>2.7809209743026001E-4</v>
      </c>
    </row>
    <row r="125" spans="1:36" x14ac:dyDescent="0.25">
      <c r="A125">
        <v>12904</v>
      </c>
      <c r="B125">
        <v>12905</v>
      </c>
      <c r="C125" t="s">
        <v>268</v>
      </c>
      <c r="D125" t="s">
        <v>269</v>
      </c>
      <c r="E125" t="s">
        <v>210</v>
      </c>
      <c r="F125" t="s">
        <v>270</v>
      </c>
      <c r="G125" t="s">
        <v>271</v>
      </c>
      <c r="H125" t="s">
        <v>213</v>
      </c>
      <c r="I125" t="s">
        <v>239</v>
      </c>
      <c r="J125" t="s">
        <v>71</v>
      </c>
      <c r="K125" t="s">
        <v>71</v>
      </c>
      <c r="L125" t="s">
        <v>216</v>
      </c>
      <c r="M125" t="s">
        <v>117</v>
      </c>
      <c r="N125" t="s">
        <v>272</v>
      </c>
      <c r="O125" t="s">
        <v>72</v>
      </c>
      <c r="P125" t="s">
        <v>246</v>
      </c>
      <c r="Q125" t="s">
        <v>74</v>
      </c>
      <c r="R125" t="s">
        <v>220</v>
      </c>
      <c r="S125" t="s">
        <v>81</v>
      </c>
      <c r="T125" s="44">
        <v>2.996</v>
      </c>
      <c r="U125" t="s">
        <v>273</v>
      </c>
      <c r="V125" s="46">
        <v>0.04</v>
      </c>
      <c r="W125" s="45">
        <v>5.2400000000000002E-2</v>
      </c>
      <c r="X125" t="s">
        <v>222</v>
      </c>
      <c r="Y125" t="s">
        <v>72</v>
      </c>
      <c r="Z125" s="44">
        <v>18750</v>
      </c>
      <c r="AA125" s="42">
        <v>1</v>
      </c>
      <c r="AB125" s="48">
        <v>97.45</v>
      </c>
      <c r="AD125" s="44">
        <v>18.271999999999998</v>
      </c>
      <c r="AG125" t="s">
        <v>16</v>
      </c>
      <c r="AH125" s="45">
        <v>3.1999999999999999E-5</v>
      </c>
      <c r="AI125" s="45">
        <v>4.8218137551694898E-3</v>
      </c>
      <c r="AJ125" s="45">
        <v>4.2717096978353602E-4</v>
      </c>
    </row>
    <row r="126" spans="1:36" x14ac:dyDescent="0.25">
      <c r="A126">
        <v>12904</v>
      </c>
      <c r="B126">
        <v>12905</v>
      </c>
      <c r="C126" t="s">
        <v>268</v>
      </c>
      <c r="D126" t="s">
        <v>269</v>
      </c>
      <c r="E126" t="s">
        <v>210</v>
      </c>
      <c r="F126" t="s">
        <v>274</v>
      </c>
      <c r="G126" t="s">
        <v>275</v>
      </c>
      <c r="H126" t="s">
        <v>213</v>
      </c>
      <c r="I126" t="s">
        <v>239</v>
      </c>
      <c r="J126" t="s">
        <v>71</v>
      </c>
      <c r="K126" t="s">
        <v>71</v>
      </c>
      <c r="L126" t="s">
        <v>216</v>
      </c>
      <c r="M126" t="s">
        <v>117</v>
      </c>
      <c r="N126" t="s">
        <v>272</v>
      </c>
      <c r="O126" t="s">
        <v>72</v>
      </c>
      <c r="P126" t="s">
        <v>246</v>
      </c>
      <c r="Q126" t="s">
        <v>74</v>
      </c>
      <c r="R126" t="s">
        <v>220</v>
      </c>
      <c r="S126" t="s">
        <v>81</v>
      </c>
      <c r="T126" s="44">
        <v>4.9290000000000003</v>
      </c>
      <c r="U126" t="s">
        <v>276</v>
      </c>
      <c r="V126" s="46">
        <v>2.07E-2</v>
      </c>
      <c r="W126" s="45">
        <v>5.3780000000000001E-2</v>
      </c>
      <c r="X126" t="s">
        <v>222</v>
      </c>
      <c r="Y126" t="s">
        <v>72</v>
      </c>
      <c r="Z126" s="44">
        <v>89536.69</v>
      </c>
      <c r="AA126" s="42">
        <v>1</v>
      </c>
      <c r="AB126" s="48">
        <v>85.61</v>
      </c>
      <c r="AD126" s="44">
        <v>76.652000000000001</v>
      </c>
      <c r="AG126" t="s">
        <v>16</v>
      </c>
      <c r="AH126" s="45">
        <v>1.2300000000000001E-4</v>
      </c>
      <c r="AI126" s="45">
        <v>2.0227995501509499E-2</v>
      </c>
      <c r="AJ126" s="45">
        <v>1.7920253443826899E-3</v>
      </c>
    </row>
    <row r="127" spans="1:36" x14ac:dyDescent="0.25">
      <c r="A127">
        <v>12904</v>
      </c>
      <c r="B127">
        <v>12905</v>
      </c>
      <c r="C127" t="s">
        <v>277</v>
      </c>
      <c r="D127" t="s">
        <v>278</v>
      </c>
      <c r="E127" t="s">
        <v>210</v>
      </c>
      <c r="F127" t="s">
        <v>279</v>
      </c>
      <c r="G127" t="s">
        <v>280</v>
      </c>
      <c r="H127" t="s">
        <v>213</v>
      </c>
      <c r="I127" t="s">
        <v>239</v>
      </c>
      <c r="J127" t="s">
        <v>71</v>
      </c>
      <c r="K127" t="s">
        <v>71</v>
      </c>
      <c r="L127" t="s">
        <v>216</v>
      </c>
      <c r="M127" t="s">
        <v>117</v>
      </c>
      <c r="N127" t="s">
        <v>217</v>
      </c>
      <c r="O127" t="s">
        <v>72</v>
      </c>
      <c r="P127" t="s">
        <v>235</v>
      </c>
      <c r="Q127" t="s">
        <v>219</v>
      </c>
      <c r="R127" t="s">
        <v>220</v>
      </c>
      <c r="S127" t="s">
        <v>81</v>
      </c>
      <c r="T127" s="44">
        <v>4.1399999999999997</v>
      </c>
      <c r="U127" t="s">
        <v>281</v>
      </c>
      <c r="V127" s="46">
        <v>6.0699999999999997E-2</v>
      </c>
      <c r="W127" s="45">
        <v>5.9700000000000003E-2</v>
      </c>
      <c r="X127" t="s">
        <v>222</v>
      </c>
      <c r="Y127" t="s">
        <v>72</v>
      </c>
      <c r="Z127" s="44">
        <v>41708</v>
      </c>
      <c r="AA127" s="42">
        <v>1</v>
      </c>
      <c r="AB127" s="48">
        <v>102.73</v>
      </c>
      <c r="AD127" s="44">
        <v>42.847000000000001</v>
      </c>
      <c r="AG127" t="s">
        <v>16</v>
      </c>
      <c r="AH127" s="45">
        <v>1E-4</v>
      </c>
      <c r="AI127" s="45">
        <v>1.1306910877058599E-2</v>
      </c>
      <c r="AJ127" s="45">
        <v>1.0016944514770799E-3</v>
      </c>
    </row>
    <row r="128" spans="1:36" x14ac:dyDescent="0.25">
      <c r="A128">
        <v>12904</v>
      </c>
      <c r="B128">
        <v>12905</v>
      </c>
      <c r="C128" t="s">
        <v>282</v>
      </c>
      <c r="D128" t="s">
        <v>283</v>
      </c>
      <c r="E128" t="s">
        <v>210</v>
      </c>
      <c r="F128" t="s">
        <v>284</v>
      </c>
      <c r="G128" t="s">
        <v>285</v>
      </c>
      <c r="H128" t="s">
        <v>213</v>
      </c>
      <c r="I128" t="s">
        <v>239</v>
      </c>
      <c r="J128" t="s">
        <v>71</v>
      </c>
      <c r="K128" t="s">
        <v>71</v>
      </c>
      <c r="L128" t="s">
        <v>216</v>
      </c>
      <c r="M128" t="s">
        <v>286</v>
      </c>
      <c r="N128" t="s">
        <v>287</v>
      </c>
      <c r="O128" t="s">
        <v>72</v>
      </c>
      <c r="P128" t="s">
        <v>218</v>
      </c>
      <c r="Q128" t="s">
        <v>219</v>
      </c>
      <c r="R128" t="s">
        <v>220</v>
      </c>
      <c r="S128" t="s">
        <v>81</v>
      </c>
      <c r="T128" s="44">
        <v>5.859</v>
      </c>
      <c r="U128" t="s">
        <v>288</v>
      </c>
      <c r="V128" s="46">
        <v>0.05</v>
      </c>
      <c r="W128" s="45">
        <v>5.74E-2</v>
      </c>
      <c r="X128" t="s">
        <v>222</v>
      </c>
      <c r="Y128" t="s">
        <v>72</v>
      </c>
      <c r="Z128" s="44">
        <v>60000</v>
      </c>
      <c r="AA128" s="42">
        <v>1</v>
      </c>
      <c r="AB128" s="48">
        <v>96.72</v>
      </c>
      <c r="AD128" s="44">
        <v>58.031999999999996</v>
      </c>
      <c r="AG128" t="s">
        <v>16</v>
      </c>
      <c r="AH128" s="45">
        <v>1.2799999999999999E-4</v>
      </c>
      <c r="AI128" s="45">
        <v>1.53142190300665E-2</v>
      </c>
      <c r="AJ128" s="45">
        <v>1.35670727380075E-3</v>
      </c>
    </row>
    <row r="129" spans="1:36" x14ac:dyDescent="0.25">
      <c r="A129">
        <v>12904</v>
      </c>
      <c r="B129">
        <v>12905</v>
      </c>
      <c r="C129" t="s">
        <v>282</v>
      </c>
      <c r="D129" t="s">
        <v>283</v>
      </c>
      <c r="E129" t="s">
        <v>210</v>
      </c>
      <c r="F129" t="s">
        <v>289</v>
      </c>
      <c r="G129" t="s">
        <v>290</v>
      </c>
      <c r="H129" t="s">
        <v>213</v>
      </c>
      <c r="I129" t="s">
        <v>239</v>
      </c>
      <c r="J129" t="s">
        <v>71</v>
      </c>
      <c r="K129" t="s">
        <v>291</v>
      </c>
      <c r="L129" t="s">
        <v>216</v>
      </c>
      <c r="M129" t="s">
        <v>117</v>
      </c>
      <c r="N129" t="s">
        <v>287</v>
      </c>
      <c r="O129" t="s">
        <v>72</v>
      </c>
      <c r="P129" t="s">
        <v>218</v>
      </c>
      <c r="Q129" t="s">
        <v>219</v>
      </c>
      <c r="R129" t="s">
        <v>220</v>
      </c>
      <c r="S129" t="s">
        <v>81</v>
      </c>
      <c r="T129" s="44">
        <v>3.2930000000000001</v>
      </c>
      <c r="U129" t="s">
        <v>292</v>
      </c>
      <c r="V129" s="46">
        <v>1.4999999999999999E-2</v>
      </c>
      <c r="W129" s="45">
        <v>5.5910000000000001E-2</v>
      </c>
      <c r="X129" t="s">
        <v>222</v>
      </c>
      <c r="Y129" t="s">
        <v>72</v>
      </c>
      <c r="Z129" s="44">
        <v>60035</v>
      </c>
      <c r="AA129" s="42">
        <v>1</v>
      </c>
      <c r="AB129" s="48">
        <v>87.84</v>
      </c>
      <c r="AD129" s="44">
        <v>52.734999999999999</v>
      </c>
      <c r="AG129" t="s">
        <v>16</v>
      </c>
      <c r="AH129" s="45">
        <v>5.1E-5</v>
      </c>
      <c r="AI129" s="45">
        <v>1.39163120366433E-2</v>
      </c>
      <c r="AJ129" s="45">
        <v>1.23286481194549E-3</v>
      </c>
    </row>
    <row r="130" spans="1:36" x14ac:dyDescent="0.25">
      <c r="A130">
        <v>12904</v>
      </c>
      <c r="B130">
        <v>12905</v>
      </c>
      <c r="C130" t="s">
        <v>293</v>
      </c>
      <c r="D130" t="s">
        <v>294</v>
      </c>
      <c r="E130" t="s">
        <v>210</v>
      </c>
      <c r="F130" t="s">
        <v>295</v>
      </c>
      <c r="G130" t="s">
        <v>296</v>
      </c>
      <c r="H130" t="s">
        <v>213</v>
      </c>
      <c r="I130" t="s">
        <v>239</v>
      </c>
      <c r="J130" t="s">
        <v>71</v>
      </c>
      <c r="K130" t="s">
        <v>71</v>
      </c>
      <c r="L130" t="s">
        <v>216</v>
      </c>
      <c r="M130" t="s">
        <v>117</v>
      </c>
      <c r="N130" t="s">
        <v>287</v>
      </c>
      <c r="O130" t="s">
        <v>72</v>
      </c>
      <c r="P130" t="s">
        <v>218</v>
      </c>
      <c r="Q130" t="s">
        <v>74</v>
      </c>
      <c r="R130" t="s">
        <v>220</v>
      </c>
      <c r="S130" t="s">
        <v>81</v>
      </c>
      <c r="T130" s="44">
        <v>2.6560000000000001</v>
      </c>
      <c r="U130" t="s">
        <v>297</v>
      </c>
      <c r="V130" s="46">
        <v>2.0500000000000001E-2</v>
      </c>
      <c r="W130" s="45">
        <v>5.4919999999999997E-2</v>
      </c>
      <c r="X130" t="s">
        <v>222</v>
      </c>
      <c r="Y130" t="s">
        <v>72</v>
      </c>
      <c r="Z130" s="44">
        <v>141080</v>
      </c>
      <c r="AA130" s="42">
        <v>1</v>
      </c>
      <c r="AB130" s="48">
        <v>91.77</v>
      </c>
      <c r="AD130" s="44">
        <v>129.46899999999999</v>
      </c>
      <c r="AG130" t="s">
        <v>16</v>
      </c>
      <c r="AH130" s="45">
        <v>1.47E-4</v>
      </c>
      <c r="AI130" s="45">
        <v>3.4165949821703297E-2</v>
      </c>
      <c r="AJ130" s="45">
        <v>3.0268074753541799E-3</v>
      </c>
    </row>
    <row r="131" spans="1:36" x14ac:dyDescent="0.25">
      <c r="A131">
        <v>12904</v>
      </c>
      <c r="B131">
        <v>12905</v>
      </c>
      <c r="C131" t="s">
        <v>298</v>
      </c>
      <c r="D131" t="s">
        <v>299</v>
      </c>
      <c r="E131" t="s">
        <v>210</v>
      </c>
      <c r="F131" t="s">
        <v>300</v>
      </c>
      <c r="G131" t="s">
        <v>301</v>
      </c>
      <c r="H131" t="s">
        <v>213</v>
      </c>
      <c r="I131" t="s">
        <v>214</v>
      </c>
      <c r="J131" t="s">
        <v>71</v>
      </c>
      <c r="K131" t="s">
        <v>71</v>
      </c>
      <c r="L131" t="s">
        <v>216</v>
      </c>
      <c r="M131" t="s">
        <v>117</v>
      </c>
      <c r="N131" t="s">
        <v>217</v>
      </c>
      <c r="O131" t="s">
        <v>72</v>
      </c>
      <c r="P131" t="s">
        <v>246</v>
      </c>
      <c r="Q131" t="s">
        <v>74</v>
      </c>
      <c r="R131" t="s">
        <v>220</v>
      </c>
      <c r="S131" t="s">
        <v>81</v>
      </c>
      <c r="T131" s="44">
        <v>1.2929999999999999</v>
      </c>
      <c r="U131" t="s">
        <v>302</v>
      </c>
      <c r="V131" s="46">
        <v>2.5700000000000001E-2</v>
      </c>
      <c r="W131" s="45">
        <v>3.1449999999999999E-2</v>
      </c>
      <c r="X131" t="s">
        <v>222</v>
      </c>
      <c r="Y131" t="s">
        <v>72</v>
      </c>
      <c r="Z131" s="44">
        <v>57042.59</v>
      </c>
      <c r="AA131" s="42">
        <v>1</v>
      </c>
      <c r="AB131" s="48">
        <v>117.15</v>
      </c>
      <c r="AD131" s="44">
        <v>66.825000000000003</v>
      </c>
      <c r="AG131" t="s">
        <v>16</v>
      </c>
      <c r="AH131" s="45">
        <v>5.3999999999999998E-5</v>
      </c>
      <c r="AI131" s="45">
        <v>1.7634731239999001E-2</v>
      </c>
      <c r="AJ131" s="45">
        <v>1.5622845734317599E-3</v>
      </c>
    </row>
    <row r="132" spans="1:36" x14ac:dyDescent="0.25">
      <c r="A132">
        <v>12904</v>
      </c>
      <c r="B132">
        <v>12905</v>
      </c>
      <c r="C132" t="s">
        <v>298</v>
      </c>
      <c r="D132" t="s">
        <v>299</v>
      </c>
      <c r="E132" t="s">
        <v>210</v>
      </c>
      <c r="F132" t="s">
        <v>303</v>
      </c>
      <c r="G132" t="s">
        <v>304</v>
      </c>
      <c r="H132" t="s">
        <v>213</v>
      </c>
      <c r="I132" t="s">
        <v>214</v>
      </c>
      <c r="J132" t="s">
        <v>71</v>
      </c>
      <c r="K132" t="s">
        <v>71</v>
      </c>
      <c r="L132" t="s">
        <v>216</v>
      </c>
      <c r="M132" t="s">
        <v>117</v>
      </c>
      <c r="N132" t="s">
        <v>217</v>
      </c>
      <c r="O132" t="s">
        <v>72</v>
      </c>
      <c r="P132" t="s">
        <v>246</v>
      </c>
      <c r="Q132" t="s">
        <v>74</v>
      </c>
      <c r="R132" t="s">
        <v>220</v>
      </c>
      <c r="S132" t="s">
        <v>81</v>
      </c>
      <c r="T132" s="44">
        <v>4.7030000000000003</v>
      </c>
      <c r="U132" t="s">
        <v>305</v>
      </c>
      <c r="V132" s="46">
        <v>1.54E-2</v>
      </c>
      <c r="W132" s="45">
        <v>3.2759999999999997E-2</v>
      </c>
      <c r="X132" t="s">
        <v>222</v>
      </c>
      <c r="Y132" t="s">
        <v>72</v>
      </c>
      <c r="Z132" s="44">
        <v>21070</v>
      </c>
      <c r="AA132" s="42">
        <v>1</v>
      </c>
      <c r="AB132" s="48">
        <v>103.7</v>
      </c>
      <c r="AD132" s="44">
        <v>21.85</v>
      </c>
      <c r="AG132" t="s">
        <v>16</v>
      </c>
      <c r="AH132" s="45">
        <v>3.4999999999999997E-5</v>
      </c>
      <c r="AI132" s="45">
        <v>5.7659464946434799E-3</v>
      </c>
      <c r="AJ132" s="45">
        <v>5.1081295979053299E-4</v>
      </c>
    </row>
    <row r="133" spans="1:36" x14ac:dyDescent="0.25">
      <c r="A133">
        <v>12904</v>
      </c>
      <c r="B133">
        <v>12905</v>
      </c>
      <c r="C133" t="s">
        <v>298</v>
      </c>
      <c r="D133" t="s">
        <v>299</v>
      </c>
      <c r="E133" t="s">
        <v>210</v>
      </c>
      <c r="F133" t="s">
        <v>306</v>
      </c>
      <c r="G133" t="s">
        <v>307</v>
      </c>
      <c r="H133" t="s">
        <v>213</v>
      </c>
      <c r="I133" t="s">
        <v>214</v>
      </c>
      <c r="J133" t="s">
        <v>71</v>
      </c>
      <c r="K133" t="s">
        <v>71</v>
      </c>
      <c r="L133" t="s">
        <v>216</v>
      </c>
      <c r="M133" t="s">
        <v>109</v>
      </c>
      <c r="N133" t="s">
        <v>217</v>
      </c>
      <c r="O133" t="s">
        <v>72</v>
      </c>
      <c r="P133" t="s">
        <v>246</v>
      </c>
      <c r="Q133" t="s">
        <v>74</v>
      </c>
      <c r="R133" t="s">
        <v>220</v>
      </c>
      <c r="S133" t="s">
        <v>81</v>
      </c>
      <c r="T133" s="44">
        <v>6.8319999999999999</v>
      </c>
      <c r="U133" t="s">
        <v>308</v>
      </c>
      <c r="V133" s="46">
        <v>4.02E-2</v>
      </c>
      <c r="W133" s="45">
        <v>3.5560000000000001E-2</v>
      </c>
      <c r="X133" t="s">
        <v>222</v>
      </c>
      <c r="Y133" t="s">
        <v>72</v>
      </c>
      <c r="Z133" s="44">
        <v>45000</v>
      </c>
      <c r="AA133" s="42">
        <v>1</v>
      </c>
      <c r="AB133" s="48">
        <v>104.52</v>
      </c>
      <c r="AD133" s="44">
        <v>47.033999999999999</v>
      </c>
      <c r="AG133" t="s">
        <v>16</v>
      </c>
      <c r="AH133" s="45">
        <v>5.5999999999999999E-5</v>
      </c>
      <c r="AI133" s="45">
        <v>1.24119275203361E-2</v>
      </c>
      <c r="AJ133" s="45">
        <v>1.0995893630401301E-3</v>
      </c>
    </row>
    <row r="134" spans="1:36" x14ac:dyDescent="0.25">
      <c r="A134">
        <v>12904</v>
      </c>
      <c r="B134">
        <v>12905</v>
      </c>
      <c r="C134" t="s">
        <v>254</v>
      </c>
      <c r="D134" t="s">
        <v>255</v>
      </c>
      <c r="E134" t="s">
        <v>210</v>
      </c>
      <c r="F134" t="s">
        <v>309</v>
      </c>
      <c r="G134" t="s">
        <v>310</v>
      </c>
      <c r="H134" t="s">
        <v>213</v>
      </c>
      <c r="I134" t="s">
        <v>214</v>
      </c>
      <c r="J134" t="s">
        <v>71</v>
      </c>
      <c r="K134" t="s">
        <v>71</v>
      </c>
      <c r="L134" t="s">
        <v>216</v>
      </c>
      <c r="M134" t="s">
        <v>109</v>
      </c>
      <c r="N134" t="s">
        <v>258</v>
      </c>
      <c r="O134" t="s">
        <v>72</v>
      </c>
      <c r="P134" t="s">
        <v>259</v>
      </c>
      <c r="Q134" t="s">
        <v>74</v>
      </c>
      <c r="R134" t="s">
        <v>220</v>
      </c>
      <c r="S134" t="s">
        <v>81</v>
      </c>
      <c r="T134" s="44">
        <v>7.2910000000000004</v>
      </c>
      <c r="U134" t="s">
        <v>311</v>
      </c>
      <c r="V134" s="46">
        <v>3.5999999999999997E-2</v>
      </c>
      <c r="W134" s="45">
        <v>3.2489999999999998E-2</v>
      </c>
      <c r="X134" t="s">
        <v>222</v>
      </c>
      <c r="Y134" t="s">
        <v>72</v>
      </c>
      <c r="Z134" s="44">
        <v>40000</v>
      </c>
      <c r="AA134" s="42">
        <v>1</v>
      </c>
      <c r="AB134" s="48">
        <v>104.88</v>
      </c>
      <c r="AD134" s="44">
        <v>41.951999999999998</v>
      </c>
      <c r="AG134" t="s">
        <v>16</v>
      </c>
      <c r="AH134" s="45">
        <v>5.5000000000000002E-5</v>
      </c>
      <c r="AI134" s="45">
        <v>1.1070825006019899E-2</v>
      </c>
      <c r="AJ134" s="45">
        <v>9.8077928643660792E-4</v>
      </c>
    </row>
    <row r="135" spans="1:36" x14ac:dyDescent="0.25">
      <c r="A135">
        <v>12904</v>
      </c>
      <c r="B135">
        <v>12905</v>
      </c>
      <c r="C135" t="s">
        <v>312</v>
      </c>
      <c r="D135" t="s">
        <v>313</v>
      </c>
      <c r="E135" t="s">
        <v>210</v>
      </c>
      <c r="F135" t="s">
        <v>314</v>
      </c>
      <c r="G135" t="s">
        <v>315</v>
      </c>
      <c r="H135" t="s">
        <v>213</v>
      </c>
      <c r="I135" t="s">
        <v>214</v>
      </c>
      <c r="J135" t="s">
        <v>71</v>
      </c>
      <c r="K135" t="s">
        <v>71</v>
      </c>
      <c r="L135" t="s">
        <v>216</v>
      </c>
      <c r="M135" t="s">
        <v>117</v>
      </c>
      <c r="N135" t="s">
        <v>258</v>
      </c>
      <c r="O135" t="s">
        <v>72</v>
      </c>
      <c r="P135" t="s">
        <v>218</v>
      </c>
      <c r="Q135" t="s">
        <v>74</v>
      </c>
      <c r="R135" t="s">
        <v>220</v>
      </c>
      <c r="S135" t="s">
        <v>81</v>
      </c>
      <c r="T135" s="44">
        <v>5.7060000000000004</v>
      </c>
      <c r="U135" t="s">
        <v>316</v>
      </c>
      <c r="V135" s="46">
        <v>3.6799999999999999E-2</v>
      </c>
      <c r="W135" s="45">
        <v>3.5349999999999999E-2</v>
      </c>
      <c r="X135" t="s">
        <v>222</v>
      </c>
      <c r="Y135" t="s">
        <v>72</v>
      </c>
      <c r="Z135" s="44">
        <v>109000</v>
      </c>
      <c r="AA135" s="42">
        <v>1</v>
      </c>
      <c r="AB135" s="48">
        <v>105.69</v>
      </c>
      <c r="AD135" s="44">
        <v>115.202</v>
      </c>
      <c r="AG135" t="s">
        <v>16</v>
      </c>
      <c r="AH135" s="45">
        <v>2.4600000000000002E-4</v>
      </c>
      <c r="AI135" s="45">
        <v>3.0400988973732099E-2</v>
      </c>
      <c r="AJ135" s="45">
        <v>2.6932645269355099E-3</v>
      </c>
    </row>
    <row r="136" spans="1:36" x14ac:dyDescent="0.25">
      <c r="A136">
        <v>12904</v>
      </c>
      <c r="B136">
        <v>12905</v>
      </c>
      <c r="C136" t="s">
        <v>631</v>
      </c>
      <c r="D136" t="s">
        <v>632</v>
      </c>
      <c r="E136" t="s">
        <v>210</v>
      </c>
      <c r="F136" t="s">
        <v>633</v>
      </c>
      <c r="G136" t="s">
        <v>634</v>
      </c>
      <c r="H136" t="s">
        <v>213</v>
      </c>
      <c r="I136" t="s">
        <v>239</v>
      </c>
      <c r="J136" t="s">
        <v>71</v>
      </c>
      <c r="K136" t="s">
        <v>71</v>
      </c>
      <c r="L136" t="s">
        <v>216</v>
      </c>
      <c r="M136" t="s">
        <v>117</v>
      </c>
      <c r="N136" t="s">
        <v>245</v>
      </c>
      <c r="O136" t="s">
        <v>72</v>
      </c>
      <c r="P136" t="s">
        <v>218</v>
      </c>
      <c r="Q136" t="s">
        <v>74</v>
      </c>
      <c r="R136" t="s">
        <v>220</v>
      </c>
      <c r="S136" t="s">
        <v>81</v>
      </c>
      <c r="T136" s="44">
        <v>1.919</v>
      </c>
      <c r="U136" t="s">
        <v>635</v>
      </c>
      <c r="V136" s="46">
        <v>4.2999999999999997E-2</v>
      </c>
      <c r="W136" s="45">
        <v>5.5160000000000001E-2</v>
      </c>
      <c r="X136" t="s">
        <v>222</v>
      </c>
      <c r="Y136" t="s">
        <v>72</v>
      </c>
      <c r="Z136" s="44">
        <v>22303.32</v>
      </c>
      <c r="AA136" s="42">
        <v>1</v>
      </c>
      <c r="AB136" s="48">
        <v>98.75</v>
      </c>
      <c r="AD136" s="44">
        <v>22.024999999999999</v>
      </c>
      <c r="AG136" t="s">
        <v>16</v>
      </c>
      <c r="AH136" s="45">
        <v>2.8E-5</v>
      </c>
      <c r="AI136" s="45">
        <v>5.8121114813024103E-3</v>
      </c>
      <c r="AJ136" s="45">
        <v>5.14902778087641E-4</v>
      </c>
    </row>
    <row r="137" spans="1:36" x14ac:dyDescent="0.25">
      <c r="A137">
        <v>12904</v>
      </c>
      <c r="B137">
        <v>12905</v>
      </c>
      <c r="C137" t="s">
        <v>325</v>
      </c>
      <c r="D137" t="s">
        <v>326</v>
      </c>
      <c r="E137" t="s">
        <v>210</v>
      </c>
      <c r="F137" t="s">
        <v>327</v>
      </c>
      <c r="G137" t="s">
        <v>328</v>
      </c>
      <c r="H137" t="s">
        <v>213</v>
      </c>
      <c r="I137" t="s">
        <v>239</v>
      </c>
      <c r="J137" t="s">
        <v>71</v>
      </c>
      <c r="K137" t="s">
        <v>71</v>
      </c>
      <c r="L137" t="s">
        <v>216</v>
      </c>
      <c r="M137" t="s">
        <v>109</v>
      </c>
      <c r="N137" t="s">
        <v>329</v>
      </c>
      <c r="O137" t="s">
        <v>72</v>
      </c>
      <c r="P137" t="s">
        <v>235</v>
      </c>
      <c r="Q137" t="s">
        <v>219</v>
      </c>
      <c r="R137" t="s">
        <v>220</v>
      </c>
      <c r="S137" t="s">
        <v>81</v>
      </c>
      <c r="T137" s="44">
        <v>4.07</v>
      </c>
      <c r="U137" t="s">
        <v>330</v>
      </c>
      <c r="V137" s="46">
        <v>5.5E-2</v>
      </c>
      <c r="W137" s="45">
        <v>5.1830000000000001E-2</v>
      </c>
      <c r="X137" t="s">
        <v>222</v>
      </c>
      <c r="Y137" t="s">
        <v>72</v>
      </c>
      <c r="Z137" s="44">
        <v>30300</v>
      </c>
      <c r="AA137" s="42">
        <v>1</v>
      </c>
      <c r="AB137" s="48">
        <v>104.5</v>
      </c>
      <c r="AD137" s="44">
        <v>31.663</v>
      </c>
      <c r="AG137" t="s">
        <v>16</v>
      </c>
      <c r="AH137" s="45">
        <v>3.0000000000000001E-5</v>
      </c>
      <c r="AI137" s="45">
        <v>8.3557653408207495E-3</v>
      </c>
      <c r="AJ137" s="45">
        <v>7.4024849676023797E-4</v>
      </c>
    </row>
    <row r="138" spans="1:36" x14ac:dyDescent="0.25">
      <c r="A138">
        <v>12904</v>
      </c>
      <c r="B138">
        <v>12905</v>
      </c>
      <c r="C138" t="s">
        <v>331</v>
      </c>
      <c r="D138" t="s">
        <v>332</v>
      </c>
      <c r="E138" t="s">
        <v>210</v>
      </c>
      <c r="F138" t="s">
        <v>338</v>
      </c>
      <c r="G138" t="s">
        <v>339</v>
      </c>
      <c r="H138" t="s">
        <v>213</v>
      </c>
      <c r="I138" t="s">
        <v>214</v>
      </c>
      <c r="J138" t="s">
        <v>71</v>
      </c>
      <c r="K138" t="s">
        <v>71</v>
      </c>
      <c r="L138" t="s">
        <v>216</v>
      </c>
      <c r="M138" t="s">
        <v>117</v>
      </c>
      <c r="N138" t="s">
        <v>258</v>
      </c>
      <c r="O138" t="s">
        <v>72</v>
      </c>
      <c r="P138" t="s">
        <v>228</v>
      </c>
      <c r="Q138" t="s">
        <v>74</v>
      </c>
      <c r="R138" t="s">
        <v>220</v>
      </c>
      <c r="S138" t="s">
        <v>81</v>
      </c>
      <c r="T138" s="44">
        <v>4.8780000000000001</v>
      </c>
      <c r="U138" t="s">
        <v>340</v>
      </c>
      <c r="V138" s="46">
        <v>1.8700000000000001E-2</v>
      </c>
      <c r="W138" s="45">
        <v>3.1629999999999998E-2</v>
      </c>
      <c r="X138" t="s">
        <v>222</v>
      </c>
      <c r="Y138" t="s">
        <v>72</v>
      </c>
      <c r="Z138" s="44">
        <v>63200</v>
      </c>
      <c r="AA138" s="42">
        <v>1</v>
      </c>
      <c r="AB138" s="48">
        <v>105.08</v>
      </c>
      <c r="AD138" s="44">
        <v>66.411000000000001</v>
      </c>
      <c r="AG138" t="s">
        <v>16</v>
      </c>
      <c r="AH138" s="45">
        <v>6.2000000000000003E-5</v>
      </c>
      <c r="AI138" s="45">
        <v>1.7525259542138301E-2</v>
      </c>
      <c r="AJ138" s="45">
        <v>1.5525863283909101E-3</v>
      </c>
    </row>
    <row r="139" spans="1:36" x14ac:dyDescent="0.25">
      <c r="A139">
        <v>12904</v>
      </c>
      <c r="B139">
        <v>12905</v>
      </c>
      <c r="C139" t="s">
        <v>320</v>
      </c>
      <c r="D139" t="s">
        <v>321</v>
      </c>
      <c r="E139" t="s">
        <v>210</v>
      </c>
      <c r="F139" t="s">
        <v>341</v>
      </c>
      <c r="G139" t="s">
        <v>342</v>
      </c>
      <c r="H139" t="s">
        <v>213</v>
      </c>
      <c r="I139" t="s">
        <v>239</v>
      </c>
      <c r="J139" t="s">
        <v>71</v>
      </c>
      <c r="K139" t="s">
        <v>71</v>
      </c>
      <c r="L139" t="s">
        <v>216</v>
      </c>
      <c r="M139" t="s">
        <v>117</v>
      </c>
      <c r="N139" t="s">
        <v>234</v>
      </c>
      <c r="O139" t="s">
        <v>72</v>
      </c>
      <c r="P139" t="s">
        <v>246</v>
      </c>
      <c r="Q139" t="s">
        <v>74</v>
      </c>
      <c r="R139" t="s">
        <v>220</v>
      </c>
      <c r="S139" t="s">
        <v>81</v>
      </c>
      <c r="T139" s="44">
        <v>4.2629999999999999</v>
      </c>
      <c r="U139" t="s">
        <v>343</v>
      </c>
      <c r="V139" s="46">
        <v>5.7500000000000002E-2</v>
      </c>
      <c r="W139" s="45">
        <v>5.493E-2</v>
      </c>
      <c r="X139" t="s">
        <v>222</v>
      </c>
      <c r="Y139" t="s">
        <v>72</v>
      </c>
      <c r="Z139" s="44">
        <v>25526</v>
      </c>
      <c r="AA139" s="42">
        <v>1</v>
      </c>
      <c r="AB139" s="48">
        <v>101.46</v>
      </c>
      <c r="AD139" s="44">
        <v>25.899000000000001</v>
      </c>
      <c r="AG139" t="s">
        <v>16</v>
      </c>
      <c r="AH139" s="45">
        <v>4.8999999999999998E-5</v>
      </c>
      <c r="AI139" s="45">
        <v>6.8344715326701597E-3</v>
      </c>
      <c r="AJ139" s="45">
        <v>6.0547503093388399E-4</v>
      </c>
    </row>
    <row r="140" spans="1:36" x14ac:dyDescent="0.25">
      <c r="A140">
        <v>12904</v>
      </c>
      <c r="B140">
        <v>12905</v>
      </c>
      <c r="C140" t="s">
        <v>344</v>
      </c>
      <c r="D140" t="s">
        <v>345</v>
      </c>
      <c r="E140" t="s">
        <v>210</v>
      </c>
      <c r="F140" t="s">
        <v>352</v>
      </c>
      <c r="G140" t="s">
        <v>353</v>
      </c>
      <c r="H140" t="s">
        <v>213</v>
      </c>
      <c r="I140" t="s">
        <v>214</v>
      </c>
      <c r="J140" t="s">
        <v>71</v>
      </c>
      <c r="K140" t="s">
        <v>71</v>
      </c>
      <c r="L140" t="s">
        <v>216</v>
      </c>
      <c r="M140" t="s">
        <v>117</v>
      </c>
      <c r="N140" t="s">
        <v>258</v>
      </c>
      <c r="O140" t="s">
        <v>72</v>
      </c>
      <c r="P140" t="s">
        <v>259</v>
      </c>
      <c r="Q140" t="s">
        <v>74</v>
      </c>
      <c r="R140" t="s">
        <v>220</v>
      </c>
      <c r="S140" t="s">
        <v>81</v>
      </c>
      <c r="T140" s="44">
        <v>4.673</v>
      </c>
      <c r="U140" t="s">
        <v>354</v>
      </c>
      <c r="V140" s="46">
        <v>5.8999999999999999E-3</v>
      </c>
      <c r="W140" s="45">
        <v>3.0779999999999998E-2</v>
      </c>
      <c r="X140" t="s">
        <v>222</v>
      </c>
      <c r="Y140" t="s">
        <v>72</v>
      </c>
      <c r="Z140" s="44">
        <v>51260</v>
      </c>
      <c r="AA140" s="42">
        <v>1</v>
      </c>
      <c r="AB140" s="48">
        <v>100.11</v>
      </c>
      <c r="AD140" s="44">
        <v>51.316000000000003</v>
      </c>
      <c r="AG140" t="s">
        <v>16</v>
      </c>
      <c r="AH140" s="45">
        <v>3.6999999999999998E-5</v>
      </c>
      <c r="AI140" s="45">
        <v>1.35420177666708E-2</v>
      </c>
      <c r="AJ140" s="45">
        <v>1.1997055788421399E-3</v>
      </c>
    </row>
    <row r="141" spans="1:36" x14ac:dyDescent="0.25">
      <c r="A141">
        <v>12904</v>
      </c>
      <c r="B141">
        <v>12905</v>
      </c>
      <c r="C141" t="s">
        <v>344</v>
      </c>
      <c r="D141" t="s">
        <v>345</v>
      </c>
      <c r="E141" t="s">
        <v>210</v>
      </c>
      <c r="F141" t="s">
        <v>355</v>
      </c>
      <c r="G141" t="s">
        <v>356</v>
      </c>
      <c r="H141" t="s">
        <v>213</v>
      </c>
      <c r="I141" t="s">
        <v>214</v>
      </c>
      <c r="J141" t="s">
        <v>71</v>
      </c>
      <c r="K141" t="s">
        <v>71</v>
      </c>
      <c r="L141" t="s">
        <v>216</v>
      </c>
      <c r="M141" t="s">
        <v>109</v>
      </c>
      <c r="N141" t="s">
        <v>258</v>
      </c>
      <c r="O141" t="s">
        <v>72</v>
      </c>
      <c r="P141" t="s">
        <v>259</v>
      </c>
      <c r="Q141" t="s">
        <v>74</v>
      </c>
      <c r="R141" t="s">
        <v>220</v>
      </c>
      <c r="S141" t="s">
        <v>81</v>
      </c>
      <c r="T141" s="44">
        <v>3.3180000000000001</v>
      </c>
      <c r="U141" t="s">
        <v>357</v>
      </c>
      <c r="V141" s="46">
        <v>3.3399999999999999E-2</v>
      </c>
      <c r="W141" s="45">
        <v>3.0470000000000001E-2</v>
      </c>
      <c r="X141" t="s">
        <v>222</v>
      </c>
      <c r="Y141" t="s">
        <v>72</v>
      </c>
      <c r="Z141" s="44">
        <v>63891</v>
      </c>
      <c r="AA141" s="42">
        <v>1</v>
      </c>
      <c r="AB141" s="48">
        <v>102.84</v>
      </c>
      <c r="AD141" s="44">
        <v>65.706000000000003</v>
      </c>
      <c r="AG141" t="s">
        <v>16</v>
      </c>
      <c r="AH141" s="45">
        <v>5.8999999999999998E-5</v>
      </c>
      <c r="AI141" s="45">
        <v>1.73392005421594E-2</v>
      </c>
      <c r="AJ141" s="45">
        <v>1.5361031111839601E-3</v>
      </c>
    </row>
    <row r="142" spans="1:36" x14ac:dyDescent="0.25">
      <c r="A142">
        <v>12904</v>
      </c>
      <c r="B142">
        <v>12905</v>
      </c>
      <c r="C142" t="s">
        <v>344</v>
      </c>
      <c r="D142" t="s">
        <v>345</v>
      </c>
      <c r="E142" t="s">
        <v>210</v>
      </c>
      <c r="F142" t="s">
        <v>358</v>
      </c>
      <c r="G142" t="s">
        <v>359</v>
      </c>
      <c r="H142" t="s">
        <v>213</v>
      </c>
      <c r="I142" t="s">
        <v>214</v>
      </c>
      <c r="J142" t="s">
        <v>71</v>
      </c>
      <c r="K142" t="s">
        <v>71</v>
      </c>
      <c r="L142" t="s">
        <v>216</v>
      </c>
      <c r="M142" t="s">
        <v>117</v>
      </c>
      <c r="N142" t="s">
        <v>258</v>
      </c>
      <c r="O142" t="s">
        <v>72</v>
      </c>
      <c r="P142" t="s">
        <v>259</v>
      </c>
      <c r="Q142" t="s">
        <v>74</v>
      </c>
      <c r="R142" t="s">
        <v>220</v>
      </c>
      <c r="S142" t="s">
        <v>81</v>
      </c>
      <c r="T142" s="44">
        <v>0.98599999999999999</v>
      </c>
      <c r="U142" t="s">
        <v>360</v>
      </c>
      <c r="V142" s="46">
        <v>4.7500000000000001E-2</v>
      </c>
      <c r="W142" s="45">
        <v>2.462E-2</v>
      </c>
      <c r="X142" t="s">
        <v>222</v>
      </c>
      <c r="Y142" t="s">
        <v>72</v>
      </c>
      <c r="Z142" s="44">
        <v>5121.76</v>
      </c>
      <c r="AA142" s="42">
        <v>1</v>
      </c>
      <c r="AB142" s="48">
        <v>143.4</v>
      </c>
      <c r="AD142" s="44">
        <v>7.3449999999999998</v>
      </c>
      <c r="AG142" t="s">
        <v>16</v>
      </c>
      <c r="AH142" s="45">
        <v>1.1E-5</v>
      </c>
      <c r="AI142" s="45">
        <v>1.9381870673908801E-3</v>
      </c>
      <c r="AJ142" s="45">
        <v>1.71706600718792E-4</v>
      </c>
    </row>
    <row r="143" spans="1:36" x14ac:dyDescent="0.25">
      <c r="A143">
        <v>12904</v>
      </c>
      <c r="B143">
        <v>12905</v>
      </c>
      <c r="C143" t="s">
        <v>361</v>
      </c>
      <c r="D143" t="s">
        <v>362</v>
      </c>
      <c r="E143" t="s">
        <v>210</v>
      </c>
      <c r="F143" t="s">
        <v>363</v>
      </c>
      <c r="G143" t="s">
        <v>364</v>
      </c>
      <c r="H143" t="s">
        <v>213</v>
      </c>
      <c r="I143" t="s">
        <v>214</v>
      </c>
      <c r="J143" t="s">
        <v>71</v>
      </c>
      <c r="K143" t="s">
        <v>71</v>
      </c>
      <c r="L143" t="s">
        <v>216</v>
      </c>
      <c r="M143" t="s">
        <v>117</v>
      </c>
      <c r="N143" t="s">
        <v>365</v>
      </c>
      <c r="O143" t="s">
        <v>72</v>
      </c>
      <c r="P143" t="s">
        <v>73</v>
      </c>
      <c r="Q143" t="s">
        <v>74</v>
      </c>
      <c r="R143" t="s">
        <v>220</v>
      </c>
      <c r="S143" t="s">
        <v>81</v>
      </c>
      <c r="T143" s="44">
        <v>5.1459999999999999</v>
      </c>
      <c r="U143" t="s">
        <v>366</v>
      </c>
      <c r="V143" s="46">
        <v>2.47E-2</v>
      </c>
      <c r="W143" s="45">
        <v>2.6089999999999999E-2</v>
      </c>
      <c r="X143" t="s">
        <v>222</v>
      </c>
      <c r="Y143" t="s">
        <v>72</v>
      </c>
      <c r="Z143" s="44">
        <v>42770</v>
      </c>
      <c r="AA143" s="42">
        <v>1</v>
      </c>
      <c r="AB143" s="48">
        <v>101.3</v>
      </c>
      <c r="AD143" s="44">
        <v>43.326000000000001</v>
      </c>
      <c r="AG143" t="s">
        <v>16</v>
      </c>
      <c r="AH143" s="45">
        <v>1.5999999999999999E-5</v>
      </c>
      <c r="AI143" s="45">
        <v>1.1433416164165501E-2</v>
      </c>
      <c r="AJ143" s="45">
        <v>1.01290172511311E-3</v>
      </c>
    </row>
    <row r="144" spans="1:36" x14ac:dyDescent="0.25">
      <c r="A144">
        <v>12904</v>
      </c>
      <c r="B144">
        <v>12905</v>
      </c>
      <c r="C144" t="s">
        <v>361</v>
      </c>
      <c r="D144" t="s">
        <v>362</v>
      </c>
      <c r="E144" t="s">
        <v>210</v>
      </c>
      <c r="F144" t="s">
        <v>374</v>
      </c>
      <c r="G144" t="s">
        <v>375</v>
      </c>
      <c r="H144" t="s">
        <v>213</v>
      </c>
      <c r="I144" t="s">
        <v>214</v>
      </c>
      <c r="J144" t="s">
        <v>71</v>
      </c>
      <c r="K144" t="s">
        <v>71</v>
      </c>
      <c r="L144" t="s">
        <v>216</v>
      </c>
      <c r="M144" t="s">
        <v>117</v>
      </c>
      <c r="N144" t="s">
        <v>365</v>
      </c>
      <c r="O144" t="s">
        <v>72</v>
      </c>
      <c r="P144" t="s">
        <v>228</v>
      </c>
      <c r="Q144" t="s">
        <v>74</v>
      </c>
      <c r="R144" t="s">
        <v>220</v>
      </c>
      <c r="S144" t="s">
        <v>81</v>
      </c>
      <c r="T144" s="44">
        <v>3.488</v>
      </c>
      <c r="U144" t="s">
        <v>376</v>
      </c>
      <c r="V144" s="46">
        <v>3.1699999999999999E-2</v>
      </c>
      <c r="W144" s="45">
        <v>3.0249999999999999E-2</v>
      </c>
      <c r="X144" t="s">
        <v>222</v>
      </c>
      <c r="Y144" t="s">
        <v>72</v>
      </c>
      <c r="Z144" s="44">
        <v>50000</v>
      </c>
      <c r="AA144" s="42">
        <v>1</v>
      </c>
      <c r="AB144" s="48">
        <v>108.94</v>
      </c>
      <c r="AD144" s="44">
        <v>54.47</v>
      </c>
      <c r="AG144" t="s">
        <v>16</v>
      </c>
      <c r="AH144" s="45">
        <v>5.8999999999999998E-5</v>
      </c>
      <c r="AI144" s="45">
        <v>1.43742333637945E-2</v>
      </c>
      <c r="AJ144" s="45">
        <v>1.27343267858986E-3</v>
      </c>
    </row>
    <row r="145" spans="1:36" x14ac:dyDescent="0.25">
      <c r="A145">
        <v>12904</v>
      </c>
      <c r="B145">
        <v>12905</v>
      </c>
      <c r="C145" t="s">
        <v>377</v>
      </c>
      <c r="D145" t="s">
        <v>378</v>
      </c>
      <c r="E145" t="s">
        <v>210</v>
      </c>
      <c r="F145" t="s">
        <v>379</v>
      </c>
      <c r="G145" t="s">
        <v>380</v>
      </c>
      <c r="H145" t="s">
        <v>213</v>
      </c>
      <c r="I145" t="s">
        <v>214</v>
      </c>
      <c r="J145" t="s">
        <v>71</v>
      </c>
      <c r="K145" t="s">
        <v>71</v>
      </c>
      <c r="L145" t="s">
        <v>216</v>
      </c>
      <c r="M145" t="s">
        <v>117</v>
      </c>
      <c r="N145" t="s">
        <v>234</v>
      </c>
      <c r="O145" t="s">
        <v>72</v>
      </c>
      <c r="P145" t="s">
        <v>235</v>
      </c>
      <c r="Q145" t="s">
        <v>219</v>
      </c>
      <c r="R145" t="s">
        <v>220</v>
      </c>
      <c r="S145" t="s">
        <v>81</v>
      </c>
      <c r="T145" s="44">
        <v>3.448</v>
      </c>
      <c r="U145" t="s">
        <v>381</v>
      </c>
      <c r="V145" s="46">
        <v>1.7999999999999999E-2</v>
      </c>
      <c r="W145" s="45">
        <v>3.4950000000000002E-2</v>
      </c>
      <c r="X145" t="s">
        <v>222</v>
      </c>
      <c r="Y145" t="s">
        <v>72</v>
      </c>
      <c r="Z145" s="44">
        <v>55498.879999999997</v>
      </c>
      <c r="AA145" s="42">
        <v>1</v>
      </c>
      <c r="AB145" s="48">
        <v>109.14</v>
      </c>
      <c r="AD145" s="44">
        <v>60.570999999999998</v>
      </c>
      <c r="AG145" t="s">
        <v>16</v>
      </c>
      <c r="AH145" s="45">
        <v>6.3E-5</v>
      </c>
      <c r="AI145" s="45">
        <v>1.5984368545478699E-2</v>
      </c>
      <c r="AJ145" s="45">
        <v>1.41607672126058E-3</v>
      </c>
    </row>
    <row r="146" spans="1:36" x14ac:dyDescent="0.25">
      <c r="A146">
        <v>12904</v>
      </c>
      <c r="B146">
        <v>12905</v>
      </c>
      <c r="C146" t="s">
        <v>377</v>
      </c>
      <c r="D146" t="s">
        <v>378</v>
      </c>
      <c r="E146" t="s">
        <v>210</v>
      </c>
      <c r="F146" t="s">
        <v>382</v>
      </c>
      <c r="G146" t="s">
        <v>383</v>
      </c>
      <c r="H146" t="s">
        <v>213</v>
      </c>
      <c r="I146" t="s">
        <v>214</v>
      </c>
      <c r="J146" t="s">
        <v>71</v>
      </c>
      <c r="K146" t="s">
        <v>71</v>
      </c>
      <c r="L146" t="s">
        <v>216</v>
      </c>
      <c r="M146" t="s">
        <v>117</v>
      </c>
      <c r="N146" t="s">
        <v>234</v>
      </c>
      <c r="O146" t="s">
        <v>72</v>
      </c>
      <c r="P146" t="s">
        <v>235</v>
      </c>
      <c r="Q146" t="s">
        <v>74</v>
      </c>
      <c r="R146" t="s">
        <v>220</v>
      </c>
      <c r="S146" t="s">
        <v>81</v>
      </c>
      <c r="T146" s="44">
        <v>5.7770000000000001</v>
      </c>
      <c r="U146" t="s">
        <v>384</v>
      </c>
      <c r="V146" s="46">
        <v>3.3000000000000002E-2</v>
      </c>
      <c r="W146" s="45">
        <v>3.7769999999999998E-2</v>
      </c>
      <c r="X146" t="s">
        <v>222</v>
      </c>
      <c r="Y146" t="s">
        <v>72</v>
      </c>
      <c r="Z146" s="44">
        <v>45576.91</v>
      </c>
      <c r="AA146" s="42">
        <v>1</v>
      </c>
      <c r="AB146" s="48">
        <v>104.23</v>
      </c>
      <c r="AD146" s="44">
        <v>47.505000000000003</v>
      </c>
      <c r="AG146" t="s">
        <v>16</v>
      </c>
      <c r="AH146" s="45">
        <v>3.8000000000000002E-5</v>
      </c>
      <c r="AI146" s="45">
        <v>1.2536171694089699E-2</v>
      </c>
      <c r="AJ146" s="45">
        <v>1.1105963216011801E-3</v>
      </c>
    </row>
    <row r="147" spans="1:36" x14ac:dyDescent="0.25">
      <c r="A147">
        <v>12904</v>
      </c>
      <c r="B147">
        <v>12905</v>
      </c>
      <c r="C147" t="s">
        <v>385</v>
      </c>
      <c r="D147" t="s">
        <v>386</v>
      </c>
      <c r="E147" t="s">
        <v>210</v>
      </c>
      <c r="F147" t="s">
        <v>387</v>
      </c>
      <c r="G147" t="s">
        <v>388</v>
      </c>
      <c r="H147" t="s">
        <v>213</v>
      </c>
      <c r="I147" t="s">
        <v>214</v>
      </c>
      <c r="J147" t="s">
        <v>71</v>
      </c>
      <c r="K147" t="s">
        <v>71</v>
      </c>
      <c r="L147" t="s">
        <v>216</v>
      </c>
      <c r="M147" t="s">
        <v>117</v>
      </c>
      <c r="N147" t="s">
        <v>258</v>
      </c>
      <c r="O147" t="s">
        <v>72</v>
      </c>
      <c r="P147" t="s">
        <v>235</v>
      </c>
      <c r="Q147" t="s">
        <v>74</v>
      </c>
      <c r="R147" t="s">
        <v>220</v>
      </c>
      <c r="S147" t="s">
        <v>81</v>
      </c>
      <c r="T147" s="44">
        <v>2.1389999999999998</v>
      </c>
      <c r="U147" t="s">
        <v>247</v>
      </c>
      <c r="V147" s="46">
        <v>3.6499999999999998E-2</v>
      </c>
      <c r="W147" s="45">
        <v>3.637E-2</v>
      </c>
      <c r="X147" t="s">
        <v>222</v>
      </c>
      <c r="Y147" t="s">
        <v>72</v>
      </c>
      <c r="Z147" s="44">
        <v>27200</v>
      </c>
      <c r="AA147" s="42">
        <v>1</v>
      </c>
      <c r="AB147" s="48">
        <v>108.36</v>
      </c>
      <c r="AD147" s="44">
        <v>29.474</v>
      </c>
      <c r="AG147" t="s">
        <v>16</v>
      </c>
      <c r="AH147" s="45">
        <v>1.0399999999999999E-4</v>
      </c>
      <c r="AI147" s="45">
        <v>7.7779512433598201E-3</v>
      </c>
      <c r="AJ147" s="45">
        <v>6.8905916824203001E-4</v>
      </c>
    </row>
    <row r="148" spans="1:36" x14ac:dyDescent="0.25">
      <c r="A148">
        <v>12904</v>
      </c>
      <c r="B148">
        <v>12905</v>
      </c>
      <c r="C148" t="s">
        <v>385</v>
      </c>
      <c r="D148" t="s">
        <v>386</v>
      </c>
      <c r="E148" t="s">
        <v>210</v>
      </c>
      <c r="F148" t="s">
        <v>389</v>
      </c>
      <c r="G148" t="s">
        <v>390</v>
      </c>
      <c r="H148" t="s">
        <v>213</v>
      </c>
      <c r="I148" t="s">
        <v>214</v>
      </c>
      <c r="J148" t="s">
        <v>71</v>
      </c>
      <c r="K148" t="s">
        <v>71</v>
      </c>
      <c r="L148" t="s">
        <v>216</v>
      </c>
      <c r="M148" t="s">
        <v>117</v>
      </c>
      <c r="N148" t="s">
        <v>258</v>
      </c>
      <c r="O148" t="s">
        <v>72</v>
      </c>
      <c r="P148" t="s">
        <v>218</v>
      </c>
      <c r="Q148" t="s">
        <v>74</v>
      </c>
      <c r="R148" t="s">
        <v>220</v>
      </c>
      <c r="S148" t="s">
        <v>81</v>
      </c>
      <c r="T148" s="44">
        <v>2.492</v>
      </c>
      <c r="U148" t="s">
        <v>391</v>
      </c>
      <c r="V148" s="46">
        <v>1.7999999999999999E-2</v>
      </c>
      <c r="W148" s="45">
        <v>2.9749999999999999E-2</v>
      </c>
      <c r="X148" t="s">
        <v>222</v>
      </c>
      <c r="Y148" t="s">
        <v>72</v>
      </c>
      <c r="Z148" s="44">
        <v>16929.7</v>
      </c>
      <c r="AA148" s="42">
        <v>1</v>
      </c>
      <c r="AB148" s="48">
        <v>113.34</v>
      </c>
      <c r="AD148" s="44">
        <v>19.187999999999999</v>
      </c>
      <c r="AG148" t="s">
        <v>16</v>
      </c>
      <c r="AH148" s="45">
        <v>2.3E-5</v>
      </c>
      <c r="AI148" s="45">
        <v>5.0636046108587102E-3</v>
      </c>
      <c r="AJ148" s="45">
        <v>4.48591547091986E-4</v>
      </c>
    </row>
    <row r="149" spans="1:36" x14ac:dyDescent="0.25">
      <c r="A149">
        <v>12904</v>
      </c>
      <c r="B149">
        <v>12905</v>
      </c>
      <c r="C149" t="s">
        <v>392</v>
      </c>
      <c r="D149" t="s">
        <v>393</v>
      </c>
      <c r="E149" t="s">
        <v>210</v>
      </c>
      <c r="F149" t="s">
        <v>394</v>
      </c>
      <c r="G149" t="s">
        <v>395</v>
      </c>
      <c r="H149" t="s">
        <v>213</v>
      </c>
      <c r="I149" t="s">
        <v>239</v>
      </c>
      <c r="J149" t="s">
        <v>71</v>
      </c>
      <c r="K149" t="s">
        <v>71</v>
      </c>
      <c r="L149" t="s">
        <v>216</v>
      </c>
      <c r="M149" t="s">
        <v>117</v>
      </c>
      <c r="N149" t="s">
        <v>252</v>
      </c>
      <c r="O149" t="s">
        <v>72</v>
      </c>
      <c r="P149" t="s">
        <v>228</v>
      </c>
      <c r="Q149" t="s">
        <v>74</v>
      </c>
      <c r="R149" t="s">
        <v>220</v>
      </c>
      <c r="S149" t="s">
        <v>81</v>
      </c>
      <c r="T149" s="44">
        <v>6.0570000000000004</v>
      </c>
      <c r="U149" t="s">
        <v>396</v>
      </c>
      <c r="V149" s="46">
        <v>3.0499999999999999E-2</v>
      </c>
      <c r="W149" s="45">
        <v>5.1069999999999997E-2</v>
      </c>
      <c r="X149" t="s">
        <v>222</v>
      </c>
      <c r="Y149" t="s">
        <v>72</v>
      </c>
      <c r="Z149" s="44">
        <v>10445</v>
      </c>
      <c r="AA149" s="42">
        <v>1</v>
      </c>
      <c r="AB149" s="48">
        <v>89.46</v>
      </c>
      <c r="AD149" s="44">
        <v>9.3439999999999994</v>
      </c>
      <c r="AG149" t="s">
        <v>16</v>
      </c>
      <c r="AH149" s="45">
        <v>1.5E-5</v>
      </c>
      <c r="AI149" s="45">
        <v>2.46583864240741E-3</v>
      </c>
      <c r="AJ149" s="45">
        <v>2.1845196386476099E-4</v>
      </c>
    </row>
    <row r="150" spans="1:36" x14ac:dyDescent="0.25">
      <c r="A150">
        <v>12904</v>
      </c>
      <c r="B150">
        <v>12905</v>
      </c>
      <c r="C150" t="s">
        <v>392</v>
      </c>
      <c r="D150" t="s">
        <v>393</v>
      </c>
      <c r="E150" t="s">
        <v>210</v>
      </c>
      <c r="F150" t="s">
        <v>636</v>
      </c>
      <c r="G150" t="s">
        <v>637</v>
      </c>
      <c r="H150" t="s">
        <v>213</v>
      </c>
      <c r="I150" t="s">
        <v>239</v>
      </c>
      <c r="J150" t="s">
        <v>71</v>
      </c>
      <c r="K150" t="s">
        <v>71</v>
      </c>
      <c r="L150" t="s">
        <v>216</v>
      </c>
      <c r="M150" t="s">
        <v>117</v>
      </c>
      <c r="N150" t="s">
        <v>252</v>
      </c>
      <c r="O150" t="s">
        <v>72</v>
      </c>
      <c r="P150" t="s">
        <v>228</v>
      </c>
      <c r="Q150" t="s">
        <v>74</v>
      </c>
      <c r="R150" t="s">
        <v>220</v>
      </c>
      <c r="S150" t="s">
        <v>81</v>
      </c>
      <c r="T150" s="44">
        <v>6.9329999999999998</v>
      </c>
      <c r="U150" t="s">
        <v>457</v>
      </c>
      <c r="V150" s="46">
        <v>2.63E-2</v>
      </c>
      <c r="W150" s="45">
        <v>5.2639999999999999E-2</v>
      </c>
      <c r="X150" t="s">
        <v>222</v>
      </c>
      <c r="Y150" t="s">
        <v>72</v>
      </c>
      <c r="Z150" s="44">
        <v>10035</v>
      </c>
      <c r="AA150" s="42">
        <v>1</v>
      </c>
      <c r="AB150" s="48">
        <v>84.43</v>
      </c>
      <c r="AD150" s="44">
        <v>8.4730000000000008</v>
      </c>
      <c r="AG150" t="s">
        <v>16</v>
      </c>
      <c r="AH150" s="45">
        <v>1.4E-5</v>
      </c>
      <c r="AI150" s="45">
        <v>2.2358439154311302E-3</v>
      </c>
      <c r="AJ150" s="45">
        <v>1.98076421474259E-4</v>
      </c>
    </row>
    <row r="151" spans="1:36" x14ac:dyDescent="0.25">
      <c r="A151">
        <v>12904</v>
      </c>
      <c r="B151">
        <v>12905</v>
      </c>
      <c r="C151" t="s">
        <v>397</v>
      </c>
      <c r="D151" t="s">
        <v>398</v>
      </c>
      <c r="E151" t="s">
        <v>210</v>
      </c>
      <c r="F151" t="s">
        <v>399</v>
      </c>
      <c r="G151" t="s">
        <v>400</v>
      </c>
      <c r="H151" t="s">
        <v>213</v>
      </c>
      <c r="I151" t="s">
        <v>214</v>
      </c>
      <c r="J151" t="s">
        <v>71</v>
      </c>
      <c r="L151" t="s">
        <v>216</v>
      </c>
      <c r="M151" t="s">
        <v>286</v>
      </c>
      <c r="N151" t="s">
        <v>258</v>
      </c>
      <c r="O151" t="s">
        <v>72</v>
      </c>
      <c r="P151" t="s">
        <v>218</v>
      </c>
      <c r="Q151" t="s">
        <v>219</v>
      </c>
      <c r="R151" t="s">
        <v>220</v>
      </c>
      <c r="S151" t="s">
        <v>81</v>
      </c>
      <c r="T151" s="44">
        <v>5.2880000000000003</v>
      </c>
      <c r="U151" t="s">
        <v>401</v>
      </c>
      <c r="V151" s="46">
        <v>3.1800000000000002E-2</v>
      </c>
      <c r="W151" s="45">
        <v>3.2190000000000003E-2</v>
      </c>
      <c r="X151" t="s">
        <v>222</v>
      </c>
      <c r="Y151" t="s">
        <v>72</v>
      </c>
      <c r="Z151" s="44">
        <v>60000</v>
      </c>
      <c r="AA151" s="42">
        <v>1</v>
      </c>
      <c r="AB151" s="48">
        <v>101.12</v>
      </c>
      <c r="AD151" s="44">
        <v>60.671999999999997</v>
      </c>
      <c r="AG151" t="s">
        <v>16</v>
      </c>
      <c r="AH151" s="45">
        <v>2.6899999999999998E-4</v>
      </c>
      <c r="AI151" s="45">
        <v>1.6010895660880101E-2</v>
      </c>
      <c r="AJ151" s="45">
        <v>1.41842679411427E-3</v>
      </c>
    </row>
    <row r="152" spans="1:36" x14ac:dyDescent="0.25">
      <c r="A152">
        <v>12904</v>
      </c>
      <c r="B152">
        <v>12905</v>
      </c>
      <c r="C152" t="s">
        <v>402</v>
      </c>
      <c r="D152" t="s">
        <v>403</v>
      </c>
      <c r="E152" t="s">
        <v>210</v>
      </c>
      <c r="F152" t="s">
        <v>407</v>
      </c>
      <c r="G152" t="s">
        <v>408</v>
      </c>
      <c r="H152" t="s">
        <v>213</v>
      </c>
      <c r="I152" t="s">
        <v>214</v>
      </c>
      <c r="J152" t="s">
        <v>71</v>
      </c>
      <c r="K152" t="s">
        <v>71</v>
      </c>
      <c r="L152" t="s">
        <v>216</v>
      </c>
      <c r="M152" t="s">
        <v>117</v>
      </c>
      <c r="N152" t="s">
        <v>234</v>
      </c>
      <c r="O152" t="s">
        <v>72</v>
      </c>
      <c r="P152" t="s">
        <v>73</v>
      </c>
      <c r="Q152" t="s">
        <v>74</v>
      </c>
      <c r="R152" t="s">
        <v>220</v>
      </c>
      <c r="S152" t="s">
        <v>81</v>
      </c>
      <c r="T152" s="44">
        <v>7.2709999999999999</v>
      </c>
      <c r="U152" t="s">
        <v>409</v>
      </c>
      <c r="V152" s="46">
        <v>0.03</v>
      </c>
      <c r="W152" s="45">
        <v>2.9510000000000002E-2</v>
      </c>
      <c r="X152" t="s">
        <v>222</v>
      </c>
      <c r="Y152" t="s">
        <v>72</v>
      </c>
      <c r="Z152" s="44">
        <v>94000</v>
      </c>
      <c r="AA152" s="42">
        <v>1</v>
      </c>
      <c r="AB152" s="48">
        <v>106.29</v>
      </c>
      <c r="AD152" s="44">
        <v>99.912999999999997</v>
      </c>
      <c r="AG152" t="s">
        <v>16</v>
      </c>
      <c r="AH152" s="45">
        <v>2.3E-5</v>
      </c>
      <c r="AI152" s="45">
        <v>2.6366202099934899E-2</v>
      </c>
      <c r="AJ152" s="45">
        <v>2.3358173277561499E-3</v>
      </c>
    </row>
    <row r="153" spans="1:36" x14ac:dyDescent="0.25">
      <c r="A153">
        <v>12904</v>
      </c>
      <c r="B153">
        <v>12905</v>
      </c>
      <c r="C153" t="s">
        <v>402</v>
      </c>
      <c r="D153" t="s">
        <v>403</v>
      </c>
      <c r="E153" t="s">
        <v>210</v>
      </c>
      <c r="F153" t="s">
        <v>410</v>
      </c>
      <c r="G153" t="s">
        <v>411</v>
      </c>
      <c r="H153" t="s">
        <v>213</v>
      </c>
      <c r="I153" t="s">
        <v>214</v>
      </c>
      <c r="J153" t="s">
        <v>71</v>
      </c>
      <c r="K153" t="s">
        <v>71</v>
      </c>
      <c r="L153" t="s">
        <v>216</v>
      </c>
      <c r="M153" t="s">
        <v>117</v>
      </c>
      <c r="N153" t="s">
        <v>234</v>
      </c>
      <c r="O153" t="s">
        <v>72</v>
      </c>
      <c r="P153" t="s">
        <v>73</v>
      </c>
      <c r="Q153" t="s">
        <v>74</v>
      </c>
      <c r="R153" t="s">
        <v>220</v>
      </c>
      <c r="S153" t="s">
        <v>81</v>
      </c>
      <c r="T153" s="44">
        <v>10.119999999999999</v>
      </c>
      <c r="U153" t="s">
        <v>412</v>
      </c>
      <c r="V153" s="46">
        <v>3.2000000000000001E-2</v>
      </c>
      <c r="W153" s="45">
        <v>3.1019999999999999E-2</v>
      </c>
      <c r="X153" t="s">
        <v>222</v>
      </c>
      <c r="Y153" t="s">
        <v>72</v>
      </c>
      <c r="Z153" s="44">
        <v>94000</v>
      </c>
      <c r="AA153" s="42">
        <v>1</v>
      </c>
      <c r="AB153" s="48">
        <v>107.1</v>
      </c>
      <c r="AD153" s="44">
        <v>100.67400000000001</v>
      </c>
      <c r="AG153" t="s">
        <v>16</v>
      </c>
      <c r="AH153" s="45">
        <v>1.9000000000000001E-5</v>
      </c>
      <c r="AI153" s="45">
        <v>2.6567129973685401E-2</v>
      </c>
      <c r="AJ153" s="45">
        <v>2.3536177985011199E-3</v>
      </c>
    </row>
    <row r="154" spans="1:36" x14ac:dyDescent="0.25">
      <c r="A154">
        <v>12904</v>
      </c>
      <c r="B154">
        <v>12905</v>
      </c>
      <c r="C154" t="s">
        <v>413</v>
      </c>
      <c r="D154" t="s">
        <v>414</v>
      </c>
      <c r="E154" t="s">
        <v>210</v>
      </c>
      <c r="F154" t="s">
        <v>415</v>
      </c>
      <c r="G154" t="s">
        <v>416</v>
      </c>
      <c r="H154" t="s">
        <v>213</v>
      </c>
      <c r="I154" t="s">
        <v>214</v>
      </c>
      <c r="J154" t="s">
        <v>71</v>
      </c>
      <c r="K154" t="s">
        <v>71</v>
      </c>
      <c r="L154" t="s">
        <v>216</v>
      </c>
      <c r="M154" t="s">
        <v>117</v>
      </c>
      <c r="N154" t="s">
        <v>365</v>
      </c>
      <c r="O154" t="s">
        <v>72</v>
      </c>
      <c r="P154" t="s">
        <v>228</v>
      </c>
      <c r="Q154" t="s">
        <v>74</v>
      </c>
      <c r="R154" t="s">
        <v>220</v>
      </c>
      <c r="S154" t="s">
        <v>81</v>
      </c>
      <c r="T154" s="44">
        <v>4.1260000000000003</v>
      </c>
      <c r="U154" t="s">
        <v>417</v>
      </c>
      <c r="V154" s="46">
        <v>2.5899999999999999E-2</v>
      </c>
      <c r="W154" s="45">
        <v>2.7740000000000001E-2</v>
      </c>
      <c r="X154" t="s">
        <v>222</v>
      </c>
      <c r="Y154" t="s">
        <v>72</v>
      </c>
      <c r="Z154" s="44">
        <v>39000</v>
      </c>
      <c r="AA154" s="42">
        <v>1</v>
      </c>
      <c r="AB154" s="48">
        <v>103.09</v>
      </c>
      <c r="AD154" s="44">
        <v>40.204999999999998</v>
      </c>
      <c r="AG154" t="s">
        <v>16</v>
      </c>
      <c r="AH154" s="45">
        <v>5.7000000000000003E-5</v>
      </c>
      <c r="AI154" s="45">
        <v>1.06098309126986E-2</v>
      </c>
      <c r="AJ154" s="45">
        <v>9.3993919930188E-4</v>
      </c>
    </row>
    <row r="155" spans="1:36" x14ac:dyDescent="0.25">
      <c r="A155">
        <v>12904</v>
      </c>
      <c r="B155">
        <v>12905</v>
      </c>
      <c r="C155" t="s">
        <v>418</v>
      </c>
      <c r="D155" t="s">
        <v>419</v>
      </c>
      <c r="E155" t="s">
        <v>420</v>
      </c>
      <c r="F155" t="s">
        <v>421</v>
      </c>
      <c r="G155" t="s">
        <v>422</v>
      </c>
      <c r="H155" t="s">
        <v>213</v>
      </c>
      <c r="I155" t="s">
        <v>239</v>
      </c>
      <c r="J155" t="s">
        <v>71</v>
      </c>
      <c r="K155" t="s">
        <v>71</v>
      </c>
      <c r="L155" t="s">
        <v>216</v>
      </c>
      <c r="M155" t="s">
        <v>117</v>
      </c>
      <c r="N155" t="s">
        <v>423</v>
      </c>
      <c r="O155" t="s">
        <v>72</v>
      </c>
      <c r="P155" t="s">
        <v>259</v>
      </c>
      <c r="Q155" t="s">
        <v>74</v>
      </c>
      <c r="R155" t="s">
        <v>220</v>
      </c>
      <c r="S155" t="s">
        <v>81</v>
      </c>
      <c r="T155" s="44">
        <v>2.9729999999999999</v>
      </c>
      <c r="U155" t="s">
        <v>424</v>
      </c>
      <c r="V155" s="46">
        <v>2.24E-2</v>
      </c>
      <c r="W155" s="45">
        <v>4.9860000000000002E-2</v>
      </c>
      <c r="X155" t="s">
        <v>222</v>
      </c>
      <c r="Y155" t="s">
        <v>72</v>
      </c>
      <c r="Z155" s="44">
        <v>14836.37</v>
      </c>
      <c r="AA155" s="42">
        <v>1</v>
      </c>
      <c r="AB155" s="48">
        <v>93.35</v>
      </c>
      <c r="AD155" s="44">
        <v>13.85</v>
      </c>
      <c r="AG155" t="s">
        <v>16</v>
      </c>
      <c r="AH155" s="45">
        <v>2.5999999999999998E-5</v>
      </c>
      <c r="AI155" s="45">
        <v>3.65484778010406E-3</v>
      </c>
      <c r="AJ155" s="45">
        <v>3.2378788354577899E-4</v>
      </c>
    </row>
    <row r="156" spans="1:36" x14ac:dyDescent="0.25">
      <c r="A156">
        <v>12904</v>
      </c>
      <c r="B156">
        <v>12905</v>
      </c>
      <c r="C156" t="s">
        <v>425</v>
      </c>
      <c r="D156" t="s">
        <v>426</v>
      </c>
      <c r="E156" t="s">
        <v>210</v>
      </c>
      <c r="F156" t="s">
        <v>427</v>
      </c>
      <c r="G156" t="s">
        <v>428</v>
      </c>
      <c r="H156" t="s">
        <v>213</v>
      </c>
      <c r="I156" t="s">
        <v>239</v>
      </c>
      <c r="J156" t="s">
        <v>71</v>
      </c>
      <c r="K156" t="s">
        <v>71</v>
      </c>
      <c r="L156" t="s">
        <v>216</v>
      </c>
      <c r="M156" t="s">
        <v>117</v>
      </c>
      <c r="N156" t="s">
        <v>429</v>
      </c>
      <c r="O156" t="s">
        <v>72</v>
      </c>
      <c r="P156" t="s">
        <v>228</v>
      </c>
      <c r="Q156" t="s">
        <v>74</v>
      </c>
      <c r="R156" t="s">
        <v>220</v>
      </c>
      <c r="S156" t="s">
        <v>81</v>
      </c>
      <c r="T156" s="44">
        <v>7.415</v>
      </c>
      <c r="U156" t="s">
        <v>430</v>
      </c>
      <c r="V156" s="46">
        <v>5.3100000000000001E-2</v>
      </c>
      <c r="W156" s="45">
        <v>5.425E-2</v>
      </c>
      <c r="X156" t="s">
        <v>222</v>
      </c>
      <c r="Y156" t="s">
        <v>72</v>
      </c>
      <c r="Z156" s="44">
        <v>58279</v>
      </c>
      <c r="AA156" s="42">
        <v>1</v>
      </c>
      <c r="AB156" s="48">
        <v>100.54</v>
      </c>
      <c r="AD156" s="44">
        <v>58.594000000000001</v>
      </c>
      <c r="AG156" t="s">
        <v>16</v>
      </c>
      <c r="AH156" s="45">
        <v>4.6E-5</v>
      </c>
      <c r="AI156" s="45">
        <v>1.54624492806702E-2</v>
      </c>
      <c r="AJ156" s="45">
        <v>1.3698391911904999E-3</v>
      </c>
    </row>
    <row r="157" spans="1:36" x14ac:dyDescent="0.25">
      <c r="A157">
        <v>12904</v>
      </c>
      <c r="B157">
        <v>12905</v>
      </c>
      <c r="C157" t="s">
        <v>82</v>
      </c>
      <c r="D157" t="s">
        <v>431</v>
      </c>
      <c r="E157" t="s">
        <v>210</v>
      </c>
      <c r="F157" t="s">
        <v>432</v>
      </c>
      <c r="G157" t="s">
        <v>433</v>
      </c>
      <c r="H157" t="s">
        <v>213</v>
      </c>
      <c r="I157" t="s">
        <v>214</v>
      </c>
      <c r="J157" t="s">
        <v>71</v>
      </c>
      <c r="K157" t="s">
        <v>71</v>
      </c>
      <c r="L157" t="s">
        <v>216</v>
      </c>
      <c r="M157" t="s">
        <v>117</v>
      </c>
      <c r="N157" t="s">
        <v>365</v>
      </c>
      <c r="O157" t="s">
        <v>72</v>
      </c>
      <c r="P157" t="s">
        <v>73</v>
      </c>
      <c r="Q157" t="s">
        <v>74</v>
      </c>
      <c r="R157" t="s">
        <v>220</v>
      </c>
      <c r="S157" t="s">
        <v>81</v>
      </c>
      <c r="T157" s="44">
        <v>1.238</v>
      </c>
      <c r="U157" t="s">
        <v>434</v>
      </c>
      <c r="V157" s="46">
        <v>8.3000000000000001E-3</v>
      </c>
      <c r="W157" s="45">
        <v>2.29E-2</v>
      </c>
      <c r="X157" t="s">
        <v>222</v>
      </c>
      <c r="Y157" t="s">
        <v>72</v>
      </c>
      <c r="Z157" s="44">
        <v>5558</v>
      </c>
      <c r="AA157" s="42">
        <v>1</v>
      </c>
      <c r="AB157" s="48">
        <v>114.23</v>
      </c>
      <c r="AD157" s="44">
        <v>6.3490000000000002</v>
      </c>
      <c r="AG157" t="s">
        <v>16</v>
      </c>
      <c r="AH157" s="45">
        <v>3.9999999999999998E-6</v>
      </c>
      <c r="AI157" s="45">
        <v>1.67542902654283E-3</v>
      </c>
      <c r="AJ157" s="45">
        <v>1.4842851225941399E-4</v>
      </c>
    </row>
    <row r="158" spans="1:36" x14ac:dyDescent="0.25">
      <c r="A158">
        <v>12904</v>
      </c>
      <c r="B158">
        <v>12905</v>
      </c>
      <c r="C158" t="s">
        <v>82</v>
      </c>
      <c r="D158" t="s">
        <v>431</v>
      </c>
      <c r="E158" t="s">
        <v>210</v>
      </c>
      <c r="F158" t="s">
        <v>435</v>
      </c>
      <c r="G158" t="s">
        <v>436</v>
      </c>
      <c r="H158" t="s">
        <v>213</v>
      </c>
      <c r="I158" t="s">
        <v>214</v>
      </c>
      <c r="J158" t="s">
        <v>71</v>
      </c>
      <c r="K158" t="s">
        <v>71</v>
      </c>
      <c r="L158" t="s">
        <v>216</v>
      </c>
      <c r="M158" t="s">
        <v>117</v>
      </c>
      <c r="N158" t="s">
        <v>365</v>
      </c>
      <c r="O158" t="s">
        <v>72</v>
      </c>
      <c r="P158" t="s">
        <v>73</v>
      </c>
      <c r="Q158" t="s">
        <v>74</v>
      </c>
      <c r="R158" t="s">
        <v>220</v>
      </c>
      <c r="S158" t="s">
        <v>81</v>
      </c>
      <c r="T158" s="44">
        <v>4.5970000000000004</v>
      </c>
      <c r="U158" t="s">
        <v>437</v>
      </c>
      <c r="V158" s="46">
        <v>2.0199999999999999E-2</v>
      </c>
      <c r="W158" s="45">
        <v>2.5819999999999999E-2</v>
      </c>
      <c r="X158" t="s">
        <v>222</v>
      </c>
      <c r="Y158" t="s">
        <v>72</v>
      </c>
      <c r="Z158" s="44">
        <v>63000</v>
      </c>
      <c r="AA158" s="42">
        <v>1</v>
      </c>
      <c r="AB158" s="48">
        <v>101.85</v>
      </c>
      <c r="AD158" s="44">
        <v>64.165000000000006</v>
      </c>
      <c r="AG158" t="s">
        <v>16</v>
      </c>
      <c r="AH158" s="45">
        <v>1.8E-5</v>
      </c>
      <c r="AI158" s="45">
        <v>1.6932804679723801E-2</v>
      </c>
      <c r="AJ158" s="45">
        <v>1.5000999548018699E-3</v>
      </c>
    </row>
    <row r="159" spans="1:36" x14ac:dyDescent="0.25">
      <c r="A159">
        <v>12904</v>
      </c>
      <c r="B159">
        <v>12905</v>
      </c>
      <c r="C159" t="s">
        <v>82</v>
      </c>
      <c r="D159" t="s">
        <v>431</v>
      </c>
      <c r="E159" t="s">
        <v>210</v>
      </c>
      <c r="F159" t="s">
        <v>438</v>
      </c>
      <c r="G159" t="s">
        <v>439</v>
      </c>
      <c r="H159" t="s">
        <v>213</v>
      </c>
      <c r="I159" t="s">
        <v>214</v>
      </c>
      <c r="J159" t="s">
        <v>71</v>
      </c>
      <c r="K159" t="s">
        <v>71</v>
      </c>
      <c r="L159" t="s">
        <v>216</v>
      </c>
      <c r="M159" t="s">
        <v>117</v>
      </c>
      <c r="N159" t="s">
        <v>365</v>
      </c>
      <c r="O159" t="s">
        <v>72</v>
      </c>
      <c r="P159" t="s">
        <v>73</v>
      </c>
      <c r="Q159" t="s">
        <v>74</v>
      </c>
      <c r="R159" t="s">
        <v>220</v>
      </c>
      <c r="S159" t="s">
        <v>81</v>
      </c>
      <c r="T159" s="44">
        <v>4.6440000000000001</v>
      </c>
      <c r="U159" t="s">
        <v>440</v>
      </c>
      <c r="V159" s="46">
        <v>1E-3</v>
      </c>
      <c r="W159" s="45">
        <v>2.571E-2</v>
      </c>
      <c r="X159" t="s">
        <v>222</v>
      </c>
      <c r="Y159" t="s">
        <v>72</v>
      </c>
      <c r="Z159" s="44">
        <v>34000</v>
      </c>
      <c r="AA159" s="42">
        <v>1</v>
      </c>
      <c r="AB159" s="48">
        <v>100.7</v>
      </c>
      <c r="AD159" s="44">
        <v>34.238</v>
      </c>
      <c r="AG159" t="s">
        <v>16</v>
      </c>
      <c r="AH159" s="45">
        <v>1.4E-5</v>
      </c>
      <c r="AI159" s="45">
        <v>9.0351570021956207E-3</v>
      </c>
      <c r="AJ159" s="45">
        <v>8.0043671836900704E-4</v>
      </c>
    </row>
    <row r="160" spans="1:36" x14ac:dyDescent="0.25">
      <c r="A160">
        <v>12904</v>
      </c>
      <c r="B160">
        <v>12905</v>
      </c>
      <c r="C160" t="s">
        <v>82</v>
      </c>
      <c r="D160" t="s">
        <v>431</v>
      </c>
      <c r="E160" t="s">
        <v>210</v>
      </c>
      <c r="F160" t="s">
        <v>441</v>
      </c>
      <c r="G160" t="s">
        <v>442</v>
      </c>
      <c r="H160" t="s">
        <v>213</v>
      </c>
      <c r="I160" t="s">
        <v>214</v>
      </c>
      <c r="J160" t="s">
        <v>71</v>
      </c>
      <c r="K160" t="s">
        <v>71</v>
      </c>
      <c r="L160" t="s">
        <v>216</v>
      </c>
      <c r="M160" t="s">
        <v>109</v>
      </c>
      <c r="N160" t="s">
        <v>365</v>
      </c>
      <c r="O160" t="s">
        <v>72</v>
      </c>
      <c r="P160" t="s">
        <v>228</v>
      </c>
      <c r="Q160" t="s">
        <v>74</v>
      </c>
      <c r="R160" t="s">
        <v>220</v>
      </c>
      <c r="S160" t="s">
        <v>81</v>
      </c>
      <c r="T160" s="44">
        <v>5.4809999999999999</v>
      </c>
      <c r="U160" t="s">
        <v>443</v>
      </c>
      <c r="V160" s="46">
        <v>3.1E-2</v>
      </c>
      <c r="W160" s="45">
        <v>3.1029999999999999E-2</v>
      </c>
      <c r="X160" t="s">
        <v>222</v>
      </c>
      <c r="Y160" t="s">
        <v>72</v>
      </c>
      <c r="Z160" s="44">
        <v>60000</v>
      </c>
      <c r="AA160" s="42">
        <v>1</v>
      </c>
      <c r="AB160" s="48">
        <v>100.81</v>
      </c>
      <c r="AD160" s="44">
        <v>60.485999999999997</v>
      </c>
      <c r="AG160" t="s">
        <v>16</v>
      </c>
      <c r="AH160" s="45">
        <v>3.8999999999999999E-5</v>
      </c>
      <c r="AI160" s="45">
        <v>1.5961811625527299E-2</v>
      </c>
      <c r="AJ160" s="45">
        <v>1.41407837336491E-3</v>
      </c>
    </row>
    <row r="161" spans="1:36" x14ac:dyDescent="0.25">
      <c r="A161">
        <v>12904</v>
      </c>
      <c r="B161">
        <v>12905</v>
      </c>
      <c r="C161" t="s">
        <v>444</v>
      </c>
      <c r="D161" t="s">
        <v>445</v>
      </c>
      <c r="E161" t="s">
        <v>210</v>
      </c>
      <c r="F161" t="s">
        <v>446</v>
      </c>
      <c r="G161" t="s">
        <v>447</v>
      </c>
      <c r="H161" t="s">
        <v>213</v>
      </c>
      <c r="I161" t="s">
        <v>214</v>
      </c>
      <c r="J161" t="s">
        <v>71</v>
      </c>
      <c r="K161" t="s">
        <v>71</v>
      </c>
      <c r="L161" t="s">
        <v>216</v>
      </c>
      <c r="M161" t="s">
        <v>117</v>
      </c>
      <c r="N161" t="s">
        <v>258</v>
      </c>
      <c r="O161" t="s">
        <v>72</v>
      </c>
      <c r="P161" t="s">
        <v>259</v>
      </c>
      <c r="Q161" t="s">
        <v>74</v>
      </c>
      <c r="R161" t="s">
        <v>220</v>
      </c>
      <c r="S161" t="s">
        <v>81</v>
      </c>
      <c r="T161" s="44">
        <v>5.3559999999999999</v>
      </c>
      <c r="U161" t="s">
        <v>448</v>
      </c>
      <c r="V161" s="46">
        <v>3.5000000000000001E-3</v>
      </c>
      <c r="W161" s="45">
        <v>3.125E-2</v>
      </c>
      <c r="X161" t="s">
        <v>222</v>
      </c>
      <c r="Y161" t="s">
        <v>72</v>
      </c>
      <c r="Z161" s="44">
        <v>91601</v>
      </c>
      <c r="AA161" s="42">
        <v>1</v>
      </c>
      <c r="AB161" s="48">
        <v>97.32</v>
      </c>
      <c r="AD161" s="44">
        <v>89.146000000000001</v>
      </c>
      <c r="AG161" t="s">
        <v>16</v>
      </c>
      <c r="AH161" s="45">
        <v>2.5999999999999998E-5</v>
      </c>
      <c r="AI161" s="45">
        <v>2.3524999947262201E-2</v>
      </c>
      <c r="AJ161" s="45">
        <v>2.0841114053515302E-3</v>
      </c>
    </row>
    <row r="162" spans="1:36" x14ac:dyDescent="0.25">
      <c r="A162">
        <v>12904</v>
      </c>
      <c r="B162">
        <v>12905</v>
      </c>
      <c r="C162" t="s">
        <v>449</v>
      </c>
      <c r="D162" t="s">
        <v>450</v>
      </c>
      <c r="E162" t="s">
        <v>210</v>
      </c>
      <c r="F162" t="s">
        <v>451</v>
      </c>
      <c r="G162" t="s">
        <v>452</v>
      </c>
      <c r="H162" t="s">
        <v>213</v>
      </c>
      <c r="I162" t="s">
        <v>239</v>
      </c>
      <c r="J162" t="s">
        <v>71</v>
      </c>
      <c r="K162" t="s">
        <v>71</v>
      </c>
      <c r="L162" t="s">
        <v>216</v>
      </c>
      <c r="M162" t="s">
        <v>109</v>
      </c>
      <c r="N162" t="s">
        <v>252</v>
      </c>
      <c r="O162" t="s">
        <v>72</v>
      </c>
      <c r="P162" t="s">
        <v>246</v>
      </c>
      <c r="Q162" t="s">
        <v>219</v>
      </c>
      <c r="R162" t="s">
        <v>220</v>
      </c>
      <c r="S162" t="s">
        <v>81</v>
      </c>
      <c r="T162" s="44">
        <v>6.867</v>
      </c>
      <c r="U162" t="s">
        <v>316</v>
      </c>
      <c r="V162" s="46">
        <v>6.0699999999999997E-2</v>
      </c>
      <c r="W162" s="45">
        <v>5.5280000000000003E-2</v>
      </c>
      <c r="X162" t="s">
        <v>222</v>
      </c>
      <c r="Y162" t="s">
        <v>72</v>
      </c>
      <c r="Z162" s="44">
        <v>31122</v>
      </c>
      <c r="AA162" s="42">
        <v>1</v>
      </c>
      <c r="AB162" s="48">
        <v>105.72</v>
      </c>
      <c r="AD162" s="44">
        <v>32.902000000000001</v>
      </c>
      <c r="AG162" t="s">
        <v>16</v>
      </c>
      <c r="AH162" s="45">
        <v>6.8999999999999997E-5</v>
      </c>
      <c r="AI162" s="45">
        <v>8.6826434826289302E-3</v>
      </c>
      <c r="AJ162" s="45">
        <v>7.6920707125672095E-4</v>
      </c>
    </row>
    <row r="163" spans="1:36" x14ac:dyDescent="0.25">
      <c r="A163">
        <v>12904</v>
      </c>
      <c r="B163">
        <v>12905</v>
      </c>
      <c r="C163" t="s">
        <v>449</v>
      </c>
      <c r="D163" t="s">
        <v>450</v>
      </c>
      <c r="E163" t="s">
        <v>210</v>
      </c>
      <c r="F163" t="s">
        <v>455</v>
      </c>
      <c r="G163" t="s">
        <v>456</v>
      </c>
      <c r="H163" t="s">
        <v>213</v>
      </c>
      <c r="I163" t="s">
        <v>239</v>
      </c>
      <c r="J163" t="s">
        <v>71</v>
      </c>
      <c r="K163" t="s">
        <v>71</v>
      </c>
      <c r="L163" t="s">
        <v>216</v>
      </c>
      <c r="M163" t="s">
        <v>109</v>
      </c>
      <c r="N163" t="s">
        <v>252</v>
      </c>
      <c r="O163" t="s">
        <v>72</v>
      </c>
      <c r="P163" t="s">
        <v>246</v>
      </c>
      <c r="Q163" t="s">
        <v>74</v>
      </c>
      <c r="R163" t="s">
        <v>220</v>
      </c>
      <c r="S163" t="s">
        <v>81</v>
      </c>
      <c r="T163" s="44">
        <v>6.2469999999999999</v>
      </c>
      <c r="U163" t="s">
        <v>457</v>
      </c>
      <c r="V163" s="46">
        <v>6.0699999999999997E-2</v>
      </c>
      <c r="W163" s="45">
        <v>5.457E-2</v>
      </c>
      <c r="X163" t="s">
        <v>222</v>
      </c>
      <c r="Y163" t="s">
        <v>72</v>
      </c>
      <c r="Z163" s="44">
        <v>91649</v>
      </c>
      <c r="AA163" s="42">
        <v>1</v>
      </c>
      <c r="AB163" s="48">
        <v>105.78</v>
      </c>
      <c r="AD163" s="44">
        <v>96.945999999999998</v>
      </c>
      <c r="AG163" t="s">
        <v>16</v>
      </c>
      <c r="AH163" s="45">
        <v>2.03E-4</v>
      </c>
      <c r="AI163" s="45">
        <v>2.5583420512613801E-2</v>
      </c>
      <c r="AJ163" s="45">
        <v>2.2664696534653102E-3</v>
      </c>
    </row>
    <row r="164" spans="1:36" x14ac:dyDescent="0.25">
      <c r="A164">
        <v>12904</v>
      </c>
      <c r="B164">
        <v>12905</v>
      </c>
      <c r="C164" t="s">
        <v>458</v>
      </c>
      <c r="D164" t="s">
        <v>459</v>
      </c>
      <c r="E164" t="s">
        <v>210</v>
      </c>
      <c r="F164" t="s">
        <v>460</v>
      </c>
      <c r="G164" t="s">
        <v>461</v>
      </c>
      <c r="H164" t="s">
        <v>213</v>
      </c>
      <c r="I164" t="s">
        <v>239</v>
      </c>
      <c r="J164" t="s">
        <v>71</v>
      </c>
      <c r="K164" t="s">
        <v>71</v>
      </c>
      <c r="L164" t="s">
        <v>216</v>
      </c>
      <c r="M164" t="s">
        <v>117</v>
      </c>
      <c r="N164" t="s">
        <v>258</v>
      </c>
      <c r="O164" t="s">
        <v>72</v>
      </c>
      <c r="P164" t="s">
        <v>218</v>
      </c>
      <c r="Q164" t="s">
        <v>219</v>
      </c>
      <c r="R164" t="s">
        <v>220</v>
      </c>
      <c r="S164" t="s">
        <v>81</v>
      </c>
      <c r="T164" s="44">
        <v>4.9870000000000001</v>
      </c>
      <c r="U164" t="s">
        <v>401</v>
      </c>
      <c r="V164" s="46">
        <v>5.4800000000000001E-2</v>
      </c>
      <c r="W164" s="45">
        <v>5.3800000000000001E-2</v>
      </c>
      <c r="X164" t="s">
        <v>222</v>
      </c>
      <c r="Y164" t="s">
        <v>72</v>
      </c>
      <c r="Z164" s="44">
        <v>38000</v>
      </c>
      <c r="AA164" s="42">
        <v>1</v>
      </c>
      <c r="AB164" s="48">
        <v>102.2</v>
      </c>
      <c r="AD164" s="44">
        <v>38.835999999999999</v>
      </c>
      <c r="AG164" t="s">
        <v>16</v>
      </c>
      <c r="AH164" s="45">
        <v>1.27E-4</v>
      </c>
      <c r="AI164" s="45">
        <v>1.02485354675293E-2</v>
      </c>
      <c r="AJ164" s="45">
        <v>9.0793154958171396E-4</v>
      </c>
    </row>
    <row r="165" spans="1:36" x14ac:dyDescent="0.25">
      <c r="A165">
        <v>12904</v>
      </c>
      <c r="B165">
        <v>12905</v>
      </c>
      <c r="C165" t="s">
        <v>458</v>
      </c>
      <c r="D165" t="s">
        <v>459</v>
      </c>
      <c r="E165" t="s">
        <v>210</v>
      </c>
      <c r="F165" t="s">
        <v>462</v>
      </c>
      <c r="G165" t="s">
        <v>463</v>
      </c>
      <c r="H165" t="s">
        <v>213</v>
      </c>
      <c r="I165" t="s">
        <v>239</v>
      </c>
      <c r="J165" t="s">
        <v>71</v>
      </c>
      <c r="K165" t="s">
        <v>71</v>
      </c>
      <c r="L165" t="s">
        <v>216</v>
      </c>
      <c r="M165" t="s">
        <v>286</v>
      </c>
      <c r="N165" t="s">
        <v>258</v>
      </c>
      <c r="O165" t="s">
        <v>72</v>
      </c>
      <c r="P165" t="s">
        <v>218</v>
      </c>
      <c r="Q165" t="s">
        <v>219</v>
      </c>
      <c r="R165" t="s">
        <v>220</v>
      </c>
      <c r="S165" t="s">
        <v>81</v>
      </c>
      <c r="T165" s="44">
        <v>6.6580000000000004</v>
      </c>
      <c r="U165" t="s">
        <v>354</v>
      </c>
      <c r="V165" s="46">
        <v>5.2900000000000003E-2</v>
      </c>
      <c r="W165" s="45">
        <v>5.527E-2</v>
      </c>
      <c r="X165" t="s">
        <v>222</v>
      </c>
      <c r="Y165" t="s">
        <v>72</v>
      </c>
      <c r="Z165" s="44">
        <v>60000</v>
      </c>
      <c r="AA165" s="42">
        <v>1</v>
      </c>
      <c r="AB165" s="48">
        <v>99.53</v>
      </c>
      <c r="AD165" s="44">
        <v>59.718000000000004</v>
      </c>
      <c r="AG165" t="s">
        <v>16</v>
      </c>
      <c r="AH165" s="45">
        <v>2.9999999999999997E-4</v>
      </c>
      <c r="AI165" s="45">
        <v>1.57591420601997E-2</v>
      </c>
      <c r="AJ165" s="45">
        <v>1.39612360381916E-3</v>
      </c>
    </row>
    <row r="166" spans="1:36" x14ac:dyDescent="0.25">
      <c r="A166">
        <v>12904</v>
      </c>
      <c r="B166">
        <v>12905</v>
      </c>
      <c r="C166" t="s">
        <v>464</v>
      </c>
      <c r="D166" t="s">
        <v>465</v>
      </c>
      <c r="E166" t="s">
        <v>210</v>
      </c>
      <c r="F166" t="s">
        <v>466</v>
      </c>
      <c r="G166" t="s">
        <v>467</v>
      </c>
      <c r="H166" t="s">
        <v>213</v>
      </c>
      <c r="I166" t="s">
        <v>214</v>
      </c>
      <c r="J166" t="s">
        <v>71</v>
      </c>
      <c r="K166" t="s">
        <v>71</v>
      </c>
      <c r="L166" t="s">
        <v>216</v>
      </c>
      <c r="M166" t="s">
        <v>117</v>
      </c>
      <c r="N166" t="s">
        <v>258</v>
      </c>
      <c r="O166" t="s">
        <v>72</v>
      </c>
      <c r="P166" t="s">
        <v>246</v>
      </c>
      <c r="Q166" t="s">
        <v>74</v>
      </c>
      <c r="R166" t="s">
        <v>220</v>
      </c>
      <c r="S166" t="s">
        <v>81</v>
      </c>
      <c r="T166" s="44">
        <v>5.3570000000000002</v>
      </c>
      <c r="U166" t="s">
        <v>468</v>
      </c>
      <c r="V166" s="46">
        <v>9.7000000000000003E-3</v>
      </c>
      <c r="W166" s="45">
        <v>3.3239999999999999E-2</v>
      </c>
      <c r="X166" t="s">
        <v>222</v>
      </c>
      <c r="Y166" t="s">
        <v>72</v>
      </c>
      <c r="Z166" s="44">
        <v>81529.41</v>
      </c>
      <c r="AA166" s="42">
        <v>1</v>
      </c>
      <c r="AB166" s="48">
        <v>100.61</v>
      </c>
      <c r="AD166" s="44">
        <v>82.027000000000001</v>
      </c>
      <c r="AG166" t="s">
        <v>16</v>
      </c>
      <c r="AH166" s="45">
        <v>1.35E-4</v>
      </c>
      <c r="AI166" s="45">
        <v>2.1646254713073802E-2</v>
      </c>
      <c r="AJ166" s="45">
        <v>1.9176708366331599E-3</v>
      </c>
    </row>
    <row r="167" spans="1:36" x14ac:dyDescent="0.25">
      <c r="A167">
        <v>12904</v>
      </c>
      <c r="B167">
        <v>12905</v>
      </c>
      <c r="C167" t="s">
        <v>469</v>
      </c>
      <c r="D167" t="s">
        <v>470</v>
      </c>
      <c r="E167" t="s">
        <v>210</v>
      </c>
      <c r="F167" t="s">
        <v>638</v>
      </c>
      <c r="G167" t="s">
        <v>639</v>
      </c>
      <c r="H167" t="s">
        <v>213</v>
      </c>
      <c r="I167" t="s">
        <v>214</v>
      </c>
      <c r="J167" t="s">
        <v>71</v>
      </c>
      <c r="K167" t="s">
        <v>71</v>
      </c>
      <c r="L167" t="s">
        <v>216</v>
      </c>
      <c r="M167" t="s">
        <v>117</v>
      </c>
      <c r="N167" t="s">
        <v>365</v>
      </c>
      <c r="O167" t="s">
        <v>72</v>
      </c>
      <c r="P167" t="s">
        <v>73</v>
      </c>
      <c r="Q167" t="s">
        <v>74</v>
      </c>
      <c r="R167" t="s">
        <v>220</v>
      </c>
      <c r="S167" t="s">
        <v>81</v>
      </c>
      <c r="T167" s="44">
        <v>2.456</v>
      </c>
      <c r="U167" t="s">
        <v>640</v>
      </c>
      <c r="V167" s="46">
        <v>1.2200000000000001E-2</v>
      </c>
      <c r="W167" s="45">
        <v>2.4389999999999998E-2</v>
      </c>
      <c r="X167" t="s">
        <v>222</v>
      </c>
      <c r="Y167" t="s">
        <v>72</v>
      </c>
      <c r="Z167" s="44">
        <v>18046</v>
      </c>
      <c r="AA167" s="42">
        <v>1</v>
      </c>
      <c r="AB167" s="48">
        <v>114.03</v>
      </c>
      <c r="AD167" s="44">
        <v>20.577999999999999</v>
      </c>
      <c r="AG167" t="s">
        <v>16</v>
      </c>
      <c r="AH167" s="45">
        <v>6.0000000000000002E-6</v>
      </c>
      <c r="AI167" s="45">
        <v>5.4303446419541896E-3</v>
      </c>
      <c r="AJ167" s="45">
        <v>4.8108154000669399E-4</v>
      </c>
    </row>
    <row r="168" spans="1:36" x14ac:dyDescent="0.25">
      <c r="A168">
        <v>12904</v>
      </c>
      <c r="B168">
        <v>12905</v>
      </c>
      <c r="C168" t="s">
        <v>469</v>
      </c>
      <c r="D168" t="s">
        <v>470</v>
      </c>
      <c r="E168" t="s">
        <v>210</v>
      </c>
      <c r="F168" t="s">
        <v>471</v>
      </c>
      <c r="G168" t="s">
        <v>472</v>
      </c>
      <c r="H168" t="s">
        <v>213</v>
      </c>
      <c r="I168" t="s">
        <v>214</v>
      </c>
      <c r="J168" t="s">
        <v>71</v>
      </c>
      <c r="K168" t="s">
        <v>71</v>
      </c>
      <c r="L168" t="s">
        <v>216</v>
      </c>
      <c r="M168" t="s">
        <v>117</v>
      </c>
      <c r="N168" t="s">
        <v>365</v>
      </c>
      <c r="O168" t="s">
        <v>72</v>
      </c>
      <c r="P168" t="s">
        <v>73</v>
      </c>
      <c r="Q168" t="s">
        <v>74</v>
      </c>
      <c r="R168" t="s">
        <v>220</v>
      </c>
      <c r="S168" t="s">
        <v>81</v>
      </c>
      <c r="T168" s="44">
        <v>5.22</v>
      </c>
      <c r="U168" t="s">
        <v>473</v>
      </c>
      <c r="V168" s="46">
        <v>2E-3</v>
      </c>
      <c r="W168" s="45">
        <v>2.606E-2</v>
      </c>
      <c r="X168" t="s">
        <v>222</v>
      </c>
      <c r="Y168" t="s">
        <v>72</v>
      </c>
      <c r="Z168" s="44">
        <v>40000</v>
      </c>
      <c r="AA168" s="42">
        <v>1</v>
      </c>
      <c r="AB168" s="48">
        <v>102.35</v>
      </c>
      <c r="AD168" s="44">
        <v>40.94</v>
      </c>
      <c r="AG168" t="s">
        <v>16</v>
      </c>
      <c r="AH168" s="45">
        <v>1.2E-5</v>
      </c>
      <c r="AI168" s="45">
        <v>1.08037656308747E-2</v>
      </c>
      <c r="AJ168" s="45">
        <v>9.5712013698309305E-4</v>
      </c>
    </row>
    <row r="169" spans="1:36" x14ac:dyDescent="0.25">
      <c r="A169">
        <v>12904</v>
      </c>
      <c r="B169">
        <v>12905</v>
      </c>
      <c r="C169" t="s">
        <v>469</v>
      </c>
      <c r="D169" t="s">
        <v>470</v>
      </c>
      <c r="E169" t="s">
        <v>210</v>
      </c>
      <c r="F169" t="s">
        <v>474</v>
      </c>
      <c r="G169" t="s">
        <v>475</v>
      </c>
      <c r="H169" t="s">
        <v>213</v>
      </c>
      <c r="I169" t="s">
        <v>214</v>
      </c>
      <c r="J169" t="s">
        <v>71</v>
      </c>
      <c r="K169" t="s">
        <v>71</v>
      </c>
      <c r="L169" t="s">
        <v>216</v>
      </c>
      <c r="M169" t="s">
        <v>117</v>
      </c>
      <c r="N169" t="s">
        <v>365</v>
      </c>
      <c r="O169" t="s">
        <v>72</v>
      </c>
      <c r="P169" t="s">
        <v>228</v>
      </c>
      <c r="Q169" t="s">
        <v>74</v>
      </c>
      <c r="R169" t="s">
        <v>220</v>
      </c>
      <c r="S169" t="s">
        <v>81</v>
      </c>
      <c r="T169" s="44">
        <v>3.9239999999999999</v>
      </c>
      <c r="U169" t="s">
        <v>476</v>
      </c>
      <c r="V169" s="46">
        <v>3.3599999999999998E-2</v>
      </c>
      <c r="W169" s="45">
        <v>3.0030000000000001E-2</v>
      </c>
      <c r="X169" t="s">
        <v>222</v>
      </c>
      <c r="Y169" t="s">
        <v>72</v>
      </c>
      <c r="Z169" s="44">
        <v>50000</v>
      </c>
      <c r="AA169" s="42">
        <v>1</v>
      </c>
      <c r="AB169" s="48">
        <v>107.83</v>
      </c>
      <c r="AD169" s="44">
        <v>53.914999999999999</v>
      </c>
      <c r="AG169" t="s">
        <v>16</v>
      </c>
      <c r="AH169" s="45">
        <v>4.3000000000000002E-5</v>
      </c>
      <c r="AI169" s="45">
        <v>1.42277729357257E-2</v>
      </c>
      <c r="AJ169" s="45">
        <v>1.2604575521603201E-3</v>
      </c>
    </row>
    <row r="170" spans="1:36" x14ac:dyDescent="0.25">
      <c r="A170">
        <v>12904</v>
      </c>
      <c r="B170">
        <v>12905</v>
      </c>
      <c r="C170" t="s">
        <v>469</v>
      </c>
      <c r="D170" t="s">
        <v>470</v>
      </c>
      <c r="E170" t="s">
        <v>210</v>
      </c>
      <c r="F170" t="s">
        <v>477</v>
      </c>
      <c r="G170" t="s">
        <v>478</v>
      </c>
      <c r="H170" t="s">
        <v>213</v>
      </c>
      <c r="I170" t="s">
        <v>214</v>
      </c>
      <c r="J170" t="s">
        <v>71</v>
      </c>
      <c r="K170" t="s">
        <v>71</v>
      </c>
      <c r="L170" t="s">
        <v>216</v>
      </c>
      <c r="M170" t="s">
        <v>117</v>
      </c>
      <c r="N170" t="s">
        <v>365</v>
      </c>
      <c r="O170" t="s">
        <v>72</v>
      </c>
      <c r="P170" t="s">
        <v>228</v>
      </c>
      <c r="Q170" t="s">
        <v>74</v>
      </c>
      <c r="R170" t="s">
        <v>220</v>
      </c>
      <c r="S170" t="s">
        <v>81</v>
      </c>
      <c r="T170" s="44">
        <v>5.1970000000000001</v>
      </c>
      <c r="U170" t="s">
        <v>479</v>
      </c>
      <c r="V170" s="46">
        <v>3.3500000000000002E-2</v>
      </c>
      <c r="W170" s="45">
        <v>3.1109999999999999E-2</v>
      </c>
      <c r="X170" t="s">
        <v>222</v>
      </c>
      <c r="Y170" t="s">
        <v>72</v>
      </c>
      <c r="Z170" s="44">
        <v>51000</v>
      </c>
      <c r="AA170" s="42">
        <v>1</v>
      </c>
      <c r="AB170" s="48">
        <v>102.42</v>
      </c>
      <c r="AD170" s="44">
        <v>52.234000000000002</v>
      </c>
      <c r="AG170" t="s">
        <v>16</v>
      </c>
      <c r="AH170" s="45">
        <v>6.0000000000000002E-5</v>
      </c>
      <c r="AI170" s="45">
        <v>1.3784222147440999E-2</v>
      </c>
      <c r="AJ170" s="45">
        <v>1.2211627908940499E-3</v>
      </c>
    </row>
    <row r="171" spans="1:36" x14ac:dyDescent="0.25">
      <c r="A171">
        <v>12904</v>
      </c>
      <c r="B171">
        <v>12905</v>
      </c>
      <c r="C171" t="s">
        <v>469</v>
      </c>
      <c r="D171" t="s">
        <v>470</v>
      </c>
      <c r="E171" t="s">
        <v>210</v>
      </c>
      <c r="F171" t="s">
        <v>480</v>
      </c>
      <c r="G171" t="s">
        <v>481</v>
      </c>
      <c r="H171" t="s">
        <v>213</v>
      </c>
      <c r="I171" t="s">
        <v>214</v>
      </c>
      <c r="J171" t="s">
        <v>71</v>
      </c>
      <c r="K171" t="s">
        <v>71</v>
      </c>
      <c r="L171" t="s">
        <v>216</v>
      </c>
      <c r="M171" t="s">
        <v>117</v>
      </c>
      <c r="N171" t="s">
        <v>365</v>
      </c>
      <c r="O171" t="s">
        <v>72</v>
      </c>
      <c r="P171" t="s">
        <v>73</v>
      </c>
      <c r="Q171" t="s">
        <v>74</v>
      </c>
      <c r="R171" t="s">
        <v>220</v>
      </c>
      <c r="S171" t="s">
        <v>81</v>
      </c>
      <c r="T171" s="44">
        <v>4.8879999999999999</v>
      </c>
      <c r="U171" t="s">
        <v>482</v>
      </c>
      <c r="V171" s="46">
        <v>2.2013000000000001E-2</v>
      </c>
      <c r="W171" s="45">
        <v>2.606E-2</v>
      </c>
      <c r="X171" t="s">
        <v>222</v>
      </c>
      <c r="Y171" t="s">
        <v>72</v>
      </c>
      <c r="Z171" s="44">
        <v>6987</v>
      </c>
      <c r="AA171" s="42">
        <v>1</v>
      </c>
      <c r="AB171" s="48">
        <v>118.7</v>
      </c>
      <c r="AD171" s="44">
        <v>8.2940000000000005</v>
      </c>
      <c r="AG171" t="s">
        <v>16</v>
      </c>
      <c r="AH171" s="45">
        <v>1.0000000000000001E-5</v>
      </c>
      <c r="AI171" s="45">
        <v>2.1886120107349298E-3</v>
      </c>
      <c r="AJ171" s="45">
        <v>1.9389208347236799E-4</v>
      </c>
    </row>
    <row r="172" spans="1:36" x14ac:dyDescent="0.25">
      <c r="A172">
        <v>12904</v>
      </c>
      <c r="B172">
        <v>12905</v>
      </c>
      <c r="C172" t="s">
        <v>483</v>
      </c>
      <c r="D172" t="s">
        <v>484</v>
      </c>
      <c r="E172" t="s">
        <v>210</v>
      </c>
      <c r="F172" t="s">
        <v>485</v>
      </c>
      <c r="G172" t="s">
        <v>486</v>
      </c>
      <c r="H172" t="s">
        <v>213</v>
      </c>
      <c r="I172" t="s">
        <v>214</v>
      </c>
      <c r="J172" t="s">
        <v>71</v>
      </c>
      <c r="K172" t="s">
        <v>71</v>
      </c>
      <c r="L172" t="s">
        <v>216</v>
      </c>
      <c r="M172" t="s">
        <v>117</v>
      </c>
      <c r="N172" t="s">
        <v>258</v>
      </c>
      <c r="O172" t="s">
        <v>72</v>
      </c>
      <c r="P172" t="s">
        <v>259</v>
      </c>
      <c r="Q172" t="s">
        <v>74</v>
      </c>
      <c r="R172" t="s">
        <v>220</v>
      </c>
      <c r="S172" t="s">
        <v>81</v>
      </c>
      <c r="T172" s="44">
        <v>5.726</v>
      </c>
      <c r="U172" t="s">
        <v>487</v>
      </c>
      <c r="V172" s="46">
        <v>3.61E-2</v>
      </c>
      <c r="W172" s="45">
        <v>3.0759999999999999E-2</v>
      </c>
      <c r="X172" t="s">
        <v>222</v>
      </c>
      <c r="Y172" t="s">
        <v>72</v>
      </c>
      <c r="Z172" s="44">
        <v>89468.15</v>
      </c>
      <c r="AA172" s="42">
        <v>1</v>
      </c>
      <c r="AB172" s="48">
        <v>110.37</v>
      </c>
      <c r="AD172" s="44">
        <v>98.745999999999995</v>
      </c>
      <c r="AG172" t="s">
        <v>16</v>
      </c>
      <c r="AH172" s="45">
        <v>5.7000000000000003E-5</v>
      </c>
      <c r="AI172" s="45">
        <v>2.6058344168286299E-2</v>
      </c>
      <c r="AJ172" s="45">
        <v>2.3085437792751801E-3</v>
      </c>
    </row>
    <row r="173" spans="1:36" x14ac:dyDescent="0.25">
      <c r="A173">
        <v>12904</v>
      </c>
      <c r="B173">
        <v>12905</v>
      </c>
      <c r="C173" t="s">
        <v>483</v>
      </c>
      <c r="D173" t="s">
        <v>484</v>
      </c>
      <c r="E173" t="s">
        <v>210</v>
      </c>
      <c r="F173" t="s">
        <v>641</v>
      </c>
      <c r="G173" t="s">
        <v>642</v>
      </c>
      <c r="H173" t="s">
        <v>213</v>
      </c>
      <c r="I173" t="s">
        <v>214</v>
      </c>
      <c r="J173" t="s">
        <v>71</v>
      </c>
      <c r="K173" t="s">
        <v>71</v>
      </c>
      <c r="L173" t="s">
        <v>216</v>
      </c>
      <c r="M173" t="s">
        <v>117</v>
      </c>
      <c r="N173" t="s">
        <v>258</v>
      </c>
      <c r="O173" t="s">
        <v>72</v>
      </c>
      <c r="P173" t="s">
        <v>259</v>
      </c>
      <c r="Q173" t="s">
        <v>74</v>
      </c>
      <c r="R173" t="s">
        <v>220</v>
      </c>
      <c r="S173" t="s">
        <v>81</v>
      </c>
      <c r="T173" s="44">
        <v>0.27400000000000002</v>
      </c>
      <c r="U173" t="s">
        <v>643</v>
      </c>
      <c r="V173" s="46">
        <v>2.3E-2</v>
      </c>
      <c r="W173" s="45">
        <v>2.1250000000000002E-2</v>
      </c>
      <c r="X173" t="s">
        <v>222</v>
      </c>
      <c r="Y173" t="s">
        <v>72</v>
      </c>
      <c r="Z173" s="44">
        <v>10753.19</v>
      </c>
      <c r="AA173" s="42">
        <v>1</v>
      </c>
      <c r="AB173" s="48">
        <v>118.09</v>
      </c>
      <c r="AD173" s="44">
        <v>12.698</v>
      </c>
      <c r="AG173" t="s">
        <v>16</v>
      </c>
      <c r="AH173" s="45">
        <v>1.4E-5</v>
      </c>
      <c r="AI173" s="45">
        <v>3.3510256964417E-3</v>
      </c>
      <c r="AJ173" s="45">
        <v>2.9687187626935502E-4</v>
      </c>
    </row>
    <row r="174" spans="1:36" x14ac:dyDescent="0.25">
      <c r="A174">
        <v>12904</v>
      </c>
      <c r="B174">
        <v>12905</v>
      </c>
      <c r="C174" t="s">
        <v>483</v>
      </c>
      <c r="D174" t="s">
        <v>484</v>
      </c>
      <c r="E174" t="s">
        <v>210</v>
      </c>
      <c r="F174" t="s">
        <v>488</v>
      </c>
      <c r="G174" t="s">
        <v>489</v>
      </c>
      <c r="H174" t="s">
        <v>213</v>
      </c>
      <c r="I174" t="s">
        <v>214</v>
      </c>
      <c r="J174" t="s">
        <v>71</v>
      </c>
      <c r="K174" t="s">
        <v>71</v>
      </c>
      <c r="L174" t="s">
        <v>216</v>
      </c>
      <c r="M174" t="s">
        <v>117</v>
      </c>
      <c r="N174" t="s">
        <v>258</v>
      </c>
      <c r="O174" t="s">
        <v>72</v>
      </c>
      <c r="P174" t="s">
        <v>259</v>
      </c>
      <c r="Q174" t="s">
        <v>74</v>
      </c>
      <c r="R174" t="s">
        <v>220</v>
      </c>
      <c r="S174" t="s">
        <v>81</v>
      </c>
      <c r="T174" s="44">
        <v>1.038</v>
      </c>
      <c r="U174" t="s">
        <v>490</v>
      </c>
      <c r="V174" s="46">
        <v>2.1499999999999998E-2</v>
      </c>
      <c r="W174" s="45">
        <v>2.657E-2</v>
      </c>
      <c r="X174" t="s">
        <v>222</v>
      </c>
      <c r="Y174" t="s">
        <v>72</v>
      </c>
      <c r="Z174" s="44">
        <v>50890</v>
      </c>
      <c r="AA174" s="42">
        <v>1</v>
      </c>
      <c r="AB174" s="48">
        <v>118.15</v>
      </c>
      <c r="AD174" s="44">
        <v>60.127000000000002</v>
      </c>
      <c r="AG174" t="s">
        <v>16</v>
      </c>
      <c r="AH174" s="45">
        <v>4.3000000000000002E-5</v>
      </c>
      <c r="AI174" s="45">
        <v>1.5866951449354801E-2</v>
      </c>
      <c r="AJ174" s="45">
        <v>1.4056745826946399E-3</v>
      </c>
    </row>
    <row r="175" spans="1:36" x14ac:dyDescent="0.25">
      <c r="A175">
        <v>12904</v>
      </c>
      <c r="B175">
        <v>12905</v>
      </c>
      <c r="C175" t="s">
        <v>483</v>
      </c>
      <c r="D175" t="s">
        <v>484</v>
      </c>
      <c r="E175" t="s">
        <v>210</v>
      </c>
      <c r="F175" t="s">
        <v>491</v>
      </c>
      <c r="G175" t="s">
        <v>492</v>
      </c>
      <c r="H175" t="s">
        <v>213</v>
      </c>
      <c r="I175" t="s">
        <v>214</v>
      </c>
      <c r="J175" t="s">
        <v>71</v>
      </c>
      <c r="K175" t="s">
        <v>71</v>
      </c>
      <c r="L175" t="s">
        <v>216</v>
      </c>
      <c r="M175" t="s">
        <v>117</v>
      </c>
      <c r="N175" t="s">
        <v>258</v>
      </c>
      <c r="O175" t="s">
        <v>72</v>
      </c>
      <c r="P175" t="s">
        <v>259</v>
      </c>
      <c r="Q175" t="s">
        <v>74</v>
      </c>
      <c r="R175" t="s">
        <v>220</v>
      </c>
      <c r="S175" t="s">
        <v>81</v>
      </c>
      <c r="T175" s="44">
        <v>3.4910000000000001</v>
      </c>
      <c r="U175" t="s">
        <v>493</v>
      </c>
      <c r="V175" s="46">
        <v>2.2499999999999999E-2</v>
      </c>
      <c r="W175" s="45">
        <v>2.9399999999999999E-2</v>
      </c>
      <c r="X175" t="s">
        <v>222</v>
      </c>
      <c r="Y175" t="s">
        <v>72</v>
      </c>
      <c r="Z175" s="44">
        <v>60539.73</v>
      </c>
      <c r="AA175" s="42">
        <v>1</v>
      </c>
      <c r="AB175" s="48">
        <v>115.02</v>
      </c>
      <c r="AD175" s="44">
        <v>69.632999999999996</v>
      </c>
      <c r="AG175" t="s">
        <v>16</v>
      </c>
      <c r="AH175" s="45">
        <v>3.4E-5</v>
      </c>
      <c r="AI175" s="45">
        <v>1.8375584363184101E-2</v>
      </c>
      <c r="AJ175" s="45">
        <v>1.6279177486573401E-3</v>
      </c>
    </row>
    <row r="176" spans="1:36" x14ac:dyDescent="0.25">
      <c r="A176">
        <v>12904</v>
      </c>
      <c r="B176">
        <v>12905</v>
      </c>
      <c r="C176" t="s">
        <v>494</v>
      </c>
      <c r="D176" t="s">
        <v>495</v>
      </c>
      <c r="E176" t="s">
        <v>210</v>
      </c>
      <c r="F176" t="s">
        <v>496</v>
      </c>
      <c r="G176" t="s">
        <v>497</v>
      </c>
      <c r="H176" t="s">
        <v>213</v>
      </c>
      <c r="I176" t="s">
        <v>239</v>
      </c>
      <c r="J176" t="s">
        <v>71</v>
      </c>
      <c r="K176" t="s">
        <v>71</v>
      </c>
      <c r="L176" t="s">
        <v>216</v>
      </c>
      <c r="M176" t="s">
        <v>117</v>
      </c>
      <c r="N176" t="s">
        <v>498</v>
      </c>
      <c r="O176" t="s">
        <v>72</v>
      </c>
      <c r="P176" t="s">
        <v>235</v>
      </c>
      <c r="Q176" t="s">
        <v>219</v>
      </c>
      <c r="R176" t="s">
        <v>220</v>
      </c>
      <c r="S176" t="s">
        <v>81</v>
      </c>
      <c r="T176" s="44">
        <v>0.98399999999999999</v>
      </c>
      <c r="U176" t="s">
        <v>499</v>
      </c>
      <c r="V176" s="46">
        <v>0.114</v>
      </c>
      <c r="W176" s="45">
        <v>5.747E-2</v>
      </c>
      <c r="X176" t="s">
        <v>222</v>
      </c>
      <c r="Y176" t="s">
        <v>72</v>
      </c>
      <c r="Z176" s="44">
        <v>43501.760000000002</v>
      </c>
      <c r="AA176" s="42">
        <v>1</v>
      </c>
      <c r="AB176" s="48">
        <v>101.2</v>
      </c>
      <c r="AD176" s="44">
        <v>44.024000000000001</v>
      </c>
      <c r="AG176" t="s">
        <v>16</v>
      </c>
      <c r="AH176" s="45">
        <v>1.8000000000000001E-4</v>
      </c>
      <c r="AI176" s="45">
        <v>1.1617552843317201E-2</v>
      </c>
      <c r="AJ176" s="45">
        <v>1.0292146413309301E-3</v>
      </c>
    </row>
    <row r="177" spans="1:36" x14ac:dyDescent="0.25">
      <c r="A177">
        <v>12904</v>
      </c>
      <c r="B177">
        <v>12905</v>
      </c>
      <c r="C177" t="s">
        <v>494</v>
      </c>
      <c r="D177" t="s">
        <v>495</v>
      </c>
      <c r="E177" t="s">
        <v>210</v>
      </c>
      <c r="F177" t="s">
        <v>500</v>
      </c>
      <c r="G177" t="s">
        <v>501</v>
      </c>
      <c r="H177" t="s">
        <v>213</v>
      </c>
      <c r="I177" t="s">
        <v>239</v>
      </c>
      <c r="J177" t="s">
        <v>71</v>
      </c>
      <c r="K177" t="s">
        <v>71</v>
      </c>
      <c r="L177" t="s">
        <v>216</v>
      </c>
      <c r="M177" t="s">
        <v>117</v>
      </c>
      <c r="N177" t="s">
        <v>498</v>
      </c>
      <c r="O177" t="s">
        <v>72</v>
      </c>
      <c r="P177" t="s">
        <v>235</v>
      </c>
      <c r="Q177" t="s">
        <v>219</v>
      </c>
      <c r="R177" t="s">
        <v>220</v>
      </c>
      <c r="S177" t="s">
        <v>81</v>
      </c>
      <c r="T177" s="44">
        <v>2.1619999999999999</v>
      </c>
      <c r="U177" t="s">
        <v>502</v>
      </c>
      <c r="V177" s="46">
        <v>7.22E-2</v>
      </c>
      <c r="W177" s="45">
        <v>6.2089999999999999E-2</v>
      </c>
      <c r="X177" t="s">
        <v>222</v>
      </c>
      <c r="Y177" t="s">
        <v>72</v>
      </c>
      <c r="Z177" s="44">
        <v>29000</v>
      </c>
      <c r="AA177" s="42">
        <v>1</v>
      </c>
      <c r="AB177" s="48">
        <v>103.55</v>
      </c>
      <c r="AD177" s="44">
        <v>30.029</v>
      </c>
      <c r="AG177" t="s">
        <v>16</v>
      </c>
      <c r="AH177" s="45">
        <v>8.2999999999999998E-5</v>
      </c>
      <c r="AI177" s="45">
        <v>7.9245647291732394E-3</v>
      </c>
      <c r="AJ177" s="45">
        <v>7.0204785426316002E-4</v>
      </c>
    </row>
    <row r="178" spans="1:36" x14ac:dyDescent="0.25">
      <c r="A178">
        <v>12904</v>
      </c>
      <c r="B178">
        <v>12905</v>
      </c>
      <c r="C178" t="s">
        <v>494</v>
      </c>
      <c r="D178" t="s">
        <v>495</v>
      </c>
      <c r="E178" t="s">
        <v>210</v>
      </c>
      <c r="F178" t="s">
        <v>503</v>
      </c>
      <c r="G178" t="s">
        <v>504</v>
      </c>
      <c r="H178" t="s">
        <v>213</v>
      </c>
      <c r="I178" t="s">
        <v>239</v>
      </c>
      <c r="J178" t="s">
        <v>71</v>
      </c>
      <c r="K178" t="s">
        <v>71</v>
      </c>
      <c r="L178" t="s">
        <v>216</v>
      </c>
      <c r="M178" t="s">
        <v>109</v>
      </c>
      <c r="N178" t="s">
        <v>498</v>
      </c>
      <c r="O178" t="s">
        <v>72</v>
      </c>
      <c r="P178" t="s">
        <v>235</v>
      </c>
      <c r="Q178" t="s">
        <v>219</v>
      </c>
      <c r="R178" t="s">
        <v>220</v>
      </c>
      <c r="S178" t="s">
        <v>81</v>
      </c>
      <c r="T178" s="44">
        <v>3.2839999999999998</v>
      </c>
      <c r="U178" t="s">
        <v>330</v>
      </c>
      <c r="V178" s="46">
        <v>6.4000000000000001E-2</v>
      </c>
      <c r="W178" s="45">
        <v>6.4170000000000005E-2</v>
      </c>
      <c r="X178" t="s">
        <v>222</v>
      </c>
      <c r="Y178" t="s">
        <v>72</v>
      </c>
      <c r="Z178" s="44">
        <v>39000</v>
      </c>
      <c r="AA178" s="42">
        <v>1</v>
      </c>
      <c r="AB178" s="48">
        <v>101.3</v>
      </c>
      <c r="AD178" s="44">
        <v>39.506999999999998</v>
      </c>
      <c r="AG178" t="s">
        <v>16</v>
      </c>
      <c r="AH178" s="45">
        <v>1.95E-4</v>
      </c>
      <c r="AI178" s="45">
        <v>1.04256074445278E-2</v>
      </c>
      <c r="AJ178" s="45">
        <v>9.2361859432806698E-4</v>
      </c>
    </row>
    <row r="179" spans="1:36" x14ac:dyDescent="0.25">
      <c r="A179">
        <v>12904</v>
      </c>
      <c r="B179">
        <v>12905</v>
      </c>
      <c r="C179" t="s">
        <v>505</v>
      </c>
      <c r="D179" t="s">
        <v>506</v>
      </c>
      <c r="E179" t="s">
        <v>210</v>
      </c>
      <c r="F179" t="s">
        <v>507</v>
      </c>
      <c r="G179" t="s">
        <v>508</v>
      </c>
      <c r="H179" t="s">
        <v>213</v>
      </c>
      <c r="I179" t="s">
        <v>214</v>
      </c>
      <c r="J179" t="s">
        <v>71</v>
      </c>
      <c r="K179" t="s">
        <v>71</v>
      </c>
      <c r="L179" t="s">
        <v>216</v>
      </c>
      <c r="M179" t="s">
        <v>117</v>
      </c>
      <c r="N179" t="s">
        <v>245</v>
      </c>
      <c r="O179" t="s">
        <v>72</v>
      </c>
      <c r="P179" t="s">
        <v>509</v>
      </c>
      <c r="Q179" t="s">
        <v>219</v>
      </c>
      <c r="R179" t="s">
        <v>220</v>
      </c>
      <c r="S179" t="s">
        <v>81</v>
      </c>
      <c r="T179" s="44">
        <v>3.2440000000000002</v>
      </c>
      <c r="U179" t="s">
        <v>510</v>
      </c>
      <c r="V179" s="46">
        <v>2.07E-2</v>
      </c>
      <c r="W179" s="45">
        <v>4.1939999999999998E-2</v>
      </c>
      <c r="X179" t="s">
        <v>222</v>
      </c>
      <c r="Y179" t="s">
        <v>72</v>
      </c>
      <c r="Z179" s="44">
        <v>21065.15</v>
      </c>
      <c r="AA179" s="42">
        <v>1</v>
      </c>
      <c r="AB179" s="48">
        <v>105.96</v>
      </c>
      <c r="AD179" s="44">
        <v>22.321000000000002</v>
      </c>
      <c r="AG179" t="s">
        <v>16</v>
      </c>
      <c r="AH179" s="45">
        <v>4.3999999999999999E-5</v>
      </c>
      <c r="AI179" s="45">
        <v>5.8902512705554999E-3</v>
      </c>
      <c r="AJ179" s="45">
        <v>5.2182528717836199E-4</v>
      </c>
    </row>
    <row r="180" spans="1:36" x14ac:dyDescent="0.25">
      <c r="A180">
        <v>12904</v>
      </c>
      <c r="B180">
        <v>12905</v>
      </c>
      <c r="C180" t="s">
        <v>511</v>
      </c>
      <c r="D180" t="s">
        <v>512</v>
      </c>
      <c r="E180" t="s">
        <v>210</v>
      </c>
      <c r="F180" t="s">
        <v>513</v>
      </c>
      <c r="G180" t="s">
        <v>514</v>
      </c>
      <c r="H180" t="s">
        <v>213</v>
      </c>
      <c r="I180" t="s">
        <v>214</v>
      </c>
      <c r="J180" t="s">
        <v>71</v>
      </c>
      <c r="K180" t="s">
        <v>71</v>
      </c>
      <c r="L180" t="s">
        <v>216</v>
      </c>
      <c r="M180" t="s">
        <v>117</v>
      </c>
      <c r="N180" t="s">
        <v>515</v>
      </c>
      <c r="O180" t="s">
        <v>72</v>
      </c>
      <c r="P180" t="s">
        <v>73</v>
      </c>
      <c r="Q180" t="s">
        <v>74</v>
      </c>
      <c r="R180" t="s">
        <v>220</v>
      </c>
      <c r="S180" t="s">
        <v>81</v>
      </c>
      <c r="T180" s="44">
        <v>11.712999999999999</v>
      </c>
      <c r="U180" t="s">
        <v>516</v>
      </c>
      <c r="V180" s="46">
        <v>2.07E-2</v>
      </c>
      <c r="W180" s="45">
        <v>2.9860000000000001E-2</v>
      </c>
      <c r="X180" t="s">
        <v>222</v>
      </c>
      <c r="Y180" t="s">
        <v>72</v>
      </c>
      <c r="Z180" s="44">
        <v>35887.949999999997</v>
      </c>
      <c r="AA180" s="42">
        <v>1</v>
      </c>
      <c r="AB180" s="48">
        <v>102.91</v>
      </c>
      <c r="AD180" s="44">
        <v>36.932000000000002</v>
      </c>
      <c r="AG180" t="s">
        <v>16</v>
      </c>
      <c r="AH180" s="45">
        <v>6.9999999999999999E-6</v>
      </c>
      <c r="AI180" s="45">
        <v>9.7461601928439598E-3</v>
      </c>
      <c r="AJ180" s="45">
        <v>8.6342544789901401E-4</v>
      </c>
    </row>
    <row r="181" spans="1:36" x14ac:dyDescent="0.25">
      <c r="A181">
        <v>12904</v>
      </c>
      <c r="B181">
        <v>12905</v>
      </c>
      <c r="C181" t="s">
        <v>517</v>
      </c>
      <c r="D181" t="s">
        <v>518</v>
      </c>
      <c r="E181" t="s">
        <v>420</v>
      </c>
      <c r="F181" t="s">
        <v>519</v>
      </c>
      <c r="G181" t="s">
        <v>520</v>
      </c>
      <c r="H181" t="s">
        <v>213</v>
      </c>
      <c r="I181" t="s">
        <v>239</v>
      </c>
      <c r="J181" t="s">
        <v>71</v>
      </c>
      <c r="K181" t="s">
        <v>71</v>
      </c>
      <c r="L181" t="s">
        <v>216</v>
      </c>
      <c r="M181" t="s">
        <v>109</v>
      </c>
      <c r="N181" t="s">
        <v>423</v>
      </c>
      <c r="O181" t="s">
        <v>72</v>
      </c>
      <c r="P181" t="s">
        <v>235</v>
      </c>
      <c r="Q181" t="s">
        <v>74</v>
      </c>
      <c r="R181" t="s">
        <v>220</v>
      </c>
      <c r="S181" t="s">
        <v>81</v>
      </c>
      <c r="T181" s="44">
        <v>3.3740000000000001</v>
      </c>
      <c r="U181" t="s">
        <v>521</v>
      </c>
      <c r="V181" s="46">
        <v>6.7000000000000004E-2</v>
      </c>
      <c r="W181" s="45">
        <v>5.6849999999999998E-2</v>
      </c>
      <c r="X181" t="s">
        <v>222</v>
      </c>
      <c r="Y181" t="s">
        <v>72</v>
      </c>
      <c r="Z181" s="44">
        <v>26000</v>
      </c>
      <c r="AA181" s="42">
        <v>1</v>
      </c>
      <c r="AB181" s="48">
        <v>103.63</v>
      </c>
      <c r="AD181" s="44">
        <v>26.943999999999999</v>
      </c>
      <c r="AG181" t="s">
        <v>16</v>
      </c>
      <c r="AH181" s="45">
        <v>2.9E-5</v>
      </c>
      <c r="AI181" s="45">
        <v>7.1102711383771904E-3</v>
      </c>
      <c r="AJ181" s="45">
        <v>6.2990848917550196E-4</v>
      </c>
    </row>
    <row r="182" spans="1:36" x14ac:dyDescent="0.25">
      <c r="A182">
        <v>12904</v>
      </c>
      <c r="B182">
        <v>12905</v>
      </c>
      <c r="C182" t="s">
        <v>522</v>
      </c>
      <c r="D182" t="s">
        <v>523</v>
      </c>
      <c r="E182" t="s">
        <v>210</v>
      </c>
      <c r="F182" t="s">
        <v>524</v>
      </c>
      <c r="G182" t="s">
        <v>525</v>
      </c>
      <c r="H182" t="s">
        <v>213</v>
      </c>
      <c r="I182" t="s">
        <v>239</v>
      </c>
      <c r="J182" t="s">
        <v>71</v>
      </c>
      <c r="K182" t="s">
        <v>71</v>
      </c>
      <c r="L182" t="s">
        <v>216</v>
      </c>
      <c r="M182" t="s">
        <v>109</v>
      </c>
      <c r="N182" t="s">
        <v>526</v>
      </c>
      <c r="O182" t="s">
        <v>72</v>
      </c>
      <c r="P182" t="s">
        <v>527</v>
      </c>
      <c r="Q182" t="s">
        <v>528</v>
      </c>
      <c r="R182" t="s">
        <v>528</v>
      </c>
      <c r="S182" t="s">
        <v>81</v>
      </c>
      <c r="T182" s="44">
        <v>4.0650000000000004</v>
      </c>
      <c r="U182" t="s">
        <v>529</v>
      </c>
      <c r="V182" s="46">
        <v>5.8999999999999997E-2</v>
      </c>
      <c r="W182" s="45">
        <v>5.9499999999999997E-2</v>
      </c>
      <c r="X182" t="s">
        <v>222</v>
      </c>
      <c r="Y182" t="s">
        <v>72</v>
      </c>
      <c r="Z182" s="44">
        <v>59000</v>
      </c>
      <c r="AA182" s="42">
        <v>1</v>
      </c>
      <c r="AB182" s="48">
        <v>100.46</v>
      </c>
      <c r="AD182" s="44">
        <v>59.271000000000001</v>
      </c>
      <c r="AG182" t="s">
        <v>16</v>
      </c>
      <c r="AH182" s="45">
        <v>1.21E-4</v>
      </c>
      <c r="AI182" s="45">
        <v>1.5641287596820399E-2</v>
      </c>
      <c r="AJ182" s="45">
        <v>1.3856827182994499E-3</v>
      </c>
    </row>
    <row r="183" spans="1:36" x14ac:dyDescent="0.25">
      <c r="A183">
        <v>12904</v>
      </c>
      <c r="B183">
        <v>12905</v>
      </c>
      <c r="C183" t="s">
        <v>530</v>
      </c>
      <c r="D183" t="s">
        <v>531</v>
      </c>
      <c r="E183" t="s">
        <v>210</v>
      </c>
      <c r="F183" t="s">
        <v>532</v>
      </c>
      <c r="G183" t="s">
        <v>533</v>
      </c>
      <c r="H183" t="s">
        <v>213</v>
      </c>
      <c r="I183" t="s">
        <v>239</v>
      </c>
      <c r="J183" t="s">
        <v>71</v>
      </c>
      <c r="K183" t="s">
        <v>71</v>
      </c>
      <c r="L183" t="s">
        <v>216</v>
      </c>
      <c r="M183" t="s">
        <v>117</v>
      </c>
      <c r="N183" t="s">
        <v>287</v>
      </c>
      <c r="O183" t="s">
        <v>72</v>
      </c>
      <c r="P183" t="s">
        <v>235</v>
      </c>
      <c r="Q183" t="s">
        <v>219</v>
      </c>
      <c r="R183" t="s">
        <v>220</v>
      </c>
      <c r="S183" t="s">
        <v>81</v>
      </c>
      <c r="T183" s="44">
        <v>3.2429999999999999</v>
      </c>
      <c r="U183" t="s">
        <v>534</v>
      </c>
      <c r="V183" s="46">
        <v>6.9500000000000006E-2</v>
      </c>
      <c r="W183" s="45">
        <v>5.7419999999999999E-2</v>
      </c>
      <c r="X183" t="s">
        <v>222</v>
      </c>
      <c r="Y183" t="s">
        <v>72</v>
      </c>
      <c r="Z183" s="44">
        <v>38000</v>
      </c>
      <c r="AA183" s="42">
        <v>1</v>
      </c>
      <c r="AB183" s="48">
        <v>105.91</v>
      </c>
      <c r="AD183" s="44">
        <v>40.246000000000002</v>
      </c>
      <c r="AG183" t="s">
        <v>16</v>
      </c>
      <c r="AH183" s="45">
        <v>4.5000000000000003E-5</v>
      </c>
      <c r="AI183" s="45">
        <v>1.06205713440903E-2</v>
      </c>
      <c r="AJ183" s="45">
        <v>9.4089070857337998E-4</v>
      </c>
    </row>
    <row r="184" spans="1:36" x14ac:dyDescent="0.25">
      <c r="A184">
        <v>12904</v>
      </c>
      <c r="B184">
        <v>12905</v>
      </c>
      <c r="C184" t="s">
        <v>530</v>
      </c>
      <c r="D184" t="s">
        <v>531</v>
      </c>
      <c r="E184" t="s">
        <v>210</v>
      </c>
      <c r="F184" t="s">
        <v>535</v>
      </c>
      <c r="G184" t="s">
        <v>536</v>
      </c>
      <c r="H184" t="s">
        <v>213</v>
      </c>
      <c r="I184" t="s">
        <v>239</v>
      </c>
      <c r="J184" t="s">
        <v>71</v>
      </c>
      <c r="K184" t="s">
        <v>71</v>
      </c>
      <c r="L184" t="s">
        <v>216</v>
      </c>
      <c r="M184" t="s">
        <v>109</v>
      </c>
      <c r="N184" t="s">
        <v>287</v>
      </c>
      <c r="O184" t="s">
        <v>72</v>
      </c>
      <c r="P184" t="s">
        <v>235</v>
      </c>
      <c r="Q184" t="s">
        <v>219</v>
      </c>
      <c r="R184" t="s">
        <v>220</v>
      </c>
      <c r="S184" t="s">
        <v>81</v>
      </c>
      <c r="T184" s="44">
        <v>5.819</v>
      </c>
      <c r="U184" t="s">
        <v>537</v>
      </c>
      <c r="V184" s="46">
        <v>6.6900000000000001E-2</v>
      </c>
      <c r="W184" s="45">
        <v>6.0769999999999998E-2</v>
      </c>
      <c r="X184" t="s">
        <v>222</v>
      </c>
      <c r="Y184" t="s">
        <v>72</v>
      </c>
      <c r="Z184" s="44">
        <v>17537.04</v>
      </c>
      <c r="AA184" s="42">
        <v>1</v>
      </c>
      <c r="AB184" s="48">
        <v>105.74</v>
      </c>
      <c r="AD184" s="44">
        <v>18.544</v>
      </c>
      <c r="AG184" t="s">
        <v>16</v>
      </c>
      <c r="AH184" s="45">
        <v>2.3E-5</v>
      </c>
      <c r="AI184" s="45">
        <v>4.8935374313234404E-3</v>
      </c>
      <c r="AJ184" s="45">
        <v>4.3352506677997698E-4</v>
      </c>
    </row>
    <row r="185" spans="1:36" x14ac:dyDescent="0.25">
      <c r="A185">
        <v>12904</v>
      </c>
      <c r="B185">
        <v>12905</v>
      </c>
      <c r="C185" t="s">
        <v>538</v>
      </c>
      <c r="D185" t="s">
        <v>539</v>
      </c>
      <c r="E185" t="s">
        <v>540</v>
      </c>
      <c r="F185" t="s">
        <v>541</v>
      </c>
      <c r="G185" t="s">
        <v>542</v>
      </c>
      <c r="H185" t="s">
        <v>213</v>
      </c>
      <c r="I185" t="s">
        <v>239</v>
      </c>
      <c r="J185" t="s">
        <v>71</v>
      </c>
      <c r="K185" t="s">
        <v>71</v>
      </c>
      <c r="L185" t="s">
        <v>216</v>
      </c>
      <c r="M185" t="s">
        <v>109</v>
      </c>
      <c r="N185" t="s">
        <v>217</v>
      </c>
      <c r="O185" t="s">
        <v>72</v>
      </c>
      <c r="P185" t="s">
        <v>259</v>
      </c>
      <c r="Q185" t="s">
        <v>74</v>
      </c>
      <c r="R185" t="s">
        <v>220</v>
      </c>
      <c r="S185" t="s">
        <v>81</v>
      </c>
      <c r="T185" s="44">
        <v>3.5379999999999998</v>
      </c>
      <c r="U185" t="s">
        <v>543</v>
      </c>
      <c r="V185" s="46">
        <v>6.25E-2</v>
      </c>
      <c r="W185" s="45">
        <v>5.7919999999999999E-2</v>
      </c>
      <c r="X185" t="s">
        <v>222</v>
      </c>
      <c r="Y185" t="s">
        <v>72</v>
      </c>
      <c r="Z185" s="44">
        <v>45066</v>
      </c>
      <c r="AA185" s="42">
        <v>1</v>
      </c>
      <c r="AB185" s="48">
        <v>104.79</v>
      </c>
      <c r="AD185" s="44">
        <v>47.225000000000001</v>
      </c>
      <c r="AG185" t="s">
        <v>16</v>
      </c>
      <c r="AH185" s="45">
        <v>8.2000000000000001E-5</v>
      </c>
      <c r="AI185" s="45">
        <v>1.24622416649491E-2</v>
      </c>
      <c r="AJ185" s="45">
        <v>1.10404676082433E-3</v>
      </c>
    </row>
    <row r="186" spans="1:36" x14ac:dyDescent="0.25">
      <c r="A186">
        <v>12904</v>
      </c>
      <c r="B186">
        <v>12905</v>
      </c>
      <c r="C186" t="s">
        <v>544</v>
      </c>
      <c r="D186" t="s">
        <v>545</v>
      </c>
      <c r="E186" t="s">
        <v>540</v>
      </c>
      <c r="F186" t="s">
        <v>546</v>
      </c>
      <c r="G186" t="s">
        <v>547</v>
      </c>
      <c r="H186" t="s">
        <v>213</v>
      </c>
      <c r="I186" t="s">
        <v>239</v>
      </c>
      <c r="J186" t="s">
        <v>71</v>
      </c>
      <c r="K186" t="s">
        <v>291</v>
      </c>
      <c r="L186" t="s">
        <v>216</v>
      </c>
      <c r="M186" t="s">
        <v>117</v>
      </c>
      <c r="N186" t="s">
        <v>217</v>
      </c>
      <c r="O186" t="s">
        <v>72</v>
      </c>
      <c r="P186" t="s">
        <v>259</v>
      </c>
      <c r="Q186" t="s">
        <v>74</v>
      </c>
      <c r="R186" t="s">
        <v>220</v>
      </c>
      <c r="S186" t="s">
        <v>81</v>
      </c>
      <c r="T186" s="44">
        <v>1.675</v>
      </c>
      <c r="U186" t="s">
        <v>391</v>
      </c>
      <c r="V186" s="46">
        <v>3.49E-2</v>
      </c>
      <c r="W186" s="45">
        <v>5.8569999999999997E-2</v>
      </c>
      <c r="X186" t="s">
        <v>222</v>
      </c>
      <c r="Y186" t="s">
        <v>72</v>
      </c>
      <c r="Z186" s="44">
        <v>118320</v>
      </c>
      <c r="AA186" s="42">
        <v>1</v>
      </c>
      <c r="AB186" s="48">
        <v>97.15</v>
      </c>
      <c r="AD186" s="44">
        <v>114.94799999999999</v>
      </c>
      <c r="AG186" t="s">
        <v>16</v>
      </c>
      <c r="AH186" s="45">
        <v>1.25E-4</v>
      </c>
      <c r="AI186" s="45">
        <v>3.03339021808967E-2</v>
      </c>
      <c r="AJ186" s="45">
        <v>2.6873212176725999E-3</v>
      </c>
    </row>
    <row r="187" spans="1:36" x14ac:dyDescent="0.25">
      <c r="A187">
        <v>12904</v>
      </c>
      <c r="B187">
        <v>12905</v>
      </c>
      <c r="C187" t="s">
        <v>544</v>
      </c>
      <c r="D187" t="s">
        <v>545</v>
      </c>
      <c r="E187" t="s">
        <v>540</v>
      </c>
      <c r="F187" t="s">
        <v>548</v>
      </c>
      <c r="G187" t="s">
        <v>549</v>
      </c>
      <c r="H187" t="s">
        <v>213</v>
      </c>
      <c r="I187" t="s">
        <v>239</v>
      </c>
      <c r="J187" t="s">
        <v>71</v>
      </c>
      <c r="K187" t="s">
        <v>291</v>
      </c>
      <c r="L187" t="s">
        <v>216</v>
      </c>
      <c r="M187" t="s">
        <v>109</v>
      </c>
      <c r="N187" t="s">
        <v>217</v>
      </c>
      <c r="O187" t="s">
        <v>72</v>
      </c>
      <c r="P187" t="s">
        <v>259</v>
      </c>
      <c r="Q187" t="s">
        <v>74</v>
      </c>
      <c r="R187" t="s">
        <v>220</v>
      </c>
      <c r="S187" t="s">
        <v>81</v>
      </c>
      <c r="T187" s="44">
        <v>4.016</v>
      </c>
      <c r="U187" t="s">
        <v>550</v>
      </c>
      <c r="V187" s="46">
        <v>6.7400000000000002E-2</v>
      </c>
      <c r="W187" s="45">
        <v>6.0229999999999999E-2</v>
      </c>
      <c r="X187" t="s">
        <v>222</v>
      </c>
      <c r="Y187" t="s">
        <v>72</v>
      </c>
      <c r="Z187" s="44">
        <v>31000</v>
      </c>
      <c r="AA187" s="42">
        <v>1</v>
      </c>
      <c r="AB187" s="48">
        <v>106.73</v>
      </c>
      <c r="AD187" s="44">
        <v>33.085999999999999</v>
      </c>
      <c r="AG187" t="s">
        <v>16</v>
      </c>
      <c r="AH187" s="45">
        <v>1.0900000000000001E-4</v>
      </c>
      <c r="AI187" s="45">
        <v>8.7312318220031798E-3</v>
      </c>
      <c r="AJ187" s="45">
        <v>7.7351157763223496E-4</v>
      </c>
    </row>
    <row r="188" spans="1:36" x14ac:dyDescent="0.25">
      <c r="A188">
        <v>12904</v>
      </c>
      <c r="B188">
        <v>12905</v>
      </c>
      <c r="C188" t="s">
        <v>551</v>
      </c>
      <c r="D188" t="s">
        <v>552</v>
      </c>
      <c r="E188" t="s">
        <v>210</v>
      </c>
      <c r="F188" t="s">
        <v>553</v>
      </c>
      <c r="G188" t="s">
        <v>554</v>
      </c>
      <c r="H188" t="s">
        <v>213</v>
      </c>
      <c r="I188" t="s">
        <v>239</v>
      </c>
      <c r="J188" t="s">
        <v>71</v>
      </c>
      <c r="K188" t="s">
        <v>71</v>
      </c>
      <c r="L188" t="s">
        <v>216</v>
      </c>
      <c r="M188" t="s">
        <v>117</v>
      </c>
      <c r="N188" t="s">
        <v>329</v>
      </c>
      <c r="O188" t="s">
        <v>72</v>
      </c>
      <c r="P188" t="s">
        <v>246</v>
      </c>
      <c r="Q188" t="s">
        <v>74</v>
      </c>
      <c r="R188" t="s">
        <v>220</v>
      </c>
      <c r="S188" t="s">
        <v>81</v>
      </c>
      <c r="T188" s="44">
        <v>2.9910000000000001</v>
      </c>
      <c r="U188" t="s">
        <v>555</v>
      </c>
      <c r="V188" s="46">
        <v>4.7300000000000002E-2</v>
      </c>
      <c r="W188" s="45">
        <v>5.0959999999999998E-2</v>
      </c>
      <c r="X188" t="s">
        <v>222</v>
      </c>
      <c r="Y188" t="s">
        <v>72</v>
      </c>
      <c r="Z188" s="44">
        <v>14250</v>
      </c>
      <c r="AA188" s="42">
        <v>1</v>
      </c>
      <c r="AB188" s="48">
        <v>100.21</v>
      </c>
      <c r="AD188" s="44">
        <v>14.28</v>
      </c>
      <c r="AG188" t="s">
        <v>16</v>
      </c>
      <c r="AH188" s="45">
        <v>3.0000000000000001E-5</v>
      </c>
      <c r="AI188" s="45">
        <v>3.7683674383602499E-3</v>
      </c>
      <c r="AJ188" s="45">
        <v>3.3384474284583001E-4</v>
      </c>
    </row>
    <row r="189" spans="1:36" x14ac:dyDescent="0.25">
      <c r="A189">
        <v>12904</v>
      </c>
      <c r="B189">
        <v>12905</v>
      </c>
      <c r="C189" t="s">
        <v>556</v>
      </c>
      <c r="D189" t="s">
        <v>557</v>
      </c>
      <c r="E189" t="s">
        <v>210</v>
      </c>
      <c r="F189" t="s">
        <v>558</v>
      </c>
      <c r="G189" t="s">
        <v>559</v>
      </c>
      <c r="H189" t="s">
        <v>213</v>
      </c>
      <c r="I189" t="s">
        <v>214</v>
      </c>
      <c r="J189" t="s">
        <v>71</v>
      </c>
      <c r="K189" t="s">
        <v>71</v>
      </c>
      <c r="L189" t="s">
        <v>216</v>
      </c>
      <c r="M189" t="s">
        <v>117</v>
      </c>
      <c r="N189" t="s">
        <v>258</v>
      </c>
      <c r="O189" t="s">
        <v>72</v>
      </c>
      <c r="P189" t="s">
        <v>560</v>
      </c>
      <c r="Q189" t="s">
        <v>219</v>
      </c>
      <c r="R189" t="s">
        <v>220</v>
      </c>
      <c r="S189" t="s">
        <v>81</v>
      </c>
      <c r="T189" s="44">
        <v>2.0680000000000001</v>
      </c>
      <c r="U189" t="s">
        <v>561</v>
      </c>
      <c r="V189" s="46">
        <v>1.77E-2</v>
      </c>
      <c r="W189" s="45">
        <v>2.751E-2</v>
      </c>
      <c r="X189" t="s">
        <v>222</v>
      </c>
      <c r="Y189" t="s">
        <v>72</v>
      </c>
      <c r="Z189" s="44">
        <v>22050.6</v>
      </c>
      <c r="AA189" s="42">
        <v>1</v>
      </c>
      <c r="AB189" s="48">
        <v>113.81</v>
      </c>
      <c r="AD189" s="44">
        <v>25.096</v>
      </c>
      <c r="AG189" t="s">
        <v>16</v>
      </c>
      <c r="AH189" s="45">
        <v>7.9999999999999996E-6</v>
      </c>
      <c r="AI189" s="45">
        <v>6.6225942931507301E-3</v>
      </c>
      <c r="AJ189" s="45">
        <v>5.8670454113976197E-4</v>
      </c>
    </row>
    <row r="190" spans="1:36" x14ac:dyDescent="0.25">
      <c r="A190">
        <v>12904</v>
      </c>
      <c r="B190">
        <v>12905</v>
      </c>
      <c r="C190" t="s">
        <v>556</v>
      </c>
      <c r="D190" t="s">
        <v>557</v>
      </c>
      <c r="E190" t="s">
        <v>210</v>
      </c>
      <c r="F190" t="s">
        <v>562</v>
      </c>
      <c r="G190" t="s">
        <v>563</v>
      </c>
      <c r="H190" t="s">
        <v>213</v>
      </c>
      <c r="I190" t="s">
        <v>214</v>
      </c>
      <c r="J190" t="s">
        <v>71</v>
      </c>
      <c r="K190" t="s">
        <v>71</v>
      </c>
      <c r="L190" t="s">
        <v>216</v>
      </c>
      <c r="M190" t="s">
        <v>117</v>
      </c>
      <c r="N190" t="s">
        <v>258</v>
      </c>
      <c r="O190" t="s">
        <v>72</v>
      </c>
      <c r="P190" t="s">
        <v>560</v>
      </c>
      <c r="Q190" t="s">
        <v>74</v>
      </c>
      <c r="R190" t="s">
        <v>220</v>
      </c>
      <c r="S190" t="s">
        <v>81</v>
      </c>
      <c r="T190" s="44">
        <v>6.4729999999999999</v>
      </c>
      <c r="U190" t="s">
        <v>564</v>
      </c>
      <c r="V190" s="46">
        <v>8.9999999999999993E-3</v>
      </c>
      <c r="W190" s="45">
        <v>3.0720000000000001E-2</v>
      </c>
      <c r="X190" t="s">
        <v>222</v>
      </c>
      <c r="Y190" t="s">
        <v>72</v>
      </c>
      <c r="Z190" s="44">
        <v>93000</v>
      </c>
      <c r="AA190" s="42">
        <v>1</v>
      </c>
      <c r="AB190" s="48">
        <v>99.26</v>
      </c>
      <c r="AD190" s="44">
        <v>92.311999999999998</v>
      </c>
      <c r="AG190" t="s">
        <v>16</v>
      </c>
      <c r="AH190" s="45">
        <v>3.4E-5</v>
      </c>
      <c r="AI190" s="45">
        <v>2.4360406745583301E-2</v>
      </c>
      <c r="AJ190" s="45">
        <v>2.1581212179080599E-3</v>
      </c>
    </row>
    <row r="191" spans="1:36" x14ac:dyDescent="0.25">
      <c r="A191">
        <v>12904</v>
      </c>
      <c r="B191">
        <v>12905</v>
      </c>
      <c r="C191" t="s">
        <v>556</v>
      </c>
      <c r="D191" t="s">
        <v>557</v>
      </c>
      <c r="E191" t="s">
        <v>210</v>
      </c>
      <c r="F191" t="s">
        <v>565</v>
      </c>
      <c r="G191" t="s">
        <v>566</v>
      </c>
      <c r="H191" t="s">
        <v>213</v>
      </c>
      <c r="I191" t="s">
        <v>214</v>
      </c>
      <c r="J191" t="s">
        <v>71</v>
      </c>
      <c r="K191" t="s">
        <v>71</v>
      </c>
      <c r="L191" t="s">
        <v>216</v>
      </c>
      <c r="M191" t="s">
        <v>117</v>
      </c>
      <c r="N191" t="s">
        <v>258</v>
      </c>
      <c r="O191" t="s">
        <v>72</v>
      </c>
      <c r="P191" t="s">
        <v>560</v>
      </c>
      <c r="Q191" t="s">
        <v>74</v>
      </c>
      <c r="R191" t="s">
        <v>220</v>
      </c>
      <c r="S191" t="s">
        <v>81</v>
      </c>
      <c r="T191" s="44">
        <v>9.9939999999999998</v>
      </c>
      <c r="U191" t="s">
        <v>567</v>
      </c>
      <c r="V191" s="46">
        <v>1.6899999999999998E-2</v>
      </c>
      <c r="W191" s="45">
        <v>3.2899999999999999E-2</v>
      </c>
      <c r="X191" t="s">
        <v>222</v>
      </c>
      <c r="Y191" t="s">
        <v>72</v>
      </c>
      <c r="Z191" s="44">
        <v>45215</v>
      </c>
      <c r="AA191" s="42">
        <v>1</v>
      </c>
      <c r="AB191" s="48">
        <v>97.7</v>
      </c>
      <c r="AD191" s="44">
        <v>44.174999999999997</v>
      </c>
      <c r="AG191" t="s">
        <v>16</v>
      </c>
      <c r="AH191" s="45">
        <v>1.0000000000000001E-5</v>
      </c>
      <c r="AI191" s="45">
        <v>1.1657472910381101E-2</v>
      </c>
      <c r="AJ191" s="45">
        <v>1.03275121379667E-3</v>
      </c>
    </row>
    <row r="192" spans="1:36" x14ac:dyDescent="0.25">
      <c r="A192">
        <v>12904</v>
      </c>
      <c r="B192">
        <v>12905</v>
      </c>
      <c r="C192" t="s">
        <v>556</v>
      </c>
      <c r="D192" t="s">
        <v>557</v>
      </c>
      <c r="E192" t="s">
        <v>210</v>
      </c>
      <c r="F192" t="s">
        <v>568</v>
      </c>
      <c r="G192" t="s">
        <v>569</v>
      </c>
      <c r="H192" t="s">
        <v>213</v>
      </c>
      <c r="I192" t="s">
        <v>214</v>
      </c>
      <c r="J192" t="s">
        <v>71</v>
      </c>
      <c r="K192" t="s">
        <v>71</v>
      </c>
      <c r="L192" t="s">
        <v>216</v>
      </c>
      <c r="M192" t="s">
        <v>109</v>
      </c>
      <c r="N192" t="s">
        <v>258</v>
      </c>
      <c r="O192" t="s">
        <v>72</v>
      </c>
      <c r="P192" t="s">
        <v>560</v>
      </c>
      <c r="Q192" t="s">
        <v>219</v>
      </c>
      <c r="R192" t="s">
        <v>220</v>
      </c>
      <c r="S192" t="s">
        <v>81</v>
      </c>
      <c r="T192" s="44">
        <v>11.904</v>
      </c>
      <c r="U192" t="s">
        <v>570</v>
      </c>
      <c r="V192" s="46">
        <v>3.6700000000000003E-2</v>
      </c>
      <c r="W192" s="45">
        <v>3.4259999999999999E-2</v>
      </c>
      <c r="X192" t="s">
        <v>222</v>
      </c>
      <c r="Y192" t="s">
        <v>72</v>
      </c>
      <c r="Z192" s="44">
        <v>57000</v>
      </c>
      <c r="AA192" s="42">
        <v>1</v>
      </c>
      <c r="AB192" s="48">
        <v>105.88</v>
      </c>
      <c r="AD192" s="44">
        <v>60.351999999999997</v>
      </c>
      <c r="AG192" t="s">
        <v>16</v>
      </c>
      <c r="AH192" s="45">
        <v>1.7E-5</v>
      </c>
      <c r="AI192" s="45">
        <v>1.5926344451595E-2</v>
      </c>
      <c r="AJ192" s="45">
        <v>1.4109362886944E-3</v>
      </c>
    </row>
    <row r="193" spans="1:36" x14ac:dyDescent="0.25">
      <c r="A193">
        <v>12904</v>
      </c>
      <c r="B193">
        <v>12905</v>
      </c>
      <c r="C193" t="s">
        <v>88</v>
      </c>
      <c r="D193" t="s">
        <v>571</v>
      </c>
      <c r="E193" t="s">
        <v>210</v>
      </c>
      <c r="F193" t="s">
        <v>572</v>
      </c>
      <c r="G193" t="s">
        <v>573</v>
      </c>
      <c r="H193" t="s">
        <v>213</v>
      </c>
      <c r="I193" t="s">
        <v>214</v>
      </c>
      <c r="J193" t="s">
        <v>71</v>
      </c>
      <c r="K193" t="s">
        <v>71</v>
      </c>
      <c r="L193" t="s">
        <v>216</v>
      </c>
      <c r="M193" t="s">
        <v>117</v>
      </c>
      <c r="N193" t="s">
        <v>365</v>
      </c>
      <c r="O193" t="s">
        <v>72</v>
      </c>
      <c r="P193" t="s">
        <v>228</v>
      </c>
      <c r="Q193" t="s">
        <v>74</v>
      </c>
      <c r="R193" t="s">
        <v>220</v>
      </c>
      <c r="S193" t="s">
        <v>81</v>
      </c>
      <c r="T193" s="44">
        <v>4.3479999999999999</v>
      </c>
      <c r="U193" t="s">
        <v>574</v>
      </c>
      <c r="V193" s="46">
        <v>3.7100000000000001E-2</v>
      </c>
      <c r="W193" s="45">
        <v>3.031E-2</v>
      </c>
      <c r="X193" t="s">
        <v>222</v>
      </c>
      <c r="Y193" t="s">
        <v>72</v>
      </c>
      <c r="Z193" s="44">
        <v>50000</v>
      </c>
      <c r="AA193" s="42">
        <v>1</v>
      </c>
      <c r="AB193" s="48">
        <v>107.64</v>
      </c>
      <c r="AD193" s="44">
        <v>53.82</v>
      </c>
      <c r="AG193" t="s">
        <v>16</v>
      </c>
      <c r="AH193" s="45">
        <v>1.2999999999999999E-4</v>
      </c>
      <c r="AI193" s="45">
        <v>1.4202703132722899E-2</v>
      </c>
      <c r="AJ193" s="45">
        <v>1.25823658457328E-3</v>
      </c>
    </row>
    <row r="194" spans="1:36" x14ac:dyDescent="0.25">
      <c r="A194">
        <v>12904</v>
      </c>
      <c r="B194">
        <v>12905</v>
      </c>
      <c r="C194" t="s">
        <v>88</v>
      </c>
      <c r="D194" t="s">
        <v>571</v>
      </c>
      <c r="E194" t="s">
        <v>210</v>
      </c>
      <c r="F194" t="s">
        <v>575</v>
      </c>
      <c r="G194" t="s">
        <v>576</v>
      </c>
      <c r="H194" t="s">
        <v>213</v>
      </c>
      <c r="I194" t="s">
        <v>214</v>
      </c>
      <c r="J194" t="s">
        <v>71</v>
      </c>
      <c r="K194" t="s">
        <v>71</v>
      </c>
      <c r="L194" t="s">
        <v>216</v>
      </c>
      <c r="M194" t="s">
        <v>109</v>
      </c>
      <c r="N194" t="s">
        <v>365</v>
      </c>
      <c r="O194" t="s">
        <v>72</v>
      </c>
      <c r="P194" t="s">
        <v>228</v>
      </c>
      <c r="Q194" t="s">
        <v>74</v>
      </c>
      <c r="R194" t="s">
        <v>220</v>
      </c>
      <c r="S194" t="s">
        <v>81</v>
      </c>
      <c r="T194" s="44">
        <v>6.8019999999999996</v>
      </c>
      <c r="U194" t="s">
        <v>577</v>
      </c>
      <c r="V194" s="46">
        <v>3.4500000000000003E-2</v>
      </c>
      <c r="W194" s="45">
        <v>3.1910000000000001E-2</v>
      </c>
      <c r="X194" t="s">
        <v>222</v>
      </c>
      <c r="Y194" t="s">
        <v>72</v>
      </c>
      <c r="Z194" s="44">
        <v>63000</v>
      </c>
      <c r="AA194" s="42">
        <v>1</v>
      </c>
      <c r="AB194" s="48">
        <v>102.77</v>
      </c>
      <c r="AD194" s="44">
        <v>64.745000000000005</v>
      </c>
      <c r="AG194" t="s">
        <v>16</v>
      </c>
      <c r="AH194" s="45">
        <v>6.7999999999999999E-5</v>
      </c>
      <c r="AI194" s="45">
        <v>1.7085756867307001E-2</v>
      </c>
      <c r="AJ194" s="45">
        <v>1.51365019494343E-3</v>
      </c>
    </row>
    <row r="195" spans="1:36" x14ac:dyDescent="0.25">
      <c r="A195">
        <v>12904</v>
      </c>
      <c r="B195">
        <v>12905</v>
      </c>
      <c r="C195" t="s">
        <v>578</v>
      </c>
      <c r="D195" t="s">
        <v>579</v>
      </c>
      <c r="E195" t="s">
        <v>210</v>
      </c>
      <c r="F195" t="s">
        <v>580</v>
      </c>
      <c r="G195" t="s">
        <v>581</v>
      </c>
      <c r="H195" t="s">
        <v>213</v>
      </c>
      <c r="I195" t="s">
        <v>239</v>
      </c>
      <c r="J195" t="s">
        <v>71</v>
      </c>
      <c r="K195" t="s">
        <v>71</v>
      </c>
      <c r="L195" t="s">
        <v>216</v>
      </c>
      <c r="M195" t="s">
        <v>109</v>
      </c>
      <c r="N195" t="s">
        <v>234</v>
      </c>
      <c r="O195" t="s">
        <v>72</v>
      </c>
      <c r="P195" t="s">
        <v>228</v>
      </c>
      <c r="Q195" t="s">
        <v>74</v>
      </c>
      <c r="R195" t="s">
        <v>220</v>
      </c>
      <c r="S195" t="s">
        <v>81</v>
      </c>
      <c r="T195" s="44">
        <v>6.3479999999999999</v>
      </c>
      <c r="U195" t="s">
        <v>582</v>
      </c>
      <c r="V195" s="46">
        <v>5.8599999999999999E-2</v>
      </c>
      <c r="W195" s="45">
        <v>5.2040000000000003E-2</v>
      </c>
      <c r="X195" t="s">
        <v>222</v>
      </c>
      <c r="Y195" t="s">
        <v>72</v>
      </c>
      <c r="Z195" s="44">
        <v>44806</v>
      </c>
      <c r="AA195" s="42">
        <v>1</v>
      </c>
      <c r="AB195" s="48">
        <v>106.56</v>
      </c>
      <c r="AD195" s="44">
        <v>47.744999999999997</v>
      </c>
      <c r="AG195" t="s">
        <v>16</v>
      </c>
      <c r="AH195" s="45">
        <v>2.2499999999999999E-4</v>
      </c>
      <c r="AI195" s="45">
        <v>1.25996274048947E-2</v>
      </c>
      <c r="AJ195" s="45">
        <v>1.1162179484203001E-3</v>
      </c>
    </row>
    <row r="196" spans="1:36" x14ac:dyDescent="0.25">
      <c r="A196">
        <v>12904</v>
      </c>
      <c r="B196">
        <v>12905</v>
      </c>
      <c r="C196" t="s">
        <v>583</v>
      </c>
      <c r="D196" t="s">
        <v>584</v>
      </c>
      <c r="E196" t="s">
        <v>210</v>
      </c>
      <c r="F196" t="s">
        <v>585</v>
      </c>
      <c r="G196" t="s">
        <v>586</v>
      </c>
      <c r="H196" t="s">
        <v>213</v>
      </c>
      <c r="I196" t="s">
        <v>239</v>
      </c>
      <c r="J196" t="s">
        <v>71</v>
      </c>
      <c r="K196" t="s">
        <v>71</v>
      </c>
      <c r="L196" t="s">
        <v>216</v>
      </c>
      <c r="M196" t="s">
        <v>286</v>
      </c>
      <c r="N196" t="s">
        <v>217</v>
      </c>
      <c r="O196" t="s">
        <v>72</v>
      </c>
      <c r="P196" t="s">
        <v>218</v>
      </c>
      <c r="Q196" t="s">
        <v>219</v>
      </c>
      <c r="R196" t="s">
        <v>220</v>
      </c>
      <c r="S196" t="s">
        <v>81</v>
      </c>
      <c r="T196" s="44">
        <v>5.8659999999999997</v>
      </c>
      <c r="U196" t="s">
        <v>384</v>
      </c>
      <c r="V196" s="46">
        <v>5.5899999999999998E-2</v>
      </c>
      <c r="W196" s="45">
        <v>5.8259999999999999E-2</v>
      </c>
      <c r="X196" t="s">
        <v>222</v>
      </c>
      <c r="Y196" t="s">
        <v>72</v>
      </c>
      <c r="Z196" s="44">
        <v>73000</v>
      </c>
      <c r="AA196" s="42">
        <v>1</v>
      </c>
      <c r="AB196" s="48">
        <v>99.28</v>
      </c>
      <c r="AD196" s="44">
        <v>72.474000000000004</v>
      </c>
      <c r="AG196" t="s">
        <v>16</v>
      </c>
      <c r="AH196" s="45">
        <v>3.2600000000000001E-4</v>
      </c>
      <c r="AI196" s="45">
        <v>1.9125462428877998E-2</v>
      </c>
      <c r="AJ196" s="45">
        <v>1.69435045568558E-3</v>
      </c>
    </row>
    <row r="197" spans="1:36" x14ac:dyDescent="0.25">
      <c r="A197">
        <v>12904</v>
      </c>
      <c r="B197">
        <v>12905</v>
      </c>
      <c r="C197" t="s">
        <v>583</v>
      </c>
      <c r="D197" t="s">
        <v>584</v>
      </c>
      <c r="E197" t="s">
        <v>210</v>
      </c>
      <c r="F197" t="s">
        <v>587</v>
      </c>
      <c r="G197" t="s">
        <v>588</v>
      </c>
      <c r="H197" t="s">
        <v>213</v>
      </c>
      <c r="I197" t="s">
        <v>239</v>
      </c>
      <c r="J197" t="s">
        <v>71</v>
      </c>
      <c r="K197" t="s">
        <v>71</v>
      </c>
      <c r="L197" t="s">
        <v>216</v>
      </c>
      <c r="M197" t="s">
        <v>117</v>
      </c>
      <c r="N197" t="s">
        <v>217</v>
      </c>
      <c r="O197" t="s">
        <v>72</v>
      </c>
      <c r="P197" t="s">
        <v>218</v>
      </c>
      <c r="Q197" t="s">
        <v>219</v>
      </c>
      <c r="R197" t="s">
        <v>220</v>
      </c>
      <c r="S197" t="s">
        <v>81</v>
      </c>
      <c r="T197" s="44">
        <v>1.5649999999999999</v>
      </c>
      <c r="U197" t="s">
        <v>589</v>
      </c>
      <c r="V197" s="46">
        <v>2.6499999999999999E-2</v>
      </c>
      <c r="W197" s="45">
        <v>5.5599999999999997E-2</v>
      </c>
      <c r="X197" t="s">
        <v>222</v>
      </c>
      <c r="Y197" t="s">
        <v>72</v>
      </c>
      <c r="Z197" s="44">
        <v>28571.43</v>
      </c>
      <c r="AA197" s="42">
        <v>1</v>
      </c>
      <c r="AB197" s="48">
        <v>95.94</v>
      </c>
      <c r="AD197" s="44">
        <v>27.411000000000001</v>
      </c>
      <c r="AG197" t="s">
        <v>16</v>
      </c>
      <c r="AH197" s="45">
        <v>5.5999999999999999E-5</v>
      </c>
      <c r="AI197" s="45">
        <v>7.2336752491575403E-3</v>
      </c>
      <c r="AJ197" s="45">
        <v>6.4084102542719796E-4</v>
      </c>
    </row>
    <row r="198" spans="1:36" x14ac:dyDescent="0.25">
      <c r="A198">
        <v>12904</v>
      </c>
      <c r="B198">
        <v>12905</v>
      </c>
      <c r="C198" t="s">
        <v>590</v>
      </c>
      <c r="D198" t="s">
        <v>591</v>
      </c>
      <c r="E198" t="s">
        <v>210</v>
      </c>
      <c r="F198" t="s">
        <v>592</v>
      </c>
      <c r="G198" t="s">
        <v>593</v>
      </c>
      <c r="H198" t="s">
        <v>213</v>
      </c>
      <c r="I198" t="s">
        <v>214</v>
      </c>
      <c r="J198" t="s">
        <v>71</v>
      </c>
      <c r="K198" t="s">
        <v>71</v>
      </c>
      <c r="L198" t="s">
        <v>216</v>
      </c>
      <c r="M198" t="s">
        <v>117</v>
      </c>
      <c r="N198" t="s">
        <v>258</v>
      </c>
      <c r="O198" t="s">
        <v>72</v>
      </c>
      <c r="P198" t="s">
        <v>259</v>
      </c>
      <c r="Q198" t="s">
        <v>74</v>
      </c>
      <c r="R198" t="s">
        <v>220</v>
      </c>
      <c r="S198" t="s">
        <v>81</v>
      </c>
      <c r="T198" s="44">
        <v>6.2430000000000003</v>
      </c>
      <c r="U198" t="s">
        <v>594</v>
      </c>
      <c r="V198" s="46">
        <v>2.5000000000000001E-2</v>
      </c>
      <c r="W198" s="45">
        <v>3.1879999999999999E-2</v>
      </c>
      <c r="X198" t="s">
        <v>222</v>
      </c>
      <c r="Y198" t="s">
        <v>72</v>
      </c>
      <c r="Z198" s="44">
        <v>30000</v>
      </c>
      <c r="AA198" s="42">
        <v>1</v>
      </c>
      <c r="AB198" s="48">
        <v>111</v>
      </c>
      <c r="AD198" s="44">
        <v>33.299999999999997</v>
      </c>
      <c r="AG198" t="s">
        <v>16</v>
      </c>
      <c r="AH198" s="45">
        <v>2.9E-5</v>
      </c>
      <c r="AI198" s="45">
        <v>8.7876256841262403E-3</v>
      </c>
      <c r="AJ198" s="45">
        <v>7.7850758577276504E-4</v>
      </c>
    </row>
    <row r="199" spans="1:36" x14ac:dyDescent="0.25">
      <c r="A199">
        <v>12904</v>
      </c>
      <c r="B199">
        <v>12905</v>
      </c>
      <c r="C199" t="s">
        <v>599</v>
      </c>
      <c r="D199" t="s">
        <v>600</v>
      </c>
      <c r="E199" t="s">
        <v>540</v>
      </c>
      <c r="F199" t="s">
        <v>601</v>
      </c>
      <c r="G199" t="s">
        <v>602</v>
      </c>
      <c r="H199" t="s">
        <v>213</v>
      </c>
      <c r="I199" t="s">
        <v>603</v>
      </c>
      <c r="J199" t="s">
        <v>71</v>
      </c>
      <c r="K199" t="s">
        <v>604</v>
      </c>
      <c r="L199" t="s">
        <v>216</v>
      </c>
      <c r="M199" t="s">
        <v>117</v>
      </c>
      <c r="N199" t="s">
        <v>217</v>
      </c>
      <c r="O199" t="s">
        <v>72</v>
      </c>
      <c r="P199" t="s">
        <v>228</v>
      </c>
      <c r="Q199" t="s">
        <v>219</v>
      </c>
      <c r="R199" t="s">
        <v>220</v>
      </c>
      <c r="S199" t="s">
        <v>81</v>
      </c>
      <c r="T199" s="44">
        <v>2.6120000000000001</v>
      </c>
      <c r="U199" t="s">
        <v>605</v>
      </c>
      <c r="V199" s="46">
        <v>4.2999999999999997E-2</v>
      </c>
      <c r="W199" s="45">
        <v>8.6080000000000004E-2</v>
      </c>
      <c r="X199" t="s">
        <v>222</v>
      </c>
      <c r="Y199" t="s">
        <v>72</v>
      </c>
      <c r="Z199" s="44">
        <v>0.46</v>
      </c>
      <c r="AA199" s="42">
        <v>1</v>
      </c>
      <c r="AB199" s="48">
        <v>91.56</v>
      </c>
      <c r="AD199" s="44">
        <v>0</v>
      </c>
      <c r="AG199" t="s">
        <v>16</v>
      </c>
      <c r="AH199" s="45">
        <v>0</v>
      </c>
      <c r="AI199" s="45">
        <v>1.11145256310437E-7</v>
      </c>
      <c r="AJ199" s="45">
        <v>9.8465078361991002E-9</v>
      </c>
    </row>
    <row r="200" spans="1:36" x14ac:dyDescent="0.25">
      <c r="A200">
        <v>12904</v>
      </c>
      <c r="B200">
        <v>12905</v>
      </c>
      <c r="C200" t="s">
        <v>606</v>
      </c>
      <c r="D200" t="s">
        <v>607</v>
      </c>
      <c r="E200" t="s">
        <v>210</v>
      </c>
      <c r="F200" t="s">
        <v>608</v>
      </c>
      <c r="G200" t="s">
        <v>609</v>
      </c>
      <c r="H200" t="s">
        <v>213</v>
      </c>
      <c r="I200" t="s">
        <v>239</v>
      </c>
      <c r="J200" t="s">
        <v>71</v>
      </c>
      <c r="K200" t="s">
        <v>71</v>
      </c>
      <c r="L200" t="s">
        <v>216</v>
      </c>
      <c r="M200" t="s">
        <v>109</v>
      </c>
      <c r="N200" t="s">
        <v>610</v>
      </c>
      <c r="O200" t="s">
        <v>72</v>
      </c>
      <c r="P200" t="s">
        <v>246</v>
      </c>
      <c r="Q200" t="s">
        <v>219</v>
      </c>
      <c r="R200" t="s">
        <v>220</v>
      </c>
      <c r="S200" t="s">
        <v>81</v>
      </c>
      <c r="T200" s="44">
        <v>4.7789999999999999</v>
      </c>
      <c r="U200" t="s">
        <v>348</v>
      </c>
      <c r="V200" s="46">
        <v>5.8500000000000003E-2</v>
      </c>
      <c r="W200" s="45">
        <v>5.2679999999999998E-2</v>
      </c>
      <c r="X200" t="s">
        <v>222</v>
      </c>
      <c r="Y200" t="s">
        <v>72</v>
      </c>
      <c r="Z200" s="44">
        <v>26000</v>
      </c>
      <c r="AA200" s="42">
        <v>1</v>
      </c>
      <c r="AB200" s="48">
        <v>106.89</v>
      </c>
      <c r="AD200" s="44">
        <v>27.791</v>
      </c>
      <c r="AG200" t="s">
        <v>16</v>
      </c>
      <c r="AH200" s="45">
        <v>1.6799999999999999E-4</v>
      </c>
      <c r="AI200" s="45">
        <v>7.3339465596944696E-3</v>
      </c>
      <c r="AJ200" s="45">
        <v>6.4972419577312998E-4</v>
      </c>
    </row>
    <row r="201" spans="1:36" x14ac:dyDescent="0.25">
      <c r="A201">
        <v>12904</v>
      </c>
      <c r="B201">
        <v>13680</v>
      </c>
      <c r="C201" t="s">
        <v>268</v>
      </c>
      <c r="D201" t="s">
        <v>269</v>
      </c>
      <c r="E201" t="s">
        <v>210</v>
      </c>
      <c r="F201" t="s">
        <v>274</v>
      </c>
      <c r="G201" t="s">
        <v>275</v>
      </c>
      <c r="H201" t="s">
        <v>213</v>
      </c>
      <c r="I201" t="s">
        <v>239</v>
      </c>
      <c r="J201" t="s">
        <v>71</v>
      </c>
      <c r="K201" t="s">
        <v>71</v>
      </c>
      <c r="L201" t="s">
        <v>216</v>
      </c>
      <c r="M201" t="s">
        <v>117</v>
      </c>
      <c r="N201" t="s">
        <v>272</v>
      </c>
      <c r="O201" t="s">
        <v>72</v>
      </c>
      <c r="P201" t="s">
        <v>246</v>
      </c>
      <c r="Q201" t="s">
        <v>74</v>
      </c>
      <c r="R201" t="s">
        <v>220</v>
      </c>
      <c r="S201" t="s">
        <v>81</v>
      </c>
      <c r="T201" s="44">
        <v>4.9290000000000003</v>
      </c>
      <c r="U201" t="s">
        <v>276</v>
      </c>
      <c r="V201" s="46">
        <v>2.07E-2</v>
      </c>
      <c r="W201" s="45">
        <v>5.3780000000000001E-2</v>
      </c>
      <c r="X201" t="s">
        <v>222</v>
      </c>
      <c r="Y201" t="s">
        <v>72</v>
      </c>
      <c r="Z201" s="44">
        <v>50044.15</v>
      </c>
      <c r="AA201" s="42">
        <v>1</v>
      </c>
      <c r="AB201" s="48">
        <v>85.61</v>
      </c>
      <c r="AD201" s="44">
        <v>42.843000000000004</v>
      </c>
      <c r="AG201" t="s">
        <v>16</v>
      </c>
      <c r="AH201" s="45">
        <v>6.8999999999999997E-5</v>
      </c>
      <c r="AI201" s="45">
        <v>5.11229986301188E-2</v>
      </c>
      <c r="AJ201" s="45">
        <v>9.2143264899508795E-4</v>
      </c>
    </row>
    <row r="202" spans="1:36" x14ac:dyDescent="0.25">
      <c r="A202">
        <v>12904</v>
      </c>
      <c r="B202">
        <v>13680</v>
      </c>
      <c r="C202" t="s">
        <v>277</v>
      </c>
      <c r="D202" t="s">
        <v>278</v>
      </c>
      <c r="E202" t="s">
        <v>210</v>
      </c>
      <c r="F202" t="s">
        <v>279</v>
      </c>
      <c r="G202" t="s">
        <v>280</v>
      </c>
      <c r="H202" t="s">
        <v>213</v>
      </c>
      <c r="I202" t="s">
        <v>239</v>
      </c>
      <c r="J202" t="s">
        <v>71</v>
      </c>
      <c r="K202" t="s">
        <v>71</v>
      </c>
      <c r="L202" t="s">
        <v>216</v>
      </c>
      <c r="M202" t="s">
        <v>117</v>
      </c>
      <c r="N202" t="s">
        <v>217</v>
      </c>
      <c r="O202" t="s">
        <v>72</v>
      </c>
      <c r="P202" t="s">
        <v>235</v>
      </c>
      <c r="Q202" t="s">
        <v>219</v>
      </c>
      <c r="R202" t="s">
        <v>220</v>
      </c>
      <c r="S202" t="s">
        <v>81</v>
      </c>
      <c r="T202" s="44">
        <v>4.1399999999999997</v>
      </c>
      <c r="U202" t="s">
        <v>281</v>
      </c>
      <c r="V202" s="46">
        <v>6.0699999999999997E-2</v>
      </c>
      <c r="W202" s="45">
        <v>5.9700000000000003E-2</v>
      </c>
      <c r="X202" t="s">
        <v>222</v>
      </c>
      <c r="Y202" t="s">
        <v>72</v>
      </c>
      <c r="Z202" s="44">
        <v>37736</v>
      </c>
      <c r="AA202" s="42">
        <v>1</v>
      </c>
      <c r="AB202" s="48">
        <v>102.73</v>
      </c>
      <c r="AD202" s="44">
        <v>38.765999999999998</v>
      </c>
      <c r="AG202" t="s">
        <v>16</v>
      </c>
      <c r="AH202" s="45">
        <v>9.0000000000000006E-5</v>
      </c>
      <c r="AI202" s="45">
        <v>4.6258511785940301E-2</v>
      </c>
      <c r="AJ202" s="45">
        <v>8.3375592581882898E-4</v>
      </c>
    </row>
    <row r="203" spans="1:36" x14ac:dyDescent="0.25">
      <c r="A203">
        <v>12904</v>
      </c>
      <c r="B203">
        <v>13680</v>
      </c>
      <c r="C203" t="s">
        <v>282</v>
      </c>
      <c r="D203" t="s">
        <v>283</v>
      </c>
      <c r="E203" t="s">
        <v>210</v>
      </c>
      <c r="F203" t="s">
        <v>289</v>
      </c>
      <c r="G203" t="s">
        <v>290</v>
      </c>
      <c r="H203" t="s">
        <v>213</v>
      </c>
      <c r="I203" t="s">
        <v>239</v>
      </c>
      <c r="J203" t="s">
        <v>71</v>
      </c>
      <c r="K203" t="s">
        <v>291</v>
      </c>
      <c r="L203" t="s">
        <v>216</v>
      </c>
      <c r="M203" t="s">
        <v>117</v>
      </c>
      <c r="N203" t="s">
        <v>287</v>
      </c>
      <c r="O203" t="s">
        <v>72</v>
      </c>
      <c r="P203" t="s">
        <v>218</v>
      </c>
      <c r="Q203" t="s">
        <v>219</v>
      </c>
      <c r="R203" t="s">
        <v>220</v>
      </c>
      <c r="S203" t="s">
        <v>81</v>
      </c>
      <c r="T203" s="44">
        <v>3.2930000000000001</v>
      </c>
      <c r="U203" t="s">
        <v>292</v>
      </c>
      <c r="V203" s="46">
        <v>1.4999999999999999E-2</v>
      </c>
      <c r="W203" s="45">
        <v>5.5910000000000001E-2</v>
      </c>
      <c r="X203" t="s">
        <v>222</v>
      </c>
      <c r="Y203" t="s">
        <v>72</v>
      </c>
      <c r="Z203" s="44">
        <v>63566</v>
      </c>
      <c r="AA203" s="42">
        <v>1</v>
      </c>
      <c r="AB203" s="48">
        <v>87.84</v>
      </c>
      <c r="AD203" s="44">
        <v>55.835999999999999</v>
      </c>
      <c r="AG203" t="s">
        <v>16</v>
      </c>
      <c r="AH203" s="45">
        <v>5.3999999999999998E-5</v>
      </c>
      <c r="AI203" s="45">
        <v>6.6627837213526206E-2</v>
      </c>
      <c r="AJ203" s="45">
        <v>1.2008893489339201E-3</v>
      </c>
    </row>
    <row r="204" spans="1:36" x14ac:dyDescent="0.25">
      <c r="A204">
        <v>12904</v>
      </c>
      <c r="B204">
        <v>13680</v>
      </c>
      <c r="C204" t="s">
        <v>293</v>
      </c>
      <c r="D204" t="s">
        <v>294</v>
      </c>
      <c r="E204" t="s">
        <v>210</v>
      </c>
      <c r="F204" t="s">
        <v>295</v>
      </c>
      <c r="G204" t="s">
        <v>296</v>
      </c>
      <c r="H204" t="s">
        <v>213</v>
      </c>
      <c r="I204" t="s">
        <v>239</v>
      </c>
      <c r="J204" t="s">
        <v>71</v>
      </c>
      <c r="K204" t="s">
        <v>71</v>
      </c>
      <c r="L204" t="s">
        <v>216</v>
      </c>
      <c r="M204" t="s">
        <v>117</v>
      </c>
      <c r="N204" t="s">
        <v>287</v>
      </c>
      <c r="O204" t="s">
        <v>72</v>
      </c>
      <c r="P204" t="s">
        <v>218</v>
      </c>
      <c r="Q204" t="s">
        <v>74</v>
      </c>
      <c r="R204" t="s">
        <v>220</v>
      </c>
      <c r="S204" t="s">
        <v>81</v>
      </c>
      <c r="T204" s="44">
        <v>2.6560000000000001</v>
      </c>
      <c r="U204" t="s">
        <v>297</v>
      </c>
      <c r="V204" s="46">
        <v>2.0500000000000001E-2</v>
      </c>
      <c r="W204" s="45">
        <v>5.4919999999999997E-2</v>
      </c>
      <c r="X204" t="s">
        <v>222</v>
      </c>
      <c r="Y204" t="s">
        <v>72</v>
      </c>
      <c r="Z204" s="44">
        <v>45000</v>
      </c>
      <c r="AA204" s="42">
        <v>1</v>
      </c>
      <c r="AB204" s="48">
        <v>91.77</v>
      </c>
      <c r="AD204" s="44">
        <v>41.296999999999997</v>
      </c>
      <c r="AG204" t="s">
        <v>16</v>
      </c>
      <c r="AH204" s="45">
        <v>4.6999999999999997E-5</v>
      </c>
      <c r="AI204" s="45">
        <v>4.9277849950952197E-2</v>
      </c>
      <c r="AJ204" s="45">
        <v>8.8817598798552298E-4</v>
      </c>
    </row>
    <row r="205" spans="1:36" x14ac:dyDescent="0.25">
      <c r="A205">
        <v>12904</v>
      </c>
      <c r="B205">
        <v>13680</v>
      </c>
      <c r="C205" t="s">
        <v>298</v>
      </c>
      <c r="D205" t="s">
        <v>299</v>
      </c>
      <c r="E205" t="s">
        <v>210</v>
      </c>
      <c r="F205" t="s">
        <v>306</v>
      </c>
      <c r="G205" t="s">
        <v>307</v>
      </c>
      <c r="H205" t="s">
        <v>213</v>
      </c>
      <c r="I205" t="s">
        <v>214</v>
      </c>
      <c r="J205" t="s">
        <v>71</v>
      </c>
      <c r="K205" t="s">
        <v>71</v>
      </c>
      <c r="L205" t="s">
        <v>216</v>
      </c>
      <c r="M205" t="s">
        <v>109</v>
      </c>
      <c r="N205" t="s">
        <v>217</v>
      </c>
      <c r="O205" t="s">
        <v>72</v>
      </c>
      <c r="P205" t="s">
        <v>246</v>
      </c>
      <c r="Q205" t="s">
        <v>74</v>
      </c>
      <c r="R205" t="s">
        <v>220</v>
      </c>
      <c r="S205" t="s">
        <v>81</v>
      </c>
      <c r="T205" s="44">
        <v>6.8319999999999999</v>
      </c>
      <c r="U205" t="s">
        <v>308</v>
      </c>
      <c r="V205" s="46">
        <v>4.02E-2</v>
      </c>
      <c r="W205" s="45">
        <v>3.5560000000000001E-2</v>
      </c>
      <c r="X205" t="s">
        <v>222</v>
      </c>
      <c r="Y205" t="s">
        <v>72</v>
      </c>
      <c r="Z205" s="44">
        <v>30000</v>
      </c>
      <c r="AA205" s="42">
        <v>1</v>
      </c>
      <c r="AB205" s="48">
        <v>104.52</v>
      </c>
      <c r="AD205" s="44">
        <v>31.356000000000002</v>
      </c>
      <c r="AG205" t="s">
        <v>16</v>
      </c>
      <c r="AH205" s="45">
        <v>3.6999999999999998E-5</v>
      </c>
      <c r="AI205" s="45">
        <v>3.7416155438404097E-2</v>
      </c>
      <c r="AJ205" s="45">
        <v>6.74382726847894E-4</v>
      </c>
    </row>
    <row r="206" spans="1:36" x14ac:dyDescent="0.25">
      <c r="A206">
        <v>12904</v>
      </c>
      <c r="B206">
        <v>13680</v>
      </c>
      <c r="C206" t="s">
        <v>312</v>
      </c>
      <c r="D206" t="s">
        <v>313</v>
      </c>
      <c r="E206" t="s">
        <v>210</v>
      </c>
      <c r="F206" t="s">
        <v>314</v>
      </c>
      <c r="G206" t="s">
        <v>315</v>
      </c>
      <c r="H206" t="s">
        <v>213</v>
      </c>
      <c r="I206" t="s">
        <v>214</v>
      </c>
      <c r="J206" t="s">
        <v>71</v>
      </c>
      <c r="K206" t="s">
        <v>71</v>
      </c>
      <c r="L206" t="s">
        <v>216</v>
      </c>
      <c r="M206" t="s">
        <v>117</v>
      </c>
      <c r="N206" t="s">
        <v>258</v>
      </c>
      <c r="O206" t="s">
        <v>72</v>
      </c>
      <c r="P206" t="s">
        <v>218</v>
      </c>
      <c r="Q206" t="s">
        <v>74</v>
      </c>
      <c r="R206" t="s">
        <v>220</v>
      </c>
      <c r="S206" t="s">
        <v>81</v>
      </c>
      <c r="T206" s="44">
        <v>5.7060000000000004</v>
      </c>
      <c r="U206" t="s">
        <v>316</v>
      </c>
      <c r="V206" s="46">
        <v>3.6799999999999999E-2</v>
      </c>
      <c r="W206" s="45">
        <v>3.5349999999999999E-2</v>
      </c>
      <c r="X206" t="s">
        <v>222</v>
      </c>
      <c r="Y206" t="s">
        <v>72</v>
      </c>
      <c r="Z206" s="44">
        <v>38000</v>
      </c>
      <c r="AA206" s="42">
        <v>1</v>
      </c>
      <c r="AB206" s="48">
        <v>105.69</v>
      </c>
      <c r="AD206" s="44">
        <v>40.161999999999999</v>
      </c>
      <c r="AG206" t="s">
        <v>16</v>
      </c>
      <c r="AH206" s="45">
        <v>8.6000000000000003E-5</v>
      </c>
      <c r="AI206" s="45">
        <v>4.7924324465756903E-2</v>
      </c>
      <c r="AJ206" s="45">
        <v>8.6378026381587201E-4</v>
      </c>
    </row>
    <row r="207" spans="1:36" x14ac:dyDescent="0.25">
      <c r="A207">
        <v>12904</v>
      </c>
      <c r="B207">
        <v>13680</v>
      </c>
      <c r="C207" t="s">
        <v>331</v>
      </c>
      <c r="D207" t="s">
        <v>332</v>
      </c>
      <c r="E207" t="s">
        <v>210</v>
      </c>
      <c r="F207" t="s">
        <v>338</v>
      </c>
      <c r="G207" t="s">
        <v>339</v>
      </c>
      <c r="H207" t="s">
        <v>213</v>
      </c>
      <c r="I207" t="s">
        <v>214</v>
      </c>
      <c r="J207" t="s">
        <v>71</v>
      </c>
      <c r="K207" t="s">
        <v>71</v>
      </c>
      <c r="L207" t="s">
        <v>216</v>
      </c>
      <c r="M207" t="s">
        <v>117</v>
      </c>
      <c r="N207" t="s">
        <v>258</v>
      </c>
      <c r="O207" t="s">
        <v>72</v>
      </c>
      <c r="P207" t="s">
        <v>228</v>
      </c>
      <c r="Q207" t="s">
        <v>74</v>
      </c>
      <c r="R207" t="s">
        <v>220</v>
      </c>
      <c r="S207" t="s">
        <v>81</v>
      </c>
      <c r="T207" s="44">
        <v>4.8780000000000001</v>
      </c>
      <c r="U207" t="s">
        <v>340</v>
      </c>
      <c r="V207" s="46">
        <v>1.8700000000000001E-2</v>
      </c>
      <c r="W207" s="45">
        <v>3.1629999999999998E-2</v>
      </c>
      <c r="X207" t="s">
        <v>222</v>
      </c>
      <c r="Y207" t="s">
        <v>72</v>
      </c>
      <c r="Z207" s="44">
        <v>50000</v>
      </c>
      <c r="AA207" s="42">
        <v>1</v>
      </c>
      <c r="AB207" s="48">
        <v>105.08</v>
      </c>
      <c r="AD207" s="44">
        <v>52.54</v>
      </c>
      <c r="AG207" t="s">
        <v>16</v>
      </c>
      <c r="AH207" s="45">
        <v>4.8999999999999998E-5</v>
      </c>
      <c r="AI207" s="45">
        <v>6.2694374497185595E-2</v>
      </c>
      <c r="AJ207" s="45">
        <v>1.1299932538776699E-3</v>
      </c>
    </row>
    <row r="208" spans="1:36" x14ac:dyDescent="0.25">
      <c r="A208">
        <v>12904</v>
      </c>
      <c r="B208">
        <v>13680</v>
      </c>
      <c r="C208" t="s">
        <v>402</v>
      </c>
      <c r="D208" t="s">
        <v>403</v>
      </c>
      <c r="E208" t="s">
        <v>210</v>
      </c>
      <c r="F208" t="s">
        <v>407</v>
      </c>
      <c r="G208" t="s">
        <v>408</v>
      </c>
      <c r="H208" t="s">
        <v>213</v>
      </c>
      <c r="I208" t="s">
        <v>214</v>
      </c>
      <c r="J208" t="s">
        <v>71</v>
      </c>
      <c r="K208" t="s">
        <v>71</v>
      </c>
      <c r="L208" t="s">
        <v>216</v>
      </c>
      <c r="M208" t="s">
        <v>117</v>
      </c>
      <c r="N208" t="s">
        <v>234</v>
      </c>
      <c r="O208" t="s">
        <v>72</v>
      </c>
      <c r="P208" t="s">
        <v>73</v>
      </c>
      <c r="Q208" t="s">
        <v>74</v>
      </c>
      <c r="R208" t="s">
        <v>220</v>
      </c>
      <c r="S208" t="s">
        <v>81</v>
      </c>
      <c r="T208" s="44">
        <v>7.2709999999999999</v>
      </c>
      <c r="U208" t="s">
        <v>409</v>
      </c>
      <c r="V208" s="46">
        <v>0.03</v>
      </c>
      <c r="W208" s="45">
        <v>2.9510000000000002E-2</v>
      </c>
      <c r="X208" t="s">
        <v>222</v>
      </c>
      <c r="Y208" t="s">
        <v>72</v>
      </c>
      <c r="Z208" s="44">
        <v>48000</v>
      </c>
      <c r="AA208" s="42">
        <v>1</v>
      </c>
      <c r="AB208" s="48">
        <v>106.29</v>
      </c>
      <c r="AD208" s="44">
        <v>51.018999999999998</v>
      </c>
      <c r="AG208" t="s">
        <v>16</v>
      </c>
      <c r="AH208" s="45">
        <v>1.2E-5</v>
      </c>
      <c r="AI208" s="45">
        <v>6.0879650387263298E-2</v>
      </c>
      <c r="AJ208" s="45">
        <v>1.0972849603775401E-3</v>
      </c>
    </row>
    <row r="209" spans="1:36" x14ac:dyDescent="0.25">
      <c r="A209">
        <v>12904</v>
      </c>
      <c r="B209">
        <v>13680</v>
      </c>
      <c r="C209" t="s">
        <v>402</v>
      </c>
      <c r="D209" t="s">
        <v>403</v>
      </c>
      <c r="E209" t="s">
        <v>210</v>
      </c>
      <c r="F209" t="s">
        <v>410</v>
      </c>
      <c r="G209" t="s">
        <v>411</v>
      </c>
      <c r="H209" t="s">
        <v>213</v>
      </c>
      <c r="I209" t="s">
        <v>214</v>
      </c>
      <c r="J209" t="s">
        <v>71</v>
      </c>
      <c r="K209" t="s">
        <v>71</v>
      </c>
      <c r="L209" t="s">
        <v>216</v>
      </c>
      <c r="M209" t="s">
        <v>117</v>
      </c>
      <c r="N209" t="s">
        <v>234</v>
      </c>
      <c r="O209" t="s">
        <v>72</v>
      </c>
      <c r="P209" t="s">
        <v>73</v>
      </c>
      <c r="Q209" t="s">
        <v>74</v>
      </c>
      <c r="R209" t="s">
        <v>220</v>
      </c>
      <c r="S209" t="s">
        <v>81</v>
      </c>
      <c r="T209" s="44">
        <v>10.119999999999999</v>
      </c>
      <c r="U209" t="s">
        <v>412</v>
      </c>
      <c r="V209" s="46">
        <v>3.2000000000000001E-2</v>
      </c>
      <c r="W209" s="45">
        <v>3.1019999999999999E-2</v>
      </c>
      <c r="X209" t="s">
        <v>222</v>
      </c>
      <c r="Y209" t="s">
        <v>72</v>
      </c>
      <c r="Z209" s="44">
        <v>48000</v>
      </c>
      <c r="AA209" s="42">
        <v>1</v>
      </c>
      <c r="AB209" s="48">
        <v>107.1</v>
      </c>
      <c r="AD209" s="44">
        <v>51.408000000000001</v>
      </c>
      <c r="AG209" t="s">
        <v>16</v>
      </c>
      <c r="AH209" s="45">
        <v>1.0000000000000001E-5</v>
      </c>
      <c r="AI209" s="45">
        <v>6.1343593531620097E-2</v>
      </c>
      <c r="AJ209" s="45">
        <v>1.1056469964854101E-3</v>
      </c>
    </row>
    <row r="210" spans="1:36" x14ac:dyDescent="0.25">
      <c r="A210">
        <v>12904</v>
      </c>
      <c r="B210">
        <v>13680</v>
      </c>
      <c r="C210" t="s">
        <v>483</v>
      </c>
      <c r="D210" t="s">
        <v>484</v>
      </c>
      <c r="E210" t="s">
        <v>210</v>
      </c>
      <c r="F210" t="s">
        <v>485</v>
      </c>
      <c r="G210" t="s">
        <v>486</v>
      </c>
      <c r="H210" t="s">
        <v>213</v>
      </c>
      <c r="I210" t="s">
        <v>214</v>
      </c>
      <c r="J210" t="s">
        <v>71</v>
      </c>
      <c r="K210" t="s">
        <v>71</v>
      </c>
      <c r="L210" t="s">
        <v>216</v>
      </c>
      <c r="M210" t="s">
        <v>117</v>
      </c>
      <c r="N210" t="s">
        <v>258</v>
      </c>
      <c r="O210" t="s">
        <v>72</v>
      </c>
      <c r="P210" t="s">
        <v>259</v>
      </c>
      <c r="Q210" t="s">
        <v>74</v>
      </c>
      <c r="R210" t="s">
        <v>220</v>
      </c>
      <c r="S210" t="s">
        <v>81</v>
      </c>
      <c r="T210" s="44">
        <v>5.726</v>
      </c>
      <c r="U210" t="s">
        <v>487</v>
      </c>
      <c r="V210" s="46">
        <v>3.61E-2</v>
      </c>
      <c r="W210" s="45">
        <v>3.0759999999999999E-2</v>
      </c>
      <c r="X210" t="s">
        <v>222</v>
      </c>
      <c r="Y210" t="s">
        <v>72</v>
      </c>
      <c r="Z210" s="44">
        <v>39897.96</v>
      </c>
      <c r="AA210" s="42">
        <v>1</v>
      </c>
      <c r="AB210" s="48">
        <v>110.37</v>
      </c>
      <c r="AD210" s="44">
        <v>44.034999999999997</v>
      </c>
      <c r="AG210" t="s">
        <v>16</v>
      </c>
      <c r="AH210" s="45">
        <v>2.5000000000000001E-5</v>
      </c>
      <c r="AI210" s="45">
        <v>5.2546069809573402E-2</v>
      </c>
      <c r="AJ210" s="45">
        <v>9.4708185349657995E-4</v>
      </c>
    </row>
    <row r="211" spans="1:36" x14ac:dyDescent="0.25">
      <c r="A211">
        <v>12904</v>
      </c>
      <c r="B211">
        <v>13680</v>
      </c>
      <c r="C211" t="s">
        <v>517</v>
      </c>
      <c r="D211" t="s">
        <v>518</v>
      </c>
      <c r="E211" t="s">
        <v>420</v>
      </c>
      <c r="F211" t="s">
        <v>519</v>
      </c>
      <c r="G211" t="s">
        <v>520</v>
      </c>
      <c r="H211" t="s">
        <v>213</v>
      </c>
      <c r="I211" t="s">
        <v>239</v>
      </c>
      <c r="J211" t="s">
        <v>71</v>
      </c>
      <c r="K211" t="s">
        <v>71</v>
      </c>
      <c r="L211" t="s">
        <v>216</v>
      </c>
      <c r="M211" t="s">
        <v>109</v>
      </c>
      <c r="N211" t="s">
        <v>423</v>
      </c>
      <c r="O211" t="s">
        <v>72</v>
      </c>
      <c r="P211" t="s">
        <v>235</v>
      </c>
      <c r="Q211" t="s">
        <v>74</v>
      </c>
      <c r="R211" t="s">
        <v>220</v>
      </c>
      <c r="S211" t="s">
        <v>81</v>
      </c>
      <c r="T211" s="44">
        <v>3.3740000000000001</v>
      </c>
      <c r="U211" t="s">
        <v>521</v>
      </c>
      <c r="V211" s="46">
        <v>6.7000000000000004E-2</v>
      </c>
      <c r="W211" s="45">
        <v>5.6849999999999998E-2</v>
      </c>
      <c r="X211" t="s">
        <v>222</v>
      </c>
      <c r="Y211" t="s">
        <v>72</v>
      </c>
      <c r="Z211" s="44">
        <v>25000</v>
      </c>
      <c r="AA211" s="42">
        <v>1</v>
      </c>
      <c r="AB211" s="48">
        <v>103.63</v>
      </c>
      <c r="AD211" s="44">
        <v>25.907</v>
      </c>
      <c r="AG211" t="s">
        <v>16</v>
      </c>
      <c r="AH211" s="45">
        <v>2.6999999999999999E-5</v>
      </c>
      <c r="AI211" s="45">
        <v>3.0914627089566701E-2</v>
      </c>
      <c r="AJ211" s="45">
        <v>5.5720023267673898E-4</v>
      </c>
    </row>
    <row r="212" spans="1:36" x14ac:dyDescent="0.25">
      <c r="A212">
        <v>12904</v>
      </c>
      <c r="B212">
        <v>13680</v>
      </c>
      <c r="C212" t="s">
        <v>538</v>
      </c>
      <c r="D212" t="s">
        <v>539</v>
      </c>
      <c r="E212" t="s">
        <v>540</v>
      </c>
      <c r="F212" t="s">
        <v>541</v>
      </c>
      <c r="G212" t="s">
        <v>542</v>
      </c>
      <c r="H212" t="s">
        <v>213</v>
      </c>
      <c r="I212" t="s">
        <v>239</v>
      </c>
      <c r="J212" t="s">
        <v>71</v>
      </c>
      <c r="K212" t="s">
        <v>71</v>
      </c>
      <c r="L212" t="s">
        <v>216</v>
      </c>
      <c r="M212" t="s">
        <v>109</v>
      </c>
      <c r="N212" t="s">
        <v>217</v>
      </c>
      <c r="O212" t="s">
        <v>72</v>
      </c>
      <c r="P212" t="s">
        <v>259</v>
      </c>
      <c r="Q212" t="s">
        <v>74</v>
      </c>
      <c r="R212" t="s">
        <v>220</v>
      </c>
      <c r="S212" t="s">
        <v>81</v>
      </c>
      <c r="T212" s="44">
        <v>3.5379999999999998</v>
      </c>
      <c r="U212" t="s">
        <v>543</v>
      </c>
      <c r="V212" s="46">
        <v>6.25E-2</v>
      </c>
      <c r="W212" s="45">
        <v>5.7919999999999999E-2</v>
      </c>
      <c r="X212" t="s">
        <v>222</v>
      </c>
      <c r="Y212" t="s">
        <v>72</v>
      </c>
      <c r="Z212" s="44">
        <v>45528</v>
      </c>
      <c r="AA212" s="42">
        <v>1</v>
      </c>
      <c r="AB212" s="48">
        <v>104.79</v>
      </c>
      <c r="AD212" s="44">
        <v>47.709000000000003</v>
      </c>
      <c r="AG212" t="s">
        <v>16</v>
      </c>
      <c r="AH212" s="45">
        <v>8.2999999999999998E-5</v>
      </c>
      <c r="AI212" s="45">
        <v>5.6929440850796202E-2</v>
      </c>
      <c r="AJ212" s="45">
        <v>1.0260870233471399E-3</v>
      </c>
    </row>
    <row r="213" spans="1:36" x14ac:dyDescent="0.25">
      <c r="A213">
        <v>12904</v>
      </c>
      <c r="B213">
        <v>13680</v>
      </c>
      <c r="C213" t="s">
        <v>544</v>
      </c>
      <c r="D213" t="s">
        <v>545</v>
      </c>
      <c r="E213" t="s">
        <v>540</v>
      </c>
      <c r="F213" t="s">
        <v>546</v>
      </c>
      <c r="G213" t="s">
        <v>547</v>
      </c>
      <c r="H213" t="s">
        <v>213</v>
      </c>
      <c r="I213" t="s">
        <v>239</v>
      </c>
      <c r="J213" t="s">
        <v>71</v>
      </c>
      <c r="K213" t="s">
        <v>291</v>
      </c>
      <c r="L213" t="s">
        <v>216</v>
      </c>
      <c r="M213" t="s">
        <v>117</v>
      </c>
      <c r="N213" t="s">
        <v>217</v>
      </c>
      <c r="O213" t="s">
        <v>72</v>
      </c>
      <c r="P213" t="s">
        <v>259</v>
      </c>
      <c r="Q213" t="s">
        <v>74</v>
      </c>
      <c r="R213" t="s">
        <v>220</v>
      </c>
      <c r="S213" t="s">
        <v>81</v>
      </c>
      <c r="T213" s="44">
        <v>1.675</v>
      </c>
      <c r="U213" t="s">
        <v>391</v>
      </c>
      <c r="V213" s="46">
        <v>3.49E-2</v>
      </c>
      <c r="W213" s="45">
        <v>5.8569999999999997E-2</v>
      </c>
      <c r="X213" t="s">
        <v>222</v>
      </c>
      <c r="Y213" t="s">
        <v>72</v>
      </c>
      <c r="Z213" s="44">
        <v>64198</v>
      </c>
      <c r="AA213" s="42">
        <v>1</v>
      </c>
      <c r="AB213" s="48">
        <v>97.15</v>
      </c>
      <c r="AD213" s="44">
        <v>62.368000000000002</v>
      </c>
      <c r="AG213" t="s">
        <v>16</v>
      </c>
      <c r="AH213" s="45">
        <v>6.7999999999999999E-5</v>
      </c>
      <c r="AI213" s="45">
        <v>7.4422252198937403E-2</v>
      </c>
      <c r="AJ213" s="45">
        <v>1.3413746224863799E-3</v>
      </c>
    </row>
    <row r="214" spans="1:36" x14ac:dyDescent="0.25">
      <c r="A214">
        <v>12904</v>
      </c>
      <c r="B214">
        <v>13680</v>
      </c>
      <c r="C214" t="s">
        <v>544</v>
      </c>
      <c r="D214" t="s">
        <v>545</v>
      </c>
      <c r="E214" t="s">
        <v>540</v>
      </c>
      <c r="F214" t="s">
        <v>548</v>
      </c>
      <c r="G214" t="s">
        <v>549</v>
      </c>
      <c r="H214" t="s">
        <v>213</v>
      </c>
      <c r="I214" t="s">
        <v>239</v>
      </c>
      <c r="J214" t="s">
        <v>71</v>
      </c>
      <c r="K214" t="s">
        <v>291</v>
      </c>
      <c r="L214" t="s">
        <v>216</v>
      </c>
      <c r="M214" t="s">
        <v>109</v>
      </c>
      <c r="N214" t="s">
        <v>217</v>
      </c>
      <c r="O214" t="s">
        <v>72</v>
      </c>
      <c r="P214" t="s">
        <v>259</v>
      </c>
      <c r="Q214" t="s">
        <v>74</v>
      </c>
      <c r="R214" t="s">
        <v>220</v>
      </c>
      <c r="S214" t="s">
        <v>81</v>
      </c>
      <c r="T214" s="44">
        <v>4.016</v>
      </c>
      <c r="U214" t="s">
        <v>550</v>
      </c>
      <c r="V214" s="46">
        <v>6.7400000000000002E-2</v>
      </c>
      <c r="W214" s="45">
        <v>6.0229999999999999E-2</v>
      </c>
      <c r="X214" t="s">
        <v>222</v>
      </c>
      <c r="Y214" t="s">
        <v>72</v>
      </c>
      <c r="Z214" s="44">
        <v>33000</v>
      </c>
      <c r="AA214" s="42">
        <v>1</v>
      </c>
      <c r="AB214" s="48">
        <v>106.73</v>
      </c>
      <c r="AD214" s="44">
        <v>35.220999999999997</v>
      </c>
      <c r="AG214" t="s">
        <v>16</v>
      </c>
      <c r="AH214" s="45">
        <v>1.16E-4</v>
      </c>
      <c r="AI214" s="45">
        <v>4.2028022358734797E-2</v>
      </c>
      <c r="AJ214" s="45">
        <v>7.5750626942329999E-4</v>
      </c>
    </row>
    <row r="215" spans="1:36" x14ac:dyDescent="0.25">
      <c r="A215">
        <v>12904</v>
      </c>
      <c r="B215">
        <v>13680</v>
      </c>
      <c r="C215" t="s">
        <v>556</v>
      </c>
      <c r="D215" t="s">
        <v>557</v>
      </c>
      <c r="E215" t="s">
        <v>210</v>
      </c>
      <c r="F215" t="s">
        <v>562</v>
      </c>
      <c r="G215" t="s">
        <v>563</v>
      </c>
      <c r="H215" t="s">
        <v>213</v>
      </c>
      <c r="I215" t="s">
        <v>214</v>
      </c>
      <c r="J215" t="s">
        <v>71</v>
      </c>
      <c r="K215" t="s">
        <v>71</v>
      </c>
      <c r="L215" t="s">
        <v>216</v>
      </c>
      <c r="M215" t="s">
        <v>117</v>
      </c>
      <c r="N215" t="s">
        <v>258</v>
      </c>
      <c r="O215" t="s">
        <v>72</v>
      </c>
      <c r="P215" t="s">
        <v>560</v>
      </c>
      <c r="Q215" t="s">
        <v>74</v>
      </c>
      <c r="R215" t="s">
        <v>220</v>
      </c>
      <c r="S215" t="s">
        <v>81</v>
      </c>
      <c r="T215" s="44">
        <v>6.4729999999999999</v>
      </c>
      <c r="U215" t="s">
        <v>564</v>
      </c>
      <c r="V215" s="46">
        <v>8.9999999999999993E-3</v>
      </c>
      <c r="W215" s="45">
        <v>3.0720000000000001E-2</v>
      </c>
      <c r="X215" t="s">
        <v>222</v>
      </c>
      <c r="Y215" t="s">
        <v>72</v>
      </c>
      <c r="Z215" s="44">
        <v>62000</v>
      </c>
      <c r="AA215" s="42">
        <v>1</v>
      </c>
      <c r="AB215" s="48">
        <v>99.26</v>
      </c>
      <c r="AD215" s="44">
        <v>61.540999999999997</v>
      </c>
      <c r="AG215" t="s">
        <v>16</v>
      </c>
      <c r="AH215" s="45">
        <v>2.3E-5</v>
      </c>
      <c r="AI215" s="45">
        <v>7.3435231058359404E-2</v>
      </c>
      <c r="AJ215" s="45">
        <v>1.3235847132763E-3</v>
      </c>
    </row>
    <row r="216" spans="1:36" x14ac:dyDescent="0.25">
      <c r="A216">
        <v>12904</v>
      </c>
      <c r="B216">
        <v>13680</v>
      </c>
      <c r="C216" t="s">
        <v>556</v>
      </c>
      <c r="D216" t="s">
        <v>557</v>
      </c>
      <c r="E216" t="s">
        <v>210</v>
      </c>
      <c r="F216" t="s">
        <v>568</v>
      </c>
      <c r="G216" t="s">
        <v>569</v>
      </c>
      <c r="H216" t="s">
        <v>213</v>
      </c>
      <c r="I216" t="s">
        <v>214</v>
      </c>
      <c r="J216" t="s">
        <v>71</v>
      </c>
      <c r="K216" t="s">
        <v>71</v>
      </c>
      <c r="L216" t="s">
        <v>216</v>
      </c>
      <c r="M216" t="s">
        <v>109</v>
      </c>
      <c r="N216" t="s">
        <v>258</v>
      </c>
      <c r="O216" t="s">
        <v>72</v>
      </c>
      <c r="P216" t="s">
        <v>560</v>
      </c>
      <c r="Q216" t="s">
        <v>219</v>
      </c>
      <c r="R216" t="s">
        <v>220</v>
      </c>
      <c r="S216" t="s">
        <v>81</v>
      </c>
      <c r="T216" s="44">
        <v>11.904</v>
      </c>
      <c r="U216" t="s">
        <v>570</v>
      </c>
      <c r="V216" s="46">
        <v>3.6700000000000003E-2</v>
      </c>
      <c r="W216" s="45">
        <v>3.4259999999999999E-2</v>
      </c>
      <c r="X216" t="s">
        <v>222</v>
      </c>
      <c r="Y216" t="s">
        <v>72</v>
      </c>
      <c r="Z216" s="44">
        <v>39000</v>
      </c>
      <c r="AA216" s="42">
        <v>1</v>
      </c>
      <c r="AB216" s="48">
        <v>105.88</v>
      </c>
      <c r="AD216" s="44">
        <v>41.292999999999999</v>
      </c>
      <c r="AG216" t="s">
        <v>16</v>
      </c>
      <c r="AH216" s="45">
        <v>1.2E-5</v>
      </c>
      <c r="AI216" s="45">
        <v>4.9273912161918301E-2</v>
      </c>
      <c r="AJ216" s="45">
        <v>8.8810501391361997E-4</v>
      </c>
    </row>
    <row r="217" spans="1:36" x14ac:dyDescent="0.25">
      <c r="A217">
        <v>12904</v>
      </c>
      <c r="B217">
        <v>13680</v>
      </c>
      <c r="C217" t="s">
        <v>578</v>
      </c>
      <c r="D217" t="s">
        <v>579</v>
      </c>
      <c r="E217" t="s">
        <v>210</v>
      </c>
      <c r="F217" t="s">
        <v>580</v>
      </c>
      <c r="G217" t="s">
        <v>581</v>
      </c>
      <c r="H217" t="s">
        <v>213</v>
      </c>
      <c r="I217" t="s">
        <v>239</v>
      </c>
      <c r="J217" t="s">
        <v>71</v>
      </c>
      <c r="K217" t="s">
        <v>71</v>
      </c>
      <c r="L217" t="s">
        <v>216</v>
      </c>
      <c r="M217" t="s">
        <v>109</v>
      </c>
      <c r="N217" t="s">
        <v>234</v>
      </c>
      <c r="O217" t="s">
        <v>72</v>
      </c>
      <c r="P217" t="s">
        <v>228</v>
      </c>
      <c r="Q217" t="s">
        <v>74</v>
      </c>
      <c r="R217" t="s">
        <v>220</v>
      </c>
      <c r="S217" t="s">
        <v>81</v>
      </c>
      <c r="T217" s="44">
        <v>6.3479999999999999</v>
      </c>
      <c r="U217" t="s">
        <v>582</v>
      </c>
      <c r="V217" s="46">
        <v>5.8599999999999999E-2</v>
      </c>
      <c r="W217" s="45">
        <v>5.2040000000000003E-2</v>
      </c>
      <c r="X217" t="s">
        <v>222</v>
      </c>
      <c r="Y217" t="s">
        <v>72</v>
      </c>
      <c r="Z217" s="44">
        <v>45252</v>
      </c>
      <c r="AA217" s="42">
        <v>1</v>
      </c>
      <c r="AB217" s="48">
        <v>106.56</v>
      </c>
      <c r="AD217" s="44">
        <v>48.220999999999997</v>
      </c>
      <c r="AG217" t="s">
        <v>16</v>
      </c>
      <c r="AH217" s="45">
        <v>2.2699999999999999E-4</v>
      </c>
      <c r="AI217" s="45">
        <v>5.7540084535706602E-2</v>
      </c>
      <c r="AJ217" s="45">
        <v>1.0370931662428201E-3</v>
      </c>
    </row>
    <row r="218" spans="1:36" x14ac:dyDescent="0.25">
      <c r="A218">
        <v>12904</v>
      </c>
      <c r="B218">
        <v>13680</v>
      </c>
      <c r="C218" t="s">
        <v>583</v>
      </c>
      <c r="D218" t="s">
        <v>584</v>
      </c>
      <c r="E218" t="s">
        <v>210</v>
      </c>
      <c r="F218" t="s">
        <v>585</v>
      </c>
      <c r="G218" t="s">
        <v>586</v>
      </c>
      <c r="H218" t="s">
        <v>213</v>
      </c>
      <c r="I218" t="s">
        <v>239</v>
      </c>
      <c r="J218" t="s">
        <v>71</v>
      </c>
      <c r="K218" t="s">
        <v>71</v>
      </c>
      <c r="L218" t="s">
        <v>216</v>
      </c>
      <c r="M218" t="s">
        <v>286</v>
      </c>
      <c r="N218" t="s">
        <v>217</v>
      </c>
      <c r="O218" t="s">
        <v>72</v>
      </c>
      <c r="P218" t="s">
        <v>218</v>
      </c>
      <c r="Q218" t="s">
        <v>219</v>
      </c>
      <c r="R218" t="s">
        <v>220</v>
      </c>
      <c r="S218" t="s">
        <v>81</v>
      </c>
      <c r="T218" s="44">
        <v>5.8659999999999997</v>
      </c>
      <c r="U218" t="s">
        <v>384</v>
      </c>
      <c r="V218" s="46">
        <v>5.5899999999999998E-2</v>
      </c>
      <c r="W218" s="45">
        <v>5.8259999999999999E-2</v>
      </c>
      <c r="X218" t="s">
        <v>222</v>
      </c>
      <c r="Y218" t="s">
        <v>72</v>
      </c>
      <c r="Z218" s="44">
        <v>39000</v>
      </c>
      <c r="AA218" s="42">
        <v>1</v>
      </c>
      <c r="AB218" s="48">
        <v>99.28</v>
      </c>
      <c r="AD218" s="44">
        <v>38.719000000000001</v>
      </c>
      <c r="AG218" t="s">
        <v>16</v>
      </c>
      <c r="AH218" s="45">
        <v>1.74E-4</v>
      </c>
      <c r="AI218" s="45">
        <v>4.6202436715482097E-2</v>
      </c>
      <c r="AJ218" s="45">
        <v>8.3274523782909103E-4</v>
      </c>
    </row>
    <row r="219" spans="1:36" x14ac:dyDescent="0.25">
      <c r="A219">
        <v>12904</v>
      </c>
      <c r="B219">
        <v>13680</v>
      </c>
      <c r="C219" t="s">
        <v>606</v>
      </c>
      <c r="D219" t="s">
        <v>607</v>
      </c>
      <c r="E219" t="s">
        <v>210</v>
      </c>
      <c r="F219" t="s">
        <v>608</v>
      </c>
      <c r="G219" t="s">
        <v>609</v>
      </c>
      <c r="H219" t="s">
        <v>213</v>
      </c>
      <c r="I219" t="s">
        <v>239</v>
      </c>
      <c r="J219" t="s">
        <v>71</v>
      </c>
      <c r="K219" t="s">
        <v>71</v>
      </c>
      <c r="L219" t="s">
        <v>216</v>
      </c>
      <c r="M219" t="s">
        <v>109</v>
      </c>
      <c r="N219" t="s">
        <v>610</v>
      </c>
      <c r="O219" t="s">
        <v>72</v>
      </c>
      <c r="P219" t="s">
        <v>246</v>
      </c>
      <c r="Q219" t="s">
        <v>219</v>
      </c>
      <c r="R219" t="s">
        <v>220</v>
      </c>
      <c r="S219" t="s">
        <v>81</v>
      </c>
      <c r="T219" s="44">
        <v>4.7789999999999999</v>
      </c>
      <c r="U219" t="s">
        <v>348</v>
      </c>
      <c r="V219" s="46">
        <v>5.8500000000000003E-2</v>
      </c>
      <c r="W219" s="45">
        <v>5.2679999999999998E-2</v>
      </c>
      <c r="X219" t="s">
        <v>222</v>
      </c>
      <c r="Y219" t="s">
        <v>72</v>
      </c>
      <c r="Z219" s="44">
        <v>26000</v>
      </c>
      <c r="AA219" s="42">
        <v>1</v>
      </c>
      <c r="AB219" s="48">
        <v>106.89</v>
      </c>
      <c r="AD219" s="44">
        <v>27.791</v>
      </c>
      <c r="AG219" t="s">
        <v>16</v>
      </c>
      <c r="AH219" s="45">
        <v>1.6799999999999999E-4</v>
      </c>
      <c r="AI219" s="45">
        <v>3.3162627320157699E-2</v>
      </c>
      <c r="AJ219" s="45">
        <v>5.9771782481568298E-4</v>
      </c>
    </row>
    <row r="220" spans="1:36" x14ac:dyDescent="0.25">
      <c r="A220">
        <v>424</v>
      </c>
      <c r="B220">
        <v>7228</v>
      </c>
      <c r="C220" t="s">
        <v>223</v>
      </c>
      <c r="D220" t="s">
        <v>224</v>
      </c>
      <c r="E220" t="s">
        <v>210</v>
      </c>
      <c r="F220" t="s">
        <v>225</v>
      </c>
      <c r="G220" t="s">
        <v>226</v>
      </c>
      <c r="H220" t="s">
        <v>213</v>
      </c>
      <c r="I220" t="s">
        <v>214</v>
      </c>
      <c r="J220" t="s">
        <v>71</v>
      </c>
      <c r="K220" t="s">
        <v>71</v>
      </c>
      <c r="L220" t="s">
        <v>216</v>
      </c>
      <c r="M220" t="s">
        <v>117</v>
      </c>
      <c r="N220" t="s">
        <v>227</v>
      </c>
      <c r="O220" t="s">
        <v>72</v>
      </c>
      <c r="P220" t="s">
        <v>228</v>
      </c>
      <c r="Q220" t="s">
        <v>74</v>
      </c>
      <c r="R220" t="s">
        <v>220</v>
      </c>
      <c r="S220" t="s">
        <v>81</v>
      </c>
      <c r="T220" s="44">
        <v>5.1289999999999996</v>
      </c>
      <c r="U220" t="s">
        <v>229</v>
      </c>
      <c r="V220" s="46">
        <v>5.1499999999999997E-2</v>
      </c>
      <c r="W220" s="45">
        <v>4.5159999999999999E-2</v>
      </c>
      <c r="X220" t="s">
        <v>222</v>
      </c>
      <c r="Y220" t="s">
        <v>72</v>
      </c>
      <c r="Z220" s="44">
        <v>0.11</v>
      </c>
      <c r="AA220" s="42">
        <v>1</v>
      </c>
      <c r="AB220" s="48">
        <v>146.6</v>
      </c>
      <c r="AD220" s="44">
        <v>0</v>
      </c>
      <c r="AG220" t="s">
        <v>16</v>
      </c>
      <c r="AH220" s="45">
        <v>0</v>
      </c>
      <c r="AI220" s="45">
        <v>7.6010634604807902E-10</v>
      </c>
      <c r="AJ220" s="45">
        <v>6.5704275696453902E-11</v>
      </c>
    </row>
    <row r="221" spans="1:36" x14ac:dyDescent="0.25">
      <c r="A221">
        <v>424</v>
      </c>
      <c r="B221">
        <v>7228</v>
      </c>
      <c r="C221" t="s">
        <v>230</v>
      </c>
      <c r="D221" t="s">
        <v>231</v>
      </c>
      <c r="E221" t="s">
        <v>210</v>
      </c>
      <c r="F221" t="s">
        <v>232</v>
      </c>
      <c r="G221" t="s">
        <v>233</v>
      </c>
      <c r="H221" t="s">
        <v>213</v>
      </c>
      <c r="I221" t="s">
        <v>214</v>
      </c>
      <c r="J221" t="s">
        <v>71</v>
      </c>
      <c r="K221" t="s">
        <v>71</v>
      </c>
      <c r="L221" t="s">
        <v>216</v>
      </c>
      <c r="M221" t="s">
        <v>117</v>
      </c>
      <c r="N221" t="s">
        <v>234</v>
      </c>
      <c r="O221" t="s">
        <v>72</v>
      </c>
      <c r="P221" t="s">
        <v>235</v>
      </c>
      <c r="Q221" t="s">
        <v>74</v>
      </c>
      <c r="R221" t="s">
        <v>220</v>
      </c>
      <c r="S221" t="s">
        <v>81</v>
      </c>
      <c r="T221" s="44">
        <v>2.7240000000000002</v>
      </c>
      <c r="U221" t="s">
        <v>236</v>
      </c>
      <c r="V221" s="46">
        <v>2.75E-2</v>
      </c>
      <c r="W221" s="45">
        <v>3.075E-2</v>
      </c>
      <c r="X221" t="s">
        <v>222</v>
      </c>
      <c r="Y221" t="s">
        <v>72</v>
      </c>
      <c r="Z221" s="44">
        <v>631467.68000000005</v>
      </c>
      <c r="AA221" s="42">
        <v>1</v>
      </c>
      <c r="AB221" s="48">
        <v>114.05</v>
      </c>
      <c r="AD221" s="44">
        <v>720.18899999999996</v>
      </c>
      <c r="AG221" t="s">
        <v>16</v>
      </c>
      <c r="AH221" s="45">
        <v>8.4699999999999999E-4</v>
      </c>
      <c r="AI221" s="45">
        <v>3.3946430913594202E-3</v>
      </c>
      <c r="AJ221" s="45">
        <v>2.9343599974579601E-4</v>
      </c>
    </row>
    <row r="222" spans="1:36" x14ac:dyDescent="0.25">
      <c r="A222">
        <v>424</v>
      </c>
      <c r="B222">
        <v>7228</v>
      </c>
      <c r="C222" t="s">
        <v>230</v>
      </c>
      <c r="D222" t="s">
        <v>231</v>
      </c>
      <c r="E222" t="s">
        <v>210</v>
      </c>
      <c r="F222" t="s">
        <v>237</v>
      </c>
      <c r="G222" t="s">
        <v>238</v>
      </c>
      <c r="H222" t="s">
        <v>213</v>
      </c>
      <c r="I222" t="s">
        <v>239</v>
      </c>
      <c r="J222" t="s">
        <v>71</v>
      </c>
      <c r="K222" t="s">
        <v>71</v>
      </c>
      <c r="L222" t="s">
        <v>216</v>
      </c>
      <c r="M222" t="s">
        <v>117</v>
      </c>
      <c r="N222" t="s">
        <v>234</v>
      </c>
      <c r="O222" t="s">
        <v>72</v>
      </c>
      <c r="P222" t="s">
        <v>235</v>
      </c>
      <c r="Q222" t="s">
        <v>74</v>
      </c>
      <c r="R222" t="s">
        <v>220</v>
      </c>
      <c r="S222" t="s">
        <v>81</v>
      </c>
      <c r="T222" s="44">
        <v>3.0310000000000001</v>
      </c>
      <c r="U222" t="s">
        <v>240</v>
      </c>
      <c r="V222" s="46">
        <v>2.5000000000000001E-2</v>
      </c>
      <c r="W222" s="45">
        <v>5.5559999999999998E-2</v>
      </c>
      <c r="X222" t="s">
        <v>222</v>
      </c>
      <c r="Y222" t="s">
        <v>72</v>
      </c>
      <c r="Z222" s="44">
        <v>2476320</v>
      </c>
      <c r="AA222" s="42">
        <v>1</v>
      </c>
      <c r="AB222" s="48">
        <v>91.59</v>
      </c>
      <c r="AD222" s="44">
        <v>2268.0610000000001</v>
      </c>
      <c r="AG222" t="s">
        <v>16</v>
      </c>
      <c r="AH222" s="45">
        <v>3.4650000000000002E-3</v>
      </c>
      <c r="AI222" s="45">
        <v>1.0690611002456E-2</v>
      </c>
      <c r="AJ222" s="45">
        <v>9.24106023217546E-4</v>
      </c>
    </row>
    <row r="223" spans="1:36" x14ac:dyDescent="0.25">
      <c r="A223">
        <v>424</v>
      </c>
      <c r="B223">
        <v>7228</v>
      </c>
      <c r="C223" t="s">
        <v>241</v>
      </c>
      <c r="D223" t="s">
        <v>242</v>
      </c>
      <c r="E223" t="s">
        <v>210</v>
      </c>
      <c r="F223" t="s">
        <v>243</v>
      </c>
      <c r="G223" t="s">
        <v>244</v>
      </c>
      <c r="H223" t="s">
        <v>213</v>
      </c>
      <c r="I223" t="s">
        <v>239</v>
      </c>
      <c r="J223" t="s">
        <v>71</v>
      </c>
      <c r="K223" t="s">
        <v>71</v>
      </c>
      <c r="L223" t="s">
        <v>216</v>
      </c>
      <c r="M223" t="s">
        <v>117</v>
      </c>
      <c r="N223" t="s">
        <v>245</v>
      </c>
      <c r="O223" t="s">
        <v>72</v>
      </c>
      <c r="P223" t="s">
        <v>246</v>
      </c>
      <c r="Q223" t="s">
        <v>219</v>
      </c>
      <c r="R223" t="s">
        <v>220</v>
      </c>
      <c r="S223" t="s">
        <v>81</v>
      </c>
      <c r="T223" s="44">
        <v>2.169</v>
      </c>
      <c r="U223" t="s">
        <v>247</v>
      </c>
      <c r="V223" s="46">
        <v>2.5499999999999998E-2</v>
      </c>
      <c r="W223" s="45">
        <v>5.432E-2</v>
      </c>
      <c r="X223" t="s">
        <v>222</v>
      </c>
      <c r="Y223" t="s">
        <v>72</v>
      </c>
      <c r="Z223" s="44">
        <v>1998093.3</v>
      </c>
      <c r="AA223" s="42">
        <v>1</v>
      </c>
      <c r="AB223" s="48">
        <v>94.76</v>
      </c>
      <c r="AD223" s="44">
        <v>1893.393</v>
      </c>
      <c r="AG223" t="s">
        <v>16</v>
      </c>
      <c r="AH223" s="45">
        <v>3.058E-3</v>
      </c>
      <c r="AI223" s="45">
        <v>8.9245950347653404E-3</v>
      </c>
      <c r="AJ223" s="45">
        <v>7.7145001576705001E-4</v>
      </c>
    </row>
    <row r="224" spans="1:36" x14ac:dyDescent="0.25">
      <c r="A224">
        <v>424</v>
      </c>
      <c r="B224">
        <v>7228</v>
      </c>
      <c r="C224" t="s">
        <v>248</v>
      </c>
      <c r="D224" t="s">
        <v>249</v>
      </c>
      <c r="E224" t="s">
        <v>210</v>
      </c>
      <c r="F224" t="s">
        <v>250</v>
      </c>
      <c r="G224" t="s">
        <v>251</v>
      </c>
      <c r="H224" t="s">
        <v>213</v>
      </c>
      <c r="I224" t="s">
        <v>239</v>
      </c>
      <c r="J224" t="s">
        <v>71</v>
      </c>
      <c r="K224" t="s">
        <v>71</v>
      </c>
      <c r="L224" t="s">
        <v>216</v>
      </c>
      <c r="M224" t="s">
        <v>117</v>
      </c>
      <c r="N224" t="s">
        <v>252</v>
      </c>
      <c r="O224" t="s">
        <v>72</v>
      </c>
      <c r="P224" t="s">
        <v>218</v>
      </c>
      <c r="Q224" t="s">
        <v>219</v>
      </c>
      <c r="R224" t="s">
        <v>220</v>
      </c>
      <c r="S224" t="s">
        <v>81</v>
      </c>
      <c r="T224" s="44">
        <v>3.55</v>
      </c>
      <c r="U224" t="s">
        <v>253</v>
      </c>
      <c r="V224" s="46">
        <v>2.18E-2</v>
      </c>
      <c r="W224" s="45">
        <v>5.3659999999999999E-2</v>
      </c>
      <c r="X224" t="s">
        <v>222</v>
      </c>
      <c r="Y224" t="s">
        <v>72</v>
      </c>
      <c r="Z224" s="44">
        <v>5190607</v>
      </c>
      <c r="AA224" s="42">
        <v>1</v>
      </c>
      <c r="AB224" s="48">
        <v>90.26</v>
      </c>
      <c r="AD224" s="44">
        <v>4685.0420000000004</v>
      </c>
      <c r="AG224" t="s">
        <v>16</v>
      </c>
      <c r="AH224" s="45">
        <v>3.1572999999999997E-2</v>
      </c>
      <c r="AI224" s="45">
        <v>2.2083158025057899E-2</v>
      </c>
      <c r="AJ224" s="45">
        <v>1.9088880268801E-3</v>
      </c>
    </row>
    <row r="225" spans="1:36" x14ac:dyDescent="0.25">
      <c r="A225">
        <v>424</v>
      </c>
      <c r="B225">
        <v>7228</v>
      </c>
      <c r="C225" t="s">
        <v>644</v>
      </c>
      <c r="D225" t="s">
        <v>645</v>
      </c>
      <c r="E225" t="s">
        <v>210</v>
      </c>
      <c r="F225" t="s">
        <v>646</v>
      </c>
      <c r="G225" t="s">
        <v>647</v>
      </c>
      <c r="H225" t="s">
        <v>213</v>
      </c>
      <c r="I225" t="s">
        <v>239</v>
      </c>
      <c r="J225" t="s">
        <v>71</v>
      </c>
      <c r="K225" t="s">
        <v>71</v>
      </c>
      <c r="L225" t="s">
        <v>216</v>
      </c>
      <c r="M225" t="s">
        <v>117</v>
      </c>
      <c r="N225" t="s">
        <v>227</v>
      </c>
      <c r="O225" t="s">
        <v>72</v>
      </c>
      <c r="P225" t="s">
        <v>259</v>
      </c>
      <c r="Q225" t="s">
        <v>74</v>
      </c>
      <c r="R225" t="s">
        <v>220</v>
      </c>
      <c r="S225" t="s">
        <v>81</v>
      </c>
      <c r="T225" s="44">
        <v>7.4489999999999998</v>
      </c>
      <c r="U225" t="s">
        <v>648</v>
      </c>
      <c r="V225" s="46">
        <v>2.4E-2</v>
      </c>
      <c r="W225" s="45">
        <v>5.0520000000000002E-2</v>
      </c>
      <c r="X225" t="s">
        <v>222</v>
      </c>
      <c r="Y225" t="s">
        <v>72</v>
      </c>
      <c r="Z225" s="44">
        <v>641895.92000000004</v>
      </c>
      <c r="AA225" s="42">
        <v>1</v>
      </c>
      <c r="AB225" s="48">
        <v>82.99</v>
      </c>
      <c r="AD225" s="44">
        <v>532.70899999999995</v>
      </c>
      <c r="AG225" t="s">
        <v>16</v>
      </c>
      <c r="AH225" s="45">
        <v>8.9099999999999997E-4</v>
      </c>
      <c r="AI225" s="45">
        <v>2.5109501041057801E-3</v>
      </c>
      <c r="AJ225" s="45">
        <v>2.17048783710286E-4</v>
      </c>
    </row>
    <row r="226" spans="1:36" x14ac:dyDescent="0.25">
      <c r="A226">
        <v>424</v>
      </c>
      <c r="B226">
        <v>7228</v>
      </c>
      <c r="C226" t="s">
        <v>254</v>
      </c>
      <c r="D226" t="s">
        <v>255</v>
      </c>
      <c r="E226" t="s">
        <v>210</v>
      </c>
      <c r="F226" t="s">
        <v>256</v>
      </c>
      <c r="G226" t="s">
        <v>257</v>
      </c>
      <c r="H226" t="s">
        <v>213</v>
      </c>
      <c r="I226" t="s">
        <v>214</v>
      </c>
      <c r="J226" t="s">
        <v>71</v>
      </c>
      <c r="K226" t="s">
        <v>71</v>
      </c>
      <c r="L226" t="s">
        <v>216</v>
      </c>
      <c r="M226" t="s">
        <v>117</v>
      </c>
      <c r="N226" t="s">
        <v>258</v>
      </c>
      <c r="O226" t="s">
        <v>72</v>
      </c>
      <c r="P226" t="s">
        <v>259</v>
      </c>
      <c r="Q226" t="s">
        <v>74</v>
      </c>
      <c r="R226" t="s">
        <v>220</v>
      </c>
      <c r="S226" t="s">
        <v>81</v>
      </c>
      <c r="T226" s="44">
        <v>2.2669999999999999</v>
      </c>
      <c r="U226" t="s">
        <v>135</v>
      </c>
      <c r="V226" s="46">
        <v>2.3400000000000001E-2</v>
      </c>
      <c r="W226" s="45">
        <v>2.7969999999999998E-2</v>
      </c>
      <c r="X226" t="s">
        <v>222</v>
      </c>
      <c r="Y226" t="s">
        <v>72</v>
      </c>
      <c r="Z226" s="44">
        <v>408000.09</v>
      </c>
      <c r="AA226" s="42">
        <v>1</v>
      </c>
      <c r="AB226" s="48">
        <v>114.39</v>
      </c>
      <c r="AD226" s="44">
        <v>466.71100000000001</v>
      </c>
      <c r="AG226" t="s">
        <v>16</v>
      </c>
      <c r="AH226" s="45">
        <v>2.5000000000000001E-4</v>
      </c>
      <c r="AI226" s="45">
        <v>2.19986495811375E-3</v>
      </c>
      <c r="AJ226" s="45">
        <v>1.90158304103582E-4</v>
      </c>
    </row>
    <row r="227" spans="1:36" x14ac:dyDescent="0.25">
      <c r="A227">
        <v>424</v>
      </c>
      <c r="B227">
        <v>7228</v>
      </c>
      <c r="C227" t="s">
        <v>260</v>
      </c>
      <c r="D227" t="s">
        <v>261</v>
      </c>
      <c r="E227" t="s">
        <v>210</v>
      </c>
      <c r="F227" t="s">
        <v>649</v>
      </c>
      <c r="G227" t="s">
        <v>650</v>
      </c>
      <c r="H227" t="s">
        <v>213</v>
      </c>
      <c r="I227" t="s">
        <v>239</v>
      </c>
      <c r="J227" t="s">
        <v>71</v>
      </c>
      <c r="K227" t="s">
        <v>71</v>
      </c>
      <c r="L227" t="s">
        <v>216</v>
      </c>
      <c r="M227" t="s">
        <v>117</v>
      </c>
      <c r="N227" t="s">
        <v>258</v>
      </c>
      <c r="O227" t="s">
        <v>72</v>
      </c>
      <c r="P227" t="s">
        <v>228</v>
      </c>
      <c r="Q227" t="s">
        <v>74</v>
      </c>
      <c r="R227" t="s">
        <v>220</v>
      </c>
      <c r="S227" t="s">
        <v>81</v>
      </c>
      <c r="T227" s="44">
        <v>1.3919999999999999</v>
      </c>
      <c r="U227" t="s">
        <v>651</v>
      </c>
      <c r="V227" s="46">
        <v>3.85E-2</v>
      </c>
      <c r="W227" s="45">
        <v>5.0290000000000001E-2</v>
      </c>
      <c r="X227" t="s">
        <v>222</v>
      </c>
      <c r="Y227" t="s">
        <v>72</v>
      </c>
      <c r="Z227" s="44">
        <v>0.08</v>
      </c>
      <c r="AA227" s="42">
        <v>1</v>
      </c>
      <c r="AB227" s="48">
        <v>98.76</v>
      </c>
      <c r="AD227" s="44">
        <v>0</v>
      </c>
      <c r="AG227" t="s">
        <v>16</v>
      </c>
      <c r="AH227" s="45">
        <v>0</v>
      </c>
      <c r="AI227" s="45">
        <v>3.7240780223593401E-10</v>
      </c>
      <c r="AJ227" s="45">
        <v>3.2191265126041401E-11</v>
      </c>
    </row>
    <row r="228" spans="1:36" x14ac:dyDescent="0.25">
      <c r="A228">
        <v>424</v>
      </c>
      <c r="B228">
        <v>7228</v>
      </c>
      <c r="C228" t="s">
        <v>260</v>
      </c>
      <c r="D228" t="s">
        <v>261</v>
      </c>
      <c r="E228" t="s">
        <v>210</v>
      </c>
      <c r="F228" t="s">
        <v>262</v>
      </c>
      <c r="G228" t="s">
        <v>263</v>
      </c>
      <c r="H228" t="s">
        <v>213</v>
      </c>
      <c r="I228" t="s">
        <v>239</v>
      </c>
      <c r="J228" t="s">
        <v>71</v>
      </c>
      <c r="K228" t="s">
        <v>71</v>
      </c>
      <c r="L228" t="s">
        <v>216</v>
      </c>
      <c r="M228" t="s">
        <v>117</v>
      </c>
      <c r="N228" t="s">
        <v>258</v>
      </c>
      <c r="O228" t="s">
        <v>72</v>
      </c>
      <c r="P228" t="s">
        <v>228</v>
      </c>
      <c r="Q228" t="s">
        <v>74</v>
      </c>
      <c r="R228" t="s">
        <v>220</v>
      </c>
      <c r="S228" t="s">
        <v>81</v>
      </c>
      <c r="T228" s="44">
        <v>3.9510000000000001</v>
      </c>
      <c r="U228" t="s">
        <v>264</v>
      </c>
      <c r="V228" s="46">
        <v>2.41E-2</v>
      </c>
      <c r="W228" s="45">
        <v>5.2909999999999999E-2</v>
      </c>
      <c r="X228" t="s">
        <v>222</v>
      </c>
      <c r="Y228" t="s">
        <v>72</v>
      </c>
      <c r="Z228" s="44">
        <v>1733333.33</v>
      </c>
      <c r="AA228" s="42">
        <v>1</v>
      </c>
      <c r="AB228" s="48">
        <v>89.75</v>
      </c>
      <c r="AD228" s="44">
        <v>1555.6669999999999</v>
      </c>
      <c r="AG228" t="s">
        <v>16</v>
      </c>
      <c r="AH228" s="45">
        <v>8.43E-4</v>
      </c>
      <c r="AI228" s="45">
        <v>7.3327055896986902E-3</v>
      </c>
      <c r="AJ228" s="45">
        <v>6.3384566142803405E-4</v>
      </c>
    </row>
    <row r="229" spans="1:36" x14ac:dyDescent="0.25">
      <c r="A229">
        <v>424</v>
      </c>
      <c r="B229">
        <v>7228</v>
      </c>
      <c r="C229" t="s">
        <v>260</v>
      </c>
      <c r="D229" t="s">
        <v>261</v>
      </c>
      <c r="E229" t="s">
        <v>210</v>
      </c>
      <c r="F229" t="s">
        <v>265</v>
      </c>
      <c r="G229" t="s">
        <v>266</v>
      </c>
      <c r="H229" t="s">
        <v>213</v>
      </c>
      <c r="I229" t="s">
        <v>239</v>
      </c>
      <c r="J229" t="s">
        <v>71</v>
      </c>
      <c r="K229" t="s">
        <v>71</v>
      </c>
      <c r="L229" t="s">
        <v>216</v>
      </c>
      <c r="M229" t="s">
        <v>117</v>
      </c>
      <c r="N229" t="s">
        <v>258</v>
      </c>
      <c r="O229" t="s">
        <v>72</v>
      </c>
      <c r="P229" t="s">
        <v>228</v>
      </c>
      <c r="Q229" t="s">
        <v>74</v>
      </c>
      <c r="R229" t="s">
        <v>220</v>
      </c>
      <c r="S229" t="s">
        <v>81</v>
      </c>
      <c r="T229" s="44">
        <v>6.1609999999999996</v>
      </c>
      <c r="U229" t="s">
        <v>267</v>
      </c>
      <c r="V229" s="46">
        <v>4.9399999999999999E-2</v>
      </c>
      <c r="W229" s="45">
        <v>5.5919999999999997E-2</v>
      </c>
      <c r="X229" t="s">
        <v>222</v>
      </c>
      <c r="Y229" t="s">
        <v>72</v>
      </c>
      <c r="Z229" s="44">
        <v>2000466</v>
      </c>
      <c r="AA229" s="42">
        <v>1</v>
      </c>
      <c r="AB229" s="48">
        <v>96.63</v>
      </c>
      <c r="AD229" s="44">
        <v>1933.05</v>
      </c>
      <c r="AG229" t="s">
        <v>16</v>
      </c>
      <c r="AH229" s="45">
        <v>1.469E-3</v>
      </c>
      <c r="AI229" s="45">
        <v>9.1115205076751603E-3</v>
      </c>
      <c r="AJ229" s="45">
        <v>7.8760802164427001E-4</v>
      </c>
    </row>
    <row r="230" spans="1:36" x14ac:dyDescent="0.25">
      <c r="A230">
        <v>424</v>
      </c>
      <c r="B230">
        <v>7228</v>
      </c>
      <c r="C230" t="s">
        <v>268</v>
      </c>
      <c r="D230" t="s">
        <v>269</v>
      </c>
      <c r="E230" t="s">
        <v>210</v>
      </c>
      <c r="F230" t="s">
        <v>270</v>
      </c>
      <c r="G230" t="s">
        <v>271</v>
      </c>
      <c r="H230" t="s">
        <v>213</v>
      </c>
      <c r="I230" t="s">
        <v>239</v>
      </c>
      <c r="J230" t="s">
        <v>71</v>
      </c>
      <c r="K230" t="s">
        <v>71</v>
      </c>
      <c r="L230" t="s">
        <v>216</v>
      </c>
      <c r="M230" t="s">
        <v>117</v>
      </c>
      <c r="N230" t="s">
        <v>272</v>
      </c>
      <c r="O230" t="s">
        <v>72</v>
      </c>
      <c r="P230" t="s">
        <v>246</v>
      </c>
      <c r="Q230" t="s">
        <v>74</v>
      </c>
      <c r="R230" t="s">
        <v>220</v>
      </c>
      <c r="S230" t="s">
        <v>81</v>
      </c>
      <c r="T230" s="44">
        <v>2.996</v>
      </c>
      <c r="U230" t="s">
        <v>273</v>
      </c>
      <c r="V230" s="46">
        <v>0.04</v>
      </c>
      <c r="W230" s="45">
        <v>5.2400000000000002E-2</v>
      </c>
      <c r="X230" t="s">
        <v>222</v>
      </c>
      <c r="Y230" t="s">
        <v>72</v>
      </c>
      <c r="Z230" s="44">
        <v>1575000.59</v>
      </c>
      <c r="AA230" s="42">
        <v>1</v>
      </c>
      <c r="AB230" s="48">
        <v>97.45</v>
      </c>
      <c r="AD230" s="44">
        <v>1534.838</v>
      </c>
      <c r="AG230" t="s">
        <v>16</v>
      </c>
      <c r="AH230" s="45">
        <v>2.712E-3</v>
      </c>
      <c r="AI230" s="45">
        <v>7.23452908923176E-3</v>
      </c>
      <c r="AJ230" s="45">
        <v>6.2535919649173903E-4</v>
      </c>
    </row>
    <row r="231" spans="1:36" x14ac:dyDescent="0.25">
      <c r="A231">
        <v>424</v>
      </c>
      <c r="B231">
        <v>7228</v>
      </c>
      <c r="C231" t="s">
        <v>268</v>
      </c>
      <c r="D231" t="s">
        <v>269</v>
      </c>
      <c r="E231" t="s">
        <v>210</v>
      </c>
      <c r="F231" t="s">
        <v>274</v>
      </c>
      <c r="G231" t="s">
        <v>275</v>
      </c>
      <c r="H231" t="s">
        <v>213</v>
      </c>
      <c r="I231" t="s">
        <v>239</v>
      </c>
      <c r="J231" t="s">
        <v>71</v>
      </c>
      <c r="K231" t="s">
        <v>71</v>
      </c>
      <c r="L231" t="s">
        <v>216</v>
      </c>
      <c r="M231" t="s">
        <v>117</v>
      </c>
      <c r="N231" t="s">
        <v>272</v>
      </c>
      <c r="O231" t="s">
        <v>72</v>
      </c>
      <c r="P231" t="s">
        <v>246</v>
      </c>
      <c r="Q231" t="s">
        <v>74</v>
      </c>
      <c r="R231" t="s">
        <v>220</v>
      </c>
      <c r="S231" t="s">
        <v>81</v>
      </c>
      <c r="T231" s="44">
        <v>4.9290000000000003</v>
      </c>
      <c r="U231" t="s">
        <v>276</v>
      </c>
      <c r="V231" s="46">
        <v>2.07E-2</v>
      </c>
      <c r="W231" s="45">
        <v>5.3780000000000001E-2</v>
      </c>
      <c r="X231" t="s">
        <v>222</v>
      </c>
      <c r="Y231" t="s">
        <v>72</v>
      </c>
      <c r="Z231" s="44">
        <v>5384451.1500000004</v>
      </c>
      <c r="AA231" s="42">
        <v>1</v>
      </c>
      <c r="AB231" s="48">
        <v>85.61</v>
      </c>
      <c r="AD231" s="44">
        <v>4609.6289999999999</v>
      </c>
      <c r="AG231" t="s">
        <v>16</v>
      </c>
      <c r="AH231" s="45">
        <v>7.4149999999999997E-3</v>
      </c>
      <c r="AI231" s="45">
        <v>2.1727694246677799E-2</v>
      </c>
      <c r="AJ231" s="45">
        <v>1.87816141840457E-3</v>
      </c>
    </row>
    <row r="232" spans="1:36" x14ac:dyDescent="0.25">
      <c r="A232">
        <v>424</v>
      </c>
      <c r="B232">
        <v>7228</v>
      </c>
      <c r="C232" t="s">
        <v>277</v>
      </c>
      <c r="D232" t="s">
        <v>278</v>
      </c>
      <c r="E232" t="s">
        <v>210</v>
      </c>
      <c r="F232" t="s">
        <v>279</v>
      </c>
      <c r="G232" t="s">
        <v>280</v>
      </c>
      <c r="H232" t="s">
        <v>213</v>
      </c>
      <c r="I232" t="s">
        <v>239</v>
      </c>
      <c r="J232" t="s">
        <v>71</v>
      </c>
      <c r="K232" t="s">
        <v>71</v>
      </c>
      <c r="L232" t="s">
        <v>216</v>
      </c>
      <c r="M232" t="s">
        <v>117</v>
      </c>
      <c r="N232" t="s">
        <v>217</v>
      </c>
      <c r="O232" t="s">
        <v>72</v>
      </c>
      <c r="P232" t="s">
        <v>235</v>
      </c>
      <c r="Q232" t="s">
        <v>219</v>
      </c>
      <c r="R232" t="s">
        <v>220</v>
      </c>
      <c r="S232" t="s">
        <v>81</v>
      </c>
      <c r="T232" s="44">
        <v>4.1399999999999997</v>
      </c>
      <c r="U232" t="s">
        <v>281</v>
      </c>
      <c r="V232" s="46">
        <v>6.0699999999999997E-2</v>
      </c>
      <c r="W232" s="45">
        <v>5.9700000000000003E-2</v>
      </c>
      <c r="X232" t="s">
        <v>222</v>
      </c>
      <c r="Y232" t="s">
        <v>72</v>
      </c>
      <c r="Z232" s="44">
        <v>2383316</v>
      </c>
      <c r="AA232" s="42">
        <v>1</v>
      </c>
      <c r="AB232" s="48">
        <v>102.73</v>
      </c>
      <c r="AD232" s="44">
        <v>2448.3809999999999</v>
      </c>
      <c r="AG232" t="s">
        <v>16</v>
      </c>
      <c r="AH232" s="45">
        <v>5.7140000000000003E-3</v>
      </c>
      <c r="AI232" s="45">
        <v>1.15405529949226E-2</v>
      </c>
      <c r="AJ232" s="45">
        <v>9.9757577293002695E-4</v>
      </c>
    </row>
    <row r="233" spans="1:36" x14ac:dyDescent="0.25">
      <c r="A233">
        <v>424</v>
      </c>
      <c r="B233">
        <v>7228</v>
      </c>
      <c r="C233" t="s">
        <v>282</v>
      </c>
      <c r="D233" t="s">
        <v>283</v>
      </c>
      <c r="E233" t="s">
        <v>210</v>
      </c>
      <c r="F233" t="s">
        <v>284</v>
      </c>
      <c r="G233" t="s">
        <v>285</v>
      </c>
      <c r="H233" t="s">
        <v>213</v>
      </c>
      <c r="I233" t="s">
        <v>239</v>
      </c>
      <c r="J233" t="s">
        <v>71</v>
      </c>
      <c r="K233" t="s">
        <v>71</v>
      </c>
      <c r="L233" t="s">
        <v>216</v>
      </c>
      <c r="M233" t="s">
        <v>286</v>
      </c>
      <c r="N233" t="s">
        <v>287</v>
      </c>
      <c r="O233" t="s">
        <v>72</v>
      </c>
      <c r="P233" t="s">
        <v>218</v>
      </c>
      <c r="Q233" t="s">
        <v>219</v>
      </c>
      <c r="R233" t="s">
        <v>220</v>
      </c>
      <c r="S233" t="s">
        <v>81</v>
      </c>
      <c r="T233" s="44">
        <v>5.859</v>
      </c>
      <c r="U233" t="s">
        <v>288</v>
      </c>
      <c r="V233" s="46">
        <v>0.05</v>
      </c>
      <c r="W233" s="45">
        <v>5.74E-2</v>
      </c>
      <c r="X233" t="s">
        <v>222</v>
      </c>
      <c r="Y233" t="s">
        <v>72</v>
      </c>
      <c r="Z233" s="44">
        <v>2400000</v>
      </c>
      <c r="AA233" s="42">
        <v>1</v>
      </c>
      <c r="AB233" s="48">
        <v>96.72</v>
      </c>
      <c r="AD233" s="44">
        <v>2321.2800000000002</v>
      </c>
      <c r="AG233" t="s">
        <v>16</v>
      </c>
      <c r="AH233" s="45">
        <v>5.1200000000000004E-3</v>
      </c>
      <c r="AI233" s="45">
        <v>1.0941458879787201E-2</v>
      </c>
      <c r="AJ233" s="45">
        <v>9.4578953918308603E-4</v>
      </c>
    </row>
    <row r="234" spans="1:36" x14ac:dyDescent="0.25">
      <c r="A234">
        <v>424</v>
      </c>
      <c r="B234">
        <v>7228</v>
      </c>
      <c r="C234" t="s">
        <v>282</v>
      </c>
      <c r="D234" t="s">
        <v>283</v>
      </c>
      <c r="E234" t="s">
        <v>210</v>
      </c>
      <c r="F234" t="s">
        <v>289</v>
      </c>
      <c r="G234" t="s">
        <v>290</v>
      </c>
      <c r="H234" t="s">
        <v>213</v>
      </c>
      <c r="I234" t="s">
        <v>239</v>
      </c>
      <c r="J234" t="s">
        <v>71</v>
      </c>
      <c r="K234" t="s">
        <v>291</v>
      </c>
      <c r="L234" t="s">
        <v>216</v>
      </c>
      <c r="M234" t="s">
        <v>117</v>
      </c>
      <c r="N234" t="s">
        <v>287</v>
      </c>
      <c r="O234" t="s">
        <v>72</v>
      </c>
      <c r="P234" t="s">
        <v>218</v>
      </c>
      <c r="Q234" t="s">
        <v>219</v>
      </c>
      <c r="R234" t="s">
        <v>220</v>
      </c>
      <c r="S234" t="s">
        <v>81</v>
      </c>
      <c r="T234" s="44">
        <v>3.2930000000000001</v>
      </c>
      <c r="U234" t="s">
        <v>292</v>
      </c>
      <c r="V234" s="46">
        <v>1.4999999999999999E-2</v>
      </c>
      <c r="W234" s="45">
        <v>5.5910000000000001E-2</v>
      </c>
      <c r="X234" t="s">
        <v>222</v>
      </c>
      <c r="Y234" t="s">
        <v>72</v>
      </c>
      <c r="Z234" s="44">
        <v>2810088</v>
      </c>
      <c r="AA234" s="42">
        <v>1</v>
      </c>
      <c r="AB234" s="48">
        <v>87.84</v>
      </c>
      <c r="AD234" s="44">
        <v>2468.3809999999999</v>
      </c>
      <c r="AG234" t="s">
        <v>16</v>
      </c>
      <c r="AH234" s="45">
        <v>2.3879999999999999E-3</v>
      </c>
      <c r="AI234" s="45">
        <v>1.16348275455062E-2</v>
      </c>
      <c r="AJ234" s="45">
        <v>1.0057249498115299E-3</v>
      </c>
    </row>
    <row r="235" spans="1:36" x14ac:dyDescent="0.25">
      <c r="A235">
        <v>424</v>
      </c>
      <c r="B235">
        <v>7228</v>
      </c>
      <c r="C235" t="s">
        <v>293</v>
      </c>
      <c r="D235" t="s">
        <v>294</v>
      </c>
      <c r="E235" t="s">
        <v>210</v>
      </c>
      <c r="F235" t="s">
        <v>295</v>
      </c>
      <c r="G235" t="s">
        <v>296</v>
      </c>
      <c r="H235" t="s">
        <v>213</v>
      </c>
      <c r="I235" t="s">
        <v>239</v>
      </c>
      <c r="J235" t="s">
        <v>71</v>
      </c>
      <c r="K235" t="s">
        <v>71</v>
      </c>
      <c r="L235" t="s">
        <v>216</v>
      </c>
      <c r="M235" t="s">
        <v>117</v>
      </c>
      <c r="N235" t="s">
        <v>287</v>
      </c>
      <c r="O235" t="s">
        <v>72</v>
      </c>
      <c r="P235" t="s">
        <v>218</v>
      </c>
      <c r="Q235" t="s">
        <v>74</v>
      </c>
      <c r="R235" t="s">
        <v>220</v>
      </c>
      <c r="S235" t="s">
        <v>81</v>
      </c>
      <c r="T235" s="44">
        <v>2.6560000000000001</v>
      </c>
      <c r="U235" t="s">
        <v>297</v>
      </c>
      <c r="V235" s="46">
        <v>2.0500000000000001E-2</v>
      </c>
      <c r="W235" s="45">
        <v>5.4919999999999997E-2</v>
      </c>
      <c r="X235" t="s">
        <v>222</v>
      </c>
      <c r="Y235" t="s">
        <v>72</v>
      </c>
      <c r="Z235" s="44">
        <v>2420000</v>
      </c>
      <c r="AA235" s="42">
        <v>1</v>
      </c>
      <c r="AB235" s="48">
        <v>91.77</v>
      </c>
      <c r="AD235" s="44">
        <v>2220.8339999999998</v>
      </c>
      <c r="AG235" t="s">
        <v>16</v>
      </c>
      <c r="AH235" s="45">
        <v>2.5240000000000002E-3</v>
      </c>
      <c r="AI235" s="45">
        <v>1.0468002089292701E-2</v>
      </c>
      <c r="AJ235" s="45">
        <v>9.0486350869439704E-4</v>
      </c>
    </row>
    <row r="236" spans="1:36" x14ac:dyDescent="0.25">
      <c r="A236">
        <v>424</v>
      </c>
      <c r="B236">
        <v>7228</v>
      </c>
      <c r="C236" t="s">
        <v>298</v>
      </c>
      <c r="D236" t="s">
        <v>299</v>
      </c>
      <c r="E236" t="s">
        <v>210</v>
      </c>
      <c r="F236" t="s">
        <v>652</v>
      </c>
      <c r="G236" t="s">
        <v>653</v>
      </c>
      <c r="H236" t="s">
        <v>213</v>
      </c>
      <c r="I236" t="s">
        <v>239</v>
      </c>
      <c r="J236" t="s">
        <v>71</v>
      </c>
      <c r="K236" t="s">
        <v>71</v>
      </c>
      <c r="L236" t="s">
        <v>216</v>
      </c>
      <c r="M236" t="s">
        <v>117</v>
      </c>
      <c r="N236" t="s">
        <v>217</v>
      </c>
      <c r="O236" t="s">
        <v>72</v>
      </c>
      <c r="P236" t="s">
        <v>246</v>
      </c>
      <c r="Q236" t="s">
        <v>74</v>
      </c>
      <c r="R236" t="s">
        <v>220</v>
      </c>
      <c r="S236" t="s">
        <v>81</v>
      </c>
      <c r="T236" s="44">
        <v>2.98</v>
      </c>
      <c r="U236" t="s">
        <v>654</v>
      </c>
      <c r="V236" s="46">
        <v>3.2500000000000001E-2</v>
      </c>
      <c r="W236" s="45">
        <v>5.568E-2</v>
      </c>
      <c r="X236" t="s">
        <v>222</v>
      </c>
      <c r="Y236" t="s">
        <v>72</v>
      </c>
      <c r="Z236" s="44">
        <v>671673.1</v>
      </c>
      <c r="AA236" s="42">
        <v>1</v>
      </c>
      <c r="AB236" s="48">
        <v>93.66</v>
      </c>
      <c r="AD236" s="44">
        <v>629.08900000000006</v>
      </c>
      <c r="AG236" t="s">
        <v>16</v>
      </c>
      <c r="AH236" s="45">
        <v>2.7950000000000002E-3</v>
      </c>
      <c r="AI236" s="45">
        <v>2.9652397400554901E-3</v>
      </c>
      <c r="AJ236" s="45">
        <v>2.5631798813368099E-4</v>
      </c>
    </row>
    <row r="237" spans="1:36" x14ac:dyDescent="0.25">
      <c r="A237">
        <v>424</v>
      </c>
      <c r="B237">
        <v>7228</v>
      </c>
      <c r="C237" t="s">
        <v>298</v>
      </c>
      <c r="D237" t="s">
        <v>299</v>
      </c>
      <c r="E237" t="s">
        <v>210</v>
      </c>
      <c r="F237" t="s">
        <v>303</v>
      </c>
      <c r="G237" t="s">
        <v>304</v>
      </c>
      <c r="H237" t="s">
        <v>213</v>
      </c>
      <c r="I237" t="s">
        <v>214</v>
      </c>
      <c r="J237" t="s">
        <v>71</v>
      </c>
      <c r="K237" t="s">
        <v>71</v>
      </c>
      <c r="L237" t="s">
        <v>216</v>
      </c>
      <c r="M237" t="s">
        <v>117</v>
      </c>
      <c r="N237" t="s">
        <v>217</v>
      </c>
      <c r="O237" t="s">
        <v>72</v>
      </c>
      <c r="P237" t="s">
        <v>246</v>
      </c>
      <c r="Q237" t="s">
        <v>74</v>
      </c>
      <c r="R237" t="s">
        <v>220</v>
      </c>
      <c r="S237" t="s">
        <v>81</v>
      </c>
      <c r="T237" s="44">
        <v>4.7030000000000003</v>
      </c>
      <c r="U237" t="s">
        <v>305</v>
      </c>
      <c r="V237" s="46">
        <v>1.54E-2</v>
      </c>
      <c r="W237" s="45">
        <v>3.2759999999999997E-2</v>
      </c>
      <c r="X237" t="s">
        <v>222</v>
      </c>
      <c r="Y237" t="s">
        <v>72</v>
      </c>
      <c r="Z237" s="44">
        <v>2876000</v>
      </c>
      <c r="AA237" s="42">
        <v>1</v>
      </c>
      <c r="AB237" s="48">
        <v>103.7</v>
      </c>
      <c r="AD237" s="44">
        <v>2982.4119999999998</v>
      </c>
      <c r="AG237" t="s">
        <v>16</v>
      </c>
      <c r="AH237" s="45">
        <v>4.8219999999999999E-3</v>
      </c>
      <c r="AI237" s="45">
        <v>1.4057734638037601E-2</v>
      </c>
      <c r="AJ237" s="45">
        <v>1.2151632164728501E-3</v>
      </c>
    </row>
    <row r="238" spans="1:36" x14ac:dyDescent="0.25">
      <c r="A238">
        <v>424</v>
      </c>
      <c r="B238">
        <v>7228</v>
      </c>
      <c r="C238" t="s">
        <v>298</v>
      </c>
      <c r="D238" t="s">
        <v>299</v>
      </c>
      <c r="E238" t="s">
        <v>210</v>
      </c>
      <c r="F238" t="s">
        <v>306</v>
      </c>
      <c r="G238" t="s">
        <v>307</v>
      </c>
      <c r="H238" t="s">
        <v>213</v>
      </c>
      <c r="I238" t="s">
        <v>214</v>
      </c>
      <c r="J238" t="s">
        <v>71</v>
      </c>
      <c r="K238" t="s">
        <v>71</v>
      </c>
      <c r="L238" t="s">
        <v>216</v>
      </c>
      <c r="M238" t="s">
        <v>109</v>
      </c>
      <c r="N238" t="s">
        <v>217</v>
      </c>
      <c r="O238" t="s">
        <v>72</v>
      </c>
      <c r="P238" t="s">
        <v>246</v>
      </c>
      <c r="Q238" t="s">
        <v>74</v>
      </c>
      <c r="R238" t="s">
        <v>220</v>
      </c>
      <c r="S238" t="s">
        <v>81</v>
      </c>
      <c r="T238" s="44">
        <v>6.8319999999999999</v>
      </c>
      <c r="U238" t="s">
        <v>308</v>
      </c>
      <c r="V238" s="46">
        <v>4.02E-2</v>
      </c>
      <c r="W238" s="45">
        <v>3.5560000000000001E-2</v>
      </c>
      <c r="X238" t="s">
        <v>222</v>
      </c>
      <c r="Y238" t="s">
        <v>72</v>
      </c>
      <c r="Z238" s="44">
        <v>2339000</v>
      </c>
      <c r="AA238" s="42">
        <v>1</v>
      </c>
      <c r="AB238" s="48">
        <v>104.52</v>
      </c>
      <c r="AD238" s="44">
        <v>2444.723</v>
      </c>
      <c r="AG238" t="s">
        <v>16</v>
      </c>
      <c r="AH238" s="45">
        <v>2.8999999999999998E-3</v>
      </c>
      <c r="AI238" s="45">
        <v>1.15233121332533E-2</v>
      </c>
      <c r="AJ238" s="45">
        <v>9.9608545735214407E-4</v>
      </c>
    </row>
    <row r="239" spans="1:36" x14ac:dyDescent="0.25">
      <c r="A239">
        <v>424</v>
      </c>
      <c r="B239">
        <v>7228</v>
      </c>
      <c r="C239" t="s">
        <v>655</v>
      </c>
      <c r="D239" t="s">
        <v>656</v>
      </c>
      <c r="E239" t="s">
        <v>210</v>
      </c>
      <c r="F239" t="s">
        <v>657</v>
      </c>
      <c r="G239" t="s">
        <v>658</v>
      </c>
      <c r="H239" t="s">
        <v>213</v>
      </c>
      <c r="I239" t="s">
        <v>214</v>
      </c>
      <c r="J239" t="s">
        <v>71</v>
      </c>
      <c r="K239" t="s">
        <v>71</v>
      </c>
      <c r="L239" t="s">
        <v>216</v>
      </c>
      <c r="M239" t="s">
        <v>117</v>
      </c>
      <c r="N239" t="s">
        <v>217</v>
      </c>
      <c r="O239" t="s">
        <v>72</v>
      </c>
      <c r="P239" t="s">
        <v>659</v>
      </c>
      <c r="Q239" t="s">
        <v>74</v>
      </c>
      <c r="R239" t="s">
        <v>220</v>
      </c>
      <c r="S239" t="s">
        <v>81</v>
      </c>
      <c r="T239" s="44">
        <v>2.0790000000000002</v>
      </c>
      <c r="U239" t="s">
        <v>660</v>
      </c>
      <c r="V239" s="46">
        <v>4.6002000000000001E-2</v>
      </c>
      <c r="W239" s="45">
        <v>0.19159999999999999</v>
      </c>
      <c r="X239" t="s">
        <v>222</v>
      </c>
      <c r="Y239" t="s">
        <v>72</v>
      </c>
      <c r="Z239" s="44">
        <v>106852.46</v>
      </c>
      <c r="AA239" s="42">
        <v>1</v>
      </c>
      <c r="AB239" s="48">
        <v>182.43</v>
      </c>
      <c r="AD239" s="44">
        <v>194.93100000000001</v>
      </c>
      <c r="AG239" t="s">
        <v>16</v>
      </c>
      <c r="AH239" s="45">
        <v>6.7869999999999996E-3</v>
      </c>
      <c r="AI239" s="45">
        <v>9.1881586659241503E-4</v>
      </c>
      <c r="AJ239" s="45">
        <v>7.9423269292170406E-5</v>
      </c>
    </row>
    <row r="240" spans="1:36" x14ac:dyDescent="0.25">
      <c r="A240">
        <v>424</v>
      </c>
      <c r="B240">
        <v>7228</v>
      </c>
      <c r="C240" t="s">
        <v>254</v>
      </c>
      <c r="D240" t="s">
        <v>255</v>
      </c>
      <c r="E240" t="s">
        <v>210</v>
      </c>
      <c r="F240" t="s">
        <v>309</v>
      </c>
      <c r="G240" t="s">
        <v>310</v>
      </c>
      <c r="H240" t="s">
        <v>213</v>
      </c>
      <c r="I240" t="s">
        <v>214</v>
      </c>
      <c r="J240" t="s">
        <v>71</v>
      </c>
      <c r="K240" t="s">
        <v>71</v>
      </c>
      <c r="L240" t="s">
        <v>216</v>
      </c>
      <c r="M240" t="s">
        <v>109</v>
      </c>
      <c r="N240" t="s">
        <v>258</v>
      </c>
      <c r="O240" t="s">
        <v>72</v>
      </c>
      <c r="P240" t="s">
        <v>259</v>
      </c>
      <c r="Q240" t="s">
        <v>74</v>
      </c>
      <c r="R240" t="s">
        <v>220</v>
      </c>
      <c r="S240" t="s">
        <v>81</v>
      </c>
      <c r="T240" s="44">
        <v>7.2910000000000004</v>
      </c>
      <c r="U240" t="s">
        <v>311</v>
      </c>
      <c r="V240" s="46">
        <v>3.5999999999999997E-2</v>
      </c>
      <c r="W240" s="45">
        <v>3.2489999999999998E-2</v>
      </c>
      <c r="X240" t="s">
        <v>222</v>
      </c>
      <c r="Y240" t="s">
        <v>72</v>
      </c>
      <c r="Z240" s="44">
        <v>2400000</v>
      </c>
      <c r="AA240" s="42">
        <v>1</v>
      </c>
      <c r="AB240" s="48">
        <v>104.88</v>
      </c>
      <c r="AD240" s="44">
        <v>2517.12</v>
      </c>
      <c r="AG240" t="s">
        <v>16</v>
      </c>
      <c r="AH240" s="45">
        <v>3.2850000000000002E-3</v>
      </c>
      <c r="AI240" s="45">
        <v>1.1864559628950401E-2</v>
      </c>
      <c r="AJ240" s="45">
        <v>1.0255831975757E-3</v>
      </c>
    </row>
    <row r="241" spans="1:36" x14ac:dyDescent="0.25">
      <c r="A241">
        <v>424</v>
      </c>
      <c r="B241">
        <v>7228</v>
      </c>
      <c r="C241" t="s">
        <v>312</v>
      </c>
      <c r="D241" t="s">
        <v>313</v>
      </c>
      <c r="E241" t="s">
        <v>210</v>
      </c>
      <c r="F241" t="s">
        <v>314</v>
      </c>
      <c r="G241" t="s">
        <v>315</v>
      </c>
      <c r="H241" t="s">
        <v>213</v>
      </c>
      <c r="I241" t="s">
        <v>214</v>
      </c>
      <c r="J241" t="s">
        <v>71</v>
      </c>
      <c r="K241" t="s">
        <v>71</v>
      </c>
      <c r="L241" t="s">
        <v>216</v>
      </c>
      <c r="M241" t="s">
        <v>117</v>
      </c>
      <c r="N241" t="s">
        <v>258</v>
      </c>
      <c r="O241" t="s">
        <v>72</v>
      </c>
      <c r="P241" t="s">
        <v>218</v>
      </c>
      <c r="Q241" t="s">
        <v>74</v>
      </c>
      <c r="R241" t="s">
        <v>220</v>
      </c>
      <c r="S241" t="s">
        <v>81</v>
      </c>
      <c r="T241" s="44">
        <v>5.7060000000000004</v>
      </c>
      <c r="U241" t="s">
        <v>316</v>
      </c>
      <c r="V241" s="46">
        <v>3.6799999999999999E-2</v>
      </c>
      <c r="W241" s="45">
        <v>3.5349999999999999E-2</v>
      </c>
      <c r="X241" t="s">
        <v>222</v>
      </c>
      <c r="Y241" t="s">
        <v>72</v>
      </c>
      <c r="Z241" s="44">
        <v>2928000</v>
      </c>
      <c r="AA241" s="42">
        <v>1</v>
      </c>
      <c r="AB241" s="48">
        <v>105.69</v>
      </c>
      <c r="AD241" s="44">
        <v>3094.6030000000001</v>
      </c>
      <c r="AG241" t="s">
        <v>16</v>
      </c>
      <c r="AH241" s="45">
        <v>6.6E-3</v>
      </c>
      <c r="AI241" s="45">
        <v>1.45865529630454E-2</v>
      </c>
      <c r="AJ241" s="45">
        <v>1.2608747477609299E-3</v>
      </c>
    </row>
    <row r="242" spans="1:36" x14ac:dyDescent="0.25">
      <c r="A242">
        <v>424</v>
      </c>
      <c r="B242">
        <v>7228</v>
      </c>
      <c r="C242" t="s">
        <v>312</v>
      </c>
      <c r="D242" t="s">
        <v>313</v>
      </c>
      <c r="E242" t="s">
        <v>210</v>
      </c>
      <c r="F242" t="s">
        <v>317</v>
      </c>
      <c r="G242" t="s">
        <v>318</v>
      </c>
      <c r="H242" t="s">
        <v>213</v>
      </c>
      <c r="I242" t="s">
        <v>214</v>
      </c>
      <c r="J242" t="s">
        <v>71</v>
      </c>
      <c r="K242" t="s">
        <v>71</v>
      </c>
      <c r="L242" t="s">
        <v>216</v>
      </c>
      <c r="M242" t="s">
        <v>117</v>
      </c>
      <c r="N242" t="s">
        <v>258</v>
      </c>
      <c r="O242" t="s">
        <v>72</v>
      </c>
      <c r="P242" t="s">
        <v>218</v>
      </c>
      <c r="Q242" t="s">
        <v>74</v>
      </c>
      <c r="R242" t="s">
        <v>220</v>
      </c>
      <c r="S242" t="s">
        <v>81</v>
      </c>
      <c r="T242" s="44">
        <v>1.4610000000000001</v>
      </c>
      <c r="U242" t="s">
        <v>319</v>
      </c>
      <c r="V242" s="46">
        <v>3.4599999999999999E-2</v>
      </c>
      <c r="W242" s="45">
        <v>3.0300000000000001E-2</v>
      </c>
      <c r="X242" t="s">
        <v>222</v>
      </c>
      <c r="Y242" t="s">
        <v>72</v>
      </c>
      <c r="Z242" s="44">
        <v>0.91</v>
      </c>
      <c r="AA242" s="42">
        <v>1</v>
      </c>
      <c r="AB242" s="48">
        <v>118.35</v>
      </c>
      <c r="AD242" s="44">
        <v>1E-3</v>
      </c>
      <c r="AG242" t="s">
        <v>16</v>
      </c>
      <c r="AH242" s="45">
        <v>0</v>
      </c>
      <c r="AI242" s="45">
        <v>5.0764177917561098E-9</v>
      </c>
      <c r="AJ242" s="45">
        <v>4.38810116339733E-10</v>
      </c>
    </row>
    <row r="243" spans="1:36" x14ac:dyDescent="0.25">
      <c r="A243">
        <v>424</v>
      </c>
      <c r="B243">
        <v>7228</v>
      </c>
      <c r="C243" t="s">
        <v>320</v>
      </c>
      <c r="D243" t="s">
        <v>321</v>
      </c>
      <c r="E243" t="s">
        <v>210</v>
      </c>
      <c r="F243" t="s">
        <v>322</v>
      </c>
      <c r="G243" t="s">
        <v>323</v>
      </c>
      <c r="H243" t="s">
        <v>213</v>
      </c>
      <c r="I243" t="s">
        <v>239</v>
      </c>
      <c r="J243" t="s">
        <v>71</v>
      </c>
      <c r="K243" t="s">
        <v>71</v>
      </c>
      <c r="L243" t="s">
        <v>216</v>
      </c>
      <c r="M243" t="s">
        <v>117</v>
      </c>
      <c r="N243" t="s">
        <v>234</v>
      </c>
      <c r="O243" t="s">
        <v>72</v>
      </c>
      <c r="P243" t="s">
        <v>246</v>
      </c>
      <c r="Q243" t="s">
        <v>74</v>
      </c>
      <c r="R243" t="s">
        <v>220</v>
      </c>
      <c r="S243" t="s">
        <v>81</v>
      </c>
      <c r="T243" s="44">
        <v>2.2389999999999999</v>
      </c>
      <c r="U243" t="s">
        <v>324</v>
      </c>
      <c r="V243" s="46">
        <v>2.7E-2</v>
      </c>
      <c r="W243" s="45">
        <v>5.4039999999999998E-2</v>
      </c>
      <c r="X243" t="s">
        <v>222</v>
      </c>
      <c r="Y243" t="s">
        <v>72</v>
      </c>
      <c r="Z243" s="44">
        <v>2210000</v>
      </c>
      <c r="AA243" s="42">
        <v>1</v>
      </c>
      <c r="AB243" s="48">
        <v>94.31</v>
      </c>
      <c r="AD243" s="44">
        <v>2084.2510000000002</v>
      </c>
      <c r="AG243" t="s">
        <v>16</v>
      </c>
      <c r="AH243" s="45">
        <v>3.8649999999999999E-3</v>
      </c>
      <c r="AI243" s="45">
        <v>9.8242119053519508E-3</v>
      </c>
      <c r="AJ243" s="45">
        <v>8.4921370658941895E-4</v>
      </c>
    </row>
    <row r="244" spans="1:36" x14ac:dyDescent="0.25">
      <c r="A244">
        <v>424</v>
      </c>
      <c r="B244">
        <v>7228</v>
      </c>
      <c r="C244" t="s">
        <v>325</v>
      </c>
      <c r="D244" t="s">
        <v>326</v>
      </c>
      <c r="E244" t="s">
        <v>210</v>
      </c>
      <c r="F244" t="s">
        <v>327</v>
      </c>
      <c r="G244" t="s">
        <v>328</v>
      </c>
      <c r="H244" t="s">
        <v>213</v>
      </c>
      <c r="I244" t="s">
        <v>239</v>
      </c>
      <c r="J244" t="s">
        <v>71</v>
      </c>
      <c r="K244" t="s">
        <v>71</v>
      </c>
      <c r="L244" t="s">
        <v>216</v>
      </c>
      <c r="M244" t="s">
        <v>109</v>
      </c>
      <c r="N244" t="s">
        <v>329</v>
      </c>
      <c r="O244" t="s">
        <v>72</v>
      </c>
      <c r="P244" t="s">
        <v>235</v>
      </c>
      <c r="Q244" t="s">
        <v>219</v>
      </c>
      <c r="R244" t="s">
        <v>220</v>
      </c>
      <c r="S244" t="s">
        <v>81</v>
      </c>
      <c r="T244" s="44">
        <v>4.07</v>
      </c>
      <c r="U244" t="s">
        <v>330</v>
      </c>
      <c r="V244" s="46">
        <v>5.5E-2</v>
      </c>
      <c r="W244" s="45">
        <v>5.1830000000000001E-2</v>
      </c>
      <c r="X244" t="s">
        <v>222</v>
      </c>
      <c r="Y244" t="s">
        <v>72</v>
      </c>
      <c r="Z244" s="44">
        <v>4857233.42</v>
      </c>
      <c r="AA244" s="42">
        <v>1</v>
      </c>
      <c r="AB244" s="48">
        <v>104.5</v>
      </c>
      <c r="AD244" s="44">
        <v>5075.8090000000002</v>
      </c>
      <c r="AG244" t="s">
        <v>16</v>
      </c>
      <c r="AH244" s="45">
        <v>4.8129999999999996E-3</v>
      </c>
      <c r="AI244" s="45">
        <v>2.3925056271759001E-2</v>
      </c>
      <c r="AJ244" s="45">
        <v>2.0681033667273099E-3</v>
      </c>
    </row>
    <row r="245" spans="1:36" x14ac:dyDescent="0.25">
      <c r="A245">
        <v>424</v>
      </c>
      <c r="B245">
        <v>7228</v>
      </c>
      <c r="C245" t="s">
        <v>331</v>
      </c>
      <c r="D245" t="s">
        <v>332</v>
      </c>
      <c r="E245" t="s">
        <v>210</v>
      </c>
      <c r="F245" t="s">
        <v>333</v>
      </c>
      <c r="G245" t="s">
        <v>334</v>
      </c>
      <c r="H245" t="s">
        <v>213</v>
      </c>
      <c r="I245" t="s">
        <v>214</v>
      </c>
      <c r="J245" t="s">
        <v>71</v>
      </c>
      <c r="K245" t="s">
        <v>71</v>
      </c>
      <c r="L245" t="s">
        <v>216</v>
      </c>
      <c r="M245" t="s">
        <v>117</v>
      </c>
      <c r="N245" t="s">
        <v>258</v>
      </c>
      <c r="O245" t="s">
        <v>72</v>
      </c>
      <c r="P245" t="s">
        <v>228</v>
      </c>
      <c r="Q245" t="s">
        <v>219</v>
      </c>
      <c r="R245" t="s">
        <v>220</v>
      </c>
      <c r="S245" t="s">
        <v>81</v>
      </c>
      <c r="T245" s="44">
        <v>4.0019999999999998</v>
      </c>
      <c r="U245" t="s">
        <v>335</v>
      </c>
      <c r="V245" s="46">
        <v>1.17E-2</v>
      </c>
      <c r="W245" s="45">
        <v>2.9520000000000001E-2</v>
      </c>
      <c r="X245" t="s">
        <v>222</v>
      </c>
      <c r="Y245" t="s">
        <v>72</v>
      </c>
      <c r="Z245" s="44">
        <v>2397394.14</v>
      </c>
      <c r="AA245" s="42">
        <v>1</v>
      </c>
      <c r="AB245" s="48">
        <v>107.32</v>
      </c>
      <c r="AD245" s="44">
        <v>2572.8829999999998</v>
      </c>
      <c r="AG245" t="s">
        <v>16</v>
      </c>
      <c r="AH245" s="45">
        <v>3.4819999999999999E-3</v>
      </c>
      <c r="AI245" s="45">
        <v>1.21274029094462E-2</v>
      </c>
      <c r="AJ245" s="45">
        <v>1.0483036069716301E-3</v>
      </c>
    </row>
    <row r="246" spans="1:36" x14ac:dyDescent="0.25">
      <c r="A246">
        <v>424</v>
      </c>
      <c r="B246">
        <v>7228</v>
      </c>
      <c r="C246" t="s">
        <v>331</v>
      </c>
      <c r="D246" t="s">
        <v>332</v>
      </c>
      <c r="E246" t="s">
        <v>210</v>
      </c>
      <c r="F246" t="s">
        <v>336</v>
      </c>
      <c r="G246" t="s">
        <v>337</v>
      </c>
      <c r="H246" t="s">
        <v>213</v>
      </c>
      <c r="I246" t="s">
        <v>214</v>
      </c>
      <c r="J246" t="s">
        <v>71</v>
      </c>
      <c r="K246" t="s">
        <v>71</v>
      </c>
      <c r="L246" t="s">
        <v>216</v>
      </c>
      <c r="M246" t="s">
        <v>117</v>
      </c>
      <c r="N246" t="s">
        <v>258</v>
      </c>
      <c r="O246" t="s">
        <v>72</v>
      </c>
      <c r="P246" t="s">
        <v>228</v>
      </c>
      <c r="Q246" t="s">
        <v>219</v>
      </c>
      <c r="R246" t="s">
        <v>220</v>
      </c>
      <c r="S246" t="s">
        <v>81</v>
      </c>
      <c r="T246" s="44">
        <v>4.0090000000000003</v>
      </c>
      <c r="U246" t="s">
        <v>305</v>
      </c>
      <c r="V246" s="46">
        <v>1.3299999999999999E-2</v>
      </c>
      <c r="W246" s="45">
        <v>3.049E-2</v>
      </c>
      <c r="X246" t="s">
        <v>222</v>
      </c>
      <c r="Y246" t="s">
        <v>72</v>
      </c>
      <c r="Z246" s="44">
        <v>1530000</v>
      </c>
      <c r="AA246" s="42">
        <v>1</v>
      </c>
      <c r="AB246" s="48">
        <v>107.88</v>
      </c>
      <c r="AD246" s="44">
        <v>1650.5640000000001</v>
      </c>
      <c r="AG246" t="s">
        <v>16</v>
      </c>
      <c r="AH246" s="45">
        <v>1.3600000000000001E-3</v>
      </c>
      <c r="AI246" s="45">
        <v>7.7800085015410003E-3</v>
      </c>
      <c r="AJ246" s="45">
        <v>6.7251092714028097E-4</v>
      </c>
    </row>
    <row r="247" spans="1:36" x14ac:dyDescent="0.25">
      <c r="A247">
        <v>424</v>
      </c>
      <c r="B247">
        <v>7228</v>
      </c>
      <c r="C247" t="s">
        <v>331</v>
      </c>
      <c r="D247" t="s">
        <v>332</v>
      </c>
      <c r="E247" t="s">
        <v>210</v>
      </c>
      <c r="F247" t="s">
        <v>338</v>
      </c>
      <c r="G247" t="s">
        <v>339</v>
      </c>
      <c r="H247" t="s">
        <v>213</v>
      </c>
      <c r="I247" t="s">
        <v>214</v>
      </c>
      <c r="J247" t="s">
        <v>71</v>
      </c>
      <c r="K247" t="s">
        <v>71</v>
      </c>
      <c r="L247" t="s">
        <v>216</v>
      </c>
      <c r="M247" t="s">
        <v>117</v>
      </c>
      <c r="N247" t="s">
        <v>258</v>
      </c>
      <c r="O247" t="s">
        <v>72</v>
      </c>
      <c r="P247" t="s">
        <v>228</v>
      </c>
      <c r="Q247" t="s">
        <v>74</v>
      </c>
      <c r="R247" t="s">
        <v>220</v>
      </c>
      <c r="S247" t="s">
        <v>81</v>
      </c>
      <c r="T247" s="44">
        <v>4.8780000000000001</v>
      </c>
      <c r="U247" t="s">
        <v>340</v>
      </c>
      <c r="V247" s="46">
        <v>1.8700000000000001E-2</v>
      </c>
      <c r="W247" s="45">
        <v>3.1629999999999998E-2</v>
      </c>
      <c r="X247" t="s">
        <v>222</v>
      </c>
      <c r="Y247" t="s">
        <v>72</v>
      </c>
      <c r="Z247" s="44">
        <v>3390000</v>
      </c>
      <c r="AA247" s="42">
        <v>1</v>
      </c>
      <c r="AB247" s="48">
        <v>105.08</v>
      </c>
      <c r="AD247" s="44">
        <v>3562.212</v>
      </c>
      <c r="AG247" t="s">
        <v>16</v>
      </c>
      <c r="AH247" s="45">
        <v>3.3119999999999998E-3</v>
      </c>
      <c r="AI247" s="45">
        <v>1.6790648314328499E-2</v>
      </c>
      <c r="AJ247" s="45">
        <v>1.4513987308521401E-3</v>
      </c>
    </row>
    <row r="248" spans="1:36" x14ac:dyDescent="0.25">
      <c r="A248">
        <v>424</v>
      </c>
      <c r="B248">
        <v>7228</v>
      </c>
      <c r="C248" t="s">
        <v>320</v>
      </c>
      <c r="D248" t="s">
        <v>321</v>
      </c>
      <c r="E248" t="s">
        <v>210</v>
      </c>
      <c r="F248" t="s">
        <v>341</v>
      </c>
      <c r="G248" t="s">
        <v>342</v>
      </c>
      <c r="H248" t="s">
        <v>213</v>
      </c>
      <c r="I248" t="s">
        <v>239</v>
      </c>
      <c r="J248" t="s">
        <v>71</v>
      </c>
      <c r="K248" t="s">
        <v>71</v>
      </c>
      <c r="L248" t="s">
        <v>216</v>
      </c>
      <c r="M248" t="s">
        <v>117</v>
      </c>
      <c r="N248" t="s">
        <v>234</v>
      </c>
      <c r="O248" t="s">
        <v>72</v>
      </c>
      <c r="P248" t="s">
        <v>246</v>
      </c>
      <c r="Q248" t="s">
        <v>74</v>
      </c>
      <c r="R248" t="s">
        <v>220</v>
      </c>
      <c r="S248" t="s">
        <v>81</v>
      </c>
      <c r="T248" s="44">
        <v>4.2629999999999999</v>
      </c>
      <c r="U248" t="s">
        <v>343</v>
      </c>
      <c r="V248" s="46">
        <v>5.7500000000000002E-2</v>
      </c>
      <c r="W248" s="45">
        <v>5.493E-2</v>
      </c>
      <c r="X248" t="s">
        <v>222</v>
      </c>
      <c r="Y248" t="s">
        <v>72</v>
      </c>
      <c r="Z248" s="44">
        <v>2229683</v>
      </c>
      <c r="AA248" s="42">
        <v>1</v>
      </c>
      <c r="AB248" s="48">
        <v>101.46</v>
      </c>
      <c r="AD248" s="44">
        <v>2262.2359999999999</v>
      </c>
      <c r="AG248" t="s">
        <v>16</v>
      </c>
      <c r="AH248" s="45">
        <v>4.2469999999999999E-3</v>
      </c>
      <c r="AI248" s="45">
        <v>1.06631540522508E-2</v>
      </c>
      <c r="AJ248" s="45">
        <v>9.2173261976493E-4</v>
      </c>
    </row>
    <row r="249" spans="1:36" x14ac:dyDescent="0.25">
      <c r="A249">
        <v>424</v>
      </c>
      <c r="B249">
        <v>7228</v>
      </c>
      <c r="C249" t="s">
        <v>344</v>
      </c>
      <c r="D249" t="s">
        <v>345</v>
      </c>
      <c r="E249" t="s">
        <v>210</v>
      </c>
      <c r="F249" t="s">
        <v>352</v>
      </c>
      <c r="G249" t="s">
        <v>353</v>
      </c>
      <c r="H249" t="s">
        <v>213</v>
      </c>
      <c r="I249" t="s">
        <v>214</v>
      </c>
      <c r="J249" t="s">
        <v>71</v>
      </c>
      <c r="K249" t="s">
        <v>71</v>
      </c>
      <c r="L249" t="s">
        <v>216</v>
      </c>
      <c r="M249" t="s">
        <v>117</v>
      </c>
      <c r="N249" t="s">
        <v>258</v>
      </c>
      <c r="O249" t="s">
        <v>72</v>
      </c>
      <c r="P249" t="s">
        <v>259</v>
      </c>
      <c r="Q249" t="s">
        <v>74</v>
      </c>
      <c r="R249" t="s">
        <v>220</v>
      </c>
      <c r="S249" t="s">
        <v>81</v>
      </c>
      <c r="T249" s="44">
        <v>4.673</v>
      </c>
      <c r="U249" t="s">
        <v>354</v>
      </c>
      <c r="V249" s="46">
        <v>5.8999999999999999E-3</v>
      </c>
      <c r="W249" s="45">
        <v>3.0779999999999998E-2</v>
      </c>
      <c r="X249" t="s">
        <v>222</v>
      </c>
      <c r="Y249" t="s">
        <v>72</v>
      </c>
      <c r="Z249" s="44">
        <v>2348171</v>
      </c>
      <c r="AA249" s="42">
        <v>1</v>
      </c>
      <c r="AB249" s="48">
        <v>100.11</v>
      </c>
      <c r="AD249" s="44">
        <v>2350.7539999999999</v>
      </c>
      <c r="AG249" t="s">
        <v>16</v>
      </c>
      <c r="AH249" s="45">
        <v>1.6770000000000001E-3</v>
      </c>
      <c r="AI249" s="45">
        <v>1.10803858635287E-2</v>
      </c>
      <c r="AJ249" s="45">
        <v>9.5779851251805105E-4</v>
      </c>
    </row>
    <row r="250" spans="1:36" x14ac:dyDescent="0.25">
      <c r="A250">
        <v>424</v>
      </c>
      <c r="B250">
        <v>7228</v>
      </c>
      <c r="C250" t="s">
        <v>344</v>
      </c>
      <c r="D250" t="s">
        <v>345</v>
      </c>
      <c r="E250" t="s">
        <v>210</v>
      </c>
      <c r="F250" t="s">
        <v>355</v>
      </c>
      <c r="G250" t="s">
        <v>356</v>
      </c>
      <c r="H250" t="s">
        <v>213</v>
      </c>
      <c r="I250" t="s">
        <v>214</v>
      </c>
      <c r="J250" t="s">
        <v>71</v>
      </c>
      <c r="K250" t="s">
        <v>71</v>
      </c>
      <c r="L250" t="s">
        <v>216</v>
      </c>
      <c r="M250" t="s">
        <v>109</v>
      </c>
      <c r="N250" t="s">
        <v>258</v>
      </c>
      <c r="O250" t="s">
        <v>72</v>
      </c>
      <c r="P250" t="s">
        <v>259</v>
      </c>
      <c r="Q250" t="s">
        <v>74</v>
      </c>
      <c r="R250" t="s">
        <v>220</v>
      </c>
      <c r="S250" t="s">
        <v>81</v>
      </c>
      <c r="T250" s="44">
        <v>3.3180000000000001</v>
      </c>
      <c r="U250" t="s">
        <v>357</v>
      </c>
      <c r="V250" s="46">
        <v>3.3399999999999999E-2</v>
      </c>
      <c r="W250" s="45">
        <v>3.0470000000000001E-2</v>
      </c>
      <c r="X250" t="s">
        <v>222</v>
      </c>
      <c r="Y250" t="s">
        <v>72</v>
      </c>
      <c r="Z250" s="44">
        <v>3817783</v>
      </c>
      <c r="AA250" s="42">
        <v>1</v>
      </c>
      <c r="AB250" s="48">
        <v>102.84</v>
      </c>
      <c r="AD250" s="44">
        <v>3926.2080000000001</v>
      </c>
      <c r="AG250" t="s">
        <v>16</v>
      </c>
      <c r="AH250" s="45">
        <v>3.5479999999999999E-3</v>
      </c>
      <c r="AI250" s="45">
        <v>1.8506360194596901E-2</v>
      </c>
      <c r="AJ250" s="45">
        <v>1.59970640777516E-3</v>
      </c>
    </row>
    <row r="251" spans="1:36" x14ac:dyDescent="0.25">
      <c r="A251">
        <v>424</v>
      </c>
      <c r="B251">
        <v>7228</v>
      </c>
      <c r="C251" t="s">
        <v>344</v>
      </c>
      <c r="D251" t="s">
        <v>345</v>
      </c>
      <c r="E251" t="s">
        <v>210</v>
      </c>
      <c r="F251" t="s">
        <v>358</v>
      </c>
      <c r="G251" t="s">
        <v>359</v>
      </c>
      <c r="H251" t="s">
        <v>213</v>
      </c>
      <c r="I251" t="s">
        <v>214</v>
      </c>
      <c r="J251" t="s">
        <v>71</v>
      </c>
      <c r="K251" t="s">
        <v>71</v>
      </c>
      <c r="L251" t="s">
        <v>216</v>
      </c>
      <c r="M251" t="s">
        <v>117</v>
      </c>
      <c r="N251" t="s">
        <v>258</v>
      </c>
      <c r="O251" t="s">
        <v>72</v>
      </c>
      <c r="P251" t="s">
        <v>259</v>
      </c>
      <c r="Q251" t="s">
        <v>74</v>
      </c>
      <c r="R251" t="s">
        <v>220</v>
      </c>
      <c r="S251" t="s">
        <v>81</v>
      </c>
      <c r="T251" s="44">
        <v>0.98599999999999999</v>
      </c>
      <c r="U251" t="s">
        <v>360</v>
      </c>
      <c r="V251" s="46">
        <v>4.7500000000000001E-2</v>
      </c>
      <c r="W251" s="45">
        <v>2.462E-2</v>
      </c>
      <c r="X251" t="s">
        <v>222</v>
      </c>
      <c r="Y251" t="s">
        <v>72</v>
      </c>
      <c r="Z251" s="44">
        <v>535672.98</v>
      </c>
      <c r="AA251" s="42">
        <v>1</v>
      </c>
      <c r="AB251" s="48">
        <v>143.4</v>
      </c>
      <c r="AD251" s="44">
        <v>768.15499999999997</v>
      </c>
      <c r="AG251" t="s">
        <v>16</v>
      </c>
      <c r="AH251" s="45">
        <v>1.121E-3</v>
      </c>
      <c r="AI251" s="45">
        <v>3.62073378877237E-3</v>
      </c>
      <c r="AJ251" s="45">
        <v>3.1297948282873301E-4</v>
      </c>
    </row>
    <row r="252" spans="1:36" x14ac:dyDescent="0.25">
      <c r="A252">
        <v>424</v>
      </c>
      <c r="B252">
        <v>7228</v>
      </c>
      <c r="C252" t="s">
        <v>661</v>
      </c>
      <c r="D252" t="s">
        <v>662</v>
      </c>
      <c r="E252" t="s">
        <v>210</v>
      </c>
      <c r="F252" t="s">
        <v>663</v>
      </c>
      <c r="G252" t="s">
        <v>664</v>
      </c>
      <c r="H252" t="s">
        <v>213</v>
      </c>
      <c r="I252" t="s">
        <v>214</v>
      </c>
      <c r="J252" t="s">
        <v>71</v>
      </c>
      <c r="K252" t="s">
        <v>71</v>
      </c>
      <c r="L252" t="s">
        <v>216</v>
      </c>
      <c r="M252" t="s">
        <v>117</v>
      </c>
      <c r="N252" t="s">
        <v>272</v>
      </c>
      <c r="O252" t="s">
        <v>72</v>
      </c>
      <c r="P252" t="s">
        <v>246</v>
      </c>
      <c r="Q252" t="s">
        <v>74</v>
      </c>
      <c r="R252" t="s">
        <v>220</v>
      </c>
      <c r="S252" t="s">
        <v>81</v>
      </c>
      <c r="T252" s="44">
        <v>4.2450000000000001</v>
      </c>
      <c r="U252" t="s">
        <v>448</v>
      </c>
      <c r="V252" s="46">
        <v>7.4999999999999997E-3</v>
      </c>
      <c r="W252" s="45">
        <v>3.288E-2</v>
      </c>
      <c r="X252" t="s">
        <v>222</v>
      </c>
      <c r="Y252" t="s">
        <v>72</v>
      </c>
      <c r="Z252" s="44">
        <v>0.9</v>
      </c>
      <c r="AA252" s="42">
        <v>1</v>
      </c>
      <c r="AB252" s="48">
        <v>100.84</v>
      </c>
      <c r="AD252" s="44">
        <v>1E-3</v>
      </c>
      <c r="AG252" t="s">
        <v>16</v>
      </c>
      <c r="AH252" s="45">
        <v>0</v>
      </c>
      <c r="AI252" s="45">
        <v>4.2778253467654402E-9</v>
      </c>
      <c r="AJ252" s="45">
        <v>3.6977906766137701E-10</v>
      </c>
    </row>
    <row r="253" spans="1:36" x14ac:dyDescent="0.25">
      <c r="A253">
        <v>424</v>
      </c>
      <c r="B253">
        <v>7228</v>
      </c>
      <c r="C253" t="s">
        <v>361</v>
      </c>
      <c r="D253" t="s">
        <v>362</v>
      </c>
      <c r="E253" t="s">
        <v>210</v>
      </c>
      <c r="F253" t="s">
        <v>363</v>
      </c>
      <c r="G253" t="s">
        <v>364</v>
      </c>
      <c r="H253" t="s">
        <v>213</v>
      </c>
      <c r="I253" t="s">
        <v>214</v>
      </c>
      <c r="J253" t="s">
        <v>71</v>
      </c>
      <c r="K253" t="s">
        <v>71</v>
      </c>
      <c r="L253" t="s">
        <v>216</v>
      </c>
      <c r="M253" t="s">
        <v>117</v>
      </c>
      <c r="N253" t="s">
        <v>365</v>
      </c>
      <c r="O253" t="s">
        <v>72</v>
      </c>
      <c r="P253" t="s">
        <v>73</v>
      </c>
      <c r="Q253" t="s">
        <v>74</v>
      </c>
      <c r="R253" t="s">
        <v>220</v>
      </c>
      <c r="S253" t="s">
        <v>81</v>
      </c>
      <c r="T253" s="44">
        <v>5.1459999999999999</v>
      </c>
      <c r="U253" t="s">
        <v>366</v>
      </c>
      <c r="V253" s="46">
        <v>2.47E-2</v>
      </c>
      <c r="W253" s="45">
        <v>2.6089999999999999E-2</v>
      </c>
      <c r="X253" t="s">
        <v>222</v>
      </c>
      <c r="Y253" t="s">
        <v>72</v>
      </c>
      <c r="Z253" s="44">
        <v>5159894.74</v>
      </c>
      <c r="AA253" s="42">
        <v>1</v>
      </c>
      <c r="AB253" s="48">
        <v>101.3</v>
      </c>
      <c r="AD253" s="44">
        <v>5226.973</v>
      </c>
      <c r="AG253" t="s">
        <v>16</v>
      </c>
      <c r="AH253" s="45">
        <v>1.983E-3</v>
      </c>
      <c r="AI253" s="45">
        <v>2.4637576772868E-2</v>
      </c>
      <c r="AJ253" s="45">
        <v>2.12969427921954E-3</v>
      </c>
    </row>
    <row r="254" spans="1:36" x14ac:dyDescent="0.25">
      <c r="A254">
        <v>424</v>
      </c>
      <c r="B254">
        <v>7228</v>
      </c>
      <c r="C254" t="s">
        <v>367</v>
      </c>
      <c r="D254" t="s">
        <v>368</v>
      </c>
      <c r="E254" t="s">
        <v>210</v>
      </c>
      <c r="F254" t="s">
        <v>369</v>
      </c>
      <c r="G254" t="s">
        <v>370</v>
      </c>
      <c r="H254" t="s">
        <v>213</v>
      </c>
      <c r="I254" t="s">
        <v>214</v>
      </c>
      <c r="J254" t="s">
        <v>71</v>
      </c>
      <c r="K254" t="s">
        <v>71</v>
      </c>
      <c r="L254" t="s">
        <v>216</v>
      </c>
      <c r="M254" t="s">
        <v>117</v>
      </c>
      <c r="N254" t="s">
        <v>272</v>
      </c>
      <c r="O254" t="s">
        <v>72</v>
      </c>
      <c r="P254" t="s">
        <v>371</v>
      </c>
      <c r="Q254" t="s">
        <v>74</v>
      </c>
      <c r="R254" t="s">
        <v>220</v>
      </c>
      <c r="S254" t="s">
        <v>81</v>
      </c>
      <c r="T254" s="44">
        <v>0.751</v>
      </c>
      <c r="U254" t="s">
        <v>372</v>
      </c>
      <c r="V254" s="46">
        <v>4.9500000000000002E-2</v>
      </c>
      <c r="W254" s="45">
        <v>3.3649999999999999E-2</v>
      </c>
      <c r="X254" t="s">
        <v>222</v>
      </c>
      <c r="Y254" t="s">
        <v>373</v>
      </c>
      <c r="Z254" s="44">
        <v>0.4</v>
      </c>
      <c r="AA254" s="42">
        <v>1</v>
      </c>
      <c r="AB254" s="48">
        <v>142.91999999999999</v>
      </c>
      <c r="AD254" s="44">
        <v>1E-3</v>
      </c>
      <c r="AG254" t="s">
        <v>16</v>
      </c>
      <c r="AH254" s="45">
        <v>0</v>
      </c>
      <c r="AI254" s="45">
        <v>2.69463968689549E-9</v>
      </c>
      <c r="AJ254" s="45">
        <v>2.3292707633727399E-10</v>
      </c>
    </row>
    <row r="255" spans="1:36" x14ac:dyDescent="0.25">
      <c r="A255">
        <v>424</v>
      </c>
      <c r="B255">
        <v>7228</v>
      </c>
      <c r="C255" t="s">
        <v>361</v>
      </c>
      <c r="D255" t="s">
        <v>362</v>
      </c>
      <c r="E255" t="s">
        <v>210</v>
      </c>
      <c r="F255" t="s">
        <v>374</v>
      </c>
      <c r="G255" t="s">
        <v>375</v>
      </c>
      <c r="H255" t="s">
        <v>213</v>
      </c>
      <c r="I255" t="s">
        <v>214</v>
      </c>
      <c r="J255" t="s">
        <v>71</v>
      </c>
      <c r="K255" t="s">
        <v>71</v>
      </c>
      <c r="L255" t="s">
        <v>216</v>
      </c>
      <c r="M255" t="s">
        <v>117</v>
      </c>
      <c r="N255" t="s">
        <v>365</v>
      </c>
      <c r="O255" t="s">
        <v>72</v>
      </c>
      <c r="P255" t="s">
        <v>228</v>
      </c>
      <c r="Q255" t="s">
        <v>74</v>
      </c>
      <c r="R255" t="s">
        <v>220</v>
      </c>
      <c r="S255" t="s">
        <v>81</v>
      </c>
      <c r="T255" s="44">
        <v>3.488</v>
      </c>
      <c r="U255" t="s">
        <v>376</v>
      </c>
      <c r="V255" s="46">
        <v>3.1699999999999999E-2</v>
      </c>
      <c r="W255" s="45">
        <v>3.0249999999999999E-2</v>
      </c>
      <c r="X255" t="s">
        <v>222</v>
      </c>
      <c r="Y255" t="s">
        <v>72</v>
      </c>
      <c r="Z255" s="44">
        <v>3000000</v>
      </c>
      <c r="AA255" s="42">
        <v>1</v>
      </c>
      <c r="AB255" s="48">
        <v>108.94</v>
      </c>
      <c r="AD255" s="44">
        <v>3268.2</v>
      </c>
      <c r="AG255" t="s">
        <v>16</v>
      </c>
      <c r="AH255" s="45">
        <v>3.552E-3</v>
      </c>
      <c r="AI255" s="45">
        <v>1.5404809377119799E-2</v>
      </c>
      <c r="AJ255" s="45">
        <v>1.33160556759984E-3</v>
      </c>
    </row>
    <row r="256" spans="1:36" x14ac:dyDescent="0.25">
      <c r="A256">
        <v>424</v>
      </c>
      <c r="B256">
        <v>7228</v>
      </c>
      <c r="C256" t="s">
        <v>377</v>
      </c>
      <c r="D256" t="s">
        <v>378</v>
      </c>
      <c r="E256" t="s">
        <v>210</v>
      </c>
      <c r="F256" t="s">
        <v>382</v>
      </c>
      <c r="G256" t="s">
        <v>383</v>
      </c>
      <c r="H256" t="s">
        <v>213</v>
      </c>
      <c r="I256" t="s">
        <v>214</v>
      </c>
      <c r="J256" t="s">
        <v>71</v>
      </c>
      <c r="K256" t="s">
        <v>71</v>
      </c>
      <c r="L256" t="s">
        <v>216</v>
      </c>
      <c r="M256" t="s">
        <v>117</v>
      </c>
      <c r="N256" t="s">
        <v>234</v>
      </c>
      <c r="O256" t="s">
        <v>72</v>
      </c>
      <c r="P256" t="s">
        <v>235</v>
      </c>
      <c r="Q256" t="s">
        <v>74</v>
      </c>
      <c r="R256" t="s">
        <v>220</v>
      </c>
      <c r="S256" t="s">
        <v>81</v>
      </c>
      <c r="T256" s="44">
        <v>5.7770000000000001</v>
      </c>
      <c r="U256" t="s">
        <v>384</v>
      </c>
      <c r="V256" s="46">
        <v>3.3000000000000002E-2</v>
      </c>
      <c r="W256" s="45">
        <v>3.7769999999999998E-2</v>
      </c>
      <c r="X256" t="s">
        <v>222</v>
      </c>
      <c r="Y256" t="s">
        <v>72</v>
      </c>
      <c r="Z256" s="44">
        <v>3728053.85</v>
      </c>
      <c r="AA256" s="42">
        <v>1</v>
      </c>
      <c r="AB256" s="48">
        <v>104.23</v>
      </c>
      <c r="AD256" s="44">
        <v>3885.7510000000002</v>
      </c>
      <c r="AG256" t="s">
        <v>16</v>
      </c>
      <c r="AH256" s="45">
        <v>3.143E-3</v>
      </c>
      <c r="AI256" s="45">
        <v>1.83156618838042E-2</v>
      </c>
      <c r="AJ256" s="45">
        <v>1.5832222744005099E-3</v>
      </c>
    </row>
    <row r="257" spans="1:36" x14ac:dyDescent="0.25">
      <c r="A257">
        <v>424</v>
      </c>
      <c r="B257">
        <v>7228</v>
      </c>
      <c r="C257" t="s">
        <v>385</v>
      </c>
      <c r="D257" t="s">
        <v>386</v>
      </c>
      <c r="E257" t="s">
        <v>210</v>
      </c>
      <c r="F257" t="s">
        <v>387</v>
      </c>
      <c r="G257" t="s">
        <v>388</v>
      </c>
      <c r="H257" t="s">
        <v>213</v>
      </c>
      <c r="I257" t="s">
        <v>214</v>
      </c>
      <c r="J257" t="s">
        <v>71</v>
      </c>
      <c r="K257" t="s">
        <v>71</v>
      </c>
      <c r="L257" t="s">
        <v>216</v>
      </c>
      <c r="M257" t="s">
        <v>117</v>
      </c>
      <c r="N257" t="s">
        <v>258</v>
      </c>
      <c r="O257" t="s">
        <v>72</v>
      </c>
      <c r="P257" t="s">
        <v>235</v>
      </c>
      <c r="Q257" t="s">
        <v>74</v>
      </c>
      <c r="R257" t="s">
        <v>220</v>
      </c>
      <c r="S257" t="s">
        <v>81</v>
      </c>
      <c r="T257" s="44">
        <v>2.1389999999999998</v>
      </c>
      <c r="U257" t="s">
        <v>247</v>
      </c>
      <c r="V257" s="46">
        <v>3.6499999999999998E-2</v>
      </c>
      <c r="W257" s="45">
        <v>3.637E-2</v>
      </c>
      <c r="X257" t="s">
        <v>222</v>
      </c>
      <c r="Y257" t="s">
        <v>72</v>
      </c>
      <c r="Z257" s="44">
        <v>1376000</v>
      </c>
      <c r="AA257" s="42">
        <v>1</v>
      </c>
      <c r="AB257" s="48">
        <v>108.36</v>
      </c>
      <c r="AD257" s="44">
        <v>1491.0340000000001</v>
      </c>
      <c r="AG257" t="s">
        <v>16</v>
      </c>
      <c r="AH257" s="45">
        <v>5.2750000000000002E-3</v>
      </c>
      <c r="AI257" s="45">
        <v>7.0280547037759799E-3</v>
      </c>
      <c r="AJ257" s="45">
        <v>6.0751136504449998E-4</v>
      </c>
    </row>
    <row r="258" spans="1:36" x14ac:dyDescent="0.25">
      <c r="A258">
        <v>424</v>
      </c>
      <c r="B258">
        <v>7228</v>
      </c>
      <c r="C258" t="s">
        <v>385</v>
      </c>
      <c r="D258" t="s">
        <v>386</v>
      </c>
      <c r="E258" t="s">
        <v>210</v>
      </c>
      <c r="F258" t="s">
        <v>389</v>
      </c>
      <c r="G258" t="s">
        <v>390</v>
      </c>
      <c r="H258" t="s">
        <v>213</v>
      </c>
      <c r="I258" t="s">
        <v>214</v>
      </c>
      <c r="J258" t="s">
        <v>71</v>
      </c>
      <c r="K258" t="s">
        <v>71</v>
      </c>
      <c r="L258" t="s">
        <v>216</v>
      </c>
      <c r="M258" t="s">
        <v>117</v>
      </c>
      <c r="N258" t="s">
        <v>258</v>
      </c>
      <c r="O258" t="s">
        <v>72</v>
      </c>
      <c r="P258" t="s">
        <v>218</v>
      </c>
      <c r="Q258" t="s">
        <v>74</v>
      </c>
      <c r="R258" t="s">
        <v>220</v>
      </c>
      <c r="S258" t="s">
        <v>81</v>
      </c>
      <c r="T258" s="44">
        <v>2.492</v>
      </c>
      <c r="U258" t="s">
        <v>391</v>
      </c>
      <c r="V258" s="46">
        <v>1.7999999999999999E-2</v>
      </c>
      <c r="W258" s="45">
        <v>2.9749999999999999E-2</v>
      </c>
      <c r="X258" t="s">
        <v>222</v>
      </c>
      <c r="Y258" t="s">
        <v>72</v>
      </c>
      <c r="Z258" s="44">
        <v>1692950.3</v>
      </c>
      <c r="AA258" s="42">
        <v>1</v>
      </c>
      <c r="AB258" s="48">
        <v>113.34</v>
      </c>
      <c r="AD258" s="44">
        <v>1918.79</v>
      </c>
      <c r="AG258" t="s">
        <v>16</v>
      </c>
      <c r="AH258" s="45">
        <v>2.2899999999999999E-3</v>
      </c>
      <c r="AI258" s="45">
        <v>9.0443033420251201E-3</v>
      </c>
      <c r="AJ258" s="45">
        <v>7.8179770943418705E-4</v>
      </c>
    </row>
    <row r="259" spans="1:36" x14ac:dyDescent="0.25">
      <c r="A259">
        <v>424</v>
      </c>
      <c r="B259">
        <v>7228</v>
      </c>
      <c r="C259" t="s">
        <v>392</v>
      </c>
      <c r="D259" t="s">
        <v>393</v>
      </c>
      <c r="E259" t="s">
        <v>210</v>
      </c>
      <c r="F259" t="s">
        <v>394</v>
      </c>
      <c r="G259" t="s">
        <v>395</v>
      </c>
      <c r="H259" t="s">
        <v>213</v>
      </c>
      <c r="I259" t="s">
        <v>239</v>
      </c>
      <c r="J259" t="s">
        <v>71</v>
      </c>
      <c r="K259" t="s">
        <v>71</v>
      </c>
      <c r="L259" t="s">
        <v>216</v>
      </c>
      <c r="M259" t="s">
        <v>117</v>
      </c>
      <c r="N259" t="s">
        <v>252</v>
      </c>
      <c r="O259" t="s">
        <v>72</v>
      </c>
      <c r="P259" t="s">
        <v>228</v>
      </c>
      <c r="Q259" t="s">
        <v>74</v>
      </c>
      <c r="R259" t="s">
        <v>220</v>
      </c>
      <c r="S259" t="s">
        <v>81</v>
      </c>
      <c r="T259" s="44">
        <v>6.0570000000000004</v>
      </c>
      <c r="U259" t="s">
        <v>396</v>
      </c>
      <c r="V259" s="46">
        <v>3.0499999999999999E-2</v>
      </c>
      <c r="W259" s="45">
        <v>5.1069999999999997E-2</v>
      </c>
      <c r="X259" t="s">
        <v>222</v>
      </c>
      <c r="Y259" t="s">
        <v>72</v>
      </c>
      <c r="Z259" s="44">
        <v>1926852</v>
      </c>
      <c r="AA259" s="42">
        <v>1</v>
      </c>
      <c r="AB259" s="48">
        <v>89.46</v>
      </c>
      <c r="AD259" s="44">
        <v>1723.7619999999999</v>
      </c>
      <c r="AG259" t="s">
        <v>16</v>
      </c>
      <c r="AH259" s="45">
        <v>2.823E-3</v>
      </c>
      <c r="AI259" s="45">
        <v>8.1250296579881906E-3</v>
      </c>
      <c r="AJ259" s="45">
        <v>7.0233486599065005E-4</v>
      </c>
    </row>
    <row r="260" spans="1:36" x14ac:dyDescent="0.25">
      <c r="A260">
        <v>424</v>
      </c>
      <c r="B260">
        <v>7228</v>
      </c>
      <c r="C260" t="s">
        <v>392</v>
      </c>
      <c r="D260" t="s">
        <v>393</v>
      </c>
      <c r="E260" t="s">
        <v>210</v>
      </c>
      <c r="F260" t="s">
        <v>665</v>
      </c>
      <c r="G260" t="s">
        <v>666</v>
      </c>
      <c r="H260" t="s">
        <v>213</v>
      </c>
      <c r="I260" t="s">
        <v>214</v>
      </c>
      <c r="J260" t="s">
        <v>71</v>
      </c>
      <c r="K260" t="s">
        <v>71</v>
      </c>
      <c r="L260" t="s">
        <v>216</v>
      </c>
      <c r="M260" t="s">
        <v>117</v>
      </c>
      <c r="N260" t="s">
        <v>252</v>
      </c>
      <c r="O260" t="s">
        <v>72</v>
      </c>
      <c r="P260" t="s">
        <v>228</v>
      </c>
      <c r="Q260" t="s">
        <v>74</v>
      </c>
      <c r="R260" t="s">
        <v>220</v>
      </c>
      <c r="S260" t="s">
        <v>81</v>
      </c>
      <c r="T260" s="44">
        <v>1.7150000000000001</v>
      </c>
      <c r="U260" t="s">
        <v>667</v>
      </c>
      <c r="V260" s="46">
        <v>2.4E-2</v>
      </c>
      <c r="W260" s="45">
        <v>2.5260000000000001E-2</v>
      </c>
      <c r="X260" t="s">
        <v>222</v>
      </c>
      <c r="Y260" t="s">
        <v>72</v>
      </c>
      <c r="Z260" s="44">
        <v>16877.099999999999</v>
      </c>
      <c r="AA260" s="42">
        <v>1</v>
      </c>
      <c r="AB260" s="48">
        <v>116.02</v>
      </c>
      <c r="AD260" s="44">
        <v>19.581</v>
      </c>
      <c r="AG260" t="s">
        <v>16</v>
      </c>
      <c r="AH260" s="45">
        <v>5.7000000000000003E-5</v>
      </c>
      <c r="AI260" s="45">
        <v>9.2295045399433897E-5</v>
      </c>
      <c r="AJ260" s="45">
        <v>7.9780666743144804E-6</v>
      </c>
    </row>
    <row r="261" spans="1:36" x14ac:dyDescent="0.25">
      <c r="A261">
        <v>424</v>
      </c>
      <c r="B261">
        <v>7228</v>
      </c>
      <c r="C261" t="s">
        <v>397</v>
      </c>
      <c r="D261" t="s">
        <v>398</v>
      </c>
      <c r="E261" t="s">
        <v>210</v>
      </c>
      <c r="F261" t="s">
        <v>399</v>
      </c>
      <c r="G261" t="s">
        <v>400</v>
      </c>
      <c r="H261" t="s">
        <v>213</v>
      </c>
      <c r="I261" t="s">
        <v>214</v>
      </c>
      <c r="J261" t="s">
        <v>71</v>
      </c>
      <c r="L261" t="s">
        <v>216</v>
      </c>
      <c r="M261" t="s">
        <v>286</v>
      </c>
      <c r="N261" t="s">
        <v>258</v>
      </c>
      <c r="O261" t="s">
        <v>72</v>
      </c>
      <c r="P261" t="s">
        <v>218</v>
      </c>
      <c r="Q261" t="s">
        <v>219</v>
      </c>
      <c r="R261" t="s">
        <v>220</v>
      </c>
      <c r="S261" t="s">
        <v>81</v>
      </c>
      <c r="T261" s="44">
        <v>5.2880000000000003</v>
      </c>
      <c r="U261" t="s">
        <v>401</v>
      </c>
      <c r="V261" s="46">
        <v>3.1800000000000002E-2</v>
      </c>
      <c r="W261" s="45">
        <v>3.2190000000000003E-2</v>
      </c>
      <c r="X261" t="s">
        <v>222</v>
      </c>
      <c r="Y261" t="s">
        <v>72</v>
      </c>
      <c r="Z261" s="44">
        <v>3630000</v>
      </c>
      <c r="AA261" s="42">
        <v>1</v>
      </c>
      <c r="AB261" s="48">
        <v>101.12</v>
      </c>
      <c r="AD261" s="44">
        <v>3670.6559999999999</v>
      </c>
      <c r="AG261" t="s">
        <v>16</v>
      </c>
      <c r="AH261" s="45">
        <v>1.6265999999999999E-2</v>
      </c>
      <c r="AI261" s="45">
        <v>1.7301804041668499E-2</v>
      </c>
      <c r="AJ261" s="45">
        <v>1.4955834913235901E-3</v>
      </c>
    </row>
    <row r="262" spans="1:36" x14ac:dyDescent="0.25">
      <c r="A262">
        <v>424</v>
      </c>
      <c r="B262">
        <v>7228</v>
      </c>
      <c r="C262" t="s">
        <v>402</v>
      </c>
      <c r="D262" t="s">
        <v>403</v>
      </c>
      <c r="E262" t="s">
        <v>210</v>
      </c>
      <c r="F262" t="s">
        <v>407</v>
      </c>
      <c r="G262" t="s">
        <v>408</v>
      </c>
      <c r="H262" t="s">
        <v>213</v>
      </c>
      <c r="I262" t="s">
        <v>214</v>
      </c>
      <c r="J262" t="s">
        <v>71</v>
      </c>
      <c r="K262" t="s">
        <v>71</v>
      </c>
      <c r="L262" t="s">
        <v>216</v>
      </c>
      <c r="M262" t="s">
        <v>117</v>
      </c>
      <c r="N262" t="s">
        <v>234</v>
      </c>
      <c r="O262" t="s">
        <v>72</v>
      </c>
      <c r="P262" t="s">
        <v>73</v>
      </c>
      <c r="Q262" t="s">
        <v>74</v>
      </c>
      <c r="R262" t="s">
        <v>220</v>
      </c>
      <c r="S262" t="s">
        <v>81</v>
      </c>
      <c r="T262" s="44">
        <v>7.2709999999999999</v>
      </c>
      <c r="U262" t="s">
        <v>409</v>
      </c>
      <c r="V262" s="46">
        <v>0.03</v>
      </c>
      <c r="W262" s="45">
        <v>2.9510000000000002E-2</v>
      </c>
      <c r="X262" t="s">
        <v>222</v>
      </c>
      <c r="Y262" t="s">
        <v>72</v>
      </c>
      <c r="Z262" s="44">
        <v>4700000</v>
      </c>
      <c r="AA262" s="42">
        <v>1</v>
      </c>
      <c r="AB262" s="48">
        <v>106.29</v>
      </c>
      <c r="AD262" s="44">
        <v>4995.63</v>
      </c>
      <c r="AG262" t="s">
        <v>16</v>
      </c>
      <c r="AH262" s="45">
        <v>1.152E-3</v>
      </c>
      <c r="AI262" s="45">
        <v>2.35471292664527E-2</v>
      </c>
      <c r="AJ262" s="45">
        <v>2.0354350167275E-3</v>
      </c>
    </row>
    <row r="263" spans="1:36" x14ac:dyDescent="0.25">
      <c r="A263">
        <v>424</v>
      </c>
      <c r="B263">
        <v>7228</v>
      </c>
      <c r="C263" t="s">
        <v>402</v>
      </c>
      <c r="D263" t="s">
        <v>403</v>
      </c>
      <c r="E263" t="s">
        <v>210</v>
      </c>
      <c r="F263" t="s">
        <v>410</v>
      </c>
      <c r="G263" t="s">
        <v>411</v>
      </c>
      <c r="H263" t="s">
        <v>213</v>
      </c>
      <c r="I263" t="s">
        <v>214</v>
      </c>
      <c r="J263" t="s">
        <v>71</v>
      </c>
      <c r="K263" t="s">
        <v>71</v>
      </c>
      <c r="L263" t="s">
        <v>216</v>
      </c>
      <c r="M263" t="s">
        <v>117</v>
      </c>
      <c r="N263" t="s">
        <v>234</v>
      </c>
      <c r="O263" t="s">
        <v>72</v>
      </c>
      <c r="P263" t="s">
        <v>73</v>
      </c>
      <c r="Q263" t="s">
        <v>74</v>
      </c>
      <c r="R263" t="s">
        <v>220</v>
      </c>
      <c r="S263" t="s">
        <v>81</v>
      </c>
      <c r="T263" s="44">
        <v>10.119999999999999</v>
      </c>
      <c r="U263" t="s">
        <v>412</v>
      </c>
      <c r="V263" s="46">
        <v>3.2000000000000001E-2</v>
      </c>
      <c r="W263" s="45">
        <v>3.1019999999999999E-2</v>
      </c>
      <c r="X263" t="s">
        <v>222</v>
      </c>
      <c r="Y263" t="s">
        <v>72</v>
      </c>
      <c r="Z263" s="44">
        <v>4700000</v>
      </c>
      <c r="AA263" s="42">
        <v>1</v>
      </c>
      <c r="AB263" s="48">
        <v>107.1</v>
      </c>
      <c r="AD263" s="44">
        <v>5033.7</v>
      </c>
      <c r="AG263" t="s">
        <v>16</v>
      </c>
      <c r="AH263" s="45">
        <v>9.5399999999999999E-4</v>
      </c>
      <c r="AI263" s="45">
        <v>2.3726573943335098E-2</v>
      </c>
      <c r="AJ263" s="45">
        <v>2.0509463758727501E-3</v>
      </c>
    </row>
    <row r="264" spans="1:36" x14ac:dyDescent="0.25">
      <c r="A264">
        <v>424</v>
      </c>
      <c r="B264">
        <v>7228</v>
      </c>
      <c r="C264" t="s">
        <v>413</v>
      </c>
      <c r="D264" t="s">
        <v>414</v>
      </c>
      <c r="E264" t="s">
        <v>210</v>
      </c>
      <c r="F264" t="s">
        <v>415</v>
      </c>
      <c r="G264" t="s">
        <v>416</v>
      </c>
      <c r="H264" t="s">
        <v>213</v>
      </c>
      <c r="I264" t="s">
        <v>214</v>
      </c>
      <c r="J264" t="s">
        <v>71</v>
      </c>
      <c r="K264" t="s">
        <v>71</v>
      </c>
      <c r="L264" t="s">
        <v>216</v>
      </c>
      <c r="M264" t="s">
        <v>117</v>
      </c>
      <c r="N264" t="s">
        <v>365</v>
      </c>
      <c r="O264" t="s">
        <v>72</v>
      </c>
      <c r="P264" t="s">
        <v>228</v>
      </c>
      <c r="Q264" t="s">
        <v>74</v>
      </c>
      <c r="R264" t="s">
        <v>220</v>
      </c>
      <c r="S264" t="s">
        <v>81</v>
      </c>
      <c r="T264" s="44">
        <v>4.1260000000000003</v>
      </c>
      <c r="U264" t="s">
        <v>417</v>
      </c>
      <c r="V264" s="46">
        <v>2.5899999999999999E-2</v>
      </c>
      <c r="W264" s="45">
        <v>2.7740000000000001E-2</v>
      </c>
      <c r="X264" t="s">
        <v>222</v>
      </c>
      <c r="Y264" t="s">
        <v>72</v>
      </c>
      <c r="Z264" s="44">
        <v>2010000</v>
      </c>
      <c r="AA264" s="42">
        <v>1</v>
      </c>
      <c r="AB264" s="48">
        <v>103.09</v>
      </c>
      <c r="AD264" s="44">
        <v>2072.1089999999999</v>
      </c>
      <c r="AG264" t="s">
        <v>16</v>
      </c>
      <c r="AH264" s="45">
        <v>2.944E-3</v>
      </c>
      <c r="AI264" s="45">
        <v>9.7669800359874697E-3</v>
      </c>
      <c r="AJ264" s="45">
        <v>8.4426653236452495E-4</v>
      </c>
    </row>
    <row r="265" spans="1:36" x14ac:dyDescent="0.25">
      <c r="A265">
        <v>424</v>
      </c>
      <c r="B265">
        <v>7228</v>
      </c>
      <c r="C265" t="s">
        <v>425</v>
      </c>
      <c r="D265" t="s">
        <v>426</v>
      </c>
      <c r="E265" t="s">
        <v>210</v>
      </c>
      <c r="F265" t="s">
        <v>427</v>
      </c>
      <c r="G265" t="s">
        <v>428</v>
      </c>
      <c r="H265" t="s">
        <v>213</v>
      </c>
      <c r="I265" t="s">
        <v>239</v>
      </c>
      <c r="J265" t="s">
        <v>71</v>
      </c>
      <c r="K265" t="s">
        <v>71</v>
      </c>
      <c r="L265" t="s">
        <v>216</v>
      </c>
      <c r="M265" t="s">
        <v>117</v>
      </c>
      <c r="N265" t="s">
        <v>429</v>
      </c>
      <c r="O265" t="s">
        <v>72</v>
      </c>
      <c r="P265" t="s">
        <v>228</v>
      </c>
      <c r="Q265" t="s">
        <v>74</v>
      </c>
      <c r="R265" t="s">
        <v>220</v>
      </c>
      <c r="S265" t="s">
        <v>81</v>
      </c>
      <c r="T265" s="44">
        <v>7.415</v>
      </c>
      <c r="U265" t="s">
        <v>430</v>
      </c>
      <c r="V265" s="46">
        <v>5.3100000000000001E-2</v>
      </c>
      <c r="W265" s="45">
        <v>5.425E-2</v>
      </c>
      <c r="X265" t="s">
        <v>222</v>
      </c>
      <c r="Y265" t="s">
        <v>72</v>
      </c>
      <c r="Z265" s="44">
        <v>3444043</v>
      </c>
      <c r="AA265" s="42">
        <v>1</v>
      </c>
      <c r="AB265" s="48">
        <v>100.54</v>
      </c>
      <c r="AD265" s="44">
        <v>3462.6410000000001</v>
      </c>
      <c r="AG265" t="s">
        <v>16</v>
      </c>
      <c r="AH265" s="45">
        <v>2.7049999999999999E-3</v>
      </c>
      <c r="AI265" s="45">
        <v>1.6321315085206602E-2</v>
      </c>
      <c r="AJ265" s="45">
        <v>1.41082914471454E-3</v>
      </c>
    </row>
    <row r="266" spans="1:36" x14ac:dyDescent="0.25">
      <c r="A266">
        <v>424</v>
      </c>
      <c r="B266">
        <v>7228</v>
      </c>
      <c r="C266" t="s">
        <v>82</v>
      </c>
      <c r="D266" t="s">
        <v>431</v>
      </c>
      <c r="E266" t="s">
        <v>210</v>
      </c>
      <c r="F266" t="s">
        <v>432</v>
      </c>
      <c r="G266" t="s">
        <v>433</v>
      </c>
      <c r="H266" t="s">
        <v>213</v>
      </c>
      <c r="I266" t="s">
        <v>214</v>
      </c>
      <c r="J266" t="s">
        <v>71</v>
      </c>
      <c r="K266" t="s">
        <v>71</v>
      </c>
      <c r="L266" t="s">
        <v>216</v>
      </c>
      <c r="M266" t="s">
        <v>117</v>
      </c>
      <c r="N266" t="s">
        <v>365</v>
      </c>
      <c r="O266" t="s">
        <v>72</v>
      </c>
      <c r="P266" t="s">
        <v>73</v>
      </c>
      <c r="Q266" t="s">
        <v>74</v>
      </c>
      <c r="R266" t="s">
        <v>220</v>
      </c>
      <c r="S266" t="s">
        <v>81</v>
      </c>
      <c r="T266" s="44">
        <v>1.238</v>
      </c>
      <c r="U266" t="s">
        <v>434</v>
      </c>
      <c r="V266" s="46">
        <v>8.3000000000000001E-3</v>
      </c>
      <c r="W266" s="45">
        <v>2.29E-2</v>
      </c>
      <c r="X266" t="s">
        <v>222</v>
      </c>
      <c r="Y266" t="s">
        <v>72</v>
      </c>
      <c r="Z266" s="44">
        <v>1051282.5</v>
      </c>
      <c r="AA266" s="42">
        <v>1</v>
      </c>
      <c r="AB266" s="48">
        <v>114.23</v>
      </c>
      <c r="AD266" s="44">
        <v>1200.8800000000001</v>
      </c>
      <c r="AG266" t="s">
        <v>16</v>
      </c>
      <c r="AH266" s="45">
        <v>6.9099999999999999E-4</v>
      </c>
      <c r="AI266" s="45">
        <v>5.66040250931534E-3</v>
      </c>
      <c r="AJ266" s="45">
        <v>4.8929028018064905E-4</v>
      </c>
    </row>
    <row r="267" spans="1:36" x14ac:dyDescent="0.25">
      <c r="A267">
        <v>424</v>
      </c>
      <c r="B267">
        <v>7228</v>
      </c>
      <c r="C267" t="s">
        <v>82</v>
      </c>
      <c r="D267" t="s">
        <v>431</v>
      </c>
      <c r="E267" t="s">
        <v>210</v>
      </c>
      <c r="F267" t="s">
        <v>435</v>
      </c>
      <c r="G267" t="s">
        <v>436</v>
      </c>
      <c r="H267" t="s">
        <v>213</v>
      </c>
      <c r="I267" t="s">
        <v>214</v>
      </c>
      <c r="J267" t="s">
        <v>71</v>
      </c>
      <c r="K267" t="s">
        <v>71</v>
      </c>
      <c r="L267" t="s">
        <v>216</v>
      </c>
      <c r="M267" t="s">
        <v>117</v>
      </c>
      <c r="N267" t="s">
        <v>365</v>
      </c>
      <c r="O267" t="s">
        <v>72</v>
      </c>
      <c r="P267" t="s">
        <v>73</v>
      </c>
      <c r="Q267" t="s">
        <v>74</v>
      </c>
      <c r="R267" t="s">
        <v>220</v>
      </c>
      <c r="S267" t="s">
        <v>81</v>
      </c>
      <c r="T267" s="44">
        <v>4.5970000000000004</v>
      </c>
      <c r="U267" t="s">
        <v>437</v>
      </c>
      <c r="V267" s="46">
        <v>2.0199999999999999E-2</v>
      </c>
      <c r="W267" s="45">
        <v>2.5819999999999999E-2</v>
      </c>
      <c r="X267" t="s">
        <v>222</v>
      </c>
      <c r="Y267" t="s">
        <v>72</v>
      </c>
      <c r="Z267" s="44">
        <v>3500000</v>
      </c>
      <c r="AA267" s="42">
        <v>1</v>
      </c>
      <c r="AB267" s="48">
        <v>101.85</v>
      </c>
      <c r="AD267" s="44">
        <v>3564.75</v>
      </c>
      <c r="AG267" t="s">
        <v>16</v>
      </c>
      <c r="AH267" s="45">
        <v>9.810000000000001E-4</v>
      </c>
      <c r="AI267" s="45">
        <v>1.6802611292787401E-2</v>
      </c>
      <c r="AJ267" s="45">
        <v>1.45243282146183E-3</v>
      </c>
    </row>
    <row r="268" spans="1:36" x14ac:dyDescent="0.25">
      <c r="A268">
        <v>424</v>
      </c>
      <c r="B268">
        <v>7228</v>
      </c>
      <c r="C268" t="s">
        <v>82</v>
      </c>
      <c r="D268" t="s">
        <v>431</v>
      </c>
      <c r="E268" t="s">
        <v>210</v>
      </c>
      <c r="F268" t="s">
        <v>441</v>
      </c>
      <c r="G268" t="s">
        <v>442</v>
      </c>
      <c r="H268" t="s">
        <v>213</v>
      </c>
      <c r="I268" t="s">
        <v>214</v>
      </c>
      <c r="J268" t="s">
        <v>71</v>
      </c>
      <c r="K268" t="s">
        <v>71</v>
      </c>
      <c r="L268" t="s">
        <v>216</v>
      </c>
      <c r="M268" t="s">
        <v>109</v>
      </c>
      <c r="N268" t="s">
        <v>365</v>
      </c>
      <c r="O268" t="s">
        <v>72</v>
      </c>
      <c r="P268" t="s">
        <v>228</v>
      </c>
      <c r="Q268" t="s">
        <v>74</v>
      </c>
      <c r="R268" t="s">
        <v>220</v>
      </c>
      <c r="S268" t="s">
        <v>81</v>
      </c>
      <c r="T268" s="44">
        <v>5.4809999999999999</v>
      </c>
      <c r="U268" t="s">
        <v>443</v>
      </c>
      <c r="V268" s="46">
        <v>3.1E-2</v>
      </c>
      <c r="W268" s="45">
        <v>3.1029999999999999E-2</v>
      </c>
      <c r="X268" t="s">
        <v>222</v>
      </c>
      <c r="Y268" t="s">
        <v>72</v>
      </c>
      <c r="Z268" s="44">
        <v>2200000</v>
      </c>
      <c r="AA268" s="42">
        <v>1</v>
      </c>
      <c r="AB268" s="48">
        <v>100.81</v>
      </c>
      <c r="AD268" s="44">
        <v>2217.8200000000002</v>
      </c>
      <c r="AG268" t="s">
        <v>16</v>
      </c>
      <c r="AH268" s="45">
        <v>1.433E-3</v>
      </c>
      <c r="AI268" s="45">
        <v>1.04537954631797E-2</v>
      </c>
      <c r="AJ268" s="45">
        <v>9.0363547516500897E-4</v>
      </c>
    </row>
    <row r="269" spans="1:36" x14ac:dyDescent="0.25">
      <c r="A269">
        <v>424</v>
      </c>
      <c r="B269">
        <v>7228</v>
      </c>
      <c r="C269" t="s">
        <v>449</v>
      </c>
      <c r="D269" t="s">
        <v>450</v>
      </c>
      <c r="E269" t="s">
        <v>210</v>
      </c>
      <c r="F269" t="s">
        <v>451</v>
      </c>
      <c r="G269" t="s">
        <v>452</v>
      </c>
      <c r="H269" t="s">
        <v>213</v>
      </c>
      <c r="I269" t="s">
        <v>239</v>
      </c>
      <c r="J269" t="s">
        <v>71</v>
      </c>
      <c r="K269" t="s">
        <v>71</v>
      </c>
      <c r="L269" t="s">
        <v>216</v>
      </c>
      <c r="M269" t="s">
        <v>109</v>
      </c>
      <c r="N269" t="s">
        <v>252</v>
      </c>
      <c r="O269" t="s">
        <v>72</v>
      </c>
      <c r="P269" t="s">
        <v>246</v>
      </c>
      <c r="Q269" t="s">
        <v>219</v>
      </c>
      <c r="R269" t="s">
        <v>220</v>
      </c>
      <c r="S269" t="s">
        <v>81</v>
      </c>
      <c r="T269" s="44">
        <v>6.867</v>
      </c>
      <c r="U269" t="s">
        <v>316</v>
      </c>
      <c r="V269" s="46">
        <v>6.0699999999999997E-2</v>
      </c>
      <c r="W269" s="45">
        <v>5.5280000000000003E-2</v>
      </c>
      <c r="X269" t="s">
        <v>222</v>
      </c>
      <c r="Y269" t="s">
        <v>72</v>
      </c>
      <c r="Z269" s="44">
        <v>2318988</v>
      </c>
      <c r="AA269" s="42">
        <v>1</v>
      </c>
      <c r="AB269" s="48">
        <v>105.72</v>
      </c>
      <c r="AD269" s="44">
        <v>2451.634</v>
      </c>
      <c r="AG269" t="s">
        <v>16</v>
      </c>
      <c r="AH269" s="45">
        <v>5.1240000000000001E-3</v>
      </c>
      <c r="AI269" s="45">
        <v>1.15558889243167E-2</v>
      </c>
      <c r="AJ269" s="45">
        <v>9.9890142444999204E-4</v>
      </c>
    </row>
    <row r="270" spans="1:36" x14ac:dyDescent="0.25">
      <c r="A270">
        <v>424</v>
      </c>
      <c r="B270">
        <v>7228</v>
      </c>
      <c r="C270" t="s">
        <v>449</v>
      </c>
      <c r="D270" t="s">
        <v>450</v>
      </c>
      <c r="E270" t="s">
        <v>210</v>
      </c>
      <c r="F270" t="s">
        <v>668</v>
      </c>
      <c r="G270" t="s">
        <v>669</v>
      </c>
      <c r="H270" t="s">
        <v>213</v>
      </c>
      <c r="I270" t="s">
        <v>239</v>
      </c>
      <c r="J270" t="s">
        <v>71</v>
      </c>
      <c r="K270" t="s">
        <v>71</v>
      </c>
      <c r="L270" t="s">
        <v>216</v>
      </c>
      <c r="M270" t="s">
        <v>117</v>
      </c>
      <c r="N270" t="s">
        <v>252</v>
      </c>
      <c r="O270" t="s">
        <v>72</v>
      </c>
      <c r="P270" t="s">
        <v>246</v>
      </c>
      <c r="Q270" t="s">
        <v>219</v>
      </c>
      <c r="R270" t="s">
        <v>220</v>
      </c>
      <c r="S270" t="s">
        <v>81</v>
      </c>
      <c r="T270" s="44">
        <v>1.7110000000000001</v>
      </c>
      <c r="U270" t="s">
        <v>667</v>
      </c>
      <c r="V270" s="46">
        <v>4.1000000000000002E-2</v>
      </c>
      <c r="W270" s="45">
        <v>5.1610000000000003E-2</v>
      </c>
      <c r="X270" t="s">
        <v>222</v>
      </c>
      <c r="Y270" t="s">
        <v>72</v>
      </c>
      <c r="Z270" s="44">
        <v>1220000</v>
      </c>
      <c r="AA270" s="42">
        <v>1</v>
      </c>
      <c r="AB270" s="48">
        <v>99.27</v>
      </c>
      <c r="AD270" s="44">
        <v>1211.0940000000001</v>
      </c>
      <c r="AG270" t="s">
        <v>16</v>
      </c>
      <c r="AH270" s="45">
        <v>1.7110000000000001E-3</v>
      </c>
      <c r="AI270" s="45">
        <v>5.7085466641495297E-3</v>
      </c>
      <c r="AJ270" s="45">
        <v>4.9345190419397902E-4</v>
      </c>
    </row>
    <row r="271" spans="1:36" x14ac:dyDescent="0.25">
      <c r="A271">
        <v>424</v>
      </c>
      <c r="B271">
        <v>7228</v>
      </c>
      <c r="C271" t="s">
        <v>449</v>
      </c>
      <c r="D271" t="s">
        <v>450</v>
      </c>
      <c r="E271" t="s">
        <v>210</v>
      </c>
      <c r="F271" t="s">
        <v>455</v>
      </c>
      <c r="G271" t="s">
        <v>456</v>
      </c>
      <c r="H271" t="s">
        <v>213</v>
      </c>
      <c r="I271" t="s">
        <v>239</v>
      </c>
      <c r="J271" t="s">
        <v>71</v>
      </c>
      <c r="K271" t="s">
        <v>71</v>
      </c>
      <c r="L271" t="s">
        <v>216</v>
      </c>
      <c r="M271" t="s">
        <v>109</v>
      </c>
      <c r="N271" t="s">
        <v>252</v>
      </c>
      <c r="O271" t="s">
        <v>72</v>
      </c>
      <c r="P271" t="s">
        <v>246</v>
      </c>
      <c r="Q271" t="s">
        <v>74</v>
      </c>
      <c r="R271" t="s">
        <v>220</v>
      </c>
      <c r="S271" t="s">
        <v>81</v>
      </c>
      <c r="T271" s="44">
        <v>6.2469999999999999</v>
      </c>
      <c r="U271" t="s">
        <v>457</v>
      </c>
      <c r="V271" s="46">
        <v>6.0699999999999997E-2</v>
      </c>
      <c r="W271" s="45">
        <v>5.457E-2</v>
      </c>
      <c r="X271" t="s">
        <v>222</v>
      </c>
      <c r="Y271" t="s">
        <v>72</v>
      </c>
      <c r="Z271" s="44">
        <v>2527229</v>
      </c>
      <c r="AA271" s="42">
        <v>1</v>
      </c>
      <c r="AB271" s="48">
        <v>105.78</v>
      </c>
      <c r="AD271" s="44">
        <v>2673.3029999999999</v>
      </c>
      <c r="AG271" t="s">
        <v>16</v>
      </c>
      <c r="AH271" s="45">
        <v>5.5840000000000004E-3</v>
      </c>
      <c r="AI271" s="45">
        <v>1.26007345324566E-2</v>
      </c>
      <c r="AJ271" s="45">
        <v>1.0892188178704999E-3</v>
      </c>
    </row>
    <row r="272" spans="1:36" x14ac:dyDescent="0.25">
      <c r="A272">
        <v>424</v>
      </c>
      <c r="B272">
        <v>7228</v>
      </c>
      <c r="C272" t="s">
        <v>458</v>
      </c>
      <c r="D272" t="s">
        <v>459</v>
      </c>
      <c r="E272" t="s">
        <v>210</v>
      </c>
      <c r="F272" t="s">
        <v>460</v>
      </c>
      <c r="G272" t="s">
        <v>461</v>
      </c>
      <c r="H272" t="s">
        <v>213</v>
      </c>
      <c r="I272" t="s">
        <v>239</v>
      </c>
      <c r="J272" t="s">
        <v>71</v>
      </c>
      <c r="K272" t="s">
        <v>71</v>
      </c>
      <c r="L272" t="s">
        <v>216</v>
      </c>
      <c r="M272" t="s">
        <v>117</v>
      </c>
      <c r="N272" t="s">
        <v>258</v>
      </c>
      <c r="O272" t="s">
        <v>72</v>
      </c>
      <c r="P272" t="s">
        <v>218</v>
      </c>
      <c r="Q272" t="s">
        <v>219</v>
      </c>
      <c r="R272" t="s">
        <v>220</v>
      </c>
      <c r="S272" t="s">
        <v>81</v>
      </c>
      <c r="T272" s="44">
        <v>4.9870000000000001</v>
      </c>
      <c r="U272" t="s">
        <v>401</v>
      </c>
      <c r="V272" s="46">
        <v>5.4800000000000001E-2</v>
      </c>
      <c r="W272" s="45">
        <v>5.3800000000000001E-2</v>
      </c>
      <c r="X272" t="s">
        <v>222</v>
      </c>
      <c r="Y272" t="s">
        <v>72</v>
      </c>
      <c r="Z272" s="44">
        <v>2160000</v>
      </c>
      <c r="AA272" s="42">
        <v>1</v>
      </c>
      <c r="AB272" s="48">
        <v>102.2</v>
      </c>
      <c r="AD272" s="44">
        <v>2207.52</v>
      </c>
      <c r="AG272" t="s">
        <v>16</v>
      </c>
      <c r="AH272" s="45">
        <v>7.1999999999999998E-3</v>
      </c>
      <c r="AI272" s="45">
        <v>1.0405245944611501E-2</v>
      </c>
      <c r="AJ272" s="45">
        <v>8.9943881114619797E-4</v>
      </c>
    </row>
    <row r="273" spans="1:36" x14ac:dyDescent="0.25">
      <c r="A273">
        <v>424</v>
      </c>
      <c r="B273">
        <v>7228</v>
      </c>
      <c r="C273" t="s">
        <v>458</v>
      </c>
      <c r="D273" t="s">
        <v>459</v>
      </c>
      <c r="E273" t="s">
        <v>210</v>
      </c>
      <c r="F273" t="s">
        <v>462</v>
      </c>
      <c r="G273" t="s">
        <v>463</v>
      </c>
      <c r="H273" t="s">
        <v>213</v>
      </c>
      <c r="I273" t="s">
        <v>239</v>
      </c>
      <c r="J273" t="s">
        <v>71</v>
      </c>
      <c r="K273" t="s">
        <v>71</v>
      </c>
      <c r="L273" t="s">
        <v>216</v>
      </c>
      <c r="M273" t="s">
        <v>286</v>
      </c>
      <c r="N273" t="s">
        <v>258</v>
      </c>
      <c r="O273" t="s">
        <v>72</v>
      </c>
      <c r="P273" t="s">
        <v>218</v>
      </c>
      <c r="Q273" t="s">
        <v>219</v>
      </c>
      <c r="R273" t="s">
        <v>220</v>
      </c>
      <c r="S273" t="s">
        <v>81</v>
      </c>
      <c r="T273" s="44">
        <v>6.6580000000000004</v>
      </c>
      <c r="U273" t="s">
        <v>354</v>
      </c>
      <c r="V273" s="46">
        <v>5.2900000000000003E-2</v>
      </c>
      <c r="W273" s="45">
        <v>5.527E-2</v>
      </c>
      <c r="X273" t="s">
        <v>222</v>
      </c>
      <c r="Y273" t="s">
        <v>72</v>
      </c>
      <c r="Z273" s="44">
        <v>3699808</v>
      </c>
      <c r="AA273" s="42">
        <v>1</v>
      </c>
      <c r="AB273" s="48">
        <v>99.53</v>
      </c>
      <c r="AD273" s="44">
        <v>3682.4189999999999</v>
      </c>
      <c r="AG273" t="s">
        <v>16</v>
      </c>
      <c r="AH273" s="45">
        <v>1.8499000000000002E-2</v>
      </c>
      <c r="AI273" s="45">
        <v>1.7357249017249402E-2</v>
      </c>
      <c r="AJ273" s="45">
        <v>1.50037620484387E-3</v>
      </c>
    </row>
    <row r="274" spans="1:36" x14ac:dyDescent="0.25">
      <c r="A274">
        <v>424</v>
      </c>
      <c r="B274">
        <v>7228</v>
      </c>
      <c r="C274" t="s">
        <v>464</v>
      </c>
      <c r="D274" t="s">
        <v>465</v>
      </c>
      <c r="E274" t="s">
        <v>210</v>
      </c>
      <c r="F274" t="s">
        <v>466</v>
      </c>
      <c r="G274" t="s">
        <v>467</v>
      </c>
      <c r="H274" t="s">
        <v>213</v>
      </c>
      <c r="I274" t="s">
        <v>214</v>
      </c>
      <c r="J274" t="s">
        <v>71</v>
      </c>
      <c r="K274" t="s">
        <v>71</v>
      </c>
      <c r="L274" t="s">
        <v>216</v>
      </c>
      <c r="M274" t="s">
        <v>117</v>
      </c>
      <c r="N274" t="s">
        <v>258</v>
      </c>
      <c r="O274" t="s">
        <v>72</v>
      </c>
      <c r="P274" t="s">
        <v>246</v>
      </c>
      <c r="Q274" t="s">
        <v>74</v>
      </c>
      <c r="R274" t="s">
        <v>220</v>
      </c>
      <c r="S274" t="s">
        <v>81</v>
      </c>
      <c r="T274" s="44">
        <v>5.3570000000000002</v>
      </c>
      <c r="U274" t="s">
        <v>468</v>
      </c>
      <c r="V274" s="46">
        <v>9.7000000000000003E-3</v>
      </c>
      <c r="W274" s="45">
        <v>3.3239999999999999E-2</v>
      </c>
      <c r="X274" t="s">
        <v>222</v>
      </c>
      <c r="Y274" t="s">
        <v>72</v>
      </c>
      <c r="Z274" s="44">
        <v>3494117.65</v>
      </c>
      <c r="AA274" s="42">
        <v>1</v>
      </c>
      <c r="AB274" s="48">
        <v>100.61</v>
      </c>
      <c r="AD274" s="44">
        <v>3515.4319999999998</v>
      </c>
      <c r="AG274" t="s">
        <v>16</v>
      </c>
      <c r="AH274" s="45">
        <v>5.8060000000000004E-3</v>
      </c>
      <c r="AI274" s="45">
        <v>1.6570147561088801E-2</v>
      </c>
      <c r="AJ274" s="45">
        <v>1.43233844756749E-3</v>
      </c>
    </row>
    <row r="275" spans="1:36" x14ac:dyDescent="0.25">
      <c r="A275">
        <v>424</v>
      </c>
      <c r="B275">
        <v>7228</v>
      </c>
      <c r="C275" t="s">
        <v>469</v>
      </c>
      <c r="D275" t="s">
        <v>470</v>
      </c>
      <c r="E275" t="s">
        <v>210</v>
      </c>
      <c r="F275" t="s">
        <v>471</v>
      </c>
      <c r="G275" t="s">
        <v>472</v>
      </c>
      <c r="H275" t="s">
        <v>213</v>
      </c>
      <c r="I275" t="s">
        <v>214</v>
      </c>
      <c r="J275" t="s">
        <v>71</v>
      </c>
      <c r="K275" t="s">
        <v>71</v>
      </c>
      <c r="L275" t="s">
        <v>216</v>
      </c>
      <c r="M275" t="s">
        <v>117</v>
      </c>
      <c r="N275" t="s">
        <v>365</v>
      </c>
      <c r="O275" t="s">
        <v>72</v>
      </c>
      <c r="P275" t="s">
        <v>73</v>
      </c>
      <c r="Q275" t="s">
        <v>74</v>
      </c>
      <c r="R275" t="s">
        <v>220</v>
      </c>
      <c r="S275" t="s">
        <v>81</v>
      </c>
      <c r="T275" s="44">
        <v>5.22</v>
      </c>
      <c r="U275" t="s">
        <v>473</v>
      </c>
      <c r="V275" s="46">
        <v>2E-3</v>
      </c>
      <c r="W275" s="45">
        <v>2.606E-2</v>
      </c>
      <c r="X275" t="s">
        <v>222</v>
      </c>
      <c r="Y275" t="s">
        <v>72</v>
      </c>
      <c r="Z275" s="44">
        <v>2400000</v>
      </c>
      <c r="AA275" s="42">
        <v>1</v>
      </c>
      <c r="AB275" s="48">
        <v>102.35</v>
      </c>
      <c r="AD275" s="44">
        <v>2456.4</v>
      </c>
      <c r="AG275" t="s">
        <v>16</v>
      </c>
      <c r="AH275" s="45">
        <v>6.9399999999999996E-4</v>
      </c>
      <c r="AI275" s="45">
        <v>1.15783531466731E-2</v>
      </c>
      <c r="AJ275" s="45">
        <v>1.0008432520201499E-3</v>
      </c>
    </row>
    <row r="276" spans="1:36" x14ac:dyDescent="0.25">
      <c r="A276">
        <v>424</v>
      </c>
      <c r="B276">
        <v>7228</v>
      </c>
      <c r="C276" t="s">
        <v>469</v>
      </c>
      <c r="D276" t="s">
        <v>470</v>
      </c>
      <c r="E276" t="s">
        <v>210</v>
      </c>
      <c r="F276" t="s">
        <v>474</v>
      </c>
      <c r="G276" t="s">
        <v>475</v>
      </c>
      <c r="H276" t="s">
        <v>213</v>
      </c>
      <c r="I276" t="s">
        <v>214</v>
      </c>
      <c r="J276" t="s">
        <v>71</v>
      </c>
      <c r="K276" t="s">
        <v>71</v>
      </c>
      <c r="L276" t="s">
        <v>216</v>
      </c>
      <c r="M276" t="s">
        <v>117</v>
      </c>
      <c r="N276" t="s">
        <v>365</v>
      </c>
      <c r="O276" t="s">
        <v>72</v>
      </c>
      <c r="P276" t="s">
        <v>228</v>
      </c>
      <c r="Q276" t="s">
        <v>74</v>
      </c>
      <c r="R276" t="s">
        <v>220</v>
      </c>
      <c r="S276" t="s">
        <v>81</v>
      </c>
      <c r="T276" s="44">
        <v>3.9239999999999999</v>
      </c>
      <c r="U276" t="s">
        <v>476</v>
      </c>
      <c r="V276" s="46">
        <v>3.3599999999999998E-2</v>
      </c>
      <c r="W276" s="45">
        <v>3.0030000000000001E-2</v>
      </c>
      <c r="X276" t="s">
        <v>222</v>
      </c>
      <c r="Y276" t="s">
        <v>72</v>
      </c>
      <c r="Z276" s="44">
        <v>2550000</v>
      </c>
      <c r="AA276" s="42">
        <v>1</v>
      </c>
      <c r="AB276" s="48">
        <v>107.83</v>
      </c>
      <c r="AD276" s="44">
        <v>2749.665</v>
      </c>
      <c r="AG276" t="s">
        <v>16</v>
      </c>
      <c r="AH276" s="45">
        <v>2.1849999999999999E-3</v>
      </c>
      <c r="AI276" s="45">
        <v>1.2960671065399301E-2</v>
      </c>
      <c r="AJ276" s="45">
        <v>1.12033205527031E-3</v>
      </c>
    </row>
    <row r="277" spans="1:36" x14ac:dyDescent="0.25">
      <c r="A277">
        <v>424</v>
      </c>
      <c r="B277">
        <v>7228</v>
      </c>
      <c r="C277" t="s">
        <v>469</v>
      </c>
      <c r="D277" t="s">
        <v>470</v>
      </c>
      <c r="E277" t="s">
        <v>210</v>
      </c>
      <c r="F277" t="s">
        <v>477</v>
      </c>
      <c r="G277" t="s">
        <v>478</v>
      </c>
      <c r="H277" t="s">
        <v>213</v>
      </c>
      <c r="I277" t="s">
        <v>214</v>
      </c>
      <c r="J277" t="s">
        <v>71</v>
      </c>
      <c r="K277" t="s">
        <v>71</v>
      </c>
      <c r="L277" t="s">
        <v>216</v>
      </c>
      <c r="M277" t="s">
        <v>117</v>
      </c>
      <c r="N277" t="s">
        <v>365</v>
      </c>
      <c r="O277" t="s">
        <v>72</v>
      </c>
      <c r="P277" t="s">
        <v>228</v>
      </c>
      <c r="Q277" t="s">
        <v>74</v>
      </c>
      <c r="R277" t="s">
        <v>220</v>
      </c>
      <c r="S277" t="s">
        <v>81</v>
      </c>
      <c r="T277" s="44">
        <v>5.1970000000000001</v>
      </c>
      <c r="U277" t="s">
        <v>479</v>
      </c>
      <c r="V277" s="46">
        <v>3.3500000000000002E-2</v>
      </c>
      <c r="W277" s="45">
        <v>3.1109999999999999E-2</v>
      </c>
      <c r="X277" t="s">
        <v>222</v>
      </c>
      <c r="Y277" t="s">
        <v>72</v>
      </c>
      <c r="Z277" s="44">
        <v>3630000</v>
      </c>
      <c r="AA277" s="42">
        <v>1</v>
      </c>
      <c r="AB277" s="48">
        <v>102.42</v>
      </c>
      <c r="AD277" s="44">
        <v>3717.846</v>
      </c>
      <c r="AG277" t="s">
        <v>16</v>
      </c>
      <c r="AH277" s="45">
        <v>4.2690000000000002E-3</v>
      </c>
      <c r="AI277" s="45">
        <v>1.75242362534383E-2</v>
      </c>
      <c r="AJ277" s="45">
        <v>1.5148107316194899E-3</v>
      </c>
    </row>
    <row r="278" spans="1:36" x14ac:dyDescent="0.25">
      <c r="A278">
        <v>424</v>
      </c>
      <c r="B278">
        <v>7228</v>
      </c>
      <c r="C278" t="s">
        <v>469</v>
      </c>
      <c r="D278" t="s">
        <v>470</v>
      </c>
      <c r="E278" t="s">
        <v>210</v>
      </c>
      <c r="F278" t="s">
        <v>480</v>
      </c>
      <c r="G278" t="s">
        <v>481</v>
      </c>
      <c r="H278" t="s">
        <v>213</v>
      </c>
      <c r="I278" t="s">
        <v>214</v>
      </c>
      <c r="J278" t="s">
        <v>71</v>
      </c>
      <c r="K278" t="s">
        <v>71</v>
      </c>
      <c r="L278" t="s">
        <v>216</v>
      </c>
      <c r="M278" t="s">
        <v>117</v>
      </c>
      <c r="N278" t="s">
        <v>365</v>
      </c>
      <c r="O278" t="s">
        <v>72</v>
      </c>
      <c r="P278" t="s">
        <v>73</v>
      </c>
      <c r="Q278" t="s">
        <v>74</v>
      </c>
      <c r="R278" t="s">
        <v>220</v>
      </c>
      <c r="S278" t="s">
        <v>81</v>
      </c>
      <c r="T278" s="44">
        <v>4.8879999999999999</v>
      </c>
      <c r="U278" t="s">
        <v>482</v>
      </c>
      <c r="V278" s="46">
        <v>2.2013000000000001E-2</v>
      </c>
      <c r="W278" s="45">
        <v>2.606E-2</v>
      </c>
      <c r="X278" t="s">
        <v>222</v>
      </c>
      <c r="Y278" t="s">
        <v>72</v>
      </c>
      <c r="Z278" s="44">
        <v>4000000</v>
      </c>
      <c r="AA278" s="42">
        <v>1</v>
      </c>
      <c r="AB278" s="48">
        <v>118.7</v>
      </c>
      <c r="AD278" s="44">
        <v>4748</v>
      </c>
      <c r="AG278" t="s">
        <v>16</v>
      </c>
      <c r="AH278" s="45">
        <v>5.6990000000000001E-3</v>
      </c>
      <c r="AI278" s="45">
        <v>2.23799139962562E-2</v>
      </c>
      <c r="AJ278" s="45">
        <v>1.9345398797393199E-3</v>
      </c>
    </row>
    <row r="279" spans="1:36" x14ac:dyDescent="0.25">
      <c r="A279">
        <v>424</v>
      </c>
      <c r="B279">
        <v>7228</v>
      </c>
      <c r="C279" t="s">
        <v>483</v>
      </c>
      <c r="D279" t="s">
        <v>484</v>
      </c>
      <c r="E279" t="s">
        <v>210</v>
      </c>
      <c r="F279" t="s">
        <v>485</v>
      </c>
      <c r="G279" t="s">
        <v>486</v>
      </c>
      <c r="H279" t="s">
        <v>213</v>
      </c>
      <c r="I279" t="s">
        <v>214</v>
      </c>
      <c r="J279" t="s">
        <v>71</v>
      </c>
      <c r="K279" t="s">
        <v>71</v>
      </c>
      <c r="L279" t="s">
        <v>216</v>
      </c>
      <c r="M279" t="s">
        <v>117</v>
      </c>
      <c r="N279" t="s">
        <v>258</v>
      </c>
      <c r="O279" t="s">
        <v>72</v>
      </c>
      <c r="P279" t="s">
        <v>259</v>
      </c>
      <c r="Q279" t="s">
        <v>74</v>
      </c>
      <c r="R279" t="s">
        <v>220</v>
      </c>
      <c r="S279" t="s">
        <v>81</v>
      </c>
      <c r="T279" s="44">
        <v>5.726</v>
      </c>
      <c r="U279" t="s">
        <v>487</v>
      </c>
      <c r="V279" s="46">
        <v>3.61E-2</v>
      </c>
      <c r="W279" s="45">
        <v>3.0759999999999999E-2</v>
      </c>
      <c r="X279" t="s">
        <v>222</v>
      </c>
      <c r="Y279" t="s">
        <v>72</v>
      </c>
      <c r="Z279" s="44">
        <v>5595487.2699999996</v>
      </c>
      <c r="AA279" s="42">
        <v>1</v>
      </c>
      <c r="AB279" s="48">
        <v>110.37</v>
      </c>
      <c r="AD279" s="44">
        <v>6175.7389999999996</v>
      </c>
      <c r="AG279" t="s">
        <v>16</v>
      </c>
      <c r="AH279" s="45">
        <v>3.5599999999999998E-3</v>
      </c>
      <c r="AI279" s="45">
        <v>2.91096281371186E-2</v>
      </c>
      <c r="AJ279" s="45">
        <v>2.5162624183925901E-3</v>
      </c>
    </row>
    <row r="280" spans="1:36" x14ac:dyDescent="0.25">
      <c r="A280">
        <v>424</v>
      </c>
      <c r="B280">
        <v>7228</v>
      </c>
      <c r="C280" t="s">
        <v>494</v>
      </c>
      <c r="D280" t="s">
        <v>495</v>
      </c>
      <c r="E280" t="s">
        <v>210</v>
      </c>
      <c r="F280" t="s">
        <v>496</v>
      </c>
      <c r="G280" t="s">
        <v>497</v>
      </c>
      <c r="H280" t="s">
        <v>213</v>
      </c>
      <c r="I280" t="s">
        <v>239</v>
      </c>
      <c r="J280" t="s">
        <v>71</v>
      </c>
      <c r="K280" t="s">
        <v>71</v>
      </c>
      <c r="L280" t="s">
        <v>216</v>
      </c>
      <c r="M280" t="s">
        <v>117</v>
      </c>
      <c r="N280" t="s">
        <v>498</v>
      </c>
      <c r="O280" t="s">
        <v>72</v>
      </c>
      <c r="P280" t="s">
        <v>235</v>
      </c>
      <c r="Q280" t="s">
        <v>219</v>
      </c>
      <c r="R280" t="s">
        <v>220</v>
      </c>
      <c r="S280" t="s">
        <v>81</v>
      </c>
      <c r="T280" s="44">
        <v>0.98399999999999999</v>
      </c>
      <c r="U280" t="s">
        <v>499</v>
      </c>
      <c r="V280" s="46">
        <v>0.114</v>
      </c>
      <c r="W280" s="45">
        <v>5.747E-2</v>
      </c>
      <c r="X280" t="s">
        <v>222</v>
      </c>
      <c r="Y280" t="s">
        <v>72</v>
      </c>
      <c r="Z280" s="44">
        <v>3807471.98</v>
      </c>
      <c r="AA280" s="42">
        <v>1</v>
      </c>
      <c r="AB280" s="48">
        <v>101.2</v>
      </c>
      <c r="AD280" s="44">
        <v>3853.1619999999998</v>
      </c>
      <c r="AG280" t="s">
        <v>16</v>
      </c>
      <c r="AH280" s="45">
        <v>1.5751000000000001E-2</v>
      </c>
      <c r="AI280" s="45">
        <v>1.81620526960872E-2</v>
      </c>
      <c r="AJ280" s="45">
        <v>1.56994415815831E-3</v>
      </c>
    </row>
    <row r="281" spans="1:36" x14ac:dyDescent="0.25">
      <c r="A281">
        <v>424</v>
      </c>
      <c r="B281">
        <v>7228</v>
      </c>
      <c r="C281" t="s">
        <v>494</v>
      </c>
      <c r="D281" t="s">
        <v>495</v>
      </c>
      <c r="E281" t="s">
        <v>210</v>
      </c>
      <c r="F281" t="s">
        <v>503</v>
      </c>
      <c r="G281" t="s">
        <v>504</v>
      </c>
      <c r="H281" t="s">
        <v>213</v>
      </c>
      <c r="I281" t="s">
        <v>239</v>
      </c>
      <c r="J281" t="s">
        <v>71</v>
      </c>
      <c r="K281" t="s">
        <v>71</v>
      </c>
      <c r="L281" t="s">
        <v>216</v>
      </c>
      <c r="M281" t="s">
        <v>109</v>
      </c>
      <c r="N281" t="s">
        <v>498</v>
      </c>
      <c r="O281" t="s">
        <v>72</v>
      </c>
      <c r="P281" t="s">
        <v>235</v>
      </c>
      <c r="Q281" t="s">
        <v>219</v>
      </c>
      <c r="R281" t="s">
        <v>220</v>
      </c>
      <c r="S281" t="s">
        <v>81</v>
      </c>
      <c r="T281" s="44">
        <v>3.2839999999999998</v>
      </c>
      <c r="U281" t="s">
        <v>330</v>
      </c>
      <c r="V281" s="46">
        <v>6.4000000000000001E-2</v>
      </c>
      <c r="W281" s="45">
        <v>6.4170000000000005E-2</v>
      </c>
      <c r="X281" t="s">
        <v>222</v>
      </c>
      <c r="Y281" t="s">
        <v>72</v>
      </c>
      <c r="Z281" s="44">
        <v>2339000</v>
      </c>
      <c r="AA281" s="42">
        <v>1</v>
      </c>
      <c r="AB281" s="48">
        <v>101.3</v>
      </c>
      <c r="AD281" s="44">
        <v>2369.4070000000002</v>
      </c>
      <c r="AG281" t="s">
        <v>16</v>
      </c>
      <c r="AH281" s="45">
        <v>1.1695000000000001E-2</v>
      </c>
      <c r="AI281" s="45">
        <v>1.11683076836831E-2</v>
      </c>
      <c r="AJ281" s="45">
        <v>9.6539855367175798E-4</v>
      </c>
    </row>
    <row r="282" spans="1:36" x14ac:dyDescent="0.25">
      <c r="A282">
        <v>424</v>
      </c>
      <c r="B282">
        <v>7228</v>
      </c>
      <c r="C282" t="s">
        <v>505</v>
      </c>
      <c r="D282" t="s">
        <v>506</v>
      </c>
      <c r="E282" t="s">
        <v>210</v>
      </c>
      <c r="F282" t="s">
        <v>507</v>
      </c>
      <c r="G282" t="s">
        <v>508</v>
      </c>
      <c r="H282" t="s">
        <v>213</v>
      </c>
      <c r="I282" t="s">
        <v>214</v>
      </c>
      <c r="J282" t="s">
        <v>71</v>
      </c>
      <c r="K282" t="s">
        <v>71</v>
      </c>
      <c r="L282" t="s">
        <v>216</v>
      </c>
      <c r="M282" t="s">
        <v>117</v>
      </c>
      <c r="N282" t="s">
        <v>245</v>
      </c>
      <c r="O282" t="s">
        <v>72</v>
      </c>
      <c r="P282" t="s">
        <v>509</v>
      </c>
      <c r="Q282" t="s">
        <v>219</v>
      </c>
      <c r="R282" t="s">
        <v>220</v>
      </c>
      <c r="S282" t="s">
        <v>81</v>
      </c>
      <c r="T282" s="44">
        <v>3.2440000000000002</v>
      </c>
      <c r="U282" t="s">
        <v>510</v>
      </c>
      <c r="V282" s="46">
        <v>2.07E-2</v>
      </c>
      <c r="W282" s="45">
        <v>4.1939999999999998E-2</v>
      </c>
      <c r="X282" t="s">
        <v>222</v>
      </c>
      <c r="Y282" t="s">
        <v>72</v>
      </c>
      <c r="Z282" s="44">
        <v>3387035.23</v>
      </c>
      <c r="AA282" s="42">
        <v>1</v>
      </c>
      <c r="AB282" s="48">
        <v>105.96</v>
      </c>
      <c r="AD282" s="44">
        <v>3588.9029999999998</v>
      </c>
      <c r="AG282" t="s">
        <v>16</v>
      </c>
      <c r="AH282" s="45">
        <v>7.1009999999999997E-3</v>
      </c>
      <c r="AI282" s="45">
        <v>1.69164553403141E-2</v>
      </c>
      <c r="AJ282" s="45">
        <v>1.46227360324715E-3</v>
      </c>
    </row>
    <row r="283" spans="1:36" x14ac:dyDescent="0.25">
      <c r="A283">
        <v>424</v>
      </c>
      <c r="B283">
        <v>7228</v>
      </c>
      <c r="C283" t="s">
        <v>511</v>
      </c>
      <c r="D283" t="s">
        <v>512</v>
      </c>
      <c r="E283" t="s">
        <v>210</v>
      </c>
      <c r="F283" t="s">
        <v>513</v>
      </c>
      <c r="G283" t="s">
        <v>514</v>
      </c>
      <c r="H283" t="s">
        <v>213</v>
      </c>
      <c r="I283" t="s">
        <v>214</v>
      </c>
      <c r="J283" t="s">
        <v>71</v>
      </c>
      <c r="K283" t="s">
        <v>71</v>
      </c>
      <c r="L283" t="s">
        <v>216</v>
      </c>
      <c r="M283" t="s">
        <v>117</v>
      </c>
      <c r="N283" t="s">
        <v>515</v>
      </c>
      <c r="O283" t="s">
        <v>72</v>
      </c>
      <c r="P283" t="s">
        <v>73</v>
      </c>
      <c r="Q283" t="s">
        <v>74</v>
      </c>
      <c r="R283" t="s">
        <v>220</v>
      </c>
      <c r="S283" t="s">
        <v>81</v>
      </c>
      <c r="T283" s="44">
        <v>11.712999999999999</v>
      </c>
      <c r="U283" t="s">
        <v>516</v>
      </c>
      <c r="V283" s="46">
        <v>2.07E-2</v>
      </c>
      <c r="W283" s="45">
        <v>2.9860000000000001E-2</v>
      </c>
      <c r="X283" t="s">
        <v>222</v>
      </c>
      <c r="Y283" t="s">
        <v>72</v>
      </c>
      <c r="Z283" s="44">
        <v>2022127.66</v>
      </c>
      <c r="AA283" s="42">
        <v>1</v>
      </c>
      <c r="AB283" s="48">
        <v>102.91</v>
      </c>
      <c r="AD283" s="44">
        <v>2080.9720000000002</v>
      </c>
      <c r="AG283" t="s">
        <v>16</v>
      </c>
      <c r="AH283" s="45">
        <v>3.6999999999999999E-4</v>
      </c>
      <c r="AI283" s="45">
        <v>9.8087541859836098E-3</v>
      </c>
      <c r="AJ283" s="45">
        <v>8.4787752743462497E-4</v>
      </c>
    </row>
    <row r="284" spans="1:36" x14ac:dyDescent="0.25">
      <c r="A284">
        <v>424</v>
      </c>
      <c r="B284">
        <v>7228</v>
      </c>
      <c r="C284" t="s">
        <v>517</v>
      </c>
      <c r="D284" t="s">
        <v>518</v>
      </c>
      <c r="E284" t="s">
        <v>420</v>
      </c>
      <c r="F284" t="s">
        <v>519</v>
      </c>
      <c r="G284" t="s">
        <v>520</v>
      </c>
      <c r="H284" t="s">
        <v>213</v>
      </c>
      <c r="I284" t="s">
        <v>239</v>
      </c>
      <c r="J284" t="s">
        <v>71</v>
      </c>
      <c r="K284" t="s">
        <v>71</v>
      </c>
      <c r="L284" t="s">
        <v>216</v>
      </c>
      <c r="M284" t="s">
        <v>109</v>
      </c>
      <c r="N284" t="s">
        <v>423</v>
      </c>
      <c r="O284" t="s">
        <v>72</v>
      </c>
      <c r="P284" t="s">
        <v>235</v>
      </c>
      <c r="Q284" t="s">
        <v>74</v>
      </c>
      <c r="R284" t="s">
        <v>220</v>
      </c>
      <c r="S284" t="s">
        <v>81</v>
      </c>
      <c r="T284" s="44">
        <v>3.3740000000000001</v>
      </c>
      <c r="U284" t="s">
        <v>521</v>
      </c>
      <c r="V284" s="46">
        <v>6.7000000000000004E-2</v>
      </c>
      <c r="W284" s="45">
        <v>5.6849999999999998E-2</v>
      </c>
      <c r="X284" t="s">
        <v>222</v>
      </c>
      <c r="Y284" t="s">
        <v>72</v>
      </c>
      <c r="Z284" s="44">
        <v>1425000</v>
      </c>
      <c r="AA284" s="42">
        <v>1</v>
      </c>
      <c r="AB284" s="48">
        <v>103.63</v>
      </c>
      <c r="AD284" s="44">
        <v>1476.7270000000001</v>
      </c>
      <c r="AG284" t="s">
        <v>16</v>
      </c>
      <c r="AH284" s="45">
        <v>1.5659999999999999E-3</v>
      </c>
      <c r="AI284" s="45">
        <v>6.9606222506121496E-3</v>
      </c>
      <c r="AJ284" s="45">
        <v>6.0168244318823695E-4</v>
      </c>
    </row>
    <row r="285" spans="1:36" x14ac:dyDescent="0.25">
      <c r="A285">
        <v>424</v>
      </c>
      <c r="B285">
        <v>7228</v>
      </c>
      <c r="C285" t="s">
        <v>522</v>
      </c>
      <c r="D285" t="s">
        <v>523</v>
      </c>
      <c r="E285" t="s">
        <v>210</v>
      </c>
      <c r="F285" t="s">
        <v>524</v>
      </c>
      <c r="G285" t="s">
        <v>525</v>
      </c>
      <c r="H285" t="s">
        <v>213</v>
      </c>
      <c r="I285" t="s">
        <v>239</v>
      </c>
      <c r="J285" t="s">
        <v>71</v>
      </c>
      <c r="K285" t="s">
        <v>71</v>
      </c>
      <c r="L285" t="s">
        <v>216</v>
      </c>
      <c r="M285" t="s">
        <v>109</v>
      </c>
      <c r="N285" t="s">
        <v>526</v>
      </c>
      <c r="O285" t="s">
        <v>72</v>
      </c>
      <c r="P285" t="s">
        <v>527</v>
      </c>
      <c r="Q285" t="s">
        <v>528</v>
      </c>
      <c r="R285" t="s">
        <v>528</v>
      </c>
      <c r="S285" t="s">
        <v>81</v>
      </c>
      <c r="T285" s="44">
        <v>4.0650000000000004</v>
      </c>
      <c r="U285" t="s">
        <v>529</v>
      </c>
      <c r="V285" s="46">
        <v>5.8999999999999997E-2</v>
      </c>
      <c r="W285" s="45">
        <v>5.9499999999999997E-2</v>
      </c>
      <c r="X285" t="s">
        <v>222</v>
      </c>
      <c r="Y285" t="s">
        <v>72</v>
      </c>
      <c r="Z285" s="44">
        <v>3052000</v>
      </c>
      <c r="AA285" s="42">
        <v>1</v>
      </c>
      <c r="AB285" s="48">
        <v>100.46</v>
      </c>
      <c r="AD285" s="44">
        <v>3066.0390000000002</v>
      </c>
      <c r="AG285" t="s">
        <v>16</v>
      </c>
      <c r="AH285" s="45">
        <v>6.2760000000000003E-3</v>
      </c>
      <c r="AI285" s="45">
        <v>1.4451915249610399E-2</v>
      </c>
      <c r="AJ285" s="45">
        <v>1.24923654280624E-3</v>
      </c>
    </row>
    <row r="286" spans="1:36" x14ac:dyDescent="0.25">
      <c r="A286">
        <v>424</v>
      </c>
      <c r="B286">
        <v>7228</v>
      </c>
      <c r="C286" t="s">
        <v>530</v>
      </c>
      <c r="D286" t="s">
        <v>531</v>
      </c>
      <c r="E286" t="s">
        <v>210</v>
      </c>
      <c r="F286" t="s">
        <v>532</v>
      </c>
      <c r="G286" t="s">
        <v>533</v>
      </c>
      <c r="H286" t="s">
        <v>213</v>
      </c>
      <c r="I286" t="s">
        <v>239</v>
      </c>
      <c r="J286" t="s">
        <v>71</v>
      </c>
      <c r="K286" t="s">
        <v>71</v>
      </c>
      <c r="L286" t="s">
        <v>216</v>
      </c>
      <c r="M286" t="s">
        <v>117</v>
      </c>
      <c r="N286" t="s">
        <v>287</v>
      </c>
      <c r="O286" t="s">
        <v>72</v>
      </c>
      <c r="P286" t="s">
        <v>235</v>
      </c>
      <c r="Q286" t="s">
        <v>219</v>
      </c>
      <c r="R286" t="s">
        <v>220</v>
      </c>
      <c r="S286" t="s">
        <v>81</v>
      </c>
      <c r="T286" s="44">
        <v>3.2429999999999999</v>
      </c>
      <c r="U286" t="s">
        <v>534</v>
      </c>
      <c r="V286" s="46">
        <v>6.9500000000000006E-2</v>
      </c>
      <c r="W286" s="45">
        <v>5.7419999999999999E-2</v>
      </c>
      <c r="X286" t="s">
        <v>222</v>
      </c>
      <c r="Y286" t="s">
        <v>72</v>
      </c>
      <c r="Z286" s="44">
        <v>2200000</v>
      </c>
      <c r="AA286" s="42">
        <v>1</v>
      </c>
      <c r="AB286" s="48">
        <v>105.91</v>
      </c>
      <c r="AD286" s="44">
        <v>2330.02</v>
      </c>
      <c r="AG286" t="s">
        <v>16</v>
      </c>
      <c r="AH286" s="45">
        <v>2.6029999999999998E-3</v>
      </c>
      <c r="AI286" s="45">
        <v>1.09826552673877E-2</v>
      </c>
      <c r="AJ286" s="45">
        <v>9.49350591952446E-4</v>
      </c>
    </row>
    <row r="287" spans="1:36" x14ac:dyDescent="0.25">
      <c r="A287">
        <v>424</v>
      </c>
      <c r="B287">
        <v>7228</v>
      </c>
      <c r="C287" t="s">
        <v>538</v>
      </c>
      <c r="D287" t="s">
        <v>539</v>
      </c>
      <c r="E287" t="s">
        <v>540</v>
      </c>
      <c r="F287" t="s">
        <v>541</v>
      </c>
      <c r="G287" t="s">
        <v>542</v>
      </c>
      <c r="H287" t="s">
        <v>213</v>
      </c>
      <c r="I287" t="s">
        <v>239</v>
      </c>
      <c r="J287" t="s">
        <v>71</v>
      </c>
      <c r="K287" t="s">
        <v>71</v>
      </c>
      <c r="L287" t="s">
        <v>216</v>
      </c>
      <c r="M287" t="s">
        <v>109</v>
      </c>
      <c r="N287" t="s">
        <v>217</v>
      </c>
      <c r="O287" t="s">
        <v>72</v>
      </c>
      <c r="P287" t="s">
        <v>259</v>
      </c>
      <c r="Q287" t="s">
        <v>74</v>
      </c>
      <c r="R287" t="s">
        <v>220</v>
      </c>
      <c r="S287" t="s">
        <v>81</v>
      </c>
      <c r="T287" s="44">
        <v>3.5379999999999998</v>
      </c>
      <c r="U287" t="s">
        <v>543</v>
      </c>
      <c r="V287" s="46">
        <v>6.25E-2</v>
      </c>
      <c r="W287" s="45">
        <v>5.7919999999999999E-2</v>
      </c>
      <c r="X287" t="s">
        <v>222</v>
      </c>
      <c r="Y287" t="s">
        <v>72</v>
      </c>
      <c r="Z287" s="44">
        <v>3422632</v>
      </c>
      <c r="AA287" s="42">
        <v>1</v>
      </c>
      <c r="AB287" s="48">
        <v>104.79</v>
      </c>
      <c r="AD287" s="44">
        <v>3586.576</v>
      </c>
      <c r="AG287" t="s">
        <v>16</v>
      </c>
      <c r="AH287" s="45">
        <v>6.2230000000000002E-3</v>
      </c>
      <c r="AI287" s="45">
        <v>1.6905489479843001E-2</v>
      </c>
      <c r="AJ287" s="45">
        <v>1.46132570441248E-3</v>
      </c>
    </row>
    <row r="288" spans="1:36" x14ac:dyDescent="0.25">
      <c r="A288">
        <v>424</v>
      </c>
      <c r="B288">
        <v>7228</v>
      </c>
      <c r="C288" t="s">
        <v>544</v>
      </c>
      <c r="D288" t="s">
        <v>545</v>
      </c>
      <c r="E288" t="s">
        <v>540</v>
      </c>
      <c r="F288" t="s">
        <v>546</v>
      </c>
      <c r="G288" t="s">
        <v>547</v>
      </c>
      <c r="H288" t="s">
        <v>213</v>
      </c>
      <c r="I288" t="s">
        <v>239</v>
      </c>
      <c r="J288" t="s">
        <v>71</v>
      </c>
      <c r="K288" t="s">
        <v>291</v>
      </c>
      <c r="L288" t="s">
        <v>216</v>
      </c>
      <c r="M288" t="s">
        <v>117</v>
      </c>
      <c r="N288" t="s">
        <v>217</v>
      </c>
      <c r="O288" t="s">
        <v>72</v>
      </c>
      <c r="P288" t="s">
        <v>259</v>
      </c>
      <c r="Q288" t="s">
        <v>74</v>
      </c>
      <c r="R288" t="s">
        <v>220</v>
      </c>
      <c r="S288" t="s">
        <v>81</v>
      </c>
      <c r="T288" s="44">
        <v>1.675</v>
      </c>
      <c r="U288" t="s">
        <v>391</v>
      </c>
      <c r="V288" s="46">
        <v>3.49E-2</v>
      </c>
      <c r="W288" s="45">
        <v>5.8569999999999997E-2</v>
      </c>
      <c r="X288" t="s">
        <v>222</v>
      </c>
      <c r="Y288" t="s">
        <v>72</v>
      </c>
      <c r="Z288" s="44">
        <v>4891529</v>
      </c>
      <c r="AA288" s="42">
        <v>1</v>
      </c>
      <c r="AB288" s="48">
        <v>97.15</v>
      </c>
      <c r="AD288" s="44">
        <v>4752.12</v>
      </c>
      <c r="AG288" t="s">
        <v>16</v>
      </c>
      <c r="AH288" s="45">
        <v>5.1729999999999996E-3</v>
      </c>
      <c r="AI288" s="45">
        <v>2.2399335799869999E-2</v>
      </c>
      <c r="AJ288" s="45">
        <v>1.936218717899E-3</v>
      </c>
    </row>
    <row r="289" spans="1:36" x14ac:dyDescent="0.25">
      <c r="A289">
        <v>424</v>
      </c>
      <c r="B289">
        <v>7228</v>
      </c>
      <c r="C289" t="s">
        <v>544</v>
      </c>
      <c r="D289" t="s">
        <v>545</v>
      </c>
      <c r="E289" t="s">
        <v>540</v>
      </c>
      <c r="F289" t="s">
        <v>548</v>
      </c>
      <c r="G289" t="s">
        <v>549</v>
      </c>
      <c r="H289" t="s">
        <v>213</v>
      </c>
      <c r="I289" t="s">
        <v>239</v>
      </c>
      <c r="J289" t="s">
        <v>71</v>
      </c>
      <c r="K289" t="s">
        <v>291</v>
      </c>
      <c r="L289" t="s">
        <v>216</v>
      </c>
      <c r="M289" t="s">
        <v>109</v>
      </c>
      <c r="N289" t="s">
        <v>217</v>
      </c>
      <c r="O289" t="s">
        <v>72</v>
      </c>
      <c r="P289" t="s">
        <v>259</v>
      </c>
      <c r="Q289" t="s">
        <v>74</v>
      </c>
      <c r="R289" t="s">
        <v>220</v>
      </c>
      <c r="S289" t="s">
        <v>81</v>
      </c>
      <c r="T289" s="44">
        <v>4.016</v>
      </c>
      <c r="U289" t="s">
        <v>550</v>
      </c>
      <c r="V289" s="46">
        <v>6.7400000000000002E-2</v>
      </c>
      <c r="W289" s="45">
        <v>6.0229999999999999E-2</v>
      </c>
      <c r="X289" t="s">
        <v>222</v>
      </c>
      <c r="Y289" t="s">
        <v>72</v>
      </c>
      <c r="Z289" s="44">
        <v>2289000</v>
      </c>
      <c r="AA289" s="42">
        <v>1</v>
      </c>
      <c r="AB289" s="48">
        <v>106.73</v>
      </c>
      <c r="AD289" s="44">
        <v>2443.0500000000002</v>
      </c>
      <c r="AG289" t="s">
        <v>16</v>
      </c>
      <c r="AH289" s="45">
        <v>8.0319999999999992E-3</v>
      </c>
      <c r="AI289" s="45">
        <v>1.15154259002906E-2</v>
      </c>
      <c r="AJ289" s="45">
        <v>9.9540376428710708E-4</v>
      </c>
    </row>
    <row r="290" spans="1:36" x14ac:dyDescent="0.25">
      <c r="A290">
        <v>424</v>
      </c>
      <c r="B290">
        <v>7228</v>
      </c>
      <c r="C290" t="s">
        <v>551</v>
      </c>
      <c r="D290" t="s">
        <v>552</v>
      </c>
      <c r="E290" t="s">
        <v>210</v>
      </c>
      <c r="F290" t="s">
        <v>553</v>
      </c>
      <c r="G290" t="s">
        <v>554</v>
      </c>
      <c r="H290" t="s">
        <v>213</v>
      </c>
      <c r="I290" t="s">
        <v>239</v>
      </c>
      <c r="J290" t="s">
        <v>71</v>
      </c>
      <c r="K290" t="s">
        <v>71</v>
      </c>
      <c r="L290" t="s">
        <v>216</v>
      </c>
      <c r="M290" t="s">
        <v>117</v>
      </c>
      <c r="N290" t="s">
        <v>329</v>
      </c>
      <c r="O290" t="s">
        <v>72</v>
      </c>
      <c r="P290" t="s">
        <v>246</v>
      </c>
      <c r="Q290" t="s">
        <v>74</v>
      </c>
      <c r="R290" t="s">
        <v>220</v>
      </c>
      <c r="S290" t="s">
        <v>81</v>
      </c>
      <c r="T290" s="44">
        <v>2.9910000000000001</v>
      </c>
      <c r="U290" t="s">
        <v>555</v>
      </c>
      <c r="V290" s="46">
        <v>4.7300000000000002E-2</v>
      </c>
      <c r="W290" s="45">
        <v>5.0959999999999998E-2</v>
      </c>
      <c r="X290" t="s">
        <v>222</v>
      </c>
      <c r="Y290" t="s">
        <v>72</v>
      </c>
      <c r="Z290" s="44">
        <v>1757500</v>
      </c>
      <c r="AA290" s="42">
        <v>1</v>
      </c>
      <c r="AB290" s="48">
        <v>100.21</v>
      </c>
      <c r="AD290" s="44">
        <v>1761.191</v>
      </c>
      <c r="AG290" t="s">
        <v>16</v>
      </c>
      <c r="AH290" s="45">
        <v>3.738E-3</v>
      </c>
      <c r="AI290" s="45">
        <v>8.3014527203037099E-3</v>
      </c>
      <c r="AJ290" s="45">
        <v>7.1758503405707798E-4</v>
      </c>
    </row>
    <row r="291" spans="1:36" x14ac:dyDescent="0.25">
      <c r="A291">
        <v>424</v>
      </c>
      <c r="B291">
        <v>7228</v>
      </c>
      <c r="C291" t="s">
        <v>556</v>
      </c>
      <c r="D291" t="s">
        <v>557</v>
      </c>
      <c r="E291" t="s">
        <v>210</v>
      </c>
      <c r="F291" t="s">
        <v>558</v>
      </c>
      <c r="G291" t="s">
        <v>559</v>
      </c>
      <c r="H291" t="s">
        <v>213</v>
      </c>
      <c r="I291" t="s">
        <v>214</v>
      </c>
      <c r="J291" t="s">
        <v>71</v>
      </c>
      <c r="K291" t="s">
        <v>71</v>
      </c>
      <c r="L291" t="s">
        <v>216</v>
      </c>
      <c r="M291" t="s">
        <v>117</v>
      </c>
      <c r="N291" t="s">
        <v>258</v>
      </c>
      <c r="O291" t="s">
        <v>72</v>
      </c>
      <c r="P291" t="s">
        <v>560</v>
      </c>
      <c r="Q291" t="s">
        <v>219</v>
      </c>
      <c r="R291" t="s">
        <v>220</v>
      </c>
      <c r="S291" t="s">
        <v>81</v>
      </c>
      <c r="T291" s="44">
        <v>2.0680000000000001</v>
      </c>
      <c r="U291" t="s">
        <v>561</v>
      </c>
      <c r="V291" s="46">
        <v>1.77E-2</v>
      </c>
      <c r="W291" s="45">
        <v>2.751E-2</v>
      </c>
      <c r="X291" t="s">
        <v>222</v>
      </c>
      <c r="Y291" t="s">
        <v>72</v>
      </c>
      <c r="Z291" s="44">
        <v>2236800</v>
      </c>
      <c r="AA291" s="42">
        <v>1</v>
      </c>
      <c r="AB291" s="48">
        <v>113.81</v>
      </c>
      <c r="AD291" s="44">
        <v>2545.7020000000002</v>
      </c>
      <c r="AG291" t="s">
        <v>16</v>
      </c>
      <c r="AH291" s="45">
        <v>8.6200000000000003E-4</v>
      </c>
      <c r="AI291" s="45">
        <v>1.19992825632878E-2</v>
      </c>
      <c r="AJ291" s="45">
        <v>1.0372287691018001E-3</v>
      </c>
    </row>
    <row r="292" spans="1:36" x14ac:dyDescent="0.25">
      <c r="A292">
        <v>424</v>
      </c>
      <c r="B292">
        <v>7228</v>
      </c>
      <c r="C292" t="s">
        <v>556</v>
      </c>
      <c r="D292" t="s">
        <v>557</v>
      </c>
      <c r="E292" t="s">
        <v>210</v>
      </c>
      <c r="F292" t="s">
        <v>562</v>
      </c>
      <c r="G292" t="s">
        <v>563</v>
      </c>
      <c r="H292" t="s">
        <v>213</v>
      </c>
      <c r="I292" t="s">
        <v>214</v>
      </c>
      <c r="J292" t="s">
        <v>71</v>
      </c>
      <c r="K292" t="s">
        <v>71</v>
      </c>
      <c r="L292" t="s">
        <v>216</v>
      </c>
      <c r="M292" t="s">
        <v>117</v>
      </c>
      <c r="N292" t="s">
        <v>258</v>
      </c>
      <c r="O292" t="s">
        <v>72</v>
      </c>
      <c r="P292" t="s">
        <v>560</v>
      </c>
      <c r="Q292" t="s">
        <v>74</v>
      </c>
      <c r="R292" t="s">
        <v>220</v>
      </c>
      <c r="S292" t="s">
        <v>81</v>
      </c>
      <c r="T292" s="44">
        <v>6.4729999999999999</v>
      </c>
      <c r="U292" t="s">
        <v>564</v>
      </c>
      <c r="V292" s="46">
        <v>8.9999999999999993E-3</v>
      </c>
      <c r="W292" s="45">
        <v>3.0720000000000001E-2</v>
      </c>
      <c r="X292" t="s">
        <v>222</v>
      </c>
      <c r="Y292" t="s">
        <v>72</v>
      </c>
      <c r="Z292" s="44">
        <v>2800000</v>
      </c>
      <c r="AA292" s="42">
        <v>1</v>
      </c>
      <c r="AB292" s="48">
        <v>99.26</v>
      </c>
      <c r="AD292" s="44">
        <v>2779.28</v>
      </c>
      <c r="AG292" t="s">
        <v>16</v>
      </c>
      <c r="AH292" s="45">
        <v>1.018E-3</v>
      </c>
      <c r="AI292" s="45">
        <v>1.31002627151464E-2</v>
      </c>
      <c r="AJ292" s="45">
        <v>1.1323984829321599E-3</v>
      </c>
    </row>
    <row r="293" spans="1:36" x14ac:dyDescent="0.25">
      <c r="A293">
        <v>424</v>
      </c>
      <c r="B293">
        <v>7228</v>
      </c>
      <c r="C293" t="s">
        <v>556</v>
      </c>
      <c r="D293" t="s">
        <v>557</v>
      </c>
      <c r="E293" t="s">
        <v>210</v>
      </c>
      <c r="F293" t="s">
        <v>565</v>
      </c>
      <c r="G293" t="s">
        <v>566</v>
      </c>
      <c r="H293" t="s">
        <v>213</v>
      </c>
      <c r="I293" t="s">
        <v>214</v>
      </c>
      <c r="J293" t="s">
        <v>71</v>
      </c>
      <c r="K293" t="s">
        <v>71</v>
      </c>
      <c r="L293" t="s">
        <v>216</v>
      </c>
      <c r="M293" t="s">
        <v>117</v>
      </c>
      <c r="N293" t="s">
        <v>258</v>
      </c>
      <c r="O293" t="s">
        <v>72</v>
      </c>
      <c r="P293" t="s">
        <v>560</v>
      </c>
      <c r="Q293" t="s">
        <v>74</v>
      </c>
      <c r="R293" t="s">
        <v>220</v>
      </c>
      <c r="S293" t="s">
        <v>81</v>
      </c>
      <c r="T293" s="44">
        <v>9.9939999999999998</v>
      </c>
      <c r="U293" t="s">
        <v>567</v>
      </c>
      <c r="V293" s="46">
        <v>1.6899999999999998E-2</v>
      </c>
      <c r="W293" s="45">
        <v>3.2899999999999999E-2</v>
      </c>
      <c r="X293" t="s">
        <v>222</v>
      </c>
      <c r="Y293" t="s">
        <v>72</v>
      </c>
      <c r="Z293" s="44">
        <v>2367865</v>
      </c>
      <c r="AA293" s="42">
        <v>1</v>
      </c>
      <c r="AB293" s="48">
        <v>97.7</v>
      </c>
      <c r="AD293" s="44">
        <v>2313.404</v>
      </c>
      <c r="AG293" t="s">
        <v>16</v>
      </c>
      <c r="AH293" s="45">
        <v>5.4299999999999997E-4</v>
      </c>
      <c r="AI293" s="45">
        <v>1.0904335490414099E-2</v>
      </c>
      <c r="AJ293" s="45">
        <v>9.4258056004110197E-4</v>
      </c>
    </row>
    <row r="294" spans="1:36" x14ac:dyDescent="0.25">
      <c r="A294">
        <v>424</v>
      </c>
      <c r="B294">
        <v>7228</v>
      </c>
      <c r="C294" t="s">
        <v>556</v>
      </c>
      <c r="D294" t="s">
        <v>557</v>
      </c>
      <c r="E294" t="s">
        <v>210</v>
      </c>
      <c r="F294" t="s">
        <v>568</v>
      </c>
      <c r="G294" t="s">
        <v>569</v>
      </c>
      <c r="H294" t="s">
        <v>213</v>
      </c>
      <c r="I294" t="s">
        <v>214</v>
      </c>
      <c r="J294" t="s">
        <v>71</v>
      </c>
      <c r="K294" t="s">
        <v>71</v>
      </c>
      <c r="L294" t="s">
        <v>216</v>
      </c>
      <c r="M294" t="s">
        <v>109</v>
      </c>
      <c r="N294" t="s">
        <v>258</v>
      </c>
      <c r="O294" t="s">
        <v>72</v>
      </c>
      <c r="P294" t="s">
        <v>560</v>
      </c>
      <c r="Q294" t="s">
        <v>219</v>
      </c>
      <c r="R294" t="s">
        <v>220</v>
      </c>
      <c r="S294" t="s">
        <v>81</v>
      </c>
      <c r="T294" s="44">
        <v>11.904</v>
      </c>
      <c r="U294" t="s">
        <v>570</v>
      </c>
      <c r="V294" s="46">
        <v>3.6700000000000003E-2</v>
      </c>
      <c r="W294" s="45">
        <v>3.4259999999999999E-2</v>
      </c>
      <c r="X294" t="s">
        <v>222</v>
      </c>
      <c r="Y294" t="s">
        <v>72</v>
      </c>
      <c r="Z294" s="44">
        <v>2400000</v>
      </c>
      <c r="AA294" s="42">
        <v>1</v>
      </c>
      <c r="AB294" s="48">
        <v>105.88</v>
      </c>
      <c r="AD294" s="44">
        <v>2541.12</v>
      </c>
      <c r="AG294" t="s">
        <v>16</v>
      </c>
      <c r="AH294" s="45">
        <v>7.3099999999999999E-4</v>
      </c>
      <c r="AI294" s="45">
        <v>1.19776847207596E-2</v>
      </c>
      <c r="AJ294" s="45">
        <v>1.0353618321826399E-3</v>
      </c>
    </row>
    <row r="295" spans="1:36" x14ac:dyDescent="0.25">
      <c r="A295">
        <v>424</v>
      </c>
      <c r="B295">
        <v>7228</v>
      </c>
      <c r="C295" t="s">
        <v>88</v>
      </c>
      <c r="D295" t="s">
        <v>571</v>
      </c>
      <c r="E295" t="s">
        <v>210</v>
      </c>
      <c r="F295" t="s">
        <v>572</v>
      </c>
      <c r="G295" t="s">
        <v>573</v>
      </c>
      <c r="H295" t="s">
        <v>213</v>
      </c>
      <c r="I295" t="s">
        <v>214</v>
      </c>
      <c r="J295" t="s">
        <v>71</v>
      </c>
      <c r="K295" t="s">
        <v>71</v>
      </c>
      <c r="L295" t="s">
        <v>216</v>
      </c>
      <c r="M295" t="s">
        <v>117</v>
      </c>
      <c r="N295" t="s">
        <v>365</v>
      </c>
      <c r="O295" t="s">
        <v>72</v>
      </c>
      <c r="P295" t="s">
        <v>228</v>
      </c>
      <c r="Q295" t="s">
        <v>74</v>
      </c>
      <c r="R295" t="s">
        <v>220</v>
      </c>
      <c r="S295" t="s">
        <v>81</v>
      </c>
      <c r="T295" s="44">
        <v>4.3479999999999999</v>
      </c>
      <c r="U295" t="s">
        <v>574</v>
      </c>
      <c r="V295" s="46">
        <v>3.7100000000000001E-2</v>
      </c>
      <c r="W295" s="45">
        <v>3.031E-2</v>
      </c>
      <c r="X295" t="s">
        <v>222</v>
      </c>
      <c r="Y295" t="s">
        <v>72</v>
      </c>
      <c r="Z295" s="44">
        <v>2150000</v>
      </c>
      <c r="AA295" s="42">
        <v>1</v>
      </c>
      <c r="AB295" s="48">
        <v>107.64</v>
      </c>
      <c r="AD295" s="44">
        <v>2314.2600000000002</v>
      </c>
      <c r="AG295" t="s">
        <v>16</v>
      </c>
      <c r="AH295" s="45">
        <v>5.5970000000000004E-3</v>
      </c>
      <c r="AI295" s="45">
        <v>1.0908369790433E-2</v>
      </c>
      <c r="AJ295" s="45">
        <v>9.4292928856055599E-4</v>
      </c>
    </row>
    <row r="296" spans="1:36" x14ac:dyDescent="0.25">
      <c r="A296">
        <v>424</v>
      </c>
      <c r="B296">
        <v>7228</v>
      </c>
      <c r="C296" t="s">
        <v>88</v>
      </c>
      <c r="D296" t="s">
        <v>571</v>
      </c>
      <c r="E296" t="s">
        <v>210</v>
      </c>
      <c r="F296" t="s">
        <v>575</v>
      </c>
      <c r="G296" t="s">
        <v>576</v>
      </c>
      <c r="H296" t="s">
        <v>213</v>
      </c>
      <c r="I296" t="s">
        <v>214</v>
      </c>
      <c r="J296" t="s">
        <v>71</v>
      </c>
      <c r="K296" t="s">
        <v>71</v>
      </c>
      <c r="L296" t="s">
        <v>216</v>
      </c>
      <c r="M296" t="s">
        <v>109</v>
      </c>
      <c r="N296" t="s">
        <v>365</v>
      </c>
      <c r="O296" t="s">
        <v>72</v>
      </c>
      <c r="P296" t="s">
        <v>228</v>
      </c>
      <c r="Q296" t="s">
        <v>74</v>
      </c>
      <c r="R296" t="s">
        <v>220</v>
      </c>
      <c r="S296" t="s">
        <v>81</v>
      </c>
      <c r="T296" s="44">
        <v>6.8019999999999996</v>
      </c>
      <c r="U296" t="s">
        <v>577</v>
      </c>
      <c r="V296" s="46">
        <v>3.4500000000000003E-2</v>
      </c>
      <c r="W296" s="45">
        <v>3.1910000000000001E-2</v>
      </c>
      <c r="X296" t="s">
        <v>222</v>
      </c>
      <c r="Y296" t="s">
        <v>72</v>
      </c>
      <c r="Z296" s="44">
        <v>3600000</v>
      </c>
      <c r="AA296" s="42">
        <v>1</v>
      </c>
      <c r="AB296" s="48">
        <v>102.77</v>
      </c>
      <c r="AD296" s="44">
        <v>3699.72</v>
      </c>
      <c r="AG296" t="s">
        <v>16</v>
      </c>
      <c r="AH296" s="45">
        <v>3.9139999999999999E-3</v>
      </c>
      <c r="AI296" s="45">
        <v>1.7438798527849401E-2</v>
      </c>
      <c r="AJ296" s="45">
        <v>1.5074254178326001E-3</v>
      </c>
    </row>
    <row r="297" spans="1:36" x14ac:dyDescent="0.25">
      <c r="A297">
        <v>424</v>
      </c>
      <c r="B297">
        <v>7228</v>
      </c>
      <c r="C297" t="s">
        <v>578</v>
      </c>
      <c r="D297" t="s">
        <v>579</v>
      </c>
      <c r="E297" t="s">
        <v>210</v>
      </c>
      <c r="F297" t="s">
        <v>580</v>
      </c>
      <c r="G297" t="s">
        <v>581</v>
      </c>
      <c r="H297" t="s">
        <v>213</v>
      </c>
      <c r="I297" t="s">
        <v>239</v>
      </c>
      <c r="J297" t="s">
        <v>71</v>
      </c>
      <c r="K297" t="s">
        <v>71</v>
      </c>
      <c r="L297" t="s">
        <v>216</v>
      </c>
      <c r="M297" t="s">
        <v>109</v>
      </c>
      <c r="N297" t="s">
        <v>234</v>
      </c>
      <c r="O297" t="s">
        <v>72</v>
      </c>
      <c r="P297" t="s">
        <v>228</v>
      </c>
      <c r="Q297" t="s">
        <v>74</v>
      </c>
      <c r="R297" t="s">
        <v>220</v>
      </c>
      <c r="S297" t="s">
        <v>81</v>
      </c>
      <c r="T297" s="44">
        <v>6.3479999999999999</v>
      </c>
      <c r="U297" t="s">
        <v>582</v>
      </c>
      <c r="V297" s="46">
        <v>5.8599999999999999E-2</v>
      </c>
      <c r="W297" s="45">
        <v>5.2040000000000003E-2</v>
      </c>
      <c r="X297" t="s">
        <v>222</v>
      </c>
      <c r="Y297" t="s">
        <v>72</v>
      </c>
      <c r="Z297" s="44">
        <v>3401902</v>
      </c>
      <c r="AA297" s="42">
        <v>1</v>
      </c>
      <c r="AB297" s="48">
        <v>106.56</v>
      </c>
      <c r="AD297" s="44">
        <v>3625.067</v>
      </c>
      <c r="AG297" t="s">
        <v>16</v>
      </c>
      <c r="AH297" s="45">
        <v>1.7052000000000001E-2</v>
      </c>
      <c r="AI297" s="45">
        <v>1.70869171377722E-2</v>
      </c>
      <c r="AJ297" s="45">
        <v>1.47700847422162E-3</v>
      </c>
    </row>
    <row r="298" spans="1:36" x14ac:dyDescent="0.25">
      <c r="A298">
        <v>424</v>
      </c>
      <c r="B298">
        <v>7228</v>
      </c>
      <c r="C298" t="s">
        <v>670</v>
      </c>
      <c r="D298" t="s">
        <v>671</v>
      </c>
      <c r="E298" t="s">
        <v>210</v>
      </c>
      <c r="F298" t="s">
        <v>672</v>
      </c>
      <c r="G298" t="s">
        <v>673</v>
      </c>
      <c r="H298" t="s">
        <v>213</v>
      </c>
      <c r="I298" t="s">
        <v>239</v>
      </c>
      <c r="J298" t="s">
        <v>71</v>
      </c>
      <c r="K298" t="s">
        <v>71</v>
      </c>
      <c r="L298" t="s">
        <v>216</v>
      </c>
      <c r="M298" t="s">
        <v>117</v>
      </c>
      <c r="N298" t="s">
        <v>329</v>
      </c>
      <c r="O298" t="s">
        <v>72</v>
      </c>
      <c r="P298" t="s">
        <v>228</v>
      </c>
      <c r="Q298" t="s">
        <v>74</v>
      </c>
      <c r="R298" t="s">
        <v>220</v>
      </c>
      <c r="S298" t="s">
        <v>81</v>
      </c>
      <c r="T298" s="44">
        <v>1.58</v>
      </c>
      <c r="U298" t="s">
        <v>674</v>
      </c>
      <c r="V298" s="46">
        <v>0.04</v>
      </c>
      <c r="W298" s="45">
        <v>4.9320000000000003E-2</v>
      </c>
      <c r="X298" t="s">
        <v>222</v>
      </c>
      <c r="Y298" t="s">
        <v>72</v>
      </c>
      <c r="Z298" s="44">
        <v>426678.7</v>
      </c>
      <c r="AA298" s="42">
        <v>1</v>
      </c>
      <c r="AB298" s="48">
        <v>101.61</v>
      </c>
      <c r="AD298" s="44">
        <v>433.548</v>
      </c>
      <c r="AG298" t="s">
        <v>16</v>
      </c>
      <c r="AH298" s="45">
        <v>7.1599999999999995E-4</v>
      </c>
      <c r="AI298" s="45">
        <v>2.0435492912923301E-3</v>
      </c>
      <c r="AJ298" s="45">
        <v>1.7664623737514599E-4</v>
      </c>
    </row>
    <row r="299" spans="1:36" x14ac:dyDescent="0.25">
      <c r="A299">
        <v>424</v>
      </c>
      <c r="B299">
        <v>7228</v>
      </c>
      <c r="C299" t="s">
        <v>583</v>
      </c>
      <c r="D299" t="s">
        <v>584</v>
      </c>
      <c r="E299" t="s">
        <v>210</v>
      </c>
      <c r="F299" t="s">
        <v>585</v>
      </c>
      <c r="G299" t="s">
        <v>586</v>
      </c>
      <c r="H299" t="s">
        <v>213</v>
      </c>
      <c r="I299" t="s">
        <v>239</v>
      </c>
      <c r="J299" t="s">
        <v>71</v>
      </c>
      <c r="K299" t="s">
        <v>71</v>
      </c>
      <c r="L299" t="s">
        <v>216</v>
      </c>
      <c r="M299" t="s">
        <v>286</v>
      </c>
      <c r="N299" t="s">
        <v>217</v>
      </c>
      <c r="O299" t="s">
        <v>72</v>
      </c>
      <c r="P299" t="s">
        <v>218</v>
      </c>
      <c r="Q299" t="s">
        <v>219</v>
      </c>
      <c r="R299" t="s">
        <v>220</v>
      </c>
      <c r="S299" t="s">
        <v>81</v>
      </c>
      <c r="T299" s="44">
        <v>5.8659999999999997</v>
      </c>
      <c r="U299" t="s">
        <v>384</v>
      </c>
      <c r="V299" s="46">
        <v>5.5899999999999998E-2</v>
      </c>
      <c r="W299" s="45">
        <v>5.8259999999999999E-2</v>
      </c>
      <c r="X299" t="s">
        <v>222</v>
      </c>
      <c r="Y299" t="s">
        <v>72</v>
      </c>
      <c r="Z299" s="44">
        <v>2103000</v>
      </c>
      <c r="AA299" s="42">
        <v>1</v>
      </c>
      <c r="AB299" s="48">
        <v>99.28</v>
      </c>
      <c r="AD299" s="44">
        <v>2087.8580000000002</v>
      </c>
      <c r="AG299" t="s">
        <v>16</v>
      </c>
      <c r="AH299" s="45">
        <v>9.4020000000000006E-3</v>
      </c>
      <c r="AI299" s="45">
        <v>9.8412155493599798E-3</v>
      </c>
      <c r="AJ299" s="45">
        <v>8.5068351685946297E-4</v>
      </c>
    </row>
    <row r="300" spans="1:36" x14ac:dyDescent="0.25">
      <c r="A300">
        <v>424</v>
      </c>
      <c r="B300">
        <v>7228</v>
      </c>
      <c r="C300" t="s">
        <v>583</v>
      </c>
      <c r="D300" t="s">
        <v>584</v>
      </c>
      <c r="E300" t="s">
        <v>210</v>
      </c>
      <c r="F300" t="s">
        <v>587</v>
      </c>
      <c r="G300" t="s">
        <v>588</v>
      </c>
      <c r="H300" t="s">
        <v>213</v>
      </c>
      <c r="I300" t="s">
        <v>239</v>
      </c>
      <c r="J300" t="s">
        <v>71</v>
      </c>
      <c r="K300" t="s">
        <v>71</v>
      </c>
      <c r="L300" t="s">
        <v>216</v>
      </c>
      <c r="M300" t="s">
        <v>117</v>
      </c>
      <c r="N300" t="s">
        <v>217</v>
      </c>
      <c r="O300" t="s">
        <v>72</v>
      </c>
      <c r="P300" t="s">
        <v>218</v>
      </c>
      <c r="Q300" t="s">
        <v>219</v>
      </c>
      <c r="R300" t="s">
        <v>220</v>
      </c>
      <c r="S300" t="s">
        <v>81</v>
      </c>
      <c r="T300" s="44">
        <v>1.5649999999999999</v>
      </c>
      <c r="U300" t="s">
        <v>589</v>
      </c>
      <c r="V300" s="46">
        <v>2.6499999999999999E-2</v>
      </c>
      <c r="W300" s="45">
        <v>5.5599999999999997E-2</v>
      </c>
      <c r="X300" t="s">
        <v>222</v>
      </c>
      <c r="Y300" t="s">
        <v>72</v>
      </c>
      <c r="Z300" s="44">
        <v>1585714.28</v>
      </c>
      <c r="AA300" s="42">
        <v>1</v>
      </c>
      <c r="AB300" s="48">
        <v>95.94</v>
      </c>
      <c r="AD300" s="44">
        <v>1521.3340000000001</v>
      </c>
      <c r="AG300" t="s">
        <v>16</v>
      </c>
      <c r="AH300" s="45">
        <v>3.0959999999999998E-3</v>
      </c>
      <c r="AI300" s="45">
        <v>7.1708783384895796E-3</v>
      </c>
      <c r="AJ300" s="45">
        <v>6.1985716839160104E-4</v>
      </c>
    </row>
    <row r="301" spans="1:36" x14ac:dyDescent="0.25">
      <c r="A301">
        <v>424</v>
      </c>
      <c r="B301">
        <v>7228</v>
      </c>
      <c r="C301" t="s">
        <v>590</v>
      </c>
      <c r="D301" t="s">
        <v>591</v>
      </c>
      <c r="E301" t="s">
        <v>210</v>
      </c>
      <c r="F301" t="s">
        <v>592</v>
      </c>
      <c r="G301" t="s">
        <v>593</v>
      </c>
      <c r="H301" t="s">
        <v>213</v>
      </c>
      <c r="I301" t="s">
        <v>214</v>
      </c>
      <c r="J301" t="s">
        <v>71</v>
      </c>
      <c r="K301" t="s">
        <v>71</v>
      </c>
      <c r="L301" t="s">
        <v>216</v>
      </c>
      <c r="M301" t="s">
        <v>117</v>
      </c>
      <c r="N301" t="s">
        <v>258</v>
      </c>
      <c r="O301" t="s">
        <v>72</v>
      </c>
      <c r="P301" t="s">
        <v>259</v>
      </c>
      <c r="Q301" t="s">
        <v>74</v>
      </c>
      <c r="R301" t="s">
        <v>220</v>
      </c>
      <c r="S301" t="s">
        <v>81</v>
      </c>
      <c r="T301" s="44">
        <v>6.2430000000000003</v>
      </c>
      <c r="U301" t="s">
        <v>594</v>
      </c>
      <c r="V301" s="46">
        <v>2.5000000000000001E-2</v>
      </c>
      <c r="W301" s="45">
        <v>3.1879999999999999E-2</v>
      </c>
      <c r="X301" t="s">
        <v>222</v>
      </c>
      <c r="Y301" t="s">
        <v>72</v>
      </c>
      <c r="Z301" s="44">
        <v>1306000</v>
      </c>
      <c r="AA301" s="42">
        <v>1</v>
      </c>
      <c r="AB301" s="48">
        <v>111</v>
      </c>
      <c r="AD301" s="44">
        <v>1449.66</v>
      </c>
      <c r="AG301" t="s">
        <v>16</v>
      </c>
      <c r="AH301" s="45">
        <v>1.2440000000000001E-3</v>
      </c>
      <c r="AI301" s="45">
        <v>6.8330383580060697E-3</v>
      </c>
      <c r="AJ301" s="45">
        <v>5.90653976845599E-4</v>
      </c>
    </row>
    <row r="302" spans="1:36" x14ac:dyDescent="0.25">
      <c r="A302">
        <v>424</v>
      </c>
      <c r="B302">
        <v>7228</v>
      </c>
      <c r="C302" t="s">
        <v>599</v>
      </c>
      <c r="D302" t="s">
        <v>600</v>
      </c>
      <c r="E302" t="s">
        <v>540</v>
      </c>
      <c r="F302" t="s">
        <v>601</v>
      </c>
      <c r="G302" t="s">
        <v>602</v>
      </c>
      <c r="H302" t="s">
        <v>213</v>
      </c>
      <c r="I302" t="s">
        <v>603</v>
      </c>
      <c r="J302" t="s">
        <v>71</v>
      </c>
      <c r="K302" t="s">
        <v>604</v>
      </c>
      <c r="L302" t="s">
        <v>216</v>
      </c>
      <c r="M302" t="s">
        <v>117</v>
      </c>
      <c r="N302" t="s">
        <v>217</v>
      </c>
      <c r="O302" t="s">
        <v>72</v>
      </c>
      <c r="P302" t="s">
        <v>228</v>
      </c>
      <c r="Q302" t="s">
        <v>219</v>
      </c>
      <c r="R302" t="s">
        <v>220</v>
      </c>
      <c r="S302" t="s">
        <v>81</v>
      </c>
      <c r="T302" s="44">
        <v>2.6120000000000001</v>
      </c>
      <c r="U302" t="s">
        <v>605</v>
      </c>
      <c r="V302" s="46">
        <v>4.2999999999999997E-2</v>
      </c>
      <c r="W302" s="45">
        <v>8.6080000000000004E-2</v>
      </c>
      <c r="X302" t="s">
        <v>222</v>
      </c>
      <c r="Y302" t="s">
        <v>72</v>
      </c>
      <c r="Z302" s="44">
        <v>0.78</v>
      </c>
      <c r="AA302" s="42">
        <v>1</v>
      </c>
      <c r="AB302" s="48">
        <v>91.56</v>
      </c>
      <c r="AD302" s="44">
        <v>1E-3</v>
      </c>
      <c r="AG302" t="s">
        <v>16</v>
      </c>
      <c r="AH302" s="45">
        <v>0</v>
      </c>
      <c r="AI302" s="45">
        <v>3.3662633569667899E-9</v>
      </c>
      <c r="AJ302" s="45">
        <v>2.90982829998667E-10</v>
      </c>
    </row>
    <row r="303" spans="1:36" x14ac:dyDescent="0.25">
      <c r="A303">
        <v>424</v>
      </c>
      <c r="B303">
        <v>7228</v>
      </c>
      <c r="C303" t="s">
        <v>606</v>
      </c>
      <c r="D303" t="s">
        <v>607</v>
      </c>
      <c r="E303" t="s">
        <v>210</v>
      </c>
      <c r="F303" t="s">
        <v>608</v>
      </c>
      <c r="G303" t="s">
        <v>609</v>
      </c>
      <c r="H303" t="s">
        <v>213</v>
      </c>
      <c r="I303" t="s">
        <v>239</v>
      </c>
      <c r="J303" t="s">
        <v>71</v>
      </c>
      <c r="K303" t="s">
        <v>71</v>
      </c>
      <c r="L303" t="s">
        <v>216</v>
      </c>
      <c r="M303" t="s">
        <v>109</v>
      </c>
      <c r="N303" t="s">
        <v>610</v>
      </c>
      <c r="O303" t="s">
        <v>72</v>
      </c>
      <c r="P303" t="s">
        <v>246</v>
      </c>
      <c r="Q303" t="s">
        <v>219</v>
      </c>
      <c r="R303" t="s">
        <v>220</v>
      </c>
      <c r="S303" t="s">
        <v>81</v>
      </c>
      <c r="T303" s="44">
        <v>4.7789999999999999</v>
      </c>
      <c r="U303" t="s">
        <v>348</v>
      </c>
      <c r="V303" s="46">
        <v>5.8500000000000003E-2</v>
      </c>
      <c r="W303" s="45">
        <v>5.2679999999999998E-2</v>
      </c>
      <c r="X303" t="s">
        <v>222</v>
      </c>
      <c r="Y303" t="s">
        <v>72</v>
      </c>
      <c r="Z303" s="44">
        <v>1907000</v>
      </c>
      <c r="AA303" s="42">
        <v>1</v>
      </c>
      <c r="AB303" s="48">
        <v>106.89</v>
      </c>
      <c r="AD303" s="44">
        <v>2038.3920000000001</v>
      </c>
      <c r="AG303" t="s">
        <v>16</v>
      </c>
      <c r="AH303" s="45">
        <v>1.2303E-2</v>
      </c>
      <c r="AI303" s="45">
        <v>9.6080548366956498E-3</v>
      </c>
      <c r="AJ303" s="45">
        <v>8.3052889530403498E-4</v>
      </c>
    </row>
    <row r="304" spans="1:36" x14ac:dyDescent="0.25">
      <c r="A304">
        <v>424</v>
      </c>
      <c r="B304">
        <v>7228</v>
      </c>
      <c r="C304" t="s">
        <v>675</v>
      </c>
      <c r="D304" t="s">
        <v>676</v>
      </c>
      <c r="E304" t="s">
        <v>613</v>
      </c>
      <c r="F304" t="s">
        <v>677</v>
      </c>
      <c r="G304" t="s">
        <v>678</v>
      </c>
      <c r="H304" t="s">
        <v>213</v>
      </c>
      <c r="I304" t="s">
        <v>603</v>
      </c>
      <c r="J304" t="s">
        <v>85</v>
      </c>
      <c r="K304" t="s">
        <v>679</v>
      </c>
      <c r="L304" t="s">
        <v>216</v>
      </c>
      <c r="M304" t="s">
        <v>286</v>
      </c>
      <c r="N304" t="s">
        <v>680</v>
      </c>
      <c r="O304" t="s">
        <v>72</v>
      </c>
      <c r="P304" t="s">
        <v>681</v>
      </c>
      <c r="Q304" t="s">
        <v>617</v>
      </c>
      <c r="R304" t="s">
        <v>220</v>
      </c>
      <c r="S304" t="s">
        <v>77</v>
      </c>
      <c r="T304" s="44">
        <v>8.9990000000000006</v>
      </c>
      <c r="U304" t="s">
        <v>682</v>
      </c>
      <c r="V304" s="46">
        <v>4.4999999999999998E-2</v>
      </c>
      <c r="W304" s="45">
        <v>5.6410000000000002E-2</v>
      </c>
      <c r="X304" t="s">
        <v>222</v>
      </c>
      <c r="Y304" t="s">
        <v>72</v>
      </c>
      <c r="Z304" s="44">
        <v>300000</v>
      </c>
      <c r="AA304" s="42">
        <v>4.0218999999999996</v>
      </c>
      <c r="AB304" s="48">
        <v>101.77</v>
      </c>
      <c r="AD304" s="44">
        <v>1227.9269999999999</v>
      </c>
      <c r="AG304" t="s">
        <v>16</v>
      </c>
      <c r="AH304" s="45">
        <v>5.9999999999999995E-4</v>
      </c>
      <c r="AI304" s="45">
        <v>5.7878921113089501E-3</v>
      </c>
      <c r="AJ304" s="45">
        <v>5.0031059595800204E-4</v>
      </c>
    </row>
    <row r="305" spans="1:36" x14ac:dyDescent="0.25">
      <c r="A305">
        <v>424</v>
      </c>
      <c r="B305">
        <v>7228</v>
      </c>
      <c r="C305" t="s">
        <v>683</v>
      </c>
      <c r="D305" t="s">
        <v>684</v>
      </c>
      <c r="E305" t="s">
        <v>613</v>
      </c>
      <c r="F305" t="s">
        <v>685</v>
      </c>
      <c r="G305" t="s">
        <v>686</v>
      </c>
      <c r="H305" t="s">
        <v>213</v>
      </c>
      <c r="I305" t="s">
        <v>603</v>
      </c>
      <c r="J305" t="s">
        <v>85</v>
      </c>
      <c r="K305" t="s">
        <v>291</v>
      </c>
      <c r="L305" t="s">
        <v>216</v>
      </c>
      <c r="M305" t="s">
        <v>286</v>
      </c>
      <c r="N305" t="s">
        <v>687</v>
      </c>
      <c r="O305" t="s">
        <v>72</v>
      </c>
      <c r="P305" t="s">
        <v>688</v>
      </c>
      <c r="Q305" t="s">
        <v>689</v>
      </c>
      <c r="R305" t="s">
        <v>220</v>
      </c>
      <c r="S305" t="s">
        <v>75</v>
      </c>
      <c r="T305" s="44">
        <v>1.125</v>
      </c>
      <c r="U305" t="s">
        <v>182</v>
      </c>
      <c r="V305" s="46">
        <v>0.05</v>
      </c>
      <c r="W305" s="45">
        <v>6.1089999999999998E-2</v>
      </c>
      <c r="X305" t="s">
        <v>222</v>
      </c>
      <c r="Y305" t="s">
        <v>72</v>
      </c>
      <c r="Z305" s="44">
        <v>263000</v>
      </c>
      <c r="AA305" s="42">
        <v>3.718</v>
      </c>
      <c r="AB305" s="48">
        <v>100.908</v>
      </c>
      <c r="AD305" s="44">
        <v>986.70899999999995</v>
      </c>
      <c r="AG305" t="s">
        <v>16</v>
      </c>
      <c r="AH305" s="45">
        <v>2.92E-4</v>
      </c>
      <c r="AI305" s="45">
        <v>4.6508969170011103E-3</v>
      </c>
      <c r="AJ305" s="45">
        <v>4.0202770948987598E-4</v>
      </c>
    </row>
    <row r="306" spans="1:36" x14ac:dyDescent="0.25">
      <c r="A306">
        <v>424</v>
      </c>
      <c r="B306">
        <v>7228</v>
      </c>
      <c r="C306" t="s">
        <v>690</v>
      </c>
      <c r="D306" t="s">
        <v>691</v>
      </c>
      <c r="E306" t="s">
        <v>613</v>
      </c>
      <c r="F306" t="s">
        <v>692</v>
      </c>
      <c r="G306" t="s">
        <v>693</v>
      </c>
      <c r="H306" t="s">
        <v>213</v>
      </c>
      <c r="I306" t="s">
        <v>603</v>
      </c>
      <c r="J306" t="s">
        <v>85</v>
      </c>
      <c r="K306" t="s">
        <v>291</v>
      </c>
      <c r="L306" t="s">
        <v>216</v>
      </c>
      <c r="M306" t="s">
        <v>286</v>
      </c>
      <c r="N306" t="s">
        <v>616</v>
      </c>
      <c r="O306" t="s">
        <v>72</v>
      </c>
      <c r="P306" t="s">
        <v>371</v>
      </c>
      <c r="Q306" t="s">
        <v>617</v>
      </c>
      <c r="R306" t="s">
        <v>220</v>
      </c>
      <c r="S306" t="s">
        <v>75</v>
      </c>
      <c r="T306" s="44">
        <v>0.52100000000000002</v>
      </c>
      <c r="U306" t="s">
        <v>694</v>
      </c>
      <c r="V306" s="46">
        <v>4.9000000000000002E-2</v>
      </c>
      <c r="W306" s="45">
        <v>4.9889999999999997E-2</v>
      </c>
      <c r="X306" t="s">
        <v>222</v>
      </c>
      <c r="Y306" t="s">
        <v>72</v>
      </c>
      <c r="Z306" s="44">
        <v>252000</v>
      </c>
      <c r="AA306" s="42">
        <v>3.718</v>
      </c>
      <c r="AB306" s="48">
        <v>102.31100000000001</v>
      </c>
      <c r="AD306" s="44">
        <v>958.59299999999996</v>
      </c>
      <c r="AG306" t="s">
        <v>16</v>
      </c>
      <c r="AH306" s="45">
        <v>1.01E-4</v>
      </c>
      <c r="AI306" s="45">
        <v>4.5183730131029397E-3</v>
      </c>
      <c r="AJ306" s="45">
        <v>3.9057222413132401E-4</v>
      </c>
    </row>
    <row r="307" spans="1:36" x14ac:dyDescent="0.25">
      <c r="A307">
        <v>424</v>
      </c>
      <c r="B307">
        <v>7228</v>
      </c>
      <c r="C307" t="s">
        <v>619</v>
      </c>
      <c r="D307" t="s">
        <v>620</v>
      </c>
      <c r="E307" t="s">
        <v>613</v>
      </c>
      <c r="F307" t="s">
        <v>621</v>
      </c>
      <c r="G307" t="s">
        <v>622</v>
      </c>
      <c r="H307" t="s">
        <v>213</v>
      </c>
      <c r="I307" t="s">
        <v>603</v>
      </c>
      <c r="J307" t="s">
        <v>85</v>
      </c>
      <c r="K307" t="s">
        <v>291</v>
      </c>
      <c r="L307" t="s">
        <v>216</v>
      </c>
      <c r="M307" t="s">
        <v>286</v>
      </c>
      <c r="N307" t="s">
        <v>616</v>
      </c>
      <c r="O307" t="s">
        <v>72</v>
      </c>
      <c r="P307" t="s">
        <v>371</v>
      </c>
      <c r="Q307" t="s">
        <v>617</v>
      </c>
      <c r="R307" t="s">
        <v>220</v>
      </c>
      <c r="S307" t="s">
        <v>75</v>
      </c>
      <c r="T307" s="44">
        <v>0.11700000000000001</v>
      </c>
      <c r="U307" t="s">
        <v>623</v>
      </c>
      <c r="V307" s="46">
        <v>7.4999999999999997E-2</v>
      </c>
      <c r="W307" s="45">
        <v>5.815E-2</v>
      </c>
      <c r="X307" t="s">
        <v>222</v>
      </c>
      <c r="Y307" t="s">
        <v>72</v>
      </c>
      <c r="Z307" s="44">
        <v>150000</v>
      </c>
      <c r="AA307" s="42">
        <v>3.718</v>
      </c>
      <c r="AB307" s="48">
        <v>103.215</v>
      </c>
      <c r="AD307" s="44">
        <v>575.63199999999995</v>
      </c>
      <c r="AG307" t="s">
        <v>16</v>
      </c>
      <c r="AH307" s="45">
        <v>5.9400000000000002E-4</v>
      </c>
      <c r="AI307" s="45">
        <v>2.7132663370670498E-3</v>
      </c>
      <c r="AJ307" s="45">
        <v>2.3453718071876799E-4</v>
      </c>
    </row>
    <row r="308" spans="1:36" x14ac:dyDescent="0.25">
      <c r="A308">
        <v>424</v>
      </c>
      <c r="B308">
        <v>7228</v>
      </c>
      <c r="C308" t="s">
        <v>695</v>
      </c>
      <c r="D308" t="s">
        <v>696</v>
      </c>
      <c r="E308" t="s">
        <v>613</v>
      </c>
      <c r="F308" t="s">
        <v>697</v>
      </c>
      <c r="G308" t="s">
        <v>698</v>
      </c>
      <c r="H308" t="s">
        <v>213</v>
      </c>
      <c r="I308" t="s">
        <v>603</v>
      </c>
      <c r="J308" t="s">
        <v>85</v>
      </c>
      <c r="K308" t="s">
        <v>699</v>
      </c>
      <c r="L308" t="s">
        <v>216</v>
      </c>
      <c r="M308" t="s">
        <v>286</v>
      </c>
      <c r="N308" t="s">
        <v>700</v>
      </c>
      <c r="O308" t="s">
        <v>72</v>
      </c>
      <c r="P308" t="s">
        <v>509</v>
      </c>
      <c r="Q308" t="s">
        <v>617</v>
      </c>
      <c r="R308" t="s">
        <v>220</v>
      </c>
      <c r="S308" t="s">
        <v>75</v>
      </c>
      <c r="T308" s="44">
        <v>1.0429999999999999</v>
      </c>
      <c r="U308" t="s">
        <v>701</v>
      </c>
      <c r="V308" s="46">
        <v>3.6249999999999998E-2</v>
      </c>
      <c r="W308" s="45">
        <v>4.6050000000000001E-2</v>
      </c>
      <c r="X308" t="s">
        <v>222</v>
      </c>
      <c r="Y308" t="s">
        <v>72</v>
      </c>
      <c r="Z308" s="44">
        <v>270000</v>
      </c>
      <c r="AA308" s="42">
        <v>3.718</v>
      </c>
      <c r="AB308" s="48">
        <v>100.494</v>
      </c>
      <c r="AD308" s="44">
        <v>1008.8150000000001</v>
      </c>
      <c r="AG308" t="s">
        <v>16</v>
      </c>
      <c r="AH308" s="45">
        <v>2.9999999999999997E-4</v>
      </c>
      <c r="AI308" s="45">
        <v>4.7550956451923899E-3</v>
      </c>
      <c r="AJ308" s="45">
        <v>4.1103474120312899E-4</v>
      </c>
    </row>
    <row r="309" spans="1:36" x14ac:dyDescent="0.25">
      <c r="A309">
        <v>424</v>
      </c>
      <c r="B309">
        <v>7228</v>
      </c>
      <c r="C309" t="s">
        <v>624</v>
      </c>
      <c r="D309" t="s">
        <v>625</v>
      </c>
      <c r="E309" t="s">
        <v>210</v>
      </c>
      <c r="F309" t="s">
        <v>626</v>
      </c>
      <c r="G309" t="s">
        <v>627</v>
      </c>
      <c r="H309" t="s">
        <v>213</v>
      </c>
      <c r="I309" t="s">
        <v>603</v>
      </c>
      <c r="J309" t="s">
        <v>85</v>
      </c>
      <c r="K309" t="s">
        <v>291</v>
      </c>
      <c r="L309" t="s">
        <v>216</v>
      </c>
      <c r="M309" t="s">
        <v>286</v>
      </c>
      <c r="N309" t="s">
        <v>628</v>
      </c>
      <c r="O309" t="s">
        <v>72</v>
      </c>
      <c r="P309" t="s">
        <v>629</v>
      </c>
      <c r="Q309" t="s">
        <v>617</v>
      </c>
      <c r="R309" t="s">
        <v>220</v>
      </c>
      <c r="S309" t="s">
        <v>77</v>
      </c>
      <c r="T309" s="44">
        <v>4.3479999999999999</v>
      </c>
      <c r="U309" t="s">
        <v>630</v>
      </c>
      <c r="V309" s="46">
        <v>4.3749999999999997E-2</v>
      </c>
      <c r="W309" s="45">
        <v>4.4729999999999999E-2</v>
      </c>
      <c r="X309" t="s">
        <v>222</v>
      </c>
      <c r="Y309" t="s">
        <v>72</v>
      </c>
      <c r="Z309" s="44">
        <v>640000</v>
      </c>
      <c r="AA309" s="42">
        <v>4.0218999999999996</v>
      </c>
      <c r="AB309" s="48">
        <v>101.59099999999999</v>
      </c>
      <c r="AD309" s="44">
        <v>2614.9630000000002</v>
      </c>
      <c r="AG309" t="s">
        <v>16</v>
      </c>
      <c r="AH309" s="45">
        <v>4.2700000000000002E-4</v>
      </c>
      <c r="AI309" s="45">
        <v>1.23257491652591E-2</v>
      </c>
      <c r="AJ309" s="45">
        <v>1.0654488355873999E-3</v>
      </c>
    </row>
    <row r="310" spans="1:36" x14ac:dyDescent="0.25">
      <c r="A310">
        <v>424</v>
      </c>
      <c r="B310">
        <v>7228</v>
      </c>
      <c r="C310" t="s">
        <v>702</v>
      </c>
      <c r="D310" t="s">
        <v>703</v>
      </c>
      <c r="E310" t="s">
        <v>613</v>
      </c>
      <c r="F310" t="s">
        <v>704</v>
      </c>
      <c r="G310" t="s">
        <v>705</v>
      </c>
      <c r="H310" t="s">
        <v>213</v>
      </c>
      <c r="I310" t="s">
        <v>603</v>
      </c>
      <c r="J310" t="s">
        <v>85</v>
      </c>
      <c r="K310" t="s">
        <v>291</v>
      </c>
      <c r="L310" t="s">
        <v>216</v>
      </c>
      <c r="M310" t="s">
        <v>286</v>
      </c>
      <c r="N310" t="s">
        <v>706</v>
      </c>
      <c r="O310" t="s">
        <v>72</v>
      </c>
      <c r="P310" t="s">
        <v>707</v>
      </c>
      <c r="Q310" t="s">
        <v>689</v>
      </c>
      <c r="R310" t="s">
        <v>220</v>
      </c>
      <c r="S310" t="s">
        <v>75</v>
      </c>
      <c r="T310" s="44">
        <v>1.135</v>
      </c>
      <c r="U310" t="s">
        <v>708</v>
      </c>
      <c r="V310" s="46">
        <v>3.4500000000000003E-2</v>
      </c>
      <c r="W310" s="45">
        <v>5.5809999999999998E-2</v>
      </c>
      <c r="X310" t="s">
        <v>222</v>
      </c>
      <c r="Y310" t="s">
        <v>72</v>
      </c>
      <c r="Z310" s="44">
        <v>273000</v>
      </c>
      <c r="AA310" s="42">
        <v>3.718</v>
      </c>
      <c r="AB310" s="48">
        <v>99.4</v>
      </c>
      <c r="AD310" s="44">
        <v>1008.924</v>
      </c>
      <c r="AG310" t="s">
        <v>16</v>
      </c>
      <c r="AH310" s="45">
        <v>1.8900000000000001E-4</v>
      </c>
      <c r="AI310" s="45">
        <v>4.7556087760838401E-3</v>
      </c>
      <c r="AJ310" s="45">
        <v>4.1107909669855998E-4</v>
      </c>
    </row>
    <row r="311" spans="1:36" x14ac:dyDescent="0.25">
      <c r="A311">
        <v>424</v>
      </c>
      <c r="B311">
        <v>7229</v>
      </c>
      <c r="C311" t="s">
        <v>223</v>
      </c>
      <c r="D311" t="s">
        <v>224</v>
      </c>
      <c r="E311" t="s">
        <v>210</v>
      </c>
      <c r="F311" t="s">
        <v>225</v>
      </c>
      <c r="G311" t="s">
        <v>226</v>
      </c>
      <c r="H311" t="s">
        <v>213</v>
      </c>
      <c r="I311" t="s">
        <v>214</v>
      </c>
      <c r="J311" t="s">
        <v>71</v>
      </c>
      <c r="K311" t="s">
        <v>71</v>
      </c>
      <c r="L311" t="s">
        <v>216</v>
      </c>
      <c r="M311" t="s">
        <v>117</v>
      </c>
      <c r="N311" t="s">
        <v>227</v>
      </c>
      <c r="O311" t="s">
        <v>72</v>
      </c>
      <c r="P311" t="s">
        <v>228</v>
      </c>
      <c r="Q311" t="s">
        <v>74</v>
      </c>
      <c r="R311" t="s">
        <v>220</v>
      </c>
      <c r="S311" t="s">
        <v>81</v>
      </c>
      <c r="T311" s="44">
        <v>5.1289999999999996</v>
      </c>
      <c r="U311" t="s">
        <v>229</v>
      </c>
      <c r="V311" s="46">
        <v>5.1499999999999997E-2</v>
      </c>
      <c r="W311" s="45">
        <v>4.5159999999999999E-2</v>
      </c>
      <c r="X311" t="s">
        <v>222</v>
      </c>
      <c r="Y311" t="s">
        <v>72</v>
      </c>
      <c r="Z311" s="44">
        <v>0.26</v>
      </c>
      <c r="AA311" s="42">
        <v>1</v>
      </c>
      <c r="AB311" s="48">
        <v>146.6</v>
      </c>
      <c r="AD311" s="44">
        <v>0</v>
      </c>
      <c r="AG311" t="s">
        <v>16</v>
      </c>
      <c r="AH311" s="45">
        <v>0</v>
      </c>
      <c r="AI311" s="45">
        <v>1.9583898069604101E-8</v>
      </c>
      <c r="AJ311" s="45">
        <v>2.5370490904958699E-9</v>
      </c>
    </row>
    <row r="312" spans="1:36" x14ac:dyDescent="0.25">
      <c r="A312">
        <v>424</v>
      </c>
      <c r="B312">
        <v>7229</v>
      </c>
      <c r="C312" t="s">
        <v>230</v>
      </c>
      <c r="D312" t="s">
        <v>231</v>
      </c>
      <c r="E312" t="s">
        <v>210</v>
      </c>
      <c r="F312" t="s">
        <v>232</v>
      </c>
      <c r="G312" t="s">
        <v>233</v>
      </c>
      <c r="H312" t="s">
        <v>213</v>
      </c>
      <c r="I312" t="s">
        <v>214</v>
      </c>
      <c r="J312" t="s">
        <v>71</v>
      </c>
      <c r="K312" t="s">
        <v>71</v>
      </c>
      <c r="L312" t="s">
        <v>216</v>
      </c>
      <c r="M312" t="s">
        <v>117</v>
      </c>
      <c r="N312" t="s">
        <v>234</v>
      </c>
      <c r="O312" t="s">
        <v>72</v>
      </c>
      <c r="P312" t="s">
        <v>235</v>
      </c>
      <c r="Q312" t="s">
        <v>74</v>
      </c>
      <c r="R312" t="s">
        <v>220</v>
      </c>
      <c r="S312" t="s">
        <v>81</v>
      </c>
      <c r="T312" s="44">
        <v>2.7240000000000002</v>
      </c>
      <c r="U312" t="s">
        <v>236</v>
      </c>
      <c r="V312" s="46">
        <v>2.75E-2</v>
      </c>
      <c r="W312" s="45">
        <v>3.075E-2</v>
      </c>
      <c r="X312" t="s">
        <v>222</v>
      </c>
      <c r="Y312" t="s">
        <v>72</v>
      </c>
      <c r="Z312" s="44">
        <v>284086.56</v>
      </c>
      <c r="AA312" s="42">
        <v>1</v>
      </c>
      <c r="AB312" s="48">
        <v>114.05</v>
      </c>
      <c r="AD312" s="44">
        <v>324.00099999999998</v>
      </c>
      <c r="AG312" t="s">
        <v>16</v>
      </c>
      <c r="AH312" s="45">
        <v>3.8099999999999999E-4</v>
      </c>
      <c r="AI312" s="45">
        <v>1.66470697551141E-2</v>
      </c>
      <c r="AJ312" s="45">
        <v>2.1565897162825298E-3</v>
      </c>
    </row>
    <row r="313" spans="1:36" x14ac:dyDescent="0.25">
      <c r="A313">
        <v>424</v>
      </c>
      <c r="B313">
        <v>7229</v>
      </c>
      <c r="C313" t="s">
        <v>230</v>
      </c>
      <c r="D313" t="s">
        <v>231</v>
      </c>
      <c r="E313" t="s">
        <v>210</v>
      </c>
      <c r="F313" t="s">
        <v>237</v>
      </c>
      <c r="G313" t="s">
        <v>238</v>
      </c>
      <c r="H313" t="s">
        <v>213</v>
      </c>
      <c r="I313" t="s">
        <v>239</v>
      </c>
      <c r="J313" t="s">
        <v>71</v>
      </c>
      <c r="K313" t="s">
        <v>71</v>
      </c>
      <c r="L313" t="s">
        <v>216</v>
      </c>
      <c r="M313" t="s">
        <v>117</v>
      </c>
      <c r="N313" t="s">
        <v>234</v>
      </c>
      <c r="O313" t="s">
        <v>72</v>
      </c>
      <c r="P313" t="s">
        <v>235</v>
      </c>
      <c r="Q313" t="s">
        <v>74</v>
      </c>
      <c r="R313" t="s">
        <v>220</v>
      </c>
      <c r="S313" t="s">
        <v>81</v>
      </c>
      <c r="T313" s="44">
        <v>3.0310000000000001</v>
      </c>
      <c r="U313" t="s">
        <v>240</v>
      </c>
      <c r="V313" s="46">
        <v>2.5000000000000001E-2</v>
      </c>
      <c r="W313" s="45">
        <v>5.5559999999999998E-2</v>
      </c>
      <c r="X313" t="s">
        <v>222</v>
      </c>
      <c r="Y313" t="s">
        <v>72</v>
      </c>
      <c r="Z313" s="44">
        <v>231000</v>
      </c>
      <c r="AA313" s="42">
        <v>1</v>
      </c>
      <c r="AB313" s="48">
        <v>91.59</v>
      </c>
      <c r="AD313" s="44">
        <v>211.57300000000001</v>
      </c>
      <c r="AG313" t="s">
        <v>16</v>
      </c>
      <c r="AH313" s="45">
        <v>3.2299999999999999E-4</v>
      </c>
      <c r="AI313" s="45">
        <v>1.0870558578787199E-2</v>
      </c>
      <c r="AJ313" s="45">
        <v>1.4082559384997701E-3</v>
      </c>
    </row>
    <row r="314" spans="1:36" x14ac:dyDescent="0.25">
      <c r="A314">
        <v>424</v>
      </c>
      <c r="B314">
        <v>7229</v>
      </c>
      <c r="C314" t="s">
        <v>241</v>
      </c>
      <c r="D314" t="s">
        <v>242</v>
      </c>
      <c r="E314" t="s">
        <v>210</v>
      </c>
      <c r="F314" t="s">
        <v>709</v>
      </c>
      <c r="G314" t="s">
        <v>710</v>
      </c>
      <c r="H314" t="s">
        <v>213</v>
      </c>
      <c r="I314" t="s">
        <v>239</v>
      </c>
      <c r="J314" t="s">
        <v>71</v>
      </c>
      <c r="K314" t="s">
        <v>71</v>
      </c>
      <c r="L314" t="s">
        <v>216</v>
      </c>
      <c r="M314" t="s">
        <v>117</v>
      </c>
      <c r="N314" t="s">
        <v>245</v>
      </c>
      <c r="O314" t="s">
        <v>72</v>
      </c>
      <c r="P314" t="s">
        <v>246</v>
      </c>
      <c r="Q314" t="s">
        <v>219</v>
      </c>
      <c r="R314" t="s">
        <v>220</v>
      </c>
      <c r="S314" t="s">
        <v>81</v>
      </c>
      <c r="T314" s="44">
        <v>1.3340000000000001</v>
      </c>
      <c r="U314" t="s">
        <v>667</v>
      </c>
      <c r="V314" s="46">
        <v>2.9499999999999998E-2</v>
      </c>
      <c r="W314" s="45">
        <v>5.3850000000000002E-2</v>
      </c>
      <c r="X314" t="s">
        <v>222</v>
      </c>
      <c r="Y314" t="s">
        <v>72</v>
      </c>
      <c r="Z314" s="44">
        <v>117600</v>
      </c>
      <c r="AA314" s="42">
        <v>1</v>
      </c>
      <c r="AB314" s="48">
        <v>97.66</v>
      </c>
      <c r="AD314" s="44">
        <v>114.848</v>
      </c>
      <c r="AG314" t="s">
        <v>16</v>
      </c>
      <c r="AH314" s="45">
        <v>5.2499999999999997E-4</v>
      </c>
      <c r="AI314" s="45">
        <v>5.90086750687791E-3</v>
      </c>
      <c r="AJ314" s="45">
        <v>7.6444385526583196E-4</v>
      </c>
    </row>
    <row r="315" spans="1:36" x14ac:dyDescent="0.25">
      <c r="A315">
        <v>424</v>
      </c>
      <c r="B315">
        <v>7229</v>
      </c>
      <c r="C315" t="s">
        <v>241</v>
      </c>
      <c r="D315" t="s">
        <v>242</v>
      </c>
      <c r="E315" t="s">
        <v>210</v>
      </c>
      <c r="F315" t="s">
        <v>243</v>
      </c>
      <c r="G315" t="s">
        <v>244</v>
      </c>
      <c r="H315" t="s">
        <v>213</v>
      </c>
      <c r="I315" t="s">
        <v>239</v>
      </c>
      <c r="J315" t="s">
        <v>71</v>
      </c>
      <c r="K315" t="s">
        <v>71</v>
      </c>
      <c r="L315" t="s">
        <v>216</v>
      </c>
      <c r="M315" t="s">
        <v>117</v>
      </c>
      <c r="N315" t="s">
        <v>245</v>
      </c>
      <c r="O315" t="s">
        <v>72</v>
      </c>
      <c r="P315" t="s">
        <v>246</v>
      </c>
      <c r="Q315" t="s">
        <v>219</v>
      </c>
      <c r="R315" t="s">
        <v>220</v>
      </c>
      <c r="S315" t="s">
        <v>81</v>
      </c>
      <c r="T315" s="44">
        <v>2.169</v>
      </c>
      <c r="U315" t="s">
        <v>247</v>
      </c>
      <c r="V315" s="46">
        <v>2.5499999999999998E-2</v>
      </c>
      <c r="W315" s="45">
        <v>5.432E-2</v>
      </c>
      <c r="X315" t="s">
        <v>222</v>
      </c>
      <c r="Y315" t="s">
        <v>72</v>
      </c>
      <c r="Z315" s="44">
        <v>130011.75</v>
      </c>
      <c r="AA315" s="42">
        <v>1</v>
      </c>
      <c r="AB315" s="48">
        <v>94.76</v>
      </c>
      <c r="AD315" s="44">
        <v>123.199</v>
      </c>
      <c r="AG315" t="s">
        <v>16</v>
      </c>
      <c r="AH315" s="45">
        <v>1.9900000000000001E-4</v>
      </c>
      <c r="AI315" s="45">
        <v>6.3299383156539702E-3</v>
      </c>
      <c r="AJ315" s="45">
        <v>8.2002899471532605E-4</v>
      </c>
    </row>
    <row r="316" spans="1:36" x14ac:dyDescent="0.25">
      <c r="A316">
        <v>424</v>
      </c>
      <c r="B316">
        <v>7229</v>
      </c>
      <c r="C316" t="s">
        <v>248</v>
      </c>
      <c r="D316" t="s">
        <v>249</v>
      </c>
      <c r="E316" t="s">
        <v>210</v>
      </c>
      <c r="F316" t="s">
        <v>250</v>
      </c>
      <c r="G316" t="s">
        <v>251</v>
      </c>
      <c r="H316" t="s">
        <v>213</v>
      </c>
      <c r="I316" t="s">
        <v>239</v>
      </c>
      <c r="J316" t="s">
        <v>71</v>
      </c>
      <c r="K316" t="s">
        <v>71</v>
      </c>
      <c r="L316" t="s">
        <v>216</v>
      </c>
      <c r="M316" t="s">
        <v>117</v>
      </c>
      <c r="N316" t="s">
        <v>252</v>
      </c>
      <c r="O316" t="s">
        <v>72</v>
      </c>
      <c r="P316" t="s">
        <v>218</v>
      </c>
      <c r="Q316" t="s">
        <v>219</v>
      </c>
      <c r="R316" t="s">
        <v>220</v>
      </c>
      <c r="S316" t="s">
        <v>81</v>
      </c>
      <c r="T316" s="44">
        <v>3.55</v>
      </c>
      <c r="U316" t="s">
        <v>253</v>
      </c>
      <c r="V316" s="46">
        <v>2.18E-2</v>
      </c>
      <c r="W316" s="45">
        <v>5.3659999999999999E-2</v>
      </c>
      <c r="X316" t="s">
        <v>222</v>
      </c>
      <c r="Y316" t="s">
        <v>72</v>
      </c>
      <c r="Z316" s="44">
        <v>328903</v>
      </c>
      <c r="AA316" s="42">
        <v>1</v>
      </c>
      <c r="AB316" s="48">
        <v>90.26</v>
      </c>
      <c r="AD316" s="44">
        <v>296.86799999999999</v>
      </c>
      <c r="AG316" t="s">
        <v>16</v>
      </c>
      <c r="AH316" s="45">
        <v>2.0010000000000002E-3</v>
      </c>
      <c r="AI316" s="45">
        <v>1.52529900080227E-2</v>
      </c>
      <c r="AJ316" s="45">
        <v>1.9759898815680001E-3</v>
      </c>
    </row>
    <row r="317" spans="1:36" x14ac:dyDescent="0.25">
      <c r="A317">
        <v>424</v>
      </c>
      <c r="B317">
        <v>7229</v>
      </c>
      <c r="C317" t="s">
        <v>644</v>
      </c>
      <c r="D317" t="s">
        <v>645</v>
      </c>
      <c r="E317" t="s">
        <v>210</v>
      </c>
      <c r="F317" t="s">
        <v>646</v>
      </c>
      <c r="G317" t="s">
        <v>647</v>
      </c>
      <c r="H317" t="s">
        <v>213</v>
      </c>
      <c r="I317" t="s">
        <v>239</v>
      </c>
      <c r="J317" t="s">
        <v>71</v>
      </c>
      <c r="K317" t="s">
        <v>71</v>
      </c>
      <c r="L317" t="s">
        <v>216</v>
      </c>
      <c r="M317" t="s">
        <v>117</v>
      </c>
      <c r="N317" t="s">
        <v>227</v>
      </c>
      <c r="O317" t="s">
        <v>72</v>
      </c>
      <c r="P317" t="s">
        <v>259</v>
      </c>
      <c r="Q317" t="s">
        <v>74</v>
      </c>
      <c r="R317" t="s">
        <v>220</v>
      </c>
      <c r="S317" t="s">
        <v>81</v>
      </c>
      <c r="T317" s="44">
        <v>7.4489999999999998</v>
      </c>
      <c r="U317" t="s">
        <v>648</v>
      </c>
      <c r="V317" s="46">
        <v>2.4E-2</v>
      </c>
      <c r="W317" s="45">
        <v>5.0520000000000002E-2</v>
      </c>
      <c r="X317" t="s">
        <v>222</v>
      </c>
      <c r="Y317" t="s">
        <v>72</v>
      </c>
      <c r="Z317" s="44">
        <v>376000</v>
      </c>
      <c r="AA317" s="42">
        <v>1</v>
      </c>
      <c r="AB317" s="48">
        <v>82.99</v>
      </c>
      <c r="AD317" s="44">
        <v>312.04199999999997</v>
      </c>
      <c r="AG317" t="s">
        <v>16</v>
      </c>
      <c r="AH317" s="45">
        <v>5.22E-4</v>
      </c>
      <c r="AI317" s="45">
        <v>1.6032654410207299E-2</v>
      </c>
      <c r="AJ317" s="45">
        <v>2.0769936171585401E-3</v>
      </c>
    </row>
    <row r="318" spans="1:36" x14ac:dyDescent="0.25">
      <c r="A318">
        <v>424</v>
      </c>
      <c r="B318">
        <v>7229</v>
      </c>
      <c r="C318" t="s">
        <v>254</v>
      </c>
      <c r="D318" t="s">
        <v>255</v>
      </c>
      <c r="E318" t="s">
        <v>210</v>
      </c>
      <c r="F318" t="s">
        <v>256</v>
      </c>
      <c r="G318" t="s">
        <v>257</v>
      </c>
      <c r="H318" t="s">
        <v>213</v>
      </c>
      <c r="I318" t="s">
        <v>214</v>
      </c>
      <c r="J318" t="s">
        <v>71</v>
      </c>
      <c r="K318" t="s">
        <v>71</v>
      </c>
      <c r="L318" t="s">
        <v>216</v>
      </c>
      <c r="M318" t="s">
        <v>117</v>
      </c>
      <c r="N318" t="s">
        <v>258</v>
      </c>
      <c r="O318" t="s">
        <v>72</v>
      </c>
      <c r="P318" t="s">
        <v>259</v>
      </c>
      <c r="Q318" t="s">
        <v>74</v>
      </c>
      <c r="R318" t="s">
        <v>220</v>
      </c>
      <c r="S318" t="s">
        <v>81</v>
      </c>
      <c r="T318" s="44">
        <v>2.2669999999999999</v>
      </c>
      <c r="U318" t="s">
        <v>135</v>
      </c>
      <c r="V318" s="46">
        <v>2.3400000000000001E-2</v>
      </c>
      <c r="W318" s="45">
        <v>2.7969999999999998E-2</v>
      </c>
      <c r="X318" t="s">
        <v>222</v>
      </c>
      <c r="Y318" t="s">
        <v>72</v>
      </c>
      <c r="Z318" s="44">
        <v>119000.02</v>
      </c>
      <c r="AA318" s="42">
        <v>1</v>
      </c>
      <c r="AB318" s="48">
        <v>114.39</v>
      </c>
      <c r="AD318" s="44">
        <v>136.124</v>
      </c>
      <c r="AG318" t="s">
        <v>16</v>
      </c>
      <c r="AH318" s="45">
        <v>7.2999999999999999E-5</v>
      </c>
      <c r="AI318" s="45">
        <v>6.9940207452435102E-3</v>
      </c>
      <c r="AJ318" s="45">
        <v>9.0605935077704399E-4</v>
      </c>
    </row>
    <row r="319" spans="1:36" x14ac:dyDescent="0.25">
      <c r="A319">
        <v>424</v>
      </c>
      <c r="B319">
        <v>7229</v>
      </c>
      <c r="C319" t="s">
        <v>260</v>
      </c>
      <c r="D319" t="s">
        <v>261</v>
      </c>
      <c r="E319" t="s">
        <v>210</v>
      </c>
      <c r="F319" t="s">
        <v>262</v>
      </c>
      <c r="G319" t="s">
        <v>263</v>
      </c>
      <c r="H319" t="s">
        <v>213</v>
      </c>
      <c r="I319" t="s">
        <v>239</v>
      </c>
      <c r="J319" t="s">
        <v>71</v>
      </c>
      <c r="K319" t="s">
        <v>71</v>
      </c>
      <c r="L319" t="s">
        <v>216</v>
      </c>
      <c r="M319" t="s">
        <v>117</v>
      </c>
      <c r="N319" t="s">
        <v>258</v>
      </c>
      <c r="O319" t="s">
        <v>72</v>
      </c>
      <c r="P319" t="s">
        <v>228</v>
      </c>
      <c r="Q319" t="s">
        <v>74</v>
      </c>
      <c r="R319" t="s">
        <v>220</v>
      </c>
      <c r="S319" t="s">
        <v>81</v>
      </c>
      <c r="T319" s="44">
        <v>3.9510000000000001</v>
      </c>
      <c r="U319" t="s">
        <v>264</v>
      </c>
      <c r="V319" s="46">
        <v>2.41E-2</v>
      </c>
      <c r="W319" s="45">
        <v>5.2909999999999999E-2</v>
      </c>
      <c r="X319" t="s">
        <v>222</v>
      </c>
      <c r="Y319" t="s">
        <v>72</v>
      </c>
      <c r="Z319" s="44">
        <v>133333.32999999999</v>
      </c>
      <c r="AA319" s="42">
        <v>1</v>
      </c>
      <c r="AB319" s="48">
        <v>89.75</v>
      </c>
      <c r="AD319" s="44">
        <v>119.667</v>
      </c>
      <c r="AG319" t="s">
        <v>16</v>
      </c>
      <c r="AH319" s="45">
        <v>6.4999999999999994E-5</v>
      </c>
      <c r="AI319" s="45">
        <v>6.1484409270143696E-3</v>
      </c>
      <c r="AJ319" s="45">
        <v>7.9651642417707599E-4</v>
      </c>
    </row>
    <row r="320" spans="1:36" x14ac:dyDescent="0.25">
      <c r="A320">
        <v>424</v>
      </c>
      <c r="B320">
        <v>7229</v>
      </c>
      <c r="C320" t="s">
        <v>260</v>
      </c>
      <c r="D320" t="s">
        <v>261</v>
      </c>
      <c r="E320" t="s">
        <v>210</v>
      </c>
      <c r="F320" t="s">
        <v>265</v>
      </c>
      <c r="G320" t="s">
        <v>266</v>
      </c>
      <c r="H320" t="s">
        <v>213</v>
      </c>
      <c r="I320" t="s">
        <v>239</v>
      </c>
      <c r="J320" t="s">
        <v>71</v>
      </c>
      <c r="K320" t="s">
        <v>71</v>
      </c>
      <c r="L320" t="s">
        <v>216</v>
      </c>
      <c r="M320" t="s">
        <v>117</v>
      </c>
      <c r="N320" t="s">
        <v>258</v>
      </c>
      <c r="O320" t="s">
        <v>72</v>
      </c>
      <c r="P320" t="s">
        <v>228</v>
      </c>
      <c r="Q320" t="s">
        <v>74</v>
      </c>
      <c r="R320" t="s">
        <v>220</v>
      </c>
      <c r="S320" t="s">
        <v>81</v>
      </c>
      <c r="T320" s="44">
        <v>6.1609999999999996</v>
      </c>
      <c r="U320" t="s">
        <v>267</v>
      </c>
      <c r="V320" s="46">
        <v>4.9399999999999999E-2</v>
      </c>
      <c r="W320" s="45">
        <v>5.5919999999999997E-2</v>
      </c>
      <c r="X320" t="s">
        <v>222</v>
      </c>
      <c r="Y320" t="s">
        <v>72</v>
      </c>
      <c r="Z320" s="44">
        <v>153881</v>
      </c>
      <c r="AA320" s="42">
        <v>1</v>
      </c>
      <c r="AB320" s="48">
        <v>96.63</v>
      </c>
      <c r="AD320" s="44">
        <v>148.69499999999999</v>
      </c>
      <c r="AG320" t="s">
        <v>16</v>
      </c>
      <c r="AH320" s="45">
        <v>1.13E-4</v>
      </c>
      <c r="AI320" s="45">
        <v>7.6399198288213503E-3</v>
      </c>
      <c r="AJ320" s="45">
        <v>9.8973409605600596E-4</v>
      </c>
    </row>
    <row r="321" spans="1:36" x14ac:dyDescent="0.25">
      <c r="A321">
        <v>424</v>
      </c>
      <c r="B321">
        <v>7229</v>
      </c>
      <c r="C321" t="s">
        <v>268</v>
      </c>
      <c r="D321" t="s">
        <v>269</v>
      </c>
      <c r="E321" t="s">
        <v>210</v>
      </c>
      <c r="F321" t="s">
        <v>270</v>
      </c>
      <c r="G321" t="s">
        <v>271</v>
      </c>
      <c r="H321" t="s">
        <v>213</v>
      </c>
      <c r="I321" t="s">
        <v>239</v>
      </c>
      <c r="J321" t="s">
        <v>71</v>
      </c>
      <c r="K321" t="s">
        <v>71</v>
      </c>
      <c r="L321" t="s">
        <v>216</v>
      </c>
      <c r="M321" t="s">
        <v>117</v>
      </c>
      <c r="N321" t="s">
        <v>272</v>
      </c>
      <c r="O321" t="s">
        <v>72</v>
      </c>
      <c r="P321" t="s">
        <v>246</v>
      </c>
      <c r="Q321" t="s">
        <v>74</v>
      </c>
      <c r="R321" t="s">
        <v>220</v>
      </c>
      <c r="S321" t="s">
        <v>81</v>
      </c>
      <c r="T321" s="44">
        <v>2.996</v>
      </c>
      <c r="U321" t="s">
        <v>273</v>
      </c>
      <c r="V321" s="46">
        <v>0.04</v>
      </c>
      <c r="W321" s="45">
        <v>5.2400000000000002E-2</v>
      </c>
      <c r="X321" t="s">
        <v>222</v>
      </c>
      <c r="Y321" t="s">
        <v>72</v>
      </c>
      <c r="Z321" s="44">
        <v>225000.08</v>
      </c>
      <c r="AA321" s="42">
        <v>1</v>
      </c>
      <c r="AB321" s="48">
        <v>97.45</v>
      </c>
      <c r="AD321" s="44">
        <v>219.26300000000001</v>
      </c>
      <c r="AG321" t="s">
        <v>16</v>
      </c>
      <c r="AH321" s="45">
        <v>3.8699999999999997E-4</v>
      </c>
      <c r="AI321" s="45">
        <v>1.1265652159846999E-2</v>
      </c>
      <c r="AJ321" s="45">
        <v>1.4594394060058701E-3</v>
      </c>
    </row>
    <row r="322" spans="1:36" x14ac:dyDescent="0.25">
      <c r="A322">
        <v>424</v>
      </c>
      <c r="B322">
        <v>7229</v>
      </c>
      <c r="C322" t="s">
        <v>268</v>
      </c>
      <c r="D322" t="s">
        <v>269</v>
      </c>
      <c r="E322" t="s">
        <v>210</v>
      </c>
      <c r="F322" t="s">
        <v>274</v>
      </c>
      <c r="G322" t="s">
        <v>275</v>
      </c>
      <c r="H322" t="s">
        <v>213</v>
      </c>
      <c r="I322" t="s">
        <v>239</v>
      </c>
      <c r="J322" t="s">
        <v>71</v>
      </c>
      <c r="K322" t="s">
        <v>71</v>
      </c>
      <c r="L322" t="s">
        <v>216</v>
      </c>
      <c r="M322" t="s">
        <v>117</v>
      </c>
      <c r="N322" t="s">
        <v>272</v>
      </c>
      <c r="O322" t="s">
        <v>72</v>
      </c>
      <c r="P322" t="s">
        <v>246</v>
      </c>
      <c r="Q322" t="s">
        <v>74</v>
      </c>
      <c r="R322" t="s">
        <v>220</v>
      </c>
      <c r="S322" t="s">
        <v>81</v>
      </c>
      <c r="T322" s="44">
        <v>4.9290000000000003</v>
      </c>
      <c r="U322" t="s">
        <v>276</v>
      </c>
      <c r="V322" s="46">
        <v>2.07E-2</v>
      </c>
      <c r="W322" s="45">
        <v>5.3780000000000001E-2</v>
      </c>
      <c r="X322" t="s">
        <v>222</v>
      </c>
      <c r="Y322" t="s">
        <v>72</v>
      </c>
      <c r="Z322" s="44">
        <v>379765.79</v>
      </c>
      <c r="AA322" s="42">
        <v>1</v>
      </c>
      <c r="AB322" s="48">
        <v>85.61</v>
      </c>
      <c r="AD322" s="44">
        <v>325.11700000000002</v>
      </c>
      <c r="AG322" t="s">
        <v>16</v>
      </c>
      <c r="AH322" s="45">
        <v>5.2300000000000003E-4</v>
      </c>
      <c r="AI322" s="45">
        <v>1.6704449155243301E-2</v>
      </c>
      <c r="AJ322" s="45">
        <v>2.1640230860025798E-3</v>
      </c>
    </row>
    <row r="323" spans="1:36" x14ac:dyDescent="0.25">
      <c r="A323">
        <v>424</v>
      </c>
      <c r="B323">
        <v>7229</v>
      </c>
      <c r="C323" t="s">
        <v>277</v>
      </c>
      <c r="D323" t="s">
        <v>278</v>
      </c>
      <c r="E323" t="s">
        <v>210</v>
      </c>
      <c r="F323" t="s">
        <v>279</v>
      </c>
      <c r="G323" t="s">
        <v>280</v>
      </c>
      <c r="H323" t="s">
        <v>213</v>
      </c>
      <c r="I323" t="s">
        <v>239</v>
      </c>
      <c r="J323" t="s">
        <v>71</v>
      </c>
      <c r="K323" t="s">
        <v>71</v>
      </c>
      <c r="L323" t="s">
        <v>216</v>
      </c>
      <c r="M323" t="s">
        <v>117</v>
      </c>
      <c r="N323" t="s">
        <v>217</v>
      </c>
      <c r="O323" t="s">
        <v>72</v>
      </c>
      <c r="P323" t="s">
        <v>235</v>
      </c>
      <c r="Q323" t="s">
        <v>219</v>
      </c>
      <c r="R323" t="s">
        <v>220</v>
      </c>
      <c r="S323" t="s">
        <v>81</v>
      </c>
      <c r="T323" s="44">
        <v>4.1399999999999997</v>
      </c>
      <c r="U323" t="s">
        <v>281</v>
      </c>
      <c r="V323" s="46">
        <v>6.0699999999999997E-2</v>
      </c>
      <c r="W323" s="45">
        <v>5.9700000000000003E-2</v>
      </c>
      <c r="X323" t="s">
        <v>222</v>
      </c>
      <c r="Y323" t="s">
        <v>72</v>
      </c>
      <c r="Z323" s="44">
        <v>144985</v>
      </c>
      <c r="AA323" s="42">
        <v>1</v>
      </c>
      <c r="AB323" s="48">
        <v>102.73</v>
      </c>
      <c r="AD323" s="44">
        <v>148.94300000000001</v>
      </c>
      <c r="AG323" t="s">
        <v>16</v>
      </c>
      <c r="AH323" s="45">
        <v>3.48E-4</v>
      </c>
      <c r="AI323" s="45">
        <v>7.6526558466885799E-3</v>
      </c>
      <c r="AJ323" s="45">
        <v>9.9138401796796489E-4</v>
      </c>
    </row>
    <row r="324" spans="1:36" x14ac:dyDescent="0.25">
      <c r="A324">
        <v>424</v>
      </c>
      <c r="B324">
        <v>7229</v>
      </c>
      <c r="C324" t="s">
        <v>711</v>
      </c>
      <c r="D324" t="s">
        <v>712</v>
      </c>
      <c r="E324" t="s">
        <v>210</v>
      </c>
      <c r="F324" t="s">
        <v>713</v>
      </c>
      <c r="G324" t="s">
        <v>714</v>
      </c>
      <c r="H324" t="s">
        <v>213</v>
      </c>
      <c r="I324" t="s">
        <v>214</v>
      </c>
      <c r="J324" t="s">
        <v>71</v>
      </c>
      <c r="K324" t="s">
        <v>71</v>
      </c>
      <c r="L324" t="s">
        <v>216</v>
      </c>
      <c r="M324" t="s">
        <v>117</v>
      </c>
      <c r="N324" t="s">
        <v>258</v>
      </c>
      <c r="O324" t="s">
        <v>72</v>
      </c>
      <c r="P324" t="s">
        <v>259</v>
      </c>
      <c r="Q324" t="s">
        <v>74</v>
      </c>
      <c r="R324" t="s">
        <v>220</v>
      </c>
      <c r="S324" t="s">
        <v>81</v>
      </c>
      <c r="T324" s="44">
        <v>1.6819999999999999</v>
      </c>
      <c r="U324" t="s">
        <v>715</v>
      </c>
      <c r="V324" s="46">
        <v>3.2000000000000001E-2</v>
      </c>
      <c r="W324" s="45">
        <v>2.7539999999999999E-2</v>
      </c>
      <c r="X324" t="s">
        <v>222</v>
      </c>
      <c r="Y324" t="s">
        <v>72</v>
      </c>
      <c r="Z324" s="44">
        <v>292605.75</v>
      </c>
      <c r="AA324" s="42">
        <v>1</v>
      </c>
      <c r="AB324" s="48">
        <v>118.93</v>
      </c>
      <c r="AD324" s="44">
        <v>347.99599999999998</v>
      </c>
      <c r="AG324" t="s">
        <v>16</v>
      </c>
      <c r="AH324" s="45">
        <v>5.2999999999999998E-4</v>
      </c>
      <c r="AI324" s="45">
        <v>1.7879941637219201E-2</v>
      </c>
      <c r="AJ324" s="45">
        <v>2.31630544172574E-3</v>
      </c>
    </row>
    <row r="325" spans="1:36" x14ac:dyDescent="0.25">
      <c r="A325">
        <v>424</v>
      </c>
      <c r="B325">
        <v>7229</v>
      </c>
      <c r="C325" t="s">
        <v>711</v>
      </c>
      <c r="D325" t="s">
        <v>712</v>
      </c>
      <c r="E325" t="s">
        <v>210</v>
      </c>
      <c r="F325" t="s">
        <v>716</v>
      </c>
      <c r="G325" t="s">
        <v>717</v>
      </c>
      <c r="H325" t="s">
        <v>213</v>
      </c>
      <c r="I325" t="s">
        <v>239</v>
      </c>
      <c r="J325" t="s">
        <v>71</v>
      </c>
      <c r="K325" t="s">
        <v>71</v>
      </c>
      <c r="L325" t="s">
        <v>216</v>
      </c>
      <c r="M325" t="s">
        <v>117</v>
      </c>
      <c r="N325" t="s">
        <v>258</v>
      </c>
      <c r="O325" t="s">
        <v>72</v>
      </c>
      <c r="P325" t="s">
        <v>259</v>
      </c>
      <c r="Q325" t="s">
        <v>74</v>
      </c>
      <c r="R325" t="s">
        <v>220</v>
      </c>
      <c r="S325" t="s">
        <v>81</v>
      </c>
      <c r="T325" s="44">
        <v>0.76200000000000001</v>
      </c>
      <c r="U325" t="s">
        <v>718</v>
      </c>
      <c r="V325" s="46">
        <v>3.39E-2</v>
      </c>
      <c r="W325" s="45">
        <v>4.4609999999999997E-2</v>
      </c>
      <c r="X325" t="s">
        <v>222</v>
      </c>
      <c r="Y325" t="s">
        <v>72</v>
      </c>
      <c r="Z325" s="44">
        <v>63617</v>
      </c>
      <c r="AA325" s="42">
        <v>1</v>
      </c>
      <c r="AB325" s="48">
        <v>100.01</v>
      </c>
      <c r="AD325" s="44">
        <v>63.622999999999998</v>
      </c>
      <c r="AG325" t="s">
        <v>16</v>
      </c>
      <c r="AH325" s="45">
        <v>3.8900000000000002E-4</v>
      </c>
      <c r="AI325" s="45">
        <v>3.2689511763520701E-3</v>
      </c>
      <c r="AJ325" s="45">
        <v>4.2348512943455501E-4</v>
      </c>
    </row>
    <row r="326" spans="1:36" x14ac:dyDescent="0.25">
      <c r="A326">
        <v>424</v>
      </c>
      <c r="B326">
        <v>7229</v>
      </c>
      <c r="C326" t="s">
        <v>282</v>
      </c>
      <c r="D326" t="s">
        <v>283</v>
      </c>
      <c r="E326" t="s">
        <v>210</v>
      </c>
      <c r="F326" t="s">
        <v>284</v>
      </c>
      <c r="G326" t="s">
        <v>285</v>
      </c>
      <c r="H326" t="s">
        <v>213</v>
      </c>
      <c r="I326" t="s">
        <v>239</v>
      </c>
      <c r="J326" t="s">
        <v>71</v>
      </c>
      <c r="K326" t="s">
        <v>71</v>
      </c>
      <c r="L326" t="s">
        <v>216</v>
      </c>
      <c r="M326" t="s">
        <v>286</v>
      </c>
      <c r="N326" t="s">
        <v>287</v>
      </c>
      <c r="O326" t="s">
        <v>72</v>
      </c>
      <c r="P326" t="s">
        <v>218</v>
      </c>
      <c r="Q326" t="s">
        <v>219</v>
      </c>
      <c r="R326" t="s">
        <v>220</v>
      </c>
      <c r="S326" t="s">
        <v>81</v>
      </c>
      <c r="T326" s="44">
        <v>5.859</v>
      </c>
      <c r="U326" t="s">
        <v>288</v>
      </c>
      <c r="V326" s="46">
        <v>0.05</v>
      </c>
      <c r="W326" s="45">
        <v>5.74E-2</v>
      </c>
      <c r="X326" t="s">
        <v>222</v>
      </c>
      <c r="Y326" t="s">
        <v>72</v>
      </c>
      <c r="Z326" s="44">
        <v>250000</v>
      </c>
      <c r="AA326" s="42">
        <v>1</v>
      </c>
      <c r="AB326" s="48">
        <v>96.72</v>
      </c>
      <c r="AD326" s="44">
        <v>241.8</v>
      </c>
      <c r="AG326" t="s">
        <v>16</v>
      </c>
      <c r="AH326" s="45">
        <v>5.3300000000000005E-4</v>
      </c>
      <c r="AI326" s="45">
        <v>1.2423618829967099E-2</v>
      </c>
      <c r="AJ326" s="45">
        <v>1.6094513329885101E-3</v>
      </c>
    </row>
    <row r="327" spans="1:36" x14ac:dyDescent="0.25">
      <c r="A327">
        <v>424</v>
      </c>
      <c r="B327">
        <v>7229</v>
      </c>
      <c r="C327" t="s">
        <v>282</v>
      </c>
      <c r="D327" t="s">
        <v>283</v>
      </c>
      <c r="E327" t="s">
        <v>210</v>
      </c>
      <c r="F327" t="s">
        <v>289</v>
      </c>
      <c r="G327" t="s">
        <v>290</v>
      </c>
      <c r="H327" t="s">
        <v>213</v>
      </c>
      <c r="I327" t="s">
        <v>239</v>
      </c>
      <c r="J327" t="s">
        <v>71</v>
      </c>
      <c r="K327" t="s">
        <v>291</v>
      </c>
      <c r="L327" t="s">
        <v>216</v>
      </c>
      <c r="M327" t="s">
        <v>117</v>
      </c>
      <c r="N327" t="s">
        <v>287</v>
      </c>
      <c r="O327" t="s">
        <v>72</v>
      </c>
      <c r="P327" t="s">
        <v>218</v>
      </c>
      <c r="Q327" t="s">
        <v>219</v>
      </c>
      <c r="R327" t="s">
        <v>220</v>
      </c>
      <c r="S327" t="s">
        <v>81</v>
      </c>
      <c r="T327" s="44">
        <v>3.2930000000000001</v>
      </c>
      <c r="U327" t="s">
        <v>292</v>
      </c>
      <c r="V327" s="46">
        <v>1.4999999999999999E-2</v>
      </c>
      <c r="W327" s="45">
        <v>5.5910000000000001E-2</v>
      </c>
      <c r="X327" t="s">
        <v>222</v>
      </c>
      <c r="Y327" t="s">
        <v>72</v>
      </c>
      <c r="Z327" s="44">
        <v>256031</v>
      </c>
      <c r="AA327" s="42">
        <v>1</v>
      </c>
      <c r="AB327" s="48">
        <v>87.84</v>
      </c>
      <c r="AD327" s="44">
        <v>224.898</v>
      </c>
      <c r="AG327" t="s">
        <v>16</v>
      </c>
      <c r="AH327" s="45">
        <v>2.1800000000000001E-4</v>
      </c>
      <c r="AI327" s="45">
        <v>1.1555179635452601E-2</v>
      </c>
      <c r="AJ327" s="45">
        <v>1.49694702660562E-3</v>
      </c>
    </row>
    <row r="328" spans="1:36" x14ac:dyDescent="0.25">
      <c r="A328">
        <v>424</v>
      </c>
      <c r="B328">
        <v>7229</v>
      </c>
      <c r="C328" t="s">
        <v>293</v>
      </c>
      <c r="D328" t="s">
        <v>294</v>
      </c>
      <c r="E328" t="s">
        <v>210</v>
      </c>
      <c r="F328" t="s">
        <v>295</v>
      </c>
      <c r="G328" t="s">
        <v>296</v>
      </c>
      <c r="H328" t="s">
        <v>213</v>
      </c>
      <c r="I328" t="s">
        <v>239</v>
      </c>
      <c r="J328" t="s">
        <v>71</v>
      </c>
      <c r="K328" t="s">
        <v>71</v>
      </c>
      <c r="L328" t="s">
        <v>216</v>
      </c>
      <c r="M328" t="s">
        <v>117</v>
      </c>
      <c r="N328" t="s">
        <v>287</v>
      </c>
      <c r="O328" t="s">
        <v>72</v>
      </c>
      <c r="P328" t="s">
        <v>218</v>
      </c>
      <c r="Q328" t="s">
        <v>74</v>
      </c>
      <c r="R328" t="s">
        <v>220</v>
      </c>
      <c r="S328" t="s">
        <v>81</v>
      </c>
      <c r="T328" s="44">
        <v>2.6560000000000001</v>
      </c>
      <c r="U328" t="s">
        <v>297</v>
      </c>
      <c r="V328" s="46">
        <v>2.0500000000000001E-2</v>
      </c>
      <c r="W328" s="45">
        <v>5.4919999999999997E-2</v>
      </c>
      <c r="X328" t="s">
        <v>222</v>
      </c>
      <c r="Y328" t="s">
        <v>72</v>
      </c>
      <c r="Z328" s="44">
        <v>220000</v>
      </c>
      <c r="AA328" s="42">
        <v>1</v>
      </c>
      <c r="AB328" s="48">
        <v>91.77</v>
      </c>
      <c r="AD328" s="44">
        <v>201.89400000000001</v>
      </c>
      <c r="AG328" t="s">
        <v>16</v>
      </c>
      <c r="AH328" s="45">
        <v>2.2900000000000001E-4</v>
      </c>
      <c r="AI328" s="45">
        <v>1.0373259305448201E-2</v>
      </c>
      <c r="AJ328" s="45">
        <v>1.3438319579089501E-3</v>
      </c>
    </row>
    <row r="329" spans="1:36" x14ac:dyDescent="0.25">
      <c r="A329">
        <v>424</v>
      </c>
      <c r="B329">
        <v>7229</v>
      </c>
      <c r="C329" t="s">
        <v>298</v>
      </c>
      <c r="D329" t="s">
        <v>299</v>
      </c>
      <c r="E329" t="s">
        <v>210</v>
      </c>
      <c r="F329" t="s">
        <v>300</v>
      </c>
      <c r="G329" t="s">
        <v>301</v>
      </c>
      <c r="H329" t="s">
        <v>213</v>
      </c>
      <c r="I329" t="s">
        <v>214</v>
      </c>
      <c r="J329" t="s">
        <v>71</v>
      </c>
      <c r="K329" t="s">
        <v>71</v>
      </c>
      <c r="L329" t="s">
        <v>216</v>
      </c>
      <c r="M329" t="s">
        <v>117</v>
      </c>
      <c r="N329" t="s">
        <v>217</v>
      </c>
      <c r="O329" t="s">
        <v>72</v>
      </c>
      <c r="P329" t="s">
        <v>246</v>
      </c>
      <c r="Q329" t="s">
        <v>74</v>
      </c>
      <c r="R329" t="s">
        <v>220</v>
      </c>
      <c r="S329" t="s">
        <v>81</v>
      </c>
      <c r="T329" s="44">
        <v>1.2929999999999999</v>
      </c>
      <c r="U329" t="s">
        <v>302</v>
      </c>
      <c r="V329" s="46">
        <v>2.5700000000000001E-2</v>
      </c>
      <c r="W329" s="45">
        <v>3.1449999999999999E-2</v>
      </c>
      <c r="X329" t="s">
        <v>222</v>
      </c>
      <c r="Y329" t="s">
        <v>72</v>
      </c>
      <c r="Z329" s="44">
        <v>272152.59000000003</v>
      </c>
      <c r="AA329" s="42">
        <v>1</v>
      </c>
      <c r="AB329" s="48">
        <v>117.15</v>
      </c>
      <c r="AD329" s="44">
        <v>318.827</v>
      </c>
      <c r="AG329" t="s">
        <v>16</v>
      </c>
      <c r="AH329" s="45">
        <v>2.5799999999999998E-4</v>
      </c>
      <c r="AI329" s="45">
        <v>1.6381232956609398E-2</v>
      </c>
      <c r="AJ329" s="45">
        <v>2.1221511685802601E-3</v>
      </c>
    </row>
    <row r="330" spans="1:36" x14ac:dyDescent="0.25">
      <c r="A330">
        <v>424</v>
      </c>
      <c r="B330">
        <v>7229</v>
      </c>
      <c r="C330" t="s">
        <v>298</v>
      </c>
      <c r="D330" t="s">
        <v>299</v>
      </c>
      <c r="E330" t="s">
        <v>210</v>
      </c>
      <c r="F330" t="s">
        <v>652</v>
      </c>
      <c r="G330" t="s">
        <v>653</v>
      </c>
      <c r="H330" t="s">
        <v>213</v>
      </c>
      <c r="I330" t="s">
        <v>239</v>
      </c>
      <c r="J330" t="s">
        <v>71</v>
      </c>
      <c r="K330" t="s">
        <v>71</v>
      </c>
      <c r="L330" t="s">
        <v>216</v>
      </c>
      <c r="M330" t="s">
        <v>117</v>
      </c>
      <c r="N330" t="s">
        <v>217</v>
      </c>
      <c r="O330" t="s">
        <v>72</v>
      </c>
      <c r="P330" t="s">
        <v>246</v>
      </c>
      <c r="Q330" t="s">
        <v>74</v>
      </c>
      <c r="R330" t="s">
        <v>220</v>
      </c>
      <c r="S330" t="s">
        <v>81</v>
      </c>
      <c r="T330" s="44">
        <v>2.98</v>
      </c>
      <c r="U330" t="s">
        <v>654</v>
      </c>
      <c r="V330" s="46">
        <v>3.2500000000000001E-2</v>
      </c>
      <c r="W330" s="45">
        <v>5.568E-2</v>
      </c>
      <c r="X330" t="s">
        <v>222</v>
      </c>
      <c r="Y330" t="s">
        <v>72</v>
      </c>
      <c r="Z330" s="44">
        <v>210000</v>
      </c>
      <c r="AA330" s="42">
        <v>1</v>
      </c>
      <c r="AB330" s="48">
        <v>93.66</v>
      </c>
      <c r="AD330" s="44">
        <v>196.68600000000001</v>
      </c>
      <c r="AG330" t="s">
        <v>16</v>
      </c>
      <c r="AH330" s="45">
        <v>8.7399999999999999E-4</v>
      </c>
      <c r="AI330" s="45">
        <v>1.01056736691105E-2</v>
      </c>
      <c r="AJ330" s="45">
        <v>1.30916685227535E-3</v>
      </c>
    </row>
    <row r="331" spans="1:36" x14ac:dyDescent="0.25">
      <c r="A331">
        <v>424</v>
      </c>
      <c r="B331">
        <v>7229</v>
      </c>
      <c r="C331" t="s">
        <v>298</v>
      </c>
      <c r="D331" t="s">
        <v>299</v>
      </c>
      <c r="E331" t="s">
        <v>210</v>
      </c>
      <c r="F331" t="s">
        <v>303</v>
      </c>
      <c r="G331" t="s">
        <v>304</v>
      </c>
      <c r="H331" t="s">
        <v>213</v>
      </c>
      <c r="I331" t="s">
        <v>214</v>
      </c>
      <c r="J331" t="s">
        <v>71</v>
      </c>
      <c r="K331" t="s">
        <v>71</v>
      </c>
      <c r="L331" t="s">
        <v>216</v>
      </c>
      <c r="M331" t="s">
        <v>117</v>
      </c>
      <c r="N331" t="s">
        <v>217</v>
      </c>
      <c r="O331" t="s">
        <v>72</v>
      </c>
      <c r="P331" t="s">
        <v>246</v>
      </c>
      <c r="Q331" t="s">
        <v>74</v>
      </c>
      <c r="R331" t="s">
        <v>220</v>
      </c>
      <c r="S331" t="s">
        <v>81</v>
      </c>
      <c r="T331" s="44">
        <v>4.7030000000000003</v>
      </c>
      <c r="U331" t="s">
        <v>305</v>
      </c>
      <c r="V331" s="46">
        <v>1.54E-2</v>
      </c>
      <c r="W331" s="45">
        <v>3.2759999999999997E-2</v>
      </c>
      <c r="X331" t="s">
        <v>222</v>
      </c>
      <c r="Y331" t="s">
        <v>72</v>
      </c>
      <c r="Z331" s="44">
        <v>228000</v>
      </c>
      <c r="AA331" s="42">
        <v>1</v>
      </c>
      <c r="AB331" s="48">
        <v>103.7</v>
      </c>
      <c r="AD331" s="44">
        <v>236.43600000000001</v>
      </c>
      <c r="AG331" t="s">
        <v>16</v>
      </c>
      <c r="AH331" s="45">
        <v>3.8200000000000002E-4</v>
      </c>
      <c r="AI331" s="45">
        <v>1.2148017955674601E-2</v>
      </c>
      <c r="AJ331" s="45">
        <v>1.57374787165621E-3</v>
      </c>
    </row>
    <row r="332" spans="1:36" x14ac:dyDescent="0.25">
      <c r="A332">
        <v>424</v>
      </c>
      <c r="B332">
        <v>7229</v>
      </c>
      <c r="C332" t="s">
        <v>298</v>
      </c>
      <c r="D332" t="s">
        <v>299</v>
      </c>
      <c r="E332" t="s">
        <v>210</v>
      </c>
      <c r="F332" t="s">
        <v>306</v>
      </c>
      <c r="G332" t="s">
        <v>307</v>
      </c>
      <c r="H332" t="s">
        <v>213</v>
      </c>
      <c r="I332" t="s">
        <v>214</v>
      </c>
      <c r="J332" t="s">
        <v>71</v>
      </c>
      <c r="K332" t="s">
        <v>71</v>
      </c>
      <c r="L332" t="s">
        <v>216</v>
      </c>
      <c r="M332" t="s">
        <v>109</v>
      </c>
      <c r="N332" t="s">
        <v>217</v>
      </c>
      <c r="O332" t="s">
        <v>72</v>
      </c>
      <c r="P332" t="s">
        <v>246</v>
      </c>
      <c r="Q332" t="s">
        <v>74</v>
      </c>
      <c r="R332" t="s">
        <v>220</v>
      </c>
      <c r="S332" t="s">
        <v>81</v>
      </c>
      <c r="T332" s="44">
        <v>6.8319999999999999</v>
      </c>
      <c r="U332" t="s">
        <v>308</v>
      </c>
      <c r="V332" s="46">
        <v>4.02E-2</v>
      </c>
      <c r="W332" s="45">
        <v>3.5560000000000001E-2</v>
      </c>
      <c r="X332" t="s">
        <v>222</v>
      </c>
      <c r="Y332" t="s">
        <v>72</v>
      </c>
      <c r="Z332" s="44">
        <v>199000</v>
      </c>
      <c r="AA332" s="42">
        <v>1</v>
      </c>
      <c r="AB332" s="48">
        <v>104.52</v>
      </c>
      <c r="AD332" s="44">
        <v>207.995</v>
      </c>
      <c r="AG332" t="s">
        <v>16</v>
      </c>
      <c r="AH332" s="45">
        <v>2.4699999999999999E-4</v>
      </c>
      <c r="AI332" s="45">
        <v>1.06867167651582E-2</v>
      </c>
      <c r="AJ332" s="45">
        <v>1.3844396530797299E-3</v>
      </c>
    </row>
    <row r="333" spans="1:36" x14ac:dyDescent="0.25">
      <c r="A333">
        <v>424</v>
      </c>
      <c r="B333">
        <v>7229</v>
      </c>
      <c r="C333" t="s">
        <v>254</v>
      </c>
      <c r="D333" t="s">
        <v>255</v>
      </c>
      <c r="E333" t="s">
        <v>210</v>
      </c>
      <c r="F333" t="s">
        <v>309</v>
      </c>
      <c r="G333" t="s">
        <v>310</v>
      </c>
      <c r="H333" t="s">
        <v>213</v>
      </c>
      <c r="I333" t="s">
        <v>214</v>
      </c>
      <c r="J333" t="s">
        <v>71</v>
      </c>
      <c r="K333" t="s">
        <v>71</v>
      </c>
      <c r="L333" t="s">
        <v>216</v>
      </c>
      <c r="M333" t="s">
        <v>109</v>
      </c>
      <c r="N333" t="s">
        <v>258</v>
      </c>
      <c r="O333" t="s">
        <v>72</v>
      </c>
      <c r="P333" t="s">
        <v>259</v>
      </c>
      <c r="Q333" t="s">
        <v>74</v>
      </c>
      <c r="R333" t="s">
        <v>220</v>
      </c>
      <c r="S333" t="s">
        <v>81</v>
      </c>
      <c r="T333" s="44">
        <v>7.2910000000000004</v>
      </c>
      <c r="U333" t="s">
        <v>311</v>
      </c>
      <c r="V333" s="46">
        <v>3.5999999999999997E-2</v>
      </c>
      <c r="W333" s="45">
        <v>3.2489999999999998E-2</v>
      </c>
      <c r="X333" t="s">
        <v>222</v>
      </c>
      <c r="Y333" t="s">
        <v>72</v>
      </c>
      <c r="Z333" s="44">
        <v>143000</v>
      </c>
      <c r="AA333" s="42">
        <v>1</v>
      </c>
      <c r="AB333" s="48">
        <v>104.88</v>
      </c>
      <c r="AD333" s="44">
        <v>149.97800000000001</v>
      </c>
      <c r="AG333" t="s">
        <v>16</v>
      </c>
      <c r="AH333" s="45">
        <v>1.9599999999999999E-4</v>
      </c>
      <c r="AI333" s="45">
        <v>7.7058497697615504E-3</v>
      </c>
      <c r="AJ333" s="45">
        <v>9.982751687323591E-4</v>
      </c>
    </row>
    <row r="334" spans="1:36" x14ac:dyDescent="0.25">
      <c r="A334">
        <v>424</v>
      </c>
      <c r="B334">
        <v>7229</v>
      </c>
      <c r="C334" t="s">
        <v>312</v>
      </c>
      <c r="D334" t="s">
        <v>313</v>
      </c>
      <c r="E334" t="s">
        <v>210</v>
      </c>
      <c r="F334" t="s">
        <v>314</v>
      </c>
      <c r="G334" t="s">
        <v>315</v>
      </c>
      <c r="H334" t="s">
        <v>213</v>
      </c>
      <c r="I334" t="s">
        <v>214</v>
      </c>
      <c r="J334" t="s">
        <v>71</v>
      </c>
      <c r="K334" t="s">
        <v>71</v>
      </c>
      <c r="L334" t="s">
        <v>216</v>
      </c>
      <c r="M334" t="s">
        <v>117</v>
      </c>
      <c r="N334" t="s">
        <v>258</v>
      </c>
      <c r="O334" t="s">
        <v>72</v>
      </c>
      <c r="P334" t="s">
        <v>218</v>
      </c>
      <c r="Q334" t="s">
        <v>74</v>
      </c>
      <c r="R334" t="s">
        <v>220</v>
      </c>
      <c r="S334" t="s">
        <v>81</v>
      </c>
      <c r="T334" s="44">
        <v>5.7060000000000004</v>
      </c>
      <c r="U334" t="s">
        <v>316</v>
      </c>
      <c r="V334" s="46">
        <v>3.6799999999999999E-2</v>
      </c>
      <c r="W334" s="45">
        <v>3.5349999999999999E-2</v>
      </c>
      <c r="X334" t="s">
        <v>222</v>
      </c>
      <c r="Y334" t="s">
        <v>72</v>
      </c>
      <c r="Z334" s="44">
        <v>248000</v>
      </c>
      <c r="AA334" s="42">
        <v>1</v>
      </c>
      <c r="AB334" s="48">
        <v>105.69</v>
      </c>
      <c r="AD334" s="44">
        <v>262.11099999999999</v>
      </c>
      <c r="AG334" t="s">
        <v>16</v>
      </c>
      <c r="AH334" s="45">
        <v>5.5900000000000004E-4</v>
      </c>
      <c r="AI334" s="45">
        <v>1.34672028116844E-2</v>
      </c>
      <c r="AJ334" s="45">
        <v>1.74464524495955E-3</v>
      </c>
    </row>
    <row r="335" spans="1:36" x14ac:dyDescent="0.25">
      <c r="A335">
        <v>424</v>
      </c>
      <c r="B335">
        <v>7229</v>
      </c>
      <c r="C335" t="s">
        <v>312</v>
      </c>
      <c r="D335" t="s">
        <v>313</v>
      </c>
      <c r="E335" t="s">
        <v>210</v>
      </c>
      <c r="F335" t="s">
        <v>317</v>
      </c>
      <c r="G335" t="s">
        <v>318</v>
      </c>
      <c r="H335" t="s">
        <v>213</v>
      </c>
      <c r="I335" t="s">
        <v>214</v>
      </c>
      <c r="J335" t="s">
        <v>71</v>
      </c>
      <c r="K335" t="s">
        <v>71</v>
      </c>
      <c r="L335" t="s">
        <v>216</v>
      </c>
      <c r="M335" t="s">
        <v>117</v>
      </c>
      <c r="N335" t="s">
        <v>258</v>
      </c>
      <c r="O335" t="s">
        <v>72</v>
      </c>
      <c r="P335" t="s">
        <v>218</v>
      </c>
      <c r="Q335" t="s">
        <v>74</v>
      </c>
      <c r="R335" t="s">
        <v>220</v>
      </c>
      <c r="S335" t="s">
        <v>81</v>
      </c>
      <c r="T335" s="44">
        <v>1.4610000000000001</v>
      </c>
      <c r="U335" t="s">
        <v>319</v>
      </c>
      <c r="V335" s="46">
        <v>3.4599999999999999E-2</v>
      </c>
      <c r="W335" s="45">
        <v>3.0300000000000001E-2</v>
      </c>
      <c r="X335" t="s">
        <v>222</v>
      </c>
      <c r="Y335" t="s">
        <v>72</v>
      </c>
      <c r="Z335" s="44">
        <v>0.91</v>
      </c>
      <c r="AA335" s="42">
        <v>1</v>
      </c>
      <c r="AB335" s="48">
        <v>118.35</v>
      </c>
      <c r="AD335" s="44">
        <v>1E-3</v>
      </c>
      <c r="AG335" t="s">
        <v>16</v>
      </c>
      <c r="AH335" s="45">
        <v>0</v>
      </c>
      <c r="AI335" s="45">
        <v>5.5335199030571397E-8</v>
      </c>
      <c r="AJ335" s="45">
        <v>7.16854815491578E-9</v>
      </c>
    </row>
    <row r="336" spans="1:36" x14ac:dyDescent="0.25">
      <c r="A336">
        <v>424</v>
      </c>
      <c r="B336">
        <v>7229</v>
      </c>
      <c r="C336" t="s">
        <v>631</v>
      </c>
      <c r="D336" t="s">
        <v>632</v>
      </c>
      <c r="E336" t="s">
        <v>210</v>
      </c>
      <c r="F336" t="s">
        <v>633</v>
      </c>
      <c r="G336" t="s">
        <v>634</v>
      </c>
      <c r="H336" t="s">
        <v>213</v>
      </c>
      <c r="I336" t="s">
        <v>239</v>
      </c>
      <c r="J336" t="s">
        <v>71</v>
      </c>
      <c r="K336" t="s">
        <v>71</v>
      </c>
      <c r="L336" t="s">
        <v>216</v>
      </c>
      <c r="M336" t="s">
        <v>117</v>
      </c>
      <c r="N336" t="s">
        <v>245</v>
      </c>
      <c r="O336" t="s">
        <v>72</v>
      </c>
      <c r="P336" t="s">
        <v>218</v>
      </c>
      <c r="Q336" t="s">
        <v>74</v>
      </c>
      <c r="R336" t="s">
        <v>220</v>
      </c>
      <c r="S336" t="s">
        <v>81</v>
      </c>
      <c r="T336" s="44">
        <v>1.919</v>
      </c>
      <c r="U336" t="s">
        <v>635</v>
      </c>
      <c r="V336" s="46">
        <v>4.2999999999999997E-2</v>
      </c>
      <c r="W336" s="45">
        <v>5.5160000000000001E-2</v>
      </c>
      <c r="X336" t="s">
        <v>222</v>
      </c>
      <c r="Y336" t="s">
        <v>72</v>
      </c>
      <c r="Z336" s="44">
        <v>283220.52</v>
      </c>
      <c r="AA336" s="42">
        <v>1</v>
      </c>
      <c r="AB336" s="48">
        <v>98.75</v>
      </c>
      <c r="AD336" s="44">
        <v>279.68</v>
      </c>
      <c r="AG336" t="s">
        <v>16</v>
      </c>
      <c r="AH336" s="45">
        <v>3.5100000000000002E-4</v>
      </c>
      <c r="AI336" s="45">
        <v>1.4369896559093299E-2</v>
      </c>
      <c r="AJ336" s="45">
        <v>1.86158715012677E-3</v>
      </c>
    </row>
    <row r="337" spans="1:36" x14ac:dyDescent="0.25">
      <c r="A337">
        <v>424</v>
      </c>
      <c r="B337">
        <v>7229</v>
      </c>
      <c r="C337" t="s">
        <v>320</v>
      </c>
      <c r="D337" t="s">
        <v>321</v>
      </c>
      <c r="E337" t="s">
        <v>210</v>
      </c>
      <c r="F337" t="s">
        <v>322</v>
      </c>
      <c r="G337" t="s">
        <v>323</v>
      </c>
      <c r="H337" t="s">
        <v>213</v>
      </c>
      <c r="I337" t="s">
        <v>239</v>
      </c>
      <c r="J337" t="s">
        <v>71</v>
      </c>
      <c r="K337" t="s">
        <v>71</v>
      </c>
      <c r="L337" t="s">
        <v>216</v>
      </c>
      <c r="M337" t="s">
        <v>117</v>
      </c>
      <c r="N337" t="s">
        <v>234</v>
      </c>
      <c r="O337" t="s">
        <v>72</v>
      </c>
      <c r="P337" t="s">
        <v>246</v>
      </c>
      <c r="Q337" t="s">
        <v>74</v>
      </c>
      <c r="R337" t="s">
        <v>220</v>
      </c>
      <c r="S337" t="s">
        <v>81</v>
      </c>
      <c r="T337" s="44">
        <v>2.2389999999999999</v>
      </c>
      <c r="U337" t="s">
        <v>324</v>
      </c>
      <c r="V337" s="46">
        <v>2.7E-2</v>
      </c>
      <c r="W337" s="45">
        <v>5.4039999999999998E-2</v>
      </c>
      <c r="X337" t="s">
        <v>222</v>
      </c>
      <c r="Y337" t="s">
        <v>72</v>
      </c>
      <c r="Z337" s="44">
        <v>195000</v>
      </c>
      <c r="AA337" s="42">
        <v>1</v>
      </c>
      <c r="AB337" s="48">
        <v>94.31</v>
      </c>
      <c r="AD337" s="44">
        <v>183.905</v>
      </c>
      <c r="AG337" t="s">
        <v>16</v>
      </c>
      <c r="AH337" s="45">
        <v>3.4099999999999999E-4</v>
      </c>
      <c r="AI337" s="45">
        <v>9.4489636439854894E-3</v>
      </c>
      <c r="AJ337" s="45">
        <v>1.2240915743076399E-3</v>
      </c>
    </row>
    <row r="338" spans="1:36" x14ac:dyDescent="0.25">
      <c r="A338">
        <v>424</v>
      </c>
      <c r="B338">
        <v>7229</v>
      </c>
      <c r="C338" t="s">
        <v>325</v>
      </c>
      <c r="D338" t="s">
        <v>326</v>
      </c>
      <c r="E338" t="s">
        <v>210</v>
      </c>
      <c r="F338" t="s">
        <v>327</v>
      </c>
      <c r="G338" t="s">
        <v>328</v>
      </c>
      <c r="H338" t="s">
        <v>213</v>
      </c>
      <c r="I338" t="s">
        <v>239</v>
      </c>
      <c r="J338" t="s">
        <v>71</v>
      </c>
      <c r="K338" t="s">
        <v>71</v>
      </c>
      <c r="L338" t="s">
        <v>216</v>
      </c>
      <c r="M338" t="s">
        <v>109</v>
      </c>
      <c r="N338" t="s">
        <v>329</v>
      </c>
      <c r="O338" t="s">
        <v>72</v>
      </c>
      <c r="P338" t="s">
        <v>235</v>
      </c>
      <c r="Q338" t="s">
        <v>219</v>
      </c>
      <c r="R338" t="s">
        <v>220</v>
      </c>
      <c r="S338" t="s">
        <v>81</v>
      </c>
      <c r="T338" s="44">
        <v>4.07</v>
      </c>
      <c r="U338" t="s">
        <v>330</v>
      </c>
      <c r="V338" s="46">
        <v>5.5E-2</v>
      </c>
      <c r="W338" s="45">
        <v>5.1830000000000001E-2</v>
      </c>
      <c r="X338" t="s">
        <v>222</v>
      </c>
      <c r="Y338" t="s">
        <v>72</v>
      </c>
      <c r="Z338" s="44">
        <v>482159.55</v>
      </c>
      <c r="AA338" s="42">
        <v>1</v>
      </c>
      <c r="AB338" s="48">
        <v>104.5</v>
      </c>
      <c r="AD338" s="44">
        <v>503.85700000000003</v>
      </c>
      <c r="AG338" t="s">
        <v>16</v>
      </c>
      <c r="AH338" s="45">
        <v>4.7800000000000002E-4</v>
      </c>
      <c r="AI338" s="45">
        <v>2.58880229748874E-2</v>
      </c>
      <c r="AJ338" s="45">
        <v>3.3537340170859001E-3</v>
      </c>
    </row>
    <row r="339" spans="1:36" x14ac:dyDescent="0.25">
      <c r="A339">
        <v>424</v>
      </c>
      <c r="B339">
        <v>7229</v>
      </c>
      <c r="C339" t="s">
        <v>331</v>
      </c>
      <c r="D339" t="s">
        <v>332</v>
      </c>
      <c r="E339" t="s">
        <v>210</v>
      </c>
      <c r="F339" t="s">
        <v>333</v>
      </c>
      <c r="G339" t="s">
        <v>334</v>
      </c>
      <c r="H339" t="s">
        <v>213</v>
      </c>
      <c r="I339" t="s">
        <v>214</v>
      </c>
      <c r="J339" t="s">
        <v>71</v>
      </c>
      <c r="K339" t="s">
        <v>71</v>
      </c>
      <c r="L339" t="s">
        <v>216</v>
      </c>
      <c r="M339" t="s">
        <v>117</v>
      </c>
      <c r="N339" t="s">
        <v>258</v>
      </c>
      <c r="O339" t="s">
        <v>72</v>
      </c>
      <c r="P339" t="s">
        <v>228</v>
      </c>
      <c r="Q339" t="s">
        <v>219</v>
      </c>
      <c r="R339" t="s">
        <v>220</v>
      </c>
      <c r="S339" t="s">
        <v>81</v>
      </c>
      <c r="T339" s="44">
        <v>4.0019999999999998</v>
      </c>
      <c r="U339" t="s">
        <v>335</v>
      </c>
      <c r="V339" s="46">
        <v>1.17E-2</v>
      </c>
      <c r="W339" s="45">
        <v>2.9520000000000001E-2</v>
      </c>
      <c r="X339" t="s">
        <v>222</v>
      </c>
      <c r="Y339" t="s">
        <v>72</v>
      </c>
      <c r="Z339" s="44">
        <v>419160</v>
      </c>
      <c r="AA339" s="42">
        <v>1</v>
      </c>
      <c r="AB339" s="48">
        <v>107.32</v>
      </c>
      <c r="AD339" s="44">
        <v>449.84300000000002</v>
      </c>
      <c r="AG339" t="s">
        <v>16</v>
      </c>
      <c r="AH339" s="45">
        <v>6.0899999999999995E-4</v>
      </c>
      <c r="AI339" s="45">
        <v>2.3112787024826002E-2</v>
      </c>
      <c r="AJ339" s="45">
        <v>2.9942085631650202E-3</v>
      </c>
    </row>
    <row r="340" spans="1:36" x14ac:dyDescent="0.25">
      <c r="A340">
        <v>424</v>
      </c>
      <c r="B340">
        <v>7229</v>
      </c>
      <c r="C340" t="s">
        <v>331</v>
      </c>
      <c r="D340" t="s">
        <v>332</v>
      </c>
      <c r="E340" t="s">
        <v>210</v>
      </c>
      <c r="F340" t="s">
        <v>338</v>
      </c>
      <c r="G340" t="s">
        <v>339</v>
      </c>
      <c r="H340" t="s">
        <v>213</v>
      </c>
      <c r="I340" t="s">
        <v>214</v>
      </c>
      <c r="J340" t="s">
        <v>71</v>
      </c>
      <c r="K340" t="s">
        <v>71</v>
      </c>
      <c r="L340" t="s">
        <v>216</v>
      </c>
      <c r="M340" t="s">
        <v>117</v>
      </c>
      <c r="N340" t="s">
        <v>258</v>
      </c>
      <c r="O340" t="s">
        <v>72</v>
      </c>
      <c r="P340" t="s">
        <v>228</v>
      </c>
      <c r="Q340" t="s">
        <v>74</v>
      </c>
      <c r="R340" t="s">
        <v>220</v>
      </c>
      <c r="S340" t="s">
        <v>81</v>
      </c>
      <c r="T340" s="44">
        <v>4.8780000000000001</v>
      </c>
      <c r="U340" t="s">
        <v>340</v>
      </c>
      <c r="V340" s="46">
        <v>1.8700000000000001E-2</v>
      </c>
      <c r="W340" s="45">
        <v>3.1629999999999998E-2</v>
      </c>
      <c r="X340" t="s">
        <v>222</v>
      </c>
      <c r="Y340" t="s">
        <v>72</v>
      </c>
      <c r="Z340" s="44">
        <v>200000</v>
      </c>
      <c r="AA340" s="42">
        <v>1</v>
      </c>
      <c r="AB340" s="48">
        <v>105.08</v>
      </c>
      <c r="AD340" s="44">
        <v>210.16</v>
      </c>
      <c r="AG340" t="s">
        <v>16</v>
      </c>
      <c r="AH340" s="45">
        <v>1.95E-4</v>
      </c>
      <c r="AI340" s="45">
        <v>1.0797964157592601E-2</v>
      </c>
      <c r="AJ340" s="45">
        <v>1.3988514976876201E-3</v>
      </c>
    </row>
    <row r="341" spans="1:36" x14ac:dyDescent="0.25">
      <c r="A341">
        <v>424</v>
      </c>
      <c r="B341">
        <v>7229</v>
      </c>
      <c r="C341" t="s">
        <v>331</v>
      </c>
      <c r="D341" t="s">
        <v>332</v>
      </c>
      <c r="E341" t="s">
        <v>210</v>
      </c>
      <c r="F341" t="s">
        <v>719</v>
      </c>
      <c r="G341" t="s">
        <v>720</v>
      </c>
      <c r="H341" t="s">
        <v>213</v>
      </c>
      <c r="I341" t="s">
        <v>214</v>
      </c>
      <c r="J341" t="s">
        <v>71</v>
      </c>
      <c r="K341" t="s">
        <v>71</v>
      </c>
      <c r="L341" t="s">
        <v>216</v>
      </c>
      <c r="M341" t="s">
        <v>117</v>
      </c>
      <c r="N341" t="s">
        <v>258</v>
      </c>
      <c r="O341" t="s">
        <v>72</v>
      </c>
      <c r="P341" t="s">
        <v>228</v>
      </c>
      <c r="Q341" t="s">
        <v>74</v>
      </c>
      <c r="R341" t="s">
        <v>220</v>
      </c>
      <c r="S341" t="s">
        <v>81</v>
      </c>
      <c r="T341" s="44">
        <v>2.4180000000000001</v>
      </c>
      <c r="U341" t="s">
        <v>721</v>
      </c>
      <c r="V341" s="46">
        <v>3.3500000000000002E-2</v>
      </c>
      <c r="W341" s="45">
        <v>2.7869999999999999E-2</v>
      </c>
      <c r="X341" t="s">
        <v>222</v>
      </c>
      <c r="Y341" t="s">
        <v>72</v>
      </c>
      <c r="Z341" s="44">
        <v>108680</v>
      </c>
      <c r="AA341" s="42">
        <v>1</v>
      </c>
      <c r="AB341" s="48">
        <v>117.2</v>
      </c>
      <c r="AD341" s="44">
        <v>127.373</v>
      </c>
      <c r="AG341" t="s">
        <v>16</v>
      </c>
      <c r="AH341" s="45">
        <v>1.8000000000000001E-4</v>
      </c>
      <c r="AI341" s="45">
        <v>6.5443883551888002E-3</v>
      </c>
      <c r="AJ341" s="45">
        <v>8.4781050561907596E-4</v>
      </c>
    </row>
    <row r="342" spans="1:36" x14ac:dyDescent="0.25">
      <c r="A342">
        <v>424</v>
      </c>
      <c r="B342">
        <v>7229</v>
      </c>
      <c r="C342" t="s">
        <v>320</v>
      </c>
      <c r="D342" t="s">
        <v>321</v>
      </c>
      <c r="E342" t="s">
        <v>210</v>
      </c>
      <c r="F342" t="s">
        <v>341</v>
      </c>
      <c r="G342" t="s">
        <v>342</v>
      </c>
      <c r="H342" t="s">
        <v>213</v>
      </c>
      <c r="I342" t="s">
        <v>239</v>
      </c>
      <c r="J342" t="s">
        <v>71</v>
      </c>
      <c r="K342" t="s">
        <v>71</v>
      </c>
      <c r="L342" t="s">
        <v>216</v>
      </c>
      <c r="M342" t="s">
        <v>117</v>
      </c>
      <c r="N342" t="s">
        <v>234</v>
      </c>
      <c r="O342" t="s">
        <v>72</v>
      </c>
      <c r="P342" t="s">
        <v>246</v>
      </c>
      <c r="Q342" t="s">
        <v>74</v>
      </c>
      <c r="R342" t="s">
        <v>220</v>
      </c>
      <c r="S342" t="s">
        <v>81</v>
      </c>
      <c r="T342" s="44">
        <v>4.2629999999999999</v>
      </c>
      <c r="U342" t="s">
        <v>343</v>
      </c>
      <c r="V342" s="46">
        <v>5.7500000000000002E-2</v>
      </c>
      <c r="W342" s="45">
        <v>5.493E-2</v>
      </c>
      <c r="X342" t="s">
        <v>222</v>
      </c>
      <c r="Y342" t="s">
        <v>72</v>
      </c>
      <c r="Z342" s="44">
        <v>140252</v>
      </c>
      <c r="AA342" s="42">
        <v>1</v>
      </c>
      <c r="AB342" s="48">
        <v>101.46</v>
      </c>
      <c r="AD342" s="44">
        <v>142.30000000000001</v>
      </c>
      <c r="AG342" t="s">
        <v>16</v>
      </c>
      <c r="AH342" s="45">
        <v>2.6699999999999998E-4</v>
      </c>
      <c r="AI342" s="45">
        <v>7.3113191646294604E-3</v>
      </c>
      <c r="AJ342" s="45">
        <v>9.4716463346682296E-4</v>
      </c>
    </row>
    <row r="343" spans="1:36" x14ac:dyDescent="0.25">
      <c r="A343">
        <v>424</v>
      </c>
      <c r="B343">
        <v>7229</v>
      </c>
      <c r="C343" t="s">
        <v>344</v>
      </c>
      <c r="D343" t="s">
        <v>345</v>
      </c>
      <c r="E343" t="s">
        <v>210</v>
      </c>
      <c r="F343" t="s">
        <v>346</v>
      </c>
      <c r="G343" t="s">
        <v>347</v>
      </c>
      <c r="H343" t="s">
        <v>213</v>
      </c>
      <c r="I343" t="s">
        <v>239</v>
      </c>
      <c r="J343" t="s">
        <v>71</v>
      </c>
      <c r="K343" t="s">
        <v>71</v>
      </c>
      <c r="L343" t="s">
        <v>216</v>
      </c>
      <c r="M343" t="s">
        <v>117</v>
      </c>
      <c r="N343" t="s">
        <v>258</v>
      </c>
      <c r="O343" t="s">
        <v>72</v>
      </c>
      <c r="P343" t="s">
        <v>259</v>
      </c>
      <c r="Q343" t="s">
        <v>74</v>
      </c>
      <c r="R343" t="s">
        <v>220</v>
      </c>
      <c r="S343" t="s">
        <v>81</v>
      </c>
      <c r="T343" s="44">
        <v>4.7640000000000002</v>
      </c>
      <c r="U343" t="s">
        <v>348</v>
      </c>
      <c r="V343" s="46">
        <v>2.5499999999999998E-2</v>
      </c>
      <c r="W343" s="45">
        <v>5.2690000000000001E-2</v>
      </c>
      <c r="X343" t="s">
        <v>222</v>
      </c>
      <c r="Y343" t="s">
        <v>72</v>
      </c>
      <c r="Z343" s="44">
        <v>201760</v>
      </c>
      <c r="AA343" s="42">
        <v>1</v>
      </c>
      <c r="AB343" s="48">
        <v>88.7</v>
      </c>
      <c r="AD343" s="44">
        <v>178.96100000000001</v>
      </c>
      <c r="AG343" t="s">
        <v>16</v>
      </c>
      <c r="AH343" s="45">
        <v>8.6000000000000003E-5</v>
      </c>
      <c r="AI343" s="45">
        <v>9.1949741119272399E-3</v>
      </c>
      <c r="AJ343" s="45">
        <v>1.19118781280859E-3</v>
      </c>
    </row>
    <row r="344" spans="1:36" x14ac:dyDescent="0.25">
      <c r="A344">
        <v>424</v>
      </c>
      <c r="B344">
        <v>7229</v>
      </c>
      <c r="C344" t="s">
        <v>344</v>
      </c>
      <c r="D344" t="s">
        <v>345</v>
      </c>
      <c r="E344" t="s">
        <v>210</v>
      </c>
      <c r="F344" t="s">
        <v>352</v>
      </c>
      <c r="G344" t="s">
        <v>353</v>
      </c>
      <c r="H344" t="s">
        <v>213</v>
      </c>
      <c r="I344" t="s">
        <v>214</v>
      </c>
      <c r="J344" t="s">
        <v>71</v>
      </c>
      <c r="K344" t="s">
        <v>71</v>
      </c>
      <c r="L344" t="s">
        <v>216</v>
      </c>
      <c r="M344" t="s">
        <v>117</v>
      </c>
      <c r="N344" t="s">
        <v>258</v>
      </c>
      <c r="O344" t="s">
        <v>72</v>
      </c>
      <c r="P344" t="s">
        <v>259</v>
      </c>
      <c r="Q344" t="s">
        <v>74</v>
      </c>
      <c r="R344" t="s">
        <v>220</v>
      </c>
      <c r="S344" t="s">
        <v>81</v>
      </c>
      <c r="T344" s="44">
        <v>4.673</v>
      </c>
      <c r="U344" t="s">
        <v>354</v>
      </c>
      <c r="V344" s="46">
        <v>5.8999999999999999E-3</v>
      </c>
      <c r="W344" s="45">
        <v>3.0779999999999998E-2</v>
      </c>
      <c r="X344" t="s">
        <v>222</v>
      </c>
      <c r="Y344" t="s">
        <v>72</v>
      </c>
      <c r="Z344" s="44">
        <v>224263</v>
      </c>
      <c r="AA344" s="42">
        <v>1</v>
      </c>
      <c r="AB344" s="48">
        <v>100.11</v>
      </c>
      <c r="AD344" s="44">
        <v>224.51</v>
      </c>
      <c r="AG344" t="s">
        <v>16</v>
      </c>
      <c r="AH344" s="45">
        <v>1.6000000000000001E-4</v>
      </c>
      <c r="AI344" s="45">
        <v>1.1535247326292601E-2</v>
      </c>
      <c r="AJ344" s="45">
        <v>1.4943648416572499E-3</v>
      </c>
    </row>
    <row r="345" spans="1:36" x14ac:dyDescent="0.25">
      <c r="A345">
        <v>424</v>
      </c>
      <c r="B345">
        <v>7229</v>
      </c>
      <c r="C345" t="s">
        <v>344</v>
      </c>
      <c r="D345" t="s">
        <v>345</v>
      </c>
      <c r="E345" t="s">
        <v>210</v>
      </c>
      <c r="F345" t="s">
        <v>355</v>
      </c>
      <c r="G345" t="s">
        <v>356</v>
      </c>
      <c r="H345" t="s">
        <v>213</v>
      </c>
      <c r="I345" t="s">
        <v>214</v>
      </c>
      <c r="J345" t="s">
        <v>71</v>
      </c>
      <c r="K345" t="s">
        <v>71</v>
      </c>
      <c r="L345" t="s">
        <v>216</v>
      </c>
      <c r="M345" t="s">
        <v>109</v>
      </c>
      <c r="N345" t="s">
        <v>258</v>
      </c>
      <c r="O345" t="s">
        <v>72</v>
      </c>
      <c r="P345" t="s">
        <v>259</v>
      </c>
      <c r="Q345" t="s">
        <v>74</v>
      </c>
      <c r="R345" t="s">
        <v>220</v>
      </c>
      <c r="S345" t="s">
        <v>81</v>
      </c>
      <c r="T345" s="44">
        <v>3.3180000000000001</v>
      </c>
      <c r="U345" t="s">
        <v>357</v>
      </c>
      <c r="V345" s="46">
        <v>3.3399999999999999E-2</v>
      </c>
      <c r="W345" s="45">
        <v>3.0470000000000001E-2</v>
      </c>
      <c r="X345" t="s">
        <v>222</v>
      </c>
      <c r="Y345" t="s">
        <v>72</v>
      </c>
      <c r="Z345" s="44">
        <v>234584</v>
      </c>
      <c r="AA345" s="42">
        <v>1</v>
      </c>
      <c r="AB345" s="48">
        <v>102.84</v>
      </c>
      <c r="AD345" s="44">
        <v>241.24600000000001</v>
      </c>
      <c r="AG345" t="s">
        <v>16</v>
      </c>
      <c r="AH345" s="45">
        <v>2.1800000000000001E-4</v>
      </c>
      <c r="AI345" s="45">
        <v>1.23951639953594E-2</v>
      </c>
      <c r="AJ345" s="45">
        <v>1.6057650744099E-3</v>
      </c>
    </row>
    <row r="346" spans="1:36" x14ac:dyDescent="0.25">
      <c r="A346">
        <v>424</v>
      </c>
      <c r="B346">
        <v>7229</v>
      </c>
      <c r="C346" t="s">
        <v>344</v>
      </c>
      <c r="D346" t="s">
        <v>345</v>
      </c>
      <c r="E346" t="s">
        <v>210</v>
      </c>
      <c r="F346" t="s">
        <v>358</v>
      </c>
      <c r="G346" t="s">
        <v>359</v>
      </c>
      <c r="H346" t="s">
        <v>213</v>
      </c>
      <c r="I346" t="s">
        <v>214</v>
      </c>
      <c r="J346" t="s">
        <v>71</v>
      </c>
      <c r="K346" t="s">
        <v>71</v>
      </c>
      <c r="L346" t="s">
        <v>216</v>
      </c>
      <c r="M346" t="s">
        <v>117</v>
      </c>
      <c r="N346" t="s">
        <v>258</v>
      </c>
      <c r="O346" t="s">
        <v>72</v>
      </c>
      <c r="P346" t="s">
        <v>259</v>
      </c>
      <c r="Q346" t="s">
        <v>74</v>
      </c>
      <c r="R346" t="s">
        <v>220</v>
      </c>
      <c r="S346" t="s">
        <v>81</v>
      </c>
      <c r="T346" s="44">
        <v>0.98599999999999999</v>
      </c>
      <c r="U346" t="s">
        <v>360</v>
      </c>
      <c r="V346" s="46">
        <v>4.7500000000000001E-2</v>
      </c>
      <c r="W346" s="45">
        <v>2.462E-2</v>
      </c>
      <c r="X346" t="s">
        <v>222</v>
      </c>
      <c r="Y346" t="s">
        <v>72</v>
      </c>
      <c r="Z346" s="44">
        <v>197492.06</v>
      </c>
      <c r="AA346" s="42">
        <v>1</v>
      </c>
      <c r="AB346" s="48">
        <v>143.4</v>
      </c>
      <c r="AD346" s="44">
        <v>283.20400000000001</v>
      </c>
      <c r="AG346" t="s">
        <v>16</v>
      </c>
      <c r="AH346" s="45">
        <v>4.1300000000000001E-4</v>
      </c>
      <c r="AI346" s="45">
        <v>1.4550925360223701E-2</v>
      </c>
      <c r="AJ346" s="45">
        <v>1.8850390162276399E-3</v>
      </c>
    </row>
    <row r="347" spans="1:36" x14ac:dyDescent="0.25">
      <c r="A347">
        <v>424</v>
      </c>
      <c r="B347">
        <v>7229</v>
      </c>
      <c r="C347" t="s">
        <v>361</v>
      </c>
      <c r="D347" t="s">
        <v>362</v>
      </c>
      <c r="E347" t="s">
        <v>210</v>
      </c>
      <c r="F347" t="s">
        <v>363</v>
      </c>
      <c r="G347" t="s">
        <v>364</v>
      </c>
      <c r="H347" t="s">
        <v>213</v>
      </c>
      <c r="I347" t="s">
        <v>214</v>
      </c>
      <c r="J347" t="s">
        <v>71</v>
      </c>
      <c r="K347" t="s">
        <v>71</v>
      </c>
      <c r="L347" t="s">
        <v>216</v>
      </c>
      <c r="M347" t="s">
        <v>117</v>
      </c>
      <c r="N347" t="s">
        <v>365</v>
      </c>
      <c r="O347" t="s">
        <v>72</v>
      </c>
      <c r="P347" t="s">
        <v>73</v>
      </c>
      <c r="Q347" t="s">
        <v>74</v>
      </c>
      <c r="R347" t="s">
        <v>220</v>
      </c>
      <c r="S347" t="s">
        <v>81</v>
      </c>
      <c r="T347" s="44">
        <v>5.1459999999999999</v>
      </c>
      <c r="U347" t="s">
        <v>366</v>
      </c>
      <c r="V347" s="46">
        <v>2.47E-2</v>
      </c>
      <c r="W347" s="45">
        <v>2.6089999999999999E-2</v>
      </c>
      <c r="X347" t="s">
        <v>222</v>
      </c>
      <c r="Y347" t="s">
        <v>72</v>
      </c>
      <c r="Z347" s="44">
        <v>322068.11</v>
      </c>
      <c r="AA347" s="42">
        <v>1</v>
      </c>
      <c r="AB347" s="48">
        <v>101.3</v>
      </c>
      <c r="AD347" s="44">
        <v>326.255</v>
      </c>
      <c r="AG347" t="s">
        <v>16</v>
      </c>
      <c r="AH347" s="45">
        <v>1.2400000000000001E-4</v>
      </c>
      <c r="AI347" s="45">
        <v>1.6762893732816302E-2</v>
      </c>
      <c r="AJ347" s="45">
        <v>2.1715944470180899E-3</v>
      </c>
    </row>
    <row r="348" spans="1:36" x14ac:dyDescent="0.25">
      <c r="A348">
        <v>424</v>
      </c>
      <c r="B348">
        <v>7229</v>
      </c>
      <c r="C348" t="s">
        <v>367</v>
      </c>
      <c r="D348" t="s">
        <v>368</v>
      </c>
      <c r="E348" t="s">
        <v>210</v>
      </c>
      <c r="F348" t="s">
        <v>369</v>
      </c>
      <c r="G348" t="s">
        <v>370</v>
      </c>
      <c r="H348" t="s">
        <v>213</v>
      </c>
      <c r="I348" t="s">
        <v>214</v>
      </c>
      <c r="J348" t="s">
        <v>71</v>
      </c>
      <c r="K348" t="s">
        <v>71</v>
      </c>
      <c r="L348" t="s">
        <v>216</v>
      </c>
      <c r="M348" t="s">
        <v>117</v>
      </c>
      <c r="N348" t="s">
        <v>272</v>
      </c>
      <c r="O348" t="s">
        <v>72</v>
      </c>
      <c r="P348" t="s">
        <v>371</v>
      </c>
      <c r="Q348" t="s">
        <v>74</v>
      </c>
      <c r="R348" t="s">
        <v>220</v>
      </c>
      <c r="S348" t="s">
        <v>81</v>
      </c>
      <c r="T348" s="44">
        <v>0.751</v>
      </c>
      <c r="U348" t="s">
        <v>372</v>
      </c>
      <c r="V348" s="46">
        <v>4.9500000000000002E-2</v>
      </c>
      <c r="W348" s="45">
        <v>3.3649999999999999E-2</v>
      </c>
      <c r="X348" t="s">
        <v>222</v>
      </c>
      <c r="Y348" t="s">
        <v>373</v>
      </c>
      <c r="Z348" s="44">
        <v>0.12</v>
      </c>
      <c r="AA348" s="42">
        <v>1</v>
      </c>
      <c r="AB348" s="48">
        <v>142.91999999999999</v>
      </c>
      <c r="AD348" s="44">
        <v>0</v>
      </c>
      <c r="AG348" t="s">
        <v>16</v>
      </c>
      <c r="AH348" s="45">
        <v>0</v>
      </c>
      <c r="AI348" s="45">
        <v>8.8118292961732093E-9</v>
      </c>
      <c r="AJ348" s="45">
        <v>1.14155228045022E-9</v>
      </c>
    </row>
    <row r="349" spans="1:36" x14ac:dyDescent="0.25">
      <c r="A349">
        <v>424</v>
      </c>
      <c r="B349">
        <v>7229</v>
      </c>
      <c r="C349" t="s">
        <v>361</v>
      </c>
      <c r="D349" t="s">
        <v>362</v>
      </c>
      <c r="E349" t="s">
        <v>210</v>
      </c>
      <c r="F349" t="s">
        <v>374</v>
      </c>
      <c r="G349" t="s">
        <v>375</v>
      </c>
      <c r="H349" t="s">
        <v>213</v>
      </c>
      <c r="I349" t="s">
        <v>214</v>
      </c>
      <c r="J349" t="s">
        <v>71</v>
      </c>
      <c r="K349" t="s">
        <v>71</v>
      </c>
      <c r="L349" t="s">
        <v>216</v>
      </c>
      <c r="M349" t="s">
        <v>117</v>
      </c>
      <c r="N349" t="s">
        <v>365</v>
      </c>
      <c r="O349" t="s">
        <v>72</v>
      </c>
      <c r="P349" t="s">
        <v>228</v>
      </c>
      <c r="Q349" t="s">
        <v>74</v>
      </c>
      <c r="R349" t="s">
        <v>220</v>
      </c>
      <c r="S349" t="s">
        <v>81</v>
      </c>
      <c r="T349" s="44">
        <v>3.488</v>
      </c>
      <c r="U349" t="s">
        <v>376</v>
      </c>
      <c r="V349" s="46">
        <v>3.1699999999999999E-2</v>
      </c>
      <c r="W349" s="45">
        <v>3.0249999999999999E-2</v>
      </c>
      <c r="X349" t="s">
        <v>222</v>
      </c>
      <c r="Y349" t="s">
        <v>72</v>
      </c>
      <c r="Z349" s="44">
        <v>200000</v>
      </c>
      <c r="AA349" s="42">
        <v>1</v>
      </c>
      <c r="AB349" s="48">
        <v>108.94</v>
      </c>
      <c r="AD349" s="44">
        <v>217.88</v>
      </c>
      <c r="AG349" t="s">
        <v>16</v>
      </c>
      <c r="AH349" s="45">
        <v>2.3699999999999999E-4</v>
      </c>
      <c r="AI349" s="45">
        <v>1.1194615676895101E-2</v>
      </c>
      <c r="AJ349" s="45">
        <v>1.4502367925208299E-3</v>
      </c>
    </row>
    <row r="350" spans="1:36" x14ac:dyDescent="0.25">
      <c r="A350">
        <v>424</v>
      </c>
      <c r="B350">
        <v>7229</v>
      </c>
      <c r="C350" t="s">
        <v>377</v>
      </c>
      <c r="D350" t="s">
        <v>378</v>
      </c>
      <c r="E350" t="s">
        <v>210</v>
      </c>
      <c r="F350" t="s">
        <v>379</v>
      </c>
      <c r="G350" t="s">
        <v>380</v>
      </c>
      <c r="H350" t="s">
        <v>213</v>
      </c>
      <c r="I350" t="s">
        <v>214</v>
      </c>
      <c r="J350" t="s">
        <v>71</v>
      </c>
      <c r="K350" t="s">
        <v>71</v>
      </c>
      <c r="L350" t="s">
        <v>216</v>
      </c>
      <c r="M350" t="s">
        <v>117</v>
      </c>
      <c r="N350" t="s">
        <v>234</v>
      </c>
      <c r="O350" t="s">
        <v>72</v>
      </c>
      <c r="P350" t="s">
        <v>235</v>
      </c>
      <c r="Q350" t="s">
        <v>219</v>
      </c>
      <c r="R350" t="s">
        <v>220</v>
      </c>
      <c r="S350" t="s">
        <v>81</v>
      </c>
      <c r="T350" s="44">
        <v>3.448</v>
      </c>
      <c r="U350" t="s">
        <v>381</v>
      </c>
      <c r="V350" s="46">
        <v>1.7999999999999999E-2</v>
      </c>
      <c r="W350" s="45">
        <v>3.4950000000000002E-2</v>
      </c>
      <c r="X350" t="s">
        <v>222</v>
      </c>
      <c r="Y350" t="s">
        <v>72</v>
      </c>
      <c r="Z350" s="44">
        <v>109139.78</v>
      </c>
      <c r="AA350" s="42">
        <v>1</v>
      </c>
      <c r="AB350" s="48">
        <v>109.14</v>
      </c>
      <c r="AD350" s="44">
        <v>119.11499999999999</v>
      </c>
      <c r="AG350" t="s">
        <v>16</v>
      </c>
      <c r="AH350" s="45">
        <v>1.2400000000000001E-4</v>
      </c>
      <c r="AI350" s="45">
        <v>6.12010460576642E-3</v>
      </c>
      <c r="AJ350" s="45">
        <v>7.9284551873248104E-4</v>
      </c>
    </row>
    <row r="351" spans="1:36" x14ac:dyDescent="0.25">
      <c r="A351">
        <v>424</v>
      </c>
      <c r="B351">
        <v>7229</v>
      </c>
      <c r="C351" t="s">
        <v>377</v>
      </c>
      <c r="D351" t="s">
        <v>378</v>
      </c>
      <c r="E351" t="s">
        <v>210</v>
      </c>
      <c r="F351" t="s">
        <v>382</v>
      </c>
      <c r="G351" t="s">
        <v>383</v>
      </c>
      <c r="H351" t="s">
        <v>213</v>
      </c>
      <c r="I351" t="s">
        <v>214</v>
      </c>
      <c r="J351" t="s">
        <v>71</v>
      </c>
      <c r="K351" t="s">
        <v>71</v>
      </c>
      <c r="L351" t="s">
        <v>216</v>
      </c>
      <c r="M351" t="s">
        <v>117</v>
      </c>
      <c r="N351" t="s">
        <v>234</v>
      </c>
      <c r="O351" t="s">
        <v>72</v>
      </c>
      <c r="P351" t="s">
        <v>235</v>
      </c>
      <c r="Q351" t="s">
        <v>74</v>
      </c>
      <c r="R351" t="s">
        <v>220</v>
      </c>
      <c r="S351" t="s">
        <v>81</v>
      </c>
      <c r="T351" s="44">
        <v>5.7770000000000001</v>
      </c>
      <c r="U351" t="s">
        <v>384</v>
      </c>
      <c r="V351" s="46">
        <v>3.3000000000000002E-2</v>
      </c>
      <c r="W351" s="45">
        <v>3.7769999999999998E-2</v>
      </c>
      <c r="X351" t="s">
        <v>222</v>
      </c>
      <c r="Y351" t="s">
        <v>72</v>
      </c>
      <c r="Z351" s="44">
        <v>269100</v>
      </c>
      <c r="AA351" s="42">
        <v>1</v>
      </c>
      <c r="AB351" s="48">
        <v>104.23</v>
      </c>
      <c r="AD351" s="44">
        <v>280.483</v>
      </c>
      <c r="AG351" t="s">
        <v>16</v>
      </c>
      <c r="AH351" s="45">
        <v>2.2699999999999999E-4</v>
      </c>
      <c r="AI351" s="45">
        <v>1.44111373475283E-2</v>
      </c>
      <c r="AJ351" s="45">
        <v>1.8669297997064699E-3</v>
      </c>
    </row>
    <row r="352" spans="1:36" x14ac:dyDescent="0.25">
      <c r="A352">
        <v>424</v>
      </c>
      <c r="B352">
        <v>7229</v>
      </c>
      <c r="C352" t="s">
        <v>385</v>
      </c>
      <c r="D352" t="s">
        <v>386</v>
      </c>
      <c r="E352" t="s">
        <v>210</v>
      </c>
      <c r="F352" t="s">
        <v>387</v>
      </c>
      <c r="G352" t="s">
        <v>388</v>
      </c>
      <c r="H352" t="s">
        <v>213</v>
      </c>
      <c r="I352" t="s">
        <v>214</v>
      </c>
      <c r="J352" t="s">
        <v>71</v>
      </c>
      <c r="K352" t="s">
        <v>71</v>
      </c>
      <c r="L352" t="s">
        <v>216</v>
      </c>
      <c r="M352" t="s">
        <v>117</v>
      </c>
      <c r="N352" t="s">
        <v>258</v>
      </c>
      <c r="O352" t="s">
        <v>72</v>
      </c>
      <c r="P352" t="s">
        <v>235</v>
      </c>
      <c r="Q352" t="s">
        <v>74</v>
      </c>
      <c r="R352" t="s">
        <v>220</v>
      </c>
      <c r="S352" t="s">
        <v>81</v>
      </c>
      <c r="T352" s="44">
        <v>2.1389999999999998</v>
      </c>
      <c r="U352" t="s">
        <v>247</v>
      </c>
      <c r="V352" s="46">
        <v>3.6499999999999998E-2</v>
      </c>
      <c r="W352" s="45">
        <v>3.637E-2</v>
      </c>
      <c r="X352" t="s">
        <v>222</v>
      </c>
      <c r="Y352" t="s">
        <v>72</v>
      </c>
      <c r="Z352" s="44">
        <v>224000</v>
      </c>
      <c r="AA352" s="42">
        <v>1</v>
      </c>
      <c r="AB352" s="48">
        <v>108.36</v>
      </c>
      <c r="AD352" s="44">
        <v>242.726</v>
      </c>
      <c r="AG352" t="s">
        <v>16</v>
      </c>
      <c r="AH352" s="45">
        <v>8.5899999999999995E-4</v>
      </c>
      <c r="AI352" s="45">
        <v>1.24712170122834E-2</v>
      </c>
      <c r="AJ352" s="45">
        <v>1.6156175683685E-3</v>
      </c>
    </row>
    <row r="353" spans="1:36" x14ac:dyDescent="0.25">
      <c r="A353">
        <v>424</v>
      </c>
      <c r="B353">
        <v>7229</v>
      </c>
      <c r="C353" t="s">
        <v>385</v>
      </c>
      <c r="D353" t="s">
        <v>386</v>
      </c>
      <c r="E353" t="s">
        <v>210</v>
      </c>
      <c r="F353" t="s">
        <v>389</v>
      </c>
      <c r="G353" t="s">
        <v>390</v>
      </c>
      <c r="H353" t="s">
        <v>213</v>
      </c>
      <c r="I353" t="s">
        <v>214</v>
      </c>
      <c r="J353" t="s">
        <v>71</v>
      </c>
      <c r="K353" t="s">
        <v>71</v>
      </c>
      <c r="L353" t="s">
        <v>216</v>
      </c>
      <c r="M353" t="s">
        <v>117</v>
      </c>
      <c r="N353" t="s">
        <v>258</v>
      </c>
      <c r="O353" t="s">
        <v>72</v>
      </c>
      <c r="P353" t="s">
        <v>218</v>
      </c>
      <c r="Q353" t="s">
        <v>74</v>
      </c>
      <c r="R353" t="s">
        <v>220</v>
      </c>
      <c r="S353" t="s">
        <v>81</v>
      </c>
      <c r="T353" s="44">
        <v>2.492</v>
      </c>
      <c r="U353" t="s">
        <v>391</v>
      </c>
      <c r="V353" s="46">
        <v>1.7999999999999999E-2</v>
      </c>
      <c r="W353" s="45">
        <v>2.9749999999999999E-2</v>
      </c>
      <c r="X353" t="s">
        <v>222</v>
      </c>
      <c r="Y353" t="s">
        <v>72</v>
      </c>
      <c r="Z353" s="44">
        <v>126972.36</v>
      </c>
      <c r="AA353" s="42">
        <v>1</v>
      </c>
      <c r="AB353" s="48">
        <v>113.34</v>
      </c>
      <c r="AD353" s="44">
        <v>143.91</v>
      </c>
      <c r="AG353" t="s">
        <v>16</v>
      </c>
      <c r="AH353" s="45">
        <v>1.7200000000000001E-4</v>
      </c>
      <c r="AI353" s="45">
        <v>7.3940813068888297E-3</v>
      </c>
      <c r="AJ353" s="45">
        <v>9.5788627922909104E-4</v>
      </c>
    </row>
    <row r="354" spans="1:36" x14ac:dyDescent="0.25">
      <c r="A354">
        <v>424</v>
      </c>
      <c r="B354">
        <v>7229</v>
      </c>
      <c r="C354" t="s">
        <v>392</v>
      </c>
      <c r="D354" t="s">
        <v>393</v>
      </c>
      <c r="E354" t="s">
        <v>210</v>
      </c>
      <c r="F354" t="s">
        <v>394</v>
      </c>
      <c r="G354" t="s">
        <v>395</v>
      </c>
      <c r="H354" t="s">
        <v>213</v>
      </c>
      <c r="I354" t="s">
        <v>239</v>
      </c>
      <c r="J354" t="s">
        <v>71</v>
      </c>
      <c r="K354" t="s">
        <v>71</v>
      </c>
      <c r="L354" t="s">
        <v>216</v>
      </c>
      <c r="M354" t="s">
        <v>117</v>
      </c>
      <c r="N354" t="s">
        <v>252</v>
      </c>
      <c r="O354" t="s">
        <v>72</v>
      </c>
      <c r="P354" t="s">
        <v>228</v>
      </c>
      <c r="Q354" t="s">
        <v>74</v>
      </c>
      <c r="R354" t="s">
        <v>220</v>
      </c>
      <c r="S354" t="s">
        <v>81</v>
      </c>
      <c r="T354" s="44">
        <v>6.0570000000000004</v>
      </c>
      <c r="U354" t="s">
        <v>396</v>
      </c>
      <c r="V354" s="46">
        <v>3.0499999999999999E-2</v>
      </c>
      <c r="W354" s="45">
        <v>5.1069999999999997E-2</v>
      </c>
      <c r="X354" t="s">
        <v>222</v>
      </c>
      <c r="Y354" t="s">
        <v>72</v>
      </c>
      <c r="Z354" s="44">
        <v>166845</v>
      </c>
      <c r="AA354" s="42">
        <v>1</v>
      </c>
      <c r="AB354" s="48">
        <v>89.46</v>
      </c>
      <c r="AD354" s="44">
        <v>149.26</v>
      </c>
      <c r="AG354" t="s">
        <v>16</v>
      </c>
      <c r="AH354" s="45">
        <v>2.4399999999999999E-4</v>
      </c>
      <c r="AI354" s="45">
        <v>7.66891478256979E-3</v>
      </c>
      <c r="AJ354" s="45">
        <v>9.9349032583084503E-4</v>
      </c>
    </row>
    <row r="355" spans="1:36" x14ac:dyDescent="0.25">
      <c r="A355">
        <v>424</v>
      </c>
      <c r="B355">
        <v>7229</v>
      </c>
      <c r="C355" t="s">
        <v>397</v>
      </c>
      <c r="D355" t="s">
        <v>398</v>
      </c>
      <c r="E355" t="s">
        <v>210</v>
      </c>
      <c r="F355" t="s">
        <v>399</v>
      </c>
      <c r="G355" t="s">
        <v>400</v>
      </c>
      <c r="H355" t="s">
        <v>213</v>
      </c>
      <c r="I355" t="s">
        <v>214</v>
      </c>
      <c r="J355" t="s">
        <v>71</v>
      </c>
      <c r="L355" t="s">
        <v>216</v>
      </c>
      <c r="M355" t="s">
        <v>286</v>
      </c>
      <c r="N355" t="s">
        <v>258</v>
      </c>
      <c r="O355" t="s">
        <v>72</v>
      </c>
      <c r="P355" t="s">
        <v>218</v>
      </c>
      <c r="Q355" t="s">
        <v>219</v>
      </c>
      <c r="R355" t="s">
        <v>220</v>
      </c>
      <c r="S355" t="s">
        <v>81</v>
      </c>
      <c r="T355" s="44">
        <v>5.2880000000000003</v>
      </c>
      <c r="U355" t="s">
        <v>401</v>
      </c>
      <c r="V355" s="46">
        <v>3.1800000000000002E-2</v>
      </c>
      <c r="W355" s="45">
        <v>3.2190000000000003E-2</v>
      </c>
      <c r="X355" t="s">
        <v>222</v>
      </c>
      <c r="Y355" t="s">
        <v>72</v>
      </c>
      <c r="Z355" s="44">
        <v>210000</v>
      </c>
      <c r="AA355" s="42">
        <v>1</v>
      </c>
      <c r="AB355" s="48">
        <v>101.12</v>
      </c>
      <c r="AD355" s="44">
        <v>212.352</v>
      </c>
      <c r="AG355" t="s">
        <v>16</v>
      </c>
      <c r="AH355" s="45">
        <v>9.41E-4</v>
      </c>
      <c r="AI355" s="45">
        <v>1.09105885268039E-2</v>
      </c>
      <c r="AJ355" s="45">
        <v>1.41344172647964E-3</v>
      </c>
    </row>
    <row r="356" spans="1:36" x14ac:dyDescent="0.25">
      <c r="A356">
        <v>424</v>
      </c>
      <c r="B356">
        <v>7229</v>
      </c>
      <c r="C356" t="s">
        <v>402</v>
      </c>
      <c r="D356" t="s">
        <v>403</v>
      </c>
      <c r="E356" t="s">
        <v>210</v>
      </c>
      <c r="F356" t="s">
        <v>404</v>
      </c>
      <c r="G356" t="s">
        <v>405</v>
      </c>
      <c r="H356" t="s">
        <v>213</v>
      </c>
      <c r="I356" t="s">
        <v>214</v>
      </c>
      <c r="J356" t="s">
        <v>71</v>
      </c>
      <c r="K356" t="s">
        <v>71</v>
      </c>
      <c r="L356" t="s">
        <v>216</v>
      </c>
      <c r="M356" t="s">
        <v>117</v>
      </c>
      <c r="N356" t="s">
        <v>234</v>
      </c>
      <c r="O356" t="s">
        <v>72</v>
      </c>
      <c r="P356" t="s">
        <v>73</v>
      </c>
      <c r="Q356" t="s">
        <v>74</v>
      </c>
      <c r="R356" t="s">
        <v>220</v>
      </c>
      <c r="S356" t="s">
        <v>81</v>
      </c>
      <c r="T356" s="44">
        <v>0.90400000000000003</v>
      </c>
      <c r="U356" t="s">
        <v>406</v>
      </c>
      <c r="V356" s="46">
        <v>4.4999999999999998E-2</v>
      </c>
      <c r="W356" s="45">
        <v>2.3970000000000002E-2</v>
      </c>
      <c r="X356" t="s">
        <v>222</v>
      </c>
      <c r="Y356" t="s">
        <v>72</v>
      </c>
      <c r="Z356" s="44">
        <v>55145.5</v>
      </c>
      <c r="AA356" s="42">
        <v>1</v>
      </c>
      <c r="AB356" s="48">
        <v>119.86</v>
      </c>
      <c r="AD356" s="44">
        <v>66.096999999999994</v>
      </c>
      <c r="AG356" t="s">
        <v>16</v>
      </c>
      <c r="AH356" s="45">
        <v>3.6999999999999998E-5</v>
      </c>
      <c r="AI356" s="45">
        <v>3.3960664072972698E-3</v>
      </c>
      <c r="AJ356" s="45">
        <v>4.3995261613773802E-4</v>
      </c>
    </row>
    <row r="357" spans="1:36" x14ac:dyDescent="0.25">
      <c r="A357">
        <v>424</v>
      </c>
      <c r="B357">
        <v>7229</v>
      </c>
      <c r="C357" t="s">
        <v>402</v>
      </c>
      <c r="D357" t="s">
        <v>403</v>
      </c>
      <c r="E357" t="s">
        <v>210</v>
      </c>
      <c r="F357" t="s">
        <v>407</v>
      </c>
      <c r="G357" t="s">
        <v>408</v>
      </c>
      <c r="H357" t="s">
        <v>213</v>
      </c>
      <c r="I357" t="s">
        <v>214</v>
      </c>
      <c r="J357" t="s">
        <v>71</v>
      </c>
      <c r="K357" t="s">
        <v>71</v>
      </c>
      <c r="L357" t="s">
        <v>216</v>
      </c>
      <c r="M357" t="s">
        <v>117</v>
      </c>
      <c r="N357" t="s">
        <v>234</v>
      </c>
      <c r="O357" t="s">
        <v>72</v>
      </c>
      <c r="P357" t="s">
        <v>73</v>
      </c>
      <c r="Q357" t="s">
        <v>74</v>
      </c>
      <c r="R357" t="s">
        <v>220</v>
      </c>
      <c r="S357" t="s">
        <v>81</v>
      </c>
      <c r="T357" s="44">
        <v>7.2709999999999999</v>
      </c>
      <c r="U357" t="s">
        <v>409</v>
      </c>
      <c r="V357" s="46">
        <v>0.03</v>
      </c>
      <c r="W357" s="45">
        <v>2.9510000000000002E-2</v>
      </c>
      <c r="X357" t="s">
        <v>222</v>
      </c>
      <c r="Y357" t="s">
        <v>72</v>
      </c>
      <c r="Z357" s="44">
        <v>280000</v>
      </c>
      <c r="AA357" s="42">
        <v>1</v>
      </c>
      <c r="AB357" s="48">
        <v>106.29</v>
      </c>
      <c r="AD357" s="44">
        <v>297.61200000000002</v>
      </c>
      <c r="AG357" t="s">
        <v>16</v>
      </c>
      <c r="AH357" s="45">
        <v>6.8999999999999997E-5</v>
      </c>
      <c r="AI357" s="45">
        <v>1.5291224347494499E-2</v>
      </c>
      <c r="AJ357" s="45">
        <v>1.9809430525780701E-3</v>
      </c>
    </row>
    <row r="358" spans="1:36" x14ac:dyDescent="0.25">
      <c r="A358">
        <v>424</v>
      </c>
      <c r="B358">
        <v>7229</v>
      </c>
      <c r="C358" t="s">
        <v>402</v>
      </c>
      <c r="D358" t="s">
        <v>403</v>
      </c>
      <c r="E358" t="s">
        <v>210</v>
      </c>
      <c r="F358" t="s">
        <v>410</v>
      </c>
      <c r="G358" t="s">
        <v>411</v>
      </c>
      <c r="H358" t="s">
        <v>213</v>
      </c>
      <c r="I358" t="s">
        <v>214</v>
      </c>
      <c r="J358" t="s">
        <v>71</v>
      </c>
      <c r="K358" t="s">
        <v>71</v>
      </c>
      <c r="L358" t="s">
        <v>216</v>
      </c>
      <c r="M358" t="s">
        <v>117</v>
      </c>
      <c r="N358" t="s">
        <v>234</v>
      </c>
      <c r="O358" t="s">
        <v>72</v>
      </c>
      <c r="P358" t="s">
        <v>73</v>
      </c>
      <c r="Q358" t="s">
        <v>74</v>
      </c>
      <c r="R358" t="s">
        <v>220</v>
      </c>
      <c r="S358" t="s">
        <v>81</v>
      </c>
      <c r="T358" s="44">
        <v>10.119999999999999</v>
      </c>
      <c r="U358" t="s">
        <v>412</v>
      </c>
      <c r="V358" s="46">
        <v>3.2000000000000001E-2</v>
      </c>
      <c r="W358" s="45">
        <v>3.1019999999999999E-2</v>
      </c>
      <c r="X358" t="s">
        <v>222</v>
      </c>
      <c r="Y358" t="s">
        <v>72</v>
      </c>
      <c r="Z358" s="44">
        <v>280000</v>
      </c>
      <c r="AA358" s="42">
        <v>1</v>
      </c>
      <c r="AB358" s="48">
        <v>107.1</v>
      </c>
      <c r="AD358" s="44">
        <v>299.88</v>
      </c>
      <c r="AG358" t="s">
        <v>16</v>
      </c>
      <c r="AH358" s="45">
        <v>5.7000000000000003E-5</v>
      </c>
      <c r="AI358" s="45">
        <v>1.5407753576222301E-2</v>
      </c>
      <c r="AJ358" s="45">
        <v>1.9960391469668998E-3</v>
      </c>
    </row>
    <row r="359" spans="1:36" x14ac:dyDescent="0.25">
      <c r="A359">
        <v>424</v>
      </c>
      <c r="B359">
        <v>7229</v>
      </c>
      <c r="C359" t="s">
        <v>413</v>
      </c>
      <c r="D359" t="s">
        <v>414</v>
      </c>
      <c r="E359" t="s">
        <v>210</v>
      </c>
      <c r="F359" t="s">
        <v>415</v>
      </c>
      <c r="G359" t="s">
        <v>416</v>
      </c>
      <c r="H359" t="s">
        <v>213</v>
      </c>
      <c r="I359" t="s">
        <v>214</v>
      </c>
      <c r="J359" t="s">
        <v>71</v>
      </c>
      <c r="K359" t="s">
        <v>71</v>
      </c>
      <c r="L359" t="s">
        <v>216</v>
      </c>
      <c r="M359" t="s">
        <v>117</v>
      </c>
      <c r="N359" t="s">
        <v>365</v>
      </c>
      <c r="O359" t="s">
        <v>72</v>
      </c>
      <c r="P359" t="s">
        <v>228</v>
      </c>
      <c r="Q359" t="s">
        <v>74</v>
      </c>
      <c r="R359" t="s">
        <v>220</v>
      </c>
      <c r="S359" t="s">
        <v>81</v>
      </c>
      <c r="T359" s="44">
        <v>4.1260000000000003</v>
      </c>
      <c r="U359" t="s">
        <v>417</v>
      </c>
      <c r="V359" s="46">
        <v>2.5899999999999999E-2</v>
      </c>
      <c r="W359" s="45">
        <v>2.7740000000000001E-2</v>
      </c>
      <c r="X359" t="s">
        <v>222</v>
      </c>
      <c r="Y359" t="s">
        <v>72</v>
      </c>
      <c r="Z359" s="44">
        <v>327000</v>
      </c>
      <c r="AA359" s="42">
        <v>1</v>
      </c>
      <c r="AB359" s="48">
        <v>103.09</v>
      </c>
      <c r="AD359" s="44">
        <v>337.10399999999998</v>
      </c>
      <c r="AG359" t="s">
        <v>16</v>
      </c>
      <c r="AH359" s="45">
        <v>4.7899999999999999E-4</v>
      </c>
      <c r="AI359" s="45">
        <v>1.7320328077514002E-2</v>
      </c>
      <c r="AJ359" s="45">
        <v>2.2438087882181998E-3</v>
      </c>
    </row>
    <row r="360" spans="1:36" x14ac:dyDescent="0.25">
      <c r="A360">
        <v>424</v>
      </c>
      <c r="B360">
        <v>7229</v>
      </c>
      <c r="C360" t="s">
        <v>418</v>
      </c>
      <c r="D360" t="s">
        <v>419</v>
      </c>
      <c r="E360" t="s">
        <v>420</v>
      </c>
      <c r="F360" t="s">
        <v>421</v>
      </c>
      <c r="G360" t="s">
        <v>422</v>
      </c>
      <c r="H360" t="s">
        <v>213</v>
      </c>
      <c r="I360" t="s">
        <v>239</v>
      </c>
      <c r="J360" t="s">
        <v>71</v>
      </c>
      <c r="K360" t="s">
        <v>71</v>
      </c>
      <c r="L360" t="s">
        <v>216</v>
      </c>
      <c r="M360" t="s">
        <v>117</v>
      </c>
      <c r="N360" t="s">
        <v>423</v>
      </c>
      <c r="O360" t="s">
        <v>72</v>
      </c>
      <c r="P360" t="s">
        <v>259</v>
      </c>
      <c r="Q360" t="s">
        <v>74</v>
      </c>
      <c r="R360" t="s">
        <v>220</v>
      </c>
      <c r="S360" t="s">
        <v>81</v>
      </c>
      <c r="T360" s="44">
        <v>2.9729999999999999</v>
      </c>
      <c r="U360" t="s">
        <v>424</v>
      </c>
      <c r="V360" s="46">
        <v>2.24E-2</v>
      </c>
      <c r="W360" s="45">
        <v>4.9860000000000002E-2</v>
      </c>
      <c r="X360" t="s">
        <v>222</v>
      </c>
      <c r="Y360" t="s">
        <v>72</v>
      </c>
      <c r="Z360" s="44">
        <v>164945.46</v>
      </c>
      <c r="AA360" s="42">
        <v>1</v>
      </c>
      <c r="AB360" s="48">
        <v>93.35</v>
      </c>
      <c r="AD360" s="44">
        <v>153.977</v>
      </c>
      <c r="AG360" t="s">
        <v>16</v>
      </c>
      <c r="AH360" s="45">
        <v>2.9399999999999999E-4</v>
      </c>
      <c r="AI360" s="45">
        <v>7.9112755356044104E-3</v>
      </c>
      <c r="AJ360" s="45">
        <v>1.0248876056712999E-3</v>
      </c>
    </row>
    <row r="361" spans="1:36" x14ac:dyDescent="0.25">
      <c r="A361">
        <v>424</v>
      </c>
      <c r="B361">
        <v>7229</v>
      </c>
      <c r="C361" t="s">
        <v>425</v>
      </c>
      <c r="D361" t="s">
        <v>426</v>
      </c>
      <c r="E361" t="s">
        <v>210</v>
      </c>
      <c r="F361" t="s">
        <v>427</v>
      </c>
      <c r="G361" t="s">
        <v>428</v>
      </c>
      <c r="H361" t="s">
        <v>213</v>
      </c>
      <c r="I361" t="s">
        <v>239</v>
      </c>
      <c r="J361" t="s">
        <v>71</v>
      </c>
      <c r="K361" t="s">
        <v>71</v>
      </c>
      <c r="L361" t="s">
        <v>216</v>
      </c>
      <c r="M361" t="s">
        <v>117</v>
      </c>
      <c r="N361" t="s">
        <v>429</v>
      </c>
      <c r="O361" t="s">
        <v>72</v>
      </c>
      <c r="P361" t="s">
        <v>228</v>
      </c>
      <c r="Q361" t="s">
        <v>74</v>
      </c>
      <c r="R361" t="s">
        <v>220</v>
      </c>
      <c r="S361" t="s">
        <v>81</v>
      </c>
      <c r="T361" s="44">
        <v>7.415</v>
      </c>
      <c r="U361" t="s">
        <v>430</v>
      </c>
      <c r="V361" s="46">
        <v>5.3100000000000001E-2</v>
      </c>
      <c r="W361" s="45">
        <v>5.425E-2</v>
      </c>
      <c r="X361" t="s">
        <v>222</v>
      </c>
      <c r="Y361" t="s">
        <v>72</v>
      </c>
      <c r="Z361" s="44">
        <v>294997</v>
      </c>
      <c r="AA361" s="42">
        <v>1</v>
      </c>
      <c r="AB361" s="48">
        <v>100.54</v>
      </c>
      <c r="AD361" s="44">
        <v>296.58999999999997</v>
      </c>
      <c r="AG361" t="s">
        <v>16</v>
      </c>
      <c r="AH361" s="45">
        <v>2.32E-4</v>
      </c>
      <c r="AI361" s="45">
        <v>1.52387134305928E-2</v>
      </c>
      <c r="AJ361" s="45">
        <v>1.9741403836970699E-3</v>
      </c>
    </row>
    <row r="362" spans="1:36" x14ac:dyDescent="0.25">
      <c r="A362">
        <v>424</v>
      </c>
      <c r="B362">
        <v>7229</v>
      </c>
      <c r="C362" t="s">
        <v>82</v>
      </c>
      <c r="D362" t="s">
        <v>431</v>
      </c>
      <c r="E362" t="s">
        <v>210</v>
      </c>
      <c r="F362" t="s">
        <v>432</v>
      </c>
      <c r="G362" t="s">
        <v>433</v>
      </c>
      <c r="H362" t="s">
        <v>213</v>
      </c>
      <c r="I362" t="s">
        <v>214</v>
      </c>
      <c r="J362" t="s">
        <v>71</v>
      </c>
      <c r="K362" t="s">
        <v>71</v>
      </c>
      <c r="L362" t="s">
        <v>216</v>
      </c>
      <c r="M362" t="s">
        <v>117</v>
      </c>
      <c r="N362" t="s">
        <v>365</v>
      </c>
      <c r="O362" t="s">
        <v>72</v>
      </c>
      <c r="P362" t="s">
        <v>73</v>
      </c>
      <c r="Q362" t="s">
        <v>74</v>
      </c>
      <c r="R362" t="s">
        <v>220</v>
      </c>
      <c r="S362" t="s">
        <v>81</v>
      </c>
      <c r="T362" s="44">
        <v>1.238</v>
      </c>
      <c r="U362" t="s">
        <v>434</v>
      </c>
      <c r="V362" s="46">
        <v>8.3000000000000001E-3</v>
      </c>
      <c r="W362" s="45">
        <v>2.29E-2</v>
      </c>
      <c r="X362" t="s">
        <v>222</v>
      </c>
      <c r="Y362" t="s">
        <v>72</v>
      </c>
      <c r="Z362" s="44">
        <v>85685</v>
      </c>
      <c r="AA362" s="42">
        <v>1</v>
      </c>
      <c r="AB362" s="48">
        <v>114.23</v>
      </c>
      <c r="AD362" s="44">
        <v>97.878</v>
      </c>
      <c r="AG362" t="s">
        <v>16</v>
      </c>
      <c r="AH362" s="45">
        <v>5.5999999999999999E-5</v>
      </c>
      <c r="AI362" s="45">
        <v>5.0289440010788302E-3</v>
      </c>
      <c r="AJ362" s="45">
        <v>6.5148816434529397E-4</v>
      </c>
    </row>
    <row r="363" spans="1:36" x14ac:dyDescent="0.25">
      <c r="A363">
        <v>424</v>
      </c>
      <c r="B363">
        <v>7229</v>
      </c>
      <c r="C363" t="s">
        <v>82</v>
      </c>
      <c r="D363" t="s">
        <v>431</v>
      </c>
      <c r="E363" t="s">
        <v>210</v>
      </c>
      <c r="F363" t="s">
        <v>435</v>
      </c>
      <c r="G363" t="s">
        <v>436</v>
      </c>
      <c r="H363" t="s">
        <v>213</v>
      </c>
      <c r="I363" t="s">
        <v>214</v>
      </c>
      <c r="J363" t="s">
        <v>71</v>
      </c>
      <c r="K363" t="s">
        <v>71</v>
      </c>
      <c r="L363" t="s">
        <v>216</v>
      </c>
      <c r="M363" t="s">
        <v>117</v>
      </c>
      <c r="N363" t="s">
        <v>365</v>
      </c>
      <c r="O363" t="s">
        <v>72</v>
      </c>
      <c r="P363" t="s">
        <v>73</v>
      </c>
      <c r="Q363" t="s">
        <v>74</v>
      </c>
      <c r="R363" t="s">
        <v>220</v>
      </c>
      <c r="S363" t="s">
        <v>81</v>
      </c>
      <c r="T363" s="44">
        <v>4.5970000000000004</v>
      </c>
      <c r="U363" t="s">
        <v>437</v>
      </c>
      <c r="V363" s="46">
        <v>2.0199999999999999E-2</v>
      </c>
      <c r="W363" s="45">
        <v>2.5819999999999999E-2</v>
      </c>
      <c r="X363" t="s">
        <v>222</v>
      </c>
      <c r="Y363" t="s">
        <v>72</v>
      </c>
      <c r="Z363" s="44">
        <v>213000</v>
      </c>
      <c r="AA363" s="42">
        <v>1</v>
      </c>
      <c r="AB363" s="48">
        <v>101.85</v>
      </c>
      <c r="AD363" s="44">
        <v>216.94</v>
      </c>
      <c r="AG363" t="s">
        <v>16</v>
      </c>
      <c r="AH363" s="45">
        <v>6.0000000000000002E-5</v>
      </c>
      <c r="AI363" s="45">
        <v>1.11463444201095E-2</v>
      </c>
      <c r="AJ363" s="45">
        <v>1.44398336188666E-3</v>
      </c>
    </row>
    <row r="364" spans="1:36" x14ac:dyDescent="0.25">
      <c r="A364">
        <v>424</v>
      </c>
      <c r="B364">
        <v>7229</v>
      </c>
      <c r="C364" t="s">
        <v>82</v>
      </c>
      <c r="D364" t="s">
        <v>431</v>
      </c>
      <c r="E364" t="s">
        <v>210</v>
      </c>
      <c r="F364" t="s">
        <v>438</v>
      </c>
      <c r="G364" t="s">
        <v>439</v>
      </c>
      <c r="H364" t="s">
        <v>213</v>
      </c>
      <c r="I364" t="s">
        <v>214</v>
      </c>
      <c r="J364" t="s">
        <v>71</v>
      </c>
      <c r="K364" t="s">
        <v>71</v>
      </c>
      <c r="L364" t="s">
        <v>216</v>
      </c>
      <c r="M364" t="s">
        <v>117</v>
      </c>
      <c r="N364" t="s">
        <v>365</v>
      </c>
      <c r="O364" t="s">
        <v>72</v>
      </c>
      <c r="P364" t="s">
        <v>73</v>
      </c>
      <c r="Q364" t="s">
        <v>74</v>
      </c>
      <c r="R364" t="s">
        <v>220</v>
      </c>
      <c r="S364" t="s">
        <v>81</v>
      </c>
      <c r="T364" s="44">
        <v>4.6440000000000001</v>
      </c>
      <c r="U364" t="s">
        <v>440</v>
      </c>
      <c r="V364" s="46">
        <v>1E-3</v>
      </c>
      <c r="W364" s="45">
        <v>2.571E-2</v>
      </c>
      <c r="X364" t="s">
        <v>222</v>
      </c>
      <c r="Y364" t="s">
        <v>72</v>
      </c>
      <c r="Z364" s="44">
        <v>300000</v>
      </c>
      <c r="AA364" s="42">
        <v>1</v>
      </c>
      <c r="AB364" s="48">
        <v>100.7</v>
      </c>
      <c r="AD364" s="44">
        <v>302.10000000000002</v>
      </c>
      <c r="AG364" t="s">
        <v>16</v>
      </c>
      <c r="AH364" s="45">
        <v>1.21E-4</v>
      </c>
      <c r="AI364" s="45">
        <v>1.5521816577886999E-2</v>
      </c>
      <c r="AJ364" s="45">
        <v>2.0108157472945799E-3</v>
      </c>
    </row>
    <row r="365" spans="1:36" x14ac:dyDescent="0.25">
      <c r="A365">
        <v>424</v>
      </c>
      <c r="B365">
        <v>7229</v>
      </c>
      <c r="C365" t="s">
        <v>82</v>
      </c>
      <c r="D365" t="s">
        <v>431</v>
      </c>
      <c r="E365" t="s">
        <v>210</v>
      </c>
      <c r="F365" t="s">
        <v>441</v>
      </c>
      <c r="G365" t="s">
        <v>442</v>
      </c>
      <c r="H365" t="s">
        <v>213</v>
      </c>
      <c r="I365" t="s">
        <v>214</v>
      </c>
      <c r="J365" t="s">
        <v>71</v>
      </c>
      <c r="K365" t="s">
        <v>71</v>
      </c>
      <c r="L365" t="s">
        <v>216</v>
      </c>
      <c r="M365" t="s">
        <v>109</v>
      </c>
      <c r="N365" t="s">
        <v>365</v>
      </c>
      <c r="O365" t="s">
        <v>72</v>
      </c>
      <c r="P365" t="s">
        <v>228</v>
      </c>
      <c r="Q365" t="s">
        <v>74</v>
      </c>
      <c r="R365" t="s">
        <v>220</v>
      </c>
      <c r="S365" t="s">
        <v>81</v>
      </c>
      <c r="T365" s="44">
        <v>5.4809999999999999</v>
      </c>
      <c r="U365" t="s">
        <v>443</v>
      </c>
      <c r="V365" s="46">
        <v>3.1E-2</v>
      </c>
      <c r="W365" s="45">
        <v>3.1029999999999999E-2</v>
      </c>
      <c r="X365" t="s">
        <v>222</v>
      </c>
      <c r="Y365" t="s">
        <v>72</v>
      </c>
      <c r="Z365" s="44">
        <v>150000</v>
      </c>
      <c r="AA365" s="42">
        <v>1</v>
      </c>
      <c r="AB365" s="48">
        <v>100.81</v>
      </c>
      <c r="AD365" s="44">
        <v>151.215</v>
      </c>
      <c r="AG365" t="s">
        <v>16</v>
      </c>
      <c r="AH365" s="45">
        <v>9.7999999999999997E-5</v>
      </c>
      <c r="AI365" s="45">
        <v>7.7693859444726201E-3</v>
      </c>
      <c r="AJ365" s="45">
        <v>1.00650613448246E-3</v>
      </c>
    </row>
    <row r="366" spans="1:36" x14ac:dyDescent="0.25">
      <c r="A366">
        <v>424</v>
      </c>
      <c r="B366">
        <v>7229</v>
      </c>
      <c r="C366" t="s">
        <v>444</v>
      </c>
      <c r="D366" t="s">
        <v>445</v>
      </c>
      <c r="E366" t="s">
        <v>210</v>
      </c>
      <c r="F366" t="s">
        <v>446</v>
      </c>
      <c r="G366" t="s">
        <v>447</v>
      </c>
      <c r="H366" t="s">
        <v>213</v>
      </c>
      <c r="I366" t="s">
        <v>214</v>
      </c>
      <c r="J366" t="s">
        <v>71</v>
      </c>
      <c r="K366" t="s">
        <v>71</v>
      </c>
      <c r="L366" t="s">
        <v>216</v>
      </c>
      <c r="M366" t="s">
        <v>117</v>
      </c>
      <c r="N366" t="s">
        <v>258</v>
      </c>
      <c r="O366" t="s">
        <v>72</v>
      </c>
      <c r="P366" t="s">
        <v>259</v>
      </c>
      <c r="Q366" t="s">
        <v>74</v>
      </c>
      <c r="R366" t="s">
        <v>220</v>
      </c>
      <c r="S366" t="s">
        <v>81</v>
      </c>
      <c r="T366" s="44">
        <v>5.3559999999999999</v>
      </c>
      <c r="U366" t="s">
        <v>448</v>
      </c>
      <c r="V366" s="46">
        <v>3.5000000000000001E-3</v>
      </c>
      <c r="W366" s="45">
        <v>3.125E-2</v>
      </c>
      <c r="X366" t="s">
        <v>222</v>
      </c>
      <c r="Y366" t="s">
        <v>72</v>
      </c>
      <c r="Z366" s="44">
        <v>200000</v>
      </c>
      <c r="AA366" s="42">
        <v>1</v>
      </c>
      <c r="AB366" s="48">
        <v>97.32</v>
      </c>
      <c r="AD366" s="44">
        <v>194.64</v>
      </c>
      <c r="AG366" t="s">
        <v>16</v>
      </c>
      <c r="AH366" s="45">
        <v>5.7000000000000003E-5</v>
      </c>
      <c r="AI366" s="45">
        <v>1.00005507405492E-2</v>
      </c>
      <c r="AJ366" s="45">
        <v>1.29554841791929E-3</v>
      </c>
    </row>
    <row r="367" spans="1:36" x14ac:dyDescent="0.25">
      <c r="A367">
        <v>424</v>
      </c>
      <c r="B367">
        <v>7229</v>
      </c>
      <c r="C367" t="s">
        <v>449</v>
      </c>
      <c r="D367" t="s">
        <v>450</v>
      </c>
      <c r="E367" t="s">
        <v>210</v>
      </c>
      <c r="F367" t="s">
        <v>451</v>
      </c>
      <c r="G367" t="s">
        <v>452</v>
      </c>
      <c r="H367" t="s">
        <v>213</v>
      </c>
      <c r="I367" t="s">
        <v>239</v>
      </c>
      <c r="J367" t="s">
        <v>71</v>
      </c>
      <c r="K367" t="s">
        <v>71</v>
      </c>
      <c r="L367" t="s">
        <v>216</v>
      </c>
      <c r="M367" t="s">
        <v>109</v>
      </c>
      <c r="N367" t="s">
        <v>252</v>
      </c>
      <c r="O367" t="s">
        <v>72</v>
      </c>
      <c r="P367" t="s">
        <v>246</v>
      </c>
      <c r="Q367" t="s">
        <v>219</v>
      </c>
      <c r="R367" t="s">
        <v>220</v>
      </c>
      <c r="S367" t="s">
        <v>81</v>
      </c>
      <c r="T367" s="44">
        <v>6.867</v>
      </c>
      <c r="U367" t="s">
        <v>316</v>
      </c>
      <c r="V367" s="46">
        <v>6.0699999999999997E-2</v>
      </c>
      <c r="W367" s="45">
        <v>5.5280000000000003E-2</v>
      </c>
      <c r="X367" t="s">
        <v>222</v>
      </c>
      <c r="Y367" t="s">
        <v>72</v>
      </c>
      <c r="Z367" s="44">
        <v>142642</v>
      </c>
      <c r="AA367" s="42">
        <v>1</v>
      </c>
      <c r="AB367" s="48">
        <v>105.72</v>
      </c>
      <c r="AD367" s="44">
        <v>150.80099999999999</v>
      </c>
      <c r="AG367" t="s">
        <v>16</v>
      </c>
      <c r="AH367" s="45">
        <v>3.1500000000000001E-4</v>
      </c>
      <c r="AI367" s="45">
        <v>7.7481210249330801E-3</v>
      </c>
      <c r="AJ367" s="45">
        <v>1.0037513129149899E-3</v>
      </c>
    </row>
    <row r="368" spans="1:36" x14ac:dyDescent="0.25">
      <c r="A368">
        <v>424</v>
      </c>
      <c r="B368">
        <v>7229</v>
      </c>
      <c r="C368" t="s">
        <v>449</v>
      </c>
      <c r="D368" t="s">
        <v>450</v>
      </c>
      <c r="E368" t="s">
        <v>210</v>
      </c>
      <c r="F368" t="s">
        <v>668</v>
      </c>
      <c r="G368" t="s">
        <v>669</v>
      </c>
      <c r="H368" t="s">
        <v>213</v>
      </c>
      <c r="I368" t="s">
        <v>239</v>
      </c>
      <c r="J368" t="s">
        <v>71</v>
      </c>
      <c r="K368" t="s">
        <v>71</v>
      </c>
      <c r="L368" t="s">
        <v>216</v>
      </c>
      <c r="M368" t="s">
        <v>117</v>
      </c>
      <c r="N368" t="s">
        <v>252</v>
      </c>
      <c r="O368" t="s">
        <v>72</v>
      </c>
      <c r="P368" t="s">
        <v>246</v>
      </c>
      <c r="Q368" t="s">
        <v>219</v>
      </c>
      <c r="R368" t="s">
        <v>220</v>
      </c>
      <c r="S368" t="s">
        <v>81</v>
      </c>
      <c r="T368" s="44">
        <v>1.7110000000000001</v>
      </c>
      <c r="U368" t="s">
        <v>667</v>
      </c>
      <c r="V368" s="46">
        <v>4.1000000000000002E-2</v>
      </c>
      <c r="W368" s="45">
        <v>5.1610000000000003E-2</v>
      </c>
      <c r="X368" t="s">
        <v>222</v>
      </c>
      <c r="Y368" t="s">
        <v>72</v>
      </c>
      <c r="Z368" s="44">
        <v>200000</v>
      </c>
      <c r="AA368" s="42">
        <v>1</v>
      </c>
      <c r="AB368" s="48">
        <v>99.27</v>
      </c>
      <c r="AD368" s="44">
        <v>198.54</v>
      </c>
      <c r="AG368" t="s">
        <v>16</v>
      </c>
      <c r="AH368" s="45">
        <v>2.7999999999999998E-4</v>
      </c>
      <c r="AI368" s="45">
        <v>1.02009316894197E-2</v>
      </c>
      <c r="AJ368" s="45">
        <v>1.3215073103868501E-3</v>
      </c>
    </row>
    <row r="369" spans="1:36" x14ac:dyDescent="0.25">
      <c r="A369">
        <v>424</v>
      </c>
      <c r="B369">
        <v>7229</v>
      </c>
      <c r="C369" t="s">
        <v>449</v>
      </c>
      <c r="D369" t="s">
        <v>450</v>
      </c>
      <c r="E369" t="s">
        <v>210</v>
      </c>
      <c r="F369" t="s">
        <v>455</v>
      </c>
      <c r="G369" t="s">
        <v>456</v>
      </c>
      <c r="H369" t="s">
        <v>213</v>
      </c>
      <c r="I369" t="s">
        <v>239</v>
      </c>
      <c r="J369" t="s">
        <v>71</v>
      </c>
      <c r="K369" t="s">
        <v>71</v>
      </c>
      <c r="L369" t="s">
        <v>216</v>
      </c>
      <c r="M369" t="s">
        <v>109</v>
      </c>
      <c r="N369" t="s">
        <v>252</v>
      </c>
      <c r="O369" t="s">
        <v>72</v>
      </c>
      <c r="P369" t="s">
        <v>246</v>
      </c>
      <c r="Q369" t="s">
        <v>74</v>
      </c>
      <c r="R369" t="s">
        <v>220</v>
      </c>
      <c r="S369" t="s">
        <v>81</v>
      </c>
      <c r="T369" s="44">
        <v>6.2469999999999999</v>
      </c>
      <c r="U369" t="s">
        <v>457</v>
      </c>
      <c r="V369" s="46">
        <v>6.0699999999999997E-2</v>
      </c>
      <c r="W369" s="45">
        <v>5.457E-2</v>
      </c>
      <c r="X369" t="s">
        <v>222</v>
      </c>
      <c r="Y369" t="s">
        <v>72</v>
      </c>
      <c r="Z369" s="44">
        <v>141724</v>
      </c>
      <c r="AA369" s="42">
        <v>1</v>
      </c>
      <c r="AB369" s="48">
        <v>105.78</v>
      </c>
      <c r="AD369" s="44">
        <v>149.916</v>
      </c>
      <c r="AG369" t="s">
        <v>16</v>
      </c>
      <c r="AH369" s="45">
        <v>3.1300000000000002E-4</v>
      </c>
      <c r="AI369" s="45">
        <v>7.7026255478107103E-3</v>
      </c>
      <c r="AJ369" s="45">
        <v>9.9785747817152906E-4</v>
      </c>
    </row>
    <row r="370" spans="1:36" x14ac:dyDescent="0.25">
      <c r="A370">
        <v>424</v>
      </c>
      <c r="B370">
        <v>7229</v>
      </c>
      <c r="C370" t="s">
        <v>458</v>
      </c>
      <c r="D370" t="s">
        <v>459</v>
      </c>
      <c r="E370" t="s">
        <v>210</v>
      </c>
      <c r="F370" t="s">
        <v>460</v>
      </c>
      <c r="G370" t="s">
        <v>461</v>
      </c>
      <c r="H370" t="s">
        <v>213</v>
      </c>
      <c r="I370" t="s">
        <v>239</v>
      </c>
      <c r="J370" t="s">
        <v>71</v>
      </c>
      <c r="K370" t="s">
        <v>71</v>
      </c>
      <c r="L370" t="s">
        <v>216</v>
      </c>
      <c r="M370" t="s">
        <v>117</v>
      </c>
      <c r="N370" t="s">
        <v>258</v>
      </c>
      <c r="O370" t="s">
        <v>72</v>
      </c>
      <c r="P370" t="s">
        <v>218</v>
      </c>
      <c r="Q370" t="s">
        <v>219</v>
      </c>
      <c r="R370" t="s">
        <v>220</v>
      </c>
      <c r="S370" t="s">
        <v>81</v>
      </c>
      <c r="T370" s="44">
        <v>4.9870000000000001</v>
      </c>
      <c r="U370" t="s">
        <v>401</v>
      </c>
      <c r="V370" s="46">
        <v>5.4800000000000001E-2</v>
      </c>
      <c r="W370" s="45">
        <v>5.3800000000000001E-2</v>
      </c>
      <c r="X370" t="s">
        <v>222</v>
      </c>
      <c r="Y370" t="s">
        <v>72</v>
      </c>
      <c r="Z370" s="44">
        <v>223000</v>
      </c>
      <c r="AA370" s="42">
        <v>1</v>
      </c>
      <c r="AB370" s="48">
        <v>102.2</v>
      </c>
      <c r="AD370" s="44">
        <v>227.90600000000001</v>
      </c>
      <c r="AG370" t="s">
        <v>16</v>
      </c>
      <c r="AH370" s="45">
        <v>7.4299999999999995E-4</v>
      </c>
      <c r="AI370" s="45">
        <v>1.1709748854683601E-2</v>
      </c>
      <c r="AJ370" s="45">
        <v>1.5169711145412699E-3</v>
      </c>
    </row>
    <row r="371" spans="1:36" x14ac:dyDescent="0.25">
      <c r="A371">
        <v>424</v>
      </c>
      <c r="B371">
        <v>7229</v>
      </c>
      <c r="C371" t="s">
        <v>458</v>
      </c>
      <c r="D371" t="s">
        <v>459</v>
      </c>
      <c r="E371" t="s">
        <v>210</v>
      </c>
      <c r="F371" t="s">
        <v>462</v>
      </c>
      <c r="G371" t="s">
        <v>463</v>
      </c>
      <c r="H371" t="s">
        <v>213</v>
      </c>
      <c r="I371" t="s">
        <v>239</v>
      </c>
      <c r="J371" t="s">
        <v>71</v>
      </c>
      <c r="K371" t="s">
        <v>71</v>
      </c>
      <c r="L371" t="s">
        <v>216</v>
      </c>
      <c r="M371" t="s">
        <v>286</v>
      </c>
      <c r="N371" t="s">
        <v>258</v>
      </c>
      <c r="O371" t="s">
        <v>72</v>
      </c>
      <c r="P371" t="s">
        <v>218</v>
      </c>
      <c r="Q371" t="s">
        <v>219</v>
      </c>
      <c r="R371" t="s">
        <v>220</v>
      </c>
      <c r="S371" t="s">
        <v>81</v>
      </c>
      <c r="T371" s="44">
        <v>6.6580000000000004</v>
      </c>
      <c r="U371" t="s">
        <v>354</v>
      </c>
      <c r="V371" s="46">
        <v>5.2900000000000003E-2</v>
      </c>
      <c r="W371" s="45">
        <v>5.527E-2</v>
      </c>
      <c r="X371" t="s">
        <v>222</v>
      </c>
      <c r="Y371" t="s">
        <v>72</v>
      </c>
      <c r="Z371" s="44">
        <v>224000</v>
      </c>
      <c r="AA371" s="42">
        <v>1</v>
      </c>
      <c r="AB371" s="48">
        <v>99.53</v>
      </c>
      <c r="AD371" s="44">
        <v>222.947</v>
      </c>
      <c r="AG371" t="s">
        <v>16</v>
      </c>
      <c r="AH371" s="45">
        <v>1.1199999999999999E-3</v>
      </c>
      <c r="AI371" s="45">
        <v>1.14549670471813E-2</v>
      </c>
      <c r="AJ371" s="45">
        <v>1.48396471557509E-3</v>
      </c>
    </row>
    <row r="372" spans="1:36" x14ac:dyDescent="0.25">
      <c r="A372">
        <v>424</v>
      </c>
      <c r="B372">
        <v>7229</v>
      </c>
      <c r="C372" t="s">
        <v>464</v>
      </c>
      <c r="D372" t="s">
        <v>465</v>
      </c>
      <c r="E372" t="s">
        <v>210</v>
      </c>
      <c r="F372" t="s">
        <v>466</v>
      </c>
      <c r="G372" t="s">
        <v>467</v>
      </c>
      <c r="H372" t="s">
        <v>213</v>
      </c>
      <c r="I372" t="s">
        <v>214</v>
      </c>
      <c r="J372" t="s">
        <v>71</v>
      </c>
      <c r="K372" t="s">
        <v>71</v>
      </c>
      <c r="L372" t="s">
        <v>216</v>
      </c>
      <c r="M372" t="s">
        <v>117</v>
      </c>
      <c r="N372" t="s">
        <v>258</v>
      </c>
      <c r="O372" t="s">
        <v>72</v>
      </c>
      <c r="P372" t="s">
        <v>246</v>
      </c>
      <c r="Q372" t="s">
        <v>74</v>
      </c>
      <c r="R372" t="s">
        <v>220</v>
      </c>
      <c r="S372" t="s">
        <v>81</v>
      </c>
      <c r="T372" s="44">
        <v>5.3570000000000002</v>
      </c>
      <c r="U372" t="s">
        <v>468</v>
      </c>
      <c r="V372" s="46">
        <v>9.7000000000000003E-3</v>
      </c>
      <c r="W372" s="45">
        <v>3.3239999999999999E-2</v>
      </c>
      <c r="X372" t="s">
        <v>222</v>
      </c>
      <c r="Y372" t="s">
        <v>72</v>
      </c>
      <c r="Z372" s="44">
        <v>213529.41</v>
      </c>
      <c r="AA372" s="42">
        <v>1</v>
      </c>
      <c r="AB372" s="48">
        <v>100.61</v>
      </c>
      <c r="AD372" s="44">
        <v>214.83199999999999</v>
      </c>
      <c r="AG372" t="s">
        <v>16</v>
      </c>
      <c r="AH372" s="45">
        <v>3.5500000000000001E-4</v>
      </c>
      <c r="AI372" s="45">
        <v>1.1038007144833E-2</v>
      </c>
      <c r="AJ372" s="45">
        <v>1.4299485162839001E-3</v>
      </c>
    </row>
    <row r="373" spans="1:36" x14ac:dyDescent="0.25">
      <c r="A373">
        <v>424</v>
      </c>
      <c r="B373">
        <v>7229</v>
      </c>
      <c r="C373" t="s">
        <v>469</v>
      </c>
      <c r="D373" t="s">
        <v>470</v>
      </c>
      <c r="E373" t="s">
        <v>210</v>
      </c>
      <c r="F373" t="s">
        <v>471</v>
      </c>
      <c r="G373" t="s">
        <v>472</v>
      </c>
      <c r="H373" t="s">
        <v>213</v>
      </c>
      <c r="I373" t="s">
        <v>214</v>
      </c>
      <c r="J373" t="s">
        <v>71</v>
      </c>
      <c r="K373" t="s">
        <v>71</v>
      </c>
      <c r="L373" t="s">
        <v>216</v>
      </c>
      <c r="M373" t="s">
        <v>117</v>
      </c>
      <c r="N373" t="s">
        <v>365</v>
      </c>
      <c r="O373" t="s">
        <v>72</v>
      </c>
      <c r="P373" t="s">
        <v>73</v>
      </c>
      <c r="Q373" t="s">
        <v>74</v>
      </c>
      <c r="R373" t="s">
        <v>220</v>
      </c>
      <c r="S373" t="s">
        <v>81</v>
      </c>
      <c r="T373" s="44">
        <v>5.22</v>
      </c>
      <c r="U373" t="s">
        <v>473</v>
      </c>
      <c r="V373" s="46">
        <v>2E-3</v>
      </c>
      <c r="W373" s="45">
        <v>2.606E-2</v>
      </c>
      <c r="X373" t="s">
        <v>222</v>
      </c>
      <c r="Y373" t="s">
        <v>72</v>
      </c>
      <c r="Z373" s="44">
        <v>143000</v>
      </c>
      <c r="AA373" s="42">
        <v>1</v>
      </c>
      <c r="AB373" s="48">
        <v>102.35</v>
      </c>
      <c r="AD373" s="44">
        <v>146.36099999999999</v>
      </c>
      <c r="AG373" t="s">
        <v>16</v>
      </c>
      <c r="AH373" s="45">
        <v>4.1E-5</v>
      </c>
      <c r="AI373" s="45">
        <v>7.5199630428594098E-3</v>
      </c>
      <c r="AJ373" s="45">
        <v>9.7419396948662297E-4</v>
      </c>
    </row>
    <row r="374" spans="1:36" x14ac:dyDescent="0.25">
      <c r="A374">
        <v>424</v>
      </c>
      <c r="B374">
        <v>7229</v>
      </c>
      <c r="C374" t="s">
        <v>469</v>
      </c>
      <c r="D374" t="s">
        <v>470</v>
      </c>
      <c r="E374" t="s">
        <v>210</v>
      </c>
      <c r="F374" t="s">
        <v>474</v>
      </c>
      <c r="G374" t="s">
        <v>475</v>
      </c>
      <c r="H374" t="s">
        <v>213</v>
      </c>
      <c r="I374" t="s">
        <v>214</v>
      </c>
      <c r="J374" t="s">
        <v>71</v>
      </c>
      <c r="K374" t="s">
        <v>71</v>
      </c>
      <c r="L374" t="s">
        <v>216</v>
      </c>
      <c r="M374" t="s">
        <v>117</v>
      </c>
      <c r="N374" t="s">
        <v>365</v>
      </c>
      <c r="O374" t="s">
        <v>72</v>
      </c>
      <c r="P374" t="s">
        <v>228</v>
      </c>
      <c r="Q374" t="s">
        <v>74</v>
      </c>
      <c r="R374" t="s">
        <v>220</v>
      </c>
      <c r="S374" t="s">
        <v>81</v>
      </c>
      <c r="T374" s="44">
        <v>3.9239999999999999</v>
      </c>
      <c r="U374" t="s">
        <v>476</v>
      </c>
      <c r="V374" s="46">
        <v>3.3599999999999998E-2</v>
      </c>
      <c r="W374" s="45">
        <v>3.0030000000000001E-2</v>
      </c>
      <c r="X374" t="s">
        <v>222</v>
      </c>
      <c r="Y374" t="s">
        <v>72</v>
      </c>
      <c r="Z374" s="44">
        <v>200000</v>
      </c>
      <c r="AA374" s="42">
        <v>1</v>
      </c>
      <c r="AB374" s="48">
        <v>107.83</v>
      </c>
      <c r="AD374" s="44">
        <v>215.66</v>
      </c>
      <c r="AG374" t="s">
        <v>16</v>
      </c>
      <c r="AH374" s="45">
        <v>1.7100000000000001E-4</v>
      </c>
      <c r="AI374" s="45">
        <v>1.10805526752304E-2</v>
      </c>
      <c r="AJ374" s="45">
        <v>1.43546019219315E-3</v>
      </c>
    </row>
    <row r="375" spans="1:36" x14ac:dyDescent="0.25">
      <c r="A375">
        <v>424</v>
      </c>
      <c r="B375">
        <v>7229</v>
      </c>
      <c r="C375" t="s">
        <v>469</v>
      </c>
      <c r="D375" t="s">
        <v>470</v>
      </c>
      <c r="E375" t="s">
        <v>210</v>
      </c>
      <c r="F375" t="s">
        <v>477</v>
      </c>
      <c r="G375" t="s">
        <v>478</v>
      </c>
      <c r="H375" t="s">
        <v>213</v>
      </c>
      <c r="I375" t="s">
        <v>214</v>
      </c>
      <c r="J375" t="s">
        <v>71</v>
      </c>
      <c r="K375" t="s">
        <v>71</v>
      </c>
      <c r="L375" t="s">
        <v>216</v>
      </c>
      <c r="M375" t="s">
        <v>117</v>
      </c>
      <c r="N375" t="s">
        <v>365</v>
      </c>
      <c r="O375" t="s">
        <v>72</v>
      </c>
      <c r="P375" t="s">
        <v>228</v>
      </c>
      <c r="Q375" t="s">
        <v>74</v>
      </c>
      <c r="R375" t="s">
        <v>220</v>
      </c>
      <c r="S375" t="s">
        <v>81</v>
      </c>
      <c r="T375" s="44">
        <v>5.1970000000000001</v>
      </c>
      <c r="U375" t="s">
        <v>479</v>
      </c>
      <c r="V375" s="46">
        <v>3.3500000000000002E-2</v>
      </c>
      <c r="W375" s="45">
        <v>3.1109999999999999E-2</v>
      </c>
      <c r="X375" t="s">
        <v>222</v>
      </c>
      <c r="Y375" t="s">
        <v>72</v>
      </c>
      <c r="Z375" s="44">
        <v>210000</v>
      </c>
      <c r="AA375" s="42">
        <v>1</v>
      </c>
      <c r="AB375" s="48">
        <v>102.42</v>
      </c>
      <c r="AD375" s="44">
        <v>215.08199999999999</v>
      </c>
      <c r="AG375" t="s">
        <v>16</v>
      </c>
      <c r="AH375" s="45">
        <v>2.4699999999999999E-4</v>
      </c>
      <c r="AI375" s="45">
        <v>1.10508551910132E-2</v>
      </c>
      <c r="AJ375" s="45">
        <v>1.4316129512069299E-3</v>
      </c>
    </row>
    <row r="376" spans="1:36" x14ac:dyDescent="0.25">
      <c r="A376">
        <v>424</v>
      </c>
      <c r="B376">
        <v>7229</v>
      </c>
      <c r="C376" t="s">
        <v>469</v>
      </c>
      <c r="D376" t="s">
        <v>470</v>
      </c>
      <c r="E376" t="s">
        <v>210</v>
      </c>
      <c r="F376" t="s">
        <v>480</v>
      </c>
      <c r="G376" t="s">
        <v>481</v>
      </c>
      <c r="H376" t="s">
        <v>213</v>
      </c>
      <c r="I376" t="s">
        <v>214</v>
      </c>
      <c r="J376" t="s">
        <v>71</v>
      </c>
      <c r="K376" t="s">
        <v>71</v>
      </c>
      <c r="L376" t="s">
        <v>216</v>
      </c>
      <c r="M376" t="s">
        <v>117</v>
      </c>
      <c r="N376" t="s">
        <v>365</v>
      </c>
      <c r="O376" t="s">
        <v>72</v>
      </c>
      <c r="P376" t="s">
        <v>73</v>
      </c>
      <c r="Q376" t="s">
        <v>74</v>
      </c>
      <c r="R376" t="s">
        <v>220</v>
      </c>
      <c r="S376" t="s">
        <v>81</v>
      </c>
      <c r="T376" s="44">
        <v>4.8879999999999999</v>
      </c>
      <c r="U376" t="s">
        <v>482</v>
      </c>
      <c r="V376" s="46">
        <v>2.2013000000000001E-2</v>
      </c>
      <c r="W376" s="45">
        <v>2.606E-2</v>
      </c>
      <c r="X376" t="s">
        <v>222</v>
      </c>
      <c r="Y376" t="s">
        <v>72</v>
      </c>
      <c r="Z376" s="44">
        <v>300000</v>
      </c>
      <c r="AA376" s="42">
        <v>1</v>
      </c>
      <c r="AB376" s="48">
        <v>118.7</v>
      </c>
      <c r="AD376" s="44">
        <v>356.1</v>
      </c>
      <c r="AG376" t="s">
        <v>16</v>
      </c>
      <c r="AH376" s="45">
        <v>4.2700000000000002E-4</v>
      </c>
      <c r="AI376" s="45">
        <v>1.82963220237853E-2</v>
      </c>
      <c r="AJ376" s="45">
        <v>2.3702465660761399E-3</v>
      </c>
    </row>
    <row r="377" spans="1:36" x14ac:dyDescent="0.25">
      <c r="A377">
        <v>424</v>
      </c>
      <c r="B377">
        <v>7229</v>
      </c>
      <c r="C377" t="s">
        <v>483</v>
      </c>
      <c r="D377" t="s">
        <v>484</v>
      </c>
      <c r="E377" t="s">
        <v>210</v>
      </c>
      <c r="F377" t="s">
        <v>485</v>
      </c>
      <c r="G377" t="s">
        <v>486</v>
      </c>
      <c r="H377" t="s">
        <v>213</v>
      </c>
      <c r="I377" t="s">
        <v>214</v>
      </c>
      <c r="J377" t="s">
        <v>71</v>
      </c>
      <c r="K377" t="s">
        <v>71</v>
      </c>
      <c r="L377" t="s">
        <v>216</v>
      </c>
      <c r="M377" t="s">
        <v>117</v>
      </c>
      <c r="N377" t="s">
        <v>258</v>
      </c>
      <c r="O377" t="s">
        <v>72</v>
      </c>
      <c r="P377" t="s">
        <v>259</v>
      </c>
      <c r="Q377" t="s">
        <v>74</v>
      </c>
      <c r="R377" t="s">
        <v>220</v>
      </c>
      <c r="S377" t="s">
        <v>81</v>
      </c>
      <c r="T377" s="44">
        <v>5.726</v>
      </c>
      <c r="U377" t="s">
        <v>487</v>
      </c>
      <c r="V377" s="46">
        <v>3.61E-2</v>
      </c>
      <c r="W377" s="45">
        <v>3.0759999999999999E-2</v>
      </c>
      <c r="X377" t="s">
        <v>222</v>
      </c>
      <c r="Y377" t="s">
        <v>72</v>
      </c>
      <c r="Z377" s="44">
        <v>318176.15000000002</v>
      </c>
      <c r="AA377" s="42">
        <v>1</v>
      </c>
      <c r="AB377" s="48">
        <v>110.37</v>
      </c>
      <c r="AD377" s="44">
        <v>351.17099999999999</v>
      </c>
      <c r="AG377" t="s">
        <v>16</v>
      </c>
      <c r="AH377" s="45">
        <v>2.02E-4</v>
      </c>
      <c r="AI377" s="45">
        <v>1.8043072193118799E-2</v>
      </c>
      <c r="AJ377" s="45">
        <v>2.3374386311962999E-3</v>
      </c>
    </row>
    <row r="378" spans="1:36" x14ac:dyDescent="0.25">
      <c r="A378">
        <v>424</v>
      </c>
      <c r="B378">
        <v>7229</v>
      </c>
      <c r="C378" t="s">
        <v>722</v>
      </c>
      <c r="D378" t="s">
        <v>723</v>
      </c>
      <c r="E378" t="s">
        <v>210</v>
      </c>
      <c r="F378" t="s">
        <v>724</v>
      </c>
      <c r="G378" t="s">
        <v>725</v>
      </c>
      <c r="H378" t="s">
        <v>213</v>
      </c>
      <c r="I378" t="s">
        <v>214</v>
      </c>
      <c r="J378" t="s">
        <v>71</v>
      </c>
      <c r="K378" t="s">
        <v>71</v>
      </c>
      <c r="L378" t="s">
        <v>216</v>
      </c>
      <c r="M378" t="s">
        <v>117</v>
      </c>
      <c r="N378" t="s">
        <v>258</v>
      </c>
      <c r="O378" t="s">
        <v>72</v>
      </c>
      <c r="P378" t="s">
        <v>228</v>
      </c>
      <c r="Q378" t="s">
        <v>219</v>
      </c>
      <c r="R378" t="s">
        <v>220</v>
      </c>
      <c r="S378" t="s">
        <v>81</v>
      </c>
      <c r="T378" s="44">
        <v>2.4729999999999999</v>
      </c>
      <c r="U378" t="s">
        <v>391</v>
      </c>
      <c r="V378" s="46">
        <v>2.75E-2</v>
      </c>
      <c r="W378" s="45">
        <v>2.7349999999999999E-2</v>
      </c>
      <c r="X378" t="s">
        <v>222</v>
      </c>
      <c r="Y378" t="s">
        <v>72</v>
      </c>
      <c r="Z378" s="44">
        <v>160000</v>
      </c>
      <c r="AA378" s="42">
        <v>1</v>
      </c>
      <c r="AB378" s="48">
        <v>115.76</v>
      </c>
      <c r="AD378" s="44">
        <v>185.21600000000001</v>
      </c>
      <c r="AG378" t="s">
        <v>16</v>
      </c>
      <c r="AH378" s="45">
        <v>3.1399999999999999E-4</v>
      </c>
      <c r="AI378" s="45">
        <v>9.5163481605094798E-3</v>
      </c>
      <c r="AJ378" s="45">
        <v>1.2328210839156399E-3</v>
      </c>
    </row>
    <row r="379" spans="1:36" x14ac:dyDescent="0.25">
      <c r="A379">
        <v>424</v>
      </c>
      <c r="B379">
        <v>7229</v>
      </c>
      <c r="C379" t="s">
        <v>494</v>
      </c>
      <c r="D379" t="s">
        <v>495</v>
      </c>
      <c r="E379" t="s">
        <v>210</v>
      </c>
      <c r="F379" t="s">
        <v>496</v>
      </c>
      <c r="G379" t="s">
        <v>497</v>
      </c>
      <c r="H379" t="s">
        <v>213</v>
      </c>
      <c r="I379" t="s">
        <v>239</v>
      </c>
      <c r="J379" t="s">
        <v>71</v>
      </c>
      <c r="K379" t="s">
        <v>71</v>
      </c>
      <c r="L379" t="s">
        <v>216</v>
      </c>
      <c r="M379" t="s">
        <v>117</v>
      </c>
      <c r="N379" t="s">
        <v>498</v>
      </c>
      <c r="O379" t="s">
        <v>72</v>
      </c>
      <c r="P379" t="s">
        <v>235</v>
      </c>
      <c r="Q379" t="s">
        <v>219</v>
      </c>
      <c r="R379" t="s">
        <v>220</v>
      </c>
      <c r="S379" t="s">
        <v>81</v>
      </c>
      <c r="T379" s="44">
        <v>0.98399999999999999</v>
      </c>
      <c r="U379" t="s">
        <v>499</v>
      </c>
      <c r="V379" s="46">
        <v>0.114</v>
      </c>
      <c r="W379" s="45">
        <v>5.747E-2</v>
      </c>
      <c r="X379" t="s">
        <v>222</v>
      </c>
      <c r="Y379" t="s">
        <v>72</v>
      </c>
      <c r="Z379" s="44">
        <v>324822.7</v>
      </c>
      <c r="AA379" s="42">
        <v>1</v>
      </c>
      <c r="AB379" s="48">
        <v>101.2</v>
      </c>
      <c r="AD379" s="44">
        <v>328.721</v>
      </c>
      <c r="AG379" t="s">
        <v>16</v>
      </c>
      <c r="AH379" s="45">
        <v>1.3439999999999999E-3</v>
      </c>
      <c r="AI379" s="45">
        <v>1.6889574413011602E-2</v>
      </c>
      <c r="AJ379" s="45">
        <v>2.1880056386680202E-3</v>
      </c>
    </row>
    <row r="380" spans="1:36" x14ac:dyDescent="0.25">
      <c r="A380">
        <v>424</v>
      </c>
      <c r="B380">
        <v>7229</v>
      </c>
      <c r="C380" t="s">
        <v>494</v>
      </c>
      <c r="D380" t="s">
        <v>495</v>
      </c>
      <c r="E380" t="s">
        <v>210</v>
      </c>
      <c r="F380" t="s">
        <v>503</v>
      </c>
      <c r="G380" t="s">
        <v>504</v>
      </c>
      <c r="H380" t="s">
        <v>213</v>
      </c>
      <c r="I380" t="s">
        <v>239</v>
      </c>
      <c r="J380" t="s">
        <v>71</v>
      </c>
      <c r="K380" t="s">
        <v>71</v>
      </c>
      <c r="L380" t="s">
        <v>216</v>
      </c>
      <c r="M380" t="s">
        <v>109</v>
      </c>
      <c r="N380" t="s">
        <v>498</v>
      </c>
      <c r="O380" t="s">
        <v>72</v>
      </c>
      <c r="P380" t="s">
        <v>235</v>
      </c>
      <c r="Q380" t="s">
        <v>219</v>
      </c>
      <c r="R380" t="s">
        <v>220</v>
      </c>
      <c r="S380" t="s">
        <v>81</v>
      </c>
      <c r="T380" s="44">
        <v>3.2839999999999998</v>
      </c>
      <c r="U380" t="s">
        <v>330</v>
      </c>
      <c r="V380" s="46">
        <v>6.4000000000000001E-2</v>
      </c>
      <c r="W380" s="45">
        <v>6.4170000000000005E-2</v>
      </c>
      <c r="X380" t="s">
        <v>222</v>
      </c>
      <c r="Y380" t="s">
        <v>72</v>
      </c>
      <c r="Z380" s="44">
        <v>139000</v>
      </c>
      <c r="AA380" s="42">
        <v>1</v>
      </c>
      <c r="AB380" s="48">
        <v>101.3</v>
      </c>
      <c r="AD380" s="44">
        <v>140.80699999999999</v>
      </c>
      <c r="AG380" t="s">
        <v>16</v>
      </c>
      <c r="AH380" s="45">
        <v>6.9499999999999998E-4</v>
      </c>
      <c r="AI380" s="45">
        <v>7.2346257096409499E-3</v>
      </c>
      <c r="AJ380" s="45">
        <v>9.37229172225449E-4</v>
      </c>
    </row>
    <row r="381" spans="1:36" x14ac:dyDescent="0.25">
      <c r="A381">
        <v>424</v>
      </c>
      <c r="B381">
        <v>7229</v>
      </c>
      <c r="C381" t="s">
        <v>505</v>
      </c>
      <c r="D381" t="s">
        <v>506</v>
      </c>
      <c r="E381" t="s">
        <v>210</v>
      </c>
      <c r="F381" t="s">
        <v>507</v>
      </c>
      <c r="G381" t="s">
        <v>508</v>
      </c>
      <c r="H381" t="s">
        <v>213</v>
      </c>
      <c r="I381" t="s">
        <v>214</v>
      </c>
      <c r="J381" t="s">
        <v>71</v>
      </c>
      <c r="K381" t="s">
        <v>71</v>
      </c>
      <c r="L381" t="s">
        <v>216</v>
      </c>
      <c r="M381" t="s">
        <v>117</v>
      </c>
      <c r="N381" t="s">
        <v>245</v>
      </c>
      <c r="O381" t="s">
        <v>72</v>
      </c>
      <c r="P381" t="s">
        <v>509</v>
      </c>
      <c r="Q381" t="s">
        <v>219</v>
      </c>
      <c r="R381" t="s">
        <v>220</v>
      </c>
      <c r="S381" t="s">
        <v>81</v>
      </c>
      <c r="T381" s="44">
        <v>3.2440000000000002</v>
      </c>
      <c r="U381" t="s">
        <v>510</v>
      </c>
      <c r="V381" s="46">
        <v>2.07E-2</v>
      </c>
      <c r="W381" s="45">
        <v>4.1939999999999998E-2</v>
      </c>
      <c r="X381" t="s">
        <v>222</v>
      </c>
      <c r="Y381" t="s">
        <v>72</v>
      </c>
      <c r="Z381" s="44">
        <v>274186.53999999998</v>
      </c>
      <c r="AA381" s="42">
        <v>1</v>
      </c>
      <c r="AB381" s="48">
        <v>105.96</v>
      </c>
      <c r="AD381" s="44">
        <v>290.52800000000002</v>
      </c>
      <c r="AG381" t="s">
        <v>16</v>
      </c>
      <c r="AH381" s="45">
        <v>5.7499999999999999E-4</v>
      </c>
      <c r="AI381" s="45">
        <v>1.49272533057034E-2</v>
      </c>
      <c r="AJ381" s="45">
        <v>1.9337914386725499E-3</v>
      </c>
    </row>
    <row r="382" spans="1:36" x14ac:dyDescent="0.25">
      <c r="A382">
        <v>424</v>
      </c>
      <c r="B382">
        <v>7229</v>
      </c>
      <c r="C382" t="s">
        <v>511</v>
      </c>
      <c r="D382" t="s">
        <v>512</v>
      </c>
      <c r="E382" t="s">
        <v>210</v>
      </c>
      <c r="F382" t="s">
        <v>513</v>
      </c>
      <c r="G382" t="s">
        <v>514</v>
      </c>
      <c r="H382" t="s">
        <v>213</v>
      </c>
      <c r="I382" t="s">
        <v>214</v>
      </c>
      <c r="J382" t="s">
        <v>71</v>
      </c>
      <c r="K382" t="s">
        <v>71</v>
      </c>
      <c r="L382" t="s">
        <v>216</v>
      </c>
      <c r="M382" t="s">
        <v>117</v>
      </c>
      <c r="N382" t="s">
        <v>515</v>
      </c>
      <c r="O382" t="s">
        <v>72</v>
      </c>
      <c r="P382" t="s">
        <v>73</v>
      </c>
      <c r="Q382" t="s">
        <v>74</v>
      </c>
      <c r="R382" t="s">
        <v>220</v>
      </c>
      <c r="S382" t="s">
        <v>81</v>
      </c>
      <c r="T382" s="44">
        <v>11.712999999999999</v>
      </c>
      <c r="U382" t="s">
        <v>516</v>
      </c>
      <c r="V382" s="46">
        <v>2.07E-2</v>
      </c>
      <c r="W382" s="45">
        <v>2.9860000000000001E-2</v>
      </c>
      <c r="X382" t="s">
        <v>222</v>
      </c>
      <c r="Y382" t="s">
        <v>72</v>
      </c>
      <c r="Z382" s="44">
        <v>139489.35999999999</v>
      </c>
      <c r="AA382" s="42">
        <v>1</v>
      </c>
      <c r="AB382" s="48">
        <v>102.91</v>
      </c>
      <c r="AD382" s="44">
        <v>143.54900000000001</v>
      </c>
      <c r="AG382" t="s">
        <v>16</v>
      </c>
      <c r="AH382" s="45">
        <v>2.5999999999999998E-5</v>
      </c>
      <c r="AI382" s="45">
        <v>7.3754832600695496E-3</v>
      </c>
      <c r="AJ382" s="45">
        <v>9.5547694490759002E-4</v>
      </c>
    </row>
    <row r="383" spans="1:36" x14ac:dyDescent="0.25">
      <c r="A383">
        <v>424</v>
      </c>
      <c r="B383">
        <v>7229</v>
      </c>
      <c r="C383" t="s">
        <v>517</v>
      </c>
      <c r="D383" t="s">
        <v>518</v>
      </c>
      <c r="E383" t="s">
        <v>420</v>
      </c>
      <c r="F383" t="s">
        <v>519</v>
      </c>
      <c r="G383" t="s">
        <v>520</v>
      </c>
      <c r="H383" t="s">
        <v>213</v>
      </c>
      <c r="I383" t="s">
        <v>239</v>
      </c>
      <c r="J383" t="s">
        <v>71</v>
      </c>
      <c r="K383" t="s">
        <v>71</v>
      </c>
      <c r="L383" t="s">
        <v>216</v>
      </c>
      <c r="M383" t="s">
        <v>109</v>
      </c>
      <c r="N383" t="s">
        <v>423</v>
      </c>
      <c r="O383" t="s">
        <v>72</v>
      </c>
      <c r="P383" t="s">
        <v>235</v>
      </c>
      <c r="Q383" t="s">
        <v>74</v>
      </c>
      <c r="R383" t="s">
        <v>220</v>
      </c>
      <c r="S383" t="s">
        <v>81</v>
      </c>
      <c r="T383" s="44">
        <v>3.3740000000000001</v>
      </c>
      <c r="U383" t="s">
        <v>521</v>
      </c>
      <c r="V383" s="46">
        <v>6.7000000000000004E-2</v>
      </c>
      <c r="W383" s="45">
        <v>5.6849999999999998E-2</v>
      </c>
      <c r="X383" t="s">
        <v>222</v>
      </c>
      <c r="Y383" t="s">
        <v>72</v>
      </c>
      <c r="Z383" s="44">
        <v>67000</v>
      </c>
      <c r="AA383" s="42">
        <v>1</v>
      </c>
      <c r="AB383" s="48">
        <v>103.63</v>
      </c>
      <c r="AD383" s="44">
        <v>69.432000000000002</v>
      </c>
      <c r="AG383" t="s">
        <v>16</v>
      </c>
      <c r="AH383" s="45">
        <v>7.3999999999999996E-5</v>
      </c>
      <c r="AI383" s="45">
        <v>3.5674025846325901E-3</v>
      </c>
      <c r="AJ383" s="45">
        <v>4.62148825050421E-4</v>
      </c>
    </row>
    <row r="384" spans="1:36" x14ac:dyDescent="0.25">
      <c r="A384">
        <v>424</v>
      </c>
      <c r="B384">
        <v>7229</v>
      </c>
      <c r="C384" t="s">
        <v>522</v>
      </c>
      <c r="D384" t="s">
        <v>523</v>
      </c>
      <c r="E384" t="s">
        <v>210</v>
      </c>
      <c r="F384" t="s">
        <v>524</v>
      </c>
      <c r="G384" t="s">
        <v>525</v>
      </c>
      <c r="H384" t="s">
        <v>213</v>
      </c>
      <c r="I384" t="s">
        <v>239</v>
      </c>
      <c r="J384" t="s">
        <v>71</v>
      </c>
      <c r="K384" t="s">
        <v>71</v>
      </c>
      <c r="L384" t="s">
        <v>216</v>
      </c>
      <c r="M384" t="s">
        <v>109</v>
      </c>
      <c r="N384" t="s">
        <v>526</v>
      </c>
      <c r="O384" t="s">
        <v>72</v>
      </c>
      <c r="P384" t="s">
        <v>527</v>
      </c>
      <c r="Q384" t="s">
        <v>528</v>
      </c>
      <c r="R384" t="s">
        <v>528</v>
      </c>
      <c r="S384" t="s">
        <v>81</v>
      </c>
      <c r="T384" s="44">
        <v>4.0650000000000004</v>
      </c>
      <c r="U384" t="s">
        <v>529</v>
      </c>
      <c r="V384" s="46">
        <v>5.8999999999999997E-2</v>
      </c>
      <c r="W384" s="45">
        <v>5.9499999999999997E-2</v>
      </c>
      <c r="X384" t="s">
        <v>222</v>
      </c>
      <c r="Y384" t="s">
        <v>72</v>
      </c>
      <c r="Z384" s="44">
        <v>207000</v>
      </c>
      <c r="AA384" s="42">
        <v>1</v>
      </c>
      <c r="AB384" s="48">
        <v>100.46</v>
      </c>
      <c r="AD384" s="44">
        <v>207.952</v>
      </c>
      <c r="AG384" t="s">
        <v>16</v>
      </c>
      <c r="AH384" s="45">
        <v>4.26E-4</v>
      </c>
      <c r="AI384" s="45">
        <v>1.0684527988639701E-2</v>
      </c>
      <c r="AJ384" s="45">
        <v>1.3841561021004701E-3</v>
      </c>
    </row>
    <row r="385" spans="1:36" x14ac:dyDescent="0.25">
      <c r="A385">
        <v>424</v>
      </c>
      <c r="B385">
        <v>7229</v>
      </c>
      <c r="C385" t="s">
        <v>530</v>
      </c>
      <c r="D385" t="s">
        <v>531</v>
      </c>
      <c r="E385" t="s">
        <v>210</v>
      </c>
      <c r="F385" t="s">
        <v>532</v>
      </c>
      <c r="G385" t="s">
        <v>533</v>
      </c>
      <c r="H385" t="s">
        <v>213</v>
      </c>
      <c r="I385" t="s">
        <v>239</v>
      </c>
      <c r="J385" t="s">
        <v>71</v>
      </c>
      <c r="K385" t="s">
        <v>71</v>
      </c>
      <c r="L385" t="s">
        <v>216</v>
      </c>
      <c r="M385" t="s">
        <v>117</v>
      </c>
      <c r="N385" t="s">
        <v>287</v>
      </c>
      <c r="O385" t="s">
        <v>72</v>
      </c>
      <c r="P385" t="s">
        <v>235</v>
      </c>
      <c r="Q385" t="s">
        <v>219</v>
      </c>
      <c r="R385" t="s">
        <v>220</v>
      </c>
      <c r="S385" t="s">
        <v>81</v>
      </c>
      <c r="T385" s="44">
        <v>3.2429999999999999</v>
      </c>
      <c r="U385" t="s">
        <v>534</v>
      </c>
      <c r="V385" s="46">
        <v>6.9500000000000006E-2</v>
      </c>
      <c r="W385" s="45">
        <v>5.7419999999999999E-2</v>
      </c>
      <c r="X385" t="s">
        <v>222</v>
      </c>
      <c r="Y385" t="s">
        <v>72</v>
      </c>
      <c r="Z385" s="44">
        <v>140000</v>
      </c>
      <c r="AA385" s="42">
        <v>1</v>
      </c>
      <c r="AB385" s="48">
        <v>105.91</v>
      </c>
      <c r="AD385" s="44">
        <v>148.274</v>
      </c>
      <c r="AG385" t="s">
        <v>16</v>
      </c>
      <c r="AH385" s="45">
        <v>1.66E-4</v>
      </c>
      <c r="AI385" s="45">
        <v>7.6182781571321198E-3</v>
      </c>
      <c r="AJ385" s="45">
        <v>9.8693046711140989E-4</v>
      </c>
    </row>
    <row r="386" spans="1:36" x14ac:dyDescent="0.25">
      <c r="A386">
        <v>424</v>
      </c>
      <c r="B386">
        <v>7229</v>
      </c>
      <c r="C386" t="s">
        <v>530</v>
      </c>
      <c r="D386" t="s">
        <v>531</v>
      </c>
      <c r="E386" t="s">
        <v>210</v>
      </c>
      <c r="F386" t="s">
        <v>535</v>
      </c>
      <c r="G386" t="s">
        <v>536</v>
      </c>
      <c r="H386" t="s">
        <v>213</v>
      </c>
      <c r="I386" t="s">
        <v>239</v>
      </c>
      <c r="J386" t="s">
        <v>71</v>
      </c>
      <c r="K386" t="s">
        <v>71</v>
      </c>
      <c r="L386" t="s">
        <v>216</v>
      </c>
      <c r="M386" t="s">
        <v>109</v>
      </c>
      <c r="N386" t="s">
        <v>287</v>
      </c>
      <c r="O386" t="s">
        <v>72</v>
      </c>
      <c r="P386" t="s">
        <v>235</v>
      </c>
      <c r="Q386" t="s">
        <v>219</v>
      </c>
      <c r="R386" t="s">
        <v>220</v>
      </c>
      <c r="S386" t="s">
        <v>81</v>
      </c>
      <c r="T386" s="44">
        <v>5.819</v>
      </c>
      <c r="U386" t="s">
        <v>537</v>
      </c>
      <c r="V386" s="46">
        <v>6.6900000000000001E-2</v>
      </c>
      <c r="W386" s="45">
        <v>6.0769999999999998E-2</v>
      </c>
      <c r="X386" t="s">
        <v>222</v>
      </c>
      <c r="Y386" t="s">
        <v>72</v>
      </c>
      <c r="Z386" s="44">
        <v>114372</v>
      </c>
      <c r="AA386" s="42">
        <v>1</v>
      </c>
      <c r="AB386" s="48">
        <v>105.74</v>
      </c>
      <c r="AD386" s="44">
        <v>120.937</v>
      </c>
      <c r="AG386" t="s">
        <v>16</v>
      </c>
      <c r="AH386" s="45">
        <v>1.5100000000000001E-4</v>
      </c>
      <c r="AI386" s="45">
        <v>6.2137080398880296E-3</v>
      </c>
      <c r="AJ386" s="45">
        <v>8.0497162899722499E-4</v>
      </c>
    </row>
    <row r="387" spans="1:36" x14ac:dyDescent="0.25">
      <c r="A387">
        <v>424</v>
      </c>
      <c r="B387">
        <v>7229</v>
      </c>
      <c r="C387" t="s">
        <v>538</v>
      </c>
      <c r="D387" t="s">
        <v>539</v>
      </c>
      <c r="E387" t="s">
        <v>540</v>
      </c>
      <c r="F387" t="s">
        <v>541</v>
      </c>
      <c r="G387" t="s">
        <v>542</v>
      </c>
      <c r="H387" t="s">
        <v>213</v>
      </c>
      <c r="I387" t="s">
        <v>239</v>
      </c>
      <c r="J387" t="s">
        <v>71</v>
      </c>
      <c r="K387" t="s">
        <v>71</v>
      </c>
      <c r="L387" t="s">
        <v>216</v>
      </c>
      <c r="M387" t="s">
        <v>109</v>
      </c>
      <c r="N387" t="s">
        <v>217</v>
      </c>
      <c r="O387" t="s">
        <v>72</v>
      </c>
      <c r="P387" t="s">
        <v>259</v>
      </c>
      <c r="Q387" t="s">
        <v>74</v>
      </c>
      <c r="R387" t="s">
        <v>220</v>
      </c>
      <c r="S387" t="s">
        <v>81</v>
      </c>
      <c r="T387" s="44">
        <v>3.5379999999999998</v>
      </c>
      <c r="U387" t="s">
        <v>543</v>
      </c>
      <c r="V387" s="46">
        <v>6.25E-2</v>
      </c>
      <c r="W387" s="45">
        <v>5.7919999999999999E-2</v>
      </c>
      <c r="X387" t="s">
        <v>222</v>
      </c>
      <c r="Y387" t="s">
        <v>72</v>
      </c>
      <c r="Z387" s="44">
        <v>215398</v>
      </c>
      <c r="AA387" s="42">
        <v>1</v>
      </c>
      <c r="AB387" s="48">
        <v>104.79</v>
      </c>
      <c r="AD387" s="44">
        <v>225.71600000000001</v>
      </c>
      <c r="AG387" t="s">
        <v>16</v>
      </c>
      <c r="AH387" s="45">
        <v>3.9199999999999999E-4</v>
      </c>
      <c r="AI387" s="45">
        <v>1.15972048536467E-2</v>
      </c>
      <c r="AJ387" s="45">
        <v>1.5023912972619701E-3</v>
      </c>
    </row>
    <row r="388" spans="1:36" x14ac:dyDescent="0.25">
      <c r="A388">
        <v>424</v>
      </c>
      <c r="B388">
        <v>7229</v>
      </c>
      <c r="C388" t="s">
        <v>544</v>
      </c>
      <c r="D388" t="s">
        <v>545</v>
      </c>
      <c r="E388" t="s">
        <v>540</v>
      </c>
      <c r="F388" t="s">
        <v>546</v>
      </c>
      <c r="G388" t="s">
        <v>547</v>
      </c>
      <c r="H388" t="s">
        <v>213</v>
      </c>
      <c r="I388" t="s">
        <v>239</v>
      </c>
      <c r="J388" t="s">
        <v>71</v>
      </c>
      <c r="K388" t="s">
        <v>291</v>
      </c>
      <c r="L388" t="s">
        <v>216</v>
      </c>
      <c r="M388" t="s">
        <v>117</v>
      </c>
      <c r="N388" t="s">
        <v>217</v>
      </c>
      <c r="O388" t="s">
        <v>72</v>
      </c>
      <c r="P388" t="s">
        <v>259</v>
      </c>
      <c r="Q388" t="s">
        <v>74</v>
      </c>
      <c r="R388" t="s">
        <v>220</v>
      </c>
      <c r="S388" t="s">
        <v>81</v>
      </c>
      <c r="T388" s="44">
        <v>1.675</v>
      </c>
      <c r="U388" t="s">
        <v>391</v>
      </c>
      <c r="V388" s="46">
        <v>3.49E-2</v>
      </c>
      <c r="W388" s="45">
        <v>5.8569999999999997E-2</v>
      </c>
      <c r="X388" t="s">
        <v>222</v>
      </c>
      <c r="Y388" t="s">
        <v>72</v>
      </c>
      <c r="Z388" s="44">
        <v>326575</v>
      </c>
      <c r="AA388" s="42">
        <v>1</v>
      </c>
      <c r="AB388" s="48">
        <v>97.15</v>
      </c>
      <c r="AD388" s="44">
        <v>317.26799999999997</v>
      </c>
      <c r="AG388" t="s">
        <v>16</v>
      </c>
      <c r="AH388" s="45">
        <v>3.4499999999999998E-4</v>
      </c>
      <c r="AI388" s="45">
        <v>1.6301124420156E-2</v>
      </c>
      <c r="AJ388" s="45">
        <v>2.1117732913656299E-3</v>
      </c>
    </row>
    <row r="389" spans="1:36" x14ac:dyDescent="0.25">
      <c r="A389">
        <v>424</v>
      </c>
      <c r="B389">
        <v>7229</v>
      </c>
      <c r="C389" t="s">
        <v>544</v>
      </c>
      <c r="D389" t="s">
        <v>545</v>
      </c>
      <c r="E389" t="s">
        <v>540</v>
      </c>
      <c r="F389" t="s">
        <v>548</v>
      </c>
      <c r="G389" t="s">
        <v>549</v>
      </c>
      <c r="H389" t="s">
        <v>213</v>
      </c>
      <c r="I389" t="s">
        <v>239</v>
      </c>
      <c r="J389" t="s">
        <v>71</v>
      </c>
      <c r="K389" t="s">
        <v>291</v>
      </c>
      <c r="L389" t="s">
        <v>216</v>
      </c>
      <c r="M389" t="s">
        <v>109</v>
      </c>
      <c r="N389" t="s">
        <v>217</v>
      </c>
      <c r="O389" t="s">
        <v>72</v>
      </c>
      <c r="P389" t="s">
        <v>259</v>
      </c>
      <c r="Q389" t="s">
        <v>74</v>
      </c>
      <c r="R389" t="s">
        <v>220</v>
      </c>
      <c r="S389" t="s">
        <v>81</v>
      </c>
      <c r="T389" s="44">
        <v>4.016</v>
      </c>
      <c r="U389" t="s">
        <v>550</v>
      </c>
      <c r="V389" s="46">
        <v>6.7400000000000002E-2</v>
      </c>
      <c r="W389" s="45">
        <v>6.0229999999999999E-2</v>
      </c>
      <c r="X389" t="s">
        <v>222</v>
      </c>
      <c r="Y389" t="s">
        <v>72</v>
      </c>
      <c r="Z389" s="44">
        <v>138000</v>
      </c>
      <c r="AA389" s="42">
        <v>1</v>
      </c>
      <c r="AB389" s="48">
        <v>106.73</v>
      </c>
      <c r="AD389" s="44">
        <v>147.28700000000001</v>
      </c>
      <c r="AG389" t="s">
        <v>16</v>
      </c>
      <c r="AH389" s="45">
        <v>4.84E-4</v>
      </c>
      <c r="AI389" s="45">
        <v>7.5675869150409504E-3</v>
      </c>
      <c r="AJ389" s="45">
        <v>9.8036353292974498E-4</v>
      </c>
    </row>
    <row r="390" spans="1:36" x14ac:dyDescent="0.25">
      <c r="A390">
        <v>424</v>
      </c>
      <c r="B390">
        <v>7229</v>
      </c>
      <c r="C390" t="s">
        <v>551</v>
      </c>
      <c r="D390" t="s">
        <v>552</v>
      </c>
      <c r="E390" t="s">
        <v>210</v>
      </c>
      <c r="F390" t="s">
        <v>553</v>
      </c>
      <c r="G390" t="s">
        <v>554</v>
      </c>
      <c r="H390" t="s">
        <v>213</v>
      </c>
      <c r="I390" t="s">
        <v>239</v>
      </c>
      <c r="J390" t="s">
        <v>71</v>
      </c>
      <c r="K390" t="s">
        <v>71</v>
      </c>
      <c r="L390" t="s">
        <v>216</v>
      </c>
      <c r="M390" t="s">
        <v>117</v>
      </c>
      <c r="N390" t="s">
        <v>329</v>
      </c>
      <c r="O390" t="s">
        <v>72</v>
      </c>
      <c r="P390" t="s">
        <v>246</v>
      </c>
      <c r="Q390" t="s">
        <v>74</v>
      </c>
      <c r="R390" t="s">
        <v>220</v>
      </c>
      <c r="S390" t="s">
        <v>81</v>
      </c>
      <c r="T390" s="44">
        <v>2.9910000000000001</v>
      </c>
      <c r="U390" t="s">
        <v>555</v>
      </c>
      <c r="V390" s="46">
        <v>4.7300000000000002E-2</v>
      </c>
      <c r="W390" s="45">
        <v>5.0959999999999998E-2</v>
      </c>
      <c r="X390" t="s">
        <v>222</v>
      </c>
      <c r="Y390" t="s">
        <v>72</v>
      </c>
      <c r="Z390" s="44">
        <v>285000</v>
      </c>
      <c r="AA390" s="42">
        <v>1</v>
      </c>
      <c r="AB390" s="48">
        <v>100.21</v>
      </c>
      <c r="AD390" s="44">
        <v>285.59899999999999</v>
      </c>
      <c r="AG390" t="s">
        <v>16</v>
      </c>
      <c r="AH390" s="45">
        <v>6.0599999999999998E-4</v>
      </c>
      <c r="AI390" s="45">
        <v>1.46739739553779E-2</v>
      </c>
      <c r="AJ390" s="45">
        <v>1.90097967958859E-3</v>
      </c>
    </row>
    <row r="391" spans="1:36" x14ac:dyDescent="0.25">
      <c r="A391">
        <v>424</v>
      </c>
      <c r="B391">
        <v>7229</v>
      </c>
      <c r="C391" t="s">
        <v>556</v>
      </c>
      <c r="D391" t="s">
        <v>557</v>
      </c>
      <c r="E391" t="s">
        <v>210</v>
      </c>
      <c r="F391" t="s">
        <v>558</v>
      </c>
      <c r="G391" t="s">
        <v>559</v>
      </c>
      <c r="H391" t="s">
        <v>213</v>
      </c>
      <c r="I391" t="s">
        <v>214</v>
      </c>
      <c r="J391" t="s">
        <v>71</v>
      </c>
      <c r="K391" t="s">
        <v>71</v>
      </c>
      <c r="L391" t="s">
        <v>216</v>
      </c>
      <c r="M391" t="s">
        <v>117</v>
      </c>
      <c r="N391" t="s">
        <v>258</v>
      </c>
      <c r="O391" t="s">
        <v>72</v>
      </c>
      <c r="P391" t="s">
        <v>560</v>
      </c>
      <c r="Q391" t="s">
        <v>219</v>
      </c>
      <c r="R391" t="s">
        <v>220</v>
      </c>
      <c r="S391" t="s">
        <v>81</v>
      </c>
      <c r="T391" s="44">
        <v>2.0680000000000001</v>
      </c>
      <c r="U391" t="s">
        <v>561</v>
      </c>
      <c r="V391" s="46">
        <v>1.77E-2</v>
      </c>
      <c r="W391" s="45">
        <v>2.751E-2</v>
      </c>
      <c r="X391" t="s">
        <v>222</v>
      </c>
      <c r="Y391" t="s">
        <v>72</v>
      </c>
      <c r="Z391" s="44">
        <v>160000</v>
      </c>
      <c r="AA391" s="42">
        <v>1</v>
      </c>
      <c r="AB391" s="48">
        <v>113.81</v>
      </c>
      <c r="AD391" s="44">
        <v>182.096</v>
      </c>
      <c r="AG391" t="s">
        <v>16</v>
      </c>
      <c r="AH391" s="45">
        <v>6.2000000000000003E-5</v>
      </c>
      <c r="AI391" s="45">
        <v>9.3560434014131298E-3</v>
      </c>
      <c r="AJ391" s="45">
        <v>1.21205396994159E-3</v>
      </c>
    </row>
    <row r="392" spans="1:36" x14ac:dyDescent="0.25">
      <c r="A392">
        <v>424</v>
      </c>
      <c r="B392">
        <v>7229</v>
      </c>
      <c r="C392" t="s">
        <v>556</v>
      </c>
      <c r="D392" t="s">
        <v>557</v>
      </c>
      <c r="E392" t="s">
        <v>210</v>
      </c>
      <c r="F392" t="s">
        <v>562</v>
      </c>
      <c r="G392" t="s">
        <v>563</v>
      </c>
      <c r="H392" t="s">
        <v>213</v>
      </c>
      <c r="I392" t="s">
        <v>214</v>
      </c>
      <c r="J392" t="s">
        <v>71</v>
      </c>
      <c r="K392" t="s">
        <v>71</v>
      </c>
      <c r="L392" t="s">
        <v>216</v>
      </c>
      <c r="M392" t="s">
        <v>117</v>
      </c>
      <c r="N392" t="s">
        <v>258</v>
      </c>
      <c r="O392" t="s">
        <v>72</v>
      </c>
      <c r="P392" t="s">
        <v>560</v>
      </c>
      <c r="Q392" t="s">
        <v>74</v>
      </c>
      <c r="R392" t="s">
        <v>220</v>
      </c>
      <c r="S392" t="s">
        <v>81</v>
      </c>
      <c r="T392" s="44">
        <v>6.4729999999999999</v>
      </c>
      <c r="U392" t="s">
        <v>564</v>
      </c>
      <c r="V392" s="46">
        <v>8.9999999999999993E-3</v>
      </c>
      <c r="W392" s="45">
        <v>3.0720000000000001E-2</v>
      </c>
      <c r="X392" t="s">
        <v>222</v>
      </c>
      <c r="Y392" t="s">
        <v>72</v>
      </c>
      <c r="Z392" s="44">
        <v>215000</v>
      </c>
      <c r="AA392" s="42">
        <v>1</v>
      </c>
      <c r="AB392" s="48">
        <v>99.26</v>
      </c>
      <c r="AD392" s="44">
        <v>213.40899999999999</v>
      </c>
      <c r="AG392" t="s">
        <v>16</v>
      </c>
      <c r="AH392" s="45">
        <v>7.7999999999999999E-5</v>
      </c>
      <c r="AI392" s="45">
        <v>1.09648969019208E-2</v>
      </c>
      <c r="AJ392" s="45">
        <v>1.4204772519509799E-3</v>
      </c>
    </row>
    <row r="393" spans="1:36" x14ac:dyDescent="0.25">
      <c r="A393">
        <v>424</v>
      </c>
      <c r="B393">
        <v>7229</v>
      </c>
      <c r="C393" t="s">
        <v>556</v>
      </c>
      <c r="D393" t="s">
        <v>557</v>
      </c>
      <c r="E393" t="s">
        <v>210</v>
      </c>
      <c r="F393" t="s">
        <v>565</v>
      </c>
      <c r="G393" t="s">
        <v>566</v>
      </c>
      <c r="H393" t="s">
        <v>213</v>
      </c>
      <c r="I393" t="s">
        <v>214</v>
      </c>
      <c r="J393" t="s">
        <v>71</v>
      </c>
      <c r="K393" t="s">
        <v>71</v>
      </c>
      <c r="L393" t="s">
        <v>216</v>
      </c>
      <c r="M393" t="s">
        <v>117</v>
      </c>
      <c r="N393" t="s">
        <v>258</v>
      </c>
      <c r="O393" t="s">
        <v>72</v>
      </c>
      <c r="P393" t="s">
        <v>560</v>
      </c>
      <c r="Q393" t="s">
        <v>74</v>
      </c>
      <c r="R393" t="s">
        <v>220</v>
      </c>
      <c r="S393" t="s">
        <v>81</v>
      </c>
      <c r="T393" s="44">
        <v>9.9939999999999998</v>
      </c>
      <c r="U393" t="s">
        <v>567</v>
      </c>
      <c r="V393" s="46">
        <v>1.6899999999999998E-2</v>
      </c>
      <c r="W393" s="45">
        <v>3.2899999999999999E-2</v>
      </c>
      <c r="X393" t="s">
        <v>222</v>
      </c>
      <c r="Y393" t="s">
        <v>72</v>
      </c>
      <c r="Z393" s="44">
        <v>226074</v>
      </c>
      <c r="AA393" s="42">
        <v>1</v>
      </c>
      <c r="AB393" s="48">
        <v>97.7</v>
      </c>
      <c r="AD393" s="44">
        <v>220.874</v>
      </c>
      <c r="AG393" t="s">
        <v>16</v>
      </c>
      <c r="AH393" s="45">
        <v>5.1999999999999997E-5</v>
      </c>
      <c r="AI393" s="45">
        <v>1.1348461901110701E-2</v>
      </c>
      <c r="AJ393" s="45">
        <v>1.4701672181100199E-3</v>
      </c>
    </row>
    <row r="394" spans="1:36" x14ac:dyDescent="0.25">
      <c r="A394">
        <v>424</v>
      </c>
      <c r="B394">
        <v>7229</v>
      </c>
      <c r="C394" t="s">
        <v>556</v>
      </c>
      <c r="D394" t="s">
        <v>557</v>
      </c>
      <c r="E394" t="s">
        <v>210</v>
      </c>
      <c r="F394" t="s">
        <v>568</v>
      </c>
      <c r="G394" t="s">
        <v>569</v>
      </c>
      <c r="H394" t="s">
        <v>213</v>
      </c>
      <c r="I394" t="s">
        <v>214</v>
      </c>
      <c r="J394" t="s">
        <v>71</v>
      </c>
      <c r="K394" t="s">
        <v>71</v>
      </c>
      <c r="L394" t="s">
        <v>216</v>
      </c>
      <c r="M394" t="s">
        <v>109</v>
      </c>
      <c r="N394" t="s">
        <v>258</v>
      </c>
      <c r="O394" t="s">
        <v>72</v>
      </c>
      <c r="P394" t="s">
        <v>560</v>
      </c>
      <c r="Q394" t="s">
        <v>219</v>
      </c>
      <c r="R394" t="s">
        <v>220</v>
      </c>
      <c r="S394" t="s">
        <v>81</v>
      </c>
      <c r="T394" s="44">
        <v>11.904</v>
      </c>
      <c r="U394" t="s">
        <v>570</v>
      </c>
      <c r="V394" s="46">
        <v>3.6700000000000003E-2</v>
      </c>
      <c r="W394" s="45">
        <v>3.4259999999999999E-2</v>
      </c>
      <c r="X394" t="s">
        <v>222</v>
      </c>
      <c r="Y394" t="s">
        <v>72</v>
      </c>
      <c r="Z394" s="44">
        <v>146000</v>
      </c>
      <c r="AA394" s="42">
        <v>1</v>
      </c>
      <c r="AB394" s="48">
        <v>105.88</v>
      </c>
      <c r="AD394" s="44">
        <v>154.58500000000001</v>
      </c>
      <c r="AG394" t="s">
        <v>16</v>
      </c>
      <c r="AH394" s="45">
        <v>4.3999999999999999E-5</v>
      </c>
      <c r="AI394" s="45">
        <v>7.9425253602427807E-3</v>
      </c>
      <c r="AJ394" s="45">
        <v>1.02893594879968E-3</v>
      </c>
    </row>
    <row r="395" spans="1:36" x14ac:dyDescent="0.25">
      <c r="A395">
        <v>424</v>
      </c>
      <c r="B395">
        <v>7229</v>
      </c>
      <c r="C395" t="s">
        <v>88</v>
      </c>
      <c r="D395" t="s">
        <v>571</v>
      </c>
      <c r="E395" t="s">
        <v>210</v>
      </c>
      <c r="F395" t="s">
        <v>572</v>
      </c>
      <c r="G395" t="s">
        <v>573</v>
      </c>
      <c r="H395" t="s">
        <v>213</v>
      </c>
      <c r="I395" t="s">
        <v>214</v>
      </c>
      <c r="J395" t="s">
        <v>71</v>
      </c>
      <c r="K395" t="s">
        <v>71</v>
      </c>
      <c r="L395" t="s">
        <v>216</v>
      </c>
      <c r="M395" t="s">
        <v>117</v>
      </c>
      <c r="N395" t="s">
        <v>365</v>
      </c>
      <c r="O395" t="s">
        <v>72</v>
      </c>
      <c r="P395" t="s">
        <v>228</v>
      </c>
      <c r="Q395" t="s">
        <v>74</v>
      </c>
      <c r="R395" t="s">
        <v>220</v>
      </c>
      <c r="S395" t="s">
        <v>81</v>
      </c>
      <c r="T395" s="44">
        <v>4.3479999999999999</v>
      </c>
      <c r="U395" t="s">
        <v>574</v>
      </c>
      <c r="V395" s="46">
        <v>3.7100000000000001E-2</v>
      </c>
      <c r="W395" s="45">
        <v>3.031E-2</v>
      </c>
      <c r="X395" t="s">
        <v>222</v>
      </c>
      <c r="Y395" t="s">
        <v>72</v>
      </c>
      <c r="Z395" s="44">
        <v>300000</v>
      </c>
      <c r="AA395" s="42">
        <v>1</v>
      </c>
      <c r="AB395" s="48">
        <v>107.64</v>
      </c>
      <c r="AD395" s="44">
        <v>322.92</v>
      </c>
      <c r="AG395" t="s">
        <v>16</v>
      </c>
      <c r="AH395" s="45">
        <v>7.8100000000000001E-4</v>
      </c>
      <c r="AI395" s="45">
        <v>1.65915425664722E-2</v>
      </c>
      <c r="AJ395" s="45">
        <v>2.1493962963136902E-3</v>
      </c>
    </row>
    <row r="396" spans="1:36" x14ac:dyDescent="0.25">
      <c r="A396">
        <v>424</v>
      </c>
      <c r="B396">
        <v>7229</v>
      </c>
      <c r="C396" t="s">
        <v>88</v>
      </c>
      <c r="D396" t="s">
        <v>571</v>
      </c>
      <c r="E396" t="s">
        <v>210</v>
      </c>
      <c r="F396" t="s">
        <v>575</v>
      </c>
      <c r="G396" t="s">
        <v>576</v>
      </c>
      <c r="H396" t="s">
        <v>213</v>
      </c>
      <c r="I396" t="s">
        <v>214</v>
      </c>
      <c r="J396" t="s">
        <v>71</v>
      </c>
      <c r="K396" t="s">
        <v>71</v>
      </c>
      <c r="L396" t="s">
        <v>216</v>
      </c>
      <c r="M396" t="s">
        <v>109</v>
      </c>
      <c r="N396" t="s">
        <v>365</v>
      </c>
      <c r="O396" t="s">
        <v>72</v>
      </c>
      <c r="P396" t="s">
        <v>228</v>
      </c>
      <c r="Q396" t="s">
        <v>74</v>
      </c>
      <c r="R396" t="s">
        <v>220</v>
      </c>
      <c r="S396" t="s">
        <v>81</v>
      </c>
      <c r="T396" s="44">
        <v>6.8019999999999996</v>
      </c>
      <c r="U396" t="s">
        <v>577</v>
      </c>
      <c r="V396" s="46">
        <v>3.4500000000000003E-2</v>
      </c>
      <c r="W396" s="45">
        <v>3.1910000000000001E-2</v>
      </c>
      <c r="X396" t="s">
        <v>222</v>
      </c>
      <c r="Y396" t="s">
        <v>72</v>
      </c>
      <c r="Z396" s="44">
        <v>220000</v>
      </c>
      <c r="AA396" s="42">
        <v>1</v>
      </c>
      <c r="AB396" s="48">
        <v>102.77</v>
      </c>
      <c r="AD396" s="44">
        <v>226.09399999999999</v>
      </c>
      <c r="AG396" t="s">
        <v>16</v>
      </c>
      <c r="AH396" s="45">
        <v>2.3900000000000001E-4</v>
      </c>
      <c r="AI396" s="45">
        <v>1.16166487830545E-2</v>
      </c>
      <c r="AJ396" s="45">
        <v>1.5049102137332699E-3</v>
      </c>
    </row>
    <row r="397" spans="1:36" x14ac:dyDescent="0.25">
      <c r="A397">
        <v>424</v>
      </c>
      <c r="B397">
        <v>7229</v>
      </c>
      <c r="C397" t="s">
        <v>578</v>
      </c>
      <c r="D397" t="s">
        <v>579</v>
      </c>
      <c r="E397" t="s">
        <v>210</v>
      </c>
      <c r="F397" t="s">
        <v>580</v>
      </c>
      <c r="G397" t="s">
        <v>581</v>
      </c>
      <c r="H397" t="s">
        <v>213</v>
      </c>
      <c r="I397" t="s">
        <v>239</v>
      </c>
      <c r="J397" t="s">
        <v>71</v>
      </c>
      <c r="K397" t="s">
        <v>71</v>
      </c>
      <c r="L397" t="s">
        <v>216</v>
      </c>
      <c r="M397" t="s">
        <v>109</v>
      </c>
      <c r="N397" t="s">
        <v>234</v>
      </c>
      <c r="O397" t="s">
        <v>72</v>
      </c>
      <c r="P397" t="s">
        <v>228</v>
      </c>
      <c r="Q397" t="s">
        <v>74</v>
      </c>
      <c r="R397" t="s">
        <v>220</v>
      </c>
      <c r="S397" t="s">
        <v>81</v>
      </c>
      <c r="T397" s="44">
        <v>6.3479999999999999</v>
      </c>
      <c r="U397" t="s">
        <v>582</v>
      </c>
      <c r="V397" s="46">
        <v>5.8599999999999999E-2</v>
      </c>
      <c r="W397" s="45">
        <v>5.2040000000000003E-2</v>
      </c>
      <c r="X397" t="s">
        <v>222</v>
      </c>
      <c r="Y397" t="s">
        <v>72</v>
      </c>
      <c r="Z397" s="44">
        <v>214093</v>
      </c>
      <c r="AA397" s="42">
        <v>1</v>
      </c>
      <c r="AB397" s="48">
        <v>106.56</v>
      </c>
      <c r="AD397" s="44">
        <v>228.13800000000001</v>
      </c>
      <c r="AG397" t="s">
        <v>16</v>
      </c>
      <c r="AH397" s="45">
        <v>1.073E-3</v>
      </c>
      <c r="AI397" s="45">
        <v>1.1721643303393399E-2</v>
      </c>
      <c r="AJ397" s="45">
        <v>1.5185120130985399E-3</v>
      </c>
    </row>
    <row r="398" spans="1:36" x14ac:dyDescent="0.25">
      <c r="A398">
        <v>424</v>
      </c>
      <c r="B398">
        <v>7229</v>
      </c>
      <c r="C398" t="s">
        <v>670</v>
      </c>
      <c r="D398" t="s">
        <v>671</v>
      </c>
      <c r="E398" t="s">
        <v>210</v>
      </c>
      <c r="F398" t="s">
        <v>672</v>
      </c>
      <c r="G398" t="s">
        <v>673</v>
      </c>
      <c r="H398" t="s">
        <v>213</v>
      </c>
      <c r="I398" t="s">
        <v>239</v>
      </c>
      <c r="J398" t="s">
        <v>71</v>
      </c>
      <c r="K398" t="s">
        <v>71</v>
      </c>
      <c r="L398" t="s">
        <v>216</v>
      </c>
      <c r="M398" t="s">
        <v>117</v>
      </c>
      <c r="N398" t="s">
        <v>329</v>
      </c>
      <c r="O398" t="s">
        <v>72</v>
      </c>
      <c r="P398" t="s">
        <v>228</v>
      </c>
      <c r="Q398" t="s">
        <v>74</v>
      </c>
      <c r="R398" t="s">
        <v>220</v>
      </c>
      <c r="S398" t="s">
        <v>81</v>
      </c>
      <c r="T398" s="44">
        <v>1.58</v>
      </c>
      <c r="U398" t="s">
        <v>674</v>
      </c>
      <c r="V398" s="46">
        <v>0.04</v>
      </c>
      <c r="W398" s="45">
        <v>4.9320000000000003E-2</v>
      </c>
      <c r="X398" t="s">
        <v>222</v>
      </c>
      <c r="Y398" t="s">
        <v>72</v>
      </c>
      <c r="Z398" s="44">
        <v>250894.7</v>
      </c>
      <c r="AA398" s="42">
        <v>1</v>
      </c>
      <c r="AB398" s="48">
        <v>101.61</v>
      </c>
      <c r="AD398" s="44">
        <v>254.934</v>
      </c>
      <c r="AG398" t="s">
        <v>16</v>
      </c>
      <c r="AH398" s="45">
        <v>4.2099999999999999E-4</v>
      </c>
      <c r="AI398" s="45">
        <v>1.30984455880026E-2</v>
      </c>
      <c r="AJ398" s="45">
        <v>1.6968735921644501E-3</v>
      </c>
    </row>
    <row r="399" spans="1:36" x14ac:dyDescent="0.25">
      <c r="A399">
        <v>424</v>
      </c>
      <c r="B399">
        <v>7229</v>
      </c>
      <c r="C399" t="s">
        <v>583</v>
      </c>
      <c r="D399" t="s">
        <v>584</v>
      </c>
      <c r="E399" t="s">
        <v>210</v>
      </c>
      <c r="F399" t="s">
        <v>585</v>
      </c>
      <c r="G399" t="s">
        <v>586</v>
      </c>
      <c r="H399" t="s">
        <v>213</v>
      </c>
      <c r="I399" t="s">
        <v>239</v>
      </c>
      <c r="J399" t="s">
        <v>71</v>
      </c>
      <c r="K399" t="s">
        <v>71</v>
      </c>
      <c r="L399" t="s">
        <v>216</v>
      </c>
      <c r="M399" t="s">
        <v>286</v>
      </c>
      <c r="N399" t="s">
        <v>217</v>
      </c>
      <c r="O399" t="s">
        <v>72</v>
      </c>
      <c r="P399" t="s">
        <v>218</v>
      </c>
      <c r="Q399" t="s">
        <v>219</v>
      </c>
      <c r="R399" t="s">
        <v>220</v>
      </c>
      <c r="S399" t="s">
        <v>81</v>
      </c>
      <c r="T399" s="44">
        <v>5.8659999999999997</v>
      </c>
      <c r="U399" t="s">
        <v>384</v>
      </c>
      <c r="V399" s="46">
        <v>5.5899999999999998E-2</v>
      </c>
      <c r="W399" s="45">
        <v>5.8259999999999999E-2</v>
      </c>
      <c r="X399" t="s">
        <v>222</v>
      </c>
      <c r="Y399" t="s">
        <v>72</v>
      </c>
      <c r="Z399" s="44">
        <v>191000</v>
      </c>
      <c r="AA399" s="42">
        <v>1</v>
      </c>
      <c r="AB399" s="48">
        <v>99.28</v>
      </c>
      <c r="AD399" s="44">
        <v>189.625</v>
      </c>
      <c r="AG399" t="s">
        <v>16</v>
      </c>
      <c r="AH399" s="45">
        <v>8.5400000000000005E-4</v>
      </c>
      <c r="AI399" s="45">
        <v>9.7428711162479403E-3</v>
      </c>
      <c r="AJ399" s="45">
        <v>1.2621666134312701E-3</v>
      </c>
    </row>
    <row r="400" spans="1:36" x14ac:dyDescent="0.25">
      <c r="A400">
        <v>424</v>
      </c>
      <c r="B400">
        <v>7229</v>
      </c>
      <c r="C400" t="s">
        <v>583</v>
      </c>
      <c r="D400" t="s">
        <v>584</v>
      </c>
      <c r="E400" t="s">
        <v>210</v>
      </c>
      <c r="F400" t="s">
        <v>587</v>
      </c>
      <c r="G400" t="s">
        <v>588</v>
      </c>
      <c r="H400" t="s">
        <v>213</v>
      </c>
      <c r="I400" t="s">
        <v>239</v>
      </c>
      <c r="J400" t="s">
        <v>71</v>
      </c>
      <c r="K400" t="s">
        <v>71</v>
      </c>
      <c r="L400" t="s">
        <v>216</v>
      </c>
      <c r="M400" t="s">
        <v>117</v>
      </c>
      <c r="N400" t="s">
        <v>217</v>
      </c>
      <c r="O400" t="s">
        <v>72</v>
      </c>
      <c r="P400" t="s">
        <v>218</v>
      </c>
      <c r="Q400" t="s">
        <v>219</v>
      </c>
      <c r="R400" t="s">
        <v>220</v>
      </c>
      <c r="S400" t="s">
        <v>81</v>
      </c>
      <c r="T400" s="44">
        <v>1.5649999999999999</v>
      </c>
      <c r="U400" t="s">
        <v>589</v>
      </c>
      <c r="V400" s="46">
        <v>2.6499999999999999E-2</v>
      </c>
      <c r="W400" s="45">
        <v>5.5599999999999997E-2</v>
      </c>
      <c r="X400" t="s">
        <v>222</v>
      </c>
      <c r="Y400" t="s">
        <v>72</v>
      </c>
      <c r="Z400" s="44">
        <v>235714.28</v>
      </c>
      <c r="AA400" s="42">
        <v>1</v>
      </c>
      <c r="AB400" s="48">
        <v>95.94</v>
      </c>
      <c r="AD400" s="44">
        <v>226.14400000000001</v>
      </c>
      <c r="AG400" t="s">
        <v>16</v>
      </c>
      <c r="AH400" s="45">
        <v>4.6000000000000001E-4</v>
      </c>
      <c r="AI400" s="45">
        <v>1.16192321678232E-2</v>
      </c>
      <c r="AJ400" s="45">
        <v>1.5052448853065401E-3</v>
      </c>
    </row>
    <row r="401" spans="1:36" x14ac:dyDescent="0.25">
      <c r="A401">
        <v>424</v>
      </c>
      <c r="B401">
        <v>7229</v>
      </c>
      <c r="C401" t="s">
        <v>726</v>
      </c>
      <c r="D401" t="s">
        <v>727</v>
      </c>
      <c r="E401" t="s">
        <v>210</v>
      </c>
      <c r="F401" t="s">
        <v>728</v>
      </c>
      <c r="G401" t="s">
        <v>729</v>
      </c>
      <c r="H401" t="s">
        <v>213</v>
      </c>
      <c r="I401" t="s">
        <v>214</v>
      </c>
      <c r="J401" t="s">
        <v>71</v>
      </c>
      <c r="K401" t="s">
        <v>71</v>
      </c>
      <c r="L401" t="s">
        <v>216</v>
      </c>
      <c r="M401" t="s">
        <v>117</v>
      </c>
      <c r="N401" t="s">
        <v>258</v>
      </c>
      <c r="O401" t="s">
        <v>72</v>
      </c>
      <c r="P401" t="s">
        <v>228</v>
      </c>
      <c r="Q401" t="s">
        <v>74</v>
      </c>
      <c r="R401" t="s">
        <v>220</v>
      </c>
      <c r="S401" t="s">
        <v>81</v>
      </c>
      <c r="T401" s="44">
        <v>1.1459999999999999</v>
      </c>
      <c r="U401" t="s">
        <v>730</v>
      </c>
      <c r="V401" s="46">
        <v>2.1499999999999998E-2</v>
      </c>
      <c r="W401" s="45">
        <v>2.8170000000000001E-2</v>
      </c>
      <c r="X401" t="s">
        <v>222</v>
      </c>
      <c r="Y401" t="s">
        <v>72</v>
      </c>
      <c r="Z401" s="44">
        <v>89500</v>
      </c>
      <c r="AA401" s="42">
        <v>1</v>
      </c>
      <c r="AB401" s="48">
        <v>117.16</v>
      </c>
      <c r="AD401" s="44">
        <v>104.858</v>
      </c>
      <c r="AG401" t="s">
        <v>16</v>
      </c>
      <c r="AH401" s="45">
        <v>6.3999999999999997E-5</v>
      </c>
      <c r="AI401" s="45">
        <v>5.3875860545759303E-3</v>
      </c>
      <c r="AJ401" s="45">
        <v>6.9794942003629503E-4</v>
      </c>
    </row>
    <row r="402" spans="1:36" x14ac:dyDescent="0.25">
      <c r="A402">
        <v>424</v>
      </c>
      <c r="B402">
        <v>7229</v>
      </c>
      <c r="C402" t="s">
        <v>590</v>
      </c>
      <c r="D402" t="s">
        <v>591</v>
      </c>
      <c r="E402" t="s">
        <v>210</v>
      </c>
      <c r="F402" t="s">
        <v>592</v>
      </c>
      <c r="G402" t="s">
        <v>593</v>
      </c>
      <c r="H402" t="s">
        <v>213</v>
      </c>
      <c r="I402" t="s">
        <v>214</v>
      </c>
      <c r="J402" t="s">
        <v>71</v>
      </c>
      <c r="K402" t="s">
        <v>71</v>
      </c>
      <c r="L402" t="s">
        <v>216</v>
      </c>
      <c r="M402" t="s">
        <v>117</v>
      </c>
      <c r="N402" t="s">
        <v>258</v>
      </c>
      <c r="O402" t="s">
        <v>72</v>
      </c>
      <c r="P402" t="s">
        <v>259</v>
      </c>
      <c r="Q402" t="s">
        <v>74</v>
      </c>
      <c r="R402" t="s">
        <v>220</v>
      </c>
      <c r="S402" t="s">
        <v>81</v>
      </c>
      <c r="T402" s="44">
        <v>6.2430000000000003</v>
      </c>
      <c r="U402" t="s">
        <v>594</v>
      </c>
      <c r="V402" s="46">
        <v>2.5000000000000001E-2</v>
      </c>
      <c r="W402" s="45">
        <v>3.1879999999999999E-2</v>
      </c>
      <c r="X402" t="s">
        <v>222</v>
      </c>
      <c r="Y402" t="s">
        <v>72</v>
      </c>
      <c r="Z402" s="44">
        <v>82000</v>
      </c>
      <c r="AA402" s="42">
        <v>1</v>
      </c>
      <c r="AB402" s="48">
        <v>111</v>
      </c>
      <c r="AD402" s="44">
        <v>91.02</v>
      </c>
      <c r="AG402" t="s">
        <v>16</v>
      </c>
      <c r="AH402" s="45">
        <v>7.7999999999999999E-5</v>
      </c>
      <c r="AI402" s="45">
        <v>4.6765830682531399E-3</v>
      </c>
      <c r="AJ402" s="45">
        <v>6.0584061343513002E-4</v>
      </c>
    </row>
    <row r="403" spans="1:36" x14ac:dyDescent="0.25">
      <c r="A403">
        <v>424</v>
      </c>
      <c r="B403">
        <v>7229</v>
      </c>
      <c r="C403" t="s">
        <v>599</v>
      </c>
      <c r="D403" t="s">
        <v>600</v>
      </c>
      <c r="E403" t="s">
        <v>540</v>
      </c>
      <c r="F403" t="s">
        <v>601</v>
      </c>
      <c r="G403" t="s">
        <v>602</v>
      </c>
      <c r="H403" t="s">
        <v>213</v>
      </c>
      <c r="I403" t="s">
        <v>603</v>
      </c>
      <c r="J403" t="s">
        <v>71</v>
      </c>
      <c r="K403" t="s">
        <v>604</v>
      </c>
      <c r="L403" t="s">
        <v>216</v>
      </c>
      <c r="M403" t="s">
        <v>117</v>
      </c>
      <c r="N403" t="s">
        <v>217</v>
      </c>
      <c r="O403" t="s">
        <v>72</v>
      </c>
      <c r="P403" t="s">
        <v>228</v>
      </c>
      <c r="Q403" t="s">
        <v>219</v>
      </c>
      <c r="R403" t="s">
        <v>220</v>
      </c>
      <c r="S403" t="s">
        <v>81</v>
      </c>
      <c r="T403" s="44">
        <v>2.6120000000000001</v>
      </c>
      <c r="U403" t="s">
        <v>605</v>
      </c>
      <c r="V403" s="46">
        <v>4.2999999999999997E-2</v>
      </c>
      <c r="W403" s="45">
        <v>8.6080000000000004E-2</v>
      </c>
      <c r="X403" t="s">
        <v>222</v>
      </c>
      <c r="Y403" t="s">
        <v>72</v>
      </c>
      <c r="Z403" s="44">
        <v>0.24</v>
      </c>
      <c r="AA403" s="42">
        <v>1</v>
      </c>
      <c r="AB403" s="48">
        <v>91.56</v>
      </c>
      <c r="AD403" s="44">
        <v>0</v>
      </c>
      <c r="AG403" t="s">
        <v>16</v>
      </c>
      <c r="AH403" s="45">
        <v>0</v>
      </c>
      <c r="AI403" s="45">
        <v>1.1290387494509101E-8</v>
      </c>
      <c r="AJ403" s="45">
        <v>1.46264381189507E-9</v>
      </c>
    </row>
    <row r="404" spans="1:36" x14ac:dyDescent="0.25">
      <c r="A404">
        <v>424</v>
      </c>
      <c r="B404">
        <v>7229</v>
      </c>
      <c r="C404" t="s">
        <v>606</v>
      </c>
      <c r="D404" t="s">
        <v>607</v>
      </c>
      <c r="E404" t="s">
        <v>210</v>
      </c>
      <c r="F404" t="s">
        <v>608</v>
      </c>
      <c r="G404" t="s">
        <v>609</v>
      </c>
      <c r="H404" t="s">
        <v>213</v>
      </c>
      <c r="I404" t="s">
        <v>239</v>
      </c>
      <c r="J404" t="s">
        <v>71</v>
      </c>
      <c r="K404" t="s">
        <v>71</v>
      </c>
      <c r="L404" t="s">
        <v>216</v>
      </c>
      <c r="M404" t="s">
        <v>109</v>
      </c>
      <c r="N404" t="s">
        <v>610</v>
      </c>
      <c r="O404" t="s">
        <v>72</v>
      </c>
      <c r="P404" t="s">
        <v>246</v>
      </c>
      <c r="Q404" t="s">
        <v>219</v>
      </c>
      <c r="R404" t="s">
        <v>220</v>
      </c>
      <c r="S404" t="s">
        <v>81</v>
      </c>
      <c r="T404" s="44">
        <v>4.7789999999999999</v>
      </c>
      <c r="U404" t="s">
        <v>348</v>
      </c>
      <c r="V404" s="46">
        <v>5.8500000000000003E-2</v>
      </c>
      <c r="W404" s="45">
        <v>5.2679999999999998E-2</v>
      </c>
      <c r="X404" t="s">
        <v>222</v>
      </c>
      <c r="Y404" t="s">
        <v>72</v>
      </c>
      <c r="Z404" s="44">
        <v>116000</v>
      </c>
      <c r="AA404" s="42">
        <v>1</v>
      </c>
      <c r="AB404" s="48">
        <v>106.89</v>
      </c>
      <c r="AD404" s="44">
        <v>123.992</v>
      </c>
      <c r="AG404" t="s">
        <v>16</v>
      </c>
      <c r="AH404" s="45">
        <v>7.4799999999999997E-4</v>
      </c>
      <c r="AI404" s="45">
        <v>6.3706960935186801E-3</v>
      </c>
      <c r="AJ404" s="45">
        <v>8.2530907138314699E-4</v>
      </c>
    </row>
    <row r="405" spans="1:36" x14ac:dyDescent="0.25">
      <c r="A405">
        <v>424</v>
      </c>
      <c r="B405">
        <v>9817</v>
      </c>
      <c r="C405" t="s">
        <v>248</v>
      </c>
      <c r="D405" t="s">
        <v>249</v>
      </c>
      <c r="E405" t="s">
        <v>210</v>
      </c>
      <c r="F405" t="s">
        <v>250</v>
      </c>
      <c r="G405" t="s">
        <v>251</v>
      </c>
      <c r="H405" t="s">
        <v>213</v>
      </c>
      <c r="I405" t="s">
        <v>239</v>
      </c>
      <c r="J405" t="s">
        <v>71</v>
      </c>
      <c r="K405" t="s">
        <v>71</v>
      </c>
      <c r="L405" t="s">
        <v>216</v>
      </c>
      <c r="M405" t="s">
        <v>117</v>
      </c>
      <c r="N405" t="s">
        <v>252</v>
      </c>
      <c r="O405" t="s">
        <v>72</v>
      </c>
      <c r="P405" t="s">
        <v>218</v>
      </c>
      <c r="Q405" t="s">
        <v>219</v>
      </c>
      <c r="R405" t="s">
        <v>220</v>
      </c>
      <c r="S405" t="s">
        <v>81</v>
      </c>
      <c r="T405" s="44">
        <v>3.55</v>
      </c>
      <c r="U405" t="s">
        <v>253</v>
      </c>
      <c r="V405" s="46">
        <v>2.18E-2</v>
      </c>
      <c r="W405" s="45">
        <v>5.3659999999999999E-2</v>
      </c>
      <c r="X405" t="s">
        <v>222</v>
      </c>
      <c r="Y405" t="s">
        <v>72</v>
      </c>
      <c r="Z405" s="44">
        <v>2364</v>
      </c>
      <c r="AA405" s="42">
        <v>1</v>
      </c>
      <c r="AB405" s="48">
        <v>90.26</v>
      </c>
      <c r="AD405" s="44">
        <v>2.1339999999999999</v>
      </c>
      <c r="AG405" t="s">
        <v>16</v>
      </c>
      <c r="AH405" s="45">
        <v>1.4E-5</v>
      </c>
      <c r="AI405" s="45">
        <v>2.0550717508825901E-2</v>
      </c>
      <c r="AJ405" s="45">
        <v>1.1094466487871601E-3</v>
      </c>
    </row>
    <row r="406" spans="1:36" x14ac:dyDescent="0.25">
      <c r="A406">
        <v>424</v>
      </c>
      <c r="B406">
        <v>9817</v>
      </c>
      <c r="C406" t="s">
        <v>260</v>
      </c>
      <c r="D406" t="s">
        <v>261</v>
      </c>
      <c r="E406" t="s">
        <v>210</v>
      </c>
      <c r="F406" t="s">
        <v>649</v>
      </c>
      <c r="G406" t="s">
        <v>650</v>
      </c>
      <c r="H406" t="s">
        <v>213</v>
      </c>
      <c r="I406" t="s">
        <v>239</v>
      </c>
      <c r="J406" t="s">
        <v>71</v>
      </c>
      <c r="K406" t="s">
        <v>71</v>
      </c>
      <c r="L406" t="s">
        <v>216</v>
      </c>
      <c r="M406" t="s">
        <v>117</v>
      </c>
      <c r="N406" t="s">
        <v>258</v>
      </c>
      <c r="O406" t="s">
        <v>72</v>
      </c>
      <c r="P406" t="s">
        <v>228</v>
      </c>
      <c r="Q406" t="s">
        <v>74</v>
      </c>
      <c r="R406" t="s">
        <v>220</v>
      </c>
      <c r="S406" t="s">
        <v>81</v>
      </c>
      <c r="T406" s="44">
        <v>1.3919999999999999</v>
      </c>
      <c r="U406" t="s">
        <v>651</v>
      </c>
      <c r="V406" s="46">
        <v>3.85E-2</v>
      </c>
      <c r="W406" s="45">
        <v>5.0290000000000001E-2</v>
      </c>
      <c r="X406" t="s">
        <v>222</v>
      </c>
      <c r="Y406" t="s">
        <v>72</v>
      </c>
      <c r="Z406" s="44">
        <v>1626.47</v>
      </c>
      <c r="AA406" s="42">
        <v>1</v>
      </c>
      <c r="AB406" s="48">
        <v>98.76</v>
      </c>
      <c r="AD406" s="44">
        <v>1.6060000000000001</v>
      </c>
      <c r="AG406" t="s">
        <v>16</v>
      </c>
      <c r="AH406" s="45">
        <v>5.0000000000000004E-6</v>
      </c>
      <c r="AI406" s="45">
        <v>1.5470748515521099E-2</v>
      </c>
      <c r="AJ406" s="45">
        <v>8.3520052705714101E-4</v>
      </c>
    </row>
    <row r="407" spans="1:36" x14ac:dyDescent="0.25">
      <c r="A407">
        <v>424</v>
      </c>
      <c r="B407">
        <v>9817</v>
      </c>
      <c r="C407" t="s">
        <v>260</v>
      </c>
      <c r="D407" t="s">
        <v>261</v>
      </c>
      <c r="E407" t="s">
        <v>210</v>
      </c>
      <c r="F407" t="s">
        <v>265</v>
      </c>
      <c r="G407" t="s">
        <v>266</v>
      </c>
      <c r="H407" t="s">
        <v>213</v>
      </c>
      <c r="I407" t="s">
        <v>239</v>
      </c>
      <c r="J407" t="s">
        <v>71</v>
      </c>
      <c r="K407" t="s">
        <v>71</v>
      </c>
      <c r="L407" t="s">
        <v>216</v>
      </c>
      <c r="M407" t="s">
        <v>117</v>
      </c>
      <c r="N407" t="s">
        <v>258</v>
      </c>
      <c r="O407" t="s">
        <v>72</v>
      </c>
      <c r="P407" t="s">
        <v>228</v>
      </c>
      <c r="Q407" t="s">
        <v>74</v>
      </c>
      <c r="R407" t="s">
        <v>220</v>
      </c>
      <c r="S407" t="s">
        <v>81</v>
      </c>
      <c r="T407" s="44">
        <v>6.1609999999999996</v>
      </c>
      <c r="U407" t="s">
        <v>267</v>
      </c>
      <c r="V407" s="46">
        <v>4.9399999999999999E-2</v>
      </c>
      <c r="W407" s="45">
        <v>5.5919999999999997E-2</v>
      </c>
      <c r="X407" t="s">
        <v>222</v>
      </c>
      <c r="Y407" t="s">
        <v>72</v>
      </c>
      <c r="Z407" s="44">
        <v>1538</v>
      </c>
      <c r="AA407" s="42">
        <v>1</v>
      </c>
      <c r="AB407" s="48">
        <v>96.63</v>
      </c>
      <c r="AD407" s="44">
        <v>1.486</v>
      </c>
      <c r="AG407" t="s">
        <v>16</v>
      </c>
      <c r="AH407" s="45">
        <v>9.9999999999999995E-7</v>
      </c>
      <c r="AI407" s="45">
        <v>1.4313719526210401E-2</v>
      </c>
      <c r="AJ407" s="45">
        <v>7.72737407013328E-4</v>
      </c>
    </row>
    <row r="408" spans="1:36" x14ac:dyDescent="0.25">
      <c r="A408">
        <v>424</v>
      </c>
      <c r="B408">
        <v>9817</v>
      </c>
      <c r="C408" t="s">
        <v>268</v>
      </c>
      <c r="D408" t="s">
        <v>269</v>
      </c>
      <c r="E408" t="s">
        <v>210</v>
      </c>
      <c r="F408" t="s">
        <v>270</v>
      </c>
      <c r="G408" t="s">
        <v>271</v>
      </c>
      <c r="H408" t="s">
        <v>213</v>
      </c>
      <c r="I408" t="s">
        <v>239</v>
      </c>
      <c r="J408" t="s">
        <v>71</v>
      </c>
      <c r="K408" t="s">
        <v>71</v>
      </c>
      <c r="L408" t="s">
        <v>216</v>
      </c>
      <c r="M408" t="s">
        <v>117</v>
      </c>
      <c r="N408" t="s">
        <v>272</v>
      </c>
      <c r="O408" t="s">
        <v>72</v>
      </c>
      <c r="P408" t="s">
        <v>246</v>
      </c>
      <c r="Q408" t="s">
        <v>74</v>
      </c>
      <c r="R408" t="s">
        <v>220</v>
      </c>
      <c r="S408" t="s">
        <v>81</v>
      </c>
      <c r="T408" s="44">
        <v>2.996</v>
      </c>
      <c r="U408" t="s">
        <v>273</v>
      </c>
      <c r="V408" s="46">
        <v>0.04</v>
      </c>
      <c r="W408" s="45">
        <v>5.2400000000000002E-2</v>
      </c>
      <c r="X408" t="s">
        <v>222</v>
      </c>
      <c r="Y408" t="s">
        <v>72</v>
      </c>
      <c r="Z408" s="44">
        <v>2358.75</v>
      </c>
      <c r="AA408" s="42">
        <v>1</v>
      </c>
      <c r="AB408" s="48">
        <v>97.45</v>
      </c>
      <c r="AD408" s="44">
        <v>2.2989999999999999</v>
      </c>
      <c r="AG408" t="s">
        <v>16</v>
      </c>
      <c r="AH408" s="45">
        <v>3.9999999999999998E-6</v>
      </c>
      <c r="AI408" s="45">
        <v>2.2138487403368299E-2</v>
      </c>
      <c r="AJ408" s="45">
        <v>1.19516365539721E-3</v>
      </c>
    </row>
    <row r="409" spans="1:36" x14ac:dyDescent="0.25">
      <c r="A409">
        <v>424</v>
      </c>
      <c r="B409">
        <v>9817</v>
      </c>
      <c r="C409" t="s">
        <v>298</v>
      </c>
      <c r="D409" t="s">
        <v>299</v>
      </c>
      <c r="E409" t="s">
        <v>210</v>
      </c>
      <c r="F409" t="s">
        <v>652</v>
      </c>
      <c r="G409" t="s">
        <v>653</v>
      </c>
      <c r="H409" t="s">
        <v>213</v>
      </c>
      <c r="I409" t="s">
        <v>239</v>
      </c>
      <c r="J409" t="s">
        <v>71</v>
      </c>
      <c r="K409" t="s">
        <v>71</v>
      </c>
      <c r="L409" t="s">
        <v>216</v>
      </c>
      <c r="M409" t="s">
        <v>117</v>
      </c>
      <c r="N409" t="s">
        <v>217</v>
      </c>
      <c r="O409" t="s">
        <v>72</v>
      </c>
      <c r="P409" t="s">
        <v>246</v>
      </c>
      <c r="Q409" t="s">
        <v>74</v>
      </c>
      <c r="R409" t="s">
        <v>220</v>
      </c>
      <c r="S409" t="s">
        <v>81</v>
      </c>
      <c r="T409" s="44">
        <v>2.98</v>
      </c>
      <c r="U409" t="s">
        <v>654</v>
      </c>
      <c r="V409" s="46">
        <v>3.2500000000000001E-2</v>
      </c>
      <c r="W409" s="45">
        <v>5.568E-2</v>
      </c>
      <c r="X409" t="s">
        <v>222</v>
      </c>
      <c r="Y409" t="s">
        <v>72</v>
      </c>
      <c r="Z409" s="44">
        <v>1750</v>
      </c>
      <c r="AA409" s="42">
        <v>1</v>
      </c>
      <c r="AB409" s="48">
        <v>93.66</v>
      </c>
      <c r="AD409" s="44">
        <v>1.639</v>
      </c>
      <c r="AG409" t="s">
        <v>16</v>
      </c>
      <c r="AH409" s="45">
        <v>6.9999999999999999E-6</v>
      </c>
      <c r="AI409" s="45">
        <v>1.5786155999063901E-2</v>
      </c>
      <c r="AJ409" s="45">
        <v>8.5222804813851998E-4</v>
      </c>
    </row>
    <row r="410" spans="1:36" x14ac:dyDescent="0.25">
      <c r="A410">
        <v>424</v>
      </c>
      <c r="B410">
        <v>9817</v>
      </c>
      <c r="C410" t="s">
        <v>320</v>
      </c>
      <c r="D410" t="s">
        <v>321</v>
      </c>
      <c r="E410" t="s">
        <v>210</v>
      </c>
      <c r="F410" t="s">
        <v>322</v>
      </c>
      <c r="G410" t="s">
        <v>323</v>
      </c>
      <c r="H410" t="s">
        <v>213</v>
      </c>
      <c r="I410" t="s">
        <v>239</v>
      </c>
      <c r="J410" t="s">
        <v>71</v>
      </c>
      <c r="K410" t="s">
        <v>71</v>
      </c>
      <c r="L410" t="s">
        <v>216</v>
      </c>
      <c r="M410" t="s">
        <v>117</v>
      </c>
      <c r="N410" t="s">
        <v>234</v>
      </c>
      <c r="O410" t="s">
        <v>72</v>
      </c>
      <c r="P410" t="s">
        <v>246</v>
      </c>
      <c r="Q410" t="s">
        <v>74</v>
      </c>
      <c r="R410" t="s">
        <v>220</v>
      </c>
      <c r="S410" t="s">
        <v>81</v>
      </c>
      <c r="T410" s="44">
        <v>2.2389999999999999</v>
      </c>
      <c r="U410" t="s">
        <v>324</v>
      </c>
      <c r="V410" s="46">
        <v>2.7E-2</v>
      </c>
      <c r="W410" s="45">
        <v>5.4039999999999998E-2</v>
      </c>
      <c r="X410" t="s">
        <v>222</v>
      </c>
      <c r="Y410" t="s">
        <v>72</v>
      </c>
      <c r="Z410" s="44">
        <v>1625</v>
      </c>
      <c r="AA410" s="42">
        <v>1</v>
      </c>
      <c r="AB410" s="48">
        <v>94.31</v>
      </c>
      <c r="AD410" s="44">
        <v>1.5329999999999999</v>
      </c>
      <c r="AG410" t="s">
        <v>16</v>
      </c>
      <c r="AH410" s="45">
        <v>3.0000000000000001E-6</v>
      </c>
      <c r="AI410" s="45">
        <v>1.47603038646871E-2</v>
      </c>
      <c r="AJ410" s="45">
        <v>7.9684661378486802E-4</v>
      </c>
    </row>
    <row r="411" spans="1:36" x14ac:dyDescent="0.25">
      <c r="A411">
        <v>424</v>
      </c>
      <c r="B411">
        <v>9817</v>
      </c>
      <c r="C411" t="s">
        <v>325</v>
      </c>
      <c r="D411" t="s">
        <v>326</v>
      </c>
      <c r="E411" t="s">
        <v>210</v>
      </c>
      <c r="F411" t="s">
        <v>327</v>
      </c>
      <c r="G411" t="s">
        <v>328</v>
      </c>
      <c r="H411" t="s">
        <v>213</v>
      </c>
      <c r="I411" t="s">
        <v>239</v>
      </c>
      <c r="J411" t="s">
        <v>71</v>
      </c>
      <c r="K411" t="s">
        <v>71</v>
      </c>
      <c r="L411" t="s">
        <v>216</v>
      </c>
      <c r="M411" t="s">
        <v>109</v>
      </c>
      <c r="N411" t="s">
        <v>329</v>
      </c>
      <c r="O411" t="s">
        <v>72</v>
      </c>
      <c r="P411" t="s">
        <v>235</v>
      </c>
      <c r="Q411" t="s">
        <v>219</v>
      </c>
      <c r="R411" t="s">
        <v>220</v>
      </c>
      <c r="S411" t="s">
        <v>81</v>
      </c>
      <c r="T411" s="44">
        <v>4.07</v>
      </c>
      <c r="U411" t="s">
        <v>330</v>
      </c>
      <c r="V411" s="46">
        <v>5.5E-2</v>
      </c>
      <c r="W411" s="45">
        <v>5.1830000000000001E-2</v>
      </c>
      <c r="X411" t="s">
        <v>222</v>
      </c>
      <c r="Y411" t="s">
        <v>72</v>
      </c>
      <c r="Z411" s="44">
        <v>5356.03</v>
      </c>
      <c r="AA411" s="42">
        <v>1</v>
      </c>
      <c r="AB411" s="48">
        <v>104.5</v>
      </c>
      <c r="AD411" s="44">
        <v>5.5970000000000004</v>
      </c>
      <c r="AG411" t="s">
        <v>16</v>
      </c>
      <c r="AH411" s="45">
        <v>5.0000000000000004E-6</v>
      </c>
      <c r="AI411" s="45">
        <v>5.3906790973961297E-2</v>
      </c>
      <c r="AJ411" s="45">
        <v>2.9102005108700602E-3</v>
      </c>
    </row>
    <row r="412" spans="1:36" x14ac:dyDescent="0.25">
      <c r="A412">
        <v>424</v>
      </c>
      <c r="B412">
        <v>9817</v>
      </c>
      <c r="C412" t="s">
        <v>331</v>
      </c>
      <c r="D412" t="s">
        <v>332</v>
      </c>
      <c r="E412" t="s">
        <v>210</v>
      </c>
      <c r="F412" t="s">
        <v>719</v>
      </c>
      <c r="G412" t="s">
        <v>720</v>
      </c>
      <c r="H412" t="s">
        <v>213</v>
      </c>
      <c r="I412" t="s">
        <v>214</v>
      </c>
      <c r="J412" t="s">
        <v>71</v>
      </c>
      <c r="K412" t="s">
        <v>71</v>
      </c>
      <c r="L412" t="s">
        <v>216</v>
      </c>
      <c r="M412" t="s">
        <v>117</v>
      </c>
      <c r="N412" t="s">
        <v>258</v>
      </c>
      <c r="O412" t="s">
        <v>72</v>
      </c>
      <c r="P412" t="s">
        <v>228</v>
      </c>
      <c r="Q412" t="s">
        <v>74</v>
      </c>
      <c r="R412" t="s">
        <v>220</v>
      </c>
      <c r="S412" t="s">
        <v>81</v>
      </c>
      <c r="T412" s="44">
        <v>2.4180000000000001</v>
      </c>
      <c r="U412" t="s">
        <v>721</v>
      </c>
      <c r="V412" s="46">
        <v>3.3500000000000002E-2</v>
      </c>
      <c r="W412" s="45">
        <v>2.7869999999999999E-2</v>
      </c>
      <c r="X412" t="s">
        <v>222</v>
      </c>
      <c r="Y412" t="s">
        <v>72</v>
      </c>
      <c r="Z412" s="44">
        <v>5122.1099999999997</v>
      </c>
      <c r="AA412" s="42">
        <v>1</v>
      </c>
      <c r="AB412" s="48">
        <v>117.2</v>
      </c>
      <c r="AD412" s="44">
        <v>6.0030000000000001</v>
      </c>
      <c r="AG412" t="s">
        <v>16</v>
      </c>
      <c r="AH412" s="45">
        <v>7.9999999999999996E-6</v>
      </c>
      <c r="AI412" s="45">
        <v>5.7817685265925997E-2</v>
      </c>
      <c r="AJ412" s="45">
        <v>3.1213332153178599E-3</v>
      </c>
    </row>
    <row r="413" spans="1:36" x14ac:dyDescent="0.25">
      <c r="A413">
        <v>424</v>
      </c>
      <c r="B413">
        <v>9817</v>
      </c>
      <c r="C413" t="s">
        <v>344</v>
      </c>
      <c r="D413" t="s">
        <v>345</v>
      </c>
      <c r="E413" t="s">
        <v>210</v>
      </c>
      <c r="F413" t="s">
        <v>349</v>
      </c>
      <c r="G413" t="s">
        <v>350</v>
      </c>
      <c r="H413" t="s">
        <v>213</v>
      </c>
      <c r="I413" t="s">
        <v>214</v>
      </c>
      <c r="J413" t="s">
        <v>71</v>
      </c>
      <c r="K413" t="s">
        <v>71</v>
      </c>
      <c r="L413" t="s">
        <v>216</v>
      </c>
      <c r="M413" t="s">
        <v>117</v>
      </c>
      <c r="N413" t="s">
        <v>258</v>
      </c>
      <c r="O413" t="s">
        <v>72</v>
      </c>
      <c r="P413" t="s">
        <v>259</v>
      </c>
      <c r="Q413" t="s">
        <v>74</v>
      </c>
      <c r="R413" t="s">
        <v>220</v>
      </c>
      <c r="S413" t="s">
        <v>81</v>
      </c>
      <c r="T413" s="44">
        <v>3.4889999999999999</v>
      </c>
      <c r="U413" t="s">
        <v>351</v>
      </c>
      <c r="V413" s="46">
        <v>5.0000000000000001E-3</v>
      </c>
      <c r="W413" s="45">
        <v>3.0589999999999999E-2</v>
      </c>
      <c r="X413" t="s">
        <v>222</v>
      </c>
      <c r="Y413" t="s">
        <v>72</v>
      </c>
      <c r="Z413" s="44">
        <v>12433.63</v>
      </c>
      <c r="AA413" s="42">
        <v>1</v>
      </c>
      <c r="AB413" s="48">
        <v>105.54</v>
      </c>
      <c r="AD413" s="44">
        <v>13.122</v>
      </c>
      <c r="AG413" t="s">
        <v>16</v>
      </c>
      <c r="AH413" s="45">
        <v>7.9999999999999996E-6</v>
      </c>
      <c r="AI413" s="45">
        <v>0.12638607227270199</v>
      </c>
      <c r="AJ413" s="45">
        <v>6.8230515200309498E-3</v>
      </c>
    </row>
    <row r="414" spans="1:36" x14ac:dyDescent="0.25">
      <c r="A414">
        <v>424</v>
      </c>
      <c r="B414">
        <v>9817</v>
      </c>
      <c r="C414" t="s">
        <v>344</v>
      </c>
      <c r="D414" t="s">
        <v>345</v>
      </c>
      <c r="E414" t="s">
        <v>210</v>
      </c>
      <c r="F414" t="s">
        <v>352</v>
      </c>
      <c r="G414" t="s">
        <v>353</v>
      </c>
      <c r="H414" t="s">
        <v>213</v>
      </c>
      <c r="I414" t="s">
        <v>214</v>
      </c>
      <c r="J414" t="s">
        <v>71</v>
      </c>
      <c r="K414" t="s">
        <v>71</v>
      </c>
      <c r="L414" t="s">
        <v>216</v>
      </c>
      <c r="M414" t="s">
        <v>117</v>
      </c>
      <c r="N414" t="s">
        <v>258</v>
      </c>
      <c r="O414" t="s">
        <v>72</v>
      </c>
      <c r="P414" t="s">
        <v>259</v>
      </c>
      <c r="Q414" t="s">
        <v>74</v>
      </c>
      <c r="R414" t="s">
        <v>220</v>
      </c>
      <c r="S414" t="s">
        <v>81</v>
      </c>
      <c r="T414" s="44">
        <v>4.673</v>
      </c>
      <c r="U414" t="s">
        <v>354</v>
      </c>
      <c r="V414" s="46">
        <v>5.8999999999999999E-3</v>
      </c>
      <c r="W414" s="45">
        <v>3.0779999999999998E-2</v>
      </c>
      <c r="X414" t="s">
        <v>222</v>
      </c>
      <c r="Y414" t="s">
        <v>72</v>
      </c>
      <c r="Z414" s="44">
        <v>1557</v>
      </c>
      <c r="AA414" s="42">
        <v>1</v>
      </c>
      <c r="AB414" s="48">
        <v>100.11</v>
      </c>
      <c r="AD414" s="44">
        <v>1.5589999999999999</v>
      </c>
      <c r="AG414" t="s">
        <v>16</v>
      </c>
      <c r="AH414" s="45">
        <v>9.9999999999999995E-7</v>
      </c>
      <c r="AI414" s="45">
        <v>1.5012404648987E-2</v>
      </c>
      <c r="AJ414" s="45">
        <v>8.1045647291401901E-4</v>
      </c>
    </row>
    <row r="415" spans="1:36" x14ac:dyDescent="0.25">
      <c r="A415">
        <v>424</v>
      </c>
      <c r="B415">
        <v>9817</v>
      </c>
      <c r="C415" t="s">
        <v>344</v>
      </c>
      <c r="D415" t="s">
        <v>345</v>
      </c>
      <c r="E415" t="s">
        <v>210</v>
      </c>
      <c r="F415" t="s">
        <v>358</v>
      </c>
      <c r="G415" t="s">
        <v>359</v>
      </c>
      <c r="H415" t="s">
        <v>213</v>
      </c>
      <c r="I415" t="s">
        <v>214</v>
      </c>
      <c r="J415" t="s">
        <v>71</v>
      </c>
      <c r="K415" t="s">
        <v>71</v>
      </c>
      <c r="L415" t="s">
        <v>216</v>
      </c>
      <c r="M415" t="s">
        <v>117</v>
      </c>
      <c r="N415" t="s">
        <v>258</v>
      </c>
      <c r="O415" t="s">
        <v>72</v>
      </c>
      <c r="P415" t="s">
        <v>259</v>
      </c>
      <c r="Q415" t="s">
        <v>74</v>
      </c>
      <c r="R415" t="s">
        <v>220</v>
      </c>
      <c r="S415" t="s">
        <v>81</v>
      </c>
      <c r="T415" s="44">
        <v>0.98599999999999999</v>
      </c>
      <c r="U415" t="s">
        <v>360</v>
      </c>
      <c r="V415" s="46">
        <v>4.7500000000000001E-2</v>
      </c>
      <c r="W415" s="45">
        <v>2.462E-2</v>
      </c>
      <c r="X415" t="s">
        <v>222</v>
      </c>
      <c r="Y415" t="s">
        <v>72</v>
      </c>
      <c r="Z415" s="44">
        <v>456.34</v>
      </c>
      <c r="AA415" s="42">
        <v>1</v>
      </c>
      <c r="AB415" s="48">
        <v>143.4</v>
      </c>
      <c r="AD415" s="44">
        <v>0.65400000000000003</v>
      </c>
      <c r="AG415" t="s">
        <v>16</v>
      </c>
      <c r="AH415" s="45">
        <v>9.9999999999999995E-7</v>
      </c>
      <c r="AI415" s="45">
        <v>6.3026309451394398E-3</v>
      </c>
      <c r="AJ415" s="45">
        <v>3.4025248887899797E-4</v>
      </c>
    </row>
    <row r="416" spans="1:36" x14ac:dyDescent="0.25">
      <c r="A416">
        <v>424</v>
      </c>
      <c r="B416">
        <v>9817</v>
      </c>
      <c r="C416" t="s">
        <v>661</v>
      </c>
      <c r="D416" t="s">
        <v>662</v>
      </c>
      <c r="E416" t="s">
        <v>210</v>
      </c>
      <c r="F416" t="s">
        <v>663</v>
      </c>
      <c r="G416" t="s">
        <v>664</v>
      </c>
      <c r="H416" t="s">
        <v>213</v>
      </c>
      <c r="I416" t="s">
        <v>214</v>
      </c>
      <c r="J416" t="s">
        <v>71</v>
      </c>
      <c r="K416" t="s">
        <v>71</v>
      </c>
      <c r="L416" t="s">
        <v>216</v>
      </c>
      <c r="M416" t="s">
        <v>117</v>
      </c>
      <c r="N416" t="s">
        <v>272</v>
      </c>
      <c r="O416" t="s">
        <v>72</v>
      </c>
      <c r="P416" t="s">
        <v>246</v>
      </c>
      <c r="Q416" t="s">
        <v>74</v>
      </c>
      <c r="R416" t="s">
        <v>220</v>
      </c>
      <c r="S416" t="s">
        <v>81</v>
      </c>
      <c r="T416" s="44">
        <v>4.2450000000000001</v>
      </c>
      <c r="U416" t="s">
        <v>448</v>
      </c>
      <c r="V416" s="46">
        <v>7.4999999999999997E-3</v>
      </c>
      <c r="W416" s="45">
        <v>3.288E-2</v>
      </c>
      <c r="X416" t="s">
        <v>222</v>
      </c>
      <c r="Y416" t="s">
        <v>72</v>
      </c>
      <c r="Z416" s="44">
        <v>1238</v>
      </c>
      <c r="AA416" s="42">
        <v>1</v>
      </c>
      <c r="AB416" s="48">
        <v>100.84</v>
      </c>
      <c r="AD416" s="44">
        <v>1.248</v>
      </c>
      <c r="AG416" t="s">
        <v>16</v>
      </c>
      <c r="AH416" s="45">
        <v>9.9999999999999995E-7</v>
      </c>
      <c r="AI416" s="45">
        <v>1.20236872092411E-2</v>
      </c>
      <c r="AJ416" s="45">
        <v>6.4910821116725601E-4</v>
      </c>
    </row>
    <row r="417" spans="1:36" x14ac:dyDescent="0.25">
      <c r="A417">
        <v>424</v>
      </c>
      <c r="B417">
        <v>9817</v>
      </c>
      <c r="C417" t="s">
        <v>377</v>
      </c>
      <c r="D417" t="s">
        <v>378</v>
      </c>
      <c r="E417" t="s">
        <v>210</v>
      </c>
      <c r="F417" t="s">
        <v>379</v>
      </c>
      <c r="G417" t="s">
        <v>380</v>
      </c>
      <c r="H417" t="s">
        <v>213</v>
      </c>
      <c r="I417" t="s">
        <v>214</v>
      </c>
      <c r="J417" t="s">
        <v>71</v>
      </c>
      <c r="K417" t="s">
        <v>71</v>
      </c>
      <c r="L417" t="s">
        <v>216</v>
      </c>
      <c r="M417" t="s">
        <v>117</v>
      </c>
      <c r="N417" t="s">
        <v>234</v>
      </c>
      <c r="O417" t="s">
        <v>72</v>
      </c>
      <c r="P417" t="s">
        <v>235</v>
      </c>
      <c r="Q417" t="s">
        <v>219</v>
      </c>
      <c r="R417" t="s">
        <v>220</v>
      </c>
      <c r="S417" t="s">
        <v>81</v>
      </c>
      <c r="T417" s="44">
        <v>3.448</v>
      </c>
      <c r="U417" t="s">
        <v>381</v>
      </c>
      <c r="V417" s="46">
        <v>1.7999999999999999E-2</v>
      </c>
      <c r="W417" s="45">
        <v>3.4950000000000002E-2</v>
      </c>
      <c r="X417" t="s">
        <v>222</v>
      </c>
      <c r="Y417" t="s">
        <v>72</v>
      </c>
      <c r="Z417" s="44">
        <v>6520.65</v>
      </c>
      <c r="AA417" s="42">
        <v>1</v>
      </c>
      <c r="AB417" s="48">
        <v>109.14</v>
      </c>
      <c r="AD417" s="44">
        <v>7.117</v>
      </c>
      <c r="AG417" t="s">
        <v>16</v>
      </c>
      <c r="AH417" s="45">
        <v>6.9999999999999999E-6</v>
      </c>
      <c r="AI417" s="45">
        <v>6.8542355842124494E-2</v>
      </c>
      <c r="AJ417" s="45">
        <v>3.7003129918146901E-3</v>
      </c>
    </row>
    <row r="418" spans="1:36" x14ac:dyDescent="0.25">
      <c r="A418">
        <v>424</v>
      </c>
      <c r="B418">
        <v>9817</v>
      </c>
      <c r="C418" t="s">
        <v>392</v>
      </c>
      <c r="D418" t="s">
        <v>393</v>
      </c>
      <c r="E418" t="s">
        <v>210</v>
      </c>
      <c r="F418" t="s">
        <v>731</v>
      </c>
      <c r="G418" t="s">
        <v>732</v>
      </c>
      <c r="H418" t="s">
        <v>213</v>
      </c>
      <c r="I418" t="s">
        <v>239</v>
      </c>
      <c r="J418" t="s">
        <v>71</v>
      </c>
      <c r="K418" t="s">
        <v>71</v>
      </c>
      <c r="L418" t="s">
        <v>216</v>
      </c>
      <c r="M418" t="s">
        <v>117</v>
      </c>
      <c r="N418" t="s">
        <v>252</v>
      </c>
      <c r="O418" t="s">
        <v>72</v>
      </c>
      <c r="P418" t="s">
        <v>228</v>
      </c>
      <c r="Q418" t="s">
        <v>74</v>
      </c>
      <c r="R418" t="s">
        <v>220</v>
      </c>
      <c r="S418" t="s">
        <v>81</v>
      </c>
      <c r="T418" s="44">
        <v>2.6819999999999999</v>
      </c>
      <c r="U418" t="s">
        <v>391</v>
      </c>
      <c r="V418" s="46">
        <v>1.7899999999999999E-2</v>
      </c>
      <c r="W418" s="45">
        <v>4.691E-2</v>
      </c>
      <c r="X418" t="s">
        <v>222</v>
      </c>
      <c r="Y418" t="s">
        <v>72</v>
      </c>
      <c r="Z418" s="44">
        <v>6000</v>
      </c>
      <c r="AA418" s="42">
        <v>1</v>
      </c>
      <c r="AB418" s="48">
        <v>93.17</v>
      </c>
      <c r="AD418" s="44">
        <v>5.59</v>
      </c>
      <c r="AG418" t="s">
        <v>16</v>
      </c>
      <c r="AH418" s="45">
        <v>1.7E-5</v>
      </c>
      <c r="AI418" s="45">
        <v>5.3840803676499897E-2</v>
      </c>
      <c r="AJ418" s="45">
        <v>2.9066381347145902E-3</v>
      </c>
    </row>
    <row r="419" spans="1:36" x14ac:dyDescent="0.25">
      <c r="A419">
        <v>424</v>
      </c>
      <c r="B419">
        <v>9817</v>
      </c>
      <c r="C419" t="s">
        <v>392</v>
      </c>
      <c r="D419" t="s">
        <v>393</v>
      </c>
      <c r="E419" t="s">
        <v>210</v>
      </c>
      <c r="F419" t="s">
        <v>394</v>
      </c>
      <c r="G419" t="s">
        <v>395</v>
      </c>
      <c r="H419" t="s">
        <v>213</v>
      </c>
      <c r="I419" t="s">
        <v>239</v>
      </c>
      <c r="J419" t="s">
        <v>71</v>
      </c>
      <c r="K419" t="s">
        <v>71</v>
      </c>
      <c r="L419" t="s">
        <v>216</v>
      </c>
      <c r="M419" t="s">
        <v>117</v>
      </c>
      <c r="N419" t="s">
        <v>252</v>
      </c>
      <c r="O419" t="s">
        <v>72</v>
      </c>
      <c r="P419" t="s">
        <v>228</v>
      </c>
      <c r="Q419" t="s">
        <v>74</v>
      </c>
      <c r="R419" t="s">
        <v>220</v>
      </c>
      <c r="S419" t="s">
        <v>81</v>
      </c>
      <c r="T419" s="44">
        <v>6.0570000000000004</v>
      </c>
      <c r="U419" t="s">
        <v>396</v>
      </c>
      <c r="V419" s="46">
        <v>3.0499999999999999E-2</v>
      </c>
      <c r="W419" s="45">
        <v>5.1069999999999997E-2</v>
      </c>
      <c r="X419" t="s">
        <v>222</v>
      </c>
      <c r="Y419" t="s">
        <v>72</v>
      </c>
      <c r="Z419" s="44">
        <v>1546</v>
      </c>
      <c r="AA419" s="42">
        <v>1</v>
      </c>
      <c r="AB419" s="48">
        <v>89.46</v>
      </c>
      <c r="AD419" s="44">
        <v>1.383</v>
      </c>
      <c r="AG419" t="s">
        <v>16</v>
      </c>
      <c r="AH419" s="45">
        <v>1.9999999999999999E-6</v>
      </c>
      <c r="AI419" s="45">
        <v>1.33205627115432E-2</v>
      </c>
      <c r="AJ419" s="45">
        <v>7.1912105521055301E-4</v>
      </c>
    </row>
    <row r="420" spans="1:36" x14ac:dyDescent="0.25">
      <c r="A420">
        <v>424</v>
      </c>
      <c r="B420">
        <v>9817</v>
      </c>
      <c r="C420" t="s">
        <v>392</v>
      </c>
      <c r="D420" t="s">
        <v>393</v>
      </c>
      <c r="E420" t="s">
        <v>210</v>
      </c>
      <c r="F420" t="s">
        <v>636</v>
      </c>
      <c r="G420" t="s">
        <v>637</v>
      </c>
      <c r="H420" t="s">
        <v>213</v>
      </c>
      <c r="I420" t="s">
        <v>239</v>
      </c>
      <c r="J420" t="s">
        <v>71</v>
      </c>
      <c r="K420" t="s">
        <v>71</v>
      </c>
      <c r="L420" t="s">
        <v>216</v>
      </c>
      <c r="M420" t="s">
        <v>117</v>
      </c>
      <c r="N420" t="s">
        <v>252</v>
      </c>
      <c r="O420" t="s">
        <v>72</v>
      </c>
      <c r="P420" t="s">
        <v>228</v>
      </c>
      <c r="Q420" t="s">
        <v>74</v>
      </c>
      <c r="R420" t="s">
        <v>220</v>
      </c>
      <c r="S420" t="s">
        <v>81</v>
      </c>
      <c r="T420" s="44">
        <v>6.9329999999999998</v>
      </c>
      <c r="U420" t="s">
        <v>457</v>
      </c>
      <c r="V420" s="46">
        <v>2.63E-2</v>
      </c>
      <c r="W420" s="45">
        <v>5.2639999999999999E-2</v>
      </c>
      <c r="X420" t="s">
        <v>222</v>
      </c>
      <c r="Y420" t="s">
        <v>72</v>
      </c>
      <c r="Z420" s="44">
        <v>1016</v>
      </c>
      <c r="AA420" s="42">
        <v>1</v>
      </c>
      <c r="AB420" s="48">
        <v>84.43</v>
      </c>
      <c r="AD420" s="44">
        <v>0.85799999999999998</v>
      </c>
      <c r="AG420" t="s">
        <v>16</v>
      </c>
      <c r="AH420" s="45">
        <v>9.9999999999999995E-7</v>
      </c>
      <c r="AI420" s="45">
        <v>8.2618001489703306E-3</v>
      </c>
      <c r="AJ420" s="45">
        <v>4.4601977932341702E-4</v>
      </c>
    </row>
    <row r="421" spans="1:36" x14ac:dyDescent="0.25">
      <c r="A421">
        <v>424</v>
      </c>
      <c r="B421">
        <v>9817</v>
      </c>
      <c r="C421" t="s">
        <v>469</v>
      </c>
      <c r="D421" t="s">
        <v>470</v>
      </c>
      <c r="E421" t="s">
        <v>210</v>
      </c>
      <c r="F421" t="s">
        <v>733</v>
      </c>
      <c r="G421" t="s">
        <v>734</v>
      </c>
      <c r="H421" t="s">
        <v>213</v>
      </c>
      <c r="I421" t="s">
        <v>214</v>
      </c>
      <c r="J421" t="s">
        <v>71</v>
      </c>
      <c r="K421" t="s">
        <v>71</v>
      </c>
      <c r="L421" t="s">
        <v>216</v>
      </c>
      <c r="M421" t="s">
        <v>117</v>
      </c>
      <c r="N421" t="s">
        <v>365</v>
      </c>
      <c r="O421" t="s">
        <v>72</v>
      </c>
      <c r="P421" t="s">
        <v>73</v>
      </c>
      <c r="Q421" t="s">
        <v>74</v>
      </c>
      <c r="R421" t="s">
        <v>220</v>
      </c>
      <c r="S421" t="s">
        <v>81</v>
      </c>
      <c r="T421" s="44">
        <v>1.224</v>
      </c>
      <c r="U421" t="s">
        <v>735</v>
      </c>
      <c r="V421" s="46">
        <v>3.8E-3</v>
      </c>
      <c r="W421" s="45">
        <v>2.3910000000000001E-2</v>
      </c>
      <c r="X421" t="s">
        <v>222</v>
      </c>
      <c r="Y421" t="s">
        <v>72</v>
      </c>
      <c r="Z421" s="44">
        <v>7012</v>
      </c>
      <c r="AA421" s="42">
        <v>1</v>
      </c>
      <c r="AB421" s="48">
        <v>111.45</v>
      </c>
      <c r="AD421" s="44">
        <v>7.8150000000000004</v>
      </c>
      <c r="AG421" t="s">
        <v>16</v>
      </c>
      <c r="AH421" s="45">
        <v>1.9999999999999999E-6</v>
      </c>
      <c r="AI421" s="45">
        <v>7.52672707220821E-2</v>
      </c>
      <c r="AJ421" s="45">
        <v>4.06336281106035E-3</v>
      </c>
    </row>
    <row r="422" spans="1:36" x14ac:dyDescent="0.25">
      <c r="A422">
        <v>424</v>
      </c>
      <c r="B422">
        <v>9817</v>
      </c>
      <c r="C422" t="s">
        <v>483</v>
      </c>
      <c r="D422" t="s">
        <v>484</v>
      </c>
      <c r="E422" t="s">
        <v>210</v>
      </c>
      <c r="F422" t="s">
        <v>641</v>
      </c>
      <c r="G422" t="s">
        <v>642</v>
      </c>
      <c r="H422" t="s">
        <v>213</v>
      </c>
      <c r="I422" t="s">
        <v>214</v>
      </c>
      <c r="J422" t="s">
        <v>71</v>
      </c>
      <c r="K422" t="s">
        <v>71</v>
      </c>
      <c r="L422" t="s">
        <v>216</v>
      </c>
      <c r="M422" t="s">
        <v>117</v>
      </c>
      <c r="N422" t="s">
        <v>258</v>
      </c>
      <c r="O422" t="s">
        <v>72</v>
      </c>
      <c r="P422" t="s">
        <v>259</v>
      </c>
      <c r="Q422" t="s">
        <v>74</v>
      </c>
      <c r="R422" t="s">
        <v>220</v>
      </c>
      <c r="S422" t="s">
        <v>81</v>
      </c>
      <c r="T422" s="44">
        <v>0.27400000000000002</v>
      </c>
      <c r="U422" t="s">
        <v>643</v>
      </c>
      <c r="V422" s="46">
        <v>2.3E-2</v>
      </c>
      <c r="W422" s="45">
        <v>2.1250000000000002E-2</v>
      </c>
      <c r="X422" t="s">
        <v>222</v>
      </c>
      <c r="Y422" t="s">
        <v>72</v>
      </c>
      <c r="Z422" s="44">
        <v>3917.26</v>
      </c>
      <c r="AA422" s="42">
        <v>1</v>
      </c>
      <c r="AB422" s="48">
        <v>118.09</v>
      </c>
      <c r="AD422" s="44">
        <v>4.6260000000000003</v>
      </c>
      <c r="AG422" t="s">
        <v>16</v>
      </c>
      <c r="AH422" s="45">
        <v>5.0000000000000004E-6</v>
      </c>
      <c r="AI422" s="45">
        <v>4.4553282706078397E-2</v>
      </c>
      <c r="AJ422" s="45">
        <v>2.4052440100691E-3</v>
      </c>
    </row>
    <row r="423" spans="1:36" x14ac:dyDescent="0.25">
      <c r="A423">
        <v>424</v>
      </c>
      <c r="B423">
        <v>9817</v>
      </c>
      <c r="C423" t="s">
        <v>483</v>
      </c>
      <c r="D423" t="s">
        <v>484</v>
      </c>
      <c r="E423" t="s">
        <v>210</v>
      </c>
      <c r="F423" t="s">
        <v>488</v>
      </c>
      <c r="G423" t="s">
        <v>489</v>
      </c>
      <c r="H423" t="s">
        <v>213</v>
      </c>
      <c r="I423" t="s">
        <v>214</v>
      </c>
      <c r="J423" t="s">
        <v>71</v>
      </c>
      <c r="K423" t="s">
        <v>71</v>
      </c>
      <c r="L423" t="s">
        <v>216</v>
      </c>
      <c r="M423" t="s">
        <v>117</v>
      </c>
      <c r="N423" t="s">
        <v>258</v>
      </c>
      <c r="O423" t="s">
        <v>72</v>
      </c>
      <c r="P423" t="s">
        <v>259</v>
      </c>
      <c r="Q423" t="s">
        <v>74</v>
      </c>
      <c r="R423" t="s">
        <v>220</v>
      </c>
      <c r="S423" t="s">
        <v>81</v>
      </c>
      <c r="T423" s="44">
        <v>1.038</v>
      </c>
      <c r="U423" t="s">
        <v>490</v>
      </c>
      <c r="V423" s="46">
        <v>2.1499999999999998E-2</v>
      </c>
      <c r="W423" s="45">
        <v>2.657E-2</v>
      </c>
      <c r="X423" t="s">
        <v>222</v>
      </c>
      <c r="Y423" t="s">
        <v>72</v>
      </c>
      <c r="Z423" s="44">
        <v>3649.75</v>
      </c>
      <c r="AA423" s="42">
        <v>1</v>
      </c>
      <c r="AB423" s="48">
        <v>118.15</v>
      </c>
      <c r="AD423" s="44">
        <v>4.3120000000000003</v>
      </c>
      <c r="AG423" t="s">
        <v>16</v>
      </c>
      <c r="AH423" s="45">
        <v>3.0000000000000001E-6</v>
      </c>
      <c r="AI423" s="45">
        <v>4.1531826519163498E-2</v>
      </c>
      <c r="AJ423" s="45">
        <v>2.2421283213059102E-3</v>
      </c>
    </row>
    <row r="424" spans="1:36" x14ac:dyDescent="0.25">
      <c r="A424">
        <v>424</v>
      </c>
      <c r="B424">
        <v>9817</v>
      </c>
      <c r="C424" t="s">
        <v>483</v>
      </c>
      <c r="D424" t="s">
        <v>484</v>
      </c>
      <c r="E424" t="s">
        <v>210</v>
      </c>
      <c r="F424" t="s">
        <v>736</v>
      </c>
      <c r="G424" t="s">
        <v>737</v>
      </c>
      <c r="H424" t="s">
        <v>213</v>
      </c>
      <c r="I424" t="s">
        <v>214</v>
      </c>
      <c r="J424" t="s">
        <v>71</v>
      </c>
      <c r="K424" t="s">
        <v>71</v>
      </c>
      <c r="L424" t="s">
        <v>216</v>
      </c>
      <c r="M424" t="s">
        <v>117</v>
      </c>
      <c r="N424" t="s">
        <v>258</v>
      </c>
      <c r="O424" t="s">
        <v>72</v>
      </c>
      <c r="P424" t="s">
        <v>259</v>
      </c>
      <c r="Q424" t="s">
        <v>74</v>
      </c>
      <c r="R424" t="s">
        <v>220</v>
      </c>
      <c r="S424" t="s">
        <v>81</v>
      </c>
      <c r="T424" s="44">
        <v>1.93</v>
      </c>
      <c r="U424" t="s">
        <v>738</v>
      </c>
      <c r="V424" s="46">
        <v>2.35E-2</v>
      </c>
      <c r="W424" s="45">
        <v>2.7359999999999999E-2</v>
      </c>
      <c r="X424" t="s">
        <v>222</v>
      </c>
      <c r="Y424" t="s">
        <v>72</v>
      </c>
      <c r="Z424" s="44">
        <v>12838.64</v>
      </c>
      <c r="AA424" s="42">
        <v>1</v>
      </c>
      <c r="AB424" s="48">
        <v>116.13</v>
      </c>
      <c r="AC424" s="44">
        <v>0.35899999999999999</v>
      </c>
      <c r="AD424" s="44">
        <v>15.269</v>
      </c>
      <c r="AG424" t="s">
        <v>16</v>
      </c>
      <c r="AH424" s="45">
        <v>1.4E-5</v>
      </c>
      <c r="AI424" s="45">
        <v>0.147059522485287</v>
      </c>
      <c r="AJ424" s="45">
        <v>7.9391239903654001E-3</v>
      </c>
    </row>
    <row r="425" spans="1:36" x14ac:dyDescent="0.25">
      <c r="A425">
        <v>424</v>
      </c>
      <c r="B425">
        <v>9817</v>
      </c>
      <c r="C425" t="s">
        <v>722</v>
      </c>
      <c r="D425" t="s">
        <v>723</v>
      </c>
      <c r="E425" t="s">
        <v>210</v>
      </c>
      <c r="F425" t="s">
        <v>724</v>
      </c>
      <c r="G425" t="s">
        <v>725</v>
      </c>
      <c r="H425" t="s">
        <v>213</v>
      </c>
      <c r="I425" t="s">
        <v>214</v>
      </c>
      <c r="J425" t="s">
        <v>71</v>
      </c>
      <c r="K425" t="s">
        <v>71</v>
      </c>
      <c r="L425" t="s">
        <v>216</v>
      </c>
      <c r="M425" t="s">
        <v>117</v>
      </c>
      <c r="N425" t="s">
        <v>258</v>
      </c>
      <c r="O425" t="s">
        <v>72</v>
      </c>
      <c r="P425" t="s">
        <v>228</v>
      </c>
      <c r="Q425" t="s">
        <v>219</v>
      </c>
      <c r="R425" t="s">
        <v>220</v>
      </c>
      <c r="S425" t="s">
        <v>81</v>
      </c>
      <c r="T425" s="44">
        <v>2.4729999999999999</v>
      </c>
      <c r="U425" t="s">
        <v>391</v>
      </c>
      <c r="V425" s="46">
        <v>2.75E-2</v>
      </c>
      <c r="W425" s="45">
        <v>2.7349999999999999E-2</v>
      </c>
      <c r="X425" t="s">
        <v>222</v>
      </c>
      <c r="Y425" t="s">
        <v>72</v>
      </c>
      <c r="Z425" s="44">
        <v>4000</v>
      </c>
      <c r="AA425" s="42">
        <v>1</v>
      </c>
      <c r="AB425" s="48">
        <v>115.76</v>
      </c>
      <c r="AD425" s="44">
        <v>4.63</v>
      </c>
      <c r="AG425" t="s">
        <v>16</v>
      </c>
      <c r="AH425" s="45">
        <v>7.9999999999999996E-6</v>
      </c>
      <c r="AI425" s="45">
        <v>4.4596697317388502E-2</v>
      </c>
      <c r="AJ425" s="45">
        <v>2.4075877820082399E-3</v>
      </c>
    </row>
    <row r="426" spans="1:36" x14ac:dyDescent="0.25">
      <c r="A426">
        <v>424</v>
      </c>
      <c r="B426">
        <v>9817</v>
      </c>
      <c r="C426" t="s">
        <v>494</v>
      </c>
      <c r="D426" t="s">
        <v>495</v>
      </c>
      <c r="E426" t="s">
        <v>210</v>
      </c>
      <c r="F426" t="s">
        <v>496</v>
      </c>
      <c r="G426" t="s">
        <v>497</v>
      </c>
      <c r="H426" t="s">
        <v>213</v>
      </c>
      <c r="I426" t="s">
        <v>239</v>
      </c>
      <c r="J426" t="s">
        <v>71</v>
      </c>
      <c r="K426" t="s">
        <v>71</v>
      </c>
      <c r="L426" t="s">
        <v>216</v>
      </c>
      <c r="M426" t="s">
        <v>117</v>
      </c>
      <c r="N426" t="s">
        <v>498</v>
      </c>
      <c r="O426" t="s">
        <v>72</v>
      </c>
      <c r="P426" t="s">
        <v>235</v>
      </c>
      <c r="Q426" t="s">
        <v>219</v>
      </c>
      <c r="R426" t="s">
        <v>220</v>
      </c>
      <c r="S426" t="s">
        <v>81</v>
      </c>
      <c r="T426" s="44">
        <v>0.98399999999999999</v>
      </c>
      <c r="U426" t="s">
        <v>499</v>
      </c>
      <c r="V426" s="46">
        <v>0.114</v>
      </c>
      <c r="W426" s="45">
        <v>5.747E-2</v>
      </c>
      <c r="X426" t="s">
        <v>222</v>
      </c>
      <c r="Y426" t="s">
        <v>72</v>
      </c>
      <c r="Z426" s="44">
        <v>1990.57</v>
      </c>
      <c r="AA426" s="42">
        <v>1</v>
      </c>
      <c r="AB426" s="48">
        <v>101.2</v>
      </c>
      <c r="AD426" s="44">
        <v>2.0139999999999998</v>
      </c>
      <c r="AG426" t="s">
        <v>16</v>
      </c>
      <c r="AH426" s="45">
        <v>7.9999999999999996E-6</v>
      </c>
      <c r="AI426" s="45">
        <v>1.9401805881224699E-2</v>
      </c>
      <c r="AJ426" s="45">
        <v>1.0474217508999099E-3</v>
      </c>
    </row>
    <row r="427" spans="1:36" x14ac:dyDescent="0.25">
      <c r="A427">
        <v>424</v>
      </c>
      <c r="B427">
        <v>9817</v>
      </c>
      <c r="C427" t="s">
        <v>505</v>
      </c>
      <c r="D427" t="s">
        <v>506</v>
      </c>
      <c r="E427" t="s">
        <v>210</v>
      </c>
      <c r="F427" t="s">
        <v>507</v>
      </c>
      <c r="G427" t="s">
        <v>508</v>
      </c>
      <c r="H427" t="s">
        <v>213</v>
      </c>
      <c r="I427" t="s">
        <v>214</v>
      </c>
      <c r="J427" t="s">
        <v>71</v>
      </c>
      <c r="K427" t="s">
        <v>71</v>
      </c>
      <c r="L427" t="s">
        <v>216</v>
      </c>
      <c r="M427" t="s">
        <v>117</v>
      </c>
      <c r="N427" t="s">
        <v>245</v>
      </c>
      <c r="O427" t="s">
        <v>72</v>
      </c>
      <c r="P427" t="s">
        <v>509</v>
      </c>
      <c r="Q427" t="s">
        <v>219</v>
      </c>
      <c r="R427" t="s">
        <v>220</v>
      </c>
      <c r="S427" t="s">
        <v>81</v>
      </c>
      <c r="T427" s="44">
        <v>3.2440000000000002</v>
      </c>
      <c r="U427" t="s">
        <v>510</v>
      </c>
      <c r="V427" s="46">
        <v>2.07E-2</v>
      </c>
      <c r="W427" s="45">
        <v>4.1939999999999998E-2</v>
      </c>
      <c r="X427" t="s">
        <v>222</v>
      </c>
      <c r="Y427" t="s">
        <v>72</v>
      </c>
      <c r="Z427" s="44">
        <v>2104.0300000000002</v>
      </c>
      <c r="AA427" s="42">
        <v>1</v>
      </c>
      <c r="AB427" s="48">
        <v>105.96</v>
      </c>
      <c r="AD427" s="44">
        <v>2.2290000000000001</v>
      </c>
      <c r="AG427" t="s">
        <v>16</v>
      </c>
      <c r="AH427" s="45">
        <v>3.9999999999999998E-6</v>
      </c>
      <c r="AI427" s="45">
        <v>2.1472275242848199E-2</v>
      </c>
      <c r="AJ427" s="45">
        <v>1.1591976679053899E-3</v>
      </c>
    </row>
    <row r="428" spans="1:36" x14ac:dyDescent="0.25">
      <c r="A428">
        <v>424</v>
      </c>
      <c r="B428">
        <v>9817</v>
      </c>
      <c r="C428" t="s">
        <v>556</v>
      </c>
      <c r="D428" t="s">
        <v>557</v>
      </c>
      <c r="E428" t="s">
        <v>210</v>
      </c>
      <c r="F428" t="s">
        <v>565</v>
      </c>
      <c r="G428" t="s">
        <v>566</v>
      </c>
      <c r="H428" t="s">
        <v>213</v>
      </c>
      <c r="I428" t="s">
        <v>214</v>
      </c>
      <c r="J428" t="s">
        <v>71</v>
      </c>
      <c r="K428" t="s">
        <v>71</v>
      </c>
      <c r="L428" t="s">
        <v>216</v>
      </c>
      <c r="M428" t="s">
        <v>117</v>
      </c>
      <c r="N428" t="s">
        <v>258</v>
      </c>
      <c r="O428" t="s">
        <v>72</v>
      </c>
      <c r="P428" t="s">
        <v>560</v>
      </c>
      <c r="Q428" t="s">
        <v>74</v>
      </c>
      <c r="R428" t="s">
        <v>220</v>
      </c>
      <c r="S428" t="s">
        <v>81</v>
      </c>
      <c r="T428" s="44">
        <v>9.9939999999999998</v>
      </c>
      <c r="U428" t="s">
        <v>567</v>
      </c>
      <c r="V428" s="46">
        <v>1.6899999999999998E-2</v>
      </c>
      <c r="W428" s="45">
        <v>3.2899999999999999E-2</v>
      </c>
      <c r="X428" t="s">
        <v>222</v>
      </c>
      <c r="Y428" t="s">
        <v>72</v>
      </c>
      <c r="Z428" s="44">
        <v>2131</v>
      </c>
      <c r="AA428" s="42">
        <v>1</v>
      </c>
      <c r="AB428" s="48">
        <v>97.7</v>
      </c>
      <c r="AD428" s="44">
        <v>2.0819999999999999</v>
      </c>
      <c r="AG428" t="s">
        <v>16</v>
      </c>
      <c r="AH428" s="45">
        <v>0</v>
      </c>
      <c r="AI428" s="45">
        <v>2.0052208029055298E-2</v>
      </c>
      <c r="AJ428" s="45">
        <v>1.0825342224213899E-3</v>
      </c>
    </row>
    <row r="429" spans="1:36" x14ac:dyDescent="0.25">
      <c r="A429">
        <v>424</v>
      </c>
      <c r="B429">
        <v>9817</v>
      </c>
      <c r="C429" t="s">
        <v>88</v>
      </c>
      <c r="D429" t="s">
        <v>571</v>
      </c>
      <c r="E429" t="s">
        <v>210</v>
      </c>
      <c r="F429" t="s">
        <v>739</v>
      </c>
      <c r="G429" t="s">
        <v>740</v>
      </c>
      <c r="H429" t="s">
        <v>213</v>
      </c>
      <c r="I429" t="s">
        <v>214</v>
      </c>
      <c r="J429" t="s">
        <v>71</v>
      </c>
      <c r="K429" t="s">
        <v>71</v>
      </c>
      <c r="L429" t="s">
        <v>216</v>
      </c>
      <c r="M429" t="s">
        <v>117</v>
      </c>
      <c r="N429" t="s">
        <v>365</v>
      </c>
      <c r="O429" t="s">
        <v>72</v>
      </c>
      <c r="P429" t="s">
        <v>73</v>
      </c>
      <c r="Q429" t="s">
        <v>74</v>
      </c>
      <c r="R429" t="s">
        <v>220</v>
      </c>
      <c r="S429" t="s">
        <v>81</v>
      </c>
      <c r="T429" s="44">
        <v>3.0529999999999999</v>
      </c>
      <c r="U429" t="s">
        <v>741</v>
      </c>
      <c r="V429" s="46">
        <v>1.7500000000000002E-2</v>
      </c>
      <c r="W429" s="45">
        <v>2.554E-2</v>
      </c>
      <c r="X429" t="s">
        <v>222</v>
      </c>
      <c r="Y429" t="s">
        <v>72</v>
      </c>
      <c r="Z429" s="44">
        <v>3868.11</v>
      </c>
      <c r="AA429" s="42">
        <v>1</v>
      </c>
      <c r="AB429" s="48">
        <v>112.78</v>
      </c>
      <c r="AD429" s="44">
        <v>4.3620000000000001</v>
      </c>
      <c r="AG429" t="s">
        <v>16</v>
      </c>
      <c r="AH429" s="45">
        <v>1.9999999999999999E-6</v>
      </c>
      <c r="AI429" s="45">
        <v>4.2016037712577302E-2</v>
      </c>
      <c r="AJ429" s="45">
        <v>2.2682688434364599E-3</v>
      </c>
    </row>
    <row r="430" spans="1:36" x14ac:dyDescent="0.25">
      <c r="A430">
        <v>424</v>
      </c>
      <c r="B430">
        <v>9817</v>
      </c>
      <c r="C430" t="s">
        <v>670</v>
      </c>
      <c r="D430" t="s">
        <v>671</v>
      </c>
      <c r="E430" t="s">
        <v>210</v>
      </c>
      <c r="F430" t="s">
        <v>672</v>
      </c>
      <c r="G430" t="s">
        <v>673</v>
      </c>
      <c r="H430" t="s">
        <v>213</v>
      </c>
      <c r="I430" t="s">
        <v>239</v>
      </c>
      <c r="J430" t="s">
        <v>71</v>
      </c>
      <c r="K430" t="s">
        <v>71</v>
      </c>
      <c r="L430" t="s">
        <v>216</v>
      </c>
      <c r="M430" t="s">
        <v>117</v>
      </c>
      <c r="N430" t="s">
        <v>329</v>
      </c>
      <c r="O430" t="s">
        <v>72</v>
      </c>
      <c r="P430" t="s">
        <v>228</v>
      </c>
      <c r="Q430" t="s">
        <v>74</v>
      </c>
      <c r="R430" t="s">
        <v>220</v>
      </c>
      <c r="S430" t="s">
        <v>81</v>
      </c>
      <c r="T430" s="44">
        <v>1.58</v>
      </c>
      <c r="U430" t="s">
        <v>674</v>
      </c>
      <c r="V430" s="46">
        <v>0.04</v>
      </c>
      <c r="W430" s="45">
        <v>4.9320000000000003E-2</v>
      </c>
      <c r="X430" t="s">
        <v>222</v>
      </c>
      <c r="Y430" t="s">
        <v>72</v>
      </c>
      <c r="Z430" s="44">
        <v>1750</v>
      </c>
      <c r="AA430" s="42">
        <v>1</v>
      </c>
      <c r="AB430" s="48">
        <v>101.61</v>
      </c>
      <c r="AD430" s="44">
        <v>1.778</v>
      </c>
      <c r="AG430" t="s">
        <v>16</v>
      </c>
      <c r="AH430" s="45">
        <v>3.0000000000000001E-6</v>
      </c>
      <c r="AI430" s="45">
        <v>1.7126108382072201E-2</v>
      </c>
      <c r="AJ430" s="45">
        <v>9.24566431468664E-4</v>
      </c>
    </row>
    <row r="431" spans="1:36" x14ac:dyDescent="0.25">
      <c r="A431">
        <v>424</v>
      </c>
      <c r="B431">
        <v>9817</v>
      </c>
      <c r="C431" t="s">
        <v>742</v>
      </c>
      <c r="D431" t="s">
        <v>743</v>
      </c>
      <c r="E431" t="s">
        <v>210</v>
      </c>
      <c r="F431" t="s">
        <v>744</v>
      </c>
      <c r="G431" t="s">
        <v>745</v>
      </c>
      <c r="H431" t="s">
        <v>213</v>
      </c>
      <c r="I431" t="s">
        <v>214</v>
      </c>
      <c r="J431" t="s">
        <v>71</v>
      </c>
      <c r="K431" t="s">
        <v>71</v>
      </c>
      <c r="L431" t="s">
        <v>216</v>
      </c>
      <c r="M431" t="s">
        <v>117</v>
      </c>
      <c r="N431" t="s">
        <v>272</v>
      </c>
      <c r="O431" t="s">
        <v>72</v>
      </c>
      <c r="P431" t="s">
        <v>246</v>
      </c>
      <c r="Q431" t="s">
        <v>74</v>
      </c>
      <c r="R431" t="s">
        <v>220</v>
      </c>
      <c r="S431" t="s">
        <v>81</v>
      </c>
      <c r="T431" s="44">
        <v>3.9</v>
      </c>
      <c r="U431" t="s">
        <v>396</v>
      </c>
      <c r="V431" s="46">
        <v>7.4999999999999997E-3</v>
      </c>
      <c r="W431" s="45">
        <v>3.2169999999999997E-2</v>
      </c>
      <c r="X431" t="s">
        <v>222</v>
      </c>
      <c r="Y431" t="s">
        <v>72</v>
      </c>
      <c r="Z431" s="44">
        <v>858.38</v>
      </c>
      <c r="AA431" s="42">
        <v>1</v>
      </c>
      <c r="AB431" s="48">
        <v>102.67</v>
      </c>
      <c r="AD431" s="44">
        <v>0.88100000000000001</v>
      </c>
      <c r="AG431" t="s">
        <v>16</v>
      </c>
      <c r="AH431" s="45">
        <v>9.9999999999999995E-7</v>
      </c>
      <c r="AI431" s="45">
        <v>8.4880384894514497E-3</v>
      </c>
      <c r="AJ431" s="45">
        <v>4.5823343408102601E-4</v>
      </c>
    </row>
    <row r="432" spans="1:36" x14ac:dyDescent="0.25">
      <c r="A432">
        <v>969</v>
      </c>
      <c r="B432">
        <v>969</v>
      </c>
      <c r="C432" t="s">
        <v>223</v>
      </c>
      <c r="D432" t="s">
        <v>224</v>
      </c>
      <c r="E432" t="s">
        <v>210</v>
      </c>
      <c r="F432" t="s">
        <v>225</v>
      </c>
      <c r="G432" t="s">
        <v>226</v>
      </c>
      <c r="H432" t="s">
        <v>213</v>
      </c>
      <c r="I432" t="s">
        <v>214</v>
      </c>
      <c r="J432" t="s">
        <v>71</v>
      </c>
      <c r="K432" t="s">
        <v>71</v>
      </c>
      <c r="L432" t="s">
        <v>216</v>
      </c>
      <c r="M432" t="s">
        <v>117</v>
      </c>
      <c r="N432" t="s">
        <v>227</v>
      </c>
      <c r="O432" t="s">
        <v>72</v>
      </c>
      <c r="P432" t="s">
        <v>228</v>
      </c>
      <c r="Q432" t="s">
        <v>74</v>
      </c>
      <c r="R432" t="s">
        <v>220</v>
      </c>
      <c r="S432" t="s">
        <v>81</v>
      </c>
      <c r="T432" s="44">
        <v>5.1289999999999996</v>
      </c>
      <c r="U432" t="s">
        <v>229</v>
      </c>
      <c r="V432" s="46">
        <v>5.1499999999999997E-2</v>
      </c>
      <c r="W432" s="45">
        <v>4.5159999999999999E-2</v>
      </c>
      <c r="X432" t="s">
        <v>222</v>
      </c>
      <c r="Y432" t="s">
        <v>72</v>
      </c>
      <c r="Z432" s="44">
        <v>0.14000000000000001</v>
      </c>
      <c r="AA432" s="42">
        <v>1</v>
      </c>
      <c r="AB432" s="48">
        <v>146.6</v>
      </c>
      <c r="AD432" s="44">
        <v>0</v>
      </c>
      <c r="AG432" t="s">
        <v>16</v>
      </c>
      <c r="AH432" s="45">
        <v>0</v>
      </c>
      <c r="AI432" s="45">
        <v>2.5297004024349199E-8</v>
      </c>
      <c r="AJ432" s="45">
        <v>2.8015504970932301E-9</v>
      </c>
    </row>
    <row r="433" spans="1:36" x14ac:dyDescent="0.25">
      <c r="A433">
        <v>969</v>
      </c>
      <c r="B433">
        <v>969</v>
      </c>
      <c r="C433" t="s">
        <v>230</v>
      </c>
      <c r="D433" t="s">
        <v>231</v>
      </c>
      <c r="E433" t="s">
        <v>210</v>
      </c>
      <c r="F433" t="s">
        <v>232</v>
      </c>
      <c r="G433" t="s">
        <v>233</v>
      </c>
      <c r="H433" t="s">
        <v>213</v>
      </c>
      <c r="I433" t="s">
        <v>214</v>
      </c>
      <c r="J433" t="s">
        <v>71</v>
      </c>
      <c r="K433" t="s">
        <v>71</v>
      </c>
      <c r="L433" t="s">
        <v>216</v>
      </c>
      <c r="M433" t="s">
        <v>117</v>
      </c>
      <c r="N433" t="s">
        <v>234</v>
      </c>
      <c r="O433" t="s">
        <v>72</v>
      </c>
      <c r="P433" t="s">
        <v>235</v>
      </c>
      <c r="Q433" t="s">
        <v>74</v>
      </c>
      <c r="R433" t="s">
        <v>220</v>
      </c>
      <c r="S433" t="s">
        <v>81</v>
      </c>
      <c r="T433" s="44">
        <v>2.7240000000000002</v>
      </c>
      <c r="U433" t="s">
        <v>236</v>
      </c>
      <c r="V433" s="46">
        <v>2.75E-2</v>
      </c>
      <c r="W433" s="45">
        <v>3.075E-2</v>
      </c>
      <c r="X433" t="s">
        <v>222</v>
      </c>
      <c r="Y433" t="s">
        <v>72</v>
      </c>
      <c r="Z433" s="44">
        <v>50592.75</v>
      </c>
      <c r="AA433" s="42">
        <v>1</v>
      </c>
      <c r="AB433" s="48">
        <v>114.05</v>
      </c>
      <c r="AD433" s="44">
        <v>57.701000000000001</v>
      </c>
      <c r="AG433" t="s">
        <v>16</v>
      </c>
      <c r="AH433" s="45">
        <v>6.7999999999999999E-5</v>
      </c>
      <c r="AI433" s="45">
        <v>7.1119821813607296E-3</v>
      </c>
      <c r="AJ433" s="45">
        <v>7.8762596536456598E-4</v>
      </c>
    </row>
    <row r="434" spans="1:36" x14ac:dyDescent="0.25">
      <c r="A434">
        <v>969</v>
      </c>
      <c r="B434">
        <v>969</v>
      </c>
      <c r="C434" t="s">
        <v>230</v>
      </c>
      <c r="D434" t="s">
        <v>231</v>
      </c>
      <c r="E434" t="s">
        <v>210</v>
      </c>
      <c r="F434" t="s">
        <v>237</v>
      </c>
      <c r="G434" t="s">
        <v>238</v>
      </c>
      <c r="H434" t="s">
        <v>213</v>
      </c>
      <c r="I434" t="s">
        <v>239</v>
      </c>
      <c r="J434" t="s">
        <v>71</v>
      </c>
      <c r="K434" t="s">
        <v>71</v>
      </c>
      <c r="L434" t="s">
        <v>216</v>
      </c>
      <c r="M434" t="s">
        <v>117</v>
      </c>
      <c r="N434" t="s">
        <v>234</v>
      </c>
      <c r="O434" t="s">
        <v>72</v>
      </c>
      <c r="P434" t="s">
        <v>235</v>
      </c>
      <c r="Q434" t="s">
        <v>74</v>
      </c>
      <c r="R434" t="s">
        <v>220</v>
      </c>
      <c r="S434" t="s">
        <v>81</v>
      </c>
      <c r="T434" s="44">
        <v>3.0310000000000001</v>
      </c>
      <c r="U434" t="s">
        <v>240</v>
      </c>
      <c r="V434" s="46">
        <v>2.5000000000000001E-2</v>
      </c>
      <c r="W434" s="45">
        <v>5.5559999999999998E-2</v>
      </c>
      <c r="X434" t="s">
        <v>222</v>
      </c>
      <c r="Y434" t="s">
        <v>72</v>
      </c>
      <c r="Z434" s="44">
        <v>82970.16</v>
      </c>
      <c r="AA434" s="42">
        <v>1</v>
      </c>
      <c r="AB434" s="48">
        <v>91.59</v>
      </c>
      <c r="AD434" s="44">
        <v>75.992000000000004</v>
      </c>
      <c r="AG434" t="s">
        <v>16</v>
      </c>
      <c r="AH434" s="45">
        <v>1.16E-4</v>
      </c>
      <c r="AI434" s="45">
        <v>9.3664942417384604E-3</v>
      </c>
      <c r="AJ434" s="45">
        <v>1.03730491459406E-3</v>
      </c>
    </row>
    <row r="435" spans="1:36" x14ac:dyDescent="0.25">
      <c r="A435">
        <v>969</v>
      </c>
      <c r="B435">
        <v>969</v>
      </c>
      <c r="C435" t="s">
        <v>241</v>
      </c>
      <c r="D435" t="s">
        <v>242</v>
      </c>
      <c r="E435" t="s">
        <v>210</v>
      </c>
      <c r="F435" t="s">
        <v>243</v>
      </c>
      <c r="G435" t="s">
        <v>244</v>
      </c>
      <c r="H435" t="s">
        <v>213</v>
      </c>
      <c r="I435" t="s">
        <v>239</v>
      </c>
      <c r="J435" t="s">
        <v>71</v>
      </c>
      <c r="K435" t="s">
        <v>71</v>
      </c>
      <c r="L435" t="s">
        <v>216</v>
      </c>
      <c r="M435" t="s">
        <v>117</v>
      </c>
      <c r="N435" t="s">
        <v>245</v>
      </c>
      <c r="O435" t="s">
        <v>72</v>
      </c>
      <c r="P435" t="s">
        <v>246</v>
      </c>
      <c r="Q435" t="s">
        <v>219</v>
      </c>
      <c r="R435" t="s">
        <v>220</v>
      </c>
      <c r="S435" t="s">
        <v>81</v>
      </c>
      <c r="T435" s="44">
        <v>2.169</v>
      </c>
      <c r="U435" t="s">
        <v>247</v>
      </c>
      <c r="V435" s="46">
        <v>2.5499999999999998E-2</v>
      </c>
      <c r="W435" s="45">
        <v>5.432E-2</v>
      </c>
      <c r="X435" t="s">
        <v>222</v>
      </c>
      <c r="Y435" t="s">
        <v>72</v>
      </c>
      <c r="Z435" s="44">
        <v>65005.45</v>
      </c>
      <c r="AA435" s="42">
        <v>1</v>
      </c>
      <c r="AB435" s="48">
        <v>94.76</v>
      </c>
      <c r="AD435" s="44">
        <v>61.598999999999997</v>
      </c>
      <c r="AG435" t="s">
        <v>16</v>
      </c>
      <c r="AH435" s="45">
        <v>9.8999999999999994E-5</v>
      </c>
      <c r="AI435" s="45">
        <v>7.5924493774570797E-3</v>
      </c>
      <c r="AJ435" s="45">
        <v>8.4083594670326803E-4</v>
      </c>
    </row>
    <row r="436" spans="1:36" x14ac:dyDescent="0.25">
      <c r="A436">
        <v>969</v>
      </c>
      <c r="B436">
        <v>969</v>
      </c>
      <c r="C436" t="s">
        <v>248</v>
      </c>
      <c r="D436" t="s">
        <v>249</v>
      </c>
      <c r="E436" t="s">
        <v>210</v>
      </c>
      <c r="F436" t="s">
        <v>250</v>
      </c>
      <c r="G436" t="s">
        <v>251</v>
      </c>
      <c r="H436" t="s">
        <v>213</v>
      </c>
      <c r="I436" t="s">
        <v>239</v>
      </c>
      <c r="J436" t="s">
        <v>71</v>
      </c>
      <c r="K436" t="s">
        <v>71</v>
      </c>
      <c r="L436" t="s">
        <v>216</v>
      </c>
      <c r="M436" t="s">
        <v>117</v>
      </c>
      <c r="N436" t="s">
        <v>252</v>
      </c>
      <c r="O436" t="s">
        <v>72</v>
      </c>
      <c r="P436" t="s">
        <v>218</v>
      </c>
      <c r="Q436" t="s">
        <v>219</v>
      </c>
      <c r="R436" t="s">
        <v>220</v>
      </c>
      <c r="S436" t="s">
        <v>81</v>
      </c>
      <c r="T436" s="44">
        <v>3.55</v>
      </c>
      <c r="U436" t="s">
        <v>253</v>
      </c>
      <c r="V436" s="46">
        <v>2.18E-2</v>
      </c>
      <c r="W436" s="45">
        <v>5.3659999999999999E-2</v>
      </c>
      <c r="X436" t="s">
        <v>222</v>
      </c>
      <c r="Y436" t="s">
        <v>72</v>
      </c>
      <c r="Z436" s="44">
        <v>281740</v>
      </c>
      <c r="AA436" s="42">
        <v>1</v>
      </c>
      <c r="AB436" s="48">
        <v>90.26</v>
      </c>
      <c r="AD436" s="44">
        <v>254.29900000000001</v>
      </c>
      <c r="AG436" t="s">
        <v>16</v>
      </c>
      <c r="AH436" s="45">
        <v>1.714E-3</v>
      </c>
      <c r="AI436" s="45">
        <v>3.1343747734428301E-2</v>
      </c>
      <c r="AJ436" s="45">
        <v>3.47120520523424E-3</v>
      </c>
    </row>
    <row r="437" spans="1:36" x14ac:dyDescent="0.25">
      <c r="A437">
        <v>969</v>
      </c>
      <c r="B437">
        <v>969</v>
      </c>
      <c r="C437" t="s">
        <v>254</v>
      </c>
      <c r="D437" t="s">
        <v>255</v>
      </c>
      <c r="E437" t="s">
        <v>210</v>
      </c>
      <c r="F437" t="s">
        <v>256</v>
      </c>
      <c r="G437" t="s">
        <v>257</v>
      </c>
      <c r="H437" t="s">
        <v>213</v>
      </c>
      <c r="I437" t="s">
        <v>214</v>
      </c>
      <c r="J437" t="s">
        <v>71</v>
      </c>
      <c r="K437" t="s">
        <v>71</v>
      </c>
      <c r="L437" t="s">
        <v>216</v>
      </c>
      <c r="M437" t="s">
        <v>117</v>
      </c>
      <c r="N437" t="s">
        <v>258</v>
      </c>
      <c r="O437" t="s">
        <v>72</v>
      </c>
      <c r="P437" t="s">
        <v>259</v>
      </c>
      <c r="Q437" t="s">
        <v>74</v>
      </c>
      <c r="R437" t="s">
        <v>220</v>
      </c>
      <c r="S437" t="s">
        <v>81</v>
      </c>
      <c r="T437" s="44">
        <v>2.2669999999999999</v>
      </c>
      <c r="U437" t="s">
        <v>135</v>
      </c>
      <c r="V437" s="46">
        <v>2.3400000000000001E-2</v>
      </c>
      <c r="W437" s="45">
        <v>2.7969999999999998E-2</v>
      </c>
      <c r="X437" t="s">
        <v>222</v>
      </c>
      <c r="Y437" t="s">
        <v>72</v>
      </c>
      <c r="Z437" s="44">
        <v>51000.02</v>
      </c>
      <c r="AA437" s="42">
        <v>1</v>
      </c>
      <c r="AB437" s="48">
        <v>114.39</v>
      </c>
      <c r="AD437" s="44">
        <v>58.338999999999999</v>
      </c>
      <c r="AG437" t="s">
        <v>16</v>
      </c>
      <c r="AH437" s="45">
        <v>3.1000000000000001E-5</v>
      </c>
      <c r="AI437" s="45">
        <v>7.1906059580050998E-3</v>
      </c>
      <c r="AJ437" s="45">
        <v>7.9633326051814805E-4</v>
      </c>
    </row>
    <row r="438" spans="1:36" x14ac:dyDescent="0.25">
      <c r="A438">
        <v>969</v>
      </c>
      <c r="B438">
        <v>969</v>
      </c>
      <c r="C438" t="s">
        <v>260</v>
      </c>
      <c r="D438" t="s">
        <v>261</v>
      </c>
      <c r="E438" t="s">
        <v>210</v>
      </c>
      <c r="F438" t="s">
        <v>262</v>
      </c>
      <c r="G438" t="s">
        <v>263</v>
      </c>
      <c r="H438" t="s">
        <v>213</v>
      </c>
      <c r="I438" t="s">
        <v>239</v>
      </c>
      <c r="J438" t="s">
        <v>71</v>
      </c>
      <c r="K438" t="s">
        <v>71</v>
      </c>
      <c r="L438" t="s">
        <v>216</v>
      </c>
      <c r="M438" t="s">
        <v>117</v>
      </c>
      <c r="N438" t="s">
        <v>258</v>
      </c>
      <c r="O438" t="s">
        <v>72</v>
      </c>
      <c r="P438" t="s">
        <v>228</v>
      </c>
      <c r="Q438" t="s">
        <v>74</v>
      </c>
      <c r="R438" t="s">
        <v>220</v>
      </c>
      <c r="S438" t="s">
        <v>81</v>
      </c>
      <c r="T438" s="44">
        <v>3.9510000000000001</v>
      </c>
      <c r="U438" t="s">
        <v>264</v>
      </c>
      <c r="V438" s="46">
        <v>2.41E-2</v>
      </c>
      <c r="W438" s="45">
        <v>5.2909999999999999E-2</v>
      </c>
      <c r="X438" t="s">
        <v>222</v>
      </c>
      <c r="Y438" t="s">
        <v>72</v>
      </c>
      <c r="Z438" s="44">
        <v>62222.22</v>
      </c>
      <c r="AA438" s="42">
        <v>1</v>
      </c>
      <c r="AB438" s="48">
        <v>89.75</v>
      </c>
      <c r="AD438" s="44">
        <v>55.844000000000001</v>
      </c>
      <c r="AG438" t="s">
        <v>16</v>
      </c>
      <c r="AH438" s="45">
        <v>3.0000000000000001E-5</v>
      </c>
      <c r="AI438" s="45">
        <v>6.8831469761995202E-3</v>
      </c>
      <c r="AJ438" s="45">
        <v>7.6228330493905599E-4</v>
      </c>
    </row>
    <row r="439" spans="1:36" x14ac:dyDescent="0.25">
      <c r="A439">
        <v>969</v>
      </c>
      <c r="B439">
        <v>969</v>
      </c>
      <c r="C439" t="s">
        <v>260</v>
      </c>
      <c r="D439" t="s">
        <v>261</v>
      </c>
      <c r="E439" t="s">
        <v>210</v>
      </c>
      <c r="F439" t="s">
        <v>265</v>
      </c>
      <c r="G439" t="s">
        <v>266</v>
      </c>
      <c r="H439" t="s">
        <v>213</v>
      </c>
      <c r="I439" t="s">
        <v>239</v>
      </c>
      <c r="J439" t="s">
        <v>71</v>
      </c>
      <c r="K439" t="s">
        <v>71</v>
      </c>
      <c r="L439" t="s">
        <v>216</v>
      </c>
      <c r="M439" t="s">
        <v>117</v>
      </c>
      <c r="N439" t="s">
        <v>258</v>
      </c>
      <c r="O439" t="s">
        <v>72</v>
      </c>
      <c r="P439" t="s">
        <v>228</v>
      </c>
      <c r="Q439" t="s">
        <v>74</v>
      </c>
      <c r="R439" t="s">
        <v>220</v>
      </c>
      <c r="S439" t="s">
        <v>81</v>
      </c>
      <c r="T439" s="44">
        <v>6.1609999999999996</v>
      </c>
      <c r="U439" t="s">
        <v>267</v>
      </c>
      <c r="V439" s="46">
        <v>4.9399999999999999E-2</v>
      </c>
      <c r="W439" s="45">
        <v>5.5919999999999997E-2</v>
      </c>
      <c r="X439" t="s">
        <v>222</v>
      </c>
      <c r="Y439" t="s">
        <v>72</v>
      </c>
      <c r="Z439" s="44">
        <v>71811</v>
      </c>
      <c r="AA439" s="42">
        <v>1</v>
      </c>
      <c r="AB439" s="48">
        <v>96.63</v>
      </c>
      <c r="AD439" s="44">
        <v>69.391000000000005</v>
      </c>
      <c r="AG439" t="s">
        <v>16</v>
      </c>
      <c r="AH439" s="45">
        <v>5.3000000000000001E-5</v>
      </c>
      <c r="AI439" s="45">
        <v>8.5528338999980198E-3</v>
      </c>
      <c r="AJ439" s="45">
        <v>9.4719501333169096E-4</v>
      </c>
    </row>
    <row r="440" spans="1:36" x14ac:dyDescent="0.25">
      <c r="A440">
        <v>969</v>
      </c>
      <c r="B440">
        <v>969</v>
      </c>
      <c r="C440" t="s">
        <v>268</v>
      </c>
      <c r="D440" t="s">
        <v>269</v>
      </c>
      <c r="E440" t="s">
        <v>210</v>
      </c>
      <c r="F440" t="s">
        <v>270</v>
      </c>
      <c r="G440" t="s">
        <v>271</v>
      </c>
      <c r="H440" t="s">
        <v>213</v>
      </c>
      <c r="I440" t="s">
        <v>239</v>
      </c>
      <c r="J440" t="s">
        <v>71</v>
      </c>
      <c r="K440" t="s">
        <v>71</v>
      </c>
      <c r="L440" t="s">
        <v>216</v>
      </c>
      <c r="M440" t="s">
        <v>117</v>
      </c>
      <c r="N440" t="s">
        <v>272</v>
      </c>
      <c r="O440" t="s">
        <v>72</v>
      </c>
      <c r="P440" t="s">
        <v>246</v>
      </c>
      <c r="Q440" t="s">
        <v>74</v>
      </c>
      <c r="R440" t="s">
        <v>220</v>
      </c>
      <c r="S440" t="s">
        <v>81</v>
      </c>
      <c r="T440" s="44">
        <v>2.996</v>
      </c>
      <c r="U440" t="s">
        <v>273</v>
      </c>
      <c r="V440" s="46">
        <v>0.04</v>
      </c>
      <c r="W440" s="45">
        <v>5.2400000000000002E-2</v>
      </c>
      <c r="X440" t="s">
        <v>222</v>
      </c>
      <c r="Y440" t="s">
        <v>72</v>
      </c>
      <c r="Z440" s="44">
        <v>52500.02</v>
      </c>
      <c r="AA440" s="42">
        <v>1</v>
      </c>
      <c r="AB440" s="48">
        <v>97.45</v>
      </c>
      <c r="AD440" s="44">
        <v>51.161000000000001</v>
      </c>
      <c r="AG440" t="s">
        <v>16</v>
      </c>
      <c r="AH440" s="45">
        <v>9.0000000000000006E-5</v>
      </c>
      <c r="AI440" s="45">
        <v>6.3059191199539401E-3</v>
      </c>
      <c r="AJ440" s="45">
        <v>6.9835743505958995E-4</v>
      </c>
    </row>
    <row r="441" spans="1:36" x14ac:dyDescent="0.25">
      <c r="A441">
        <v>969</v>
      </c>
      <c r="B441">
        <v>969</v>
      </c>
      <c r="C441" t="s">
        <v>268</v>
      </c>
      <c r="D441" t="s">
        <v>269</v>
      </c>
      <c r="E441" t="s">
        <v>210</v>
      </c>
      <c r="F441" t="s">
        <v>274</v>
      </c>
      <c r="G441" t="s">
        <v>275</v>
      </c>
      <c r="H441" t="s">
        <v>213</v>
      </c>
      <c r="I441" t="s">
        <v>239</v>
      </c>
      <c r="J441" t="s">
        <v>71</v>
      </c>
      <c r="K441" t="s">
        <v>71</v>
      </c>
      <c r="L441" t="s">
        <v>216</v>
      </c>
      <c r="M441" t="s">
        <v>117</v>
      </c>
      <c r="N441" t="s">
        <v>272</v>
      </c>
      <c r="O441" t="s">
        <v>72</v>
      </c>
      <c r="P441" t="s">
        <v>246</v>
      </c>
      <c r="Q441" t="s">
        <v>74</v>
      </c>
      <c r="R441" t="s">
        <v>220</v>
      </c>
      <c r="S441" t="s">
        <v>81</v>
      </c>
      <c r="T441" s="44">
        <v>4.9290000000000003</v>
      </c>
      <c r="U441" t="s">
        <v>276</v>
      </c>
      <c r="V441" s="46">
        <v>2.07E-2</v>
      </c>
      <c r="W441" s="45">
        <v>5.3780000000000001E-2</v>
      </c>
      <c r="X441" t="s">
        <v>222</v>
      </c>
      <c r="Y441" t="s">
        <v>72</v>
      </c>
      <c r="Z441" s="44">
        <v>190848.28</v>
      </c>
      <c r="AA441" s="42">
        <v>1</v>
      </c>
      <c r="AB441" s="48">
        <v>85.61</v>
      </c>
      <c r="AD441" s="44">
        <v>163.38499999999999</v>
      </c>
      <c r="AG441" t="s">
        <v>16</v>
      </c>
      <c r="AH441" s="45">
        <v>2.63E-4</v>
      </c>
      <c r="AI441" s="45">
        <v>2.01381620460633E-2</v>
      </c>
      <c r="AJ441" s="45">
        <v>2.2302276521120202E-3</v>
      </c>
    </row>
    <row r="442" spans="1:36" x14ac:dyDescent="0.25">
      <c r="A442">
        <v>969</v>
      </c>
      <c r="B442">
        <v>969</v>
      </c>
      <c r="C442" t="s">
        <v>277</v>
      </c>
      <c r="D442" t="s">
        <v>278</v>
      </c>
      <c r="E442" t="s">
        <v>210</v>
      </c>
      <c r="F442" t="s">
        <v>279</v>
      </c>
      <c r="G442" t="s">
        <v>280</v>
      </c>
      <c r="H442" t="s">
        <v>213</v>
      </c>
      <c r="I442" t="s">
        <v>239</v>
      </c>
      <c r="J442" t="s">
        <v>71</v>
      </c>
      <c r="K442" t="s">
        <v>71</v>
      </c>
      <c r="L442" t="s">
        <v>216</v>
      </c>
      <c r="M442" t="s">
        <v>117</v>
      </c>
      <c r="N442" t="s">
        <v>217</v>
      </c>
      <c r="O442" t="s">
        <v>72</v>
      </c>
      <c r="P442" t="s">
        <v>235</v>
      </c>
      <c r="Q442" t="s">
        <v>219</v>
      </c>
      <c r="R442" t="s">
        <v>220</v>
      </c>
      <c r="S442" t="s">
        <v>81</v>
      </c>
      <c r="T442" s="44">
        <v>4.1399999999999997</v>
      </c>
      <c r="U442" t="s">
        <v>281</v>
      </c>
      <c r="V442" s="46">
        <v>6.0699999999999997E-2</v>
      </c>
      <c r="W442" s="45">
        <v>5.9700000000000003E-2</v>
      </c>
      <c r="X442" t="s">
        <v>222</v>
      </c>
      <c r="Y442" t="s">
        <v>72</v>
      </c>
      <c r="Z442" s="44">
        <v>77458</v>
      </c>
      <c r="AA442" s="42">
        <v>1</v>
      </c>
      <c r="AB442" s="48">
        <v>102.73</v>
      </c>
      <c r="AD442" s="44">
        <v>79.572999999999993</v>
      </c>
      <c r="AG442" t="s">
        <v>16</v>
      </c>
      <c r="AH442" s="45">
        <v>1.8599999999999999E-4</v>
      </c>
      <c r="AI442" s="45">
        <v>9.8077785443273502E-3</v>
      </c>
      <c r="AJ442" s="45">
        <v>1.0861755340590201E-3</v>
      </c>
    </row>
    <row r="443" spans="1:36" x14ac:dyDescent="0.25">
      <c r="A443">
        <v>969</v>
      </c>
      <c r="B443">
        <v>969</v>
      </c>
      <c r="C443" t="s">
        <v>711</v>
      </c>
      <c r="D443" t="s">
        <v>712</v>
      </c>
      <c r="E443" t="s">
        <v>210</v>
      </c>
      <c r="F443" t="s">
        <v>713</v>
      </c>
      <c r="G443" t="s">
        <v>714</v>
      </c>
      <c r="H443" t="s">
        <v>213</v>
      </c>
      <c r="I443" t="s">
        <v>214</v>
      </c>
      <c r="J443" t="s">
        <v>71</v>
      </c>
      <c r="K443" t="s">
        <v>71</v>
      </c>
      <c r="L443" t="s">
        <v>216</v>
      </c>
      <c r="M443" t="s">
        <v>117</v>
      </c>
      <c r="N443" t="s">
        <v>258</v>
      </c>
      <c r="O443" t="s">
        <v>72</v>
      </c>
      <c r="P443" t="s">
        <v>259</v>
      </c>
      <c r="Q443" t="s">
        <v>74</v>
      </c>
      <c r="R443" t="s">
        <v>220</v>
      </c>
      <c r="S443" t="s">
        <v>81</v>
      </c>
      <c r="T443" s="44">
        <v>1.6819999999999999</v>
      </c>
      <c r="U443" t="s">
        <v>715</v>
      </c>
      <c r="V443" s="46">
        <v>3.2000000000000001E-2</v>
      </c>
      <c r="W443" s="45">
        <v>2.7539999999999999E-2</v>
      </c>
      <c r="X443" t="s">
        <v>222</v>
      </c>
      <c r="Y443" t="s">
        <v>72</v>
      </c>
      <c r="Z443" s="44">
        <v>90000</v>
      </c>
      <c r="AA443" s="42">
        <v>1</v>
      </c>
      <c r="AB443" s="48">
        <v>118.93</v>
      </c>
      <c r="AD443" s="44">
        <v>107.03700000000001</v>
      </c>
      <c r="AG443" t="s">
        <v>16</v>
      </c>
      <c r="AH443" s="45">
        <v>1.63E-4</v>
      </c>
      <c r="AI443" s="45">
        <v>1.3192922528524E-2</v>
      </c>
      <c r="AJ443" s="45">
        <v>1.46106782575214E-3</v>
      </c>
    </row>
    <row r="444" spans="1:36" x14ac:dyDescent="0.25">
      <c r="A444">
        <v>969</v>
      </c>
      <c r="B444">
        <v>969</v>
      </c>
      <c r="C444" t="s">
        <v>282</v>
      </c>
      <c r="D444" t="s">
        <v>283</v>
      </c>
      <c r="E444" t="s">
        <v>210</v>
      </c>
      <c r="F444" t="s">
        <v>284</v>
      </c>
      <c r="G444" t="s">
        <v>285</v>
      </c>
      <c r="H444" t="s">
        <v>213</v>
      </c>
      <c r="I444" t="s">
        <v>239</v>
      </c>
      <c r="J444" t="s">
        <v>71</v>
      </c>
      <c r="K444" t="s">
        <v>71</v>
      </c>
      <c r="L444" t="s">
        <v>216</v>
      </c>
      <c r="M444" t="s">
        <v>286</v>
      </c>
      <c r="N444" t="s">
        <v>287</v>
      </c>
      <c r="O444" t="s">
        <v>72</v>
      </c>
      <c r="P444" t="s">
        <v>218</v>
      </c>
      <c r="Q444" t="s">
        <v>219</v>
      </c>
      <c r="R444" t="s">
        <v>220</v>
      </c>
      <c r="S444" t="s">
        <v>81</v>
      </c>
      <c r="T444" s="44">
        <v>5.859</v>
      </c>
      <c r="U444" t="s">
        <v>288</v>
      </c>
      <c r="V444" s="46">
        <v>0.05</v>
      </c>
      <c r="W444" s="45">
        <v>5.74E-2</v>
      </c>
      <c r="X444" t="s">
        <v>222</v>
      </c>
      <c r="Y444" t="s">
        <v>72</v>
      </c>
      <c r="Z444" s="44">
        <v>100000</v>
      </c>
      <c r="AA444" s="42">
        <v>1</v>
      </c>
      <c r="AB444" s="48">
        <v>96.72</v>
      </c>
      <c r="AD444" s="44">
        <v>96.72</v>
      </c>
      <c r="AG444" t="s">
        <v>16</v>
      </c>
      <c r="AH444" s="45">
        <v>2.13E-4</v>
      </c>
      <c r="AI444" s="45">
        <v>1.19212932626927E-2</v>
      </c>
      <c r="AJ444" s="45">
        <v>1.32023954433277E-3</v>
      </c>
    </row>
    <row r="445" spans="1:36" x14ac:dyDescent="0.25">
      <c r="A445">
        <v>969</v>
      </c>
      <c r="B445">
        <v>969</v>
      </c>
      <c r="C445" t="s">
        <v>282</v>
      </c>
      <c r="D445" t="s">
        <v>283</v>
      </c>
      <c r="E445" t="s">
        <v>210</v>
      </c>
      <c r="F445" t="s">
        <v>289</v>
      </c>
      <c r="G445" t="s">
        <v>290</v>
      </c>
      <c r="H445" t="s">
        <v>213</v>
      </c>
      <c r="I445" t="s">
        <v>239</v>
      </c>
      <c r="J445" t="s">
        <v>71</v>
      </c>
      <c r="K445" t="s">
        <v>291</v>
      </c>
      <c r="L445" t="s">
        <v>216</v>
      </c>
      <c r="M445" t="s">
        <v>117</v>
      </c>
      <c r="N445" t="s">
        <v>287</v>
      </c>
      <c r="O445" t="s">
        <v>72</v>
      </c>
      <c r="P445" t="s">
        <v>218</v>
      </c>
      <c r="Q445" t="s">
        <v>219</v>
      </c>
      <c r="R445" t="s">
        <v>220</v>
      </c>
      <c r="S445" t="s">
        <v>81</v>
      </c>
      <c r="T445" s="44">
        <v>3.2930000000000001</v>
      </c>
      <c r="U445" t="s">
        <v>292</v>
      </c>
      <c r="V445" s="46">
        <v>1.4999999999999999E-2</v>
      </c>
      <c r="W445" s="45">
        <v>5.5910000000000001E-2</v>
      </c>
      <c r="X445" t="s">
        <v>222</v>
      </c>
      <c r="Y445" t="s">
        <v>72</v>
      </c>
      <c r="Z445" s="44">
        <v>132669</v>
      </c>
      <c r="AA445" s="42">
        <v>1</v>
      </c>
      <c r="AB445" s="48">
        <v>87.84</v>
      </c>
      <c r="AD445" s="44">
        <v>116.536</v>
      </c>
      <c r="AG445" t="s">
        <v>16</v>
      </c>
      <c r="AH445" s="45">
        <v>1.13E-4</v>
      </c>
      <c r="AI445" s="45">
        <v>1.4363784030961699E-2</v>
      </c>
      <c r="AJ445" s="45">
        <v>1.59073644663009E-3</v>
      </c>
    </row>
    <row r="446" spans="1:36" x14ac:dyDescent="0.25">
      <c r="A446">
        <v>969</v>
      </c>
      <c r="B446">
        <v>969</v>
      </c>
      <c r="C446" t="s">
        <v>293</v>
      </c>
      <c r="D446" t="s">
        <v>294</v>
      </c>
      <c r="E446" t="s">
        <v>210</v>
      </c>
      <c r="F446" t="s">
        <v>295</v>
      </c>
      <c r="G446" t="s">
        <v>296</v>
      </c>
      <c r="H446" t="s">
        <v>213</v>
      </c>
      <c r="I446" t="s">
        <v>239</v>
      </c>
      <c r="J446" t="s">
        <v>71</v>
      </c>
      <c r="K446" t="s">
        <v>71</v>
      </c>
      <c r="L446" t="s">
        <v>216</v>
      </c>
      <c r="M446" t="s">
        <v>117</v>
      </c>
      <c r="N446" t="s">
        <v>287</v>
      </c>
      <c r="O446" t="s">
        <v>72</v>
      </c>
      <c r="P446" t="s">
        <v>218</v>
      </c>
      <c r="Q446" t="s">
        <v>74</v>
      </c>
      <c r="R446" t="s">
        <v>220</v>
      </c>
      <c r="S446" t="s">
        <v>81</v>
      </c>
      <c r="T446" s="44">
        <v>2.6560000000000001</v>
      </c>
      <c r="U446" t="s">
        <v>297</v>
      </c>
      <c r="V446" s="46">
        <v>2.0500000000000001E-2</v>
      </c>
      <c r="W446" s="45">
        <v>5.4919999999999997E-2</v>
      </c>
      <c r="X446" t="s">
        <v>222</v>
      </c>
      <c r="Y446" t="s">
        <v>72</v>
      </c>
      <c r="Z446" s="44">
        <v>100000</v>
      </c>
      <c r="AA446" s="42">
        <v>1</v>
      </c>
      <c r="AB446" s="48">
        <v>91.77</v>
      </c>
      <c r="AD446" s="44">
        <v>91.77</v>
      </c>
      <c r="AG446" t="s">
        <v>16</v>
      </c>
      <c r="AH446" s="45">
        <v>1.0399999999999999E-4</v>
      </c>
      <c r="AI446" s="45">
        <v>1.13111774474495E-2</v>
      </c>
      <c r="AJ446" s="45">
        <v>1.2526714535092899E-3</v>
      </c>
    </row>
    <row r="447" spans="1:36" x14ac:dyDescent="0.25">
      <c r="A447">
        <v>969</v>
      </c>
      <c r="B447">
        <v>969</v>
      </c>
      <c r="C447" t="s">
        <v>298</v>
      </c>
      <c r="D447" t="s">
        <v>299</v>
      </c>
      <c r="E447" t="s">
        <v>210</v>
      </c>
      <c r="F447" t="s">
        <v>300</v>
      </c>
      <c r="G447" t="s">
        <v>301</v>
      </c>
      <c r="H447" t="s">
        <v>213</v>
      </c>
      <c r="I447" t="s">
        <v>214</v>
      </c>
      <c r="J447" t="s">
        <v>71</v>
      </c>
      <c r="K447" t="s">
        <v>71</v>
      </c>
      <c r="L447" t="s">
        <v>216</v>
      </c>
      <c r="M447" t="s">
        <v>117</v>
      </c>
      <c r="N447" t="s">
        <v>217</v>
      </c>
      <c r="O447" t="s">
        <v>72</v>
      </c>
      <c r="P447" t="s">
        <v>246</v>
      </c>
      <c r="Q447" t="s">
        <v>74</v>
      </c>
      <c r="R447" t="s">
        <v>220</v>
      </c>
      <c r="S447" t="s">
        <v>81</v>
      </c>
      <c r="T447" s="44">
        <v>1.2929999999999999</v>
      </c>
      <c r="U447" t="s">
        <v>302</v>
      </c>
      <c r="V447" s="46">
        <v>2.5700000000000001E-2</v>
      </c>
      <c r="W447" s="45">
        <v>3.1449999999999999E-2</v>
      </c>
      <c r="X447" t="s">
        <v>222</v>
      </c>
      <c r="Y447" t="s">
        <v>72</v>
      </c>
      <c r="Z447" s="44">
        <v>105786.47</v>
      </c>
      <c r="AA447" s="42">
        <v>1</v>
      </c>
      <c r="AB447" s="48">
        <v>117.15</v>
      </c>
      <c r="AD447" s="44">
        <v>123.929</v>
      </c>
      <c r="AG447" t="s">
        <v>16</v>
      </c>
      <c r="AH447" s="45">
        <v>1E-4</v>
      </c>
      <c r="AI447" s="45">
        <v>1.52749396179627E-2</v>
      </c>
      <c r="AJ447" s="45">
        <v>1.69164358904249E-3</v>
      </c>
    </row>
    <row r="448" spans="1:36" x14ac:dyDescent="0.25">
      <c r="A448">
        <v>969</v>
      </c>
      <c r="B448">
        <v>969</v>
      </c>
      <c r="C448" t="s">
        <v>298</v>
      </c>
      <c r="D448" t="s">
        <v>299</v>
      </c>
      <c r="E448" t="s">
        <v>210</v>
      </c>
      <c r="F448" t="s">
        <v>652</v>
      </c>
      <c r="G448" t="s">
        <v>653</v>
      </c>
      <c r="H448" t="s">
        <v>213</v>
      </c>
      <c r="I448" t="s">
        <v>239</v>
      </c>
      <c r="J448" t="s">
        <v>71</v>
      </c>
      <c r="K448" t="s">
        <v>71</v>
      </c>
      <c r="L448" t="s">
        <v>216</v>
      </c>
      <c r="M448" t="s">
        <v>117</v>
      </c>
      <c r="N448" t="s">
        <v>217</v>
      </c>
      <c r="O448" t="s">
        <v>72</v>
      </c>
      <c r="P448" t="s">
        <v>246</v>
      </c>
      <c r="Q448" t="s">
        <v>74</v>
      </c>
      <c r="R448" t="s">
        <v>220</v>
      </c>
      <c r="S448" t="s">
        <v>81</v>
      </c>
      <c r="T448" s="44">
        <v>2.98</v>
      </c>
      <c r="U448" t="s">
        <v>654</v>
      </c>
      <c r="V448" s="46">
        <v>3.2500000000000001E-2</v>
      </c>
      <c r="W448" s="45">
        <v>5.568E-2</v>
      </c>
      <c r="X448" t="s">
        <v>222</v>
      </c>
      <c r="Y448" t="s">
        <v>72</v>
      </c>
      <c r="Z448" s="44">
        <v>30053.1</v>
      </c>
      <c r="AA448" s="42">
        <v>1</v>
      </c>
      <c r="AB448" s="48">
        <v>93.66</v>
      </c>
      <c r="AD448" s="44">
        <v>28.148</v>
      </c>
      <c r="AG448" t="s">
        <v>16</v>
      </c>
      <c r="AH448" s="45">
        <v>1.25E-4</v>
      </c>
      <c r="AI448" s="45">
        <v>3.4693691610501302E-3</v>
      </c>
      <c r="AJ448" s="45">
        <v>3.8421992139403002E-4</v>
      </c>
    </row>
    <row r="449" spans="1:36" x14ac:dyDescent="0.25">
      <c r="A449">
        <v>969</v>
      </c>
      <c r="B449">
        <v>969</v>
      </c>
      <c r="C449" t="s">
        <v>298</v>
      </c>
      <c r="D449" t="s">
        <v>299</v>
      </c>
      <c r="E449" t="s">
        <v>210</v>
      </c>
      <c r="F449" t="s">
        <v>303</v>
      </c>
      <c r="G449" t="s">
        <v>304</v>
      </c>
      <c r="H449" t="s">
        <v>213</v>
      </c>
      <c r="I449" t="s">
        <v>214</v>
      </c>
      <c r="J449" t="s">
        <v>71</v>
      </c>
      <c r="K449" t="s">
        <v>71</v>
      </c>
      <c r="L449" t="s">
        <v>216</v>
      </c>
      <c r="M449" t="s">
        <v>117</v>
      </c>
      <c r="N449" t="s">
        <v>217</v>
      </c>
      <c r="O449" t="s">
        <v>72</v>
      </c>
      <c r="P449" t="s">
        <v>246</v>
      </c>
      <c r="Q449" t="s">
        <v>74</v>
      </c>
      <c r="R449" t="s">
        <v>220</v>
      </c>
      <c r="S449" t="s">
        <v>81</v>
      </c>
      <c r="T449" s="44">
        <v>4.7030000000000003</v>
      </c>
      <c r="U449" t="s">
        <v>305</v>
      </c>
      <c r="V449" s="46">
        <v>1.54E-2</v>
      </c>
      <c r="W449" s="45">
        <v>3.2759999999999997E-2</v>
      </c>
      <c r="X449" t="s">
        <v>222</v>
      </c>
      <c r="Y449" t="s">
        <v>72</v>
      </c>
      <c r="Z449" s="44">
        <v>109000</v>
      </c>
      <c r="AA449" s="42">
        <v>1</v>
      </c>
      <c r="AB449" s="48">
        <v>103.7</v>
      </c>
      <c r="AD449" s="44">
        <v>113.033</v>
      </c>
      <c r="AG449" t="s">
        <v>16</v>
      </c>
      <c r="AH449" s="45">
        <v>1.83E-4</v>
      </c>
      <c r="AI449" s="45">
        <v>1.393196382715E-2</v>
      </c>
      <c r="AJ449" s="45">
        <v>1.54291394142438E-3</v>
      </c>
    </row>
    <row r="450" spans="1:36" x14ac:dyDescent="0.25">
      <c r="A450">
        <v>969</v>
      </c>
      <c r="B450">
        <v>969</v>
      </c>
      <c r="C450" t="s">
        <v>298</v>
      </c>
      <c r="D450" t="s">
        <v>299</v>
      </c>
      <c r="E450" t="s">
        <v>210</v>
      </c>
      <c r="F450" t="s">
        <v>306</v>
      </c>
      <c r="G450" t="s">
        <v>307</v>
      </c>
      <c r="H450" t="s">
        <v>213</v>
      </c>
      <c r="I450" t="s">
        <v>214</v>
      </c>
      <c r="J450" t="s">
        <v>71</v>
      </c>
      <c r="K450" t="s">
        <v>71</v>
      </c>
      <c r="L450" t="s">
        <v>216</v>
      </c>
      <c r="M450" t="s">
        <v>109</v>
      </c>
      <c r="N450" t="s">
        <v>217</v>
      </c>
      <c r="O450" t="s">
        <v>72</v>
      </c>
      <c r="P450" t="s">
        <v>246</v>
      </c>
      <c r="Q450" t="s">
        <v>74</v>
      </c>
      <c r="R450" t="s">
        <v>220</v>
      </c>
      <c r="S450" t="s">
        <v>81</v>
      </c>
      <c r="T450" s="44">
        <v>6.8319999999999999</v>
      </c>
      <c r="U450" t="s">
        <v>308</v>
      </c>
      <c r="V450" s="46">
        <v>4.02E-2</v>
      </c>
      <c r="W450" s="45">
        <v>3.5560000000000001E-2</v>
      </c>
      <c r="X450" t="s">
        <v>222</v>
      </c>
      <c r="Y450" t="s">
        <v>72</v>
      </c>
      <c r="Z450" s="44">
        <v>72000</v>
      </c>
      <c r="AA450" s="42">
        <v>1</v>
      </c>
      <c r="AB450" s="48">
        <v>104.52</v>
      </c>
      <c r="AD450" s="44">
        <v>75.254000000000005</v>
      </c>
      <c r="AG450" t="s">
        <v>16</v>
      </c>
      <c r="AH450" s="45">
        <v>8.8999999999999995E-5</v>
      </c>
      <c r="AI450" s="45">
        <v>9.2755352740693207E-3</v>
      </c>
      <c r="AJ450" s="45">
        <v>1.0272315422356899E-3</v>
      </c>
    </row>
    <row r="451" spans="1:36" x14ac:dyDescent="0.25">
      <c r="A451">
        <v>969</v>
      </c>
      <c r="B451">
        <v>969</v>
      </c>
      <c r="C451" t="s">
        <v>254</v>
      </c>
      <c r="D451" t="s">
        <v>255</v>
      </c>
      <c r="E451" t="s">
        <v>210</v>
      </c>
      <c r="F451" t="s">
        <v>309</v>
      </c>
      <c r="G451" t="s">
        <v>310</v>
      </c>
      <c r="H451" t="s">
        <v>213</v>
      </c>
      <c r="I451" t="s">
        <v>214</v>
      </c>
      <c r="J451" t="s">
        <v>71</v>
      </c>
      <c r="K451" t="s">
        <v>71</v>
      </c>
      <c r="L451" t="s">
        <v>216</v>
      </c>
      <c r="M451" t="s">
        <v>109</v>
      </c>
      <c r="N451" t="s">
        <v>258</v>
      </c>
      <c r="O451" t="s">
        <v>72</v>
      </c>
      <c r="P451" t="s">
        <v>259</v>
      </c>
      <c r="Q451" t="s">
        <v>74</v>
      </c>
      <c r="R451" t="s">
        <v>220</v>
      </c>
      <c r="S451" t="s">
        <v>81</v>
      </c>
      <c r="T451" s="44">
        <v>7.2910000000000004</v>
      </c>
      <c r="U451" t="s">
        <v>311</v>
      </c>
      <c r="V451" s="46">
        <v>3.5999999999999997E-2</v>
      </c>
      <c r="W451" s="45">
        <v>3.2489999999999998E-2</v>
      </c>
      <c r="X451" t="s">
        <v>222</v>
      </c>
      <c r="Y451" t="s">
        <v>72</v>
      </c>
      <c r="Z451" s="44">
        <v>70000</v>
      </c>
      <c r="AA451" s="42">
        <v>1</v>
      </c>
      <c r="AB451" s="48">
        <v>104.88</v>
      </c>
      <c r="AD451" s="44">
        <v>73.415999999999997</v>
      </c>
      <c r="AG451" t="s">
        <v>16</v>
      </c>
      <c r="AH451" s="45">
        <v>9.6000000000000002E-5</v>
      </c>
      <c r="AI451" s="45">
        <v>9.0489419579595793E-3</v>
      </c>
      <c r="AJ451" s="45">
        <v>1.00213716280743E-3</v>
      </c>
    </row>
    <row r="452" spans="1:36" x14ac:dyDescent="0.25">
      <c r="A452">
        <v>969</v>
      </c>
      <c r="B452">
        <v>969</v>
      </c>
      <c r="C452" t="s">
        <v>312</v>
      </c>
      <c r="D452" t="s">
        <v>313</v>
      </c>
      <c r="E452" t="s">
        <v>210</v>
      </c>
      <c r="F452" t="s">
        <v>314</v>
      </c>
      <c r="G452" t="s">
        <v>315</v>
      </c>
      <c r="H452" t="s">
        <v>213</v>
      </c>
      <c r="I452" t="s">
        <v>214</v>
      </c>
      <c r="J452" t="s">
        <v>71</v>
      </c>
      <c r="K452" t="s">
        <v>71</v>
      </c>
      <c r="L452" t="s">
        <v>216</v>
      </c>
      <c r="M452" t="s">
        <v>117</v>
      </c>
      <c r="N452" t="s">
        <v>258</v>
      </c>
      <c r="O452" t="s">
        <v>72</v>
      </c>
      <c r="P452" t="s">
        <v>218</v>
      </c>
      <c r="Q452" t="s">
        <v>74</v>
      </c>
      <c r="R452" t="s">
        <v>220</v>
      </c>
      <c r="S452" t="s">
        <v>81</v>
      </c>
      <c r="T452" s="44">
        <v>5.7060000000000004</v>
      </c>
      <c r="U452" t="s">
        <v>316</v>
      </c>
      <c r="V452" s="46">
        <v>3.6799999999999999E-2</v>
      </c>
      <c r="W452" s="45">
        <v>3.5349999999999999E-2</v>
      </c>
      <c r="X452" t="s">
        <v>222</v>
      </c>
      <c r="Y452" t="s">
        <v>72</v>
      </c>
      <c r="Z452" s="44">
        <v>89000</v>
      </c>
      <c r="AA452" s="42">
        <v>1</v>
      </c>
      <c r="AB452" s="48">
        <v>105.69</v>
      </c>
      <c r="AD452" s="44">
        <v>94.063999999999993</v>
      </c>
      <c r="AG452" t="s">
        <v>16</v>
      </c>
      <c r="AH452" s="45">
        <v>2.0100000000000001E-4</v>
      </c>
      <c r="AI452" s="45">
        <v>1.1593938395277699E-2</v>
      </c>
      <c r="AJ452" s="45">
        <v>1.2839861923291101E-3</v>
      </c>
    </row>
    <row r="453" spans="1:36" x14ac:dyDescent="0.25">
      <c r="A453">
        <v>969</v>
      </c>
      <c r="B453">
        <v>969</v>
      </c>
      <c r="C453" t="s">
        <v>312</v>
      </c>
      <c r="D453" t="s">
        <v>313</v>
      </c>
      <c r="E453" t="s">
        <v>210</v>
      </c>
      <c r="F453" t="s">
        <v>317</v>
      </c>
      <c r="G453" t="s">
        <v>318</v>
      </c>
      <c r="H453" t="s">
        <v>213</v>
      </c>
      <c r="I453" t="s">
        <v>214</v>
      </c>
      <c r="J453" t="s">
        <v>71</v>
      </c>
      <c r="K453" t="s">
        <v>71</v>
      </c>
      <c r="L453" t="s">
        <v>216</v>
      </c>
      <c r="M453" t="s">
        <v>117</v>
      </c>
      <c r="N453" t="s">
        <v>258</v>
      </c>
      <c r="O453" t="s">
        <v>72</v>
      </c>
      <c r="P453" t="s">
        <v>218</v>
      </c>
      <c r="Q453" t="s">
        <v>74</v>
      </c>
      <c r="R453" t="s">
        <v>220</v>
      </c>
      <c r="S453" t="s">
        <v>81</v>
      </c>
      <c r="T453" s="44">
        <v>1.4610000000000001</v>
      </c>
      <c r="U453" t="s">
        <v>319</v>
      </c>
      <c r="V453" s="46">
        <v>3.4599999999999999E-2</v>
      </c>
      <c r="W453" s="45">
        <v>3.0300000000000001E-2</v>
      </c>
      <c r="X453" t="s">
        <v>222</v>
      </c>
      <c r="Y453" t="s">
        <v>72</v>
      </c>
      <c r="Z453" s="44">
        <v>0.28000000000000003</v>
      </c>
      <c r="AA453" s="42">
        <v>1</v>
      </c>
      <c r="AB453" s="48">
        <v>118.35</v>
      </c>
      <c r="AD453" s="44">
        <v>0</v>
      </c>
      <c r="AG453" t="s">
        <v>16</v>
      </c>
      <c r="AH453" s="45">
        <v>0</v>
      </c>
      <c r="AI453" s="45">
        <v>4.0844480576831302E-8</v>
      </c>
      <c r="AJ453" s="45">
        <v>4.5233765529465798E-9</v>
      </c>
    </row>
    <row r="454" spans="1:36" x14ac:dyDescent="0.25">
      <c r="A454">
        <v>969</v>
      </c>
      <c r="B454">
        <v>969</v>
      </c>
      <c r="C454" t="s">
        <v>631</v>
      </c>
      <c r="D454" t="s">
        <v>632</v>
      </c>
      <c r="E454" t="s">
        <v>210</v>
      </c>
      <c r="F454" t="s">
        <v>746</v>
      </c>
      <c r="G454" t="s">
        <v>747</v>
      </c>
      <c r="H454" t="s">
        <v>213</v>
      </c>
      <c r="I454" t="s">
        <v>239</v>
      </c>
      <c r="J454" t="s">
        <v>71</v>
      </c>
      <c r="K454" t="s">
        <v>71</v>
      </c>
      <c r="L454" t="s">
        <v>216</v>
      </c>
      <c r="M454" t="s">
        <v>117</v>
      </c>
      <c r="N454" t="s">
        <v>245</v>
      </c>
      <c r="O454" t="s">
        <v>72</v>
      </c>
      <c r="P454" t="s">
        <v>218</v>
      </c>
      <c r="Q454" t="s">
        <v>74</v>
      </c>
      <c r="R454" t="s">
        <v>220</v>
      </c>
      <c r="S454" t="s">
        <v>81</v>
      </c>
      <c r="T454" s="44">
        <v>0.11</v>
      </c>
      <c r="U454" t="s">
        <v>748</v>
      </c>
      <c r="V454" s="46">
        <v>4.2000000000000003E-2</v>
      </c>
      <c r="W454" s="45">
        <v>5.7149999999999999E-2</v>
      </c>
      <c r="X454" t="s">
        <v>222</v>
      </c>
      <c r="Y454" t="s">
        <v>72</v>
      </c>
      <c r="Z454" s="44">
        <v>17827.099999999999</v>
      </c>
      <c r="AA454" s="42">
        <v>1</v>
      </c>
      <c r="AB454" s="48">
        <v>101.48</v>
      </c>
      <c r="AD454" s="44">
        <v>18.091000000000001</v>
      </c>
      <c r="AG454" t="s">
        <v>16</v>
      </c>
      <c r="AH454" s="45">
        <v>1.4799999999999999E-4</v>
      </c>
      <c r="AI454" s="45">
        <v>2.2298119728368002E-3</v>
      </c>
      <c r="AJ454" s="45">
        <v>2.4694350504559699E-4</v>
      </c>
    </row>
    <row r="455" spans="1:36" x14ac:dyDescent="0.25">
      <c r="A455">
        <v>969</v>
      </c>
      <c r="B455">
        <v>969</v>
      </c>
      <c r="C455" t="s">
        <v>320</v>
      </c>
      <c r="D455" t="s">
        <v>321</v>
      </c>
      <c r="E455" t="s">
        <v>210</v>
      </c>
      <c r="F455" t="s">
        <v>322</v>
      </c>
      <c r="G455" t="s">
        <v>323</v>
      </c>
      <c r="H455" t="s">
        <v>213</v>
      </c>
      <c r="I455" t="s">
        <v>239</v>
      </c>
      <c r="J455" t="s">
        <v>71</v>
      </c>
      <c r="K455" t="s">
        <v>71</v>
      </c>
      <c r="L455" t="s">
        <v>216</v>
      </c>
      <c r="M455" t="s">
        <v>117</v>
      </c>
      <c r="N455" t="s">
        <v>234</v>
      </c>
      <c r="O455" t="s">
        <v>72</v>
      </c>
      <c r="P455" t="s">
        <v>246</v>
      </c>
      <c r="Q455" t="s">
        <v>74</v>
      </c>
      <c r="R455" t="s">
        <v>220</v>
      </c>
      <c r="S455" t="s">
        <v>81</v>
      </c>
      <c r="T455" s="44">
        <v>2.2389999999999999</v>
      </c>
      <c r="U455" t="s">
        <v>324</v>
      </c>
      <c r="V455" s="46">
        <v>2.7E-2</v>
      </c>
      <c r="W455" s="45">
        <v>5.4039999999999998E-2</v>
      </c>
      <c r="X455" t="s">
        <v>222</v>
      </c>
      <c r="Y455" t="s">
        <v>72</v>
      </c>
      <c r="Z455" s="44">
        <v>97500</v>
      </c>
      <c r="AA455" s="42">
        <v>1</v>
      </c>
      <c r="AB455" s="48">
        <v>94.31</v>
      </c>
      <c r="AD455" s="44">
        <v>91.951999999999998</v>
      </c>
      <c r="AG455" t="s">
        <v>16</v>
      </c>
      <c r="AH455" s="45">
        <v>1.7100000000000001E-4</v>
      </c>
      <c r="AI455" s="45">
        <v>1.1333640802465199E-2</v>
      </c>
      <c r="AJ455" s="45">
        <v>1.25515918776233E-3</v>
      </c>
    </row>
    <row r="456" spans="1:36" x14ac:dyDescent="0.25">
      <c r="A456">
        <v>969</v>
      </c>
      <c r="B456">
        <v>969</v>
      </c>
      <c r="C456" t="s">
        <v>325</v>
      </c>
      <c r="D456" t="s">
        <v>326</v>
      </c>
      <c r="E456" t="s">
        <v>210</v>
      </c>
      <c r="F456" t="s">
        <v>327</v>
      </c>
      <c r="G456" t="s">
        <v>328</v>
      </c>
      <c r="H456" t="s">
        <v>213</v>
      </c>
      <c r="I456" t="s">
        <v>239</v>
      </c>
      <c r="J456" t="s">
        <v>71</v>
      </c>
      <c r="K456" t="s">
        <v>71</v>
      </c>
      <c r="L456" t="s">
        <v>216</v>
      </c>
      <c r="M456" t="s">
        <v>109</v>
      </c>
      <c r="N456" t="s">
        <v>329</v>
      </c>
      <c r="O456" t="s">
        <v>72</v>
      </c>
      <c r="P456" t="s">
        <v>235</v>
      </c>
      <c r="Q456" t="s">
        <v>219</v>
      </c>
      <c r="R456" t="s">
        <v>220</v>
      </c>
      <c r="S456" t="s">
        <v>81</v>
      </c>
      <c r="T456" s="44">
        <v>4.07</v>
      </c>
      <c r="U456" t="s">
        <v>330</v>
      </c>
      <c r="V456" s="46">
        <v>5.5E-2</v>
      </c>
      <c r="W456" s="45">
        <v>5.1830000000000001E-2</v>
      </c>
      <c r="X456" t="s">
        <v>222</v>
      </c>
      <c r="Y456" t="s">
        <v>72</v>
      </c>
      <c r="Z456" s="44">
        <v>167105.32999999999</v>
      </c>
      <c r="AA456" s="42">
        <v>1</v>
      </c>
      <c r="AB456" s="48">
        <v>104.5</v>
      </c>
      <c r="AD456" s="44">
        <v>174.625</v>
      </c>
      <c r="AG456" t="s">
        <v>16</v>
      </c>
      <c r="AH456" s="45">
        <v>1.66E-4</v>
      </c>
      <c r="AI456" s="45">
        <v>2.1523538758271898E-2</v>
      </c>
      <c r="AJ456" s="45">
        <v>2.38365304640035E-3</v>
      </c>
    </row>
    <row r="457" spans="1:36" x14ac:dyDescent="0.25">
      <c r="A457">
        <v>969</v>
      </c>
      <c r="B457">
        <v>969</v>
      </c>
      <c r="C457" t="s">
        <v>331</v>
      </c>
      <c r="D457" t="s">
        <v>332</v>
      </c>
      <c r="E457" t="s">
        <v>210</v>
      </c>
      <c r="F457" t="s">
        <v>333</v>
      </c>
      <c r="G457" t="s">
        <v>334</v>
      </c>
      <c r="H457" t="s">
        <v>213</v>
      </c>
      <c r="I457" t="s">
        <v>214</v>
      </c>
      <c r="J457" t="s">
        <v>71</v>
      </c>
      <c r="K457" t="s">
        <v>71</v>
      </c>
      <c r="L457" t="s">
        <v>216</v>
      </c>
      <c r="M457" t="s">
        <v>117</v>
      </c>
      <c r="N457" t="s">
        <v>258</v>
      </c>
      <c r="O457" t="s">
        <v>72</v>
      </c>
      <c r="P457" t="s">
        <v>228</v>
      </c>
      <c r="Q457" t="s">
        <v>219</v>
      </c>
      <c r="R457" t="s">
        <v>220</v>
      </c>
      <c r="S457" t="s">
        <v>81</v>
      </c>
      <c r="T457" s="44">
        <v>4.0019999999999998</v>
      </c>
      <c r="U457" t="s">
        <v>335</v>
      </c>
      <c r="V457" s="46">
        <v>1.17E-2</v>
      </c>
      <c r="W457" s="45">
        <v>2.9520000000000001E-2</v>
      </c>
      <c r="X457" t="s">
        <v>222</v>
      </c>
      <c r="Y457" t="s">
        <v>72</v>
      </c>
      <c r="Z457" s="44">
        <v>120553.13</v>
      </c>
      <c r="AA457" s="42">
        <v>1</v>
      </c>
      <c r="AB457" s="48">
        <v>107.32</v>
      </c>
      <c r="AD457" s="44">
        <v>129.37799999999999</v>
      </c>
      <c r="AG457" t="s">
        <v>16</v>
      </c>
      <c r="AH457" s="45">
        <v>1.75E-4</v>
      </c>
      <c r="AI457" s="45">
        <v>1.5946531628523601E-2</v>
      </c>
      <c r="AJ457" s="45">
        <v>1.76601994322339E-3</v>
      </c>
    </row>
    <row r="458" spans="1:36" x14ac:dyDescent="0.25">
      <c r="A458">
        <v>969</v>
      </c>
      <c r="B458">
        <v>969</v>
      </c>
      <c r="C458" t="s">
        <v>331</v>
      </c>
      <c r="D458" t="s">
        <v>332</v>
      </c>
      <c r="E458" t="s">
        <v>210</v>
      </c>
      <c r="F458" t="s">
        <v>336</v>
      </c>
      <c r="G458" t="s">
        <v>337</v>
      </c>
      <c r="H458" t="s">
        <v>213</v>
      </c>
      <c r="I458" t="s">
        <v>214</v>
      </c>
      <c r="J458" t="s">
        <v>71</v>
      </c>
      <c r="K458" t="s">
        <v>71</v>
      </c>
      <c r="L458" t="s">
        <v>216</v>
      </c>
      <c r="M458" t="s">
        <v>117</v>
      </c>
      <c r="N458" t="s">
        <v>258</v>
      </c>
      <c r="O458" t="s">
        <v>72</v>
      </c>
      <c r="P458" t="s">
        <v>228</v>
      </c>
      <c r="Q458" t="s">
        <v>219</v>
      </c>
      <c r="R458" t="s">
        <v>220</v>
      </c>
      <c r="S458" t="s">
        <v>81</v>
      </c>
      <c r="T458" s="44">
        <v>4.0090000000000003</v>
      </c>
      <c r="U458" t="s">
        <v>305</v>
      </c>
      <c r="V458" s="46">
        <v>1.3299999999999999E-2</v>
      </c>
      <c r="W458" s="45">
        <v>3.049E-2</v>
      </c>
      <c r="X458" t="s">
        <v>222</v>
      </c>
      <c r="Y458" t="s">
        <v>72</v>
      </c>
      <c r="Z458" s="44">
        <v>63000</v>
      </c>
      <c r="AA458" s="42">
        <v>1</v>
      </c>
      <c r="AB458" s="48">
        <v>107.88</v>
      </c>
      <c r="AD458" s="44">
        <v>67.963999999999999</v>
      </c>
      <c r="AG458" t="s">
        <v>16</v>
      </c>
      <c r="AH458" s="45">
        <v>5.5999999999999999E-5</v>
      </c>
      <c r="AI458" s="45">
        <v>8.3770010734383199E-3</v>
      </c>
      <c r="AJ458" s="45">
        <v>9.27722172113834E-4</v>
      </c>
    </row>
    <row r="459" spans="1:36" x14ac:dyDescent="0.25">
      <c r="A459">
        <v>969</v>
      </c>
      <c r="B459">
        <v>969</v>
      </c>
      <c r="C459" t="s">
        <v>331</v>
      </c>
      <c r="D459" t="s">
        <v>332</v>
      </c>
      <c r="E459" t="s">
        <v>210</v>
      </c>
      <c r="F459" t="s">
        <v>338</v>
      </c>
      <c r="G459" t="s">
        <v>339</v>
      </c>
      <c r="H459" t="s">
        <v>213</v>
      </c>
      <c r="I459" t="s">
        <v>214</v>
      </c>
      <c r="J459" t="s">
        <v>71</v>
      </c>
      <c r="K459" t="s">
        <v>71</v>
      </c>
      <c r="L459" t="s">
        <v>216</v>
      </c>
      <c r="M459" t="s">
        <v>117</v>
      </c>
      <c r="N459" t="s">
        <v>258</v>
      </c>
      <c r="O459" t="s">
        <v>72</v>
      </c>
      <c r="P459" t="s">
        <v>228</v>
      </c>
      <c r="Q459" t="s">
        <v>74</v>
      </c>
      <c r="R459" t="s">
        <v>220</v>
      </c>
      <c r="S459" t="s">
        <v>81</v>
      </c>
      <c r="T459" s="44">
        <v>4.8780000000000001</v>
      </c>
      <c r="U459" t="s">
        <v>340</v>
      </c>
      <c r="V459" s="46">
        <v>1.8700000000000001E-2</v>
      </c>
      <c r="W459" s="45">
        <v>3.1629999999999998E-2</v>
      </c>
      <c r="X459" t="s">
        <v>222</v>
      </c>
      <c r="Y459" t="s">
        <v>72</v>
      </c>
      <c r="Z459" s="44">
        <v>100000</v>
      </c>
      <c r="AA459" s="42">
        <v>1</v>
      </c>
      <c r="AB459" s="48">
        <v>105.08</v>
      </c>
      <c r="AD459" s="44">
        <v>105.08</v>
      </c>
      <c r="AG459" t="s">
        <v>16</v>
      </c>
      <c r="AH459" s="45">
        <v>9.7999999999999997E-5</v>
      </c>
      <c r="AI459" s="45">
        <v>1.29517110839925E-2</v>
      </c>
      <c r="AJ459" s="45">
        <v>1.4343545421679801E-3</v>
      </c>
    </row>
    <row r="460" spans="1:36" x14ac:dyDescent="0.25">
      <c r="A460">
        <v>969</v>
      </c>
      <c r="B460">
        <v>969</v>
      </c>
      <c r="C460" t="s">
        <v>320</v>
      </c>
      <c r="D460" t="s">
        <v>321</v>
      </c>
      <c r="E460" t="s">
        <v>210</v>
      </c>
      <c r="F460" t="s">
        <v>341</v>
      </c>
      <c r="G460" t="s">
        <v>342</v>
      </c>
      <c r="H460" t="s">
        <v>213</v>
      </c>
      <c r="I460" t="s">
        <v>239</v>
      </c>
      <c r="J460" t="s">
        <v>71</v>
      </c>
      <c r="K460" t="s">
        <v>71</v>
      </c>
      <c r="L460" t="s">
        <v>216</v>
      </c>
      <c r="M460" t="s">
        <v>117</v>
      </c>
      <c r="N460" t="s">
        <v>234</v>
      </c>
      <c r="O460" t="s">
        <v>72</v>
      </c>
      <c r="P460" t="s">
        <v>246</v>
      </c>
      <c r="Q460" t="s">
        <v>74</v>
      </c>
      <c r="R460" t="s">
        <v>220</v>
      </c>
      <c r="S460" t="s">
        <v>81</v>
      </c>
      <c r="T460" s="44">
        <v>4.2629999999999999</v>
      </c>
      <c r="U460" t="s">
        <v>343</v>
      </c>
      <c r="V460" s="46">
        <v>5.7500000000000002E-2</v>
      </c>
      <c r="W460" s="45">
        <v>5.493E-2</v>
      </c>
      <c r="X460" t="s">
        <v>222</v>
      </c>
      <c r="Y460" t="s">
        <v>72</v>
      </c>
      <c r="Z460" s="44">
        <v>70828</v>
      </c>
      <c r="AA460" s="42">
        <v>1</v>
      </c>
      <c r="AB460" s="48">
        <v>101.46</v>
      </c>
      <c r="AD460" s="44">
        <v>71.861999999999995</v>
      </c>
      <c r="AG460" t="s">
        <v>16</v>
      </c>
      <c r="AH460" s="45">
        <v>1.35E-4</v>
      </c>
      <c r="AI460" s="45">
        <v>8.8574135137972198E-3</v>
      </c>
      <c r="AJ460" s="45">
        <v>9.8092608945526201E-4</v>
      </c>
    </row>
    <row r="461" spans="1:36" x14ac:dyDescent="0.25">
      <c r="A461">
        <v>969</v>
      </c>
      <c r="B461">
        <v>969</v>
      </c>
      <c r="C461" t="s">
        <v>344</v>
      </c>
      <c r="D461" t="s">
        <v>345</v>
      </c>
      <c r="E461" t="s">
        <v>210</v>
      </c>
      <c r="F461" t="s">
        <v>346</v>
      </c>
      <c r="G461" t="s">
        <v>347</v>
      </c>
      <c r="H461" t="s">
        <v>213</v>
      </c>
      <c r="I461" t="s">
        <v>239</v>
      </c>
      <c r="J461" t="s">
        <v>71</v>
      </c>
      <c r="K461" t="s">
        <v>71</v>
      </c>
      <c r="L461" t="s">
        <v>216</v>
      </c>
      <c r="M461" t="s">
        <v>117</v>
      </c>
      <c r="N461" t="s">
        <v>258</v>
      </c>
      <c r="O461" t="s">
        <v>72</v>
      </c>
      <c r="P461" t="s">
        <v>259</v>
      </c>
      <c r="Q461" t="s">
        <v>74</v>
      </c>
      <c r="R461" t="s">
        <v>220</v>
      </c>
      <c r="S461" t="s">
        <v>81</v>
      </c>
      <c r="T461" s="44">
        <v>4.7640000000000002</v>
      </c>
      <c r="U461" t="s">
        <v>348</v>
      </c>
      <c r="V461" s="46">
        <v>2.5499999999999998E-2</v>
      </c>
      <c r="W461" s="45">
        <v>5.2690000000000001E-2</v>
      </c>
      <c r="X461" t="s">
        <v>222</v>
      </c>
      <c r="Y461" t="s">
        <v>72</v>
      </c>
      <c r="Z461" s="44">
        <v>87598.32</v>
      </c>
      <c r="AA461" s="42">
        <v>1</v>
      </c>
      <c r="AB461" s="48">
        <v>88.7</v>
      </c>
      <c r="AD461" s="44">
        <v>77.7</v>
      </c>
      <c r="AG461" t="s">
        <v>16</v>
      </c>
      <c r="AH461" s="45">
        <v>3.6999999999999998E-5</v>
      </c>
      <c r="AI461" s="45">
        <v>9.5769336996357791E-3</v>
      </c>
      <c r="AJ461" s="45">
        <v>1.06061031341966E-3</v>
      </c>
    </row>
    <row r="462" spans="1:36" x14ac:dyDescent="0.25">
      <c r="A462">
        <v>969</v>
      </c>
      <c r="B462">
        <v>969</v>
      </c>
      <c r="C462" t="s">
        <v>344</v>
      </c>
      <c r="D462" t="s">
        <v>345</v>
      </c>
      <c r="E462" t="s">
        <v>210</v>
      </c>
      <c r="F462" t="s">
        <v>352</v>
      </c>
      <c r="G462" t="s">
        <v>353</v>
      </c>
      <c r="H462" t="s">
        <v>213</v>
      </c>
      <c r="I462" t="s">
        <v>214</v>
      </c>
      <c r="J462" t="s">
        <v>71</v>
      </c>
      <c r="K462" t="s">
        <v>71</v>
      </c>
      <c r="L462" t="s">
        <v>216</v>
      </c>
      <c r="M462" t="s">
        <v>117</v>
      </c>
      <c r="N462" t="s">
        <v>258</v>
      </c>
      <c r="O462" t="s">
        <v>72</v>
      </c>
      <c r="P462" t="s">
        <v>259</v>
      </c>
      <c r="Q462" t="s">
        <v>74</v>
      </c>
      <c r="R462" t="s">
        <v>220</v>
      </c>
      <c r="S462" t="s">
        <v>81</v>
      </c>
      <c r="T462" s="44">
        <v>4.673</v>
      </c>
      <c r="U462" t="s">
        <v>354</v>
      </c>
      <c r="V462" s="46">
        <v>5.8999999999999999E-3</v>
      </c>
      <c r="W462" s="45">
        <v>3.0779999999999998E-2</v>
      </c>
      <c r="X462" t="s">
        <v>222</v>
      </c>
      <c r="Y462" t="s">
        <v>72</v>
      </c>
      <c r="Z462" s="44">
        <v>112131</v>
      </c>
      <c r="AA462" s="42">
        <v>1</v>
      </c>
      <c r="AB462" s="48">
        <v>100.11</v>
      </c>
      <c r="AD462" s="44">
        <v>112.254</v>
      </c>
      <c r="AG462" t="s">
        <v>16</v>
      </c>
      <c r="AH462" s="45">
        <v>8.0000000000000007E-5</v>
      </c>
      <c r="AI462" s="45">
        <v>1.38359900333677E-2</v>
      </c>
      <c r="AJ462" s="45">
        <v>1.5322851954503499E-3</v>
      </c>
    </row>
    <row r="463" spans="1:36" x14ac:dyDescent="0.25">
      <c r="A463">
        <v>969</v>
      </c>
      <c r="B463">
        <v>969</v>
      </c>
      <c r="C463" t="s">
        <v>344</v>
      </c>
      <c r="D463" t="s">
        <v>345</v>
      </c>
      <c r="E463" t="s">
        <v>210</v>
      </c>
      <c r="F463" t="s">
        <v>355</v>
      </c>
      <c r="G463" t="s">
        <v>356</v>
      </c>
      <c r="H463" t="s">
        <v>213</v>
      </c>
      <c r="I463" t="s">
        <v>214</v>
      </c>
      <c r="J463" t="s">
        <v>71</v>
      </c>
      <c r="K463" t="s">
        <v>71</v>
      </c>
      <c r="L463" t="s">
        <v>216</v>
      </c>
      <c r="M463" t="s">
        <v>109</v>
      </c>
      <c r="N463" t="s">
        <v>258</v>
      </c>
      <c r="O463" t="s">
        <v>72</v>
      </c>
      <c r="P463" t="s">
        <v>259</v>
      </c>
      <c r="Q463" t="s">
        <v>74</v>
      </c>
      <c r="R463" t="s">
        <v>220</v>
      </c>
      <c r="S463" t="s">
        <v>81</v>
      </c>
      <c r="T463" s="44">
        <v>3.3180000000000001</v>
      </c>
      <c r="U463" t="s">
        <v>357</v>
      </c>
      <c r="V463" s="46">
        <v>3.3399999999999999E-2</v>
      </c>
      <c r="W463" s="45">
        <v>3.0470000000000001E-2</v>
      </c>
      <c r="X463" t="s">
        <v>222</v>
      </c>
      <c r="Y463" t="s">
        <v>72</v>
      </c>
      <c r="Z463" s="44">
        <v>116297</v>
      </c>
      <c r="AA463" s="42">
        <v>1</v>
      </c>
      <c r="AB463" s="48">
        <v>102.84</v>
      </c>
      <c r="AD463" s="44">
        <v>119.6</v>
      </c>
      <c r="AG463" t="s">
        <v>16</v>
      </c>
      <c r="AH463" s="45">
        <v>1.08E-4</v>
      </c>
      <c r="AI463" s="45">
        <v>1.4741363780194401E-2</v>
      </c>
      <c r="AJ463" s="45">
        <v>1.6325520202504799E-3</v>
      </c>
    </row>
    <row r="464" spans="1:36" x14ac:dyDescent="0.25">
      <c r="A464">
        <v>969</v>
      </c>
      <c r="B464">
        <v>969</v>
      </c>
      <c r="C464" t="s">
        <v>344</v>
      </c>
      <c r="D464" t="s">
        <v>345</v>
      </c>
      <c r="E464" t="s">
        <v>210</v>
      </c>
      <c r="F464" t="s">
        <v>358</v>
      </c>
      <c r="G464" t="s">
        <v>359</v>
      </c>
      <c r="H464" t="s">
        <v>213</v>
      </c>
      <c r="I464" t="s">
        <v>214</v>
      </c>
      <c r="J464" t="s">
        <v>71</v>
      </c>
      <c r="K464" t="s">
        <v>71</v>
      </c>
      <c r="L464" t="s">
        <v>216</v>
      </c>
      <c r="M464" t="s">
        <v>117</v>
      </c>
      <c r="N464" t="s">
        <v>258</v>
      </c>
      <c r="O464" t="s">
        <v>72</v>
      </c>
      <c r="P464" t="s">
        <v>259</v>
      </c>
      <c r="Q464" t="s">
        <v>74</v>
      </c>
      <c r="R464" t="s">
        <v>220</v>
      </c>
      <c r="S464" t="s">
        <v>81</v>
      </c>
      <c r="T464" s="44">
        <v>0.98599999999999999</v>
      </c>
      <c r="U464" t="s">
        <v>360</v>
      </c>
      <c r="V464" s="46">
        <v>4.7500000000000001E-2</v>
      </c>
      <c r="W464" s="45">
        <v>2.462E-2</v>
      </c>
      <c r="X464" t="s">
        <v>222</v>
      </c>
      <c r="Y464" t="s">
        <v>72</v>
      </c>
      <c r="Z464" s="44">
        <v>35823.24</v>
      </c>
      <c r="AA464" s="42">
        <v>1</v>
      </c>
      <c r="AB464" s="48">
        <v>143.4</v>
      </c>
      <c r="AD464" s="44">
        <v>51.371000000000002</v>
      </c>
      <c r="AG464" t="s">
        <v>16</v>
      </c>
      <c r="AH464" s="45">
        <v>7.4999999999999993E-5</v>
      </c>
      <c r="AI464" s="45">
        <v>6.3317112015321498E-3</v>
      </c>
      <c r="AJ464" s="45">
        <v>7.0121381358160596E-4</v>
      </c>
    </row>
    <row r="465" spans="1:36" x14ac:dyDescent="0.25">
      <c r="A465">
        <v>969</v>
      </c>
      <c r="B465">
        <v>969</v>
      </c>
      <c r="C465" t="s">
        <v>361</v>
      </c>
      <c r="D465" t="s">
        <v>362</v>
      </c>
      <c r="E465" t="s">
        <v>210</v>
      </c>
      <c r="F465" t="s">
        <v>363</v>
      </c>
      <c r="G465" t="s">
        <v>364</v>
      </c>
      <c r="H465" t="s">
        <v>213</v>
      </c>
      <c r="I465" t="s">
        <v>214</v>
      </c>
      <c r="J465" t="s">
        <v>71</v>
      </c>
      <c r="K465" t="s">
        <v>71</v>
      </c>
      <c r="L465" t="s">
        <v>216</v>
      </c>
      <c r="M465" t="s">
        <v>117</v>
      </c>
      <c r="N465" t="s">
        <v>365</v>
      </c>
      <c r="O465" t="s">
        <v>72</v>
      </c>
      <c r="P465" t="s">
        <v>73</v>
      </c>
      <c r="Q465" t="s">
        <v>74</v>
      </c>
      <c r="R465" t="s">
        <v>220</v>
      </c>
      <c r="S465" t="s">
        <v>81</v>
      </c>
      <c r="T465" s="44">
        <v>5.1459999999999999</v>
      </c>
      <c r="U465" t="s">
        <v>366</v>
      </c>
      <c r="V465" s="46">
        <v>2.47E-2</v>
      </c>
      <c r="W465" s="45">
        <v>2.6089999999999999E-2</v>
      </c>
      <c r="X465" t="s">
        <v>222</v>
      </c>
      <c r="Y465" t="s">
        <v>72</v>
      </c>
      <c r="Z465" s="44">
        <v>159172.65</v>
      </c>
      <c r="AA465" s="42">
        <v>1</v>
      </c>
      <c r="AB465" s="48">
        <v>101.3</v>
      </c>
      <c r="AD465" s="44">
        <v>161.24199999999999</v>
      </c>
      <c r="AG465" t="s">
        <v>16</v>
      </c>
      <c r="AH465" s="45">
        <v>6.0999999999999999E-5</v>
      </c>
      <c r="AI465" s="45">
        <v>1.98739858350972E-2</v>
      </c>
      <c r="AJ465" s="45">
        <v>2.2009711047975599E-3</v>
      </c>
    </row>
    <row r="466" spans="1:36" x14ac:dyDescent="0.25">
      <c r="A466">
        <v>969</v>
      </c>
      <c r="B466">
        <v>969</v>
      </c>
      <c r="C466" t="s">
        <v>361</v>
      </c>
      <c r="D466" t="s">
        <v>362</v>
      </c>
      <c r="E466" t="s">
        <v>210</v>
      </c>
      <c r="F466" t="s">
        <v>374</v>
      </c>
      <c r="G466" t="s">
        <v>375</v>
      </c>
      <c r="H466" t="s">
        <v>213</v>
      </c>
      <c r="I466" t="s">
        <v>214</v>
      </c>
      <c r="J466" t="s">
        <v>71</v>
      </c>
      <c r="K466" t="s">
        <v>71</v>
      </c>
      <c r="L466" t="s">
        <v>216</v>
      </c>
      <c r="M466" t="s">
        <v>117</v>
      </c>
      <c r="N466" t="s">
        <v>365</v>
      </c>
      <c r="O466" t="s">
        <v>72</v>
      </c>
      <c r="P466" t="s">
        <v>228</v>
      </c>
      <c r="Q466" t="s">
        <v>74</v>
      </c>
      <c r="R466" t="s">
        <v>220</v>
      </c>
      <c r="S466" t="s">
        <v>81</v>
      </c>
      <c r="T466" s="44">
        <v>3.488</v>
      </c>
      <c r="U466" t="s">
        <v>376</v>
      </c>
      <c r="V466" s="46">
        <v>3.1699999999999999E-2</v>
      </c>
      <c r="W466" s="45">
        <v>3.0249999999999999E-2</v>
      </c>
      <c r="X466" t="s">
        <v>222</v>
      </c>
      <c r="Y466" t="s">
        <v>72</v>
      </c>
      <c r="Z466" s="44">
        <v>100000</v>
      </c>
      <c r="AA466" s="42">
        <v>1</v>
      </c>
      <c r="AB466" s="48">
        <v>108.94</v>
      </c>
      <c r="AD466" s="44">
        <v>108.94</v>
      </c>
      <c r="AG466" t="s">
        <v>16</v>
      </c>
      <c r="AH466" s="45">
        <v>1.18E-4</v>
      </c>
      <c r="AI466" s="45">
        <v>1.3427478164162E-2</v>
      </c>
      <c r="AJ466" s="45">
        <v>1.48704400289094E-3</v>
      </c>
    </row>
    <row r="467" spans="1:36" x14ac:dyDescent="0.25">
      <c r="A467">
        <v>969</v>
      </c>
      <c r="B467">
        <v>969</v>
      </c>
      <c r="C467" t="s">
        <v>377</v>
      </c>
      <c r="D467" t="s">
        <v>378</v>
      </c>
      <c r="E467" t="s">
        <v>210</v>
      </c>
      <c r="F467" t="s">
        <v>379</v>
      </c>
      <c r="G467" t="s">
        <v>380</v>
      </c>
      <c r="H467" t="s">
        <v>213</v>
      </c>
      <c r="I467" t="s">
        <v>214</v>
      </c>
      <c r="J467" t="s">
        <v>71</v>
      </c>
      <c r="K467" t="s">
        <v>71</v>
      </c>
      <c r="L467" t="s">
        <v>216</v>
      </c>
      <c r="M467" t="s">
        <v>117</v>
      </c>
      <c r="N467" t="s">
        <v>234</v>
      </c>
      <c r="O467" t="s">
        <v>72</v>
      </c>
      <c r="P467" t="s">
        <v>235</v>
      </c>
      <c r="Q467" t="s">
        <v>219</v>
      </c>
      <c r="R467" t="s">
        <v>220</v>
      </c>
      <c r="S467" t="s">
        <v>81</v>
      </c>
      <c r="T467" s="44">
        <v>3.448</v>
      </c>
      <c r="U467" t="s">
        <v>381</v>
      </c>
      <c r="V467" s="46">
        <v>1.7999999999999999E-2</v>
      </c>
      <c r="W467" s="45">
        <v>3.4950000000000002E-2</v>
      </c>
      <c r="X467" t="s">
        <v>222</v>
      </c>
      <c r="Y467" t="s">
        <v>72</v>
      </c>
      <c r="Z467" s="44">
        <v>48924.74</v>
      </c>
      <c r="AA467" s="42">
        <v>1</v>
      </c>
      <c r="AB467" s="48">
        <v>109.14</v>
      </c>
      <c r="AD467" s="44">
        <v>53.396000000000001</v>
      </c>
      <c r="AG467" t="s">
        <v>16</v>
      </c>
      <c r="AH467" s="45">
        <v>5.5000000000000002E-5</v>
      </c>
      <c r="AI467" s="45">
        <v>6.5814192885066203E-3</v>
      </c>
      <c r="AJ467" s="45">
        <v>7.2886806918113101E-4</v>
      </c>
    </row>
    <row r="468" spans="1:36" x14ac:dyDescent="0.25">
      <c r="A468">
        <v>969</v>
      </c>
      <c r="B468">
        <v>969</v>
      </c>
      <c r="C468" t="s">
        <v>377</v>
      </c>
      <c r="D468" t="s">
        <v>378</v>
      </c>
      <c r="E468" t="s">
        <v>210</v>
      </c>
      <c r="F468" t="s">
        <v>382</v>
      </c>
      <c r="G468" t="s">
        <v>383</v>
      </c>
      <c r="H468" t="s">
        <v>213</v>
      </c>
      <c r="I468" t="s">
        <v>214</v>
      </c>
      <c r="J468" t="s">
        <v>71</v>
      </c>
      <c r="K468" t="s">
        <v>71</v>
      </c>
      <c r="L468" t="s">
        <v>216</v>
      </c>
      <c r="M468" t="s">
        <v>117</v>
      </c>
      <c r="N468" t="s">
        <v>234</v>
      </c>
      <c r="O468" t="s">
        <v>72</v>
      </c>
      <c r="P468" t="s">
        <v>235</v>
      </c>
      <c r="Q468" t="s">
        <v>74</v>
      </c>
      <c r="R468" t="s">
        <v>220</v>
      </c>
      <c r="S468" t="s">
        <v>81</v>
      </c>
      <c r="T468" s="44">
        <v>5.7770000000000001</v>
      </c>
      <c r="U468" t="s">
        <v>384</v>
      </c>
      <c r="V468" s="46">
        <v>3.3000000000000002E-2</v>
      </c>
      <c r="W468" s="45">
        <v>3.7769999999999998E-2</v>
      </c>
      <c r="X468" t="s">
        <v>222</v>
      </c>
      <c r="Y468" t="s">
        <v>72</v>
      </c>
      <c r="Z468" s="44">
        <v>155307.70000000001</v>
      </c>
      <c r="AA468" s="42">
        <v>1</v>
      </c>
      <c r="AB468" s="48">
        <v>104.23</v>
      </c>
      <c r="AD468" s="44">
        <v>161.87700000000001</v>
      </c>
      <c r="AG468" t="s">
        <v>16</v>
      </c>
      <c r="AH468" s="45">
        <v>1.3100000000000001E-4</v>
      </c>
      <c r="AI468" s="45">
        <v>1.9952292814589399E-2</v>
      </c>
      <c r="AJ468" s="45">
        <v>2.2096433158274201E-3</v>
      </c>
    </row>
    <row r="469" spans="1:36" x14ac:dyDescent="0.25">
      <c r="A469">
        <v>969</v>
      </c>
      <c r="B469">
        <v>969</v>
      </c>
      <c r="C469" t="s">
        <v>385</v>
      </c>
      <c r="D469" t="s">
        <v>386</v>
      </c>
      <c r="E469" t="s">
        <v>210</v>
      </c>
      <c r="F469" t="s">
        <v>387</v>
      </c>
      <c r="G469" t="s">
        <v>388</v>
      </c>
      <c r="H469" t="s">
        <v>213</v>
      </c>
      <c r="I469" t="s">
        <v>214</v>
      </c>
      <c r="J469" t="s">
        <v>71</v>
      </c>
      <c r="K469" t="s">
        <v>71</v>
      </c>
      <c r="L469" t="s">
        <v>216</v>
      </c>
      <c r="M469" t="s">
        <v>117</v>
      </c>
      <c r="N469" t="s">
        <v>258</v>
      </c>
      <c r="O469" t="s">
        <v>72</v>
      </c>
      <c r="P469" t="s">
        <v>235</v>
      </c>
      <c r="Q469" t="s">
        <v>74</v>
      </c>
      <c r="R469" t="s">
        <v>220</v>
      </c>
      <c r="S469" t="s">
        <v>81</v>
      </c>
      <c r="T469" s="44">
        <v>2.1389999999999998</v>
      </c>
      <c r="U469" t="s">
        <v>247</v>
      </c>
      <c r="V469" s="46">
        <v>3.6499999999999998E-2</v>
      </c>
      <c r="W469" s="45">
        <v>3.637E-2</v>
      </c>
      <c r="X469" t="s">
        <v>222</v>
      </c>
      <c r="Y469" t="s">
        <v>72</v>
      </c>
      <c r="Z469" s="44">
        <v>64000</v>
      </c>
      <c r="AA469" s="42">
        <v>1</v>
      </c>
      <c r="AB469" s="48">
        <v>108.36</v>
      </c>
      <c r="AD469" s="44">
        <v>69.349999999999994</v>
      </c>
      <c r="AG469" t="s">
        <v>16</v>
      </c>
      <c r="AH469" s="45">
        <v>2.4499999999999999E-4</v>
      </c>
      <c r="AI469" s="45">
        <v>8.5478335017064398E-3</v>
      </c>
      <c r="AJ469" s="45">
        <v>9.4664123754440897E-4</v>
      </c>
    </row>
    <row r="470" spans="1:36" x14ac:dyDescent="0.25">
      <c r="A470">
        <v>969</v>
      </c>
      <c r="B470">
        <v>969</v>
      </c>
      <c r="C470" t="s">
        <v>385</v>
      </c>
      <c r="D470" t="s">
        <v>386</v>
      </c>
      <c r="E470" t="s">
        <v>210</v>
      </c>
      <c r="F470" t="s">
        <v>389</v>
      </c>
      <c r="G470" t="s">
        <v>390</v>
      </c>
      <c r="H470" t="s">
        <v>213</v>
      </c>
      <c r="I470" t="s">
        <v>214</v>
      </c>
      <c r="J470" t="s">
        <v>71</v>
      </c>
      <c r="K470" t="s">
        <v>71</v>
      </c>
      <c r="L470" t="s">
        <v>216</v>
      </c>
      <c r="M470" t="s">
        <v>117</v>
      </c>
      <c r="N470" t="s">
        <v>258</v>
      </c>
      <c r="O470" t="s">
        <v>72</v>
      </c>
      <c r="P470" t="s">
        <v>218</v>
      </c>
      <c r="Q470" t="s">
        <v>74</v>
      </c>
      <c r="R470" t="s">
        <v>220</v>
      </c>
      <c r="S470" t="s">
        <v>81</v>
      </c>
      <c r="T470" s="44">
        <v>2.492</v>
      </c>
      <c r="U470" t="s">
        <v>391</v>
      </c>
      <c r="V470" s="46">
        <v>1.7999999999999999E-2</v>
      </c>
      <c r="W470" s="45">
        <v>2.9749999999999999E-2</v>
      </c>
      <c r="X470" t="s">
        <v>222</v>
      </c>
      <c r="Y470" t="s">
        <v>72</v>
      </c>
      <c r="Z470" s="44">
        <v>56714.12</v>
      </c>
      <c r="AA470" s="42">
        <v>1</v>
      </c>
      <c r="AB470" s="48">
        <v>113.34</v>
      </c>
      <c r="AD470" s="44">
        <v>64.28</v>
      </c>
      <c r="AG470" t="s">
        <v>16</v>
      </c>
      <c r="AH470" s="45">
        <v>7.7000000000000001E-5</v>
      </c>
      <c r="AI470" s="45">
        <v>7.92285102619311E-3</v>
      </c>
      <c r="AJ470" s="45">
        <v>8.7742671857356203E-4</v>
      </c>
    </row>
    <row r="471" spans="1:36" x14ac:dyDescent="0.25">
      <c r="A471">
        <v>969</v>
      </c>
      <c r="B471">
        <v>969</v>
      </c>
      <c r="C471" t="s">
        <v>392</v>
      </c>
      <c r="D471" t="s">
        <v>393</v>
      </c>
      <c r="E471" t="s">
        <v>210</v>
      </c>
      <c r="F471" t="s">
        <v>394</v>
      </c>
      <c r="G471" t="s">
        <v>395</v>
      </c>
      <c r="H471" t="s">
        <v>213</v>
      </c>
      <c r="I471" t="s">
        <v>239</v>
      </c>
      <c r="J471" t="s">
        <v>71</v>
      </c>
      <c r="K471" t="s">
        <v>71</v>
      </c>
      <c r="L471" t="s">
        <v>216</v>
      </c>
      <c r="M471" t="s">
        <v>117</v>
      </c>
      <c r="N471" t="s">
        <v>252</v>
      </c>
      <c r="O471" t="s">
        <v>72</v>
      </c>
      <c r="P471" t="s">
        <v>228</v>
      </c>
      <c r="Q471" t="s">
        <v>74</v>
      </c>
      <c r="R471" t="s">
        <v>220</v>
      </c>
      <c r="S471" t="s">
        <v>81</v>
      </c>
      <c r="T471" s="44">
        <v>6.0570000000000004</v>
      </c>
      <c r="U471" t="s">
        <v>396</v>
      </c>
      <c r="V471" s="46">
        <v>3.0499999999999999E-2</v>
      </c>
      <c r="W471" s="45">
        <v>5.1069999999999997E-2</v>
      </c>
      <c r="X471" t="s">
        <v>222</v>
      </c>
      <c r="Y471" t="s">
        <v>72</v>
      </c>
      <c r="Z471" s="44">
        <v>73032</v>
      </c>
      <c r="AA471" s="42">
        <v>1</v>
      </c>
      <c r="AB471" s="48">
        <v>89.46</v>
      </c>
      <c r="AD471" s="44">
        <v>65.334000000000003</v>
      </c>
      <c r="AG471" t="s">
        <v>16</v>
      </c>
      <c r="AH471" s="45">
        <v>1.07E-4</v>
      </c>
      <c r="AI471" s="45">
        <v>8.0528418817333407E-3</v>
      </c>
      <c r="AJ471" s="45">
        <v>8.9182272948480602E-4</v>
      </c>
    </row>
    <row r="472" spans="1:36" x14ac:dyDescent="0.25">
      <c r="A472">
        <v>969</v>
      </c>
      <c r="B472">
        <v>969</v>
      </c>
      <c r="C472" t="s">
        <v>397</v>
      </c>
      <c r="D472" t="s">
        <v>398</v>
      </c>
      <c r="E472" t="s">
        <v>210</v>
      </c>
      <c r="F472" t="s">
        <v>399</v>
      </c>
      <c r="G472" t="s">
        <v>400</v>
      </c>
      <c r="H472" t="s">
        <v>213</v>
      </c>
      <c r="I472" t="s">
        <v>214</v>
      </c>
      <c r="J472" t="s">
        <v>71</v>
      </c>
      <c r="L472" t="s">
        <v>216</v>
      </c>
      <c r="M472" t="s">
        <v>286</v>
      </c>
      <c r="N472" t="s">
        <v>258</v>
      </c>
      <c r="O472" t="s">
        <v>72</v>
      </c>
      <c r="P472" t="s">
        <v>218</v>
      </c>
      <c r="Q472" t="s">
        <v>219</v>
      </c>
      <c r="R472" t="s">
        <v>220</v>
      </c>
      <c r="S472" t="s">
        <v>81</v>
      </c>
      <c r="T472" s="44">
        <v>5.2880000000000003</v>
      </c>
      <c r="U472" t="s">
        <v>401</v>
      </c>
      <c r="V472" s="46">
        <v>3.1800000000000002E-2</v>
      </c>
      <c r="W472" s="45">
        <v>3.2190000000000003E-2</v>
      </c>
      <c r="X472" t="s">
        <v>222</v>
      </c>
      <c r="Y472" t="s">
        <v>72</v>
      </c>
      <c r="Z472" s="44">
        <v>78000</v>
      </c>
      <c r="AA472" s="42">
        <v>1</v>
      </c>
      <c r="AB472" s="48">
        <v>101.12</v>
      </c>
      <c r="AD472" s="44">
        <v>78.873999999999995</v>
      </c>
      <c r="AG472" t="s">
        <v>16</v>
      </c>
      <c r="AH472" s="45">
        <v>3.5E-4</v>
      </c>
      <c r="AI472" s="45">
        <v>9.7216223768023403E-3</v>
      </c>
      <c r="AJ472" s="45">
        <v>1.07663405421717E-3</v>
      </c>
    </row>
    <row r="473" spans="1:36" x14ac:dyDescent="0.25">
      <c r="A473">
        <v>969</v>
      </c>
      <c r="B473">
        <v>969</v>
      </c>
      <c r="C473" t="s">
        <v>402</v>
      </c>
      <c r="D473" t="s">
        <v>403</v>
      </c>
      <c r="E473" t="s">
        <v>210</v>
      </c>
      <c r="F473" t="s">
        <v>407</v>
      </c>
      <c r="G473" t="s">
        <v>408</v>
      </c>
      <c r="H473" t="s">
        <v>213</v>
      </c>
      <c r="I473" t="s">
        <v>214</v>
      </c>
      <c r="J473" t="s">
        <v>71</v>
      </c>
      <c r="K473" t="s">
        <v>71</v>
      </c>
      <c r="L473" t="s">
        <v>216</v>
      </c>
      <c r="M473" t="s">
        <v>117</v>
      </c>
      <c r="N473" t="s">
        <v>234</v>
      </c>
      <c r="O473" t="s">
        <v>72</v>
      </c>
      <c r="P473" t="s">
        <v>73</v>
      </c>
      <c r="Q473" t="s">
        <v>74</v>
      </c>
      <c r="R473" t="s">
        <v>220</v>
      </c>
      <c r="S473" t="s">
        <v>81</v>
      </c>
      <c r="T473" s="44">
        <v>7.2709999999999999</v>
      </c>
      <c r="U473" t="s">
        <v>409</v>
      </c>
      <c r="V473" s="46">
        <v>0.03</v>
      </c>
      <c r="W473" s="45">
        <v>2.9510000000000002E-2</v>
      </c>
      <c r="X473" t="s">
        <v>222</v>
      </c>
      <c r="Y473" t="s">
        <v>72</v>
      </c>
      <c r="Z473" s="44">
        <v>185000</v>
      </c>
      <c r="AA473" s="42">
        <v>1</v>
      </c>
      <c r="AB473" s="48">
        <v>106.29</v>
      </c>
      <c r="AD473" s="44">
        <v>196.637</v>
      </c>
      <c r="AG473" t="s">
        <v>16</v>
      </c>
      <c r="AH473" s="45">
        <v>4.5000000000000003E-5</v>
      </c>
      <c r="AI473" s="45">
        <v>2.4236573435168302E-2</v>
      </c>
      <c r="AJ473" s="45">
        <v>2.6841116951942801E-3</v>
      </c>
    </row>
    <row r="474" spans="1:36" x14ac:dyDescent="0.25">
      <c r="A474">
        <v>969</v>
      </c>
      <c r="B474">
        <v>969</v>
      </c>
      <c r="C474" t="s">
        <v>402</v>
      </c>
      <c r="D474" t="s">
        <v>403</v>
      </c>
      <c r="E474" t="s">
        <v>210</v>
      </c>
      <c r="F474" t="s">
        <v>410</v>
      </c>
      <c r="G474" t="s">
        <v>411</v>
      </c>
      <c r="H474" t="s">
        <v>213</v>
      </c>
      <c r="I474" t="s">
        <v>214</v>
      </c>
      <c r="J474" t="s">
        <v>71</v>
      </c>
      <c r="K474" t="s">
        <v>71</v>
      </c>
      <c r="L474" t="s">
        <v>216</v>
      </c>
      <c r="M474" t="s">
        <v>117</v>
      </c>
      <c r="N474" t="s">
        <v>234</v>
      </c>
      <c r="O474" t="s">
        <v>72</v>
      </c>
      <c r="P474" t="s">
        <v>73</v>
      </c>
      <c r="Q474" t="s">
        <v>74</v>
      </c>
      <c r="R474" t="s">
        <v>220</v>
      </c>
      <c r="S474" t="s">
        <v>81</v>
      </c>
      <c r="T474" s="44">
        <v>10.119999999999999</v>
      </c>
      <c r="U474" t="s">
        <v>412</v>
      </c>
      <c r="V474" s="46">
        <v>3.2000000000000001E-2</v>
      </c>
      <c r="W474" s="45">
        <v>3.1019999999999999E-2</v>
      </c>
      <c r="X474" t="s">
        <v>222</v>
      </c>
      <c r="Y474" t="s">
        <v>72</v>
      </c>
      <c r="Z474" s="44">
        <v>185000</v>
      </c>
      <c r="AA474" s="42">
        <v>1</v>
      </c>
      <c r="AB474" s="48">
        <v>107.1</v>
      </c>
      <c r="AD474" s="44">
        <v>198.13499999999999</v>
      </c>
      <c r="AG474" t="s">
        <v>16</v>
      </c>
      <c r="AH474" s="45">
        <v>3.8000000000000002E-5</v>
      </c>
      <c r="AI474" s="45">
        <v>2.44212721319647E-2</v>
      </c>
      <c r="AJ474" s="45">
        <v>2.7045663990526601E-3</v>
      </c>
    </row>
    <row r="475" spans="1:36" x14ac:dyDescent="0.25">
      <c r="A475">
        <v>969</v>
      </c>
      <c r="B475">
        <v>969</v>
      </c>
      <c r="C475" t="s">
        <v>413</v>
      </c>
      <c r="D475" t="s">
        <v>414</v>
      </c>
      <c r="E475" t="s">
        <v>210</v>
      </c>
      <c r="F475" t="s">
        <v>415</v>
      </c>
      <c r="G475" t="s">
        <v>416</v>
      </c>
      <c r="H475" t="s">
        <v>213</v>
      </c>
      <c r="I475" t="s">
        <v>214</v>
      </c>
      <c r="J475" t="s">
        <v>71</v>
      </c>
      <c r="K475" t="s">
        <v>71</v>
      </c>
      <c r="L475" t="s">
        <v>216</v>
      </c>
      <c r="M475" t="s">
        <v>117</v>
      </c>
      <c r="N475" t="s">
        <v>365</v>
      </c>
      <c r="O475" t="s">
        <v>72</v>
      </c>
      <c r="P475" t="s">
        <v>228</v>
      </c>
      <c r="Q475" t="s">
        <v>74</v>
      </c>
      <c r="R475" t="s">
        <v>220</v>
      </c>
      <c r="S475" t="s">
        <v>81</v>
      </c>
      <c r="T475" s="44">
        <v>4.1260000000000003</v>
      </c>
      <c r="U475" t="s">
        <v>417</v>
      </c>
      <c r="V475" s="46">
        <v>2.5899999999999999E-2</v>
      </c>
      <c r="W475" s="45">
        <v>2.7740000000000001E-2</v>
      </c>
      <c r="X475" t="s">
        <v>222</v>
      </c>
      <c r="Y475" t="s">
        <v>72</v>
      </c>
      <c r="Z475" s="44">
        <v>93000</v>
      </c>
      <c r="AA475" s="42">
        <v>1</v>
      </c>
      <c r="AB475" s="48">
        <v>103.09</v>
      </c>
      <c r="AD475" s="44">
        <v>95.873999999999995</v>
      </c>
      <c r="AG475" t="s">
        <v>16</v>
      </c>
      <c r="AH475" s="45">
        <v>1.36E-4</v>
      </c>
      <c r="AI475" s="45">
        <v>1.1816981946644199E-2</v>
      </c>
      <c r="AJ475" s="45">
        <v>1.30868744831986E-3</v>
      </c>
    </row>
    <row r="476" spans="1:36" x14ac:dyDescent="0.25">
      <c r="A476">
        <v>969</v>
      </c>
      <c r="B476">
        <v>969</v>
      </c>
      <c r="C476" t="s">
        <v>418</v>
      </c>
      <c r="D476" t="s">
        <v>419</v>
      </c>
      <c r="E476" t="s">
        <v>420</v>
      </c>
      <c r="F476" t="s">
        <v>421</v>
      </c>
      <c r="G476" t="s">
        <v>422</v>
      </c>
      <c r="H476" t="s">
        <v>213</v>
      </c>
      <c r="I476" t="s">
        <v>239</v>
      </c>
      <c r="J476" t="s">
        <v>71</v>
      </c>
      <c r="K476" t="s">
        <v>71</v>
      </c>
      <c r="L476" t="s">
        <v>216</v>
      </c>
      <c r="M476" t="s">
        <v>117</v>
      </c>
      <c r="N476" t="s">
        <v>423</v>
      </c>
      <c r="O476" t="s">
        <v>72</v>
      </c>
      <c r="P476" t="s">
        <v>259</v>
      </c>
      <c r="Q476" t="s">
        <v>74</v>
      </c>
      <c r="R476" t="s">
        <v>220</v>
      </c>
      <c r="S476" t="s">
        <v>81</v>
      </c>
      <c r="T476" s="44">
        <v>2.9729999999999999</v>
      </c>
      <c r="U476" t="s">
        <v>424</v>
      </c>
      <c r="V476" s="46">
        <v>2.24E-2</v>
      </c>
      <c r="W476" s="45">
        <v>4.9860000000000002E-2</v>
      </c>
      <c r="X476" t="s">
        <v>222</v>
      </c>
      <c r="Y476" t="s">
        <v>72</v>
      </c>
      <c r="Z476" s="44">
        <v>73309.08</v>
      </c>
      <c r="AA476" s="42">
        <v>1</v>
      </c>
      <c r="AB476" s="48">
        <v>93.35</v>
      </c>
      <c r="AD476" s="44">
        <v>68.433999999999997</v>
      </c>
      <c r="AG476" t="s">
        <v>16</v>
      </c>
      <c r="AH476" s="45">
        <v>1.3100000000000001E-4</v>
      </c>
      <c r="AI476" s="45">
        <v>8.4348851865030296E-3</v>
      </c>
      <c r="AJ476" s="45">
        <v>9.34132625524607E-4</v>
      </c>
    </row>
    <row r="477" spans="1:36" x14ac:dyDescent="0.25">
      <c r="A477">
        <v>969</v>
      </c>
      <c r="B477">
        <v>969</v>
      </c>
      <c r="C477" t="s">
        <v>425</v>
      </c>
      <c r="D477" t="s">
        <v>426</v>
      </c>
      <c r="E477" t="s">
        <v>210</v>
      </c>
      <c r="F477" t="s">
        <v>427</v>
      </c>
      <c r="G477" t="s">
        <v>428</v>
      </c>
      <c r="H477" t="s">
        <v>213</v>
      </c>
      <c r="I477" t="s">
        <v>239</v>
      </c>
      <c r="J477" t="s">
        <v>71</v>
      </c>
      <c r="K477" t="s">
        <v>71</v>
      </c>
      <c r="L477" t="s">
        <v>216</v>
      </c>
      <c r="M477" t="s">
        <v>117</v>
      </c>
      <c r="N477" t="s">
        <v>429</v>
      </c>
      <c r="O477" t="s">
        <v>72</v>
      </c>
      <c r="P477" t="s">
        <v>228</v>
      </c>
      <c r="Q477" t="s">
        <v>74</v>
      </c>
      <c r="R477" t="s">
        <v>220</v>
      </c>
      <c r="S477" t="s">
        <v>81</v>
      </c>
      <c r="T477" s="44">
        <v>7.415</v>
      </c>
      <c r="U477" t="s">
        <v>430</v>
      </c>
      <c r="V477" s="46">
        <v>5.3100000000000001E-2</v>
      </c>
      <c r="W477" s="45">
        <v>5.425E-2</v>
      </c>
      <c r="X477" t="s">
        <v>222</v>
      </c>
      <c r="Y477" t="s">
        <v>72</v>
      </c>
      <c r="Z477" s="44">
        <v>109850</v>
      </c>
      <c r="AA477" s="42">
        <v>1</v>
      </c>
      <c r="AB477" s="48">
        <v>100.54</v>
      </c>
      <c r="AD477" s="44">
        <v>110.443</v>
      </c>
      <c r="AG477" t="s">
        <v>16</v>
      </c>
      <c r="AH477" s="45">
        <v>8.6000000000000003E-5</v>
      </c>
      <c r="AI477" s="45">
        <v>1.3612754930286301E-2</v>
      </c>
      <c r="AJ477" s="45">
        <v>1.5075627258091099E-3</v>
      </c>
    </row>
    <row r="478" spans="1:36" x14ac:dyDescent="0.25">
      <c r="A478">
        <v>969</v>
      </c>
      <c r="B478">
        <v>969</v>
      </c>
      <c r="C478" t="s">
        <v>82</v>
      </c>
      <c r="D478" t="s">
        <v>431</v>
      </c>
      <c r="E478" t="s">
        <v>210</v>
      </c>
      <c r="F478" t="s">
        <v>432</v>
      </c>
      <c r="G478" t="s">
        <v>433</v>
      </c>
      <c r="H478" t="s">
        <v>213</v>
      </c>
      <c r="I478" t="s">
        <v>214</v>
      </c>
      <c r="J478" t="s">
        <v>71</v>
      </c>
      <c r="K478" t="s">
        <v>71</v>
      </c>
      <c r="L478" t="s">
        <v>216</v>
      </c>
      <c r="M478" t="s">
        <v>117</v>
      </c>
      <c r="N478" t="s">
        <v>365</v>
      </c>
      <c r="O478" t="s">
        <v>72</v>
      </c>
      <c r="P478" t="s">
        <v>73</v>
      </c>
      <c r="Q478" t="s">
        <v>74</v>
      </c>
      <c r="R478" t="s">
        <v>220</v>
      </c>
      <c r="S478" t="s">
        <v>81</v>
      </c>
      <c r="T478" s="44">
        <v>1.238</v>
      </c>
      <c r="U478" t="s">
        <v>434</v>
      </c>
      <c r="V478" s="46">
        <v>8.3000000000000001E-3</v>
      </c>
      <c r="W478" s="45">
        <v>2.29E-2</v>
      </c>
      <c r="X478" t="s">
        <v>222</v>
      </c>
      <c r="Y478" t="s">
        <v>72</v>
      </c>
      <c r="Z478" s="44">
        <v>39368.5</v>
      </c>
      <c r="AA478" s="42">
        <v>1</v>
      </c>
      <c r="AB478" s="48">
        <v>114.23</v>
      </c>
      <c r="AD478" s="44">
        <v>44.970999999999997</v>
      </c>
      <c r="AG478" t="s">
        <v>16</v>
      </c>
      <c r="AH478" s="45">
        <v>2.5999999999999998E-5</v>
      </c>
      <c r="AI478" s="45">
        <v>5.5428883213793599E-3</v>
      </c>
      <c r="AJ478" s="45">
        <v>6.1385457017541496E-4</v>
      </c>
    </row>
    <row r="479" spans="1:36" x14ac:dyDescent="0.25">
      <c r="A479">
        <v>969</v>
      </c>
      <c r="B479">
        <v>969</v>
      </c>
      <c r="C479" t="s">
        <v>82</v>
      </c>
      <c r="D479" t="s">
        <v>431</v>
      </c>
      <c r="E479" t="s">
        <v>210</v>
      </c>
      <c r="F479" t="s">
        <v>435</v>
      </c>
      <c r="G479" t="s">
        <v>436</v>
      </c>
      <c r="H479" t="s">
        <v>213</v>
      </c>
      <c r="I479" t="s">
        <v>214</v>
      </c>
      <c r="J479" t="s">
        <v>71</v>
      </c>
      <c r="K479" t="s">
        <v>71</v>
      </c>
      <c r="L479" t="s">
        <v>216</v>
      </c>
      <c r="M479" t="s">
        <v>117</v>
      </c>
      <c r="N479" t="s">
        <v>365</v>
      </c>
      <c r="O479" t="s">
        <v>72</v>
      </c>
      <c r="P479" t="s">
        <v>73</v>
      </c>
      <c r="Q479" t="s">
        <v>74</v>
      </c>
      <c r="R479" t="s">
        <v>220</v>
      </c>
      <c r="S479" t="s">
        <v>81</v>
      </c>
      <c r="T479" s="44">
        <v>4.5970000000000004</v>
      </c>
      <c r="U479" t="s">
        <v>437</v>
      </c>
      <c r="V479" s="46">
        <v>2.0199999999999999E-2</v>
      </c>
      <c r="W479" s="45">
        <v>2.5819999999999999E-2</v>
      </c>
      <c r="X479" t="s">
        <v>222</v>
      </c>
      <c r="Y479" t="s">
        <v>72</v>
      </c>
      <c r="Z479" s="44">
        <v>111000</v>
      </c>
      <c r="AA479" s="42">
        <v>1</v>
      </c>
      <c r="AB479" s="48">
        <v>101.85</v>
      </c>
      <c r="AD479" s="44">
        <v>113.053</v>
      </c>
      <c r="AG479" t="s">
        <v>16</v>
      </c>
      <c r="AH479" s="45">
        <v>3.1000000000000001E-5</v>
      </c>
      <c r="AI479" s="45">
        <v>1.39344905694152E-2</v>
      </c>
      <c r="AJ479" s="45">
        <v>1.5431937688712199E-3</v>
      </c>
    </row>
    <row r="480" spans="1:36" x14ac:dyDescent="0.25">
      <c r="A480">
        <v>969</v>
      </c>
      <c r="B480">
        <v>969</v>
      </c>
      <c r="C480" t="s">
        <v>82</v>
      </c>
      <c r="D480" t="s">
        <v>431</v>
      </c>
      <c r="E480" t="s">
        <v>210</v>
      </c>
      <c r="F480" t="s">
        <v>438</v>
      </c>
      <c r="G480" t="s">
        <v>439</v>
      </c>
      <c r="H480" t="s">
        <v>213</v>
      </c>
      <c r="I480" t="s">
        <v>214</v>
      </c>
      <c r="J480" t="s">
        <v>71</v>
      </c>
      <c r="K480" t="s">
        <v>71</v>
      </c>
      <c r="L480" t="s">
        <v>216</v>
      </c>
      <c r="M480" t="s">
        <v>117</v>
      </c>
      <c r="N480" t="s">
        <v>365</v>
      </c>
      <c r="O480" t="s">
        <v>72</v>
      </c>
      <c r="P480" t="s">
        <v>73</v>
      </c>
      <c r="Q480" t="s">
        <v>74</v>
      </c>
      <c r="R480" t="s">
        <v>220</v>
      </c>
      <c r="S480" t="s">
        <v>81</v>
      </c>
      <c r="T480" s="44">
        <v>4.6440000000000001</v>
      </c>
      <c r="U480" t="s">
        <v>440</v>
      </c>
      <c r="V480" s="46">
        <v>1E-3</v>
      </c>
      <c r="W480" s="45">
        <v>2.571E-2</v>
      </c>
      <c r="X480" t="s">
        <v>222</v>
      </c>
      <c r="Y480" t="s">
        <v>72</v>
      </c>
      <c r="Z480" s="44">
        <v>102000</v>
      </c>
      <c r="AA480" s="42">
        <v>1</v>
      </c>
      <c r="AB480" s="48">
        <v>100.7</v>
      </c>
      <c r="AD480" s="44">
        <v>102.714</v>
      </c>
      <c r="AG480" t="s">
        <v>16</v>
      </c>
      <c r="AH480" s="45">
        <v>4.1E-5</v>
      </c>
      <c r="AI480" s="45">
        <v>1.26600880498782E-2</v>
      </c>
      <c r="AJ480" s="45">
        <v>1.40205835976629E-3</v>
      </c>
    </row>
    <row r="481" spans="1:36" x14ac:dyDescent="0.25">
      <c r="A481">
        <v>969</v>
      </c>
      <c r="B481">
        <v>969</v>
      </c>
      <c r="C481" t="s">
        <v>82</v>
      </c>
      <c r="D481" t="s">
        <v>431</v>
      </c>
      <c r="E481" t="s">
        <v>210</v>
      </c>
      <c r="F481" t="s">
        <v>441</v>
      </c>
      <c r="G481" t="s">
        <v>442</v>
      </c>
      <c r="H481" t="s">
        <v>213</v>
      </c>
      <c r="I481" t="s">
        <v>214</v>
      </c>
      <c r="J481" t="s">
        <v>71</v>
      </c>
      <c r="K481" t="s">
        <v>71</v>
      </c>
      <c r="L481" t="s">
        <v>216</v>
      </c>
      <c r="M481" t="s">
        <v>109</v>
      </c>
      <c r="N481" t="s">
        <v>365</v>
      </c>
      <c r="O481" t="s">
        <v>72</v>
      </c>
      <c r="P481" t="s">
        <v>228</v>
      </c>
      <c r="Q481" t="s">
        <v>74</v>
      </c>
      <c r="R481" t="s">
        <v>220</v>
      </c>
      <c r="S481" t="s">
        <v>81</v>
      </c>
      <c r="T481" s="44">
        <v>5.4809999999999999</v>
      </c>
      <c r="U481" t="s">
        <v>443</v>
      </c>
      <c r="V481" s="46">
        <v>3.1E-2</v>
      </c>
      <c r="W481" s="45">
        <v>3.1029999999999999E-2</v>
      </c>
      <c r="X481" t="s">
        <v>222</v>
      </c>
      <c r="Y481" t="s">
        <v>72</v>
      </c>
      <c r="Z481" s="44">
        <v>100000</v>
      </c>
      <c r="AA481" s="42">
        <v>1</v>
      </c>
      <c r="AB481" s="48">
        <v>100.81</v>
      </c>
      <c r="AD481" s="44">
        <v>100.81</v>
      </c>
      <c r="AG481" t="s">
        <v>16</v>
      </c>
      <c r="AH481" s="45">
        <v>6.4999999999999994E-5</v>
      </c>
      <c r="AI481" s="45">
        <v>1.2425409158519999E-2</v>
      </c>
      <c r="AJ481" s="45">
        <v>1.3760685325081301E-3</v>
      </c>
    </row>
    <row r="482" spans="1:36" x14ac:dyDescent="0.25">
      <c r="A482">
        <v>969</v>
      </c>
      <c r="B482">
        <v>969</v>
      </c>
      <c r="C482" t="s">
        <v>449</v>
      </c>
      <c r="D482" t="s">
        <v>450</v>
      </c>
      <c r="E482" t="s">
        <v>210</v>
      </c>
      <c r="F482" t="s">
        <v>451</v>
      </c>
      <c r="G482" t="s">
        <v>452</v>
      </c>
      <c r="H482" t="s">
        <v>213</v>
      </c>
      <c r="I482" t="s">
        <v>239</v>
      </c>
      <c r="J482" t="s">
        <v>71</v>
      </c>
      <c r="K482" t="s">
        <v>71</v>
      </c>
      <c r="L482" t="s">
        <v>216</v>
      </c>
      <c r="M482" t="s">
        <v>109</v>
      </c>
      <c r="N482" t="s">
        <v>252</v>
      </c>
      <c r="O482" t="s">
        <v>72</v>
      </c>
      <c r="P482" t="s">
        <v>246</v>
      </c>
      <c r="Q482" t="s">
        <v>219</v>
      </c>
      <c r="R482" t="s">
        <v>220</v>
      </c>
      <c r="S482" t="s">
        <v>81</v>
      </c>
      <c r="T482" s="44">
        <v>6.867</v>
      </c>
      <c r="U482" t="s">
        <v>316</v>
      </c>
      <c r="V482" s="46">
        <v>6.0699999999999997E-2</v>
      </c>
      <c r="W482" s="45">
        <v>5.5280000000000003E-2</v>
      </c>
      <c r="X482" t="s">
        <v>222</v>
      </c>
      <c r="Y482" t="s">
        <v>72</v>
      </c>
      <c r="Z482" s="44">
        <v>70822</v>
      </c>
      <c r="AA482" s="42">
        <v>1</v>
      </c>
      <c r="AB482" s="48">
        <v>105.72</v>
      </c>
      <c r="AD482" s="44">
        <v>74.873000000000005</v>
      </c>
      <c r="AG482" t="s">
        <v>16</v>
      </c>
      <c r="AH482" s="45">
        <v>1.56E-4</v>
      </c>
      <c r="AI482" s="45">
        <v>9.2285278102707795E-3</v>
      </c>
      <c r="AJ482" s="45">
        <v>1.02202563787464E-3</v>
      </c>
    </row>
    <row r="483" spans="1:36" x14ac:dyDescent="0.25">
      <c r="A483">
        <v>969</v>
      </c>
      <c r="B483">
        <v>969</v>
      </c>
      <c r="C483" t="s">
        <v>449</v>
      </c>
      <c r="D483" t="s">
        <v>450</v>
      </c>
      <c r="E483" t="s">
        <v>210</v>
      </c>
      <c r="F483" t="s">
        <v>668</v>
      </c>
      <c r="G483" t="s">
        <v>669</v>
      </c>
      <c r="H483" t="s">
        <v>213</v>
      </c>
      <c r="I483" t="s">
        <v>239</v>
      </c>
      <c r="J483" t="s">
        <v>71</v>
      </c>
      <c r="K483" t="s">
        <v>71</v>
      </c>
      <c r="L483" t="s">
        <v>216</v>
      </c>
      <c r="M483" t="s">
        <v>117</v>
      </c>
      <c r="N483" t="s">
        <v>252</v>
      </c>
      <c r="O483" t="s">
        <v>72</v>
      </c>
      <c r="P483" t="s">
        <v>246</v>
      </c>
      <c r="Q483" t="s">
        <v>219</v>
      </c>
      <c r="R483" t="s">
        <v>220</v>
      </c>
      <c r="S483" t="s">
        <v>81</v>
      </c>
      <c r="T483" s="44">
        <v>1.7110000000000001</v>
      </c>
      <c r="U483" t="s">
        <v>667</v>
      </c>
      <c r="V483" s="46">
        <v>4.1000000000000002E-2</v>
      </c>
      <c r="W483" s="45">
        <v>5.1610000000000003E-2</v>
      </c>
      <c r="X483" t="s">
        <v>222</v>
      </c>
      <c r="Y483" t="s">
        <v>72</v>
      </c>
      <c r="Z483" s="44">
        <v>69900</v>
      </c>
      <c r="AA483" s="42">
        <v>1</v>
      </c>
      <c r="AB483" s="48">
        <v>99.27</v>
      </c>
      <c r="AD483" s="44">
        <v>69.39</v>
      </c>
      <c r="AG483" t="s">
        <v>16</v>
      </c>
      <c r="AH483" s="45">
        <v>9.7999999999999997E-5</v>
      </c>
      <c r="AI483" s="45">
        <v>8.5526811491839199E-3</v>
      </c>
      <c r="AJ483" s="45">
        <v>9.4717809673877001E-4</v>
      </c>
    </row>
    <row r="484" spans="1:36" x14ac:dyDescent="0.25">
      <c r="A484">
        <v>969</v>
      </c>
      <c r="B484">
        <v>969</v>
      </c>
      <c r="C484" t="s">
        <v>449</v>
      </c>
      <c r="D484" t="s">
        <v>450</v>
      </c>
      <c r="E484" t="s">
        <v>210</v>
      </c>
      <c r="F484" t="s">
        <v>455</v>
      </c>
      <c r="G484" t="s">
        <v>456</v>
      </c>
      <c r="H484" t="s">
        <v>213</v>
      </c>
      <c r="I484" t="s">
        <v>239</v>
      </c>
      <c r="J484" t="s">
        <v>71</v>
      </c>
      <c r="K484" t="s">
        <v>71</v>
      </c>
      <c r="L484" t="s">
        <v>216</v>
      </c>
      <c r="M484" t="s">
        <v>109</v>
      </c>
      <c r="N484" t="s">
        <v>252</v>
      </c>
      <c r="O484" t="s">
        <v>72</v>
      </c>
      <c r="P484" t="s">
        <v>246</v>
      </c>
      <c r="Q484" t="s">
        <v>74</v>
      </c>
      <c r="R484" t="s">
        <v>220</v>
      </c>
      <c r="S484" t="s">
        <v>81</v>
      </c>
      <c r="T484" s="44">
        <v>6.2469999999999999</v>
      </c>
      <c r="U484" t="s">
        <v>457</v>
      </c>
      <c r="V484" s="46">
        <v>6.0699999999999997E-2</v>
      </c>
      <c r="W484" s="45">
        <v>5.457E-2</v>
      </c>
      <c r="X484" t="s">
        <v>222</v>
      </c>
      <c r="Y484" t="s">
        <v>72</v>
      </c>
      <c r="Z484" s="44">
        <v>70366</v>
      </c>
      <c r="AA484" s="42">
        <v>1</v>
      </c>
      <c r="AB484" s="48">
        <v>105.78</v>
      </c>
      <c r="AD484" s="44">
        <v>74.433000000000007</v>
      </c>
      <c r="AG484" t="s">
        <v>16</v>
      </c>
      <c r="AH484" s="45">
        <v>1.55E-4</v>
      </c>
      <c r="AI484" s="45">
        <v>9.1743121054405092E-3</v>
      </c>
      <c r="AJ484" s="45">
        <v>1.0160214472332799E-3</v>
      </c>
    </row>
    <row r="485" spans="1:36" x14ac:dyDescent="0.25">
      <c r="A485">
        <v>969</v>
      </c>
      <c r="B485">
        <v>969</v>
      </c>
      <c r="C485" t="s">
        <v>458</v>
      </c>
      <c r="D485" t="s">
        <v>459</v>
      </c>
      <c r="E485" t="s">
        <v>210</v>
      </c>
      <c r="F485" t="s">
        <v>460</v>
      </c>
      <c r="G485" t="s">
        <v>461</v>
      </c>
      <c r="H485" t="s">
        <v>213</v>
      </c>
      <c r="I485" t="s">
        <v>239</v>
      </c>
      <c r="J485" t="s">
        <v>71</v>
      </c>
      <c r="K485" t="s">
        <v>71</v>
      </c>
      <c r="L485" t="s">
        <v>216</v>
      </c>
      <c r="M485" t="s">
        <v>117</v>
      </c>
      <c r="N485" t="s">
        <v>258</v>
      </c>
      <c r="O485" t="s">
        <v>72</v>
      </c>
      <c r="P485" t="s">
        <v>218</v>
      </c>
      <c r="Q485" t="s">
        <v>219</v>
      </c>
      <c r="R485" t="s">
        <v>220</v>
      </c>
      <c r="S485" t="s">
        <v>81</v>
      </c>
      <c r="T485" s="44">
        <v>4.9870000000000001</v>
      </c>
      <c r="U485" t="s">
        <v>401</v>
      </c>
      <c r="V485" s="46">
        <v>5.4800000000000001E-2</v>
      </c>
      <c r="W485" s="45">
        <v>5.3800000000000001E-2</v>
      </c>
      <c r="X485" t="s">
        <v>222</v>
      </c>
      <c r="Y485" t="s">
        <v>72</v>
      </c>
      <c r="Z485" s="44">
        <v>100000</v>
      </c>
      <c r="AA485" s="42">
        <v>1</v>
      </c>
      <c r="AB485" s="48">
        <v>102.2</v>
      </c>
      <c r="AD485" s="44">
        <v>102.2</v>
      </c>
      <c r="AG485" t="s">
        <v>16</v>
      </c>
      <c r="AH485" s="45">
        <v>3.3300000000000002E-4</v>
      </c>
      <c r="AI485" s="45">
        <v>1.25967346096691E-2</v>
      </c>
      <c r="AJ485" s="45">
        <v>1.3950421984161401E-3</v>
      </c>
    </row>
    <row r="486" spans="1:36" x14ac:dyDescent="0.25">
      <c r="A486">
        <v>969</v>
      </c>
      <c r="B486">
        <v>969</v>
      </c>
      <c r="C486" t="s">
        <v>458</v>
      </c>
      <c r="D486" t="s">
        <v>459</v>
      </c>
      <c r="E486" t="s">
        <v>210</v>
      </c>
      <c r="F486" t="s">
        <v>462</v>
      </c>
      <c r="G486" t="s">
        <v>463</v>
      </c>
      <c r="H486" t="s">
        <v>213</v>
      </c>
      <c r="I486" t="s">
        <v>239</v>
      </c>
      <c r="J486" t="s">
        <v>71</v>
      </c>
      <c r="K486" t="s">
        <v>71</v>
      </c>
      <c r="L486" t="s">
        <v>216</v>
      </c>
      <c r="M486" t="s">
        <v>286</v>
      </c>
      <c r="N486" t="s">
        <v>258</v>
      </c>
      <c r="O486" t="s">
        <v>72</v>
      </c>
      <c r="P486" t="s">
        <v>218</v>
      </c>
      <c r="Q486" t="s">
        <v>219</v>
      </c>
      <c r="R486" t="s">
        <v>220</v>
      </c>
      <c r="S486" t="s">
        <v>81</v>
      </c>
      <c r="T486" s="44">
        <v>6.6580000000000004</v>
      </c>
      <c r="U486" t="s">
        <v>354</v>
      </c>
      <c r="V486" s="46">
        <v>5.2900000000000003E-2</v>
      </c>
      <c r="W486" s="45">
        <v>5.527E-2</v>
      </c>
      <c r="X486" t="s">
        <v>222</v>
      </c>
      <c r="Y486" t="s">
        <v>72</v>
      </c>
      <c r="Z486" s="44">
        <v>110000</v>
      </c>
      <c r="AA486" s="42">
        <v>1</v>
      </c>
      <c r="AB486" s="48">
        <v>99.53</v>
      </c>
      <c r="AD486" s="44">
        <v>109.483</v>
      </c>
      <c r="AG486" t="s">
        <v>16</v>
      </c>
      <c r="AH486" s="45">
        <v>5.5000000000000003E-4</v>
      </c>
      <c r="AI486" s="45">
        <v>1.34944060202584E-2</v>
      </c>
      <c r="AJ486" s="45">
        <v>1.49445601770249E-3</v>
      </c>
    </row>
    <row r="487" spans="1:36" x14ac:dyDescent="0.25">
      <c r="A487">
        <v>969</v>
      </c>
      <c r="B487">
        <v>969</v>
      </c>
      <c r="C487" t="s">
        <v>464</v>
      </c>
      <c r="D487" t="s">
        <v>465</v>
      </c>
      <c r="E487" t="s">
        <v>210</v>
      </c>
      <c r="F487" t="s">
        <v>466</v>
      </c>
      <c r="G487" t="s">
        <v>467</v>
      </c>
      <c r="H487" t="s">
        <v>213</v>
      </c>
      <c r="I487" t="s">
        <v>214</v>
      </c>
      <c r="J487" t="s">
        <v>71</v>
      </c>
      <c r="K487" t="s">
        <v>71</v>
      </c>
      <c r="L487" t="s">
        <v>216</v>
      </c>
      <c r="M487" t="s">
        <v>117</v>
      </c>
      <c r="N487" t="s">
        <v>258</v>
      </c>
      <c r="O487" t="s">
        <v>72</v>
      </c>
      <c r="P487" t="s">
        <v>246</v>
      </c>
      <c r="Q487" t="s">
        <v>74</v>
      </c>
      <c r="R487" t="s">
        <v>220</v>
      </c>
      <c r="S487" t="s">
        <v>81</v>
      </c>
      <c r="T487" s="44">
        <v>5.3570000000000002</v>
      </c>
      <c r="U487" t="s">
        <v>468</v>
      </c>
      <c r="V487" s="46">
        <v>9.7000000000000003E-3</v>
      </c>
      <c r="W487" s="45">
        <v>3.3239999999999999E-2</v>
      </c>
      <c r="X487" t="s">
        <v>222</v>
      </c>
      <c r="Y487" t="s">
        <v>72</v>
      </c>
      <c r="Z487" s="44">
        <v>100000.82</v>
      </c>
      <c r="AA487" s="42">
        <v>1</v>
      </c>
      <c r="AB487" s="48">
        <v>100.61</v>
      </c>
      <c r="AD487" s="44">
        <v>100.611</v>
      </c>
      <c r="AG487" t="s">
        <v>16</v>
      </c>
      <c r="AH487" s="45">
        <v>1.66E-4</v>
      </c>
      <c r="AI487" s="45">
        <v>1.2400859700685499E-2</v>
      </c>
      <c r="AJ487" s="45">
        <v>1.37334977001225E-3</v>
      </c>
    </row>
    <row r="488" spans="1:36" x14ac:dyDescent="0.25">
      <c r="A488">
        <v>969</v>
      </c>
      <c r="B488">
        <v>969</v>
      </c>
      <c r="C488" t="s">
        <v>469</v>
      </c>
      <c r="D488" t="s">
        <v>470</v>
      </c>
      <c r="E488" t="s">
        <v>210</v>
      </c>
      <c r="F488" t="s">
        <v>471</v>
      </c>
      <c r="G488" t="s">
        <v>472</v>
      </c>
      <c r="H488" t="s">
        <v>213</v>
      </c>
      <c r="I488" t="s">
        <v>214</v>
      </c>
      <c r="J488" t="s">
        <v>71</v>
      </c>
      <c r="K488" t="s">
        <v>71</v>
      </c>
      <c r="L488" t="s">
        <v>216</v>
      </c>
      <c r="M488" t="s">
        <v>117</v>
      </c>
      <c r="N488" t="s">
        <v>365</v>
      </c>
      <c r="O488" t="s">
        <v>72</v>
      </c>
      <c r="P488" t="s">
        <v>73</v>
      </c>
      <c r="Q488" t="s">
        <v>74</v>
      </c>
      <c r="R488" t="s">
        <v>220</v>
      </c>
      <c r="S488" t="s">
        <v>81</v>
      </c>
      <c r="T488" s="44">
        <v>5.22</v>
      </c>
      <c r="U488" t="s">
        <v>473</v>
      </c>
      <c r="V488" s="46">
        <v>2E-3</v>
      </c>
      <c r="W488" s="45">
        <v>2.606E-2</v>
      </c>
      <c r="X488" t="s">
        <v>222</v>
      </c>
      <c r="Y488" t="s">
        <v>72</v>
      </c>
      <c r="Z488" s="44">
        <v>70000</v>
      </c>
      <c r="AA488" s="42">
        <v>1</v>
      </c>
      <c r="AB488" s="48">
        <v>102.35</v>
      </c>
      <c r="AD488" s="44">
        <v>71.644999999999996</v>
      </c>
      <c r="AG488" t="s">
        <v>16</v>
      </c>
      <c r="AH488" s="45">
        <v>2.0000000000000002E-5</v>
      </c>
      <c r="AI488" s="45">
        <v>8.83065607739476E-3</v>
      </c>
      <c r="AJ488" s="45">
        <v>9.7796280142391592E-4</v>
      </c>
    </row>
    <row r="489" spans="1:36" x14ac:dyDescent="0.25">
      <c r="A489">
        <v>969</v>
      </c>
      <c r="B489">
        <v>969</v>
      </c>
      <c r="C489" t="s">
        <v>469</v>
      </c>
      <c r="D489" t="s">
        <v>470</v>
      </c>
      <c r="E489" t="s">
        <v>210</v>
      </c>
      <c r="F489" t="s">
        <v>474</v>
      </c>
      <c r="G489" t="s">
        <v>475</v>
      </c>
      <c r="H489" t="s">
        <v>213</v>
      </c>
      <c r="I489" t="s">
        <v>214</v>
      </c>
      <c r="J489" t="s">
        <v>71</v>
      </c>
      <c r="K489" t="s">
        <v>71</v>
      </c>
      <c r="L489" t="s">
        <v>216</v>
      </c>
      <c r="M489" t="s">
        <v>117</v>
      </c>
      <c r="N489" t="s">
        <v>365</v>
      </c>
      <c r="O489" t="s">
        <v>72</v>
      </c>
      <c r="P489" t="s">
        <v>228</v>
      </c>
      <c r="Q489" t="s">
        <v>74</v>
      </c>
      <c r="R489" t="s">
        <v>220</v>
      </c>
      <c r="S489" t="s">
        <v>81</v>
      </c>
      <c r="T489" s="44">
        <v>3.9239999999999999</v>
      </c>
      <c r="U489" t="s">
        <v>476</v>
      </c>
      <c r="V489" s="46">
        <v>3.3599999999999998E-2</v>
      </c>
      <c r="W489" s="45">
        <v>3.0030000000000001E-2</v>
      </c>
      <c r="X489" t="s">
        <v>222</v>
      </c>
      <c r="Y489" t="s">
        <v>72</v>
      </c>
      <c r="Z489" s="44">
        <v>100000</v>
      </c>
      <c r="AA489" s="42">
        <v>1</v>
      </c>
      <c r="AB489" s="48">
        <v>107.83</v>
      </c>
      <c r="AD489" s="44">
        <v>107.83</v>
      </c>
      <c r="AG489" t="s">
        <v>16</v>
      </c>
      <c r="AH489" s="45">
        <v>8.6000000000000003E-5</v>
      </c>
      <c r="AI489" s="45">
        <v>1.32906643146832E-2</v>
      </c>
      <c r="AJ489" s="45">
        <v>1.47189237040325E-3</v>
      </c>
    </row>
    <row r="490" spans="1:36" x14ac:dyDescent="0.25">
      <c r="A490">
        <v>969</v>
      </c>
      <c r="B490">
        <v>969</v>
      </c>
      <c r="C490" t="s">
        <v>469</v>
      </c>
      <c r="D490" t="s">
        <v>470</v>
      </c>
      <c r="E490" t="s">
        <v>210</v>
      </c>
      <c r="F490" t="s">
        <v>477</v>
      </c>
      <c r="G490" t="s">
        <v>478</v>
      </c>
      <c r="H490" t="s">
        <v>213</v>
      </c>
      <c r="I490" t="s">
        <v>214</v>
      </c>
      <c r="J490" t="s">
        <v>71</v>
      </c>
      <c r="K490" t="s">
        <v>71</v>
      </c>
      <c r="L490" t="s">
        <v>216</v>
      </c>
      <c r="M490" t="s">
        <v>117</v>
      </c>
      <c r="N490" t="s">
        <v>365</v>
      </c>
      <c r="O490" t="s">
        <v>72</v>
      </c>
      <c r="P490" t="s">
        <v>228</v>
      </c>
      <c r="Q490" t="s">
        <v>74</v>
      </c>
      <c r="R490" t="s">
        <v>220</v>
      </c>
      <c r="S490" t="s">
        <v>81</v>
      </c>
      <c r="T490" s="44">
        <v>5.1970000000000001</v>
      </c>
      <c r="U490" t="s">
        <v>479</v>
      </c>
      <c r="V490" s="46">
        <v>3.3500000000000002E-2</v>
      </c>
      <c r="W490" s="45">
        <v>3.1109999999999999E-2</v>
      </c>
      <c r="X490" t="s">
        <v>222</v>
      </c>
      <c r="Y490" t="s">
        <v>72</v>
      </c>
      <c r="Z490" s="44">
        <v>110000</v>
      </c>
      <c r="AA490" s="42">
        <v>1</v>
      </c>
      <c r="AB490" s="48">
        <v>102.42</v>
      </c>
      <c r="AD490" s="44">
        <v>112.66200000000001</v>
      </c>
      <c r="AG490" t="s">
        <v>16</v>
      </c>
      <c r="AH490" s="45">
        <v>1.2899999999999999E-4</v>
      </c>
      <c r="AI490" s="45">
        <v>1.38862359549368E-2</v>
      </c>
      <c r="AJ490" s="45">
        <v>1.5378497471424601E-3</v>
      </c>
    </row>
    <row r="491" spans="1:36" x14ac:dyDescent="0.25">
      <c r="A491">
        <v>969</v>
      </c>
      <c r="B491">
        <v>969</v>
      </c>
      <c r="C491" t="s">
        <v>469</v>
      </c>
      <c r="D491" t="s">
        <v>470</v>
      </c>
      <c r="E491" t="s">
        <v>210</v>
      </c>
      <c r="F491" t="s">
        <v>480</v>
      </c>
      <c r="G491" t="s">
        <v>481</v>
      </c>
      <c r="H491" t="s">
        <v>213</v>
      </c>
      <c r="I491" t="s">
        <v>214</v>
      </c>
      <c r="J491" t="s">
        <v>71</v>
      </c>
      <c r="K491" t="s">
        <v>71</v>
      </c>
      <c r="L491" t="s">
        <v>216</v>
      </c>
      <c r="M491" t="s">
        <v>117</v>
      </c>
      <c r="N491" t="s">
        <v>365</v>
      </c>
      <c r="O491" t="s">
        <v>72</v>
      </c>
      <c r="P491" t="s">
        <v>73</v>
      </c>
      <c r="Q491" t="s">
        <v>74</v>
      </c>
      <c r="R491" t="s">
        <v>220</v>
      </c>
      <c r="S491" t="s">
        <v>81</v>
      </c>
      <c r="T491" s="44">
        <v>4.8879999999999999</v>
      </c>
      <c r="U491" t="s">
        <v>482</v>
      </c>
      <c r="V491" s="46">
        <v>2.2013000000000001E-2</v>
      </c>
      <c r="W491" s="45">
        <v>2.606E-2</v>
      </c>
      <c r="X491" t="s">
        <v>222</v>
      </c>
      <c r="Y491" t="s">
        <v>72</v>
      </c>
      <c r="Z491" s="44">
        <v>210000</v>
      </c>
      <c r="AA491" s="42">
        <v>1</v>
      </c>
      <c r="AB491" s="48">
        <v>118.7</v>
      </c>
      <c r="AD491" s="44">
        <v>249.27</v>
      </c>
      <c r="AG491" t="s">
        <v>16</v>
      </c>
      <c r="AH491" s="45">
        <v>2.99E-4</v>
      </c>
      <c r="AI491" s="45">
        <v>3.0723953387008101E-2</v>
      </c>
      <c r="AJ491" s="45">
        <v>3.4025652524382701E-3</v>
      </c>
    </row>
    <row r="492" spans="1:36" x14ac:dyDescent="0.25">
      <c r="A492">
        <v>969</v>
      </c>
      <c r="B492">
        <v>969</v>
      </c>
      <c r="C492" t="s">
        <v>483</v>
      </c>
      <c r="D492" t="s">
        <v>484</v>
      </c>
      <c r="E492" t="s">
        <v>210</v>
      </c>
      <c r="F492" t="s">
        <v>485</v>
      </c>
      <c r="G492" t="s">
        <v>486</v>
      </c>
      <c r="H492" t="s">
        <v>213</v>
      </c>
      <c r="I492" t="s">
        <v>214</v>
      </c>
      <c r="J492" t="s">
        <v>71</v>
      </c>
      <c r="K492" t="s">
        <v>71</v>
      </c>
      <c r="L492" t="s">
        <v>216</v>
      </c>
      <c r="M492" t="s">
        <v>117</v>
      </c>
      <c r="N492" t="s">
        <v>258</v>
      </c>
      <c r="O492" t="s">
        <v>72</v>
      </c>
      <c r="P492" t="s">
        <v>259</v>
      </c>
      <c r="Q492" t="s">
        <v>74</v>
      </c>
      <c r="R492" t="s">
        <v>220</v>
      </c>
      <c r="S492" t="s">
        <v>81</v>
      </c>
      <c r="T492" s="44">
        <v>5.726</v>
      </c>
      <c r="U492" t="s">
        <v>487</v>
      </c>
      <c r="V492" s="46">
        <v>3.61E-2</v>
      </c>
      <c r="W492" s="45">
        <v>3.0759999999999999E-2</v>
      </c>
      <c r="X492" t="s">
        <v>222</v>
      </c>
      <c r="Y492" t="s">
        <v>72</v>
      </c>
      <c r="Z492" s="44">
        <v>178835.55</v>
      </c>
      <c r="AA492" s="42">
        <v>1</v>
      </c>
      <c r="AB492" s="48">
        <v>110.37</v>
      </c>
      <c r="AD492" s="44">
        <v>197.381</v>
      </c>
      <c r="AG492" t="s">
        <v>16</v>
      </c>
      <c r="AH492" s="45">
        <v>1.1400000000000001E-4</v>
      </c>
      <c r="AI492" s="45">
        <v>2.43283122406702E-2</v>
      </c>
      <c r="AJ492" s="45">
        <v>2.6942714317349801E-3</v>
      </c>
    </row>
    <row r="493" spans="1:36" x14ac:dyDescent="0.25">
      <c r="A493">
        <v>969</v>
      </c>
      <c r="B493">
        <v>969</v>
      </c>
      <c r="C493" t="s">
        <v>494</v>
      </c>
      <c r="D493" t="s">
        <v>495</v>
      </c>
      <c r="E493" t="s">
        <v>210</v>
      </c>
      <c r="F493" t="s">
        <v>496</v>
      </c>
      <c r="G493" t="s">
        <v>497</v>
      </c>
      <c r="H493" t="s">
        <v>213</v>
      </c>
      <c r="I493" t="s">
        <v>239</v>
      </c>
      <c r="J493" t="s">
        <v>71</v>
      </c>
      <c r="K493" t="s">
        <v>71</v>
      </c>
      <c r="L493" t="s">
        <v>216</v>
      </c>
      <c r="M493" t="s">
        <v>117</v>
      </c>
      <c r="N493" t="s">
        <v>498</v>
      </c>
      <c r="O493" t="s">
        <v>72</v>
      </c>
      <c r="P493" t="s">
        <v>235</v>
      </c>
      <c r="Q493" t="s">
        <v>219</v>
      </c>
      <c r="R493" t="s">
        <v>220</v>
      </c>
      <c r="S493" t="s">
        <v>81</v>
      </c>
      <c r="T493" s="44">
        <v>0.98399999999999999</v>
      </c>
      <c r="U493" t="s">
        <v>499</v>
      </c>
      <c r="V493" s="46">
        <v>0.114</v>
      </c>
      <c r="W493" s="45">
        <v>5.747E-2</v>
      </c>
      <c r="X493" t="s">
        <v>222</v>
      </c>
      <c r="Y493" t="s">
        <v>72</v>
      </c>
      <c r="Z493" s="44">
        <v>114023.95</v>
      </c>
      <c r="AA493" s="42">
        <v>1</v>
      </c>
      <c r="AB493" s="48">
        <v>101.2</v>
      </c>
      <c r="AD493" s="44">
        <v>115.392</v>
      </c>
      <c r="AG493" t="s">
        <v>16</v>
      </c>
      <c r="AH493" s="45">
        <v>4.7199999999999998E-4</v>
      </c>
      <c r="AI493" s="45">
        <v>1.42227533321305E-2</v>
      </c>
      <c r="AJ493" s="45">
        <v>1.5751178135288901E-3</v>
      </c>
    </row>
    <row r="494" spans="1:36" x14ac:dyDescent="0.25">
      <c r="A494">
        <v>969</v>
      </c>
      <c r="B494">
        <v>969</v>
      </c>
      <c r="C494" t="s">
        <v>494</v>
      </c>
      <c r="D494" t="s">
        <v>495</v>
      </c>
      <c r="E494" t="s">
        <v>210</v>
      </c>
      <c r="F494" t="s">
        <v>503</v>
      </c>
      <c r="G494" t="s">
        <v>504</v>
      </c>
      <c r="H494" t="s">
        <v>213</v>
      </c>
      <c r="I494" t="s">
        <v>239</v>
      </c>
      <c r="J494" t="s">
        <v>71</v>
      </c>
      <c r="K494" t="s">
        <v>71</v>
      </c>
      <c r="L494" t="s">
        <v>216</v>
      </c>
      <c r="M494" t="s">
        <v>109</v>
      </c>
      <c r="N494" t="s">
        <v>498</v>
      </c>
      <c r="O494" t="s">
        <v>72</v>
      </c>
      <c r="P494" t="s">
        <v>235</v>
      </c>
      <c r="Q494" t="s">
        <v>219</v>
      </c>
      <c r="R494" t="s">
        <v>220</v>
      </c>
      <c r="S494" t="s">
        <v>81</v>
      </c>
      <c r="T494" s="44">
        <v>3.2839999999999998</v>
      </c>
      <c r="U494" t="s">
        <v>330</v>
      </c>
      <c r="V494" s="46">
        <v>6.4000000000000001E-2</v>
      </c>
      <c r="W494" s="45">
        <v>6.4170000000000005E-2</v>
      </c>
      <c r="X494" t="s">
        <v>222</v>
      </c>
      <c r="Y494" t="s">
        <v>72</v>
      </c>
      <c r="Z494" s="44">
        <v>68000</v>
      </c>
      <c r="AA494" s="42">
        <v>1</v>
      </c>
      <c r="AB494" s="48">
        <v>101.3</v>
      </c>
      <c r="AD494" s="44">
        <v>68.884</v>
      </c>
      <c r="AG494" t="s">
        <v>16</v>
      </c>
      <c r="AH494" s="45">
        <v>3.4000000000000002E-4</v>
      </c>
      <c r="AI494" s="45">
        <v>8.4903470337812908E-3</v>
      </c>
      <c r="AJ494" s="45">
        <v>9.4027482187570796E-4</v>
      </c>
    </row>
    <row r="495" spans="1:36" x14ac:dyDescent="0.25">
      <c r="A495">
        <v>969</v>
      </c>
      <c r="B495">
        <v>969</v>
      </c>
      <c r="C495" t="s">
        <v>505</v>
      </c>
      <c r="D495" t="s">
        <v>506</v>
      </c>
      <c r="E495" t="s">
        <v>210</v>
      </c>
      <c r="F495" t="s">
        <v>507</v>
      </c>
      <c r="G495" t="s">
        <v>508</v>
      </c>
      <c r="H495" t="s">
        <v>213</v>
      </c>
      <c r="I495" t="s">
        <v>214</v>
      </c>
      <c r="J495" t="s">
        <v>71</v>
      </c>
      <c r="K495" t="s">
        <v>71</v>
      </c>
      <c r="L495" t="s">
        <v>216</v>
      </c>
      <c r="M495" t="s">
        <v>117</v>
      </c>
      <c r="N495" t="s">
        <v>245</v>
      </c>
      <c r="O495" t="s">
        <v>72</v>
      </c>
      <c r="P495" t="s">
        <v>509</v>
      </c>
      <c r="Q495" t="s">
        <v>219</v>
      </c>
      <c r="R495" t="s">
        <v>220</v>
      </c>
      <c r="S495" t="s">
        <v>81</v>
      </c>
      <c r="T495" s="44">
        <v>3.2440000000000002</v>
      </c>
      <c r="U495" t="s">
        <v>510</v>
      </c>
      <c r="V495" s="46">
        <v>2.07E-2</v>
      </c>
      <c r="W495" s="45">
        <v>4.1939999999999998E-2</v>
      </c>
      <c r="X495" t="s">
        <v>222</v>
      </c>
      <c r="Y495" t="s">
        <v>72</v>
      </c>
      <c r="Z495" s="44">
        <v>123143.76</v>
      </c>
      <c r="AA495" s="42">
        <v>1</v>
      </c>
      <c r="AB495" s="48">
        <v>105.96</v>
      </c>
      <c r="AD495" s="44">
        <v>130.483</v>
      </c>
      <c r="AG495" t="s">
        <v>16</v>
      </c>
      <c r="AH495" s="45">
        <v>2.5799999999999998E-4</v>
      </c>
      <c r="AI495" s="45">
        <v>1.60827919340976E-2</v>
      </c>
      <c r="AJ495" s="45">
        <v>1.7811102727520399E-3</v>
      </c>
    </row>
    <row r="496" spans="1:36" x14ac:dyDescent="0.25">
      <c r="A496">
        <v>969</v>
      </c>
      <c r="B496">
        <v>969</v>
      </c>
      <c r="C496" t="s">
        <v>511</v>
      </c>
      <c r="D496" t="s">
        <v>512</v>
      </c>
      <c r="E496" t="s">
        <v>210</v>
      </c>
      <c r="F496" t="s">
        <v>513</v>
      </c>
      <c r="G496" t="s">
        <v>514</v>
      </c>
      <c r="H496" t="s">
        <v>213</v>
      </c>
      <c r="I496" t="s">
        <v>214</v>
      </c>
      <c r="J496" t="s">
        <v>71</v>
      </c>
      <c r="K496" t="s">
        <v>71</v>
      </c>
      <c r="L496" t="s">
        <v>216</v>
      </c>
      <c r="M496" t="s">
        <v>117</v>
      </c>
      <c r="N496" t="s">
        <v>515</v>
      </c>
      <c r="O496" t="s">
        <v>72</v>
      </c>
      <c r="P496" t="s">
        <v>73</v>
      </c>
      <c r="Q496" t="s">
        <v>74</v>
      </c>
      <c r="R496" t="s">
        <v>220</v>
      </c>
      <c r="S496" t="s">
        <v>81</v>
      </c>
      <c r="T496" s="44">
        <v>11.712999999999999</v>
      </c>
      <c r="U496" t="s">
        <v>516</v>
      </c>
      <c r="V496" s="46">
        <v>2.07E-2</v>
      </c>
      <c r="W496" s="45">
        <v>2.9860000000000001E-2</v>
      </c>
      <c r="X496" t="s">
        <v>222</v>
      </c>
      <c r="Y496" t="s">
        <v>72</v>
      </c>
      <c r="Z496" s="44">
        <v>63659.58</v>
      </c>
      <c r="AA496" s="42">
        <v>1</v>
      </c>
      <c r="AB496" s="48">
        <v>102.91</v>
      </c>
      <c r="AD496" s="44">
        <v>65.512</v>
      </c>
      <c r="AG496" t="s">
        <v>16</v>
      </c>
      <c r="AH496" s="45">
        <v>1.2E-5</v>
      </c>
      <c r="AI496" s="45">
        <v>8.0747378386548906E-3</v>
      </c>
      <c r="AJ496" s="45">
        <v>8.9424762647809599E-4</v>
      </c>
    </row>
    <row r="497" spans="1:36" x14ac:dyDescent="0.25">
      <c r="A497">
        <v>969</v>
      </c>
      <c r="B497">
        <v>969</v>
      </c>
      <c r="C497" t="s">
        <v>517</v>
      </c>
      <c r="D497" t="s">
        <v>518</v>
      </c>
      <c r="E497" t="s">
        <v>420</v>
      </c>
      <c r="F497" t="s">
        <v>519</v>
      </c>
      <c r="G497" t="s">
        <v>520</v>
      </c>
      <c r="H497" t="s">
        <v>213</v>
      </c>
      <c r="I497" t="s">
        <v>239</v>
      </c>
      <c r="J497" t="s">
        <v>71</v>
      </c>
      <c r="K497" t="s">
        <v>71</v>
      </c>
      <c r="L497" t="s">
        <v>216</v>
      </c>
      <c r="M497" t="s">
        <v>109</v>
      </c>
      <c r="N497" t="s">
        <v>423</v>
      </c>
      <c r="O497" t="s">
        <v>72</v>
      </c>
      <c r="P497" t="s">
        <v>235</v>
      </c>
      <c r="Q497" t="s">
        <v>74</v>
      </c>
      <c r="R497" t="s">
        <v>220</v>
      </c>
      <c r="S497" t="s">
        <v>81</v>
      </c>
      <c r="T497" s="44">
        <v>3.3740000000000001</v>
      </c>
      <c r="U497" t="s">
        <v>521</v>
      </c>
      <c r="V497" s="46">
        <v>6.7000000000000004E-2</v>
      </c>
      <c r="W497" s="45">
        <v>5.6849999999999998E-2</v>
      </c>
      <c r="X497" t="s">
        <v>222</v>
      </c>
      <c r="Y497" t="s">
        <v>72</v>
      </c>
      <c r="Z497" s="44">
        <v>48000</v>
      </c>
      <c r="AA497" s="42">
        <v>1</v>
      </c>
      <c r="AB497" s="48">
        <v>103.63</v>
      </c>
      <c r="AD497" s="44">
        <v>49.741999999999997</v>
      </c>
      <c r="AG497" t="s">
        <v>16</v>
      </c>
      <c r="AH497" s="45">
        <v>5.3000000000000001E-5</v>
      </c>
      <c r="AI497" s="45">
        <v>6.1310353390215799E-3</v>
      </c>
      <c r="AJ497" s="45">
        <v>6.7898969716726995E-4</v>
      </c>
    </row>
    <row r="498" spans="1:36" x14ac:dyDescent="0.25">
      <c r="A498">
        <v>969</v>
      </c>
      <c r="B498">
        <v>969</v>
      </c>
      <c r="C498" t="s">
        <v>522</v>
      </c>
      <c r="D498" t="s">
        <v>523</v>
      </c>
      <c r="E498" t="s">
        <v>210</v>
      </c>
      <c r="F498" t="s">
        <v>524</v>
      </c>
      <c r="G498" t="s">
        <v>525</v>
      </c>
      <c r="H498" t="s">
        <v>213</v>
      </c>
      <c r="I498" t="s">
        <v>239</v>
      </c>
      <c r="J498" t="s">
        <v>71</v>
      </c>
      <c r="K498" t="s">
        <v>71</v>
      </c>
      <c r="L498" t="s">
        <v>216</v>
      </c>
      <c r="M498" t="s">
        <v>109</v>
      </c>
      <c r="N498" t="s">
        <v>526</v>
      </c>
      <c r="O498" t="s">
        <v>72</v>
      </c>
      <c r="P498" t="s">
        <v>527</v>
      </c>
      <c r="Q498" t="s">
        <v>528</v>
      </c>
      <c r="R498" t="s">
        <v>528</v>
      </c>
      <c r="S498" t="s">
        <v>81</v>
      </c>
      <c r="T498" s="44">
        <v>4.0650000000000004</v>
      </c>
      <c r="U498" t="s">
        <v>529</v>
      </c>
      <c r="V498" s="46">
        <v>5.8999999999999997E-2</v>
      </c>
      <c r="W498" s="45">
        <v>5.9499999999999997E-2</v>
      </c>
      <c r="X498" t="s">
        <v>222</v>
      </c>
      <c r="Y498" t="s">
        <v>72</v>
      </c>
      <c r="Z498" s="44">
        <v>98000</v>
      </c>
      <c r="AA498" s="42">
        <v>1</v>
      </c>
      <c r="AB498" s="48">
        <v>100.46</v>
      </c>
      <c r="AD498" s="44">
        <v>98.450999999999993</v>
      </c>
      <c r="AG498" t="s">
        <v>16</v>
      </c>
      <c r="AH498" s="45">
        <v>2.02E-4</v>
      </c>
      <c r="AI498" s="45">
        <v>1.2134624263303501E-2</v>
      </c>
      <c r="AJ498" s="45">
        <v>1.3438651709180799E-3</v>
      </c>
    </row>
    <row r="499" spans="1:36" x14ac:dyDescent="0.25">
      <c r="A499">
        <v>969</v>
      </c>
      <c r="B499">
        <v>969</v>
      </c>
      <c r="C499" t="s">
        <v>530</v>
      </c>
      <c r="D499" t="s">
        <v>531</v>
      </c>
      <c r="E499" t="s">
        <v>210</v>
      </c>
      <c r="F499" t="s">
        <v>532</v>
      </c>
      <c r="G499" t="s">
        <v>533</v>
      </c>
      <c r="H499" t="s">
        <v>213</v>
      </c>
      <c r="I499" t="s">
        <v>239</v>
      </c>
      <c r="J499" t="s">
        <v>71</v>
      </c>
      <c r="K499" t="s">
        <v>71</v>
      </c>
      <c r="L499" t="s">
        <v>216</v>
      </c>
      <c r="M499" t="s">
        <v>117</v>
      </c>
      <c r="N499" t="s">
        <v>287</v>
      </c>
      <c r="O499" t="s">
        <v>72</v>
      </c>
      <c r="P499" t="s">
        <v>235</v>
      </c>
      <c r="Q499" t="s">
        <v>219</v>
      </c>
      <c r="R499" t="s">
        <v>220</v>
      </c>
      <c r="S499" t="s">
        <v>81</v>
      </c>
      <c r="T499" s="44">
        <v>3.2429999999999999</v>
      </c>
      <c r="U499" t="s">
        <v>534</v>
      </c>
      <c r="V499" s="46">
        <v>6.9500000000000006E-2</v>
      </c>
      <c r="W499" s="45">
        <v>5.7419999999999999E-2</v>
      </c>
      <c r="X499" t="s">
        <v>222</v>
      </c>
      <c r="Y499" t="s">
        <v>72</v>
      </c>
      <c r="Z499" s="44">
        <v>70000</v>
      </c>
      <c r="AA499" s="42">
        <v>1</v>
      </c>
      <c r="AB499" s="48">
        <v>105.91</v>
      </c>
      <c r="AD499" s="44">
        <v>74.137</v>
      </c>
      <c r="AG499" t="s">
        <v>16</v>
      </c>
      <c r="AH499" s="45">
        <v>8.2999999999999998E-5</v>
      </c>
      <c r="AI499" s="45">
        <v>9.1378093322606706E-3</v>
      </c>
      <c r="AJ499" s="45">
        <v>1.01197889886475E-3</v>
      </c>
    </row>
    <row r="500" spans="1:36" x14ac:dyDescent="0.25">
      <c r="A500">
        <v>969</v>
      </c>
      <c r="B500">
        <v>969</v>
      </c>
      <c r="C500" t="s">
        <v>530</v>
      </c>
      <c r="D500" t="s">
        <v>531</v>
      </c>
      <c r="E500" t="s">
        <v>210</v>
      </c>
      <c r="F500" t="s">
        <v>535</v>
      </c>
      <c r="G500" t="s">
        <v>536</v>
      </c>
      <c r="H500" t="s">
        <v>213</v>
      </c>
      <c r="I500" t="s">
        <v>239</v>
      </c>
      <c r="J500" t="s">
        <v>71</v>
      </c>
      <c r="K500" t="s">
        <v>71</v>
      </c>
      <c r="L500" t="s">
        <v>216</v>
      </c>
      <c r="M500" t="s">
        <v>109</v>
      </c>
      <c r="N500" t="s">
        <v>287</v>
      </c>
      <c r="O500" t="s">
        <v>72</v>
      </c>
      <c r="P500" t="s">
        <v>235</v>
      </c>
      <c r="Q500" t="s">
        <v>219</v>
      </c>
      <c r="R500" t="s">
        <v>220</v>
      </c>
      <c r="S500" t="s">
        <v>81</v>
      </c>
      <c r="T500" s="44">
        <v>5.819</v>
      </c>
      <c r="U500" t="s">
        <v>537</v>
      </c>
      <c r="V500" s="46">
        <v>6.6900000000000001E-2</v>
      </c>
      <c r="W500" s="45">
        <v>6.0769999999999998E-2</v>
      </c>
      <c r="X500" t="s">
        <v>222</v>
      </c>
      <c r="Y500" t="s">
        <v>72</v>
      </c>
      <c r="Z500" s="44">
        <v>51410.21</v>
      </c>
      <c r="AA500" s="42">
        <v>1</v>
      </c>
      <c r="AB500" s="48">
        <v>105.74</v>
      </c>
      <c r="AD500" s="44">
        <v>54.360999999999997</v>
      </c>
      <c r="AG500" t="s">
        <v>16</v>
      </c>
      <c r="AH500" s="45">
        <v>6.7999999999999999E-5</v>
      </c>
      <c r="AI500" s="45">
        <v>6.7003234431217799E-3</v>
      </c>
      <c r="AJ500" s="45">
        <v>7.4203626859114396E-4</v>
      </c>
    </row>
    <row r="501" spans="1:36" x14ac:dyDescent="0.25">
      <c r="A501">
        <v>969</v>
      </c>
      <c r="B501">
        <v>969</v>
      </c>
      <c r="C501" t="s">
        <v>538</v>
      </c>
      <c r="D501" t="s">
        <v>539</v>
      </c>
      <c r="E501" t="s">
        <v>540</v>
      </c>
      <c r="F501" t="s">
        <v>541</v>
      </c>
      <c r="G501" t="s">
        <v>542</v>
      </c>
      <c r="H501" t="s">
        <v>213</v>
      </c>
      <c r="I501" t="s">
        <v>239</v>
      </c>
      <c r="J501" t="s">
        <v>71</v>
      </c>
      <c r="K501" t="s">
        <v>71</v>
      </c>
      <c r="L501" t="s">
        <v>216</v>
      </c>
      <c r="M501" t="s">
        <v>109</v>
      </c>
      <c r="N501" t="s">
        <v>217</v>
      </c>
      <c r="O501" t="s">
        <v>72</v>
      </c>
      <c r="P501" t="s">
        <v>259</v>
      </c>
      <c r="Q501" t="s">
        <v>74</v>
      </c>
      <c r="R501" t="s">
        <v>220</v>
      </c>
      <c r="S501" t="s">
        <v>81</v>
      </c>
      <c r="T501" s="44">
        <v>3.5379999999999998</v>
      </c>
      <c r="U501" t="s">
        <v>543</v>
      </c>
      <c r="V501" s="46">
        <v>6.25E-2</v>
      </c>
      <c r="W501" s="45">
        <v>5.7919999999999999E-2</v>
      </c>
      <c r="X501" t="s">
        <v>222</v>
      </c>
      <c r="Y501" t="s">
        <v>72</v>
      </c>
      <c r="Z501" s="44">
        <v>109942</v>
      </c>
      <c r="AA501" s="42">
        <v>1</v>
      </c>
      <c r="AB501" s="48">
        <v>104.79</v>
      </c>
      <c r="AD501" s="44">
        <v>115.208</v>
      </c>
      <c r="AG501" t="s">
        <v>16</v>
      </c>
      <c r="AH501" s="45">
        <v>2.0000000000000001E-4</v>
      </c>
      <c r="AI501" s="45">
        <v>1.4200072356815001E-2</v>
      </c>
      <c r="AJ501" s="45">
        <v>1.5726059786251099E-3</v>
      </c>
    </row>
    <row r="502" spans="1:36" x14ac:dyDescent="0.25">
      <c r="A502">
        <v>969</v>
      </c>
      <c r="B502">
        <v>969</v>
      </c>
      <c r="C502" t="s">
        <v>544</v>
      </c>
      <c r="D502" t="s">
        <v>545</v>
      </c>
      <c r="E502" t="s">
        <v>540</v>
      </c>
      <c r="F502" t="s">
        <v>546</v>
      </c>
      <c r="G502" t="s">
        <v>547</v>
      </c>
      <c r="H502" t="s">
        <v>213</v>
      </c>
      <c r="I502" t="s">
        <v>239</v>
      </c>
      <c r="J502" t="s">
        <v>71</v>
      </c>
      <c r="K502" t="s">
        <v>291</v>
      </c>
      <c r="L502" t="s">
        <v>216</v>
      </c>
      <c r="M502" t="s">
        <v>117</v>
      </c>
      <c r="N502" t="s">
        <v>217</v>
      </c>
      <c r="O502" t="s">
        <v>72</v>
      </c>
      <c r="P502" t="s">
        <v>259</v>
      </c>
      <c r="Q502" t="s">
        <v>74</v>
      </c>
      <c r="R502" t="s">
        <v>220</v>
      </c>
      <c r="S502" t="s">
        <v>81</v>
      </c>
      <c r="T502" s="44">
        <v>1.675</v>
      </c>
      <c r="U502" t="s">
        <v>391</v>
      </c>
      <c r="V502" s="46">
        <v>3.49E-2</v>
      </c>
      <c r="W502" s="45">
        <v>5.8569999999999997E-2</v>
      </c>
      <c r="X502" t="s">
        <v>222</v>
      </c>
      <c r="Y502" t="s">
        <v>72</v>
      </c>
      <c r="Z502" s="44">
        <v>87800</v>
      </c>
      <c r="AA502" s="42">
        <v>1</v>
      </c>
      <c r="AB502" s="48">
        <v>97.15</v>
      </c>
      <c r="AD502" s="44">
        <v>85.298000000000002</v>
      </c>
      <c r="AG502" t="s">
        <v>16</v>
      </c>
      <c r="AH502" s="45">
        <v>9.2999999999999997E-5</v>
      </c>
      <c r="AI502" s="45">
        <v>1.05134294492679E-2</v>
      </c>
      <c r="AJ502" s="45">
        <v>1.1643237859867001E-3</v>
      </c>
    </row>
    <row r="503" spans="1:36" x14ac:dyDescent="0.25">
      <c r="A503">
        <v>969</v>
      </c>
      <c r="B503">
        <v>969</v>
      </c>
      <c r="C503" t="s">
        <v>544</v>
      </c>
      <c r="D503" t="s">
        <v>545</v>
      </c>
      <c r="E503" t="s">
        <v>540</v>
      </c>
      <c r="F503" t="s">
        <v>548</v>
      </c>
      <c r="G503" t="s">
        <v>549</v>
      </c>
      <c r="H503" t="s">
        <v>213</v>
      </c>
      <c r="I503" t="s">
        <v>239</v>
      </c>
      <c r="J503" t="s">
        <v>71</v>
      </c>
      <c r="K503" t="s">
        <v>291</v>
      </c>
      <c r="L503" t="s">
        <v>216</v>
      </c>
      <c r="M503" t="s">
        <v>109</v>
      </c>
      <c r="N503" t="s">
        <v>217</v>
      </c>
      <c r="O503" t="s">
        <v>72</v>
      </c>
      <c r="P503" t="s">
        <v>259</v>
      </c>
      <c r="Q503" t="s">
        <v>74</v>
      </c>
      <c r="R503" t="s">
        <v>220</v>
      </c>
      <c r="S503" t="s">
        <v>81</v>
      </c>
      <c r="T503" s="44">
        <v>4.016</v>
      </c>
      <c r="U503" t="s">
        <v>550</v>
      </c>
      <c r="V503" s="46">
        <v>6.7400000000000002E-2</v>
      </c>
      <c r="W503" s="45">
        <v>6.0229999999999999E-2</v>
      </c>
      <c r="X503" t="s">
        <v>222</v>
      </c>
      <c r="Y503" t="s">
        <v>72</v>
      </c>
      <c r="Z503" s="44">
        <v>95000</v>
      </c>
      <c r="AA503" s="42">
        <v>1</v>
      </c>
      <c r="AB503" s="48">
        <v>106.73</v>
      </c>
      <c r="AD503" s="44">
        <v>101.39400000000001</v>
      </c>
      <c r="AG503" t="s">
        <v>16</v>
      </c>
      <c r="AH503" s="45">
        <v>3.3300000000000002E-4</v>
      </c>
      <c r="AI503" s="45">
        <v>1.24973288712866E-2</v>
      </c>
      <c r="AJ503" s="45">
        <v>1.38403337715369E-3</v>
      </c>
    </row>
    <row r="504" spans="1:36" x14ac:dyDescent="0.25">
      <c r="A504">
        <v>969</v>
      </c>
      <c r="B504">
        <v>969</v>
      </c>
      <c r="C504" t="s">
        <v>551</v>
      </c>
      <c r="D504" t="s">
        <v>552</v>
      </c>
      <c r="E504" t="s">
        <v>210</v>
      </c>
      <c r="F504" t="s">
        <v>553</v>
      </c>
      <c r="G504" t="s">
        <v>554</v>
      </c>
      <c r="H504" t="s">
        <v>213</v>
      </c>
      <c r="I504" t="s">
        <v>239</v>
      </c>
      <c r="J504" t="s">
        <v>71</v>
      </c>
      <c r="K504" t="s">
        <v>71</v>
      </c>
      <c r="L504" t="s">
        <v>216</v>
      </c>
      <c r="M504" t="s">
        <v>117</v>
      </c>
      <c r="N504" t="s">
        <v>329</v>
      </c>
      <c r="O504" t="s">
        <v>72</v>
      </c>
      <c r="P504" t="s">
        <v>246</v>
      </c>
      <c r="Q504" t="s">
        <v>74</v>
      </c>
      <c r="R504" t="s">
        <v>220</v>
      </c>
      <c r="S504" t="s">
        <v>81</v>
      </c>
      <c r="T504" s="44">
        <v>2.9910000000000001</v>
      </c>
      <c r="U504" t="s">
        <v>555</v>
      </c>
      <c r="V504" s="46">
        <v>4.7300000000000002E-2</v>
      </c>
      <c r="W504" s="45">
        <v>5.0959999999999998E-2</v>
      </c>
      <c r="X504" t="s">
        <v>222</v>
      </c>
      <c r="Y504" t="s">
        <v>72</v>
      </c>
      <c r="Z504" s="44">
        <v>66500</v>
      </c>
      <c r="AA504" s="42">
        <v>1</v>
      </c>
      <c r="AB504" s="48">
        <v>100.21</v>
      </c>
      <c r="AD504" s="44">
        <v>66.64</v>
      </c>
      <c r="AG504" t="s">
        <v>16</v>
      </c>
      <c r="AH504" s="45">
        <v>1.4100000000000001E-4</v>
      </c>
      <c r="AI504" s="45">
        <v>8.2137180580355903E-3</v>
      </c>
      <c r="AJ504" s="45">
        <v>9.0963917649395396E-4</v>
      </c>
    </row>
    <row r="505" spans="1:36" x14ac:dyDescent="0.25">
      <c r="A505">
        <v>969</v>
      </c>
      <c r="B505">
        <v>969</v>
      </c>
      <c r="C505" t="s">
        <v>556</v>
      </c>
      <c r="D505" t="s">
        <v>557</v>
      </c>
      <c r="E505" t="s">
        <v>210</v>
      </c>
      <c r="F505" t="s">
        <v>558</v>
      </c>
      <c r="G505" t="s">
        <v>559</v>
      </c>
      <c r="H505" t="s">
        <v>213</v>
      </c>
      <c r="I505" t="s">
        <v>214</v>
      </c>
      <c r="J505" t="s">
        <v>71</v>
      </c>
      <c r="K505" t="s">
        <v>71</v>
      </c>
      <c r="L505" t="s">
        <v>216</v>
      </c>
      <c r="M505" t="s">
        <v>117</v>
      </c>
      <c r="N505" t="s">
        <v>258</v>
      </c>
      <c r="O505" t="s">
        <v>72</v>
      </c>
      <c r="P505" t="s">
        <v>560</v>
      </c>
      <c r="Q505" t="s">
        <v>219</v>
      </c>
      <c r="R505" t="s">
        <v>220</v>
      </c>
      <c r="S505" t="s">
        <v>81</v>
      </c>
      <c r="T505" s="44">
        <v>2.0680000000000001</v>
      </c>
      <c r="U505" t="s">
        <v>561</v>
      </c>
      <c r="V505" s="46">
        <v>1.77E-2</v>
      </c>
      <c r="W505" s="45">
        <v>2.751E-2</v>
      </c>
      <c r="X505" t="s">
        <v>222</v>
      </c>
      <c r="Y505" t="s">
        <v>72</v>
      </c>
      <c r="Z505" s="44">
        <v>112000</v>
      </c>
      <c r="AA505" s="42">
        <v>1</v>
      </c>
      <c r="AB505" s="48">
        <v>113.81</v>
      </c>
      <c r="AD505" s="44">
        <v>127.467</v>
      </c>
      <c r="AG505" t="s">
        <v>16</v>
      </c>
      <c r="AH505" s="45">
        <v>4.3000000000000002E-5</v>
      </c>
      <c r="AI505" s="45">
        <v>1.5711061544399399E-2</v>
      </c>
      <c r="AJ505" s="45">
        <v>1.7399424942656501E-3</v>
      </c>
    </row>
    <row r="506" spans="1:36" x14ac:dyDescent="0.25">
      <c r="A506">
        <v>969</v>
      </c>
      <c r="B506">
        <v>969</v>
      </c>
      <c r="C506" t="s">
        <v>556</v>
      </c>
      <c r="D506" t="s">
        <v>557</v>
      </c>
      <c r="E506" t="s">
        <v>210</v>
      </c>
      <c r="F506" t="s">
        <v>562</v>
      </c>
      <c r="G506" t="s">
        <v>563</v>
      </c>
      <c r="H506" t="s">
        <v>213</v>
      </c>
      <c r="I506" t="s">
        <v>214</v>
      </c>
      <c r="J506" t="s">
        <v>71</v>
      </c>
      <c r="K506" t="s">
        <v>71</v>
      </c>
      <c r="L506" t="s">
        <v>216</v>
      </c>
      <c r="M506" t="s">
        <v>117</v>
      </c>
      <c r="N506" t="s">
        <v>258</v>
      </c>
      <c r="O506" t="s">
        <v>72</v>
      </c>
      <c r="P506" t="s">
        <v>560</v>
      </c>
      <c r="Q506" t="s">
        <v>74</v>
      </c>
      <c r="R506" t="s">
        <v>220</v>
      </c>
      <c r="S506" t="s">
        <v>81</v>
      </c>
      <c r="T506" s="44">
        <v>6.4729999999999999</v>
      </c>
      <c r="U506" t="s">
        <v>564</v>
      </c>
      <c r="V506" s="46">
        <v>8.9999999999999993E-3</v>
      </c>
      <c r="W506" s="45">
        <v>3.0720000000000001E-2</v>
      </c>
      <c r="X506" t="s">
        <v>222</v>
      </c>
      <c r="Y506" t="s">
        <v>72</v>
      </c>
      <c r="Z506" s="44">
        <v>100000</v>
      </c>
      <c r="AA506" s="42">
        <v>1</v>
      </c>
      <c r="AB506" s="48">
        <v>99.26</v>
      </c>
      <c r="AD506" s="44">
        <v>99.26</v>
      </c>
      <c r="AG506" t="s">
        <v>16</v>
      </c>
      <c r="AH506" s="45">
        <v>3.6000000000000001E-5</v>
      </c>
      <c r="AI506" s="45">
        <v>1.22343627921307E-2</v>
      </c>
      <c r="AJ506" s="45">
        <v>1.3549108475027999E-3</v>
      </c>
    </row>
    <row r="507" spans="1:36" x14ac:dyDescent="0.25">
      <c r="A507">
        <v>969</v>
      </c>
      <c r="B507">
        <v>969</v>
      </c>
      <c r="C507" t="s">
        <v>556</v>
      </c>
      <c r="D507" t="s">
        <v>557</v>
      </c>
      <c r="E507" t="s">
        <v>210</v>
      </c>
      <c r="F507" t="s">
        <v>565</v>
      </c>
      <c r="G507" t="s">
        <v>566</v>
      </c>
      <c r="H507" t="s">
        <v>213</v>
      </c>
      <c r="I507" t="s">
        <v>214</v>
      </c>
      <c r="J507" t="s">
        <v>71</v>
      </c>
      <c r="K507" t="s">
        <v>71</v>
      </c>
      <c r="L507" t="s">
        <v>216</v>
      </c>
      <c r="M507" t="s">
        <v>117</v>
      </c>
      <c r="N507" t="s">
        <v>258</v>
      </c>
      <c r="O507" t="s">
        <v>72</v>
      </c>
      <c r="P507" t="s">
        <v>560</v>
      </c>
      <c r="Q507" t="s">
        <v>74</v>
      </c>
      <c r="R507" t="s">
        <v>220</v>
      </c>
      <c r="S507" t="s">
        <v>81</v>
      </c>
      <c r="T507" s="44">
        <v>9.9939999999999998</v>
      </c>
      <c r="U507" t="s">
        <v>567</v>
      </c>
      <c r="V507" s="46">
        <v>1.6899999999999998E-2</v>
      </c>
      <c r="W507" s="45">
        <v>3.2899999999999999E-2</v>
      </c>
      <c r="X507" t="s">
        <v>222</v>
      </c>
      <c r="Y507" t="s">
        <v>72</v>
      </c>
      <c r="Z507" s="44">
        <v>111422</v>
      </c>
      <c r="AA507" s="42">
        <v>1</v>
      </c>
      <c r="AB507" s="48">
        <v>97.7</v>
      </c>
      <c r="AD507" s="44">
        <v>108.85899999999999</v>
      </c>
      <c r="AG507" t="s">
        <v>16</v>
      </c>
      <c r="AH507" s="45">
        <v>2.5999999999999998E-5</v>
      </c>
      <c r="AI507" s="45">
        <v>1.3417530688003399E-2</v>
      </c>
      <c r="AJ507" s="45">
        <v>1.48594235635801E-3</v>
      </c>
    </row>
    <row r="508" spans="1:36" x14ac:dyDescent="0.25">
      <c r="A508">
        <v>969</v>
      </c>
      <c r="B508">
        <v>969</v>
      </c>
      <c r="C508" t="s">
        <v>556</v>
      </c>
      <c r="D508" t="s">
        <v>557</v>
      </c>
      <c r="E508" t="s">
        <v>210</v>
      </c>
      <c r="F508" t="s">
        <v>568</v>
      </c>
      <c r="G508" t="s">
        <v>569</v>
      </c>
      <c r="H508" t="s">
        <v>213</v>
      </c>
      <c r="I508" t="s">
        <v>214</v>
      </c>
      <c r="J508" t="s">
        <v>71</v>
      </c>
      <c r="K508" t="s">
        <v>71</v>
      </c>
      <c r="L508" t="s">
        <v>216</v>
      </c>
      <c r="M508" t="s">
        <v>109</v>
      </c>
      <c r="N508" t="s">
        <v>258</v>
      </c>
      <c r="O508" t="s">
        <v>72</v>
      </c>
      <c r="P508" t="s">
        <v>560</v>
      </c>
      <c r="Q508" t="s">
        <v>219</v>
      </c>
      <c r="R508" t="s">
        <v>220</v>
      </c>
      <c r="S508" t="s">
        <v>81</v>
      </c>
      <c r="T508" s="44">
        <v>11.904</v>
      </c>
      <c r="U508" t="s">
        <v>570</v>
      </c>
      <c r="V508" s="46">
        <v>3.6700000000000003E-2</v>
      </c>
      <c r="W508" s="45">
        <v>3.4259999999999999E-2</v>
      </c>
      <c r="X508" t="s">
        <v>222</v>
      </c>
      <c r="Y508" t="s">
        <v>72</v>
      </c>
      <c r="Z508" s="44">
        <v>78000</v>
      </c>
      <c r="AA508" s="42">
        <v>1</v>
      </c>
      <c r="AB508" s="48">
        <v>105.88</v>
      </c>
      <c r="AD508" s="44">
        <v>82.585999999999999</v>
      </c>
      <c r="AG508" t="s">
        <v>16</v>
      </c>
      <c r="AH508" s="45">
        <v>2.4000000000000001E-5</v>
      </c>
      <c r="AI508" s="45">
        <v>1.01792462149509E-2</v>
      </c>
      <c r="AJ508" s="45">
        <v>1.12731421737059E-3</v>
      </c>
    </row>
    <row r="509" spans="1:36" x14ac:dyDescent="0.25">
      <c r="A509">
        <v>969</v>
      </c>
      <c r="B509">
        <v>969</v>
      </c>
      <c r="C509" t="s">
        <v>88</v>
      </c>
      <c r="D509" t="s">
        <v>571</v>
      </c>
      <c r="E509" t="s">
        <v>210</v>
      </c>
      <c r="F509" t="s">
        <v>572</v>
      </c>
      <c r="G509" t="s">
        <v>573</v>
      </c>
      <c r="H509" t="s">
        <v>213</v>
      </c>
      <c r="I509" t="s">
        <v>214</v>
      </c>
      <c r="J509" t="s">
        <v>71</v>
      </c>
      <c r="K509" t="s">
        <v>71</v>
      </c>
      <c r="L509" t="s">
        <v>216</v>
      </c>
      <c r="M509" t="s">
        <v>117</v>
      </c>
      <c r="N509" t="s">
        <v>365</v>
      </c>
      <c r="O509" t="s">
        <v>72</v>
      </c>
      <c r="P509" t="s">
        <v>228</v>
      </c>
      <c r="Q509" t="s">
        <v>74</v>
      </c>
      <c r="R509" t="s">
        <v>220</v>
      </c>
      <c r="S509" t="s">
        <v>81</v>
      </c>
      <c r="T509" s="44">
        <v>4.3479999999999999</v>
      </c>
      <c r="U509" t="s">
        <v>574</v>
      </c>
      <c r="V509" s="46">
        <v>3.7100000000000001E-2</v>
      </c>
      <c r="W509" s="45">
        <v>3.031E-2</v>
      </c>
      <c r="X509" t="s">
        <v>222</v>
      </c>
      <c r="Y509" t="s">
        <v>72</v>
      </c>
      <c r="Z509" s="44">
        <v>100000</v>
      </c>
      <c r="AA509" s="42">
        <v>1</v>
      </c>
      <c r="AB509" s="48">
        <v>107.64</v>
      </c>
      <c r="AD509" s="44">
        <v>107.64</v>
      </c>
      <c r="AG509" t="s">
        <v>16</v>
      </c>
      <c r="AH509" s="45">
        <v>2.5999999999999998E-4</v>
      </c>
      <c r="AI509" s="45">
        <v>1.3267245727835501E-2</v>
      </c>
      <c r="AJ509" s="45">
        <v>1.4692988477251799E-3</v>
      </c>
    </row>
    <row r="510" spans="1:36" x14ac:dyDescent="0.25">
      <c r="A510">
        <v>969</v>
      </c>
      <c r="B510">
        <v>969</v>
      </c>
      <c r="C510" t="s">
        <v>88</v>
      </c>
      <c r="D510" t="s">
        <v>571</v>
      </c>
      <c r="E510" t="s">
        <v>210</v>
      </c>
      <c r="F510" t="s">
        <v>575</v>
      </c>
      <c r="G510" t="s">
        <v>576</v>
      </c>
      <c r="H510" t="s">
        <v>213</v>
      </c>
      <c r="I510" t="s">
        <v>214</v>
      </c>
      <c r="J510" t="s">
        <v>71</v>
      </c>
      <c r="K510" t="s">
        <v>71</v>
      </c>
      <c r="L510" t="s">
        <v>216</v>
      </c>
      <c r="M510" t="s">
        <v>109</v>
      </c>
      <c r="N510" t="s">
        <v>365</v>
      </c>
      <c r="O510" t="s">
        <v>72</v>
      </c>
      <c r="P510" t="s">
        <v>228</v>
      </c>
      <c r="Q510" t="s">
        <v>74</v>
      </c>
      <c r="R510" t="s">
        <v>220</v>
      </c>
      <c r="S510" t="s">
        <v>81</v>
      </c>
      <c r="T510" s="44">
        <v>6.8019999999999996</v>
      </c>
      <c r="U510" t="s">
        <v>577</v>
      </c>
      <c r="V510" s="46">
        <v>3.4500000000000003E-2</v>
      </c>
      <c r="W510" s="45">
        <v>3.1910000000000001E-2</v>
      </c>
      <c r="X510" t="s">
        <v>222</v>
      </c>
      <c r="Y510" t="s">
        <v>72</v>
      </c>
      <c r="Z510" s="44">
        <v>110000</v>
      </c>
      <c r="AA510" s="42">
        <v>1</v>
      </c>
      <c r="AB510" s="48">
        <v>102.77</v>
      </c>
      <c r="AD510" s="44">
        <v>113.047</v>
      </c>
      <c r="AG510" t="s">
        <v>16</v>
      </c>
      <c r="AH510" s="45">
        <v>1.2E-4</v>
      </c>
      <c r="AI510" s="45">
        <v>1.3933689407233499E-2</v>
      </c>
      <c r="AJ510" s="45">
        <v>1.54310504309539E-3</v>
      </c>
    </row>
    <row r="511" spans="1:36" x14ac:dyDescent="0.25">
      <c r="A511">
        <v>969</v>
      </c>
      <c r="B511">
        <v>969</v>
      </c>
      <c r="C511" t="s">
        <v>578</v>
      </c>
      <c r="D511" t="s">
        <v>579</v>
      </c>
      <c r="E511" t="s">
        <v>210</v>
      </c>
      <c r="F511" t="s">
        <v>580</v>
      </c>
      <c r="G511" t="s">
        <v>581</v>
      </c>
      <c r="H511" t="s">
        <v>213</v>
      </c>
      <c r="I511" t="s">
        <v>239</v>
      </c>
      <c r="J511" t="s">
        <v>71</v>
      </c>
      <c r="K511" t="s">
        <v>71</v>
      </c>
      <c r="L511" t="s">
        <v>216</v>
      </c>
      <c r="M511" t="s">
        <v>109</v>
      </c>
      <c r="N511" t="s">
        <v>234</v>
      </c>
      <c r="O511" t="s">
        <v>72</v>
      </c>
      <c r="P511" t="s">
        <v>228</v>
      </c>
      <c r="Q511" t="s">
        <v>74</v>
      </c>
      <c r="R511" t="s">
        <v>220</v>
      </c>
      <c r="S511" t="s">
        <v>81</v>
      </c>
      <c r="T511" s="44">
        <v>6.3479999999999999</v>
      </c>
      <c r="U511" t="s">
        <v>582</v>
      </c>
      <c r="V511" s="46">
        <v>5.8599999999999999E-2</v>
      </c>
      <c r="W511" s="45">
        <v>5.2040000000000003E-2</v>
      </c>
      <c r="X511" t="s">
        <v>222</v>
      </c>
      <c r="Y511" t="s">
        <v>72</v>
      </c>
      <c r="Z511" s="44">
        <v>109276</v>
      </c>
      <c r="AA511" s="42">
        <v>1</v>
      </c>
      <c r="AB511" s="48">
        <v>106.56</v>
      </c>
      <c r="AD511" s="44">
        <v>116.44499999999999</v>
      </c>
      <c r="AG511" t="s">
        <v>16</v>
      </c>
      <c r="AH511" s="45">
        <v>5.4799999999999998E-4</v>
      </c>
      <c r="AI511" s="45">
        <v>1.43524514070189E-2</v>
      </c>
      <c r="AJ511" s="45">
        <v>1.5894814000558201E-3</v>
      </c>
    </row>
    <row r="512" spans="1:36" x14ac:dyDescent="0.25">
      <c r="A512">
        <v>969</v>
      </c>
      <c r="B512">
        <v>969</v>
      </c>
      <c r="C512" t="s">
        <v>670</v>
      </c>
      <c r="D512" t="s">
        <v>671</v>
      </c>
      <c r="E512" t="s">
        <v>210</v>
      </c>
      <c r="F512" t="s">
        <v>672</v>
      </c>
      <c r="G512" t="s">
        <v>673</v>
      </c>
      <c r="H512" t="s">
        <v>213</v>
      </c>
      <c r="I512" t="s">
        <v>239</v>
      </c>
      <c r="J512" t="s">
        <v>71</v>
      </c>
      <c r="K512" t="s">
        <v>71</v>
      </c>
      <c r="L512" t="s">
        <v>216</v>
      </c>
      <c r="M512" t="s">
        <v>117</v>
      </c>
      <c r="N512" t="s">
        <v>329</v>
      </c>
      <c r="O512" t="s">
        <v>72</v>
      </c>
      <c r="P512" t="s">
        <v>228</v>
      </c>
      <c r="Q512" t="s">
        <v>74</v>
      </c>
      <c r="R512" t="s">
        <v>220</v>
      </c>
      <c r="S512" t="s">
        <v>81</v>
      </c>
      <c r="T512" s="44">
        <v>1.58</v>
      </c>
      <c r="U512" t="s">
        <v>674</v>
      </c>
      <c r="V512" s="46">
        <v>0.04</v>
      </c>
      <c r="W512" s="45">
        <v>4.9320000000000003E-2</v>
      </c>
      <c r="X512" t="s">
        <v>222</v>
      </c>
      <c r="Y512" t="s">
        <v>72</v>
      </c>
      <c r="Z512" s="44">
        <v>25663.4</v>
      </c>
      <c r="AA512" s="42">
        <v>1</v>
      </c>
      <c r="AB512" s="48">
        <v>101.61</v>
      </c>
      <c r="AD512" s="44">
        <v>26.077000000000002</v>
      </c>
      <c r="AG512" t="s">
        <v>16</v>
      </c>
      <c r="AH512" s="45">
        <v>4.3000000000000002E-5</v>
      </c>
      <c r="AI512" s="45">
        <v>3.21408774079637E-3</v>
      </c>
      <c r="AJ512" s="45">
        <v>3.5594843955680602E-4</v>
      </c>
    </row>
    <row r="513" spans="1:36" x14ac:dyDescent="0.25">
      <c r="A513">
        <v>969</v>
      </c>
      <c r="B513">
        <v>969</v>
      </c>
      <c r="C513" t="s">
        <v>583</v>
      </c>
      <c r="D513" t="s">
        <v>584</v>
      </c>
      <c r="E513" t="s">
        <v>210</v>
      </c>
      <c r="F513" t="s">
        <v>585</v>
      </c>
      <c r="G513" t="s">
        <v>586</v>
      </c>
      <c r="H513" t="s">
        <v>213</v>
      </c>
      <c r="I513" t="s">
        <v>239</v>
      </c>
      <c r="J513" t="s">
        <v>71</v>
      </c>
      <c r="K513" t="s">
        <v>71</v>
      </c>
      <c r="L513" t="s">
        <v>216</v>
      </c>
      <c r="M513" t="s">
        <v>286</v>
      </c>
      <c r="N513" t="s">
        <v>217</v>
      </c>
      <c r="O513" t="s">
        <v>72</v>
      </c>
      <c r="P513" t="s">
        <v>218</v>
      </c>
      <c r="Q513" t="s">
        <v>219</v>
      </c>
      <c r="R513" t="s">
        <v>220</v>
      </c>
      <c r="S513" t="s">
        <v>81</v>
      </c>
      <c r="T513" s="44">
        <v>5.8659999999999997</v>
      </c>
      <c r="U513" t="s">
        <v>384</v>
      </c>
      <c r="V513" s="46">
        <v>5.5899999999999998E-2</v>
      </c>
      <c r="W513" s="45">
        <v>5.8259999999999999E-2</v>
      </c>
      <c r="X513" t="s">
        <v>222</v>
      </c>
      <c r="Y513" t="s">
        <v>72</v>
      </c>
      <c r="Z513" s="44">
        <v>87000</v>
      </c>
      <c r="AA513" s="42">
        <v>1</v>
      </c>
      <c r="AB513" s="48">
        <v>99.28</v>
      </c>
      <c r="AD513" s="44">
        <v>86.373999999999995</v>
      </c>
      <c r="AG513" t="s">
        <v>16</v>
      </c>
      <c r="AH513" s="45">
        <v>3.8900000000000002E-4</v>
      </c>
      <c r="AI513" s="45">
        <v>1.0646040278686099E-2</v>
      </c>
      <c r="AJ513" s="45">
        <v>1.17900994940427E-3</v>
      </c>
    </row>
    <row r="514" spans="1:36" x14ac:dyDescent="0.25">
      <c r="A514">
        <v>969</v>
      </c>
      <c r="B514">
        <v>969</v>
      </c>
      <c r="C514" t="s">
        <v>583</v>
      </c>
      <c r="D514" t="s">
        <v>584</v>
      </c>
      <c r="E514" t="s">
        <v>210</v>
      </c>
      <c r="F514" t="s">
        <v>587</v>
      </c>
      <c r="G514" t="s">
        <v>588</v>
      </c>
      <c r="H514" t="s">
        <v>213</v>
      </c>
      <c r="I514" t="s">
        <v>239</v>
      </c>
      <c r="J514" t="s">
        <v>71</v>
      </c>
      <c r="K514" t="s">
        <v>71</v>
      </c>
      <c r="L514" t="s">
        <v>216</v>
      </c>
      <c r="M514" t="s">
        <v>117</v>
      </c>
      <c r="N514" t="s">
        <v>217</v>
      </c>
      <c r="O514" t="s">
        <v>72</v>
      </c>
      <c r="P514" t="s">
        <v>218</v>
      </c>
      <c r="Q514" t="s">
        <v>219</v>
      </c>
      <c r="R514" t="s">
        <v>220</v>
      </c>
      <c r="S514" t="s">
        <v>81</v>
      </c>
      <c r="T514" s="44">
        <v>1.5649999999999999</v>
      </c>
      <c r="U514" t="s">
        <v>589</v>
      </c>
      <c r="V514" s="46">
        <v>2.6499999999999999E-2</v>
      </c>
      <c r="W514" s="45">
        <v>5.5599999999999997E-2</v>
      </c>
      <c r="X514" t="s">
        <v>222</v>
      </c>
      <c r="Y514" t="s">
        <v>72</v>
      </c>
      <c r="Z514" s="44">
        <v>53571.43</v>
      </c>
      <c r="AA514" s="42">
        <v>1</v>
      </c>
      <c r="AB514" s="48">
        <v>95.94</v>
      </c>
      <c r="AD514" s="44">
        <v>51.396000000000001</v>
      </c>
      <c r="AG514" t="s">
        <v>16</v>
      </c>
      <c r="AH514" s="45">
        <v>1.05E-4</v>
      </c>
      <c r="AI514" s="45">
        <v>6.3349039908397803E-3</v>
      </c>
      <c r="AJ514" s="45">
        <v>7.0156740329773695E-4</v>
      </c>
    </row>
    <row r="515" spans="1:36" x14ac:dyDescent="0.25">
      <c r="A515">
        <v>969</v>
      </c>
      <c r="B515">
        <v>969</v>
      </c>
      <c r="C515" t="s">
        <v>590</v>
      </c>
      <c r="D515" t="s">
        <v>591</v>
      </c>
      <c r="E515" t="s">
        <v>210</v>
      </c>
      <c r="F515" t="s">
        <v>592</v>
      </c>
      <c r="G515" t="s">
        <v>593</v>
      </c>
      <c r="H515" t="s">
        <v>213</v>
      </c>
      <c r="I515" t="s">
        <v>214</v>
      </c>
      <c r="J515" t="s">
        <v>71</v>
      </c>
      <c r="K515" t="s">
        <v>71</v>
      </c>
      <c r="L515" t="s">
        <v>216</v>
      </c>
      <c r="M515" t="s">
        <v>117</v>
      </c>
      <c r="N515" t="s">
        <v>258</v>
      </c>
      <c r="O515" t="s">
        <v>72</v>
      </c>
      <c r="P515" t="s">
        <v>259</v>
      </c>
      <c r="Q515" t="s">
        <v>74</v>
      </c>
      <c r="R515" t="s">
        <v>220</v>
      </c>
      <c r="S515" t="s">
        <v>81</v>
      </c>
      <c r="T515" s="44">
        <v>6.2430000000000003</v>
      </c>
      <c r="U515" t="s">
        <v>594</v>
      </c>
      <c r="V515" s="46">
        <v>2.5000000000000001E-2</v>
      </c>
      <c r="W515" s="45">
        <v>3.1879999999999999E-2</v>
      </c>
      <c r="X515" t="s">
        <v>222</v>
      </c>
      <c r="Y515" t="s">
        <v>72</v>
      </c>
      <c r="Z515" s="44">
        <v>54000</v>
      </c>
      <c r="AA515" s="42">
        <v>1</v>
      </c>
      <c r="AB515" s="48">
        <v>111</v>
      </c>
      <c r="AD515" s="44">
        <v>59.94</v>
      </c>
      <c r="AG515" t="s">
        <v>16</v>
      </c>
      <c r="AH515" s="45">
        <v>5.1E-5</v>
      </c>
      <c r="AI515" s="45">
        <v>7.3879478718548702E-3</v>
      </c>
      <c r="AJ515" s="45">
        <v>8.1818815433525797E-4</v>
      </c>
    </row>
    <row r="516" spans="1:36" x14ac:dyDescent="0.25">
      <c r="A516">
        <v>969</v>
      </c>
      <c r="B516">
        <v>969</v>
      </c>
      <c r="C516" t="s">
        <v>599</v>
      </c>
      <c r="D516" t="s">
        <v>600</v>
      </c>
      <c r="E516" t="s">
        <v>540</v>
      </c>
      <c r="F516" t="s">
        <v>601</v>
      </c>
      <c r="G516" t="s">
        <v>602</v>
      </c>
      <c r="H516" t="s">
        <v>213</v>
      </c>
      <c r="I516" t="s">
        <v>603</v>
      </c>
      <c r="J516" t="s">
        <v>71</v>
      </c>
      <c r="K516" t="s">
        <v>604</v>
      </c>
      <c r="L516" t="s">
        <v>216</v>
      </c>
      <c r="M516" t="s">
        <v>117</v>
      </c>
      <c r="N516" t="s">
        <v>217</v>
      </c>
      <c r="O516" t="s">
        <v>72</v>
      </c>
      <c r="P516" t="s">
        <v>228</v>
      </c>
      <c r="Q516" t="s">
        <v>219</v>
      </c>
      <c r="R516" t="s">
        <v>220</v>
      </c>
      <c r="S516" t="s">
        <v>81</v>
      </c>
      <c r="T516" s="44">
        <v>2.6120000000000001</v>
      </c>
      <c r="U516" t="s">
        <v>605</v>
      </c>
      <c r="V516" s="46">
        <v>4.2999999999999997E-2</v>
      </c>
      <c r="W516" s="45">
        <v>8.6080000000000004E-2</v>
      </c>
      <c r="X516" t="s">
        <v>222</v>
      </c>
      <c r="Y516" t="s">
        <v>72</v>
      </c>
      <c r="Z516" s="44">
        <v>0.72</v>
      </c>
      <c r="AA516" s="42">
        <v>1</v>
      </c>
      <c r="AB516" s="48">
        <v>91.56</v>
      </c>
      <c r="AD516" s="44">
        <v>1E-3</v>
      </c>
      <c r="AG516" t="s">
        <v>16</v>
      </c>
      <c r="AH516" s="45">
        <v>0</v>
      </c>
      <c r="AI516" s="45">
        <v>8.1254114972616405E-8</v>
      </c>
      <c r="AJ516" s="45">
        <v>8.9985954847971401E-9</v>
      </c>
    </row>
    <row r="517" spans="1:36" x14ac:dyDescent="0.25">
      <c r="A517">
        <v>969</v>
      </c>
      <c r="B517">
        <v>969</v>
      </c>
      <c r="C517" t="s">
        <v>606</v>
      </c>
      <c r="D517" t="s">
        <v>607</v>
      </c>
      <c r="E517" t="s">
        <v>210</v>
      </c>
      <c r="F517" t="s">
        <v>608</v>
      </c>
      <c r="G517" t="s">
        <v>609</v>
      </c>
      <c r="H517" t="s">
        <v>213</v>
      </c>
      <c r="I517" t="s">
        <v>239</v>
      </c>
      <c r="J517" t="s">
        <v>71</v>
      </c>
      <c r="K517" t="s">
        <v>71</v>
      </c>
      <c r="L517" t="s">
        <v>216</v>
      </c>
      <c r="M517" t="s">
        <v>109</v>
      </c>
      <c r="N517" t="s">
        <v>610</v>
      </c>
      <c r="O517" t="s">
        <v>72</v>
      </c>
      <c r="P517" t="s">
        <v>246</v>
      </c>
      <c r="Q517" t="s">
        <v>219</v>
      </c>
      <c r="R517" t="s">
        <v>220</v>
      </c>
      <c r="S517" t="s">
        <v>81</v>
      </c>
      <c r="T517" s="44">
        <v>4.7789999999999999</v>
      </c>
      <c r="U517" t="s">
        <v>348</v>
      </c>
      <c r="V517" s="46">
        <v>5.8500000000000003E-2</v>
      </c>
      <c r="W517" s="45">
        <v>5.2679999999999998E-2</v>
      </c>
      <c r="X517" t="s">
        <v>222</v>
      </c>
      <c r="Y517" t="s">
        <v>72</v>
      </c>
      <c r="Z517" s="44">
        <v>59000</v>
      </c>
      <c r="AA517" s="42">
        <v>1</v>
      </c>
      <c r="AB517" s="48">
        <v>106.89</v>
      </c>
      <c r="AD517" s="44">
        <v>63.064999999999998</v>
      </c>
      <c r="AG517" t="s">
        <v>16</v>
      </c>
      <c r="AH517" s="45">
        <v>3.8099999999999999E-4</v>
      </c>
      <c r="AI517" s="45">
        <v>7.7731343232117804E-3</v>
      </c>
      <c r="AJ517" s="45">
        <v>8.6084614234181701E-4</v>
      </c>
    </row>
    <row r="518" spans="1:36" x14ac:dyDescent="0.25">
      <c r="A518">
        <v>969</v>
      </c>
      <c r="B518">
        <v>969</v>
      </c>
      <c r="C518" t="s">
        <v>611</v>
      </c>
      <c r="D518" t="s">
        <v>612</v>
      </c>
      <c r="E518" t="s">
        <v>613</v>
      </c>
      <c r="F518" t="s">
        <v>614</v>
      </c>
      <c r="G518" t="s">
        <v>615</v>
      </c>
      <c r="H518" t="s">
        <v>213</v>
      </c>
      <c r="I518" t="s">
        <v>603</v>
      </c>
      <c r="J518" t="s">
        <v>85</v>
      </c>
      <c r="K518" t="s">
        <v>291</v>
      </c>
      <c r="L518" t="s">
        <v>216</v>
      </c>
      <c r="M518" t="s">
        <v>286</v>
      </c>
      <c r="N518" t="s">
        <v>616</v>
      </c>
      <c r="O518" t="s">
        <v>72</v>
      </c>
      <c r="P518" t="s">
        <v>560</v>
      </c>
      <c r="Q518" t="s">
        <v>617</v>
      </c>
      <c r="R518" t="s">
        <v>220</v>
      </c>
      <c r="S518" t="s">
        <v>75</v>
      </c>
      <c r="T518" s="44">
        <v>0.111</v>
      </c>
      <c r="U518" t="s">
        <v>618</v>
      </c>
      <c r="V518" s="46">
        <v>3.2000000000000001E-2</v>
      </c>
      <c r="W518" s="45">
        <v>4.5519999999999998E-2</v>
      </c>
      <c r="X518" t="s">
        <v>222</v>
      </c>
      <c r="Y518" t="s">
        <v>72</v>
      </c>
      <c r="Z518" s="44">
        <v>10000</v>
      </c>
      <c r="AA518" s="42">
        <v>3.718</v>
      </c>
      <c r="AB518" s="48">
        <v>101.111</v>
      </c>
      <c r="AD518" s="44">
        <v>37.593000000000004</v>
      </c>
      <c r="AG518" t="s">
        <v>16</v>
      </c>
      <c r="AH518" s="45">
        <v>5.0000000000000004E-6</v>
      </c>
      <c r="AI518" s="45">
        <v>4.6335471467083096E-3</v>
      </c>
      <c r="AJ518" s="45">
        <v>5.1314836727981003E-4</v>
      </c>
    </row>
    <row r="519" spans="1:36" x14ac:dyDescent="0.25">
      <c r="A519">
        <v>969</v>
      </c>
      <c r="B519">
        <v>969</v>
      </c>
      <c r="C519" t="s">
        <v>619</v>
      </c>
      <c r="D519" t="s">
        <v>620</v>
      </c>
      <c r="E519" t="s">
        <v>613</v>
      </c>
      <c r="F519" t="s">
        <v>621</v>
      </c>
      <c r="G519" t="s">
        <v>622</v>
      </c>
      <c r="H519" t="s">
        <v>213</v>
      </c>
      <c r="I519" t="s">
        <v>603</v>
      </c>
      <c r="J519" t="s">
        <v>85</v>
      </c>
      <c r="K519" t="s">
        <v>291</v>
      </c>
      <c r="L519" t="s">
        <v>216</v>
      </c>
      <c r="M519" t="s">
        <v>286</v>
      </c>
      <c r="N519" t="s">
        <v>616</v>
      </c>
      <c r="O519" t="s">
        <v>72</v>
      </c>
      <c r="P519" t="s">
        <v>371</v>
      </c>
      <c r="Q519" t="s">
        <v>617</v>
      </c>
      <c r="R519" t="s">
        <v>220</v>
      </c>
      <c r="S519" t="s">
        <v>75</v>
      </c>
      <c r="T519" s="44">
        <v>0.11700000000000001</v>
      </c>
      <c r="U519" t="s">
        <v>623</v>
      </c>
      <c r="V519" s="46">
        <v>7.4999999999999997E-2</v>
      </c>
      <c r="W519" s="45">
        <v>5.815E-2</v>
      </c>
      <c r="X519" t="s">
        <v>222</v>
      </c>
      <c r="Y519" t="s">
        <v>72</v>
      </c>
      <c r="Z519" s="44">
        <v>20000</v>
      </c>
      <c r="AA519" s="42">
        <v>3.718</v>
      </c>
      <c r="AB519" s="48">
        <v>103.215</v>
      </c>
      <c r="AD519" s="44">
        <v>76.751000000000005</v>
      </c>
      <c r="AG519" t="s">
        <v>16</v>
      </c>
      <c r="AH519" s="45">
        <v>7.8999999999999996E-5</v>
      </c>
      <c r="AI519" s="45">
        <v>9.4599870995184798E-3</v>
      </c>
      <c r="AJ519" s="45">
        <v>1.04765890599701E-3</v>
      </c>
    </row>
  </sheetData>
  <dataValidations count="14">
    <dataValidation type="list" allowBlank="1" showInputMessage="1" showErrorMessage="1" sqref="J2:J20" xr:uid="{00000000-0002-0000-0500-000000000000}">
      <formula1>israel_abroad</formula1>
      <formula2>0</formula2>
    </dataValidation>
    <dataValidation type="list" allowBlank="1" showInputMessage="1" showErrorMessage="1" sqref="O2:O20" xr:uid="{00000000-0002-0000-0500-000001000000}">
      <formula1>Holding_interest</formula1>
      <formula2>0</formula2>
    </dataValidation>
    <dataValidation type="list" allowBlank="1" showInputMessage="1" showErrorMessage="1" sqref="Q2:Q20" xr:uid="{00000000-0002-0000-0500-000002000000}">
      <formula1>Rating_Agency</formula1>
      <formula2>0</formula2>
    </dataValidation>
    <dataValidation type="list" allowBlank="1" showInputMessage="1" showErrorMessage="1" sqref="R2:R20" xr:uid="{00000000-0002-0000-0500-000003000000}">
      <formula1>What_is_rated</formula1>
      <formula2>0</formula2>
    </dataValidation>
    <dataValidation type="list" allowBlank="1" showInputMessage="1" showErrorMessage="1" sqref="X2:X20" xr:uid="{00000000-0002-0000-0500-000004000000}">
      <formula1>Subordination_Risk</formula1>
      <formula2>0</formula2>
    </dataValidation>
    <dataValidation type="list" allowBlank="1" showInputMessage="1" showErrorMessage="1" sqref="AG2:AG5 AG8:AG19" xr:uid="{00000000-0002-0000-0500-000005000000}">
      <formula1>In_the_books</formula1>
      <formula2>0</formula2>
    </dataValidation>
    <dataValidation type="list" allowBlank="1" showInputMessage="1" showErrorMessage="1" sqref="K2:K20" xr:uid="{00000000-0002-0000-0500-000006000000}">
      <formula1>Country_list</formula1>
      <formula2>0</formula2>
    </dataValidation>
    <dataValidation type="list" allowBlank="1" showInputMessage="1" showErrorMessage="1" sqref="Y2:Y20" xr:uid="{00000000-0002-0000-0500-000007000000}">
      <formula1>Yes_No_Bad_Debt</formula1>
      <formula2>0</formula2>
    </dataValidation>
    <dataValidation type="list" allowBlank="1" showInputMessage="1" showErrorMessage="1" sqref="H3:H20" xr:uid="{00000000-0002-0000-0500-000008000000}">
      <formula1>Type_of_Security_ID_Fund</formula1>
      <formula2>0</formula2>
    </dataValidation>
    <dataValidation type="list" allowBlank="1" showInputMessage="1" showErrorMessage="1" sqref="E2:E20" xr:uid="{00000000-0002-0000-0500-000009000000}">
      <formula1>Issuer_Number_Type_2</formula1>
      <formula2>0</formula2>
    </dataValidation>
    <dataValidation type="list" allowBlank="1" showInputMessage="1" showErrorMessage="1" sqref="H2" xr:uid="{00000000-0002-0000-0500-00000A000000}">
      <formula1>Security_ID_Number_Type</formula1>
      <formula2>0</formula2>
    </dataValidation>
    <dataValidation type="list" allowBlank="1" showInputMessage="1" showErrorMessage="1" sqref="N2:N20" xr:uid="{00000000-0002-0000-0500-00000B000000}">
      <formula1>Industry_Sector</formula1>
      <formula2>0</formula2>
    </dataValidation>
    <dataValidation type="list" allowBlank="1" showInputMessage="1" showErrorMessage="1" sqref="L2:L20" xr:uid="{00000000-0002-0000-0500-00000C000000}">
      <formula1>Tradeable_Status</formula1>
      <formula2>0</formula2>
    </dataValidation>
    <dataValidation type="list" allowBlank="1" showInputMessage="1" showErrorMessage="1" sqref="M2:M20" xr:uid="{00000000-0002-0000-0500-00000D000000}">
      <formula1>Stock_Exchange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43"/>
  <sheetViews>
    <sheetView rightToLeft="1" zoomScale="70" zoomScaleNormal="70" workbookViewId="0"/>
  </sheetViews>
  <sheetFormatPr defaultColWidth="9" defaultRowHeight="13.8" x14ac:dyDescent="0.25"/>
  <cols>
    <col min="1" max="26" width="11.59765625" customWidth="1"/>
  </cols>
  <sheetData>
    <row r="1" spans="1:24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207</v>
      </c>
      <c r="M1" s="36" t="s">
        <v>95</v>
      </c>
      <c r="N1" s="36" t="s">
        <v>201</v>
      </c>
      <c r="O1" s="36" t="s">
        <v>57</v>
      </c>
      <c r="P1" s="36" t="s">
        <v>60</v>
      </c>
      <c r="Q1" s="36" t="s">
        <v>101</v>
      </c>
      <c r="R1" s="37" t="s">
        <v>62</v>
      </c>
      <c r="S1" s="47" t="s">
        <v>102</v>
      </c>
      <c r="T1" s="36" t="s">
        <v>100</v>
      </c>
      <c r="U1" s="36" t="s">
        <v>64</v>
      </c>
      <c r="V1" s="39" t="s">
        <v>104</v>
      </c>
      <c r="W1" s="39" t="s">
        <v>65</v>
      </c>
      <c r="X1" s="39" t="s">
        <v>66</v>
      </c>
    </row>
    <row r="2" spans="1:24" x14ac:dyDescent="0.25">
      <c r="A2" s="10">
        <v>1182</v>
      </c>
      <c r="B2" s="10">
        <v>1182</v>
      </c>
      <c r="C2" s="10" t="s">
        <v>749</v>
      </c>
      <c r="D2" s="10" t="s">
        <v>750</v>
      </c>
      <c r="E2" s="10" t="s">
        <v>613</v>
      </c>
      <c r="F2" s="10" t="s">
        <v>751</v>
      </c>
      <c r="G2" s="10" t="s">
        <v>752</v>
      </c>
      <c r="H2" s="10" t="s">
        <v>213</v>
      </c>
      <c r="I2" s="10" t="s">
        <v>753</v>
      </c>
      <c r="J2" s="10" t="s">
        <v>71</v>
      </c>
      <c r="K2" s="10" t="s">
        <v>291</v>
      </c>
      <c r="L2" s="10" t="s">
        <v>216</v>
      </c>
      <c r="M2" s="10" t="s">
        <v>117</v>
      </c>
      <c r="N2" s="10" t="s">
        <v>287</v>
      </c>
      <c r="O2" s="10" t="s">
        <v>72</v>
      </c>
      <c r="P2" s="10" t="s">
        <v>81</v>
      </c>
      <c r="Q2" s="52">
        <v>2795.5</v>
      </c>
      <c r="R2" s="55">
        <v>1</v>
      </c>
      <c r="S2" s="56">
        <v>26100</v>
      </c>
      <c r="T2" s="10"/>
      <c r="U2" s="52">
        <v>729.625</v>
      </c>
      <c r="V2" s="54">
        <v>5.0000000000000002E-5</v>
      </c>
      <c r="W2" s="54">
        <v>1.1915380109823201E-2</v>
      </c>
      <c r="X2" s="54">
        <v>1.6851419712010901E-3</v>
      </c>
    </row>
    <row r="3" spans="1:24" x14ac:dyDescent="0.25">
      <c r="A3" s="10">
        <v>1182</v>
      </c>
      <c r="B3" s="10">
        <v>1182</v>
      </c>
      <c r="C3" s="10" t="s">
        <v>644</v>
      </c>
      <c r="D3" s="10" t="s">
        <v>645</v>
      </c>
      <c r="E3" s="10" t="s">
        <v>210</v>
      </c>
      <c r="F3" s="10" t="s">
        <v>754</v>
      </c>
      <c r="G3" s="10" t="s">
        <v>755</v>
      </c>
      <c r="H3" s="10" t="s">
        <v>213</v>
      </c>
      <c r="I3" s="10" t="s">
        <v>753</v>
      </c>
      <c r="J3" s="10" t="s">
        <v>71</v>
      </c>
      <c r="K3" s="10" t="s">
        <v>71</v>
      </c>
      <c r="L3" s="10" t="s">
        <v>216</v>
      </c>
      <c r="M3" s="10" t="s">
        <v>117</v>
      </c>
      <c r="N3" s="10" t="s">
        <v>227</v>
      </c>
      <c r="O3" s="10" t="s">
        <v>72</v>
      </c>
      <c r="P3" s="10" t="s">
        <v>81</v>
      </c>
      <c r="Q3" s="52">
        <v>48411</v>
      </c>
      <c r="R3" s="55">
        <v>1</v>
      </c>
      <c r="S3" s="56">
        <v>2089</v>
      </c>
      <c r="T3" s="10"/>
      <c r="U3" s="52">
        <v>1011.306</v>
      </c>
      <c r="V3" s="54">
        <v>3.6999999999999998E-5</v>
      </c>
      <c r="W3" s="54">
        <v>1.65154492203398E-2</v>
      </c>
      <c r="X3" s="54">
        <v>2.3357103506493099E-3</v>
      </c>
    </row>
    <row r="4" spans="1:24" x14ac:dyDescent="0.25">
      <c r="A4" s="10">
        <v>1182</v>
      </c>
      <c r="B4" s="10">
        <v>1182</v>
      </c>
      <c r="C4" s="10" t="s">
        <v>756</v>
      </c>
      <c r="D4" s="10" t="s">
        <v>757</v>
      </c>
      <c r="E4" s="10" t="s">
        <v>210</v>
      </c>
      <c r="F4" s="10" t="s">
        <v>758</v>
      </c>
      <c r="G4" s="10" t="s">
        <v>759</v>
      </c>
      <c r="H4" s="10" t="s">
        <v>213</v>
      </c>
      <c r="I4" s="10" t="s">
        <v>753</v>
      </c>
      <c r="J4" s="10" t="s">
        <v>71</v>
      </c>
      <c r="K4" s="10" t="s">
        <v>71</v>
      </c>
      <c r="L4" s="10" t="s">
        <v>216</v>
      </c>
      <c r="M4" s="10" t="s">
        <v>117</v>
      </c>
      <c r="N4" s="10" t="s">
        <v>252</v>
      </c>
      <c r="O4" s="10" t="s">
        <v>72</v>
      </c>
      <c r="P4" s="10" t="s">
        <v>81</v>
      </c>
      <c r="Q4" s="52">
        <v>2680</v>
      </c>
      <c r="R4" s="55">
        <v>1</v>
      </c>
      <c r="S4" s="56">
        <v>15580</v>
      </c>
      <c r="T4" s="10"/>
      <c r="U4" s="52">
        <v>417.54399999999998</v>
      </c>
      <c r="V4" s="54">
        <v>1.8200000000000001E-4</v>
      </c>
      <c r="W4" s="54">
        <v>6.8188344192685497E-3</v>
      </c>
      <c r="X4" s="54">
        <v>9.6435900228705003E-4</v>
      </c>
    </row>
    <row r="5" spans="1:24" x14ac:dyDescent="0.25">
      <c r="A5" s="10">
        <v>1182</v>
      </c>
      <c r="B5" s="10">
        <v>1182</v>
      </c>
      <c r="C5" s="10" t="s">
        <v>760</v>
      </c>
      <c r="D5" s="10" t="s">
        <v>761</v>
      </c>
      <c r="E5" s="10" t="s">
        <v>210</v>
      </c>
      <c r="F5" s="10" t="s">
        <v>762</v>
      </c>
      <c r="G5" s="10" t="s">
        <v>763</v>
      </c>
      <c r="H5" s="10" t="s">
        <v>213</v>
      </c>
      <c r="I5" s="10" t="s">
        <v>753</v>
      </c>
      <c r="J5" s="10" t="s">
        <v>71</v>
      </c>
      <c r="K5" s="10" t="s">
        <v>71</v>
      </c>
      <c r="L5" s="10" t="s">
        <v>216</v>
      </c>
      <c r="M5" s="10" t="s">
        <v>117</v>
      </c>
      <c r="N5" s="10" t="s">
        <v>764</v>
      </c>
      <c r="O5" s="10" t="s">
        <v>72</v>
      </c>
      <c r="P5" s="10" t="s">
        <v>81</v>
      </c>
      <c r="Q5" s="52">
        <v>15773</v>
      </c>
      <c r="R5" s="55">
        <v>1</v>
      </c>
      <c r="S5" s="56">
        <v>1524</v>
      </c>
      <c r="T5" s="10"/>
      <c r="U5" s="52">
        <v>240.381</v>
      </c>
      <c r="V5" s="54">
        <v>1.06E-4</v>
      </c>
      <c r="W5" s="54">
        <v>3.9256101476674802E-3</v>
      </c>
      <c r="X5" s="54">
        <v>5.5518249199232198E-4</v>
      </c>
    </row>
    <row r="6" spans="1:24" x14ac:dyDescent="0.25">
      <c r="A6" s="10">
        <v>1182</v>
      </c>
      <c r="B6" s="10">
        <v>1182</v>
      </c>
      <c r="C6" s="10" t="s">
        <v>765</v>
      </c>
      <c r="D6" s="10" t="s">
        <v>766</v>
      </c>
      <c r="E6" s="10" t="s">
        <v>210</v>
      </c>
      <c r="F6" s="10" t="s">
        <v>767</v>
      </c>
      <c r="G6" s="10" t="s">
        <v>768</v>
      </c>
      <c r="H6" s="10" t="s">
        <v>213</v>
      </c>
      <c r="I6" s="10" t="s">
        <v>753</v>
      </c>
      <c r="J6" s="10" t="s">
        <v>71</v>
      </c>
      <c r="K6" s="10" t="s">
        <v>71</v>
      </c>
      <c r="L6" s="10" t="s">
        <v>216</v>
      </c>
      <c r="M6" s="10" t="s">
        <v>117</v>
      </c>
      <c r="N6" s="10" t="s">
        <v>515</v>
      </c>
      <c r="O6" s="10" t="s">
        <v>72</v>
      </c>
      <c r="P6" s="10" t="s">
        <v>81</v>
      </c>
      <c r="Q6" s="52">
        <v>0</v>
      </c>
      <c r="R6" s="55">
        <v>1</v>
      </c>
      <c r="S6" s="56">
        <v>0</v>
      </c>
      <c r="T6" s="52">
        <v>1E-3</v>
      </c>
      <c r="U6" s="52">
        <v>1E-3</v>
      </c>
      <c r="V6" s="54">
        <v>0</v>
      </c>
      <c r="W6" s="54">
        <v>8.4920245483581205E-9</v>
      </c>
      <c r="X6" s="54">
        <v>1.2009912277251401E-9</v>
      </c>
    </row>
    <row r="7" spans="1:24" x14ac:dyDescent="0.25">
      <c r="A7" s="10">
        <v>1182</v>
      </c>
      <c r="B7" s="10">
        <v>1182</v>
      </c>
      <c r="C7" s="10" t="s">
        <v>769</v>
      </c>
      <c r="D7" s="10" t="s">
        <v>770</v>
      </c>
      <c r="E7" s="10" t="s">
        <v>210</v>
      </c>
      <c r="F7" s="10" t="s">
        <v>771</v>
      </c>
      <c r="G7" s="10" t="s">
        <v>772</v>
      </c>
      <c r="H7" s="10" t="s">
        <v>213</v>
      </c>
      <c r="I7" s="10" t="s">
        <v>753</v>
      </c>
      <c r="J7" s="10" t="s">
        <v>71</v>
      </c>
      <c r="K7" s="10" t="s">
        <v>71</v>
      </c>
      <c r="L7" s="10" t="s">
        <v>216</v>
      </c>
      <c r="M7" s="10" t="s">
        <v>117</v>
      </c>
      <c r="N7" s="10" t="s">
        <v>773</v>
      </c>
      <c r="O7" s="10" t="s">
        <v>72</v>
      </c>
      <c r="P7" s="10" t="s">
        <v>81</v>
      </c>
      <c r="Q7" s="52">
        <v>1241</v>
      </c>
      <c r="R7" s="55">
        <v>1</v>
      </c>
      <c r="S7" s="56">
        <v>142500</v>
      </c>
      <c r="T7" s="10"/>
      <c r="U7" s="52">
        <v>1768.425</v>
      </c>
      <c r="V7" s="54">
        <v>2.8E-5</v>
      </c>
      <c r="W7" s="54">
        <v>2.88798240614043E-2</v>
      </c>
      <c r="X7" s="54">
        <v>4.0843517536342903E-3</v>
      </c>
    </row>
    <row r="8" spans="1:24" x14ac:dyDescent="0.25">
      <c r="A8" s="10">
        <v>1182</v>
      </c>
      <c r="B8" s="10">
        <v>1182</v>
      </c>
      <c r="C8" s="10" t="s">
        <v>268</v>
      </c>
      <c r="D8" s="10" t="s">
        <v>269</v>
      </c>
      <c r="E8" s="10" t="s">
        <v>210</v>
      </c>
      <c r="F8" s="10" t="s">
        <v>774</v>
      </c>
      <c r="G8" s="10" t="s">
        <v>775</v>
      </c>
      <c r="H8" s="10" t="s">
        <v>213</v>
      </c>
      <c r="I8" s="10" t="s">
        <v>753</v>
      </c>
      <c r="J8" s="10" t="s">
        <v>71</v>
      </c>
      <c r="K8" s="10" t="s">
        <v>71</v>
      </c>
      <c r="L8" s="10" t="s">
        <v>216</v>
      </c>
      <c r="M8" s="10" t="s">
        <v>117</v>
      </c>
      <c r="N8" s="10" t="s">
        <v>272</v>
      </c>
      <c r="O8" s="10" t="s">
        <v>72</v>
      </c>
      <c r="P8" s="10" t="s">
        <v>81</v>
      </c>
      <c r="Q8" s="52">
        <v>141</v>
      </c>
      <c r="R8" s="55">
        <v>1</v>
      </c>
      <c r="S8" s="56">
        <v>173080</v>
      </c>
      <c r="T8" s="10"/>
      <c r="U8" s="52">
        <v>244.04300000000001</v>
      </c>
      <c r="V8" s="54">
        <v>3.4999999999999997E-5</v>
      </c>
      <c r="W8" s="54">
        <v>3.9854181700962497E-3</v>
      </c>
      <c r="X8" s="54">
        <v>5.6364088844130904E-4</v>
      </c>
    </row>
    <row r="9" spans="1:24" x14ac:dyDescent="0.25">
      <c r="A9" s="10">
        <v>1182</v>
      </c>
      <c r="B9" s="10">
        <v>1182</v>
      </c>
      <c r="C9" s="10" t="s">
        <v>282</v>
      </c>
      <c r="D9" s="10" t="s">
        <v>283</v>
      </c>
      <c r="E9" s="10" t="s">
        <v>210</v>
      </c>
      <c r="F9" s="10" t="s">
        <v>776</v>
      </c>
      <c r="G9" s="10" t="s">
        <v>777</v>
      </c>
      <c r="H9" s="10" t="s">
        <v>213</v>
      </c>
      <c r="I9" s="10" t="s">
        <v>753</v>
      </c>
      <c r="J9" s="10" t="s">
        <v>71</v>
      </c>
      <c r="K9" s="10" t="s">
        <v>291</v>
      </c>
      <c r="L9" s="10" t="s">
        <v>216</v>
      </c>
      <c r="M9" s="10" t="s">
        <v>117</v>
      </c>
      <c r="N9" s="10" t="s">
        <v>287</v>
      </c>
      <c r="O9" s="10" t="s">
        <v>72</v>
      </c>
      <c r="P9" s="10" t="s">
        <v>81</v>
      </c>
      <c r="Q9" s="52">
        <v>7995.5</v>
      </c>
      <c r="R9" s="55">
        <v>1</v>
      </c>
      <c r="S9" s="56">
        <v>5941</v>
      </c>
      <c r="T9" s="10"/>
      <c r="U9" s="52">
        <v>475.01299999999998</v>
      </c>
      <c r="V9" s="54">
        <v>6.7000000000000002E-5</v>
      </c>
      <c r="W9" s="54">
        <v>7.7573444750783996E-3</v>
      </c>
      <c r="X9" s="54">
        <v>1.0970885225258201E-3</v>
      </c>
    </row>
    <row r="10" spans="1:24" x14ac:dyDescent="0.25">
      <c r="A10" s="10">
        <v>1182</v>
      </c>
      <c r="B10" s="10">
        <v>1182</v>
      </c>
      <c r="C10" s="10" t="s">
        <v>778</v>
      </c>
      <c r="D10" s="10" t="s">
        <v>779</v>
      </c>
      <c r="E10" s="10" t="s">
        <v>613</v>
      </c>
      <c r="F10" s="10" t="s">
        <v>780</v>
      </c>
      <c r="G10" s="10" t="s">
        <v>781</v>
      </c>
      <c r="H10" s="10" t="s">
        <v>213</v>
      </c>
      <c r="I10" s="10" t="s">
        <v>753</v>
      </c>
      <c r="J10" s="10" t="s">
        <v>71</v>
      </c>
      <c r="K10" s="10" t="s">
        <v>604</v>
      </c>
      <c r="L10" s="10" t="s">
        <v>216</v>
      </c>
      <c r="M10" s="10" t="s">
        <v>117</v>
      </c>
      <c r="N10" s="10" t="s">
        <v>423</v>
      </c>
      <c r="O10" s="10" t="s">
        <v>72</v>
      </c>
      <c r="P10" s="10" t="s">
        <v>81</v>
      </c>
      <c r="Q10" s="52">
        <v>9932</v>
      </c>
      <c r="R10" s="55">
        <v>1</v>
      </c>
      <c r="S10" s="56">
        <v>4205</v>
      </c>
      <c r="T10" s="52">
        <v>11.077999999999999</v>
      </c>
      <c r="U10" s="52">
        <v>428.71899999999999</v>
      </c>
      <c r="V10" s="54">
        <v>5.3999999999999998E-5</v>
      </c>
      <c r="W10" s="54">
        <v>7.0013272559982303E-3</v>
      </c>
      <c r="X10" s="54">
        <v>9.90168194757813E-4</v>
      </c>
    </row>
    <row r="11" spans="1:24" x14ac:dyDescent="0.25">
      <c r="A11" s="10">
        <v>1182</v>
      </c>
      <c r="B11" s="10">
        <v>1182</v>
      </c>
      <c r="C11" s="10" t="s">
        <v>782</v>
      </c>
      <c r="D11" s="10" t="s">
        <v>783</v>
      </c>
      <c r="E11" s="10" t="s">
        <v>210</v>
      </c>
      <c r="F11" s="10" t="s">
        <v>784</v>
      </c>
      <c r="G11" s="10" t="s">
        <v>785</v>
      </c>
      <c r="H11" s="10" t="s">
        <v>213</v>
      </c>
      <c r="I11" s="10" t="s">
        <v>753</v>
      </c>
      <c r="J11" s="10" t="s">
        <v>71</v>
      </c>
      <c r="K11" s="10" t="s">
        <v>71</v>
      </c>
      <c r="L11" s="10" t="s">
        <v>216</v>
      </c>
      <c r="M11" s="10" t="s">
        <v>117</v>
      </c>
      <c r="N11" s="10" t="s">
        <v>764</v>
      </c>
      <c r="O11" s="10" t="s">
        <v>72</v>
      </c>
      <c r="P11" s="10" t="s">
        <v>81</v>
      </c>
      <c r="Q11" s="52">
        <v>250</v>
      </c>
      <c r="R11" s="55">
        <v>1</v>
      </c>
      <c r="S11" s="56">
        <v>0</v>
      </c>
      <c r="T11" s="10"/>
      <c r="U11" s="52">
        <v>0</v>
      </c>
      <c r="V11" s="54">
        <v>0</v>
      </c>
      <c r="W11" s="54">
        <v>4.0827041097875604E-12</v>
      </c>
      <c r="X11" s="54">
        <v>5.7739962871400998E-13</v>
      </c>
    </row>
    <row r="12" spans="1:24" x14ac:dyDescent="0.25">
      <c r="A12" s="10">
        <v>1182</v>
      </c>
      <c r="B12" s="10">
        <v>1182</v>
      </c>
      <c r="C12" s="10" t="s">
        <v>631</v>
      </c>
      <c r="D12" s="10" t="s">
        <v>632</v>
      </c>
      <c r="E12" s="10" t="s">
        <v>210</v>
      </c>
      <c r="F12" s="10" t="s">
        <v>786</v>
      </c>
      <c r="G12" s="10" t="s">
        <v>787</v>
      </c>
      <c r="H12" s="10" t="s">
        <v>213</v>
      </c>
      <c r="I12" s="10" t="s">
        <v>753</v>
      </c>
      <c r="J12" s="10" t="s">
        <v>71</v>
      </c>
      <c r="K12" s="10" t="s">
        <v>71</v>
      </c>
      <c r="L12" s="10" t="s">
        <v>216</v>
      </c>
      <c r="M12" s="10" t="s">
        <v>117</v>
      </c>
      <c r="N12" s="10" t="s">
        <v>245</v>
      </c>
      <c r="O12" s="10" t="s">
        <v>72</v>
      </c>
      <c r="P12" s="10" t="s">
        <v>81</v>
      </c>
      <c r="Q12" s="52">
        <v>19039</v>
      </c>
      <c r="R12" s="55">
        <v>1</v>
      </c>
      <c r="S12" s="56">
        <v>5080</v>
      </c>
      <c r="T12" s="10"/>
      <c r="U12" s="52">
        <v>967.18100000000004</v>
      </c>
      <c r="V12" s="54">
        <v>1.7100000000000001E-4</v>
      </c>
      <c r="W12" s="54">
        <v>1.5794858640597102E-2</v>
      </c>
      <c r="X12" s="54">
        <v>2.2338002631166801E-3</v>
      </c>
    </row>
    <row r="13" spans="1:24" x14ac:dyDescent="0.25">
      <c r="A13" s="10">
        <v>1182</v>
      </c>
      <c r="B13" s="10">
        <v>1182</v>
      </c>
      <c r="C13" s="10" t="s">
        <v>320</v>
      </c>
      <c r="D13" s="10" t="s">
        <v>321</v>
      </c>
      <c r="E13" s="10" t="s">
        <v>210</v>
      </c>
      <c r="F13" s="10" t="s">
        <v>788</v>
      </c>
      <c r="G13" s="10" t="s">
        <v>789</v>
      </c>
      <c r="H13" s="10" t="s">
        <v>213</v>
      </c>
      <c r="I13" s="10" t="s">
        <v>753</v>
      </c>
      <c r="J13" s="10" t="s">
        <v>71</v>
      </c>
      <c r="K13" s="10" t="s">
        <v>71</v>
      </c>
      <c r="L13" s="10" t="s">
        <v>216</v>
      </c>
      <c r="M13" s="10" t="s">
        <v>117</v>
      </c>
      <c r="N13" s="10" t="s">
        <v>234</v>
      </c>
      <c r="O13" s="10" t="s">
        <v>72</v>
      </c>
      <c r="P13" s="10" t="s">
        <v>81</v>
      </c>
      <c r="Q13" s="52">
        <v>136064</v>
      </c>
      <c r="R13" s="55">
        <v>1</v>
      </c>
      <c r="S13" s="56">
        <v>88.3</v>
      </c>
      <c r="T13" s="52">
        <v>7.9569999999999999</v>
      </c>
      <c r="U13" s="52">
        <v>128.102</v>
      </c>
      <c r="V13" s="54">
        <v>4.1999999999999998E-5</v>
      </c>
      <c r="W13" s="54">
        <v>2.0920093003006699E-3</v>
      </c>
      <c r="X13" s="54">
        <v>2.9586405499337402E-4</v>
      </c>
    </row>
    <row r="14" spans="1:24" x14ac:dyDescent="0.25">
      <c r="A14" s="10">
        <v>1182</v>
      </c>
      <c r="B14" s="10">
        <v>1182</v>
      </c>
      <c r="C14" s="10" t="s">
        <v>790</v>
      </c>
      <c r="D14" s="10" t="s">
        <v>791</v>
      </c>
      <c r="E14" s="10" t="s">
        <v>210</v>
      </c>
      <c r="F14" s="10" t="s">
        <v>792</v>
      </c>
      <c r="G14" s="10" t="s">
        <v>793</v>
      </c>
      <c r="H14" s="10" t="s">
        <v>213</v>
      </c>
      <c r="I14" s="10" t="s">
        <v>753</v>
      </c>
      <c r="J14" s="10" t="s">
        <v>71</v>
      </c>
      <c r="K14" s="10" t="s">
        <v>71</v>
      </c>
      <c r="L14" s="10" t="s">
        <v>216</v>
      </c>
      <c r="M14" s="10" t="s">
        <v>117</v>
      </c>
      <c r="N14" s="10" t="s">
        <v>329</v>
      </c>
      <c r="O14" s="10" t="s">
        <v>72</v>
      </c>
      <c r="P14" s="10" t="s">
        <v>81</v>
      </c>
      <c r="Q14" s="52">
        <v>173239</v>
      </c>
      <c r="R14" s="55">
        <v>1</v>
      </c>
      <c r="S14" s="56">
        <v>546.6</v>
      </c>
      <c r="T14" s="10"/>
      <c r="U14" s="52">
        <v>946.92399999999998</v>
      </c>
      <c r="V14" s="54">
        <v>6.3E-5</v>
      </c>
      <c r="W14" s="54">
        <v>1.5464048133551201E-2</v>
      </c>
      <c r="X14" s="54">
        <v>2.1870151278713802E-3</v>
      </c>
    </row>
    <row r="15" spans="1:24" x14ac:dyDescent="0.25">
      <c r="A15" s="10">
        <v>1182</v>
      </c>
      <c r="B15" s="10">
        <v>1182</v>
      </c>
      <c r="C15" s="10" t="s">
        <v>331</v>
      </c>
      <c r="D15" s="10" t="s">
        <v>332</v>
      </c>
      <c r="E15" s="10" t="s">
        <v>210</v>
      </c>
      <c r="F15" s="10" t="s">
        <v>794</v>
      </c>
      <c r="G15" s="10" t="s">
        <v>795</v>
      </c>
      <c r="H15" s="10" t="s">
        <v>213</v>
      </c>
      <c r="I15" s="10" t="s">
        <v>753</v>
      </c>
      <c r="J15" s="10" t="s">
        <v>71</v>
      </c>
      <c r="K15" s="10" t="s">
        <v>71</v>
      </c>
      <c r="L15" s="10" t="s">
        <v>216</v>
      </c>
      <c r="M15" s="10" t="s">
        <v>117</v>
      </c>
      <c r="N15" s="10" t="s">
        <v>258</v>
      </c>
      <c r="O15" s="10" t="s">
        <v>72</v>
      </c>
      <c r="P15" s="10" t="s">
        <v>81</v>
      </c>
      <c r="Q15" s="52">
        <v>1178.76</v>
      </c>
      <c r="R15" s="55">
        <v>1</v>
      </c>
      <c r="S15" s="56">
        <v>51410</v>
      </c>
      <c r="T15" s="10"/>
      <c r="U15" s="52">
        <v>606.00099999999998</v>
      </c>
      <c r="V15" s="54">
        <v>4.6999999999999997E-5</v>
      </c>
      <c r="W15" s="54">
        <v>9.8964831888263306E-3</v>
      </c>
      <c r="X15" s="54">
        <v>1.3996178917555901E-3</v>
      </c>
    </row>
    <row r="16" spans="1:24" x14ac:dyDescent="0.25">
      <c r="A16" s="10">
        <v>1182</v>
      </c>
      <c r="B16" s="10">
        <v>1182</v>
      </c>
      <c r="C16" s="10" t="s">
        <v>796</v>
      </c>
      <c r="D16" s="10" t="s">
        <v>797</v>
      </c>
      <c r="E16" s="10" t="s">
        <v>210</v>
      </c>
      <c r="F16" s="10" t="s">
        <v>798</v>
      </c>
      <c r="G16" s="10" t="s">
        <v>799</v>
      </c>
      <c r="H16" s="10" t="s">
        <v>213</v>
      </c>
      <c r="I16" s="10" t="s">
        <v>753</v>
      </c>
      <c r="J16" s="10" t="s">
        <v>71</v>
      </c>
      <c r="K16" s="10" t="s">
        <v>71</v>
      </c>
      <c r="L16" s="10" t="s">
        <v>216</v>
      </c>
      <c r="M16" s="10" t="s">
        <v>117</v>
      </c>
      <c r="N16" s="10" t="s">
        <v>365</v>
      </c>
      <c r="O16" s="10" t="s">
        <v>72</v>
      </c>
      <c r="P16" s="10" t="s">
        <v>81</v>
      </c>
      <c r="Q16" s="52">
        <v>1306</v>
      </c>
      <c r="R16" s="55">
        <v>1</v>
      </c>
      <c r="S16" s="56">
        <v>18720</v>
      </c>
      <c r="T16" s="10"/>
      <c r="U16" s="52">
        <v>244.483</v>
      </c>
      <c r="V16" s="54">
        <v>1.2999999999999999E-5</v>
      </c>
      <c r="W16" s="54">
        <v>3.9926102616560603E-3</v>
      </c>
      <c r="X16" s="54">
        <v>5.6465803562725202E-4</v>
      </c>
    </row>
    <row r="17" spans="1:24" x14ac:dyDescent="0.25">
      <c r="A17" s="10">
        <v>1182</v>
      </c>
      <c r="B17" s="10">
        <v>1182</v>
      </c>
      <c r="C17" s="10" t="s">
        <v>800</v>
      </c>
      <c r="D17" s="10" t="s">
        <v>801</v>
      </c>
      <c r="E17" s="10" t="s">
        <v>210</v>
      </c>
      <c r="F17" s="10" t="s">
        <v>802</v>
      </c>
      <c r="G17" s="10" t="s">
        <v>803</v>
      </c>
      <c r="H17" s="10" t="s">
        <v>213</v>
      </c>
      <c r="I17" s="10" t="s">
        <v>753</v>
      </c>
      <c r="J17" s="10" t="s">
        <v>71</v>
      </c>
      <c r="K17" s="10" t="s">
        <v>71</v>
      </c>
      <c r="L17" s="10" t="s">
        <v>216</v>
      </c>
      <c r="M17" s="10" t="s">
        <v>117</v>
      </c>
      <c r="N17" s="10" t="s">
        <v>365</v>
      </c>
      <c r="O17" s="10" t="s">
        <v>72</v>
      </c>
      <c r="P17" s="10" t="s">
        <v>81</v>
      </c>
      <c r="Q17" s="52">
        <v>52079</v>
      </c>
      <c r="R17" s="55">
        <v>1</v>
      </c>
      <c r="S17" s="56">
        <v>2572</v>
      </c>
      <c r="T17" s="52">
        <v>13.311999999999999</v>
      </c>
      <c r="U17" s="52">
        <v>1352.7840000000001</v>
      </c>
      <c r="V17" s="54">
        <v>4.1999999999999998E-5</v>
      </c>
      <c r="W17" s="54">
        <v>2.2092060980109199E-2</v>
      </c>
      <c r="X17" s="54">
        <v>3.1243870396735801E-3</v>
      </c>
    </row>
    <row r="18" spans="1:24" x14ac:dyDescent="0.25">
      <c r="A18" s="10">
        <v>1182</v>
      </c>
      <c r="B18" s="10">
        <v>1182</v>
      </c>
      <c r="C18" s="10" t="s">
        <v>804</v>
      </c>
      <c r="D18" s="10" t="s">
        <v>805</v>
      </c>
      <c r="E18" s="10" t="s">
        <v>210</v>
      </c>
      <c r="F18" s="10" t="s">
        <v>806</v>
      </c>
      <c r="G18" s="10" t="s">
        <v>807</v>
      </c>
      <c r="H18" s="10" t="s">
        <v>213</v>
      </c>
      <c r="I18" s="10" t="s">
        <v>753</v>
      </c>
      <c r="J18" s="10" t="s">
        <v>71</v>
      </c>
      <c r="K18" s="10" t="s">
        <v>71</v>
      </c>
      <c r="L18" s="10" t="s">
        <v>216</v>
      </c>
      <c r="M18" s="10" t="s">
        <v>117</v>
      </c>
      <c r="N18" s="10" t="s">
        <v>808</v>
      </c>
      <c r="O18" s="10" t="s">
        <v>72</v>
      </c>
      <c r="P18" s="10" t="s">
        <v>81</v>
      </c>
      <c r="Q18" s="52">
        <v>4338</v>
      </c>
      <c r="R18" s="55">
        <v>1</v>
      </c>
      <c r="S18" s="56">
        <v>17650</v>
      </c>
      <c r="T18" s="10"/>
      <c r="U18" s="52">
        <v>765.65700000000004</v>
      </c>
      <c r="V18" s="54">
        <v>1.6100000000000001E-4</v>
      </c>
      <c r="W18" s="54">
        <v>1.2503803922350501E-2</v>
      </c>
      <c r="X18" s="54">
        <v>1.76836027008913E-3</v>
      </c>
    </row>
    <row r="19" spans="1:24" x14ac:dyDescent="0.25">
      <c r="A19" s="10">
        <v>1182</v>
      </c>
      <c r="B19" s="10">
        <v>1182</v>
      </c>
      <c r="C19" s="10" t="s">
        <v>809</v>
      </c>
      <c r="D19" s="10" t="s">
        <v>810</v>
      </c>
      <c r="E19" s="10" t="s">
        <v>210</v>
      </c>
      <c r="F19" s="10" t="s">
        <v>811</v>
      </c>
      <c r="G19" s="10" t="s">
        <v>812</v>
      </c>
      <c r="H19" s="10" t="s">
        <v>213</v>
      </c>
      <c r="I19" s="10" t="s">
        <v>753</v>
      </c>
      <c r="J19" s="10" t="s">
        <v>71</v>
      </c>
      <c r="K19" s="10" t="s">
        <v>71</v>
      </c>
      <c r="L19" s="10" t="s">
        <v>216</v>
      </c>
      <c r="M19" s="10" t="s">
        <v>117</v>
      </c>
      <c r="N19" s="10" t="s">
        <v>515</v>
      </c>
      <c r="O19" s="10" t="s">
        <v>72</v>
      </c>
      <c r="P19" s="10" t="s">
        <v>81</v>
      </c>
      <c r="Q19" s="52">
        <v>57630</v>
      </c>
      <c r="R19" s="55">
        <v>1</v>
      </c>
      <c r="S19" s="56">
        <v>638.4</v>
      </c>
      <c r="T19" s="10"/>
      <c r="U19" s="52">
        <v>367.91</v>
      </c>
      <c r="V19" s="54">
        <v>6.2799999999999998E-4</v>
      </c>
      <c r="W19" s="54">
        <v>6.0082693696624501E-3</v>
      </c>
      <c r="X19" s="54">
        <v>8.4972420483280398E-4</v>
      </c>
    </row>
    <row r="20" spans="1:24" x14ac:dyDescent="0.25">
      <c r="A20">
        <v>1182</v>
      </c>
      <c r="B20">
        <v>1182</v>
      </c>
      <c r="C20" t="s">
        <v>813</v>
      </c>
      <c r="D20" t="s">
        <v>814</v>
      </c>
      <c r="E20" s="10" t="s">
        <v>210</v>
      </c>
      <c r="F20" t="s">
        <v>815</v>
      </c>
      <c r="G20" t="s">
        <v>816</v>
      </c>
      <c r="H20" s="10" t="s">
        <v>213</v>
      </c>
      <c r="I20" t="s">
        <v>753</v>
      </c>
      <c r="J20" t="s">
        <v>71</v>
      </c>
      <c r="K20" s="10" t="s">
        <v>71</v>
      </c>
      <c r="L20" s="10" t="s">
        <v>216</v>
      </c>
      <c r="M20" s="10" t="s">
        <v>117</v>
      </c>
      <c r="N20" s="10" t="s">
        <v>252</v>
      </c>
      <c r="O20" t="s">
        <v>72</v>
      </c>
      <c r="P20" t="s">
        <v>81</v>
      </c>
      <c r="Q20" s="44">
        <v>18702</v>
      </c>
      <c r="R20" s="42">
        <v>1</v>
      </c>
      <c r="S20" s="48">
        <v>6881</v>
      </c>
      <c r="U20" s="44">
        <v>1286.885</v>
      </c>
      <c r="V20" s="45">
        <v>7.1000000000000005E-5</v>
      </c>
      <c r="W20" s="45">
        <v>2.1015876507585601E-2</v>
      </c>
      <c r="X20" s="45">
        <v>2.9721868071430802E-3</v>
      </c>
    </row>
    <row r="21" spans="1:24" x14ac:dyDescent="0.25">
      <c r="A21">
        <v>1182</v>
      </c>
      <c r="B21">
        <v>1182</v>
      </c>
      <c r="C21" t="s">
        <v>817</v>
      </c>
      <c r="D21" t="s">
        <v>818</v>
      </c>
      <c r="E21" t="s">
        <v>210</v>
      </c>
      <c r="F21" t="s">
        <v>819</v>
      </c>
      <c r="G21" t="s">
        <v>820</v>
      </c>
      <c r="H21" t="s">
        <v>213</v>
      </c>
      <c r="I21" t="s">
        <v>753</v>
      </c>
      <c r="J21" t="s">
        <v>71</v>
      </c>
      <c r="K21" t="s">
        <v>71</v>
      </c>
      <c r="L21" t="s">
        <v>216</v>
      </c>
      <c r="M21" t="s">
        <v>117</v>
      </c>
      <c r="N21" s="10" t="s">
        <v>272</v>
      </c>
      <c r="O21" t="s">
        <v>72</v>
      </c>
      <c r="P21" t="s">
        <v>81</v>
      </c>
      <c r="Q21" s="44">
        <v>190</v>
      </c>
      <c r="R21" s="42">
        <v>1</v>
      </c>
      <c r="S21" s="48">
        <v>99210</v>
      </c>
      <c r="U21" s="44">
        <v>188.499</v>
      </c>
      <c r="V21" s="45">
        <v>2.5000000000000001E-5</v>
      </c>
      <c r="W21" s="45">
        <v>3.0783425679633799E-3</v>
      </c>
      <c r="X21" s="45">
        <v>4.3535701045184798E-4</v>
      </c>
    </row>
    <row r="22" spans="1:24" x14ac:dyDescent="0.25">
      <c r="A22">
        <v>1182</v>
      </c>
      <c r="B22">
        <v>1182</v>
      </c>
      <c r="C22" t="s">
        <v>821</v>
      </c>
      <c r="D22" t="s">
        <v>822</v>
      </c>
      <c r="E22" t="s">
        <v>210</v>
      </c>
      <c r="F22" t="s">
        <v>823</v>
      </c>
      <c r="G22" t="s">
        <v>824</v>
      </c>
      <c r="H22" t="s">
        <v>213</v>
      </c>
      <c r="I22" t="s">
        <v>753</v>
      </c>
      <c r="J22" t="s">
        <v>71</v>
      </c>
      <c r="K22" t="s">
        <v>71</v>
      </c>
      <c r="L22" t="s">
        <v>216</v>
      </c>
      <c r="M22" t="s">
        <v>117</v>
      </c>
      <c r="N22" t="s">
        <v>825</v>
      </c>
      <c r="O22" t="s">
        <v>72</v>
      </c>
      <c r="P22" t="s">
        <v>81</v>
      </c>
      <c r="Q22" s="44">
        <v>1406</v>
      </c>
      <c r="R22" s="42">
        <v>1</v>
      </c>
      <c r="S22" s="48">
        <v>22740</v>
      </c>
      <c r="U22" s="44">
        <v>319.72399999999999</v>
      </c>
      <c r="V22" s="45">
        <v>6.0999999999999999E-5</v>
      </c>
      <c r="W22" s="45">
        <v>5.2213604875174504E-3</v>
      </c>
      <c r="X22" s="45">
        <v>7.3843499940323795E-4</v>
      </c>
    </row>
    <row r="23" spans="1:24" x14ac:dyDescent="0.25">
      <c r="A23">
        <v>1182</v>
      </c>
      <c r="B23">
        <v>1182</v>
      </c>
      <c r="C23" t="s">
        <v>826</v>
      </c>
      <c r="D23" t="s">
        <v>827</v>
      </c>
      <c r="E23" t="s">
        <v>210</v>
      </c>
      <c r="F23" t="s">
        <v>828</v>
      </c>
      <c r="G23" t="s">
        <v>829</v>
      </c>
      <c r="H23" t="s">
        <v>213</v>
      </c>
      <c r="I23" t="s">
        <v>753</v>
      </c>
      <c r="J23" t="s">
        <v>71</v>
      </c>
      <c r="K23" t="s">
        <v>215</v>
      </c>
      <c r="L23" t="s">
        <v>216</v>
      </c>
      <c r="M23" t="s">
        <v>117</v>
      </c>
      <c r="N23" t="s">
        <v>830</v>
      </c>
      <c r="O23" t="s">
        <v>72</v>
      </c>
      <c r="P23" t="s">
        <v>81</v>
      </c>
      <c r="Q23" s="44">
        <v>5035</v>
      </c>
      <c r="R23" s="42">
        <v>1</v>
      </c>
      <c r="S23" s="48">
        <v>13000</v>
      </c>
      <c r="U23" s="44">
        <v>654.54999999999995</v>
      </c>
      <c r="V23" s="45">
        <v>4.5000000000000003E-5</v>
      </c>
      <c r="W23" s="45">
        <v>1.0689335900245799E-2</v>
      </c>
      <c r="X23" s="45">
        <v>1.5117477078990199E-3</v>
      </c>
    </row>
    <row r="24" spans="1:24" x14ac:dyDescent="0.25">
      <c r="A24">
        <v>1182</v>
      </c>
      <c r="B24">
        <v>1182</v>
      </c>
      <c r="C24" t="s">
        <v>624</v>
      </c>
      <c r="D24" t="s">
        <v>625</v>
      </c>
      <c r="E24" t="s">
        <v>210</v>
      </c>
      <c r="F24" t="s">
        <v>831</v>
      </c>
      <c r="G24" t="s">
        <v>832</v>
      </c>
      <c r="H24" t="s">
        <v>213</v>
      </c>
      <c r="I24" t="s">
        <v>753</v>
      </c>
      <c r="J24" t="s">
        <v>71</v>
      </c>
      <c r="K24" t="s">
        <v>291</v>
      </c>
      <c r="L24" t="s">
        <v>216</v>
      </c>
      <c r="M24" t="s">
        <v>117</v>
      </c>
      <c r="N24" t="s">
        <v>628</v>
      </c>
      <c r="O24" t="s">
        <v>72</v>
      </c>
      <c r="P24" t="s">
        <v>81</v>
      </c>
      <c r="Q24" s="44">
        <v>25775</v>
      </c>
      <c r="R24" s="42">
        <v>1</v>
      </c>
      <c r="S24" s="48">
        <v>5587</v>
      </c>
      <c r="U24" s="44">
        <v>1440.049</v>
      </c>
      <c r="V24" s="45">
        <v>2.0999999999999999E-5</v>
      </c>
      <c r="W24" s="45">
        <v>2.3517179965086E-2</v>
      </c>
      <c r="X24" s="45">
        <v>3.3259356091195499E-3</v>
      </c>
    </row>
    <row r="25" spans="1:24" x14ac:dyDescent="0.25">
      <c r="A25">
        <v>1182</v>
      </c>
      <c r="B25">
        <v>1182</v>
      </c>
      <c r="C25" t="s">
        <v>833</v>
      </c>
      <c r="D25" t="s">
        <v>834</v>
      </c>
      <c r="E25" t="s">
        <v>210</v>
      </c>
      <c r="F25" t="s">
        <v>835</v>
      </c>
      <c r="G25" t="s">
        <v>836</v>
      </c>
      <c r="H25" t="s">
        <v>213</v>
      </c>
      <c r="I25" t="s">
        <v>753</v>
      </c>
      <c r="J25" t="s">
        <v>71</v>
      </c>
      <c r="K25" t="s">
        <v>71</v>
      </c>
      <c r="L25" t="s">
        <v>216</v>
      </c>
      <c r="M25" t="s">
        <v>117</v>
      </c>
      <c r="N25" t="s">
        <v>837</v>
      </c>
      <c r="O25" t="s">
        <v>72</v>
      </c>
      <c r="P25" t="s">
        <v>81</v>
      </c>
      <c r="Q25" s="44">
        <v>57152</v>
      </c>
      <c r="R25" s="42">
        <v>1</v>
      </c>
      <c r="S25" s="48">
        <v>692.7</v>
      </c>
      <c r="U25" s="44">
        <v>395.892</v>
      </c>
      <c r="V25" s="45">
        <v>5.2499999999999997E-4</v>
      </c>
      <c r="W25" s="45">
        <v>6.4652380139696899E-3</v>
      </c>
      <c r="X25" s="45">
        <v>9.1435135352192895E-4</v>
      </c>
    </row>
    <row r="26" spans="1:24" x14ac:dyDescent="0.25">
      <c r="A26">
        <v>1182</v>
      </c>
      <c r="B26">
        <v>1182</v>
      </c>
      <c r="C26" t="s">
        <v>838</v>
      </c>
      <c r="D26" t="s">
        <v>839</v>
      </c>
      <c r="E26" t="s">
        <v>210</v>
      </c>
      <c r="F26" t="s">
        <v>840</v>
      </c>
      <c r="G26" t="s">
        <v>841</v>
      </c>
      <c r="H26" t="s">
        <v>213</v>
      </c>
      <c r="I26" t="s">
        <v>753</v>
      </c>
      <c r="J26" t="s">
        <v>71</v>
      </c>
      <c r="K26" t="s">
        <v>71</v>
      </c>
      <c r="L26" t="s">
        <v>216</v>
      </c>
      <c r="M26" t="s">
        <v>117</v>
      </c>
      <c r="N26" t="s">
        <v>429</v>
      </c>
      <c r="O26" t="s">
        <v>72</v>
      </c>
      <c r="P26" t="s">
        <v>81</v>
      </c>
      <c r="Q26" s="44">
        <v>141532</v>
      </c>
      <c r="R26" s="42">
        <v>1</v>
      </c>
      <c r="S26" s="48">
        <v>1651</v>
      </c>
      <c r="U26" s="44">
        <v>2336.6930000000002</v>
      </c>
      <c r="V26" s="45">
        <v>6.9999999999999999E-4</v>
      </c>
      <c r="W26" s="45">
        <v>3.8160109683508497E-2</v>
      </c>
      <c r="X26" s="45">
        <v>5.3968234215460197E-3</v>
      </c>
    </row>
    <row r="27" spans="1:24" x14ac:dyDescent="0.25">
      <c r="A27">
        <v>1182</v>
      </c>
      <c r="B27">
        <v>1182</v>
      </c>
      <c r="C27" t="s">
        <v>842</v>
      </c>
      <c r="D27" t="s">
        <v>843</v>
      </c>
      <c r="E27" t="s">
        <v>210</v>
      </c>
      <c r="F27" t="s">
        <v>844</v>
      </c>
      <c r="G27" t="s">
        <v>845</v>
      </c>
      <c r="H27" t="s">
        <v>213</v>
      </c>
      <c r="I27" t="s">
        <v>753</v>
      </c>
      <c r="J27" t="s">
        <v>71</v>
      </c>
      <c r="K27" t="s">
        <v>71</v>
      </c>
      <c r="L27" t="s">
        <v>216</v>
      </c>
      <c r="M27" t="s">
        <v>117</v>
      </c>
      <c r="N27" t="s">
        <v>252</v>
      </c>
      <c r="O27" t="s">
        <v>72</v>
      </c>
      <c r="P27" t="s">
        <v>81</v>
      </c>
      <c r="Q27" s="44">
        <v>11533</v>
      </c>
      <c r="R27" s="42">
        <v>1</v>
      </c>
      <c r="S27" s="48">
        <v>9094</v>
      </c>
      <c r="U27" s="44">
        <v>1048.8109999999999</v>
      </c>
      <c r="V27" s="45">
        <v>1.45E-4</v>
      </c>
      <c r="W27" s="45">
        <v>1.7127940246977901E-2</v>
      </c>
      <c r="X27" s="45">
        <v>2.4223323741566498E-3</v>
      </c>
    </row>
    <row r="28" spans="1:24" x14ac:dyDescent="0.25">
      <c r="A28">
        <v>1182</v>
      </c>
      <c r="B28">
        <v>1182</v>
      </c>
      <c r="C28" t="s">
        <v>82</v>
      </c>
      <c r="D28" t="s">
        <v>431</v>
      </c>
      <c r="E28" t="s">
        <v>210</v>
      </c>
      <c r="F28" t="s">
        <v>846</v>
      </c>
      <c r="G28" t="s">
        <v>847</v>
      </c>
      <c r="H28" t="s">
        <v>213</v>
      </c>
      <c r="I28" t="s">
        <v>753</v>
      </c>
      <c r="J28" t="s">
        <v>71</v>
      </c>
      <c r="K28" t="s">
        <v>71</v>
      </c>
      <c r="L28" t="s">
        <v>216</v>
      </c>
      <c r="M28" t="s">
        <v>117</v>
      </c>
      <c r="N28" t="s">
        <v>365</v>
      </c>
      <c r="O28" t="s">
        <v>72</v>
      </c>
      <c r="P28" t="s">
        <v>81</v>
      </c>
      <c r="Q28" s="44">
        <v>66405</v>
      </c>
      <c r="R28" s="42">
        <v>1</v>
      </c>
      <c r="S28" s="48">
        <v>4982</v>
      </c>
      <c r="U28" s="44">
        <v>3308.297</v>
      </c>
      <c r="V28" s="45">
        <v>4.1E-5</v>
      </c>
      <c r="W28" s="45">
        <v>5.4027192666273101E-2</v>
      </c>
      <c r="X28" s="45">
        <v>7.6408380688625403E-3</v>
      </c>
    </row>
    <row r="29" spans="1:24" x14ac:dyDescent="0.25">
      <c r="A29">
        <v>1182</v>
      </c>
      <c r="B29">
        <v>1182</v>
      </c>
      <c r="C29" t="s">
        <v>444</v>
      </c>
      <c r="D29" t="s">
        <v>445</v>
      </c>
      <c r="E29" t="s">
        <v>210</v>
      </c>
      <c r="F29" t="s">
        <v>848</v>
      </c>
      <c r="G29" t="s">
        <v>849</v>
      </c>
      <c r="H29" t="s">
        <v>213</v>
      </c>
      <c r="I29" t="s">
        <v>753</v>
      </c>
      <c r="J29" t="s">
        <v>71</v>
      </c>
      <c r="K29" t="s">
        <v>71</v>
      </c>
      <c r="L29" t="s">
        <v>216</v>
      </c>
      <c r="M29" t="s">
        <v>117</v>
      </c>
      <c r="N29" t="s">
        <v>258</v>
      </c>
      <c r="O29" t="s">
        <v>72</v>
      </c>
      <c r="P29" t="s">
        <v>81</v>
      </c>
      <c r="Q29" s="44">
        <v>87124</v>
      </c>
      <c r="R29" s="42">
        <v>1</v>
      </c>
      <c r="S29" s="48">
        <v>992.1</v>
      </c>
      <c r="T29" s="44">
        <v>8.2729999999999997</v>
      </c>
      <c r="U29" s="44">
        <v>872.63</v>
      </c>
      <c r="V29" s="45">
        <v>1.18E-4</v>
      </c>
      <c r="W29" s="45">
        <v>1.4250759108153601E-2</v>
      </c>
      <c r="X29" s="45">
        <v>2.0154247764893399E-3</v>
      </c>
    </row>
    <row r="30" spans="1:24" x14ac:dyDescent="0.25">
      <c r="A30">
        <v>1182</v>
      </c>
      <c r="B30">
        <v>1182</v>
      </c>
      <c r="C30" t="s">
        <v>458</v>
      </c>
      <c r="D30" t="s">
        <v>459</v>
      </c>
      <c r="E30" t="s">
        <v>210</v>
      </c>
      <c r="F30" t="s">
        <v>850</v>
      </c>
      <c r="G30" t="s">
        <v>851</v>
      </c>
      <c r="H30" t="s">
        <v>213</v>
      </c>
      <c r="I30" t="s">
        <v>753</v>
      </c>
      <c r="J30" t="s">
        <v>71</v>
      </c>
      <c r="K30" t="s">
        <v>71</v>
      </c>
      <c r="L30" t="s">
        <v>216</v>
      </c>
      <c r="M30" t="s">
        <v>117</v>
      </c>
      <c r="N30" t="s">
        <v>258</v>
      </c>
      <c r="O30" t="s">
        <v>72</v>
      </c>
      <c r="P30" t="s">
        <v>81</v>
      </c>
      <c r="Q30" s="44">
        <v>12893</v>
      </c>
      <c r="R30" s="42">
        <v>1</v>
      </c>
      <c r="S30" s="48">
        <v>1142</v>
      </c>
      <c r="U30" s="44">
        <v>147.238</v>
      </c>
      <c r="V30" s="45">
        <v>8.6000000000000003E-5</v>
      </c>
      <c r="W30" s="45">
        <v>2.4045177307165902E-3</v>
      </c>
      <c r="X30" s="45">
        <v>3.4006080470628402E-4</v>
      </c>
    </row>
    <row r="31" spans="1:24" x14ac:dyDescent="0.25">
      <c r="A31">
        <v>1182</v>
      </c>
      <c r="B31">
        <v>1182</v>
      </c>
      <c r="C31" t="s">
        <v>852</v>
      </c>
      <c r="D31" t="s">
        <v>853</v>
      </c>
      <c r="E31" t="s">
        <v>210</v>
      </c>
      <c r="F31" t="s">
        <v>854</v>
      </c>
      <c r="G31" t="s">
        <v>855</v>
      </c>
      <c r="H31" t="s">
        <v>213</v>
      </c>
      <c r="I31" t="s">
        <v>753</v>
      </c>
      <c r="J31" t="s">
        <v>71</v>
      </c>
      <c r="K31" t="s">
        <v>71</v>
      </c>
      <c r="L31" t="s">
        <v>216</v>
      </c>
      <c r="M31" t="s">
        <v>117</v>
      </c>
      <c r="N31" t="s">
        <v>856</v>
      </c>
      <c r="O31" t="s">
        <v>72</v>
      </c>
      <c r="P31" t="s">
        <v>81</v>
      </c>
      <c r="Q31" s="44">
        <v>930</v>
      </c>
      <c r="R31" s="42">
        <v>1</v>
      </c>
      <c r="S31" s="48">
        <v>22800</v>
      </c>
      <c r="U31" s="44">
        <v>212.04</v>
      </c>
      <c r="V31" s="45">
        <v>2.7E-4</v>
      </c>
      <c r="W31" s="45">
        <v>3.46278631775742E-3</v>
      </c>
      <c r="X31" s="45">
        <v>4.8972726909007403E-4</v>
      </c>
    </row>
    <row r="32" spans="1:24" x14ac:dyDescent="0.25">
      <c r="A32">
        <v>1182</v>
      </c>
      <c r="B32">
        <v>1182</v>
      </c>
      <c r="C32" t="s">
        <v>857</v>
      </c>
      <c r="D32" t="s">
        <v>858</v>
      </c>
      <c r="E32" t="s">
        <v>210</v>
      </c>
      <c r="F32" t="s">
        <v>859</v>
      </c>
      <c r="G32" t="s">
        <v>860</v>
      </c>
      <c r="H32" t="s">
        <v>213</v>
      </c>
      <c r="I32" t="s">
        <v>753</v>
      </c>
      <c r="J32" t="s">
        <v>71</v>
      </c>
      <c r="K32" t="s">
        <v>71</v>
      </c>
      <c r="L32" t="s">
        <v>216</v>
      </c>
      <c r="M32" t="s">
        <v>117</v>
      </c>
      <c r="N32" t="s">
        <v>365</v>
      </c>
      <c r="O32" t="s">
        <v>72</v>
      </c>
      <c r="P32" t="s">
        <v>81</v>
      </c>
      <c r="Q32" s="44">
        <v>802</v>
      </c>
      <c r="R32" s="42">
        <v>1</v>
      </c>
      <c r="S32" s="48">
        <v>16650</v>
      </c>
      <c r="U32" s="44">
        <v>133.53299999999999</v>
      </c>
      <c r="V32" s="45">
        <v>3.0000000000000001E-6</v>
      </c>
      <c r="W32" s="45">
        <v>2.1807029115690499E-3</v>
      </c>
      <c r="X32" s="45">
        <v>3.0840761848427098E-4</v>
      </c>
    </row>
    <row r="33" spans="1:24" x14ac:dyDescent="0.25">
      <c r="A33">
        <v>1182</v>
      </c>
      <c r="B33">
        <v>1182</v>
      </c>
      <c r="C33" t="s">
        <v>861</v>
      </c>
      <c r="D33" t="s">
        <v>862</v>
      </c>
      <c r="E33" t="s">
        <v>210</v>
      </c>
      <c r="F33" t="s">
        <v>863</v>
      </c>
      <c r="G33" t="s">
        <v>864</v>
      </c>
      <c r="H33" t="s">
        <v>213</v>
      </c>
      <c r="I33" t="s">
        <v>753</v>
      </c>
      <c r="J33" t="s">
        <v>71</v>
      </c>
      <c r="K33" t="s">
        <v>71</v>
      </c>
      <c r="L33" t="s">
        <v>216</v>
      </c>
      <c r="M33" t="s">
        <v>117</v>
      </c>
      <c r="N33" t="s">
        <v>825</v>
      </c>
      <c r="O33" t="s">
        <v>72</v>
      </c>
      <c r="P33" t="s">
        <v>81</v>
      </c>
      <c r="Q33" s="44">
        <v>3508</v>
      </c>
      <c r="R33" s="42">
        <v>1</v>
      </c>
      <c r="S33" s="48">
        <v>8638</v>
      </c>
      <c r="T33" s="44">
        <v>2.8769999999999998</v>
      </c>
      <c r="U33" s="44">
        <v>305.89800000000002</v>
      </c>
      <c r="V33" s="45">
        <v>5.5000000000000002E-5</v>
      </c>
      <c r="W33" s="45">
        <v>4.9955575547766E-3</v>
      </c>
      <c r="X33" s="45">
        <v>7.0650064265802596E-4</v>
      </c>
    </row>
    <row r="34" spans="1:24" x14ac:dyDescent="0.25">
      <c r="A34">
        <v>1182</v>
      </c>
      <c r="B34">
        <v>1182</v>
      </c>
      <c r="C34" t="s">
        <v>483</v>
      </c>
      <c r="D34" t="s">
        <v>484</v>
      </c>
      <c r="E34" t="s">
        <v>210</v>
      </c>
      <c r="F34" t="s">
        <v>865</v>
      </c>
      <c r="G34" t="s">
        <v>866</v>
      </c>
      <c r="H34" t="s">
        <v>213</v>
      </c>
      <c r="I34" t="s">
        <v>753</v>
      </c>
      <c r="J34" t="s">
        <v>71</v>
      </c>
      <c r="K34" t="s">
        <v>71</v>
      </c>
      <c r="L34" t="s">
        <v>216</v>
      </c>
      <c r="M34" t="s">
        <v>117</v>
      </c>
      <c r="N34" t="s">
        <v>258</v>
      </c>
      <c r="O34" t="s">
        <v>72</v>
      </c>
      <c r="P34" t="s">
        <v>81</v>
      </c>
      <c r="Q34" s="44">
        <v>2204.75</v>
      </c>
      <c r="R34" s="42">
        <v>1</v>
      </c>
      <c r="S34" s="48">
        <v>28940</v>
      </c>
      <c r="T34" s="44">
        <v>4.17</v>
      </c>
      <c r="U34" s="44">
        <v>642.22500000000002</v>
      </c>
      <c r="V34" s="45">
        <v>4.6E-5</v>
      </c>
      <c r="W34" s="45">
        <v>1.04880538516965E-2</v>
      </c>
      <c r="X34" s="45">
        <v>1.48328123641985E-3</v>
      </c>
    </row>
    <row r="35" spans="1:24" x14ac:dyDescent="0.25">
      <c r="A35">
        <v>1182</v>
      </c>
      <c r="B35">
        <v>1182</v>
      </c>
      <c r="C35" t="s">
        <v>867</v>
      </c>
      <c r="D35" t="s">
        <v>868</v>
      </c>
      <c r="E35" t="s">
        <v>210</v>
      </c>
      <c r="F35" t="s">
        <v>869</v>
      </c>
      <c r="G35" t="s">
        <v>870</v>
      </c>
      <c r="H35" t="s">
        <v>213</v>
      </c>
      <c r="I35" t="s">
        <v>753</v>
      </c>
      <c r="J35" t="s">
        <v>71</v>
      </c>
      <c r="K35" t="s">
        <v>71</v>
      </c>
      <c r="L35" t="s">
        <v>216</v>
      </c>
      <c r="M35" t="s">
        <v>117</v>
      </c>
      <c r="N35" t="s">
        <v>252</v>
      </c>
      <c r="O35" t="s">
        <v>72</v>
      </c>
      <c r="P35" t="s">
        <v>81</v>
      </c>
      <c r="Q35" s="44">
        <v>6360</v>
      </c>
      <c r="R35" s="42">
        <v>1</v>
      </c>
      <c r="S35" s="48">
        <v>18600</v>
      </c>
      <c r="T35" s="44">
        <v>15.301</v>
      </c>
      <c r="U35" s="44">
        <v>1198.261</v>
      </c>
      <c r="V35" s="45">
        <v>1.01E-4</v>
      </c>
      <c r="W35" s="45">
        <v>1.9568585826361999E-2</v>
      </c>
      <c r="X35" s="45">
        <v>2.7675025881774202E-3</v>
      </c>
    </row>
    <row r="36" spans="1:24" x14ac:dyDescent="0.25">
      <c r="A36">
        <v>1182</v>
      </c>
      <c r="B36">
        <v>1182</v>
      </c>
      <c r="C36" t="s">
        <v>494</v>
      </c>
      <c r="D36" t="s">
        <v>495</v>
      </c>
      <c r="E36" t="s">
        <v>210</v>
      </c>
      <c r="F36" t="s">
        <v>871</v>
      </c>
      <c r="G36" t="s">
        <v>872</v>
      </c>
      <c r="H36" t="s">
        <v>213</v>
      </c>
      <c r="I36" t="s">
        <v>753</v>
      </c>
      <c r="J36" t="s">
        <v>71</v>
      </c>
      <c r="K36" t="s">
        <v>71</v>
      </c>
      <c r="L36" t="s">
        <v>216</v>
      </c>
      <c r="M36" t="s">
        <v>117</v>
      </c>
      <c r="N36" t="s">
        <v>498</v>
      </c>
      <c r="O36" t="s">
        <v>72</v>
      </c>
      <c r="P36" t="s">
        <v>81</v>
      </c>
      <c r="Q36" s="44">
        <v>39770</v>
      </c>
      <c r="R36" s="42">
        <v>1</v>
      </c>
      <c r="S36" s="48">
        <v>1700</v>
      </c>
      <c r="U36" s="44">
        <v>676.09</v>
      </c>
      <c r="V36" s="45">
        <v>6.5799999999999995E-4</v>
      </c>
      <c r="W36" s="45">
        <v>1.10411016863451E-2</v>
      </c>
      <c r="X36" s="45">
        <v>1.56149645990902E-3</v>
      </c>
    </row>
    <row r="37" spans="1:24" x14ac:dyDescent="0.25">
      <c r="A37">
        <v>1182</v>
      </c>
      <c r="B37">
        <v>1182</v>
      </c>
      <c r="C37" t="s">
        <v>873</v>
      </c>
      <c r="D37" t="s">
        <v>874</v>
      </c>
      <c r="E37" t="s">
        <v>210</v>
      </c>
      <c r="F37" t="s">
        <v>875</v>
      </c>
      <c r="G37" t="s">
        <v>876</v>
      </c>
      <c r="H37" t="s">
        <v>213</v>
      </c>
      <c r="I37" t="s">
        <v>753</v>
      </c>
      <c r="J37" t="s">
        <v>71</v>
      </c>
      <c r="K37" t="s">
        <v>71</v>
      </c>
      <c r="L37" t="s">
        <v>216</v>
      </c>
      <c r="M37" t="s">
        <v>117</v>
      </c>
      <c r="N37" t="s">
        <v>837</v>
      </c>
      <c r="O37" t="s">
        <v>72</v>
      </c>
      <c r="P37" t="s">
        <v>81</v>
      </c>
      <c r="Q37" s="44">
        <v>15822</v>
      </c>
      <c r="R37" s="42">
        <v>1</v>
      </c>
      <c r="S37" s="48">
        <v>1340</v>
      </c>
      <c r="U37" s="44">
        <v>212.01499999999999</v>
      </c>
      <c r="V37" s="45">
        <v>1.11E-4</v>
      </c>
      <c r="W37" s="45">
        <v>3.4623747811831501E-3</v>
      </c>
      <c r="X37" s="45">
        <v>4.8966906720749996E-4</v>
      </c>
    </row>
    <row r="38" spans="1:24" x14ac:dyDescent="0.25">
      <c r="A38">
        <v>1182</v>
      </c>
      <c r="B38">
        <v>1182</v>
      </c>
      <c r="C38" t="s">
        <v>877</v>
      </c>
      <c r="D38" t="s">
        <v>878</v>
      </c>
      <c r="E38" t="s">
        <v>420</v>
      </c>
      <c r="F38" t="s">
        <v>879</v>
      </c>
      <c r="G38" t="s">
        <v>880</v>
      </c>
      <c r="H38" t="s">
        <v>213</v>
      </c>
      <c r="I38" t="s">
        <v>753</v>
      </c>
      <c r="J38" t="s">
        <v>71</v>
      </c>
      <c r="K38" t="s">
        <v>71</v>
      </c>
      <c r="L38" t="s">
        <v>216</v>
      </c>
      <c r="M38" t="s">
        <v>117</v>
      </c>
      <c r="N38" t="s">
        <v>423</v>
      </c>
      <c r="O38" t="s">
        <v>72</v>
      </c>
      <c r="P38" t="s">
        <v>81</v>
      </c>
      <c r="Q38" s="44">
        <v>39086.21</v>
      </c>
      <c r="R38" s="42">
        <v>1</v>
      </c>
      <c r="S38" s="48">
        <v>1249</v>
      </c>
      <c r="T38" s="44">
        <v>7.4029999999999996</v>
      </c>
      <c r="U38" s="44">
        <v>495.59</v>
      </c>
      <c r="V38" s="45">
        <v>3.3000000000000003E-5</v>
      </c>
      <c r="W38" s="45">
        <v>8.0933841405765698E-3</v>
      </c>
      <c r="X38" s="45">
        <v>1.1446131956038099E-3</v>
      </c>
    </row>
    <row r="39" spans="1:24" x14ac:dyDescent="0.25">
      <c r="A39">
        <v>1182</v>
      </c>
      <c r="B39">
        <v>1182</v>
      </c>
      <c r="C39" t="s">
        <v>881</v>
      </c>
      <c r="D39" t="s">
        <v>882</v>
      </c>
      <c r="E39" t="s">
        <v>210</v>
      </c>
      <c r="F39" t="s">
        <v>883</v>
      </c>
      <c r="G39" t="s">
        <v>884</v>
      </c>
      <c r="H39" t="s">
        <v>213</v>
      </c>
      <c r="I39" t="s">
        <v>753</v>
      </c>
      <c r="J39" t="s">
        <v>71</v>
      </c>
      <c r="K39" t="s">
        <v>291</v>
      </c>
      <c r="L39" t="s">
        <v>216</v>
      </c>
      <c r="M39" t="s">
        <v>117</v>
      </c>
      <c r="N39" t="s">
        <v>526</v>
      </c>
      <c r="O39" t="s">
        <v>72</v>
      </c>
      <c r="P39" t="s">
        <v>81</v>
      </c>
      <c r="Q39" s="44">
        <v>2279</v>
      </c>
      <c r="R39" s="42">
        <v>1</v>
      </c>
      <c r="S39" s="48">
        <v>56600</v>
      </c>
      <c r="U39" s="44">
        <v>1289.914</v>
      </c>
      <c r="V39" s="45">
        <v>3.0000000000000001E-5</v>
      </c>
      <c r="W39" s="45">
        <v>2.106534875629E-2</v>
      </c>
      <c r="X39" s="45">
        <v>2.97918345869201E-3</v>
      </c>
    </row>
    <row r="40" spans="1:24" x14ac:dyDescent="0.25">
      <c r="A40">
        <v>1182</v>
      </c>
      <c r="B40">
        <v>1182</v>
      </c>
      <c r="C40" t="s">
        <v>885</v>
      </c>
      <c r="D40" t="s">
        <v>886</v>
      </c>
      <c r="E40" t="s">
        <v>210</v>
      </c>
      <c r="F40" t="s">
        <v>885</v>
      </c>
      <c r="G40" t="s">
        <v>887</v>
      </c>
      <c r="H40" t="s">
        <v>213</v>
      </c>
      <c r="I40" t="s">
        <v>753</v>
      </c>
      <c r="J40" t="s">
        <v>71</v>
      </c>
      <c r="K40" t="s">
        <v>71</v>
      </c>
      <c r="L40" t="s">
        <v>216</v>
      </c>
      <c r="M40" t="s">
        <v>117</v>
      </c>
      <c r="N40" t="s">
        <v>888</v>
      </c>
      <c r="O40" t="s">
        <v>72</v>
      </c>
      <c r="P40" t="s">
        <v>81</v>
      </c>
      <c r="Q40" s="44">
        <v>4473</v>
      </c>
      <c r="R40" s="42">
        <v>1</v>
      </c>
      <c r="S40" s="48">
        <v>8478</v>
      </c>
      <c r="U40" s="44">
        <v>379.221</v>
      </c>
      <c r="V40" s="45">
        <v>5.5999999999999999E-5</v>
      </c>
      <c r="W40" s="45">
        <v>6.1929875610220097E-3</v>
      </c>
      <c r="X40" s="45">
        <v>8.7584811982631102E-4</v>
      </c>
    </row>
    <row r="41" spans="1:24" x14ac:dyDescent="0.25">
      <c r="A41">
        <v>1182</v>
      </c>
      <c r="B41">
        <v>1182</v>
      </c>
      <c r="C41" t="s">
        <v>551</v>
      </c>
      <c r="D41" t="s">
        <v>552</v>
      </c>
      <c r="E41" t="s">
        <v>210</v>
      </c>
      <c r="F41" t="s">
        <v>889</v>
      </c>
      <c r="G41" t="s">
        <v>890</v>
      </c>
      <c r="H41" t="s">
        <v>213</v>
      </c>
      <c r="I41" t="s">
        <v>753</v>
      </c>
      <c r="J41" t="s">
        <v>71</v>
      </c>
      <c r="K41" t="s">
        <v>71</v>
      </c>
      <c r="L41" t="s">
        <v>216</v>
      </c>
      <c r="M41" t="s">
        <v>117</v>
      </c>
      <c r="N41" t="s">
        <v>329</v>
      </c>
      <c r="O41" t="s">
        <v>72</v>
      </c>
      <c r="P41" t="s">
        <v>81</v>
      </c>
      <c r="Q41" s="44">
        <v>17338</v>
      </c>
      <c r="R41" s="42">
        <v>1</v>
      </c>
      <c r="S41" s="48">
        <v>2256</v>
      </c>
      <c r="U41" s="44">
        <v>391.14499999999998</v>
      </c>
      <c r="V41" s="45">
        <v>1.0399999999999999E-4</v>
      </c>
      <c r="W41" s="45">
        <v>6.3877217687200198E-3</v>
      </c>
      <c r="X41" s="45">
        <v>9.0338855778094901E-4</v>
      </c>
    </row>
    <row r="42" spans="1:24" x14ac:dyDescent="0.25">
      <c r="A42">
        <v>1182</v>
      </c>
      <c r="B42">
        <v>1182</v>
      </c>
      <c r="C42" t="s">
        <v>556</v>
      </c>
      <c r="D42" t="s">
        <v>557</v>
      </c>
      <c r="E42" t="s">
        <v>210</v>
      </c>
      <c r="F42" t="s">
        <v>891</v>
      </c>
      <c r="G42" t="s">
        <v>892</v>
      </c>
      <c r="H42" t="s">
        <v>213</v>
      </c>
      <c r="I42" t="s">
        <v>753</v>
      </c>
      <c r="J42" t="s">
        <v>71</v>
      </c>
      <c r="K42" t="s">
        <v>71</v>
      </c>
      <c r="L42" t="s">
        <v>216</v>
      </c>
      <c r="M42" t="s">
        <v>117</v>
      </c>
      <c r="N42" t="s">
        <v>258</v>
      </c>
      <c r="O42" t="s">
        <v>72</v>
      </c>
      <c r="P42" t="s">
        <v>81</v>
      </c>
      <c r="Q42" s="44">
        <v>684</v>
      </c>
      <c r="R42" s="42">
        <v>1</v>
      </c>
      <c r="S42" s="48">
        <v>24920</v>
      </c>
      <c r="U42" s="44">
        <v>170.453</v>
      </c>
      <c r="V42" s="45">
        <v>6.0000000000000002E-6</v>
      </c>
      <c r="W42" s="45">
        <v>2.78363338833919E-3</v>
      </c>
      <c r="X42" s="45">
        <v>3.9367753373305303E-4</v>
      </c>
    </row>
    <row r="43" spans="1:24" x14ac:dyDescent="0.25">
      <c r="A43">
        <v>1182</v>
      </c>
      <c r="B43">
        <v>1182</v>
      </c>
      <c r="C43" t="s">
        <v>88</v>
      </c>
      <c r="D43" t="s">
        <v>571</v>
      </c>
      <c r="E43" t="s">
        <v>210</v>
      </c>
      <c r="F43" t="s">
        <v>893</v>
      </c>
      <c r="G43" t="s">
        <v>894</v>
      </c>
      <c r="H43" t="s">
        <v>213</v>
      </c>
      <c r="I43" t="s">
        <v>753</v>
      </c>
      <c r="J43" t="s">
        <v>71</v>
      </c>
      <c r="K43" t="s">
        <v>71</v>
      </c>
      <c r="L43" t="s">
        <v>216</v>
      </c>
      <c r="M43" t="s">
        <v>117</v>
      </c>
      <c r="N43" t="s">
        <v>365</v>
      </c>
      <c r="O43" t="s">
        <v>72</v>
      </c>
      <c r="P43" t="s">
        <v>81</v>
      </c>
      <c r="Q43" s="44">
        <v>57490</v>
      </c>
      <c r="R43" s="42">
        <v>1</v>
      </c>
      <c r="S43" s="48">
        <v>5008</v>
      </c>
      <c r="U43" s="44">
        <v>2879.0990000000002</v>
      </c>
      <c r="V43" s="45">
        <v>4.3000000000000002E-5</v>
      </c>
      <c r="W43" s="45">
        <v>4.7018040545304299E-2</v>
      </c>
      <c r="X43" s="45">
        <v>6.6495632364432103E-3</v>
      </c>
    </row>
    <row r="44" spans="1:24" x14ac:dyDescent="0.25">
      <c r="A44">
        <v>1182</v>
      </c>
      <c r="B44">
        <v>1182</v>
      </c>
      <c r="C44" t="s">
        <v>895</v>
      </c>
      <c r="D44" t="s">
        <v>896</v>
      </c>
      <c r="E44" t="s">
        <v>210</v>
      </c>
      <c r="F44" t="s">
        <v>897</v>
      </c>
      <c r="G44" t="s">
        <v>898</v>
      </c>
      <c r="H44" t="s">
        <v>213</v>
      </c>
      <c r="I44" t="s">
        <v>753</v>
      </c>
      <c r="J44" t="s">
        <v>71</v>
      </c>
      <c r="K44" t="s">
        <v>71</v>
      </c>
      <c r="L44" t="s">
        <v>216</v>
      </c>
      <c r="M44" t="s">
        <v>117</v>
      </c>
      <c r="N44" t="s">
        <v>899</v>
      </c>
      <c r="O44" t="s">
        <v>72</v>
      </c>
      <c r="P44" t="s">
        <v>81</v>
      </c>
      <c r="Q44" s="44">
        <v>5600</v>
      </c>
      <c r="R44" s="42">
        <v>1</v>
      </c>
      <c r="S44" s="48">
        <v>329.7</v>
      </c>
      <c r="U44" s="44">
        <v>18.463000000000001</v>
      </c>
      <c r="V44" s="45">
        <v>1.11E-4</v>
      </c>
      <c r="W44" s="45">
        <v>3.0151913007931899E-4</v>
      </c>
      <c r="X44" s="45">
        <v>4.2642579299489999E-5</v>
      </c>
    </row>
    <row r="45" spans="1:24" x14ac:dyDescent="0.25">
      <c r="A45">
        <v>1182</v>
      </c>
      <c r="B45">
        <v>1182</v>
      </c>
      <c r="C45" t="s">
        <v>670</v>
      </c>
      <c r="D45" t="s">
        <v>671</v>
      </c>
      <c r="E45" t="s">
        <v>210</v>
      </c>
      <c r="F45" t="s">
        <v>900</v>
      </c>
      <c r="G45" t="s">
        <v>901</v>
      </c>
      <c r="H45" t="s">
        <v>213</v>
      </c>
      <c r="I45" t="s">
        <v>753</v>
      </c>
      <c r="J45" t="s">
        <v>71</v>
      </c>
      <c r="K45" t="s">
        <v>71</v>
      </c>
      <c r="L45" t="s">
        <v>216</v>
      </c>
      <c r="M45" t="s">
        <v>117</v>
      </c>
      <c r="N45" t="s">
        <v>329</v>
      </c>
      <c r="O45" t="s">
        <v>72</v>
      </c>
      <c r="P45" t="s">
        <v>81</v>
      </c>
      <c r="Q45" s="44">
        <v>34260</v>
      </c>
      <c r="R45" s="42">
        <v>1</v>
      </c>
      <c r="S45" s="48">
        <v>2530</v>
      </c>
      <c r="U45" s="44">
        <v>866.77800000000002</v>
      </c>
      <c r="V45" s="45">
        <v>1.7899999999999999E-4</v>
      </c>
      <c r="W45" s="45">
        <v>1.41551924114938E-2</v>
      </c>
      <c r="X45" s="45">
        <v>2.0019091815098901E-3</v>
      </c>
    </row>
    <row r="46" spans="1:24" x14ac:dyDescent="0.25">
      <c r="A46">
        <v>1182</v>
      </c>
      <c r="B46">
        <v>1182</v>
      </c>
      <c r="C46" t="s">
        <v>902</v>
      </c>
      <c r="D46" t="s">
        <v>903</v>
      </c>
      <c r="E46" t="s">
        <v>210</v>
      </c>
      <c r="F46" t="s">
        <v>904</v>
      </c>
      <c r="G46" t="s">
        <v>905</v>
      </c>
      <c r="H46" t="s">
        <v>213</v>
      </c>
      <c r="I46" t="s">
        <v>753</v>
      </c>
      <c r="J46" t="s">
        <v>71</v>
      </c>
      <c r="K46" t="s">
        <v>71</v>
      </c>
      <c r="L46" t="s">
        <v>216</v>
      </c>
      <c r="M46" t="s">
        <v>117</v>
      </c>
      <c r="N46" t="s">
        <v>906</v>
      </c>
      <c r="O46" t="s">
        <v>72</v>
      </c>
      <c r="P46" t="s">
        <v>81</v>
      </c>
      <c r="Q46" s="44">
        <v>646</v>
      </c>
      <c r="R46" s="42">
        <v>1</v>
      </c>
      <c r="S46" s="48">
        <v>48410</v>
      </c>
      <c r="U46" s="44">
        <v>312.72899999999998</v>
      </c>
      <c r="V46" s="45">
        <v>3.8999999999999999E-5</v>
      </c>
      <c r="W46" s="45">
        <v>5.1071133618724399E-3</v>
      </c>
      <c r="X46" s="45">
        <v>7.2227751011300805E-4</v>
      </c>
    </row>
    <row r="47" spans="1:24" x14ac:dyDescent="0.25">
      <c r="A47">
        <v>1182</v>
      </c>
      <c r="B47">
        <v>1182</v>
      </c>
      <c r="C47" t="s">
        <v>907</v>
      </c>
      <c r="D47" t="s">
        <v>908</v>
      </c>
      <c r="E47" t="s">
        <v>210</v>
      </c>
      <c r="F47" t="s">
        <v>909</v>
      </c>
      <c r="G47" t="s">
        <v>910</v>
      </c>
      <c r="H47" t="s">
        <v>213</v>
      </c>
      <c r="I47" t="s">
        <v>753</v>
      </c>
      <c r="J47" t="s">
        <v>71</v>
      </c>
      <c r="K47" t="s">
        <v>71</v>
      </c>
      <c r="L47" t="s">
        <v>216</v>
      </c>
      <c r="M47" t="s">
        <v>117</v>
      </c>
      <c r="N47" t="s">
        <v>764</v>
      </c>
      <c r="O47" t="s">
        <v>72</v>
      </c>
      <c r="P47" t="s">
        <v>81</v>
      </c>
      <c r="Q47" s="44">
        <v>87168</v>
      </c>
      <c r="R47" s="42">
        <v>1</v>
      </c>
      <c r="S47" s="48">
        <v>682.4</v>
      </c>
      <c r="T47" s="44">
        <v>15.13</v>
      </c>
      <c r="U47" s="44">
        <v>609.96500000000003</v>
      </c>
      <c r="V47" s="45">
        <v>3.0299999999999999E-4</v>
      </c>
      <c r="W47" s="45">
        <v>9.9612194597168396E-3</v>
      </c>
      <c r="X47" s="45">
        <v>1.408773269606E-3</v>
      </c>
    </row>
    <row r="48" spans="1:24" x14ac:dyDescent="0.25">
      <c r="A48">
        <v>1182</v>
      </c>
      <c r="B48">
        <v>1182</v>
      </c>
      <c r="C48" t="s">
        <v>911</v>
      </c>
      <c r="D48" t="s">
        <v>912</v>
      </c>
      <c r="E48" t="s">
        <v>210</v>
      </c>
      <c r="F48" t="s">
        <v>913</v>
      </c>
      <c r="G48" t="s">
        <v>914</v>
      </c>
      <c r="H48" t="s">
        <v>213</v>
      </c>
      <c r="I48" t="s">
        <v>753</v>
      </c>
      <c r="J48" t="s">
        <v>71</v>
      </c>
      <c r="K48" t="s">
        <v>215</v>
      </c>
      <c r="L48" t="s">
        <v>216</v>
      </c>
      <c r="M48" t="s">
        <v>117</v>
      </c>
      <c r="N48" t="s">
        <v>830</v>
      </c>
      <c r="O48" t="s">
        <v>72</v>
      </c>
      <c r="P48" t="s">
        <v>81</v>
      </c>
      <c r="Q48" s="44">
        <v>1788</v>
      </c>
      <c r="R48" s="42">
        <v>1</v>
      </c>
      <c r="S48" s="48">
        <v>21310</v>
      </c>
      <c r="U48" s="44">
        <v>381.02300000000002</v>
      </c>
      <c r="V48" s="45">
        <v>3.8000000000000002E-5</v>
      </c>
      <c r="W48" s="45">
        <v>6.2224134059310496E-3</v>
      </c>
      <c r="X48" s="45">
        <v>8.8000969300628903E-4</v>
      </c>
    </row>
    <row r="49" spans="1:24" x14ac:dyDescent="0.25">
      <c r="A49">
        <v>1182</v>
      </c>
      <c r="B49">
        <v>1182</v>
      </c>
      <c r="C49" t="s">
        <v>915</v>
      </c>
      <c r="D49" t="s">
        <v>916</v>
      </c>
      <c r="E49" t="s">
        <v>210</v>
      </c>
      <c r="F49" t="s">
        <v>917</v>
      </c>
      <c r="G49" t="s">
        <v>918</v>
      </c>
      <c r="H49" t="s">
        <v>213</v>
      </c>
      <c r="I49" t="s">
        <v>753</v>
      </c>
      <c r="J49" t="s">
        <v>71</v>
      </c>
      <c r="K49" t="s">
        <v>71</v>
      </c>
      <c r="L49" t="s">
        <v>216</v>
      </c>
      <c r="M49" t="s">
        <v>117</v>
      </c>
      <c r="N49" t="s">
        <v>258</v>
      </c>
      <c r="O49" t="s">
        <v>72</v>
      </c>
      <c r="P49" t="s">
        <v>81</v>
      </c>
      <c r="Q49" s="44">
        <v>23731</v>
      </c>
      <c r="R49" s="42">
        <v>1</v>
      </c>
      <c r="S49" s="48">
        <v>382</v>
      </c>
      <c r="U49" s="44">
        <v>90.652000000000001</v>
      </c>
      <c r="V49" s="45">
        <v>2.2100000000000001E-4</v>
      </c>
      <c r="W49" s="45">
        <v>1.48042803078475E-3</v>
      </c>
      <c r="X49" s="45">
        <v>2.0937069460010601E-4</v>
      </c>
    </row>
    <row r="50" spans="1:24" x14ac:dyDescent="0.25">
      <c r="A50">
        <v>1182</v>
      </c>
      <c r="B50">
        <v>1182</v>
      </c>
      <c r="C50" t="s">
        <v>919</v>
      </c>
      <c r="D50" t="s">
        <v>920</v>
      </c>
      <c r="E50" t="s">
        <v>210</v>
      </c>
      <c r="F50" t="s">
        <v>921</v>
      </c>
      <c r="G50" t="s">
        <v>922</v>
      </c>
      <c r="H50" t="s">
        <v>213</v>
      </c>
      <c r="I50" t="s">
        <v>753</v>
      </c>
      <c r="J50" t="s">
        <v>71</v>
      </c>
      <c r="K50" t="s">
        <v>71</v>
      </c>
      <c r="L50" t="s">
        <v>216</v>
      </c>
      <c r="M50" t="s">
        <v>117</v>
      </c>
      <c r="N50" t="s">
        <v>856</v>
      </c>
      <c r="O50" t="s">
        <v>72</v>
      </c>
      <c r="P50" t="s">
        <v>81</v>
      </c>
      <c r="Q50" s="44">
        <v>10024</v>
      </c>
      <c r="R50" s="42">
        <v>1</v>
      </c>
      <c r="S50" s="48">
        <v>7800</v>
      </c>
      <c r="U50" s="44">
        <v>781.87199999999996</v>
      </c>
      <c r="V50" s="45">
        <v>8.5000000000000006E-5</v>
      </c>
      <c r="W50" s="45">
        <v>1.27686081109113E-2</v>
      </c>
      <c r="X50" s="45">
        <v>1.80581041000752E-3</v>
      </c>
    </row>
    <row r="51" spans="1:24" x14ac:dyDescent="0.25">
      <c r="A51">
        <v>1182</v>
      </c>
      <c r="B51">
        <v>1182</v>
      </c>
      <c r="C51" t="s">
        <v>923</v>
      </c>
      <c r="D51" t="s">
        <v>924</v>
      </c>
      <c r="E51" t="s">
        <v>210</v>
      </c>
      <c r="F51" t="s">
        <v>925</v>
      </c>
      <c r="G51" t="s">
        <v>926</v>
      </c>
      <c r="H51" t="s">
        <v>213</v>
      </c>
      <c r="I51" t="s">
        <v>753</v>
      </c>
      <c r="J51" t="s">
        <v>71</v>
      </c>
      <c r="K51" t="s">
        <v>71</v>
      </c>
      <c r="L51" t="s">
        <v>216</v>
      </c>
      <c r="M51" t="s">
        <v>117</v>
      </c>
      <c r="N51" t="s">
        <v>764</v>
      </c>
      <c r="O51" t="s">
        <v>72</v>
      </c>
      <c r="P51" t="s">
        <v>81</v>
      </c>
      <c r="Q51" s="44">
        <v>23723</v>
      </c>
      <c r="R51" s="42">
        <v>1</v>
      </c>
      <c r="S51" s="48">
        <v>2245</v>
      </c>
      <c r="T51" s="44">
        <v>5.31</v>
      </c>
      <c r="U51" s="44">
        <v>537.89099999999996</v>
      </c>
      <c r="V51" s="45">
        <v>6.6000000000000005E-5</v>
      </c>
      <c r="W51" s="45">
        <v>8.7841977154974795E-3</v>
      </c>
      <c r="X51" s="45">
        <v>1.24231204689056E-3</v>
      </c>
    </row>
    <row r="52" spans="1:24" x14ac:dyDescent="0.25">
      <c r="A52">
        <v>1182</v>
      </c>
      <c r="B52">
        <v>1182</v>
      </c>
      <c r="C52" t="s">
        <v>927</v>
      </c>
      <c r="D52" t="s">
        <v>928</v>
      </c>
      <c r="E52" t="s">
        <v>210</v>
      </c>
      <c r="F52" t="s">
        <v>929</v>
      </c>
      <c r="G52" t="s">
        <v>930</v>
      </c>
      <c r="H52" t="s">
        <v>213</v>
      </c>
      <c r="I52" t="s">
        <v>753</v>
      </c>
      <c r="J52" t="s">
        <v>71</v>
      </c>
      <c r="K52" t="s">
        <v>215</v>
      </c>
      <c r="L52" t="s">
        <v>216</v>
      </c>
      <c r="M52" t="s">
        <v>117</v>
      </c>
      <c r="N52" t="s">
        <v>931</v>
      </c>
      <c r="O52" t="s">
        <v>72</v>
      </c>
      <c r="P52" t="s">
        <v>81</v>
      </c>
      <c r="Q52" s="44">
        <v>4375</v>
      </c>
      <c r="R52" s="42">
        <v>1</v>
      </c>
      <c r="S52" s="48">
        <v>10080</v>
      </c>
      <c r="U52" s="44">
        <v>441</v>
      </c>
      <c r="V52" s="45">
        <v>3.8999999999999999E-4</v>
      </c>
      <c r="W52" s="45">
        <v>7.2018900496652596E-3</v>
      </c>
      <c r="X52" s="45">
        <v>1.0185329450515101E-3</v>
      </c>
    </row>
    <row r="53" spans="1:24" x14ac:dyDescent="0.25">
      <c r="A53">
        <v>1182</v>
      </c>
      <c r="B53">
        <v>1182</v>
      </c>
      <c r="C53" t="s">
        <v>932</v>
      </c>
      <c r="D53" t="s">
        <v>933</v>
      </c>
      <c r="E53" t="s">
        <v>613</v>
      </c>
      <c r="F53" t="s">
        <v>934</v>
      </c>
      <c r="G53" t="s">
        <v>935</v>
      </c>
      <c r="H53" t="s">
        <v>213</v>
      </c>
      <c r="I53" t="s">
        <v>753</v>
      </c>
      <c r="J53" t="s">
        <v>85</v>
      </c>
      <c r="K53" t="s">
        <v>291</v>
      </c>
      <c r="L53" t="s">
        <v>216</v>
      </c>
      <c r="M53" t="s">
        <v>936</v>
      </c>
      <c r="N53" t="s">
        <v>937</v>
      </c>
      <c r="O53" t="s">
        <v>72</v>
      </c>
      <c r="P53" t="s">
        <v>75</v>
      </c>
      <c r="Q53" s="44">
        <v>1717</v>
      </c>
      <c r="R53" s="42">
        <v>3.718</v>
      </c>
      <c r="S53" s="48">
        <v>10274</v>
      </c>
      <c r="U53" s="44">
        <v>655.87199999999996</v>
      </c>
      <c r="V53" s="45">
        <v>9.9999999999999995E-7</v>
      </c>
      <c r="W53" s="45">
        <v>1.07109289701901E-2</v>
      </c>
      <c r="X53" s="45">
        <v>1.51480152474034E-3</v>
      </c>
    </row>
    <row r="54" spans="1:24" x14ac:dyDescent="0.25">
      <c r="A54">
        <v>1182</v>
      </c>
      <c r="B54">
        <v>1182</v>
      </c>
      <c r="C54" t="s">
        <v>938</v>
      </c>
      <c r="D54" t="s">
        <v>939</v>
      </c>
      <c r="E54" t="s">
        <v>613</v>
      </c>
      <c r="F54" t="s">
        <v>940</v>
      </c>
      <c r="G54" t="s">
        <v>941</v>
      </c>
      <c r="H54" t="s">
        <v>213</v>
      </c>
      <c r="I54" t="s">
        <v>753</v>
      </c>
      <c r="J54" t="s">
        <v>85</v>
      </c>
      <c r="L54" t="s">
        <v>216</v>
      </c>
      <c r="M54" t="s">
        <v>286</v>
      </c>
      <c r="N54" t="s">
        <v>942</v>
      </c>
      <c r="O54" t="s">
        <v>72</v>
      </c>
      <c r="P54" t="s">
        <v>75</v>
      </c>
      <c r="Q54" s="44">
        <v>1444</v>
      </c>
      <c r="R54" s="42">
        <v>3.718</v>
      </c>
      <c r="S54" s="48">
        <v>11946</v>
      </c>
      <c r="U54" s="44">
        <v>641.35599999999999</v>
      </c>
      <c r="V54" s="45">
        <v>3.9999999999999998E-6</v>
      </c>
      <c r="W54" s="45">
        <v>1.0473865349645299E-2</v>
      </c>
      <c r="X54" s="45">
        <v>1.4812746163964401E-3</v>
      </c>
    </row>
    <row r="55" spans="1:24" x14ac:dyDescent="0.25">
      <c r="A55">
        <v>1182</v>
      </c>
      <c r="B55">
        <v>1182</v>
      </c>
      <c r="C55" t="s">
        <v>943</v>
      </c>
      <c r="D55" t="s">
        <v>944</v>
      </c>
      <c r="E55" t="s">
        <v>613</v>
      </c>
      <c r="F55" t="s">
        <v>945</v>
      </c>
      <c r="G55" t="s">
        <v>946</v>
      </c>
      <c r="H55" t="s">
        <v>213</v>
      </c>
      <c r="I55" t="s">
        <v>753</v>
      </c>
      <c r="J55" t="s">
        <v>85</v>
      </c>
      <c r="K55" t="s">
        <v>291</v>
      </c>
      <c r="L55" t="s">
        <v>216</v>
      </c>
      <c r="M55" t="s">
        <v>936</v>
      </c>
      <c r="N55" t="s">
        <v>947</v>
      </c>
      <c r="O55" t="s">
        <v>72</v>
      </c>
      <c r="P55" t="s">
        <v>75</v>
      </c>
      <c r="Q55" s="44">
        <v>1977</v>
      </c>
      <c r="R55" s="42">
        <v>3.718</v>
      </c>
      <c r="S55" s="48">
        <v>19026</v>
      </c>
      <c r="U55" s="44">
        <v>1398.5029999999999</v>
      </c>
      <c r="V55" s="45">
        <v>0</v>
      </c>
      <c r="W55" s="45">
        <v>2.2838703398640501E-2</v>
      </c>
      <c r="X55" s="45">
        <v>3.2299815289260798E-3</v>
      </c>
    </row>
    <row r="56" spans="1:24" x14ac:dyDescent="0.25">
      <c r="A56">
        <v>1182</v>
      </c>
      <c r="B56">
        <v>1182</v>
      </c>
      <c r="C56" t="s">
        <v>948</v>
      </c>
      <c r="D56" t="s">
        <v>949</v>
      </c>
      <c r="E56" t="s">
        <v>613</v>
      </c>
      <c r="F56" t="s">
        <v>950</v>
      </c>
      <c r="G56" t="s">
        <v>951</v>
      </c>
      <c r="H56" t="s">
        <v>213</v>
      </c>
      <c r="I56" t="s">
        <v>753</v>
      </c>
      <c r="J56" t="s">
        <v>85</v>
      </c>
      <c r="K56" t="s">
        <v>291</v>
      </c>
      <c r="L56" t="s">
        <v>216</v>
      </c>
      <c r="M56" t="s">
        <v>286</v>
      </c>
      <c r="N56" t="s">
        <v>952</v>
      </c>
      <c r="O56" t="s">
        <v>72</v>
      </c>
      <c r="P56" t="s">
        <v>75</v>
      </c>
      <c r="Q56" s="44">
        <v>1198</v>
      </c>
      <c r="R56" s="42">
        <v>3.718</v>
      </c>
      <c r="S56" s="48">
        <v>14512</v>
      </c>
      <c r="U56" s="44">
        <v>646.38800000000003</v>
      </c>
      <c r="V56" s="45">
        <v>9.9999999999999995E-7</v>
      </c>
      <c r="W56" s="45">
        <v>1.05560483438722E-2</v>
      </c>
      <c r="X56" s="45">
        <v>1.4928974107692799E-3</v>
      </c>
    </row>
    <row r="57" spans="1:24" x14ac:dyDescent="0.25">
      <c r="A57">
        <v>1182</v>
      </c>
      <c r="B57">
        <v>1182</v>
      </c>
      <c r="C57" t="s">
        <v>953</v>
      </c>
      <c r="D57" t="s">
        <v>954</v>
      </c>
      <c r="E57" t="s">
        <v>613</v>
      </c>
      <c r="F57" t="s">
        <v>955</v>
      </c>
      <c r="G57" t="s">
        <v>956</v>
      </c>
      <c r="H57" t="s">
        <v>213</v>
      </c>
      <c r="I57" t="s">
        <v>753</v>
      </c>
      <c r="J57" t="s">
        <v>85</v>
      </c>
      <c r="K57" t="s">
        <v>291</v>
      </c>
      <c r="L57" t="s">
        <v>216</v>
      </c>
      <c r="M57" t="s">
        <v>936</v>
      </c>
      <c r="N57" t="s">
        <v>957</v>
      </c>
      <c r="O57" t="s">
        <v>72</v>
      </c>
      <c r="P57" t="s">
        <v>75</v>
      </c>
      <c r="Q57" s="44">
        <v>494</v>
      </c>
      <c r="R57" s="42">
        <v>3.718</v>
      </c>
      <c r="S57" s="48">
        <v>53258</v>
      </c>
      <c r="U57" s="44">
        <v>978.18499999999995</v>
      </c>
      <c r="V57" s="45">
        <v>0</v>
      </c>
      <c r="W57" s="45">
        <v>1.5974566625006299E-2</v>
      </c>
      <c r="X57" s="45">
        <v>2.2592156056652798E-3</v>
      </c>
    </row>
    <row r="58" spans="1:24" x14ac:dyDescent="0.25">
      <c r="A58">
        <v>1182</v>
      </c>
      <c r="B58">
        <v>1182</v>
      </c>
      <c r="C58" t="s">
        <v>958</v>
      </c>
      <c r="D58" t="s">
        <v>959</v>
      </c>
      <c r="E58" t="s">
        <v>613</v>
      </c>
      <c r="F58" t="s">
        <v>960</v>
      </c>
      <c r="G58" t="s">
        <v>961</v>
      </c>
      <c r="H58" t="s">
        <v>213</v>
      </c>
      <c r="I58" t="s">
        <v>753</v>
      </c>
      <c r="J58" t="s">
        <v>85</v>
      </c>
      <c r="K58" t="s">
        <v>291</v>
      </c>
      <c r="L58" t="s">
        <v>216</v>
      </c>
      <c r="M58" t="s">
        <v>936</v>
      </c>
      <c r="N58" t="s">
        <v>680</v>
      </c>
      <c r="O58" t="s">
        <v>72</v>
      </c>
      <c r="P58" t="s">
        <v>75</v>
      </c>
      <c r="Q58" s="44">
        <v>1630</v>
      </c>
      <c r="R58" s="42">
        <v>3.718</v>
      </c>
      <c r="S58" s="48">
        <v>13684</v>
      </c>
      <c r="U58" s="44">
        <v>829.29700000000003</v>
      </c>
      <c r="V58" s="45">
        <v>1.0000000000000001E-5</v>
      </c>
      <c r="W58" s="45">
        <v>1.35430958655252E-2</v>
      </c>
      <c r="X58" s="45">
        <v>1.9153429477404399E-3</v>
      </c>
    </row>
    <row r="59" spans="1:24" x14ac:dyDescent="0.25">
      <c r="A59">
        <v>1182</v>
      </c>
      <c r="B59">
        <v>1182</v>
      </c>
      <c r="C59" t="s">
        <v>962</v>
      </c>
      <c r="D59" t="s">
        <v>963</v>
      </c>
      <c r="E59" t="s">
        <v>210</v>
      </c>
      <c r="F59" t="s">
        <v>964</v>
      </c>
      <c r="G59" t="s">
        <v>965</v>
      </c>
      <c r="H59" t="s">
        <v>213</v>
      </c>
      <c r="I59" t="s">
        <v>753</v>
      </c>
      <c r="J59" t="s">
        <v>85</v>
      </c>
      <c r="K59" t="s">
        <v>291</v>
      </c>
      <c r="L59" t="s">
        <v>216</v>
      </c>
      <c r="M59" t="s">
        <v>966</v>
      </c>
      <c r="N59" t="s">
        <v>680</v>
      </c>
      <c r="O59" t="s">
        <v>72</v>
      </c>
      <c r="P59" t="s">
        <v>75</v>
      </c>
      <c r="Q59" s="44">
        <v>10747</v>
      </c>
      <c r="R59" s="42">
        <v>3.718</v>
      </c>
      <c r="S59" s="48">
        <v>100</v>
      </c>
      <c r="U59" s="44">
        <v>39.957000000000001</v>
      </c>
      <c r="V59" s="45">
        <v>0</v>
      </c>
      <c r="W59" s="45">
        <v>6.5253608292161402E-4</v>
      </c>
      <c r="X59" s="45">
        <v>9.2285426979188905E-5</v>
      </c>
    </row>
    <row r="60" spans="1:24" x14ac:dyDescent="0.25">
      <c r="A60">
        <v>1182</v>
      </c>
      <c r="B60">
        <v>1182</v>
      </c>
      <c r="C60" t="s">
        <v>967</v>
      </c>
      <c r="D60" t="s">
        <v>968</v>
      </c>
      <c r="E60" t="s">
        <v>613</v>
      </c>
      <c r="F60" t="s">
        <v>969</v>
      </c>
      <c r="G60" t="s">
        <v>970</v>
      </c>
      <c r="H60" t="s">
        <v>213</v>
      </c>
      <c r="I60" t="s">
        <v>753</v>
      </c>
      <c r="J60" t="s">
        <v>85</v>
      </c>
      <c r="K60" t="s">
        <v>291</v>
      </c>
      <c r="L60" t="s">
        <v>216</v>
      </c>
      <c r="M60" t="s">
        <v>936</v>
      </c>
      <c r="N60" t="s">
        <v>616</v>
      </c>
      <c r="O60" t="s">
        <v>72</v>
      </c>
      <c r="P60" t="s">
        <v>75</v>
      </c>
      <c r="Q60" s="44">
        <v>6700</v>
      </c>
      <c r="R60" s="42">
        <v>3.718</v>
      </c>
      <c r="S60" s="48">
        <v>3308</v>
      </c>
      <c r="U60" s="44">
        <v>824.04300000000001</v>
      </c>
      <c r="V60" s="45">
        <v>1.5999999999999999E-5</v>
      </c>
      <c r="W60" s="45">
        <v>1.3457289222519301E-2</v>
      </c>
      <c r="X60" s="45">
        <v>1.9032076759988401E-3</v>
      </c>
    </row>
    <row r="61" spans="1:24" x14ac:dyDescent="0.25">
      <c r="A61">
        <v>1182</v>
      </c>
      <c r="B61">
        <v>1182</v>
      </c>
      <c r="C61" t="s">
        <v>971</v>
      </c>
      <c r="D61" t="s">
        <v>972</v>
      </c>
      <c r="E61" t="s">
        <v>613</v>
      </c>
      <c r="F61" t="s">
        <v>973</v>
      </c>
      <c r="G61" t="s">
        <v>974</v>
      </c>
      <c r="H61" t="s">
        <v>213</v>
      </c>
      <c r="I61" t="s">
        <v>753</v>
      </c>
      <c r="J61" t="s">
        <v>85</v>
      </c>
      <c r="K61" t="s">
        <v>291</v>
      </c>
      <c r="L61" t="s">
        <v>216</v>
      </c>
      <c r="M61" t="s">
        <v>936</v>
      </c>
      <c r="N61" t="s">
        <v>975</v>
      </c>
      <c r="O61" t="s">
        <v>72</v>
      </c>
      <c r="P61" t="s">
        <v>75</v>
      </c>
      <c r="Q61" s="44">
        <v>1403</v>
      </c>
      <c r="R61" s="42">
        <v>3.718</v>
      </c>
      <c r="S61" s="48">
        <v>15623</v>
      </c>
      <c r="U61" s="44">
        <v>814.95100000000002</v>
      </c>
      <c r="V61" s="45">
        <v>0</v>
      </c>
      <c r="W61" s="45">
        <v>1.33088149497986E-2</v>
      </c>
      <c r="X61" s="45">
        <v>1.8822095856065001E-3</v>
      </c>
    </row>
    <row r="62" spans="1:24" x14ac:dyDescent="0.25">
      <c r="A62">
        <v>1182</v>
      </c>
      <c r="B62">
        <v>1182</v>
      </c>
      <c r="C62" t="s">
        <v>976</v>
      </c>
      <c r="D62" t="s">
        <v>977</v>
      </c>
      <c r="E62" t="s">
        <v>613</v>
      </c>
      <c r="F62" t="s">
        <v>978</v>
      </c>
      <c r="G62" t="s">
        <v>979</v>
      </c>
      <c r="H62" t="s">
        <v>213</v>
      </c>
      <c r="I62" t="s">
        <v>753</v>
      </c>
      <c r="J62" t="s">
        <v>85</v>
      </c>
      <c r="L62" t="s">
        <v>216</v>
      </c>
      <c r="M62" t="s">
        <v>286</v>
      </c>
      <c r="N62" t="s">
        <v>952</v>
      </c>
      <c r="O62" t="s">
        <v>72</v>
      </c>
      <c r="P62" t="s">
        <v>75</v>
      </c>
      <c r="Q62" s="44">
        <v>6949</v>
      </c>
      <c r="R62" s="42">
        <v>3.718</v>
      </c>
      <c r="S62" s="48">
        <v>2271</v>
      </c>
      <c r="U62" s="44">
        <v>586.74400000000003</v>
      </c>
      <c r="V62" s="45">
        <v>1.9999999999999999E-6</v>
      </c>
      <c r="W62" s="45">
        <v>9.5820124021074107E-3</v>
      </c>
      <c r="X62" s="45">
        <v>1.3551436142644499E-3</v>
      </c>
    </row>
    <row r="63" spans="1:24" x14ac:dyDescent="0.25">
      <c r="A63">
        <v>1182</v>
      </c>
      <c r="B63">
        <v>1182</v>
      </c>
      <c r="C63" t="s">
        <v>980</v>
      </c>
      <c r="D63" t="s">
        <v>981</v>
      </c>
      <c r="E63" t="s">
        <v>613</v>
      </c>
      <c r="F63" t="s">
        <v>982</v>
      </c>
      <c r="G63" t="s">
        <v>983</v>
      </c>
      <c r="H63" t="s">
        <v>213</v>
      </c>
      <c r="I63" t="s">
        <v>753</v>
      </c>
      <c r="J63" t="s">
        <v>85</v>
      </c>
      <c r="K63" t="s">
        <v>984</v>
      </c>
      <c r="L63" t="s">
        <v>216</v>
      </c>
      <c r="M63" t="s">
        <v>286</v>
      </c>
      <c r="N63" t="s">
        <v>985</v>
      </c>
      <c r="O63" t="s">
        <v>72</v>
      </c>
      <c r="P63" t="s">
        <v>75</v>
      </c>
      <c r="Q63" s="44">
        <v>3381.94</v>
      </c>
      <c r="R63" s="42">
        <v>3.718</v>
      </c>
      <c r="S63" s="48">
        <v>16822</v>
      </c>
      <c r="U63" s="44">
        <v>2115.2069999999999</v>
      </c>
      <c r="V63" s="45">
        <v>0</v>
      </c>
      <c r="W63" s="45">
        <v>3.4543060223319599E-2</v>
      </c>
      <c r="X63" s="45">
        <v>4.8852793666274898E-3</v>
      </c>
    </row>
    <row r="64" spans="1:24" x14ac:dyDescent="0.25">
      <c r="A64">
        <v>1182</v>
      </c>
      <c r="B64">
        <v>1182</v>
      </c>
      <c r="C64" t="s">
        <v>986</v>
      </c>
      <c r="D64" t="s">
        <v>987</v>
      </c>
      <c r="E64" t="s">
        <v>613</v>
      </c>
      <c r="F64" t="s">
        <v>988</v>
      </c>
      <c r="G64" t="s">
        <v>989</v>
      </c>
      <c r="H64" t="s">
        <v>213</v>
      </c>
      <c r="I64" t="s">
        <v>753</v>
      </c>
      <c r="J64" t="s">
        <v>85</v>
      </c>
      <c r="K64" t="s">
        <v>990</v>
      </c>
      <c r="L64" t="s">
        <v>216</v>
      </c>
      <c r="M64" t="s">
        <v>991</v>
      </c>
      <c r="N64" t="s">
        <v>992</v>
      </c>
      <c r="O64" t="s">
        <v>72</v>
      </c>
      <c r="P64" t="s">
        <v>77</v>
      </c>
      <c r="Q64" s="44">
        <v>369</v>
      </c>
      <c r="R64" s="42">
        <v>4.0218999999999996</v>
      </c>
      <c r="S64" s="48">
        <v>57170</v>
      </c>
      <c r="U64" s="44">
        <v>848.44899999999996</v>
      </c>
      <c r="V64" s="45">
        <v>9.9999999999999995E-7</v>
      </c>
      <c r="W64" s="45">
        <v>1.38558675694423E-2</v>
      </c>
      <c r="X64" s="45">
        <v>1.9595769311146001E-3</v>
      </c>
    </row>
    <row r="65" spans="1:24" x14ac:dyDescent="0.25">
      <c r="A65">
        <v>1182</v>
      </c>
      <c r="B65">
        <v>1182</v>
      </c>
      <c r="C65" t="s">
        <v>993</v>
      </c>
      <c r="D65" t="s">
        <v>994</v>
      </c>
      <c r="E65" t="s">
        <v>613</v>
      </c>
      <c r="F65" t="s">
        <v>995</v>
      </c>
      <c r="G65" t="s">
        <v>996</v>
      </c>
      <c r="H65" t="s">
        <v>213</v>
      </c>
      <c r="I65" t="s">
        <v>753</v>
      </c>
      <c r="J65" t="s">
        <v>85</v>
      </c>
      <c r="K65" t="s">
        <v>291</v>
      </c>
      <c r="L65" t="s">
        <v>216</v>
      </c>
      <c r="M65" t="s">
        <v>966</v>
      </c>
      <c r="N65" t="s">
        <v>957</v>
      </c>
      <c r="O65" t="s">
        <v>72</v>
      </c>
      <c r="P65" t="s">
        <v>75</v>
      </c>
      <c r="Q65" s="44">
        <v>380</v>
      </c>
      <c r="R65" s="42">
        <v>3.718</v>
      </c>
      <c r="S65" s="48">
        <v>54812</v>
      </c>
      <c r="U65" s="44">
        <v>774.40599999999995</v>
      </c>
      <c r="V65" s="45">
        <v>0</v>
      </c>
      <c r="W65" s="45">
        <v>1.26466799621269E-2</v>
      </c>
      <c r="X65" s="45">
        <v>1.78856662599949E-3</v>
      </c>
    </row>
    <row r="66" spans="1:24" x14ac:dyDescent="0.25">
      <c r="A66">
        <v>1182</v>
      </c>
      <c r="B66">
        <v>1182</v>
      </c>
      <c r="C66" t="s">
        <v>997</v>
      </c>
      <c r="D66" t="s">
        <v>998</v>
      </c>
      <c r="E66" t="s">
        <v>613</v>
      </c>
      <c r="F66" t="s">
        <v>999</v>
      </c>
      <c r="G66" t="s">
        <v>1000</v>
      </c>
      <c r="H66" t="s">
        <v>213</v>
      </c>
      <c r="I66" t="s">
        <v>753</v>
      </c>
      <c r="J66" t="s">
        <v>85</v>
      </c>
      <c r="K66" t="s">
        <v>1001</v>
      </c>
      <c r="L66" t="s">
        <v>216</v>
      </c>
      <c r="M66" t="s">
        <v>286</v>
      </c>
      <c r="N66" t="s">
        <v>992</v>
      </c>
      <c r="O66" t="s">
        <v>72</v>
      </c>
      <c r="P66" t="s">
        <v>75</v>
      </c>
      <c r="Q66" s="44">
        <v>98</v>
      </c>
      <c r="R66" s="42">
        <v>3.718</v>
      </c>
      <c r="S66" s="48">
        <v>195087</v>
      </c>
      <c r="U66" s="44">
        <v>710.827</v>
      </c>
      <c r="V66" s="45">
        <v>1.9999999999999999E-6</v>
      </c>
      <c r="W66" s="45">
        <v>1.16083819366102E-2</v>
      </c>
      <c r="X66" s="45">
        <v>1.641724513932E-3</v>
      </c>
    </row>
    <row r="67" spans="1:24" x14ac:dyDescent="0.25">
      <c r="A67">
        <v>1182</v>
      </c>
      <c r="B67">
        <v>1182</v>
      </c>
      <c r="C67" t="s">
        <v>1002</v>
      </c>
      <c r="D67" t="s">
        <v>1003</v>
      </c>
      <c r="E67" t="s">
        <v>613</v>
      </c>
      <c r="F67" t="s">
        <v>1004</v>
      </c>
      <c r="G67" t="s">
        <v>1005</v>
      </c>
      <c r="H67" t="s">
        <v>213</v>
      </c>
      <c r="I67" t="s">
        <v>753</v>
      </c>
      <c r="J67" t="s">
        <v>85</v>
      </c>
      <c r="K67" t="s">
        <v>291</v>
      </c>
      <c r="L67" t="s">
        <v>216</v>
      </c>
      <c r="M67" t="s">
        <v>966</v>
      </c>
      <c r="N67" t="s">
        <v>680</v>
      </c>
      <c r="O67" t="s">
        <v>72</v>
      </c>
      <c r="P67" t="s">
        <v>75</v>
      </c>
      <c r="Q67" s="44">
        <v>0</v>
      </c>
      <c r="R67" s="42">
        <v>3.718</v>
      </c>
      <c r="S67" s="48">
        <v>0</v>
      </c>
      <c r="T67" s="44">
        <v>1.46</v>
      </c>
      <c r="U67" s="44">
        <v>5.4290000000000003</v>
      </c>
      <c r="V67" s="45">
        <v>0</v>
      </c>
      <c r="W67" s="45">
        <v>8.8658369366502706E-5</v>
      </c>
      <c r="X67" s="45">
        <v>1.25385793773019E-5</v>
      </c>
    </row>
    <row r="68" spans="1:24" x14ac:dyDescent="0.25">
      <c r="A68">
        <v>1182</v>
      </c>
      <c r="B68">
        <v>1182</v>
      </c>
      <c r="C68" t="s">
        <v>1006</v>
      </c>
      <c r="D68" t="s">
        <v>1007</v>
      </c>
      <c r="E68" t="s">
        <v>613</v>
      </c>
      <c r="F68" t="s">
        <v>1008</v>
      </c>
      <c r="G68" t="s">
        <v>1009</v>
      </c>
      <c r="H68" t="s">
        <v>213</v>
      </c>
      <c r="I68" t="s">
        <v>753</v>
      </c>
      <c r="J68" t="s">
        <v>85</v>
      </c>
      <c r="K68" t="s">
        <v>291</v>
      </c>
      <c r="L68" t="s">
        <v>216</v>
      </c>
      <c r="M68" t="s">
        <v>936</v>
      </c>
      <c r="N68" t="s">
        <v>1010</v>
      </c>
      <c r="O68" t="s">
        <v>72</v>
      </c>
      <c r="P68" t="s">
        <v>75</v>
      </c>
      <c r="Q68" s="44">
        <v>1167</v>
      </c>
      <c r="R68" s="42">
        <v>3.718</v>
      </c>
      <c r="S68" s="48">
        <v>37539</v>
      </c>
      <c r="U68" s="44">
        <v>1628.7819999999999</v>
      </c>
      <c r="V68" s="45">
        <v>0</v>
      </c>
      <c r="W68" s="45">
        <v>2.6599338609471598E-2</v>
      </c>
      <c r="X68" s="45">
        <v>3.7618323111704298E-3</v>
      </c>
    </row>
    <row r="69" spans="1:24" x14ac:dyDescent="0.25">
      <c r="A69">
        <v>1182</v>
      </c>
      <c r="B69">
        <v>1182</v>
      </c>
      <c r="C69" t="s">
        <v>1011</v>
      </c>
      <c r="D69" t="s">
        <v>1012</v>
      </c>
      <c r="E69" t="s">
        <v>613</v>
      </c>
      <c r="F69" t="s">
        <v>1011</v>
      </c>
      <c r="G69" t="s">
        <v>1013</v>
      </c>
      <c r="H69" t="s">
        <v>213</v>
      </c>
      <c r="I69" t="s">
        <v>753</v>
      </c>
      <c r="J69" t="s">
        <v>85</v>
      </c>
      <c r="K69" t="s">
        <v>291</v>
      </c>
      <c r="L69" t="s">
        <v>216</v>
      </c>
      <c r="M69" t="s">
        <v>936</v>
      </c>
      <c r="N69" t="s">
        <v>680</v>
      </c>
      <c r="O69" t="s">
        <v>72</v>
      </c>
      <c r="P69" t="s">
        <v>75</v>
      </c>
      <c r="Q69" s="44">
        <v>2141</v>
      </c>
      <c r="R69" s="42">
        <v>3.718</v>
      </c>
      <c r="S69" s="48">
        <v>2835</v>
      </c>
      <c r="U69" s="44">
        <v>225.673</v>
      </c>
      <c r="V69" s="45">
        <v>6.0000000000000002E-6</v>
      </c>
      <c r="W69" s="45">
        <v>3.6854202114750402E-3</v>
      </c>
      <c r="X69" s="45">
        <v>5.2121344200756203E-4</v>
      </c>
    </row>
    <row r="70" spans="1:24" x14ac:dyDescent="0.25">
      <c r="A70">
        <v>1182</v>
      </c>
      <c r="B70">
        <v>1182</v>
      </c>
      <c r="C70" t="s">
        <v>1014</v>
      </c>
      <c r="D70" t="s">
        <v>1015</v>
      </c>
      <c r="E70" t="s">
        <v>613</v>
      </c>
      <c r="F70" t="s">
        <v>1016</v>
      </c>
      <c r="G70" t="s">
        <v>1017</v>
      </c>
      <c r="H70" t="s">
        <v>213</v>
      </c>
      <c r="I70" t="s">
        <v>753</v>
      </c>
      <c r="J70" t="s">
        <v>85</v>
      </c>
      <c r="K70" t="s">
        <v>291</v>
      </c>
      <c r="L70" t="s">
        <v>216</v>
      </c>
      <c r="M70" t="s">
        <v>936</v>
      </c>
      <c r="N70" t="s">
        <v>975</v>
      </c>
      <c r="O70" t="s">
        <v>72</v>
      </c>
      <c r="P70" t="s">
        <v>75</v>
      </c>
      <c r="Q70" s="44">
        <v>165</v>
      </c>
      <c r="R70" s="42">
        <v>3.718</v>
      </c>
      <c r="S70" s="48">
        <v>93253</v>
      </c>
      <c r="U70" s="44">
        <v>572.07899999999995</v>
      </c>
      <c r="V70" s="45">
        <v>0</v>
      </c>
      <c r="W70" s="45">
        <v>9.3425200625418502E-3</v>
      </c>
      <c r="X70" s="45">
        <v>1.3212732224294199E-3</v>
      </c>
    </row>
    <row r="71" spans="1:24" x14ac:dyDescent="0.25">
      <c r="A71">
        <v>1182</v>
      </c>
      <c r="B71">
        <v>1182</v>
      </c>
      <c r="C71" t="s">
        <v>1018</v>
      </c>
      <c r="D71" t="s">
        <v>1019</v>
      </c>
      <c r="E71" t="s">
        <v>613</v>
      </c>
      <c r="F71" t="s">
        <v>1020</v>
      </c>
      <c r="G71" t="s">
        <v>1021</v>
      </c>
      <c r="H71" t="s">
        <v>213</v>
      </c>
      <c r="I71" t="s">
        <v>753</v>
      </c>
      <c r="J71" t="s">
        <v>85</v>
      </c>
      <c r="K71" t="s">
        <v>291</v>
      </c>
      <c r="L71" t="s">
        <v>216</v>
      </c>
      <c r="M71" t="s">
        <v>1022</v>
      </c>
      <c r="N71" t="s">
        <v>1023</v>
      </c>
      <c r="O71" t="s">
        <v>72</v>
      </c>
      <c r="P71" t="s">
        <v>75</v>
      </c>
      <c r="Q71" s="44">
        <v>4068</v>
      </c>
      <c r="R71" s="42">
        <v>3.718</v>
      </c>
      <c r="S71" s="48">
        <v>7089</v>
      </c>
      <c r="U71" s="44">
        <v>1072.1990000000001</v>
      </c>
      <c r="V71" s="45">
        <v>1.9999999999999999E-6</v>
      </c>
      <c r="W71" s="45">
        <v>1.75098813540242E-2</v>
      </c>
      <c r="X71" s="45">
        <v>2.4763486945827201E-3</v>
      </c>
    </row>
    <row r="72" spans="1:24" x14ac:dyDescent="0.25">
      <c r="A72">
        <v>1182</v>
      </c>
      <c r="B72">
        <v>1182</v>
      </c>
      <c r="C72" t="s">
        <v>1024</v>
      </c>
      <c r="D72" t="s">
        <v>1025</v>
      </c>
      <c r="E72" t="s">
        <v>613</v>
      </c>
      <c r="F72" t="s">
        <v>1024</v>
      </c>
      <c r="G72" t="s">
        <v>1026</v>
      </c>
      <c r="H72" t="s">
        <v>213</v>
      </c>
      <c r="I72" t="s">
        <v>753</v>
      </c>
      <c r="J72" t="s">
        <v>85</v>
      </c>
      <c r="K72" t="s">
        <v>291</v>
      </c>
      <c r="L72" t="s">
        <v>216</v>
      </c>
      <c r="M72" t="s">
        <v>966</v>
      </c>
      <c r="N72" t="s">
        <v>947</v>
      </c>
      <c r="O72" t="s">
        <v>72</v>
      </c>
      <c r="P72" t="s">
        <v>75</v>
      </c>
      <c r="Q72" s="44">
        <v>4638</v>
      </c>
      <c r="R72" s="42">
        <v>3.718</v>
      </c>
      <c r="S72" s="48">
        <v>6348</v>
      </c>
      <c r="T72" s="44">
        <v>1.855</v>
      </c>
      <c r="U72" s="44">
        <v>1101.5519999999999</v>
      </c>
      <c r="V72" s="45">
        <v>3.9999999999999998E-6</v>
      </c>
      <c r="W72" s="45">
        <v>1.79892449133226E-2</v>
      </c>
      <c r="X72" s="45">
        <v>2.5441430616774002E-3</v>
      </c>
    </row>
    <row r="73" spans="1:24" x14ac:dyDescent="0.25">
      <c r="A73">
        <v>1182</v>
      </c>
      <c r="B73">
        <v>1182</v>
      </c>
      <c r="C73" t="s">
        <v>1027</v>
      </c>
      <c r="D73" t="s">
        <v>1028</v>
      </c>
      <c r="E73" t="s">
        <v>613</v>
      </c>
      <c r="F73" t="s">
        <v>1029</v>
      </c>
      <c r="G73" t="s">
        <v>1030</v>
      </c>
      <c r="H73" t="s">
        <v>213</v>
      </c>
      <c r="I73" t="s">
        <v>753</v>
      </c>
      <c r="J73" t="s">
        <v>85</v>
      </c>
      <c r="K73" t="s">
        <v>291</v>
      </c>
      <c r="L73" t="s">
        <v>216</v>
      </c>
      <c r="M73" t="s">
        <v>966</v>
      </c>
      <c r="N73" t="s">
        <v>706</v>
      </c>
      <c r="O73" t="s">
        <v>72</v>
      </c>
      <c r="P73" t="s">
        <v>75</v>
      </c>
      <c r="Q73" s="44">
        <v>509</v>
      </c>
      <c r="R73" s="42">
        <v>3.718</v>
      </c>
      <c r="S73" s="48">
        <v>51201</v>
      </c>
      <c r="U73" s="44">
        <v>968.95899999999995</v>
      </c>
      <c r="V73" s="45">
        <v>3.0000000000000001E-6</v>
      </c>
      <c r="W73" s="45">
        <v>1.5823899219009799E-2</v>
      </c>
      <c r="X73" s="45">
        <v>2.2379073496804499E-3</v>
      </c>
    </row>
    <row r="74" spans="1:24" x14ac:dyDescent="0.25">
      <c r="A74">
        <v>1182</v>
      </c>
      <c r="B74">
        <v>1182</v>
      </c>
      <c r="C74" t="s">
        <v>1031</v>
      </c>
      <c r="D74" t="s">
        <v>1032</v>
      </c>
      <c r="E74" t="s">
        <v>613</v>
      </c>
      <c r="F74" t="s">
        <v>1033</v>
      </c>
      <c r="G74" t="s">
        <v>1034</v>
      </c>
      <c r="H74" t="s">
        <v>213</v>
      </c>
      <c r="I74" t="s">
        <v>753</v>
      </c>
      <c r="J74" t="s">
        <v>85</v>
      </c>
      <c r="K74" t="s">
        <v>291</v>
      </c>
      <c r="L74" t="s">
        <v>216</v>
      </c>
      <c r="M74" t="s">
        <v>936</v>
      </c>
      <c r="N74" t="s">
        <v>937</v>
      </c>
      <c r="O74" t="s">
        <v>72</v>
      </c>
      <c r="P74" t="s">
        <v>75</v>
      </c>
      <c r="Q74" s="44">
        <v>5249</v>
      </c>
      <c r="R74" s="42">
        <v>3.718</v>
      </c>
      <c r="S74" s="48">
        <v>10838</v>
      </c>
      <c r="T74" s="44">
        <v>3.9E-2</v>
      </c>
      <c r="U74" s="44">
        <v>2115.2660000000001</v>
      </c>
      <c r="V74" s="45">
        <v>0</v>
      </c>
      <c r="W74" s="45">
        <v>3.45440260434422E-2</v>
      </c>
      <c r="X74" s="45">
        <v>4.8854159584953297E-3</v>
      </c>
    </row>
    <row r="75" spans="1:24" x14ac:dyDescent="0.25">
      <c r="A75">
        <v>1182</v>
      </c>
      <c r="B75">
        <v>1182</v>
      </c>
      <c r="C75" t="s">
        <v>1035</v>
      </c>
      <c r="D75" t="s">
        <v>1036</v>
      </c>
      <c r="E75" t="s">
        <v>613</v>
      </c>
      <c r="F75" t="s">
        <v>1035</v>
      </c>
      <c r="G75" t="s">
        <v>1037</v>
      </c>
      <c r="H75" t="s">
        <v>213</v>
      </c>
      <c r="I75" t="s">
        <v>753</v>
      </c>
      <c r="J75" t="s">
        <v>85</v>
      </c>
      <c r="K75" t="s">
        <v>291</v>
      </c>
      <c r="L75" t="s">
        <v>216</v>
      </c>
      <c r="M75" t="s">
        <v>286</v>
      </c>
      <c r="N75" t="s">
        <v>1038</v>
      </c>
      <c r="O75" t="s">
        <v>72</v>
      </c>
      <c r="P75" t="s">
        <v>75</v>
      </c>
      <c r="Q75" s="44">
        <v>1430</v>
      </c>
      <c r="R75" s="42">
        <v>3.718</v>
      </c>
      <c r="S75" s="48">
        <v>13981</v>
      </c>
      <c r="U75" s="44">
        <v>743.33299999999997</v>
      </c>
      <c r="V75" s="45">
        <v>9.9999999999999995E-7</v>
      </c>
      <c r="W75" s="45">
        <v>1.2139241625307299E-2</v>
      </c>
      <c r="X75" s="45">
        <v>1.7168017614891001E-3</v>
      </c>
    </row>
    <row r="76" spans="1:24" x14ac:dyDescent="0.25">
      <c r="A76">
        <v>1182</v>
      </c>
      <c r="B76">
        <v>1182</v>
      </c>
      <c r="C76" t="s">
        <v>749</v>
      </c>
      <c r="D76" t="s">
        <v>750</v>
      </c>
      <c r="E76" t="s">
        <v>613</v>
      </c>
      <c r="F76" t="s">
        <v>1039</v>
      </c>
      <c r="G76" t="s">
        <v>752</v>
      </c>
      <c r="H76" t="s">
        <v>213</v>
      </c>
      <c r="I76" t="s">
        <v>753</v>
      </c>
      <c r="J76" t="s">
        <v>85</v>
      </c>
      <c r="K76" t="s">
        <v>291</v>
      </c>
      <c r="L76" t="s">
        <v>216</v>
      </c>
      <c r="M76" t="s">
        <v>966</v>
      </c>
      <c r="N76" t="s">
        <v>1040</v>
      </c>
      <c r="O76" t="s">
        <v>72</v>
      </c>
      <c r="P76" t="s">
        <v>75</v>
      </c>
      <c r="Q76" s="44">
        <v>1401</v>
      </c>
      <c r="R76" s="42">
        <v>3.718</v>
      </c>
      <c r="S76" s="48">
        <v>7077</v>
      </c>
      <c r="U76" s="44">
        <v>368.63499999999999</v>
      </c>
      <c r="V76" s="45">
        <v>2.3E-5</v>
      </c>
      <c r="W76" s="45">
        <v>6.0201125897735202E-3</v>
      </c>
      <c r="X76" s="45">
        <v>8.5139914151962303E-4</v>
      </c>
    </row>
    <row r="77" spans="1:24" x14ac:dyDescent="0.25">
      <c r="A77">
        <v>1182</v>
      </c>
      <c r="B77">
        <v>1182</v>
      </c>
      <c r="C77" t="s">
        <v>1041</v>
      </c>
      <c r="E77" t="s">
        <v>286</v>
      </c>
      <c r="F77" t="s">
        <v>1042</v>
      </c>
      <c r="G77" t="s">
        <v>1043</v>
      </c>
      <c r="H77" t="s">
        <v>213</v>
      </c>
      <c r="I77" t="s">
        <v>753</v>
      </c>
      <c r="J77" t="s">
        <v>85</v>
      </c>
      <c r="K77" t="s">
        <v>291</v>
      </c>
      <c r="L77" t="s">
        <v>216</v>
      </c>
      <c r="M77" t="s">
        <v>936</v>
      </c>
      <c r="N77" t="s">
        <v>680</v>
      </c>
      <c r="O77" t="s">
        <v>72</v>
      </c>
      <c r="P77" t="s">
        <v>75</v>
      </c>
      <c r="Q77" s="44">
        <v>1001</v>
      </c>
      <c r="R77" s="42">
        <v>3.718</v>
      </c>
      <c r="S77" s="48">
        <v>430</v>
      </c>
      <c r="U77" s="44">
        <v>16.003</v>
      </c>
      <c r="V77" s="45">
        <v>3.1999999999999999E-5</v>
      </c>
      <c r="W77" s="45">
        <v>2.6134838203401001E-4</v>
      </c>
      <c r="X77" s="45">
        <v>3.6961399771705798E-5</v>
      </c>
    </row>
    <row r="78" spans="1:24" x14ac:dyDescent="0.25">
      <c r="A78">
        <v>1182</v>
      </c>
      <c r="B78">
        <v>1182</v>
      </c>
      <c r="C78" t="s">
        <v>1044</v>
      </c>
      <c r="D78" t="s">
        <v>1045</v>
      </c>
      <c r="E78" t="s">
        <v>613</v>
      </c>
      <c r="F78" t="s">
        <v>1046</v>
      </c>
      <c r="G78" t="s">
        <v>1047</v>
      </c>
      <c r="H78" t="s">
        <v>213</v>
      </c>
      <c r="I78" t="s">
        <v>753</v>
      </c>
      <c r="J78" t="s">
        <v>85</v>
      </c>
      <c r="K78" t="s">
        <v>291</v>
      </c>
      <c r="L78" t="s">
        <v>216</v>
      </c>
      <c r="M78" t="s">
        <v>966</v>
      </c>
      <c r="N78" t="s">
        <v>1048</v>
      </c>
      <c r="O78" t="s">
        <v>72</v>
      </c>
      <c r="P78" t="s">
        <v>75</v>
      </c>
      <c r="Q78" s="44">
        <v>7480</v>
      </c>
      <c r="R78" s="42">
        <v>3.718</v>
      </c>
      <c r="S78" s="48">
        <v>4180</v>
      </c>
      <c r="T78" s="44">
        <v>2.1120000000000001</v>
      </c>
      <c r="U78" s="44">
        <v>1170.338</v>
      </c>
      <c r="V78" s="45">
        <v>5.0000000000000004E-6</v>
      </c>
      <c r="W78" s="45">
        <v>1.9112579981668799E-2</v>
      </c>
      <c r="X78" s="45">
        <v>2.7030116041783401E-3</v>
      </c>
    </row>
    <row r="79" spans="1:24" x14ac:dyDescent="0.25">
      <c r="A79">
        <v>1182</v>
      </c>
      <c r="B79">
        <v>1182</v>
      </c>
      <c r="C79" t="s">
        <v>1049</v>
      </c>
      <c r="D79" t="s">
        <v>1050</v>
      </c>
      <c r="E79" t="s">
        <v>613</v>
      </c>
      <c r="F79" t="s">
        <v>1051</v>
      </c>
      <c r="G79" t="s">
        <v>1052</v>
      </c>
      <c r="H79" t="s">
        <v>213</v>
      </c>
      <c r="I79" t="s">
        <v>753</v>
      </c>
      <c r="J79" t="s">
        <v>85</v>
      </c>
      <c r="K79" t="s">
        <v>1053</v>
      </c>
      <c r="L79" t="s">
        <v>216</v>
      </c>
      <c r="M79" t="s">
        <v>966</v>
      </c>
      <c r="N79" t="s">
        <v>937</v>
      </c>
      <c r="O79" t="s">
        <v>72</v>
      </c>
      <c r="P79" t="s">
        <v>75</v>
      </c>
      <c r="Q79" s="44">
        <v>3475</v>
      </c>
      <c r="R79" s="42">
        <v>3.718</v>
      </c>
      <c r="S79" s="48">
        <v>16600</v>
      </c>
      <c r="T79" s="44">
        <v>2.3679999999999999</v>
      </c>
      <c r="U79" s="44">
        <v>2153.5320000000002</v>
      </c>
      <c r="V79" s="45">
        <v>9.9999999999999995E-7</v>
      </c>
      <c r="W79" s="45">
        <v>3.51689357878361E-2</v>
      </c>
      <c r="X79" s="45">
        <v>4.9737943088949497E-3</v>
      </c>
    </row>
    <row r="80" spans="1:24" x14ac:dyDescent="0.25">
      <c r="A80">
        <v>1182</v>
      </c>
      <c r="B80">
        <v>1182</v>
      </c>
      <c r="C80" t="s">
        <v>1054</v>
      </c>
      <c r="D80" t="s">
        <v>1055</v>
      </c>
      <c r="E80" t="s">
        <v>613</v>
      </c>
      <c r="F80" t="s">
        <v>1056</v>
      </c>
      <c r="G80" t="s">
        <v>1057</v>
      </c>
      <c r="H80" t="s">
        <v>213</v>
      </c>
      <c r="I80" t="s">
        <v>753</v>
      </c>
      <c r="J80" t="s">
        <v>85</v>
      </c>
      <c r="K80" t="s">
        <v>291</v>
      </c>
      <c r="L80" t="s">
        <v>216</v>
      </c>
      <c r="M80" t="s">
        <v>966</v>
      </c>
      <c r="N80" t="s">
        <v>700</v>
      </c>
      <c r="O80" t="s">
        <v>72</v>
      </c>
      <c r="P80" t="s">
        <v>75</v>
      </c>
      <c r="Q80" s="44">
        <v>2467</v>
      </c>
      <c r="R80" s="42">
        <v>3.718</v>
      </c>
      <c r="S80" s="48">
        <v>7286</v>
      </c>
      <c r="U80" s="44">
        <v>668.29399999999998</v>
      </c>
      <c r="V80" s="45">
        <v>9.9999999999999995E-7</v>
      </c>
      <c r="W80" s="45">
        <v>1.0913790155123899E-2</v>
      </c>
      <c r="X80" s="45">
        <v>1.54349132682042E-3</v>
      </c>
    </row>
    <row r="81" spans="1:24" x14ac:dyDescent="0.25">
      <c r="A81">
        <v>1182</v>
      </c>
      <c r="B81">
        <v>1182</v>
      </c>
      <c r="C81" t="s">
        <v>1058</v>
      </c>
      <c r="D81" t="s">
        <v>1059</v>
      </c>
      <c r="E81" t="s">
        <v>613</v>
      </c>
      <c r="F81" t="s">
        <v>1060</v>
      </c>
      <c r="G81" t="s">
        <v>1061</v>
      </c>
      <c r="H81" t="s">
        <v>213</v>
      </c>
      <c r="I81" t="s">
        <v>753</v>
      </c>
      <c r="J81" t="s">
        <v>85</v>
      </c>
      <c r="K81" t="s">
        <v>291</v>
      </c>
      <c r="L81" t="s">
        <v>216</v>
      </c>
      <c r="M81" t="s">
        <v>966</v>
      </c>
      <c r="N81" t="s">
        <v>957</v>
      </c>
      <c r="O81" t="s">
        <v>72</v>
      </c>
      <c r="P81" t="s">
        <v>75</v>
      </c>
      <c r="Q81" s="44">
        <v>645</v>
      </c>
      <c r="R81" s="42">
        <v>3.718</v>
      </c>
      <c r="S81" s="48">
        <v>35046</v>
      </c>
      <c r="U81" s="44">
        <v>840.44200000000001</v>
      </c>
      <c r="V81" s="45">
        <v>0</v>
      </c>
      <c r="W81" s="45">
        <v>1.3725097997148701E-2</v>
      </c>
      <c r="X81" s="45">
        <v>1.94108274185695E-3</v>
      </c>
    </row>
    <row r="82" spans="1:24" x14ac:dyDescent="0.25">
      <c r="A82">
        <v>1182</v>
      </c>
      <c r="B82">
        <v>14769</v>
      </c>
      <c r="C82" t="s">
        <v>1062</v>
      </c>
      <c r="D82" t="s">
        <v>1063</v>
      </c>
      <c r="E82" t="s">
        <v>210</v>
      </c>
      <c r="F82" t="s">
        <v>1064</v>
      </c>
      <c r="G82" t="s">
        <v>1065</v>
      </c>
      <c r="H82" t="s">
        <v>213</v>
      </c>
      <c r="I82" t="s">
        <v>753</v>
      </c>
      <c r="J82" t="s">
        <v>71</v>
      </c>
      <c r="K82" t="s">
        <v>71</v>
      </c>
      <c r="L82" t="s">
        <v>216</v>
      </c>
      <c r="M82" t="s">
        <v>117</v>
      </c>
      <c r="N82" t="s">
        <v>825</v>
      </c>
      <c r="O82" t="s">
        <v>72</v>
      </c>
      <c r="P82" t="s">
        <v>81</v>
      </c>
      <c r="Q82" s="44">
        <v>10480</v>
      </c>
      <c r="R82" s="42">
        <v>1</v>
      </c>
      <c r="S82" s="48">
        <v>294.10000000000002</v>
      </c>
      <c r="U82" s="44">
        <v>30.821999999999999</v>
      </c>
      <c r="V82" s="45">
        <v>8.6000000000000003E-5</v>
      </c>
      <c r="W82" s="45">
        <v>6.0110381761013599E-3</v>
      </c>
      <c r="X82" s="45">
        <v>1.3305747921903699E-3</v>
      </c>
    </row>
    <row r="83" spans="1:24" x14ac:dyDescent="0.25">
      <c r="A83">
        <v>1182</v>
      </c>
      <c r="B83">
        <v>14769</v>
      </c>
      <c r="C83" t="s">
        <v>749</v>
      </c>
      <c r="D83" t="s">
        <v>750</v>
      </c>
      <c r="E83" t="s">
        <v>613</v>
      </c>
      <c r="F83" t="s">
        <v>751</v>
      </c>
      <c r="G83" t="s">
        <v>752</v>
      </c>
      <c r="H83" t="s">
        <v>213</v>
      </c>
      <c r="I83" t="s">
        <v>753</v>
      </c>
      <c r="J83" t="s">
        <v>71</v>
      </c>
      <c r="K83" t="s">
        <v>291</v>
      </c>
      <c r="L83" t="s">
        <v>216</v>
      </c>
      <c r="M83" t="s">
        <v>117</v>
      </c>
      <c r="N83" t="s">
        <v>287</v>
      </c>
      <c r="O83" t="s">
        <v>72</v>
      </c>
      <c r="P83" t="s">
        <v>81</v>
      </c>
      <c r="Q83" s="44">
        <v>74</v>
      </c>
      <c r="R83" s="42">
        <v>1</v>
      </c>
      <c r="S83" s="48">
        <v>26100</v>
      </c>
      <c r="U83" s="44">
        <v>19.314</v>
      </c>
      <c r="V83" s="45">
        <v>9.9999999999999995E-7</v>
      </c>
      <c r="W83" s="45">
        <v>3.7667379368425602E-3</v>
      </c>
      <c r="X83" s="45">
        <v>8.3378717631111404E-4</v>
      </c>
    </row>
    <row r="84" spans="1:24" x14ac:dyDescent="0.25">
      <c r="A84">
        <v>1182</v>
      </c>
      <c r="B84">
        <v>14769</v>
      </c>
      <c r="C84" t="s">
        <v>644</v>
      </c>
      <c r="D84" t="s">
        <v>645</v>
      </c>
      <c r="E84" t="s">
        <v>210</v>
      </c>
      <c r="F84" t="s">
        <v>754</v>
      </c>
      <c r="G84" t="s">
        <v>755</v>
      </c>
      <c r="H84" t="s">
        <v>213</v>
      </c>
      <c r="I84" t="s">
        <v>753</v>
      </c>
      <c r="J84" t="s">
        <v>71</v>
      </c>
      <c r="K84" t="s">
        <v>71</v>
      </c>
      <c r="L84" t="s">
        <v>216</v>
      </c>
      <c r="M84" t="s">
        <v>117</v>
      </c>
      <c r="N84" t="s">
        <v>227</v>
      </c>
      <c r="O84" t="s">
        <v>72</v>
      </c>
      <c r="P84" t="s">
        <v>81</v>
      </c>
      <c r="Q84" s="44">
        <v>6522</v>
      </c>
      <c r="R84" s="42">
        <v>1</v>
      </c>
      <c r="S84" s="48">
        <v>2089</v>
      </c>
      <c r="U84" s="44">
        <v>136.245</v>
      </c>
      <c r="V84" s="45">
        <v>5.0000000000000004E-6</v>
      </c>
      <c r="W84" s="45">
        <v>2.6571276181794602E-2</v>
      </c>
      <c r="X84" s="45">
        <v>5.8816911901156503E-3</v>
      </c>
    </row>
    <row r="85" spans="1:24" x14ac:dyDescent="0.25">
      <c r="A85">
        <v>1182</v>
      </c>
      <c r="B85">
        <v>14769</v>
      </c>
      <c r="C85" t="s">
        <v>756</v>
      </c>
      <c r="D85" t="s">
        <v>757</v>
      </c>
      <c r="E85" t="s">
        <v>210</v>
      </c>
      <c r="F85" t="s">
        <v>758</v>
      </c>
      <c r="G85" t="s">
        <v>759</v>
      </c>
      <c r="H85" t="s">
        <v>213</v>
      </c>
      <c r="I85" t="s">
        <v>753</v>
      </c>
      <c r="J85" t="s">
        <v>71</v>
      </c>
      <c r="K85" t="s">
        <v>71</v>
      </c>
      <c r="L85" t="s">
        <v>216</v>
      </c>
      <c r="M85" t="s">
        <v>117</v>
      </c>
      <c r="N85" t="s">
        <v>252</v>
      </c>
      <c r="O85" t="s">
        <v>72</v>
      </c>
      <c r="P85" t="s">
        <v>81</v>
      </c>
      <c r="Q85" s="44">
        <v>82</v>
      </c>
      <c r="R85" s="42">
        <v>1</v>
      </c>
      <c r="S85" s="48">
        <v>15580</v>
      </c>
      <c r="U85" s="44">
        <v>12.776</v>
      </c>
      <c r="V85" s="45">
        <v>6.0000000000000002E-6</v>
      </c>
      <c r="W85" s="45">
        <v>2.4915779841527298E-3</v>
      </c>
      <c r="X85" s="45">
        <v>5.5152384020297495E-4</v>
      </c>
    </row>
    <row r="86" spans="1:24" x14ac:dyDescent="0.25">
      <c r="A86">
        <v>1182</v>
      </c>
      <c r="B86">
        <v>14769</v>
      </c>
      <c r="C86" t="s">
        <v>760</v>
      </c>
      <c r="D86" t="s">
        <v>761</v>
      </c>
      <c r="E86" t="s">
        <v>210</v>
      </c>
      <c r="F86" t="s">
        <v>762</v>
      </c>
      <c r="G86" t="s">
        <v>763</v>
      </c>
      <c r="H86" t="s">
        <v>213</v>
      </c>
      <c r="I86" t="s">
        <v>753</v>
      </c>
      <c r="J86" t="s">
        <v>71</v>
      </c>
      <c r="K86" t="s">
        <v>71</v>
      </c>
      <c r="L86" t="s">
        <v>216</v>
      </c>
      <c r="M86" t="s">
        <v>117</v>
      </c>
      <c r="N86" t="s">
        <v>764</v>
      </c>
      <c r="O86" t="s">
        <v>72</v>
      </c>
      <c r="P86" t="s">
        <v>81</v>
      </c>
      <c r="Q86" s="44">
        <v>111</v>
      </c>
      <c r="R86" s="42">
        <v>1</v>
      </c>
      <c r="S86" s="48">
        <v>1524</v>
      </c>
      <c r="U86" s="44">
        <v>1.6919999999999999</v>
      </c>
      <c r="V86" s="45">
        <v>9.9999999999999995E-7</v>
      </c>
      <c r="W86" s="45">
        <v>3.2991428826138302E-4</v>
      </c>
      <c r="X86" s="45">
        <v>7.3028256132076899E-5</v>
      </c>
    </row>
    <row r="87" spans="1:24" x14ac:dyDescent="0.25">
      <c r="A87">
        <v>1182</v>
      </c>
      <c r="B87">
        <v>14769</v>
      </c>
      <c r="C87" t="s">
        <v>769</v>
      </c>
      <c r="D87" t="s">
        <v>770</v>
      </c>
      <c r="E87" t="s">
        <v>210</v>
      </c>
      <c r="F87" t="s">
        <v>771</v>
      </c>
      <c r="G87" t="s">
        <v>772</v>
      </c>
      <c r="H87" t="s">
        <v>213</v>
      </c>
      <c r="I87" t="s">
        <v>753</v>
      </c>
      <c r="J87" t="s">
        <v>71</v>
      </c>
      <c r="K87" t="s">
        <v>71</v>
      </c>
      <c r="L87" t="s">
        <v>216</v>
      </c>
      <c r="M87" t="s">
        <v>117</v>
      </c>
      <c r="N87" t="s">
        <v>773</v>
      </c>
      <c r="O87" t="s">
        <v>72</v>
      </c>
      <c r="P87" t="s">
        <v>81</v>
      </c>
      <c r="Q87" s="44">
        <v>111</v>
      </c>
      <c r="R87" s="42">
        <v>1</v>
      </c>
      <c r="S87" s="48">
        <v>142500</v>
      </c>
      <c r="U87" s="44">
        <v>158.17500000000001</v>
      </c>
      <c r="V87" s="45">
        <v>1.9999999999999999E-6</v>
      </c>
      <c r="W87" s="45">
        <v>3.08482848275899E-2</v>
      </c>
      <c r="X87" s="45">
        <v>6.8284294611686003E-3</v>
      </c>
    </row>
    <row r="88" spans="1:24" x14ac:dyDescent="0.25">
      <c r="A88">
        <v>1182</v>
      </c>
      <c r="B88">
        <v>14769</v>
      </c>
      <c r="C88" t="s">
        <v>268</v>
      </c>
      <c r="D88" t="s">
        <v>269</v>
      </c>
      <c r="E88" t="s">
        <v>210</v>
      </c>
      <c r="F88" t="s">
        <v>774</v>
      </c>
      <c r="G88" t="s">
        <v>775</v>
      </c>
      <c r="H88" t="s">
        <v>213</v>
      </c>
      <c r="I88" t="s">
        <v>753</v>
      </c>
      <c r="J88" t="s">
        <v>71</v>
      </c>
      <c r="K88" t="s">
        <v>71</v>
      </c>
      <c r="L88" t="s">
        <v>216</v>
      </c>
      <c r="M88" t="s">
        <v>117</v>
      </c>
      <c r="N88" t="s">
        <v>272</v>
      </c>
      <c r="O88" t="s">
        <v>72</v>
      </c>
      <c r="P88" t="s">
        <v>81</v>
      </c>
      <c r="Q88" s="44">
        <v>10</v>
      </c>
      <c r="R88" s="42">
        <v>1</v>
      </c>
      <c r="S88" s="48">
        <v>173080</v>
      </c>
      <c r="U88" s="44">
        <v>17.308</v>
      </c>
      <c r="V88" s="45">
        <v>1.9999999999999999E-6</v>
      </c>
      <c r="W88" s="45">
        <v>3.3755151812608001E-3</v>
      </c>
      <c r="X88" s="45">
        <v>7.4718796974178098E-4</v>
      </c>
    </row>
    <row r="89" spans="1:24" x14ac:dyDescent="0.25">
      <c r="A89">
        <v>1182</v>
      </c>
      <c r="B89">
        <v>14769</v>
      </c>
      <c r="C89" t="s">
        <v>282</v>
      </c>
      <c r="D89" t="s">
        <v>283</v>
      </c>
      <c r="E89" t="s">
        <v>210</v>
      </c>
      <c r="F89" t="s">
        <v>776</v>
      </c>
      <c r="G89" t="s">
        <v>777</v>
      </c>
      <c r="H89" t="s">
        <v>213</v>
      </c>
      <c r="I89" t="s">
        <v>753</v>
      </c>
      <c r="J89" t="s">
        <v>71</v>
      </c>
      <c r="K89" t="s">
        <v>291</v>
      </c>
      <c r="L89" t="s">
        <v>216</v>
      </c>
      <c r="M89" t="s">
        <v>117</v>
      </c>
      <c r="N89" t="s">
        <v>287</v>
      </c>
      <c r="O89" t="s">
        <v>72</v>
      </c>
      <c r="P89" t="s">
        <v>81</v>
      </c>
      <c r="Q89" s="44">
        <v>970</v>
      </c>
      <c r="R89" s="42">
        <v>1</v>
      </c>
      <c r="S89" s="48">
        <v>5941</v>
      </c>
      <c r="U89" s="44">
        <v>57.628</v>
      </c>
      <c r="V89" s="45">
        <v>7.9999999999999996E-6</v>
      </c>
      <c r="W89" s="45">
        <v>1.1238917044785199E-2</v>
      </c>
      <c r="X89" s="45">
        <v>2.4877931687016701E-3</v>
      </c>
    </row>
    <row r="90" spans="1:24" x14ac:dyDescent="0.25">
      <c r="A90">
        <v>1182</v>
      </c>
      <c r="B90">
        <v>14769</v>
      </c>
      <c r="C90" t="s">
        <v>778</v>
      </c>
      <c r="D90" t="s">
        <v>779</v>
      </c>
      <c r="E90" t="s">
        <v>613</v>
      </c>
      <c r="F90" t="s">
        <v>780</v>
      </c>
      <c r="G90" t="s">
        <v>781</v>
      </c>
      <c r="H90" t="s">
        <v>213</v>
      </c>
      <c r="I90" t="s">
        <v>753</v>
      </c>
      <c r="J90" t="s">
        <v>71</v>
      </c>
      <c r="K90" t="s">
        <v>604</v>
      </c>
      <c r="L90" t="s">
        <v>216</v>
      </c>
      <c r="M90" t="s">
        <v>117</v>
      </c>
      <c r="N90" t="s">
        <v>423</v>
      </c>
      <c r="O90" t="s">
        <v>72</v>
      </c>
      <c r="P90" t="s">
        <v>81</v>
      </c>
      <c r="Q90" s="44">
        <v>1099</v>
      </c>
      <c r="R90" s="42">
        <v>1</v>
      </c>
      <c r="S90" s="48">
        <v>4205</v>
      </c>
      <c r="T90" s="44">
        <v>1.226</v>
      </c>
      <c r="U90" s="44">
        <v>47.439</v>
      </c>
      <c r="V90" s="45">
        <v>6.0000000000000002E-6</v>
      </c>
      <c r="W90" s="45">
        <v>9.2518086343141293E-3</v>
      </c>
      <c r="X90" s="45">
        <v>2.0479363115560398E-3</v>
      </c>
    </row>
    <row r="91" spans="1:24" x14ac:dyDescent="0.25">
      <c r="A91">
        <v>1182</v>
      </c>
      <c r="B91">
        <v>14769</v>
      </c>
      <c r="C91" t="s">
        <v>631</v>
      </c>
      <c r="D91" t="s">
        <v>632</v>
      </c>
      <c r="E91" t="s">
        <v>210</v>
      </c>
      <c r="F91" t="s">
        <v>786</v>
      </c>
      <c r="G91" t="s">
        <v>787</v>
      </c>
      <c r="H91" t="s">
        <v>213</v>
      </c>
      <c r="I91" t="s">
        <v>753</v>
      </c>
      <c r="J91" t="s">
        <v>71</v>
      </c>
      <c r="K91" t="s">
        <v>71</v>
      </c>
      <c r="L91" t="s">
        <v>216</v>
      </c>
      <c r="M91" t="s">
        <v>117</v>
      </c>
      <c r="N91" t="s">
        <v>245</v>
      </c>
      <c r="O91" t="s">
        <v>72</v>
      </c>
      <c r="P91" t="s">
        <v>81</v>
      </c>
      <c r="Q91" s="44">
        <v>1132</v>
      </c>
      <c r="R91" s="42">
        <v>1</v>
      </c>
      <c r="S91" s="48">
        <v>5080</v>
      </c>
      <c r="U91" s="44">
        <v>57.506</v>
      </c>
      <c r="V91" s="45">
        <v>1.0000000000000001E-5</v>
      </c>
      <c r="W91" s="45">
        <v>1.1215104333690201E-2</v>
      </c>
      <c r="X91" s="45">
        <v>2.4825221003456801E-3</v>
      </c>
    </row>
    <row r="92" spans="1:24" x14ac:dyDescent="0.25">
      <c r="A92">
        <v>1182</v>
      </c>
      <c r="B92">
        <v>14769</v>
      </c>
      <c r="C92" t="s">
        <v>320</v>
      </c>
      <c r="D92" t="s">
        <v>321</v>
      </c>
      <c r="E92" t="s">
        <v>210</v>
      </c>
      <c r="F92" t="s">
        <v>788</v>
      </c>
      <c r="G92" t="s">
        <v>789</v>
      </c>
      <c r="H92" t="s">
        <v>213</v>
      </c>
      <c r="I92" t="s">
        <v>753</v>
      </c>
      <c r="J92" t="s">
        <v>71</v>
      </c>
      <c r="K92" t="s">
        <v>71</v>
      </c>
      <c r="L92" t="s">
        <v>216</v>
      </c>
      <c r="M92" t="s">
        <v>117</v>
      </c>
      <c r="N92" t="s">
        <v>234</v>
      </c>
      <c r="O92" t="s">
        <v>72</v>
      </c>
      <c r="P92" t="s">
        <v>81</v>
      </c>
      <c r="Q92" s="44">
        <v>973</v>
      </c>
      <c r="R92" s="42">
        <v>1</v>
      </c>
      <c r="S92" s="48">
        <v>88.3</v>
      </c>
      <c r="T92" s="44">
        <v>5.7000000000000002E-2</v>
      </c>
      <c r="U92" s="44">
        <v>0.91600000000000004</v>
      </c>
      <c r="V92" s="45">
        <v>0</v>
      </c>
      <c r="W92" s="45">
        <v>1.78655596338721E-4</v>
      </c>
      <c r="X92" s="45">
        <v>3.9546352228662202E-5</v>
      </c>
    </row>
    <row r="93" spans="1:24" x14ac:dyDescent="0.25">
      <c r="A93">
        <v>1182</v>
      </c>
      <c r="B93">
        <v>14769</v>
      </c>
      <c r="C93" t="s">
        <v>790</v>
      </c>
      <c r="D93" t="s">
        <v>791</v>
      </c>
      <c r="E93" t="s">
        <v>210</v>
      </c>
      <c r="F93" t="s">
        <v>792</v>
      </c>
      <c r="G93" t="s">
        <v>793</v>
      </c>
      <c r="H93" t="s">
        <v>213</v>
      </c>
      <c r="I93" t="s">
        <v>753</v>
      </c>
      <c r="J93" t="s">
        <v>71</v>
      </c>
      <c r="K93" t="s">
        <v>71</v>
      </c>
      <c r="L93" t="s">
        <v>216</v>
      </c>
      <c r="M93" t="s">
        <v>117</v>
      </c>
      <c r="N93" t="s">
        <v>329</v>
      </c>
      <c r="O93" t="s">
        <v>72</v>
      </c>
      <c r="P93" t="s">
        <v>81</v>
      </c>
      <c r="Q93" s="44">
        <v>17792</v>
      </c>
      <c r="R93" s="42">
        <v>1</v>
      </c>
      <c r="S93" s="48">
        <v>546.6</v>
      </c>
      <c r="U93" s="44">
        <v>97.251000000000005</v>
      </c>
      <c r="V93" s="45">
        <v>6.0000000000000002E-6</v>
      </c>
      <c r="W93" s="45">
        <v>1.89665166356533E-2</v>
      </c>
      <c r="X93" s="45">
        <v>4.1983378231391097E-3</v>
      </c>
    </row>
    <row r="94" spans="1:24" x14ac:dyDescent="0.25">
      <c r="A94">
        <v>1182</v>
      </c>
      <c r="B94">
        <v>14769</v>
      </c>
      <c r="C94" t="s">
        <v>331</v>
      </c>
      <c r="D94" t="s">
        <v>332</v>
      </c>
      <c r="E94" t="s">
        <v>210</v>
      </c>
      <c r="F94" t="s">
        <v>794</v>
      </c>
      <c r="G94" t="s">
        <v>795</v>
      </c>
      <c r="H94" t="s">
        <v>213</v>
      </c>
      <c r="I94" t="s">
        <v>753</v>
      </c>
      <c r="J94" t="s">
        <v>71</v>
      </c>
      <c r="K94" t="s">
        <v>71</v>
      </c>
      <c r="L94" t="s">
        <v>216</v>
      </c>
      <c r="M94" t="s">
        <v>117</v>
      </c>
      <c r="N94" t="s">
        <v>258</v>
      </c>
      <c r="O94" t="s">
        <v>72</v>
      </c>
      <c r="P94" t="s">
        <v>81</v>
      </c>
      <c r="Q94" s="44">
        <v>107</v>
      </c>
      <c r="R94" s="42">
        <v>1</v>
      </c>
      <c r="S94" s="48">
        <v>51410</v>
      </c>
      <c r="U94" s="44">
        <v>55.009</v>
      </c>
      <c r="V94" s="45">
        <v>3.9999999999999998E-6</v>
      </c>
      <c r="W94" s="45">
        <v>1.07281431679813E-2</v>
      </c>
      <c r="X94" s="45">
        <v>2.3747306951198699E-3</v>
      </c>
    </row>
    <row r="95" spans="1:24" x14ac:dyDescent="0.25">
      <c r="A95">
        <v>1182</v>
      </c>
      <c r="B95">
        <v>14769</v>
      </c>
      <c r="C95" t="s">
        <v>796</v>
      </c>
      <c r="D95" t="s">
        <v>797</v>
      </c>
      <c r="E95" t="s">
        <v>210</v>
      </c>
      <c r="F95" t="s">
        <v>798</v>
      </c>
      <c r="G95" t="s">
        <v>799</v>
      </c>
      <c r="H95" t="s">
        <v>213</v>
      </c>
      <c r="I95" t="s">
        <v>753</v>
      </c>
      <c r="J95" t="s">
        <v>71</v>
      </c>
      <c r="K95" t="s">
        <v>71</v>
      </c>
      <c r="L95" t="s">
        <v>216</v>
      </c>
      <c r="M95" t="s">
        <v>117</v>
      </c>
      <c r="N95" t="s">
        <v>365</v>
      </c>
      <c r="O95" t="s">
        <v>72</v>
      </c>
      <c r="P95" t="s">
        <v>81</v>
      </c>
      <c r="Q95" s="44">
        <v>364</v>
      </c>
      <c r="R95" s="42">
        <v>1</v>
      </c>
      <c r="S95" s="48">
        <v>18720</v>
      </c>
      <c r="U95" s="44">
        <v>68.141000000000005</v>
      </c>
      <c r="V95" s="45">
        <v>3.9999999999999998E-6</v>
      </c>
      <c r="W95" s="45">
        <v>1.32892480276898E-2</v>
      </c>
      <c r="X95" s="45">
        <v>2.9416446734793602E-3</v>
      </c>
    </row>
    <row r="96" spans="1:24" x14ac:dyDescent="0.25">
      <c r="A96">
        <v>1182</v>
      </c>
      <c r="B96">
        <v>14769</v>
      </c>
      <c r="C96" t="s">
        <v>800</v>
      </c>
      <c r="D96" t="s">
        <v>801</v>
      </c>
      <c r="E96" t="s">
        <v>210</v>
      </c>
      <c r="F96" t="s">
        <v>802</v>
      </c>
      <c r="G96" t="s">
        <v>803</v>
      </c>
      <c r="H96" t="s">
        <v>213</v>
      </c>
      <c r="I96" t="s">
        <v>753</v>
      </c>
      <c r="J96" t="s">
        <v>71</v>
      </c>
      <c r="K96" t="s">
        <v>71</v>
      </c>
      <c r="L96" t="s">
        <v>216</v>
      </c>
      <c r="M96" t="s">
        <v>117</v>
      </c>
      <c r="N96" t="s">
        <v>365</v>
      </c>
      <c r="O96" t="s">
        <v>72</v>
      </c>
      <c r="P96" t="s">
        <v>81</v>
      </c>
      <c r="Q96" s="44">
        <v>4749</v>
      </c>
      <c r="R96" s="42">
        <v>1</v>
      </c>
      <c r="S96" s="48">
        <v>2572</v>
      </c>
      <c r="T96" s="44">
        <v>1.214</v>
      </c>
      <c r="U96" s="44">
        <v>123.358</v>
      </c>
      <c r="V96" s="45">
        <v>3.9999999999999998E-6</v>
      </c>
      <c r="W96" s="45">
        <v>2.40580853831984E-2</v>
      </c>
      <c r="X96" s="45">
        <v>5.3253832402057897E-3</v>
      </c>
    </row>
    <row r="97" spans="1:24" x14ac:dyDescent="0.25">
      <c r="A97">
        <v>1182</v>
      </c>
      <c r="B97">
        <v>14769</v>
      </c>
      <c r="C97" t="s">
        <v>1066</v>
      </c>
      <c r="D97" t="s">
        <v>1067</v>
      </c>
      <c r="E97" t="s">
        <v>210</v>
      </c>
      <c r="F97" t="s">
        <v>1068</v>
      </c>
      <c r="G97" t="s">
        <v>1069</v>
      </c>
      <c r="H97" t="s">
        <v>213</v>
      </c>
      <c r="I97" t="s">
        <v>753</v>
      </c>
      <c r="J97" t="s">
        <v>71</v>
      </c>
      <c r="K97" t="s">
        <v>71</v>
      </c>
      <c r="L97" t="s">
        <v>216</v>
      </c>
      <c r="M97" t="s">
        <v>117</v>
      </c>
      <c r="N97" t="s">
        <v>423</v>
      </c>
      <c r="O97" t="s">
        <v>72</v>
      </c>
      <c r="P97" t="s">
        <v>81</v>
      </c>
      <c r="Q97" s="44">
        <v>105</v>
      </c>
      <c r="R97" s="42">
        <v>1</v>
      </c>
      <c r="S97" s="48">
        <v>57450</v>
      </c>
      <c r="U97" s="44">
        <v>60.322000000000003</v>
      </c>
      <c r="V97" s="45">
        <v>6.0000000000000002E-6</v>
      </c>
      <c r="W97" s="45">
        <v>1.1764473915045299E-2</v>
      </c>
      <c r="X97" s="45">
        <v>2.6041279353332899E-3</v>
      </c>
    </row>
    <row r="98" spans="1:24" x14ac:dyDescent="0.25">
      <c r="A98">
        <v>1182</v>
      </c>
      <c r="B98">
        <v>14769</v>
      </c>
      <c r="C98" t="s">
        <v>804</v>
      </c>
      <c r="D98" t="s">
        <v>805</v>
      </c>
      <c r="E98" t="s">
        <v>210</v>
      </c>
      <c r="F98" t="s">
        <v>806</v>
      </c>
      <c r="G98" t="s">
        <v>807</v>
      </c>
      <c r="H98" t="s">
        <v>213</v>
      </c>
      <c r="I98" t="s">
        <v>753</v>
      </c>
      <c r="J98" t="s">
        <v>71</v>
      </c>
      <c r="K98" t="s">
        <v>71</v>
      </c>
      <c r="L98" t="s">
        <v>216</v>
      </c>
      <c r="M98" t="s">
        <v>117</v>
      </c>
      <c r="N98" t="s">
        <v>808</v>
      </c>
      <c r="O98" t="s">
        <v>72</v>
      </c>
      <c r="P98" t="s">
        <v>81</v>
      </c>
      <c r="Q98" s="44">
        <v>452</v>
      </c>
      <c r="R98" s="42">
        <v>1</v>
      </c>
      <c r="S98" s="48">
        <v>17650</v>
      </c>
      <c r="U98" s="44">
        <v>79.778000000000006</v>
      </c>
      <c r="V98" s="45">
        <v>1.7E-5</v>
      </c>
      <c r="W98" s="45">
        <v>1.5558808073181401E-2</v>
      </c>
      <c r="X98" s="45">
        <v>3.4440236798047E-3</v>
      </c>
    </row>
    <row r="99" spans="1:24" x14ac:dyDescent="0.25">
      <c r="A99">
        <v>1182</v>
      </c>
      <c r="B99">
        <v>14769</v>
      </c>
      <c r="C99" t="s">
        <v>809</v>
      </c>
      <c r="D99" t="s">
        <v>810</v>
      </c>
      <c r="E99" t="s">
        <v>210</v>
      </c>
      <c r="F99" t="s">
        <v>811</v>
      </c>
      <c r="G99" t="s">
        <v>812</v>
      </c>
      <c r="H99" t="s">
        <v>213</v>
      </c>
      <c r="I99" t="s">
        <v>753</v>
      </c>
      <c r="J99" t="s">
        <v>71</v>
      </c>
      <c r="K99" t="s">
        <v>71</v>
      </c>
      <c r="L99" t="s">
        <v>216</v>
      </c>
      <c r="M99" t="s">
        <v>117</v>
      </c>
      <c r="N99" t="s">
        <v>515</v>
      </c>
      <c r="O99" t="s">
        <v>72</v>
      </c>
      <c r="P99" t="s">
        <v>81</v>
      </c>
      <c r="Q99" s="44">
        <v>5200</v>
      </c>
      <c r="R99" s="42">
        <v>1</v>
      </c>
      <c r="S99" s="48">
        <v>638.4</v>
      </c>
      <c r="U99" s="44">
        <v>33.197000000000003</v>
      </c>
      <c r="V99" s="45">
        <v>5.7000000000000003E-5</v>
      </c>
      <c r="W99" s="45">
        <v>6.4742490391309403E-3</v>
      </c>
      <c r="X99" s="45">
        <v>1.43310894348994E-3</v>
      </c>
    </row>
    <row r="100" spans="1:24" x14ac:dyDescent="0.25">
      <c r="A100">
        <v>1182</v>
      </c>
      <c r="B100">
        <v>14769</v>
      </c>
      <c r="C100" t="s">
        <v>813</v>
      </c>
      <c r="D100" t="s">
        <v>814</v>
      </c>
      <c r="E100" t="s">
        <v>210</v>
      </c>
      <c r="F100" t="s">
        <v>815</v>
      </c>
      <c r="G100" t="s">
        <v>816</v>
      </c>
      <c r="H100" t="s">
        <v>213</v>
      </c>
      <c r="I100" t="s">
        <v>753</v>
      </c>
      <c r="J100" t="s">
        <v>71</v>
      </c>
      <c r="K100" t="s">
        <v>71</v>
      </c>
      <c r="L100" t="s">
        <v>216</v>
      </c>
      <c r="M100" t="s">
        <v>117</v>
      </c>
      <c r="N100" t="s">
        <v>252</v>
      </c>
      <c r="O100" t="s">
        <v>72</v>
      </c>
      <c r="P100" t="s">
        <v>81</v>
      </c>
      <c r="Q100" s="44">
        <v>1582</v>
      </c>
      <c r="R100" s="42">
        <v>1</v>
      </c>
      <c r="S100" s="48">
        <v>6881</v>
      </c>
      <c r="U100" s="44">
        <v>108.857</v>
      </c>
      <c r="V100" s="45">
        <v>6.0000000000000002E-6</v>
      </c>
      <c r="W100" s="45">
        <v>2.1230059729771399E-2</v>
      </c>
      <c r="X100" s="45">
        <v>4.6993849457550498E-3</v>
      </c>
    </row>
    <row r="101" spans="1:24" x14ac:dyDescent="0.25">
      <c r="A101">
        <v>1182</v>
      </c>
      <c r="B101">
        <v>14769</v>
      </c>
      <c r="C101" t="s">
        <v>1070</v>
      </c>
      <c r="D101" t="s">
        <v>1071</v>
      </c>
      <c r="E101" t="s">
        <v>210</v>
      </c>
      <c r="F101" t="s">
        <v>1072</v>
      </c>
      <c r="G101" t="s">
        <v>1073</v>
      </c>
      <c r="H101" t="s">
        <v>213</v>
      </c>
      <c r="I101" t="s">
        <v>753</v>
      </c>
      <c r="J101" t="s">
        <v>71</v>
      </c>
      <c r="K101" t="s">
        <v>71</v>
      </c>
      <c r="L101" t="s">
        <v>216</v>
      </c>
      <c r="M101" t="s">
        <v>117</v>
      </c>
      <c r="N101" t="s">
        <v>252</v>
      </c>
      <c r="O101" t="s">
        <v>72</v>
      </c>
      <c r="P101" t="s">
        <v>81</v>
      </c>
      <c r="Q101" s="44">
        <v>438</v>
      </c>
      <c r="R101" s="42">
        <v>1</v>
      </c>
      <c r="S101" s="48">
        <v>5909</v>
      </c>
      <c r="U101" s="44">
        <v>25.881</v>
      </c>
      <c r="V101" s="45">
        <v>1.9999999999999999E-6</v>
      </c>
      <c r="W101" s="45">
        <v>5.0475575527262999E-3</v>
      </c>
      <c r="X101" s="45">
        <v>1.11730330851828E-3</v>
      </c>
    </row>
    <row r="102" spans="1:24" x14ac:dyDescent="0.25">
      <c r="A102">
        <v>1182</v>
      </c>
      <c r="B102">
        <v>14769</v>
      </c>
      <c r="C102" t="s">
        <v>821</v>
      </c>
      <c r="D102" t="s">
        <v>822</v>
      </c>
      <c r="E102" t="s">
        <v>210</v>
      </c>
      <c r="F102" t="s">
        <v>823</v>
      </c>
      <c r="G102" t="s">
        <v>824</v>
      </c>
      <c r="H102" t="s">
        <v>213</v>
      </c>
      <c r="I102" t="s">
        <v>753</v>
      </c>
      <c r="J102" t="s">
        <v>71</v>
      </c>
      <c r="K102" t="s">
        <v>71</v>
      </c>
      <c r="L102" t="s">
        <v>216</v>
      </c>
      <c r="M102" t="s">
        <v>117</v>
      </c>
      <c r="N102" t="s">
        <v>825</v>
      </c>
      <c r="O102" t="s">
        <v>72</v>
      </c>
      <c r="P102" t="s">
        <v>81</v>
      </c>
      <c r="Q102" s="44">
        <v>65</v>
      </c>
      <c r="R102" s="42">
        <v>1</v>
      </c>
      <c r="S102" s="48">
        <v>22740</v>
      </c>
      <c r="U102" s="44">
        <v>14.781000000000001</v>
      </c>
      <c r="V102" s="45">
        <v>3.0000000000000001E-6</v>
      </c>
      <c r="W102" s="45">
        <v>2.8826837239551602E-3</v>
      </c>
      <c r="X102" s="45">
        <v>6.3809714471650496E-4</v>
      </c>
    </row>
    <row r="103" spans="1:24" x14ac:dyDescent="0.25">
      <c r="A103">
        <v>1182</v>
      </c>
      <c r="B103">
        <v>14769</v>
      </c>
      <c r="C103" t="s">
        <v>826</v>
      </c>
      <c r="D103" t="s">
        <v>827</v>
      </c>
      <c r="E103" t="s">
        <v>210</v>
      </c>
      <c r="F103" t="s">
        <v>828</v>
      </c>
      <c r="G103" t="s">
        <v>829</v>
      </c>
      <c r="H103" t="s">
        <v>213</v>
      </c>
      <c r="I103" t="s">
        <v>753</v>
      </c>
      <c r="J103" t="s">
        <v>71</v>
      </c>
      <c r="K103" t="s">
        <v>215</v>
      </c>
      <c r="L103" t="s">
        <v>216</v>
      </c>
      <c r="M103" t="s">
        <v>117</v>
      </c>
      <c r="N103" t="s">
        <v>830</v>
      </c>
      <c r="O103" t="s">
        <v>72</v>
      </c>
      <c r="P103" t="s">
        <v>81</v>
      </c>
      <c r="Q103" s="44">
        <v>424</v>
      </c>
      <c r="R103" s="42">
        <v>1</v>
      </c>
      <c r="S103" s="48">
        <v>13000</v>
      </c>
      <c r="U103" s="44">
        <v>55.12</v>
      </c>
      <c r="V103" s="45">
        <v>3.9999999999999998E-6</v>
      </c>
      <c r="W103" s="45">
        <v>1.0749849595048201E-2</v>
      </c>
      <c r="X103" s="45">
        <v>2.3795355264713998E-3</v>
      </c>
    </row>
    <row r="104" spans="1:24" x14ac:dyDescent="0.25">
      <c r="A104">
        <v>1182</v>
      </c>
      <c r="B104">
        <v>14769</v>
      </c>
      <c r="C104" t="s">
        <v>624</v>
      </c>
      <c r="D104" t="s">
        <v>625</v>
      </c>
      <c r="E104" t="s">
        <v>210</v>
      </c>
      <c r="F104" t="s">
        <v>831</v>
      </c>
      <c r="G104" t="s">
        <v>832</v>
      </c>
      <c r="H104" t="s">
        <v>213</v>
      </c>
      <c r="I104" t="s">
        <v>753</v>
      </c>
      <c r="J104" t="s">
        <v>71</v>
      </c>
      <c r="K104" t="s">
        <v>291</v>
      </c>
      <c r="L104" t="s">
        <v>216</v>
      </c>
      <c r="M104" t="s">
        <v>117</v>
      </c>
      <c r="N104" t="s">
        <v>628</v>
      </c>
      <c r="O104" t="s">
        <v>72</v>
      </c>
      <c r="P104" t="s">
        <v>81</v>
      </c>
      <c r="Q104" s="44">
        <v>1253</v>
      </c>
      <c r="R104" s="42">
        <v>1</v>
      </c>
      <c r="S104" s="48">
        <v>5587</v>
      </c>
      <c r="U104" s="44">
        <v>70.004999999999995</v>
      </c>
      <c r="V104" s="45">
        <v>9.9999999999999995E-7</v>
      </c>
      <c r="W104" s="45">
        <v>1.36528375069813E-2</v>
      </c>
      <c r="X104" s="45">
        <v>3.02212710957072E-3</v>
      </c>
    </row>
    <row r="105" spans="1:24" x14ac:dyDescent="0.25">
      <c r="A105">
        <v>1182</v>
      </c>
      <c r="B105">
        <v>14769</v>
      </c>
      <c r="C105" t="s">
        <v>833</v>
      </c>
      <c r="D105" t="s">
        <v>834</v>
      </c>
      <c r="E105" t="s">
        <v>210</v>
      </c>
      <c r="F105" t="s">
        <v>835</v>
      </c>
      <c r="G105" t="s">
        <v>836</v>
      </c>
      <c r="H105" t="s">
        <v>213</v>
      </c>
      <c r="I105" t="s">
        <v>753</v>
      </c>
      <c r="J105" t="s">
        <v>71</v>
      </c>
      <c r="K105" t="s">
        <v>71</v>
      </c>
      <c r="L105" t="s">
        <v>216</v>
      </c>
      <c r="M105" t="s">
        <v>117</v>
      </c>
      <c r="N105" t="s">
        <v>837</v>
      </c>
      <c r="O105" t="s">
        <v>72</v>
      </c>
      <c r="P105" t="s">
        <v>81</v>
      </c>
      <c r="Q105" s="44">
        <v>5251</v>
      </c>
      <c r="R105" s="42">
        <v>1</v>
      </c>
      <c r="S105" s="48">
        <v>692.7</v>
      </c>
      <c r="U105" s="44">
        <v>36.374000000000002</v>
      </c>
      <c r="V105" s="45">
        <v>4.8000000000000001E-5</v>
      </c>
      <c r="W105" s="45">
        <v>7.0938236024830504E-3</v>
      </c>
      <c r="X105" s="45">
        <v>1.57025501904745E-3</v>
      </c>
    </row>
    <row r="106" spans="1:24" x14ac:dyDescent="0.25">
      <c r="A106">
        <v>1182</v>
      </c>
      <c r="B106">
        <v>14769</v>
      </c>
      <c r="C106" t="s">
        <v>838</v>
      </c>
      <c r="D106" t="s">
        <v>839</v>
      </c>
      <c r="E106" t="s">
        <v>210</v>
      </c>
      <c r="F106" t="s">
        <v>840</v>
      </c>
      <c r="G106" t="s">
        <v>841</v>
      </c>
      <c r="H106" t="s">
        <v>213</v>
      </c>
      <c r="I106" t="s">
        <v>753</v>
      </c>
      <c r="J106" t="s">
        <v>71</v>
      </c>
      <c r="K106" t="s">
        <v>71</v>
      </c>
      <c r="L106" t="s">
        <v>216</v>
      </c>
      <c r="M106" t="s">
        <v>117</v>
      </c>
      <c r="N106" t="s">
        <v>429</v>
      </c>
      <c r="O106" t="s">
        <v>72</v>
      </c>
      <c r="P106" t="s">
        <v>81</v>
      </c>
      <c r="Q106" s="44">
        <v>13514</v>
      </c>
      <c r="R106" s="42">
        <v>1</v>
      </c>
      <c r="S106" s="48">
        <v>1651</v>
      </c>
      <c r="U106" s="44">
        <v>223.11600000000001</v>
      </c>
      <c r="V106" s="45">
        <v>6.7000000000000002E-5</v>
      </c>
      <c r="W106" s="45">
        <v>4.3513515007759899E-2</v>
      </c>
      <c r="X106" s="45">
        <v>9.6319445148615093E-3</v>
      </c>
    </row>
    <row r="107" spans="1:24" x14ac:dyDescent="0.25">
      <c r="A107">
        <v>1182</v>
      </c>
      <c r="B107">
        <v>14769</v>
      </c>
      <c r="C107" t="s">
        <v>842</v>
      </c>
      <c r="D107" t="s">
        <v>843</v>
      </c>
      <c r="E107" t="s">
        <v>210</v>
      </c>
      <c r="F107" t="s">
        <v>844</v>
      </c>
      <c r="G107" t="s">
        <v>845</v>
      </c>
      <c r="H107" t="s">
        <v>213</v>
      </c>
      <c r="I107" t="s">
        <v>753</v>
      </c>
      <c r="J107" t="s">
        <v>71</v>
      </c>
      <c r="K107" t="s">
        <v>71</v>
      </c>
      <c r="L107" t="s">
        <v>216</v>
      </c>
      <c r="M107" t="s">
        <v>117</v>
      </c>
      <c r="N107" t="s">
        <v>252</v>
      </c>
      <c r="O107" t="s">
        <v>72</v>
      </c>
      <c r="P107" t="s">
        <v>81</v>
      </c>
      <c r="Q107" s="44">
        <v>1022</v>
      </c>
      <c r="R107" s="42">
        <v>1</v>
      </c>
      <c r="S107" s="48">
        <v>9094</v>
      </c>
      <c r="U107" s="44">
        <v>92.941000000000003</v>
      </c>
      <c r="V107" s="45">
        <v>1.2999999999999999E-5</v>
      </c>
      <c r="W107" s="45">
        <v>1.8125876837110099E-2</v>
      </c>
      <c r="X107" s="45">
        <v>4.0122577996082997E-3</v>
      </c>
    </row>
    <row r="108" spans="1:24" x14ac:dyDescent="0.25">
      <c r="A108">
        <v>1182</v>
      </c>
      <c r="B108">
        <v>14769</v>
      </c>
      <c r="C108" t="s">
        <v>82</v>
      </c>
      <c r="D108" t="s">
        <v>431</v>
      </c>
      <c r="E108" t="s">
        <v>210</v>
      </c>
      <c r="F108" t="s">
        <v>846</v>
      </c>
      <c r="G108" t="s">
        <v>847</v>
      </c>
      <c r="H108" t="s">
        <v>213</v>
      </c>
      <c r="I108" t="s">
        <v>753</v>
      </c>
      <c r="J108" t="s">
        <v>71</v>
      </c>
      <c r="K108" t="s">
        <v>71</v>
      </c>
      <c r="L108" t="s">
        <v>216</v>
      </c>
      <c r="M108" t="s">
        <v>117</v>
      </c>
      <c r="N108" t="s">
        <v>365</v>
      </c>
      <c r="O108" t="s">
        <v>72</v>
      </c>
      <c r="P108" t="s">
        <v>81</v>
      </c>
      <c r="Q108" s="44">
        <v>5936</v>
      </c>
      <c r="R108" s="42">
        <v>1</v>
      </c>
      <c r="S108" s="48">
        <v>4982</v>
      </c>
      <c r="U108" s="44">
        <v>295.73200000000003</v>
      </c>
      <c r="V108" s="45">
        <v>3.9999999999999998E-6</v>
      </c>
      <c r="W108" s="45">
        <v>5.7675423811955798E-2</v>
      </c>
      <c r="X108" s="45">
        <v>1.2766757223102099E-2</v>
      </c>
    </row>
    <row r="109" spans="1:24" x14ac:dyDescent="0.25">
      <c r="A109">
        <v>1182</v>
      </c>
      <c r="B109">
        <v>14769</v>
      </c>
      <c r="C109" t="s">
        <v>1074</v>
      </c>
      <c r="D109" t="s">
        <v>1075</v>
      </c>
      <c r="E109" t="s">
        <v>210</v>
      </c>
      <c r="F109" t="s">
        <v>1076</v>
      </c>
      <c r="G109" t="s">
        <v>1077</v>
      </c>
      <c r="H109" t="s">
        <v>213</v>
      </c>
      <c r="I109" t="s">
        <v>753</v>
      </c>
      <c r="J109" t="s">
        <v>71</v>
      </c>
      <c r="K109" t="s">
        <v>71</v>
      </c>
      <c r="L109" t="s">
        <v>216</v>
      </c>
      <c r="M109" t="s">
        <v>117</v>
      </c>
      <c r="N109" t="s">
        <v>837</v>
      </c>
      <c r="O109" t="s">
        <v>72</v>
      </c>
      <c r="P109" t="s">
        <v>81</v>
      </c>
      <c r="Q109" s="44">
        <v>49</v>
      </c>
      <c r="R109" s="42">
        <v>1</v>
      </c>
      <c r="S109" s="48">
        <v>23560</v>
      </c>
      <c r="U109" s="44">
        <v>11.544</v>
      </c>
      <c r="V109" s="45">
        <v>3.0000000000000001E-6</v>
      </c>
      <c r="W109" s="45">
        <v>2.2514616049541902E-3</v>
      </c>
      <c r="X109" s="45">
        <v>4.9837282169442004E-4</v>
      </c>
    </row>
    <row r="110" spans="1:24" x14ac:dyDescent="0.25">
      <c r="A110">
        <v>1182</v>
      </c>
      <c r="B110">
        <v>14769</v>
      </c>
      <c r="C110" t="s">
        <v>444</v>
      </c>
      <c r="D110" t="s">
        <v>445</v>
      </c>
      <c r="E110" t="s">
        <v>210</v>
      </c>
      <c r="F110" t="s">
        <v>848</v>
      </c>
      <c r="G110" t="s">
        <v>849</v>
      </c>
      <c r="H110" t="s">
        <v>213</v>
      </c>
      <c r="I110" t="s">
        <v>753</v>
      </c>
      <c r="J110" t="s">
        <v>71</v>
      </c>
      <c r="K110" t="s">
        <v>71</v>
      </c>
      <c r="L110" t="s">
        <v>216</v>
      </c>
      <c r="M110" t="s">
        <v>117</v>
      </c>
      <c r="N110" t="s">
        <v>258</v>
      </c>
      <c r="O110" t="s">
        <v>72</v>
      </c>
      <c r="P110" t="s">
        <v>81</v>
      </c>
      <c r="Q110" s="44">
        <v>5768</v>
      </c>
      <c r="R110" s="42">
        <v>1</v>
      </c>
      <c r="S110" s="48">
        <v>992.1</v>
      </c>
      <c r="T110" s="44">
        <v>0.54800000000000004</v>
      </c>
      <c r="U110" s="44">
        <v>57.771999999999998</v>
      </c>
      <c r="V110" s="45">
        <v>7.9999999999999996E-6</v>
      </c>
      <c r="W110" s="45">
        <v>1.1267062850189E-2</v>
      </c>
      <c r="X110" s="45">
        <v>2.4940233901840601E-3</v>
      </c>
    </row>
    <row r="111" spans="1:24" x14ac:dyDescent="0.25">
      <c r="A111">
        <v>1182</v>
      </c>
      <c r="B111">
        <v>14769</v>
      </c>
      <c r="C111" t="s">
        <v>852</v>
      </c>
      <c r="D111" t="s">
        <v>853</v>
      </c>
      <c r="E111" t="s">
        <v>210</v>
      </c>
      <c r="F111" t="s">
        <v>854</v>
      </c>
      <c r="G111" t="s">
        <v>855</v>
      </c>
      <c r="H111" t="s">
        <v>213</v>
      </c>
      <c r="I111" t="s">
        <v>753</v>
      </c>
      <c r="J111" t="s">
        <v>71</v>
      </c>
      <c r="K111" t="s">
        <v>71</v>
      </c>
      <c r="L111" t="s">
        <v>216</v>
      </c>
      <c r="M111" t="s">
        <v>117</v>
      </c>
      <c r="N111" t="s">
        <v>856</v>
      </c>
      <c r="O111" t="s">
        <v>72</v>
      </c>
      <c r="P111" t="s">
        <v>81</v>
      </c>
      <c r="Q111" s="44">
        <v>102</v>
      </c>
      <c r="R111" s="42">
        <v>1</v>
      </c>
      <c r="S111" s="48">
        <v>22800</v>
      </c>
      <c r="U111" s="44">
        <v>23.256</v>
      </c>
      <c r="V111" s="45">
        <v>3.0000000000000001E-5</v>
      </c>
      <c r="W111" s="45">
        <v>4.53553160708349E-3</v>
      </c>
      <c r="X111" s="45">
        <v>1.00396368293938E-3</v>
      </c>
    </row>
    <row r="112" spans="1:24" x14ac:dyDescent="0.25">
      <c r="A112">
        <v>1182</v>
      </c>
      <c r="B112">
        <v>14769</v>
      </c>
      <c r="C112" t="s">
        <v>857</v>
      </c>
      <c r="D112" t="s">
        <v>858</v>
      </c>
      <c r="E112" t="s">
        <v>210</v>
      </c>
      <c r="F112" t="s">
        <v>859</v>
      </c>
      <c r="G112" t="s">
        <v>860</v>
      </c>
      <c r="H112" t="s">
        <v>213</v>
      </c>
      <c r="I112" t="s">
        <v>753</v>
      </c>
      <c r="J112" t="s">
        <v>71</v>
      </c>
      <c r="K112" t="s">
        <v>71</v>
      </c>
      <c r="L112" t="s">
        <v>216</v>
      </c>
      <c r="M112" t="s">
        <v>117</v>
      </c>
      <c r="N112" t="s">
        <v>365</v>
      </c>
      <c r="O112" t="s">
        <v>72</v>
      </c>
      <c r="P112" t="s">
        <v>81</v>
      </c>
      <c r="Q112" s="44">
        <v>387</v>
      </c>
      <c r="R112" s="42">
        <v>1</v>
      </c>
      <c r="S112" s="48">
        <v>16650</v>
      </c>
      <c r="U112" s="44">
        <v>64.436000000000007</v>
      </c>
      <c r="V112" s="45">
        <v>9.9999999999999995E-7</v>
      </c>
      <c r="W112" s="45">
        <v>1.2566617082397201E-2</v>
      </c>
      <c r="X112" s="45">
        <v>2.7816865278655302E-3</v>
      </c>
    </row>
    <row r="113" spans="1:24" x14ac:dyDescent="0.25">
      <c r="A113">
        <v>1182</v>
      </c>
      <c r="B113">
        <v>14769</v>
      </c>
      <c r="C113" t="s">
        <v>483</v>
      </c>
      <c r="D113" t="s">
        <v>484</v>
      </c>
      <c r="E113" t="s">
        <v>210</v>
      </c>
      <c r="F113" t="s">
        <v>865</v>
      </c>
      <c r="G113" t="s">
        <v>866</v>
      </c>
      <c r="H113" t="s">
        <v>213</v>
      </c>
      <c r="I113" t="s">
        <v>753</v>
      </c>
      <c r="J113" t="s">
        <v>71</v>
      </c>
      <c r="K113" t="s">
        <v>71</v>
      </c>
      <c r="L113" t="s">
        <v>216</v>
      </c>
      <c r="M113" t="s">
        <v>117</v>
      </c>
      <c r="N113" t="s">
        <v>258</v>
      </c>
      <c r="O113" t="s">
        <v>72</v>
      </c>
      <c r="P113" t="s">
        <v>81</v>
      </c>
      <c r="Q113" s="44">
        <v>260</v>
      </c>
      <c r="R113" s="42">
        <v>1</v>
      </c>
      <c r="S113" s="48">
        <v>28940</v>
      </c>
      <c r="T113" s="44">
        <v>0.49199999999999999</v>
      </c>
      <c r="U113" s="44">
        <v>75.736000000000004</v>
      </c>
      <c r="V113" s="45">
        <v>5.0000000000000004E-6</v>
      </c>
      <c r="W113" s="45">
        <v>1.47704649667393E-2</v>
      </c>
      <c r="X113" s="45">
        <v>3.2695198030535501E-3</v>
      </c>
    </row>
    <row r="114" spans="1:24" x14ac:dyDescent="0.25">
      <c r="A114">
        <v>1182</v>
      </c>
      <c r="B114">
        <v>14769</v>
      </c>
      <c r="C114" t="s">
        <v>867</v>
      </c>
      <c r="D114" t="s">
        <v>868</v>
      </c>
      <c r="E114" t="s">
        <v>210</v>
      </c>
      <c r="F114" t="s">
        <v>869</v>
      </c>
      <c r="G114" t="s">
        <v>870</v>
      </c>
      <c r="H114" t="s">
        <v>213</v>
      </c>
      <c r="I114" t="s">
        <v>753</v>
      </c>
      <c r="J114" t="s">
        <v>71</v>
      </c>
      <c r="K114" t="s">
        <v>71</v>
      </c>
      <c r="L114" t="s">
        <v>216</v>
      </c>
      <c r="M114" t="s">
        <v>117</v>
      </c>
      <c r="N114" t="s">
        <v>252</v>
      </c>
      <c r="O114" t="s">
        <v>72</v>
      </c>
      <c r="P114" t="s">
        <v>81</v>
      </c>
      <c r="Q114" s="44">
        <v>433</v>
      </c>
      <c r="R114" s="42">
        <v>1</v>
      </c>
      <c r="S114" s="48">
        <v>18600</v>
      </c>
      <c r="T114" s="44">
        <v>1.042</v>
      </c>
      <c r="U114" s="44">
        <v>81.58</v>
      </c>
      <c r="V114" s="45">
        <v>6.9999999999999999E-6</v>
      </c>
      <c r="W114" s="45">
        <v>1.5910194756951001E-2</v>
      </c>
      <c r="X114" s="45">
        <v>3.5218049631767002E-3</v>
      </c>
    </row>
    <row r="115" spans="1:24" x14ac:dyDescent="0.25">
      <c r="A115">
        <v>1182</v>
      </c>
      <c r="B115">
        <v>14769</v>
      </c>
      <c r="C115" t="s">
        <v>494</v>
      </c>
      <c r="D115" t="s">
        <v>495</v>
      </c>
      <c r="E115" t="s">
        <v>210</v>
      </c>
      <c r="F115" t="s">
        <v>871</v>
      </c>
      <c r="G115" t="s">
        <v>872</v>
      </c>
      <c r="H115" t="s">
        <v>213</v>
      </c>
      <c r="I115" t="s">
        <v>753</v>
      </c>
      <c r="J115" t="s">
        <v>71</v>
      </c>
      <c r="K115" t="s">
        <v>71</v>
      </c>
      <c r="L115" t="s">
        <v>216</v>
      </c>
      <c r="M115" t="s">
        <v>117</v>
      </c>
      <c r="N115" t="s">
        <v>498</v>
      </c>
      <c r="O115" t="s">
        <v>72</v>
      </c>
      <c r="P115" t="s">
        <v>81</v>
      </c>
      <c r="Q115" s="44">
        <v>2462</v>
      </c>
      <c r="R115" s="42">
        <v>1</v>
      </c>
      <c r="S115" s="48">
        <v>1700</v>
      </c>
      <c r="U115" s="44">
        <v>41.853999999999999</v>
      </c>
      <c r="V115" s="45">
        <v>4.1E-5</v>
      </c>
      <c r="W115" s="45">
        <v>8.1626307139178005E-3</v>
      </c>
      <c r="X115" s="45">
        <v>1.80684107265845E-3</v>
      </c>
    </row>
    <row r="116" spans="1:24" x14ac:dyDescent="0.25">
      <c r="A116">
        <v>1182</v>
      </c>
      <c r="B116">
        <v>14769</v>
      </c>
      <c r="C116" t="s">
        <v>877</v>
      </c>
      <c r="D116" t="s">
        <v>878</v>
      </c>
      <c r="E116" t="s">
        <v>420</v>
      </c>
      <c r="F116" t="s">
        <v>879</v>
      </c>
      <c r="G116" t="s">
        <v>880</v>
      </c>
      <c r="H116" t="s">
        <v>213</v>
      </c>
      <c r="I116" t="s">
        <v>753</v>
      </c>
      <c r="J116" t="s">
        <v>71</v>
      </c>
      <c r="K116" t="s">
        <v>71</v>
      </c>
      <c r="L116" t="s">
        <v>216</v>
      </c>
      <c r="M116" t="s">
        <v>117</v>
      </c>
      <c r="N116" t="s">
        <v>423</v>
      </c>
      <c r="O116" t="s">
        <v>72</v>
      </c>
      <c r="P116" t="s">
        <v>81</v>
      </c>
      <c r="Q116" s="44">
        <v>5251</v>
      </c>
      <c r="R116" s="42">
        <v>1</v>
      </c>
      <c r="S116" s="48">
        <v>1249</v>
      </c>
      <c r="T116" s="44">
        <v>0.995</v>
      </c>
      <c r="U116" s="44">
        <v>66.58</v>
      </c>
      <c r="V116" s="45">
        <v>3.9999999999999998E-6</v>
      </c>
      <c r="W116" s="45">
        <v>1.29847573677523E-2</v>
      </c>
      <c r="X116" s="45">
        <v>2.8742440706715001E-3</v>
      </c>
    </row>
    <row r="117" spans="1:24" x14ac:dyDescent="0.25">
      <c r="A117">
        <v>1182</v>
      </c>
      <c r="B117">
        <v>14769</v>
      </c>
      <c r="C117" t="s">
        <v>881</v>
      </c>
      <c r="D117" t="s">
        <v>882</v>
      </c>
      <c r="E117" t="s">
        <v>210</v>
      </c>
      <c r="F117" t="s">
        <v>883</v>
      </c>
      <c r="G117" t="s">
        <v>884</v>
      </c>
      <c r="H117" t="s">
        <v>213</v>
      </c>
      <c r="I117" t="s">
        <v>753</v>
      </c>
      <c r="J117" t="s">
        <v>71</v>
      </c>
      <c r="K117" t="s">
        <v>291</v>
      </c>
      <c r="L117" t="s">
        <v>216</v>
      </c>
      <c r="M117" t="s">
        <v>117</v>
      </c>
      <c r="N117" t="s">
        <v>526</v>
      </c>
      <c r="O117" t="s">
        <v>72</v>
      </c>
      <c r="P117" t="s">
        <v>81</v>
      </c>
      <c r="Q117" s="44">
        <v>239</v>
      </c>
      <c r="R117" s="42">
        <v>1</v>
      </c>
      <c r="S117" s="48">
        <v>56600</v>
      </c>
      <c r="U117" s="44">
        <v>135.274</v>
      </c>
      <c r="V117" s="45">
        <v>3.0000000000000001E-6</v>
      </c>
      <c r="W117" s="45">
        <v>2.63819875566139E-2</v>
      </c>
      <c r="X117" s="45">
        <v>5.8397911612462199E-3</v>
      </c>
    </row>
    <row r="118" spans="1:24" x14ac:dyDescent="0.25">
      <c r="A118">
        <v>1182</v>
      </c>
      <c r="B118">
        <v>14769</v>
      </c>
      <c r="C118" t="s">
        <v>885</v>
      </c>
      <c r="D118" t="s">
        <v>886</v>
      </c>
      <c r="E118" t="s">
        <v>210</v>
      </c>
      <c r="F118" t="s">
        <v>885</v>
      </c>
      <c r="G118" t="s">
        <v>887</v>
      </c>
      <c r="H118" t="s">
        <v>213</v>
      </c>
      <c r="I118" t="s">
        <v>753</v>
      </c>
      <c r="J118" t="s">
        <v>71</v>
      </c>
      <c r="K118" t="s">
        <v>71</v>
      </c>
      <c r="L118" t="s">
        <v>216</v>
      </c>
      <c r="M118" t="s">
        <v>117</v>
      </c>
      <c r="N118" t="s">
        <v>888</v>
      </c>
      <c r="O118" t="s">
        <v>72</v>
      </c>
      <c r="P118" t="s">
        <v>81</v>
      </c>
      <c r="Q118" s="44">
        <v>833</v>
      </c>
      <c r="R118" s="42">
        <v>1</v>
      </c>
      <c r="S118" s="48">
        <v>8478</v>
      </c>
      <c r="U118" s="44">
        <v>70.622</v>
      </c>
      <c r="V118" s="45">
        <v>1.0000000000000001E-5</v>
      </c>
      <c r="W118" s="45">
        <v>1.37730965736684E-2</v>
      </c>
      <c r="X118" s="45">
        <v>3.0487470840208E-3</v>
      </c>
    </row>
    <row r="119" spans="1:24" x14ac:dyDescent="0.25">
      <c r="A119">
        <v>1182</v>
      </c>
      <c r="B119">
        <v>14769</v>
      </c>
      <c r="C119" t="s">
        <v>551</v>
      </c>
      <c r="D119" t="s">
        <v>552</v>
      </c>
      <c r="E119" t="s">
        <v>210</v>
      </c>
      <c r="F119" t="s">
        <v>889</v>
      </c>
      <c r="G119" t="s">
        <v>890</v>
      </c>
      <c r="H119" t="s">
        <v>213</v>
      </c>
      <c r="I119" t="s">
        <v>753</v>
      </c>
      <c r="J119" t="s">
        <v>71</v>
      </c>
      <c r="K119" t="s">
        <v>71</v>
      </c>
      <c r="L119" t="s">
        <v>216</v>
      </c>
      <c r="M119" t="s">
        <v>117</v>
      </c>
      <c r="N119" t="s">
        <v>329</v>
      </c>
      <c r="O119" t="s">
        <v>72</v>
      </c>
      <c r="P119" t="s">
        <v>81</v>
      </c>
      <c r="Q119" s="44">
        <v>2355</v>
      </c>
      <c r="R119" s="42">
        <v>1</v>
      </c>
      <c r="S119" s="48">
        <v>2256</v>
      </c>
      <c r="U119" s="44">
        <v>53.128999999999998</v>
      </c>
      <c r="V119" s="45">
        <v>1.4E-5</v>
      </c>
      <c r="W119" s="45">
        <v>1.0361513228690101E-2</v>
      </c>
      <c r="X119" s="45">
        <v>2.2935752372785501E-3</v>
      </c>
    </row>
    <row r="120" spans="1:24" x14ac:dyDescent="0.25">
      <c r="A120">
        <v>1182</v>
      </c>
      <c r="B120">
        <v>14769</v>
      </c>
      <c r="C120" t="s">
        <v>556</v>
      </c>
      <c r="D120" t="s">
        <v>557</v>
      </c>
      <c r="E120" t="s">
        <v>210</v>
      </c>
      <c r="F120" t="s">
        <v>891</v>
      </c>
      <c r="G120" t="s">
        <v>892</v>
      </c>
      <c r="H120" t="s">
        <v>213</v>
      </c>
      <c r="I120" t="s">
        <v>753</v>
      </c>
      <c r="J120" t="s">
        <v>71</v>
      </c>
      <c r="K120" t="s">
        <v>71</v>
      </c>
      <c r="L120" t="s">
        <v>216</v>
      </c>
      <c r="M120" t="s">
        <v>117</v>
      </c>
      <c r="N120" t="s">
        <v>258</v>
      </c>
      <c r="O120" t="s">
        <v>72</v>
      </c>
      <c r="P120" t="s">
        <v>81</v>
      </c>
      <c r="Q120" s="44">
        <v>143</v>
      </c>
      <c r="R120" s="42">
        <v>1</v>
      </c>
      <c r="S120" s="48">
        <v>24920</v>
      </c>
      <c r="U120" s="44">
        <v>35.636000000000003</v>
      </c>
      <c r="V120" s="45">
        <v>9.9999999999999995E-7</v>
      </c>
      <c r="W120" s="45">
        <v>6.9498791768741203E-3</v>
      </c>
      <c r="X120" s="45">
        <v>1.5383921663121201E-3</v>
      </c>
    </row>
    <row r="121" spans="1:24" x14ac:dyDescent="0.25">
      <c r="A121">
        <v>1182</v>
      </c>
      <c r="B121">
        <v>14769</v>
      </c>
      <c r="C121" t="s">
        <v>88</v>
      </c>
      <c r="D121" t="s">
        <v>571</v>
      </c>
      <c r="E121" t="s">
        <v>210</v>
      </c>
      <c r="F121" t="s">
        <v>893</v>
      </c>
      <c r="G121" t="s">
        <v>894</v>
      </c>
      <c r="H121" t="s">
        <v>213</v>
      </c>
      <c r="I121" t="s">
        <v>753</v>
      </c>
      <c r="J121" t="s">
        <v>71</v>
      </c>
      <c r="K121" t="s">
        <v>71</v>
      </c>
      <c r="L121" t="s">
        <v>216</v>
      </c>
      <c r="M121" t="s">
        <v>117</v>
      </c>
      <c r="N121" t="s">
        <v>365</v>
      </c>
      <c r="O121" t="s">
        <v>72</v>
      </c>
      <c r="P121" t="s">
        <v>81</v>
      </c>
      <c r="Q121" s="44">
        <v>3256</v>
      </c>
      <c r="R121" s="42">
        <v>1</v>
      </c>
      <c r="S121" s="48">
        <v>5008</v>
      </c>
      <c r="U121" s="44">
        <v>163.06</v>
      </c>
      <c r="V121" s="45">
        <v>1.9999999999999999E-6</v>
      </c>
      <c r="W121" s="45">
        <v>3.1801081910311599E-2</v>
      </c>
      <c r="X121" s="45">
        <v>7.0393360871458402E-3</v>
      </c>
    </row>
    <row r="122" spans="1:24" x14ac:dyDescent="0.25">
      <c r="A122">
        <v>1182</v>
      </c>
      <c r="B122">
        <v>14769</v>
      </c>
      <c r="C122" t="s">
        <v>670</v>
      </c>
      <c r="D122" t="s">
        <v>671</v>
      </c>
      <c r="E122" t="s">
        <v>210</v>
      </c>
      <c r="F122" t="s">
        <v>900</v>
      </c>
      <c r="G122" t="s">
        <v>901</v>
      </c>
      <c r="H122" t="s">
        <v>213</v>
      </c>
      <c r="I122" t="s">
        <v>753</v>
      </c>
      <c r="J122" t="s">
        <v>71</v>
      </c>
      <c r="K122" t="s">
        <v>71</v>
      </c>
      <c r="L122" t="s">
        <v>216</v>
      </c>
      <c r="M122" t="s">
        <v>117</v>
      </c>
      <c r="N122" t="s">
        <v>329</v>
      </c>
      <c r="O122" t="s">
        <v>72</v>
      </c>
      <c r="P122" t="s">
        <v>81</v>
      </c>
      <c r="Q122" s="44">
        <v>2287</v>
      </c>
      <c r="R122" s="42">
        <v>1</v>
      </c>
      <c r="S122" s="48">
        <v>2530</v>
      </c>
      <c r="U122" s="44">
        <v>57.860999999999997</v>
      </c>
      <c r="V122" s="45">
        <v>1.2E-5</v>
      </c>
      <c r="W122" s="45">
        <v>1.12844361829471E-2</v>
      </c>
      <c r="X122" s="45">
        <v>2.49786906840918E-3</v>
      </c>
    </row>
    <row r="123" spans="1:24" x14ac:dyDescent="0.25">
      <c r="A123">
        <v>1182</v>
      </c>
      <c r="B123">
        <v>14769</v>
      </c>
      <c r="C123" t="s">
        <v>902</v>
      </c>
      <c r="D123" t="s">
        <v>903</v>
      </c>
      <c r="E123" t="s">
        <v>210</v>
      </c>
      <c r="F123" t="s">
        <v>904</v>
      </c>
      <c r="G123" t="s">
        <v>905</v>
      </c>
      <c r="H123" t="s">
        <v>213</v>
      </c>
      <c r="I123" t="s">
        <v>753</v>
      </c>
      <c r="J123" t="s">
        <v>71</v>
      </c>
      <c r="K123" t="s">
        <v>71</v>
      </c>
      <c r="L123" t="s">
        <v>216</v>
      </c>
      <c r="M123" t="s">
        <v>117</v>
      </c>
      <c r="N123" t="s">
        <v>906</v>
      </c>
      <c r="O123" t="s">
        <v>72</v>
      </c>
      <c r="P123" t="s">
        <v>81</v>
      </c>
      <c r="Q123" s="44">
        <v>79</v>
      </c>
      <c r="R123" s="42">
        <v>1</v>
      </c>
      <c r="S123" s="48">
        <v>48410</v>
      </c>
      <c r="U123" s="44">
        <v>38.244</v>
      </c>
      <c r="V123" s="45">
        <v>5.0000000000000004E-6</v>
      </c>
      <c r="W123" s="45">
        <v>7.4585662722798599E-3</v>
      </c>
      <c r="X123" s="45">
        <v>1.65099271989876E-3</v>
      </c>
    </row>
    <row r="124" spans="1:24" x14ac:dyDescent="0.25">
      <c r="A124">
        <v>1182</v>
      </c>
      <c r="B124">
        <v>14769</v>
      </c>
      <c r="C124" t="s">
        <v>907</v>
      </c>
      <c r="D124" t="s">
        <v>908</v>
      </c>
      <c r="E124" t="s">
        <v>210</v>
      </c>
      <c r="F124" t="s">
        <v>909</v>
      </c>
      <c r="G124" t="s">
        <v>910</v>
      </c>
      <c r="H124" t="s">
        <v>213</v>
      </c>
      <c r="I124" t="s">
        <v>753</v>
      </c>
      <c r="J124" t="s">
        <v>71</v>
      </c>
      <c r="K124" t="s">
        <v>71</v>
      </c>
      <c r="L124" t="s">
        <v>216</v>
      </c>
      <c r="M124" t="s">
        <v>117</v>
      </c>
      <c r="N124" t="s">
        <v>764</v>
      </c>
      <c r="O124" t="s">
        <v>72</v>
      </c>
      <c r="P124" t="s">
        <v>81</v>
      </c>
      <c r="Q124" s="44">
        <v>291</v>
      </c>
      <c r="R124" s="42">
        <v>1</v>
      </c>
      <c r="S124" s="48">
        <v>682.4</v>
      </c>
      <c r="T124" s="44">
        <v>5.0999999999999997E-2</v>
      </c>
      <c r="U124" s="44">
        <v>2.036</v>
      </c>
      <c r="V124" s="45">
        <v>9.9999999999999995E-7</v>
      </c>
      <c r="W124" s="45">
        <v>3.9713088228046401E-4</v>
      </c>
      <c r="X124" s="45">
        <v>8.7907001366846005E-5</v>
      </c>
    </row>
    <row r="125" spans="1:24" x14ac:dyDescent="0.25">
      <c r="A125">
        <v>1182</v>
      </c>
      <c r="B125">
        <v>14769</v>
      </c>
      <c r="C125" t="s">
        <v>911</v>
      </c>
      <c r="D125" t="s">
        <v>912</v>
      </c>
      <c r="E125" t="s">
        <v>210</v>
      </c>
      <c r="F125" t="s">
        <v>913</v>
      </c>
      <c r="G125" t="s">
        <v>914</v>
      </c>
      <c r="H125" t="s">
        <v>213</v>
      </c>
      <c r="I125" t="s">
        <v>753</v>
      </c>
      <c r="J125" t="s">
        <v>71</v>
      </c>
      <c r="K125" t="s">
        <v>215</v>
      </c>
      <c r="L125" t="s">
        <v>216</v>
      </c>
      <c r="M125" t="s">
        <v>117</v>
      </c>
      <c r="N125" t="s">
        <v>830</v>
      </c>
      <c r="O125" t="s">
        <v>72</v>
      </c>
      <c r="P125" t="s">
        <v>81</v>
      </c>
      <c r="Q125" s="44">
        <v>280</v>
      </c>
      <c r="R125" s="42">
        <v>1</v>
      </c>
      <c r="S125" s="48">
        <v>21310</v>
      </c>
      <c r="U125" s="44">
        <v>59.667999999999999</v>
      </c>
      <c r="V125" s="45">
        <v>6.0000000000000002E-6</v>
      </c>
      <c r="W125" s="45">
        <v>1.16368292024191E-2</v>
      </c>
      <c r="X125" s="45">
        <v>2.5758731094610902E-3</v>
      </c>
    </row>
    <row r="126" spans="1:24" x14ac:dyDescent="0.25">
      <c r="A126">
        <v>1182</v>
      </c>
      <c r="B126">
        <v>14769</v>
      </c>
      <c r="C126" t="s">
        <v>1078</v>
      </c>
      <c r="D126" t="s">
        <v>1079</v>
      </c>
      <c r="E126" t="s">
        <v>210</v>
      </c>
      <c r="F126" t="s">
        <v>1080</v>
      </c>
      <c r="G126" t="s">
        <v>1081</v>
      </c>
      <c r="H126" t="s">
        <v>213</v>
      </c>
      <c r="I126" t="s">
        <v>753</v>
      </c>
      <c r="J126" t="s">
        <v>71</v>
      </c>
      <c r="K126" t="s">
        <v>71</v>
      </c>
      <c r="L126" t="s">
        <v>216</v>
      </c>
      <c r="M126" t="s">
        <v>117</v>
      </c>
      <c r="N126" t="s">
        <v>837</v>
      </c>
      <c r="O126" t="s">
        <v>72</v>
      </c>
      <c r="P126" t="s">
        <v>81</v>
      </c>
      <c r="Q126" s="44">
        <v>4</v>
      </c>
      <c r="R126" s="42">
        <v>1</v>
      </c>
      <c r="S126" s="48">
        <v>26660</v>
      </c>
      <c r="U126" s="44">
        <v>1.0660000000000001</v>
      </c>
      <c r="V126" s="45">
        <v>0</v>
      </c>
      <c r="W126" s="45">
        <v>2.07976045140774E-4</v>
      </c>
      <c r="X126" s="45">
        <v>4.60365871812246E-5</v>
      </c>
    </row>
    <row r="127" spans="1:24" x14ac:dyDescent="0.25">
      <c r="A127">
        <v>1182</v>
      </c>
      <c r="B127">
        <v>14769</v>
      </c>
      <c r="C127" t="s">
        <v>919</v>
      </c>
      <c r="D127" t="s">
        <v>920</v>
      </c>
      <c r="E127" t="s">
        <v>210</v>
      </c>
      <c r="F127" t="s">
        <v>921</v>
      </c>
      <c r="G127" t="s">
        <v>922</v>
      </c>
      <c r="H127" t="s">
        <v>213</v>
      </c>
      <c r="I127" t="s">
        <v>753</v>
      </c>
      <c r="J127" t="s">
        <v>71</v>
      </c>
      <c r="K127" t="s">
        <v>71</v>
      </c>
      <c r="L127" t="s">
        <v>216</v>
      </c>
      <c r="M127" t="s">
        <v>117</v>
      </c>
      <c r="N127" t="s">
        <v>856</v>
      </c>
      <c r="O127" t="s">
        <v>72</v>
      </c>
      <c r="P127" t="s">
        <v>81</v>
      </c>
      <c r="Q127" s="44">
        <v>550</v>
      </c>
      <c r="R127" s="42">
        <v>1</v>
      </c>
      <c r="S127" s="48">
        <v>7800</v>
      </c>
      <c r="U127" s="44">
        <v>42.9</v>
      </c>
      <c r="V127" s="45">
        <v>5.0000000000000004E-6</v>
      </c>
      <c r="W127" s="45">
        <v>8.3666282225611406E-3</v>
      </c>
      <c r="X127" s="45">
        <v>1.8519969899423599E-3</v>
      </c>
    </row>
    <row r="128" spans="1:24" x14ac:dyDescent="0.25">
      <c r="A128">
        <v>1182</v>
      </c>
      <c r="B128">
        <v>14769</v>
      </c>
      <c r="C128" t="s">
        <v>923</v>
      </c>
      <c r="D128" t="s">
        <v>924</v>
      </c>
      <c r="E128" t="s">
        <v>210</v>
      </c>
      <c r="F128" t="s">
        <v>925</v>
      </c>
      <c r="G128" t="s">
        <v>926</v>
      </c>
      <c r="H128" t="s">
        <v>213</v>
      </c>
      <c r="I128" t="s">
        <v>753</v>
      </c>
      <c r="J128" t="s">
        <v>71</v>
      </c>
      <c r="K128" t="s">
        <v>71</v>
      </c>
      <c r="L128" t="s">
        <v>216</v>
      </c>
      <c r="M128" t="s">
        <v>117</v>
      </c>
      <c r="N128" t="s">
        <v>764</v>
      </c>
      <c r="O128" t="s">
        <v>72</v>
      </c>
      <c r="P128" t="s">
        <v>81</v>
      </c>
      <c r="Q128" s="44">
        <v>1649</v>
      </c>
      <c r="R128" s="42">
        <v>1</v>
      </c>
      <c r="S128" s="48">
        <v>2245</v>
      </c>
      <c r="T128" s="44">
        <v>0.36899999999999999</v>
      </c>
      <c r="U128" s="44">
        <v>37.389000000000003</v>
      </c>
      <c r="V128" s="45">
        <v>5.0000000000000004E-6</v>
      </c>
      <c r="W128" s="45">
        <v>7.2918616925110704E-3</v>
      </c>
      <c r="X128" s="45">
        <v>1.61409178779939E-3</v>
      </c>
    </row>
    <row r="129" spans="1:24" x14ac:dyDescent="0.25">
      <c r="A129">
        <v>1182</v>
      </c>
      <c r="B129">
        <v>14769</v>
      </c>
      <c r="C129" t="s">
        <v>927</v>
      </c>
      <c r="D129" t="s">
        <v>928</v>
      </c>
      <c r="E129" t="s">
        <v>210</v>
      </c>
      <c r="F129" t="s">
        <v>929</v>
      </c>
      <c r="G129" t="s">
        <v>930</v>
      </c>
      <c r="H129" t="s">
        <v>213</v>
      </c>
      <c r="I129" t="s">
        <v>753</v>
      </c>
      <c r="J129" t="s">
        <v>71</v>
      </c>
      <c r="K129" t="s">
        <v>215</v>
      </c>
      <c r="L129" t="s">
        <v>216</v>
      </c>
      <c r="M129" t="s">
        <v>117</v>
      </c>
      <c r="N129" t="s">
        <v>931</v>
      </c>
      <c r="O129" t="s">
        <v>72</v>
      </c>
      <c r="P129" t="s">
        <v>81</v>
      </c>
      <c r="Q129" s="44">
        <v>255</v>
      </c>
      <c r="R129" s="42">
        <v>1</v>
      </c>
      <c r="S129" s="48">
        <v>10080</v>
      </c>
      <c r="U129" s="44">
        <v>25.704000000000001</v>
      </c>
      <c r="V129" s="45">
        <v>2.3E-5</v>
      </c>
      <c r="W129" s="45">
        <v>5.0129559867764899E-3</v>
      </c>
      <c r="X129" s="45">
        <v>1.1096440706172099E-3</v>
      </c>
    </row>
    <row r="130" spans="1:24" x14ac:dyDescent="0.25">
      <c r="A130">
        <v>1182</v>
      </c>
      <c r="B130">
        <v>14769</v>
      </c>
      <c r="C130" t="s">
        <v>932</v>
      </c>
      <c r="D130" t="s">
        <v>933</v>
      </c>
      <c r="E130" t="s">
        <v>613</v>
      </c>
      <c r="F130" t="s">
        <v>934</v>
      </c>
      <c r="G130" t="s">
        <v>935</v>
      </c>
      <c r="H130" t="s">
        <v>213</v>
      </c>
      <c r="I130" t="s">
        <v>753</v>
      </c>
      <c r="J130" t="s">
        <v>85</v>
      </c>
      <c r="K130" t="s">
        <v>291</v>
      </c>
      <c r="L130" t="s">
        <v>216</v>
      </c>
      <c r="M130" t="s">
        <v>936</v>
      </c>
      <c r="N130" t="s">
        <v>937</v>
      </c>
      <c r="O130" t="s">
        <v>72</v>
      </c>
      <c r="P130" t="s">
        <v>75</v>
      </c>
      <c r="Q130" s="44">
        <v>172</v>
      </c>
      <c r="R130" s="42">
        <v>3.718</v>
      </c>
      <c r="S130" s="48">
        <v>10274</v>
      </c>
      <c r="U130" s="44">
        <v>65.701999999999998</v>
      </c>
      <c r="V130" s="45">
        <v>0</v>
      </c>
      <c r="W130" s="45">
        <v>1.2813582597987601E-2</v>
      </c>
      <c r="X130" s="45">
        <v>2.8363536385971502E-3</v>
      </c>
    </row>
    <row r="131" spans="1:24" x14ac:dyDescent="0.25">
      <c r="A131">
        <v>1182</v>
      </c>
      <c r="B131">
        <v>14769</v>
      </c>
      <c r="C131" t="s">
        <v>938</v>
      </c>
      <c r="D131" t="s">
        <v>939</v>
      </c>
      <c r="E131" t="s">
        <v>613</v>
      </c>
      <c r="F131" t="s">
        <v>940</v>
      </c>
      <c r="G131" t="s">
        <v>941</v>
      </c>
      <c r="H131" t="s">
        <v>213</v>
      </c>
      <c r="I131" t="s">
        <v>753</v>
      </c>
      <c r="J131" t="s">
        <v>85</v>
      </c>
      <c r="L131" t="s">
        <v>216</v>
      </c>
      <c r="M131" t="s">
        <v>286</v>
      </c>
      <c r="N131" t="s">
        <v>942</v>
      </c>
      <c r="O131" t="s">
        <v>72</v>
      </c>
      <c r="P131" t="s">
        <v>75</v>
      </c>
      <c r="Q131" s="44">
        <v>144</v>
      </c>
      <c r="R131" s="42">
        <v>3.718</v>
      </c>
      <c r="S131" s="48">
        <v>11946</v>
      </c>
      <c r="U131" s="44">
        <v>63.957999999999998</v>
      </c>
      <c r="V131" s="45">
        <v>0</v>
      </c>
      <c r="W131" s="45">
        <v>1.24734780451901E-2</v>
      </c>
      <c r="X131" s="45">
        <v>2.76106971402306E-3</v>
      </c>
    </row>
    <row r="132" spans="1:24" x14ac:dyDescent="0.25">
      <c r="A132">
        <v>1182</v>
      </c>
      <c r="B132">
        <v>14769</v>
      </c>
      <c r="C132" t="s">
        <v>943</v>
      </c>
      <c r="D132" t="s">
        <v>944</v>
      </c>
      <c r="E132" t="s">
        <v>613</v>
      </c>
      <c r="F132" t="s">
        <v>945</v>
      </c>
      <c r="G132" t="s">
        <v>946</v>
      </c>
      <c r="H132" t="s">
        <v>213</v>
      </c>
      <c r="I132" t="s">
        <v>753</v>
      </c>
      <c r="J132" t="s">
        <v>85</v>
      </c>
      <c r="K132" t="s">
        <v>291</v>
      </c>
      <c r="L132" t="s">
        <v>216</v>
      </c>
      <c r="M132" t="s">
        <v>936</v>
      </c>
      <c r="N132" t="s">
        <v>947</v>
      </c>
      <c r="O132" t="s">
        <v>72</v>
      </c>
      <c r="P132" t="s">
        <v>75</v>
      </c>
      <c r="Q132" s="44">
        <v>76</v>
      </c>
      <c r="R132" s="42">
        <v>3.718</v>
      </c>
      <c r="S132" s="48">
        <v>19026</v>
      </c>
      <c r="U132" s="44">
        <v>53.761000000000003</v>
      </c>
      <c r="V132" s="45">
        <v>0</v>
      </c>
      <c r="W132" s="45">
        <v>1.04848844626466E-2</v>
      </c>
      <c r="X132" s="45">
        <v>2.3208841062583802E-3</v>
      </c>
    </row>
    <row r="133" spans="1:24" x14ac:dyDescent="0.25">
      <c r="A133">
        <v>1182</v>
      </c>
      <c r="B133">
        <v>14769</v>
      </c>
      <c r="C133" t="s">
        <v>948</v>
      </c>
      <c r="D133" t="s">
        <v>949</v>
      </c>
      <c r="E133" t="s">
        <v>613</v>
      </c>
      <c r="F133" t="s">
        <v>950</v>
      </c>
      <c r="G133" t="s">
        <v>951</v>
      </c>
      <c r="H133" t="s">
        <v>213</v>
      </c>
      <c r="I133" t="s">
        <v>753</v>
      </c>
      <c r="J133" t="s">
        <v>85</v>
      </c>
      <c r="K133" t="s">
        <v>291</v>
      </c>
      <c r="L133" t="s">
        <v>216</v>
      </c>
      <c r="M133" t="s">
        <v>286</v>
      </c>
      <c r="N133" t="s">
        <v>952</v>
      </c>
      <c r="O133" t="s">
        <v>72</v>
      </c>
      <c r="P133" t="s">
        <v>75</v>
      </c>
      <c r="Q133" s="44">
        <v>103</v>
      </c>
      <c r="R133" s="42">
        <v>3.718</v>
      </c>
      <c r="S133" s="48">
        <v>14512</v>
      </c>
      <c r="U133" s="44">
        <v>55.573999999999998</v>
      </c>
      <c r="V133" s="45">
        <v>0</v>
      </c>
      <c r="W133" s="45">
        <v>1.08384470158277E-2</v>
      </c>
      <c r="X133" s="45">
        <v>2.39914702972402E-3</v>
      </c>
    </row>
    <row r="134" spans="1:24" x14ac:dyDescent="0.25">
      <c r="A134">
        <v>1182</v>
      </c>
      <c r="B134">
        <v>14769</v>
      </c>
      <c r="C134" t="s">
        <v>953</v>
      </c>
      <c r="D134" t="s">
        <v>954</v>
      </c>
      <c r="E134" t="s">
        <v>613</v>
      </c>
      <c r="F134" t="s">
        <v>955</v>
      </c>
      <c r="G134" t="s">
        <v>956</v>
      </c>
      <c r="H134" t="s">
        <v>213</v>
      </c>
      <c r="I134" t="s">
        <v>753</v>
      </c>
      <c r="J134" t="s">
        <v>85</v>
      </c>
      <c r="K134" t="s">
        <v>291</v>
      </c>
      <c r="L134" t="s">
        <v>216</v>
      </c>
      <c r="M134" t="s">
        <v>936</v>
      </c>
      <c r="N134" t="s">
        <v>957</v>
      </c>
      <c r="O134" t="s">
        <v>72</v>
      </c>
      <c r="P134" t="s">
        <v>75</v>
      </c>
      <c r="Q134" s="44">
        <v>52</v>
      </c>
      <c r="R134" s="42">
        <v>3.718</v>
      </c>
      <c r="S134" s="48">
        <v>53258</v>
      </c>
      <c r="U134" s="44">
        <v>102.967</v>
      </c>
      <c r="V134" s="45">
        <v>0</v>
      </c>
      <c r="W134" s="45">
        <v>2.0081250856864099E-2</v>
      </c>
      <c r="X134" s="45">
        <v>4.4450900831117897E-3</v>
      </c>
    </row>
    <row r="135" spans="1:24" x14ac:dyDescent="0.25">
      <c r="A135">
        <v>1182</v>
      </c>
      <c r="B135">
        <v>14769</v>
      </c>
      <c r="C135" t="s">
        <v>958</v>
      </c>
      <c r="D135" t="s">
        <v>959</v>
      </c>
      <c r="E135" t="s">
        <v>613</v>
      </c>
      <c r="F135" t="s">
        <v>960</v>
      </c>
      <c r="G135" t="s">
        <v>961</v>
      </c>
      <c r="H135" t="s">
        <v>213</v>
      </c>
      <c r="I135" t="s">
        <v>753</v>
      </c>
      <c r="J135" t="s">
        <v>85</v>
      </c>
      <c r="K135" t="s">
        <v>291</v>
      </c>
      <c r="L135" t="s">
        <v>216</v>
      </c>
      <c r="M135" t="s">
        <v>936</v>
      </c>
      <c r="N135" t="s">
        <v>680</v>
      </c>
      <c r="O135" t="s">
        <v>72</v>
      </c>
      <c r="P135" t="s">
        <v>75</v>
      </c>
      <c r="Q135" s="44">
        <v>99</v>
      </c>
      <c r="R135" s="42">
        <v>3.718</v>
      </c>
      <c r="S135" s="48">
        <v>13684</v>
      </c>
      <c r="U135" s="44">
        <v>50.368000000000002</v>
      </c>
      <c r="V135" s="45">
        <v>9.9999999999999995E-7</v>
      </c>
      <c r="W135" s="45">
        <v>9.8231511032677802E-3</v>
      </c>
      <c r="X135" s="45">
        <v>2.1744059603298598E-3</v>
      </c>
    </row>
    <row r="136" spans="1:24" x14ac:dyDescent="0.25">
      <c r="A136">
        <v>1182</v>
      </c>
      <c r="B136">
        <v>14769</v>
      </c>
      <c r="C136" t="s">
        <v>1082</v>
      </c>
      <c r="D136" t="s">
        <v>1083</v>
      </c>
      <c r="E136" t="s">
        <v>613</v>
      </c>
      <c r="F136" t="s">
        <v>1082</v>
      </c>
      <c r="G136" t="s">
        <v>1084</v>
      </c>
      <c r="H136" t="s">
        <v>213</v>
      </c>
      <c r="I136" t="s">
        <v>753</v>
      </c>
      <c r="J136" t="s">
        <v>85</v>
      </c>
      <c r="K136" t="s">
        <v>215</v>
      </c>
      <c r="L136" t="s">
        <v>216</v>
      </c>
      <c r="M136" t="s">
        <v>936</v>
      </c>
      <c r="N136" t="s">
        <v>706</v>
      </c>
      <c r="O136" t="s">
        <v>72</v>
      </c>
      <c r="P136" t="s">
        <v>75</v>
      </c>
      <c r="Q136" s="44">
        <v>21</v>
      </c>
      <c r="R136" s="42">
        <v>3.718</v>
      </c>
      <c r="S136" s="48">
        <v>94578</v>
      </c>
      <c r="U136" s="44">
        <v>73.844999999999999</v>
      </c>
      <c r="V136" s="45">
        <v>0</v>
      </c>
      <c r="W136" s="45">
        <v>1.4401641145407601E-2</v>
      </c>
      <c r="X136" s="45">
        <v>3.1878787179287901E-3</v>
      </c>
    </row>
    <row r="137" spans="1:24" x14ac:dyDescent="0.25">
      <c r="A137">
        <v>1182</v>
      </c>
      <c r="B137">
        <v>14769</v>
      </c>
      <c r="C137" t="s">
        <v>967</v>
      </c>
      <c r="D137" t="s">
        <v>968</v>
      </c>
      <c r="E137" t="s">
        <v>613</v>
      </c>
      <c r="F137" t="s">
        <v>969</v>
      </c>
      <c r="G137" t="s">
        <v>970</v>
      </c>
      <c r="H137" t="s">
        <v>213</v>
      </c>
      <c r="I137" t="s">
        <v>753</v>
      </c>
      <c r="J137" t="s">
        <v>85</v>
      </c>
      <c r="K137" t="s">
        <v>291</v>
      </c>
      <c r="L137" t="s">
        <v>216</v>
      </c>
      <c r="M137" t="s">
        <v>936</v>
      </c>
      <c r="N137" t="s">
        <v>616</v>
      </c>
      <c r="O137" t="s">
        <v>72</v>
      </c>
      <c r="P137" t="s">
        <v>75</v>
      </c>
      <c r="Q137" s="44">
        <v>884</v>
      </c>
      <c r="R137" s="42">
        <v>3.718</v>
      </c>
      <c r="S137" s="48">
        <v>3308</v>
      </c>
      <c r="U137" s="44">
        <v>108.724</v>
      </c>
      <c r="V137" s="45">
        <v>1.9999999999999999E-6</v>
      </c>
      <c r="W137" s="45">
        <v>2.1204123759559299E-2</v>
      </c>
      <c r="X137" s="45">
        <v>4.6936438828697E-3</v>
      </c>
    </row>
    <row r="138" spans="1:24" x14ac:dyDescent="0.25">
      <c r="A138">
        <v>1182</v>
      </c>
      <c r="B138">
        <v>14769</v>
      </c>
      <c r="C138" t="s">
        <v>971</v>
      </c>
      <c r="D138" t="s">
        <v>972</v>
      </c>
      <c r="E138" t="s">
        <v>613</v>
      </c>
      <c r="F138" t="s">
        <v>973</v>
      </c>
      <c r="G138" t="s">
        <v>974</v>
      </c>
      <c r="H138" t="s">
        <v>213</v>
      </c>
      <c r="I138" t="s">
        <v>753</v>
      </c>
      <c r="J138" t="s">
        <v>85</v>
      </c>
      <c r="K138" t="s">
        <v>291</v>
      </c>
      <c r="L138" t="s">
        <v>216</v>
      </c>
      <c r="M138" t="s">
        <v>936</v>
      </c>
      <c r="N138" t="s">
        <v>975</v>
      </c>
      <c r="O138" t="s">
        <v>72</v>
      </c>
      <c r="P138" t="s">
        <v>75</v>
      </c>
      <c r="Q138" s="44">
        <v>107</v>
      </c>
      <c r="R138" s="42">
        <v>3.718</v>
      </c>
      <c r="S138" s="48">
        <v>15623</v>
      </c>
      <c r="U138" s="44">
        <v>62.152000000000001</v>
      </c>
      <c r="V138" s="45">
        <v>0</v>
      </c>
      <c r="W138" s="45">
        <v>1.2121343954334099E-2</v>
      </c>
      <c r="X138" s="45">
        <v>2.6831229881768299E-3</v>
      </c>
    </row>
    <row r="139" spans="1:24" x14ac:dyDescent="0.25">
      <c r="A139">
        <v>1182</v>
      </c>
      <c r="B139">
        <v>14769</v>
      </c>
      <c r="C139" t="s">
        <v>976</v>
      </c>
      <c r="D139" t="s">
        <v>977</v>
      </c>
      <c r="E139" t="s">
        <v>613</v>
      </c>
      <c r="F139" t="s">
        <v>978</v>
      </c>
      <c r="G139" t="s">
        <v>979</v>
      </c>
      <c r="H139" t="s">
        <v>213</v>
      </c>
      <c r="I139" t="s">
        <v>753</v>
      </c>
      <c r="J139" t="s">
        <v>85</v>
      </c>
      <c r="L139" t="s">
        <v>216</v>
      </c>
      <c r="M139" t="s">
        <v>286</v>
      </c>
      <c r="N139" t="s">
        <v>952</v>
      </c>
      <c r="O139" t="s">
        <v>72</v>
      </c>
      <c r="P139" t="s">
        <v>75</v>
      </c>
      <c r="Q139" s="44">
        <v>1220</v>
      </c>
      <c r="R139" s="42">
        <v>3.718</v>
      </c>
      <c r="S139" s="48">
        <v>2271</v>
      </c>
      <c r="U139" s="44">
        <v>103.012</v>
      </c>
      <c r="V139" s="45">
        <v>0</v>
      </c>
      <c r="W139" s="45">
        <v>2.00899811545267E-2</v>
      </c>
      <c r="X139" s="45">
        <v>4.4470225802375604E-3</v>
      </c>
    </row>
    <row r="140" spans="1:24" x14ac:dyDescent="0.25">
      <c r="A140">
        <v>1182</v>
      </c>
      <c r="B140">
        <v>14769</v>
      </c>
      <c r="C140" t="s">
        <v>980</v>
      </c>
      <c r="D140" t="s">
        <v>981</v>
      </c>
      <c r="E140" t="s">
        <v>613</v>
      </c>
      <c r="F140" t="s">
        <v>982</v>
      </c>
      <c r="G140" t="s">
        <v>983</v>
      </c>
      <c r="H140" t="s">
        <v>213</v>
      </c>
      <c r="I140" t="s">
        <v>753</v>
      </c>
      <c r="J140" t="s">
        <v>85</v>
      </c>
      <c r="K140" t="s">
        <v>984</v>
      </c>
      <c r="L140" t="s">
        <v>216</v>
      </c>
      <c r="M140" t="s">
        <v>286</v>
      </c>
      <c r="N140" t="s">
        <v>985</v>
      </c>
      <c r="O140" t="s">
        <v>72</v>
      </c>
      <c r="P140" t="s">
        <v>75</v>
      </c>
      <c r="Q140" s="44">
        <v>78.510000000000005</v>
      </c>
      <c r="R140" s="42">
        <v>3.718</v>
      </c>
      <c r="S140" s="48">
        <v>16822</v>
      </c>
      <c r="U140" s="44">
        <v>49.103000000000002</v>
      </c>
      <c r="V140" s="45">
        <v>0</v>
      </c>
      <c r="W140" s="45">
        <v>9.5764637809131106E-3</v>
      </c>
      <c r="X140" s="45">
        <v>2.1198004291284301E-3</v>
      </c>
    </row>
    <row r="141" spans="1:24" x14ac:dyDescent="0.25">
      <c r="A141">
        <v>1182</v>
      </c>
      <c r="B141">
        <v>14769</v>
      </c>
      <c r="C141" t="s">
        <v>986</v>
      </c>
      <c r="D141" t="s">
        <v>987</v>
      </c>
      <c r="E141" t="s">
        <v>613</v>
      </c>
      <c r="F141" t="s">
        <v>988</v>
      </c>
      <c r="G141" t="s">
        <v>989</v>
      </c>
      <c r="H141" t="s">
        <v>213</v>
      </c>
      <c r="I141" t="s">
        <v>753</v>
      </c>
      <c r="J141" t="s">
        <v>85</v>
      </c>
      <c r="K141" t="s">
        <v>990</v>
      </c>
      <c r="L141" t="s">
        <v>216</v>
      </c>
      <c r="M141" t="s">
        <v>991</v>
      </c>
      <c r="N141" t="s">
        <v>992</v>
      </c>
      <c r="O141" t="s">
        <v>72</v>
      </c>
      <c r="P141" t="s">
        <v>77</v>
      </c>
      <c r="Q141" s="44">
        <v>12</v>
      </c>
      <c r="R141" s="42">
        <v>4.0218999999999996</v>
      </c>
      <c r="S141" s="48">
        <v>57170</v>
      </c>
      <c r="U141" s="44">
        <v>27.591999999999999</v>
      </c>
      <c r="V141" s="45">
        <v>0</v>
      </c>
      <c r="W141" s="45">
        <v>5.3811349731534997E-3</v>
      </c>
      <c r="X141" s="45">
        <v>1.19114241814646E-3</v>
      </c>
    </row>
    <row r="142" spans="1:24" x14ac:dyDescent="0.25">
      <c r="A142">
        <v>1182</v>
      </c>
      <c r="B142">
        <v>14769</v>
      </c>
      <c r="C142" t="s">
        <v>993</v>
      </c>
      <c r="D142" t="s">
        <v>994</v>
      </c>
      <c r="E142" t="s">
        <v>613</v>
      </c>
      <c r="F142" t="s">
        <v>995</v>
      </c>
      <c r="G142" t="s">
        <v>996</v>
      </c>
      <c r="H142" t="s">
        <v>213</v>
      </c>
      <c r="I142" t="s">
        <v>753</v>
      </c>
      <c r="J142" t="s">
        <v>85</v>
      </c>
      <c r="K142" t="s">
        <v>291</v>
      </c>
      <c r="L142" t="s">
        <v>216</v>
      </c>
      <c r="M142" t="s">
        <v>966</v>
      </c>
      <c r="N142" t="s">
        <v>957</v>
      </c>
      <c r="O142" t="s">
        <v>72</v>
      </c>
      <c r="P142" t="s">
        <v>75</v>
      </c>
      <c r="Q142" s="44">
        <v>32</v>
      </c>
      <c r="R142" s="42">
        <v>3.718</v>
      </c>
      <c r="S142" s="48">
        <v>54812</v>
      </c>
      <c r="U142" s="44">
        <v>65.212999999999994</v>
      </c>
      <c r="V142" s="45">
        <v>0</v>
      </c>
      <c r="W142" s="45">
        <v>1.27182744314779E-2</v>
      </c>
      <c r="X142" s="45">
        <v>2.81525667661946E-3</v>
      </c>
    </row>
    <row r="143" spans="1:24" x14ac:dyDescent="0.25">
      <c r="A143">
        <v>1182</v>
      </c>
      <c r="B143">
        <v>14769</v>
      </c>
      <c r="C143" t="s">
        <v>997</v>
      </c>
      <c r="D143" t="s">
        <v>998</v>
      </c>
      <c r="E143" t="s">
        <v>613</v>
      </c>
      <c r="F143" t="s">
        <v>999</v>
      </c>
      <c r="G143" t="s">
        <v>1000</v>
      </c>
      <c r="H143" t="s">
        <v>213</v>
      </c>
      <c r="I143" t="s">
        <v>753</v>
      </c>
      <c r="J143" t="s">
        <v>85</v>
      </c>
      <c r="K143" t="s">
        <v>1001</v>
      </c>
      <c r="L143" t="s">
        <v>216</v>
      </c>
      <c r="M143" t="s">
        <v>286</v>
      </c>
      <c r="N143" t="s">
        <v>992</v>
      </c>
      <c r="O143" t="s">
        <v>72</v>
      </c>
      <c r="P143" t="s">
        <v>75</v>
      </c>
      <c r="Q143" s="44">
        <v>10</v>
      </c>
      <c r="R143" s="42">
        <v>3.718</v>
      </c>
      <c r="S143" s="48">
        <v>195087</v>
      </c>
      <c r="U143" s="44">
        <v>72.533000000000001</v>
      </c>
      <c r="V143" s="45">
        <v>0</v>
      </c>
      <c r="W143" s="45">
        <v>1.4145910133808099E-2</v>
      </c>
      <c r="X143" s="45">
        <v>3.1312713187330102E-3</v>
      </c>
    </row>
    <row r="144" spans="1:24" x14ac:dyDescent="0.25">
      <c r="A144">
        <v>1182</v>
      </c>
      <c r="B144">
        <v>14769</v>
      </c>
      <c r="C144" t="s">
        <v>1002</v>
      </c>
      <c r="D144" t="s">
        <v>1003</v>
      </c>
      <c r="E144" t="s">
        <v>613</v>
      </c>
      <c r="F144" t="s">
        <v>1004</v>
      </c>
      <c r="G144" t="s">
        <v>1005</v>
      </c>
      <c r="H144" t="s">
        <v>213</v>
      </c>
      <c r="I144" t="s">
        <v>753</v>
      </c>
      <c r="J144" t="s">
        <v>85</v>
      </c>
      <c r="K144" t="s">
        <v>291</v>
      </c>
      <c r="L144" t="s">
        <v>216</v>
      </c>
      <c r="M144" t="s">
        <v>966</v>
      </c>
      <c r="N144" t="s">
        <v>680</v>
      </c>
      <c r="O144" t="s">
        <v>72</v>
      </c>
      <c r="P144" t="s">
        <v>75</v>
      </c>
      <c r="Q144" s="44">
        <v>0</v>
      </c>
      <c r="R144" s="42">
        <v>3.718</v>
      </c>
      <c r="S144" s="48">
        <v>0</v>
      </c>
      <c r="T144" s="44">
        <v>0.14599999999999999</v>
      </c>
      <c r="U144" s="44">
        <v>0.54500000000000004</v>
      </c>
      <c r="V144" s="45">
        <v>0</v>
      </c>
      <c r="W144" s="45">
        <v>1.06224974218703E-4</v>
      </c>
      <c r="X144" s="45">
        <v>2.3513454557387099E-5</v>
      </c>
    </row>
    <row r="145" spans="1:24" x14ac:dyDescent="0.25">
      <c r="A145">
        <v>1182</v>
      </c>
      <c r="B145">
        <v>14769</v>
      </c>
      <c r="C145" t="s">
        <v>1006</v>
      </c>
      <c r="D145" t="s">
        <v>1007</v>
      </c>
      <c r="E145" t="s">
        <v>613</v>
      </c>
      <c r="F145" t="s">
        <v>1008</v>
      </c>
      <c r="G145" t="s">
        <v>1009</v>
      </c>
      <c r="H145" t="s">
        <v>213</v>
      </c>
      <c r="I145" t="s">
        <v>753</v>
      </c>
      <c r="J145" t="s">
        <v>85</v>
      </c>
      <c r="K145" t="s">
        <v>291</v>
      </c>
      <c r="L145" t="s">
        <v>216</v>
      </c>
      <c r="M145" t="s">
        <v>936</v>
      </c>
      <c r="N145" t="s">
        <v>1010</v>
      </c>
      <c r="O145" t="s">
        <v>72</v>
      </c>
      <c r="P145" t="s">
        <v>75</v>
      </c>
      <c r="Q145" s="44">
        <v>115</v>
      </c>
      <c r="R145" s="42">
        <v>3.718</v>
      </c>
      <c r="S145" s="48">
        <v>37539</v>
      </c>
      <c r="U145" s="44">
        <v>160.506</v>
      </c>
      <c r="V145" s="45">
        <v>0</v>
      </c>
      <c r="W145" s="45">
        <v>3.1302794065723297E-2</v>
      </c>
      <c r="X145" s="45">
        <v>6.9290374622094798E-3</v>
      </c>
    </row>
    <row r="146" spans="1:24" x14ac:dyDescent="0.25">
      <c r="A146">
        <v>1182</v>
      </c>
      <c r="B146">
        <v>14769</v>
      </c>
      <c r="C146" t="s">
        <v>1011</v>
      </c>
      <c r="D146" t="s">
        <v>1012</v>
      </c>
      <c r="E146" t="s">
        <v>613</v>
      </c>
      <c r="F146" t="s">
        <v>1011</v>
      </c>
      <c r="G146" t="s">
        <v>1013</v>
      </c>
      <c r="H146" t="s">
        <v>213</v>
      </c>
      <c r="I146" t="s">
        <v>753</v>
      </c>
      <c r="J146" t="s">
        <v>85</v>
      </c>
      <c r="K146" t="s">
        <v>291</v>
      </c>
      <c r="L146" t="s">
        <v>216</v>
      </c>
      <c r="M146" t="s">
        <v>936</v>
      </c>
      <c r="N146" t="s">
        <v>680</v>
      </c>
      <c r="O146" t="s">
        <v>72</v>
      </c>
      <c r="P146" t="s">
        <v>75</v>
      </c>
      <c r="Q146" s="44">
        <v>167</v>
      </c>
      <c r="R146" s="42">
        <v>3.718</v>
      </c>
      <c r="S146" s="48">
        <v>2835</v>
      </c>
      <c r="U146" s="44">
        <v>17.603000000000002</v>
      </c>
      <c r="V146" s="45">
        <v>0</v>
      </c>
      <c r="W146" s="45">
        <v>3.43298652565306E-3</v>
      </c>
      <c r="X146" s="45">
        <v>7.5990955291616003E-4</v>
      </c>
    </row>
    <row r="147" spans="1:24" x14ac:dyDescent="0.25">
      <c r="A147">
        <v>1182</v>
      </c>
      <c r="B147">
        <v>14769</v>
      </c>
      <c r="C147" t="s">
        <v>1014</v>
      </c>
      <c r="D147" t="s">
        <v>1015</v>
      </c>
      <c r="E147" t="s">
        <v>613</v>
      </c>
      <c r="F147" t="s">
        <v>1016</v>
      </c>
      <c r="G147" t="s">
        <v>1017</v>
      </c>
      <c r="H147" t="s">
        <v>213</v>
      </c>
      <c r="I147" t="s">
        <v>753</v>
      </c>
      <c r="J147" t="s">
        <v>85</v>
      </c>
      <c r="K147" t="s">
        <v>291</v>
      </c>
      <c r="L147" t="s">
        <v>216</v>
      </c>
      <c r="M147" t="s">
        <v>936</v>
      </c>
      <c r="N147" t="s">
        <v>975</v>
      </c>
      <c r="O147" t="s">
        <v>72</v>
      </c>
      <c r="P147" t="s">
        <v>75</v>
      </c>
      <c r="Q147" s="44">
        <v>7</v>
      </c>
      <c r="R147" s="42">
        <v>3.718</v>
      </c>
      <c r="S147" s="48">
        <v>93253</v>
      </c>
      <c r="U147" s="44">
        <v>24.27</v>
      </c>
      <c r="V147" s="45">
        <v>0</v>
      </c>
      <c r="W147" s="45">
        <v>4.7332933019401903E-3</v>
      </c>
      <c r="X147" s="45">
        <v>1.0477392701721099E-3</v>
      </c>
    </row>
    <row r="148" spans="1:24" x14ac:dyDescent="0.25">
      <c r="A148">
        <v>1182</v>
      </c>
      <c r="B148">
        <v>14769</v>
      </c>
      <c r="C148" t="s">
        <v>1018</v>
      </c>
      <c r="D148" t="s">
        <v>1019</v>
      </c>
      <c r="E148" t="s">
        <v>613</v>
      </c>
      <c r="F148" t="s">
        <v>1020</v>
      </c>
      <c r="G148" t="s">
        <v>1021</v>
      </c>
      <c r="H148" t="s">
        <v>213</v>
      </c>
      <c r="I148" t="s">
        <v>753</v>
      </c>
      <c r="J148" t="s">
        <v>85</v>
      </c>
      <c r="K148" t="s">
        <v>291</v>
      </c>
      <c r="L148" t="s">
        <v>216</v>
      </c>
      <c r="M148" t="s">
        <v>1022</v>
      </c>
      <c r="N148" t="s">
        <v>1023</v>
      </c>
      <c r="O148" t="s">
        <v>72</v>
      </c>
      <c r="P148" t="s">
        <v>75</v>
      </c>
      <c r="Q148" s="44">
        <v>278</v>
      </c>
      <c r="R148" s="42">
        <v>3.718</v>
      </c>
      <c r="S148" s="48">
        <v>7089</v>
      </c>
      <c r="U148" s="44">
        <v>73.272000000000006</v>
      </c>
      <c r="V148" s="45">
        <v>0</v>
      </c>
      <c r="W148" s="45">
        <v>1.42900035517084E-2</v>
      </c>
      <c r="X148" s="45">
        <v>3.1631671516925901E-3</v>
      </c>
    </row>
    <row r="149" spans="1:24" x14ac:dyDescent="0.25">
      <c r="A149">
        <v>1182</v>
      </c>
      <c r="B149">
        <v>14769</v>
      </c>
      <c r="C149" t="s">
        <v>1024</v>
      </c>
      <c r="D149" t="s">
        <v>1025</v>
      </c>
      <c r="E149" t="s">
        <v>613</v>
      </c>
      <c r="F149" t="s">
        <v>1024</v>
      </c>
      <c r="G149" t="s">
        <v>1026</v>
      </c>
      <c r="H149" t="s">
        <v>213</v>
      </c>
      <c r="I149" t="s">
        <v>753</v>
      </c>
      <c r="J149" t="s">
        <v>85</v>
      </c>
      <c r="K149" t="s">
        <v>291</v>
      </c>
      <c r="L149" t="s">
        <v>216</v>
      </c>
      <c r="M149" t="s">
        <v>966</v>
      </c>
      <c r="N149" t="s">
        <v>947</v>
      </c>
      <c r="O149" t="s">
        <v>72</v>
      </c>
      <c r="P149" t="s">
        <v>75</v>
      </c>
      <c r="Q149" s="44">
        <v>428</v>
      </c>
      <c r="R149" s="42">
        <v>3.718</v>
      </c>
      <c r="S149" s="48">
        <v>6348</v>
      </c>
      <c r="T149" s="44">
        <v>0.17100000000000001</v>
      </c>
      <c r="U149" s="44">
        <v>101.652</v>
      </c>
      <c r="V149" s="45">
        <v>0</v>
      </c>
      <c r="W149" s="45">
        <v>1.9824910754729901E-2</v>
      </c>
      <c r="X149" s="45">
        <v>4.3883478585351396E-3</v>
      </c>
    </row>
    <row r="150" spans="1:24" x14ac:dyDescent="0.25">
      <c r="A150">
        <v>1182</v>
      </c>
      <c r="B150">
        <v>14769</v>
      </c>
      <c r="C150" t="s">
        <v>1027</v>
      </c>
      <c r="D150" t="s">
        <v>1028</v>
      </c>
      <c r="E150" t="s">
        <v>613</v>
      </c>
      <c r="F150" t="s">
        <v>1029</v>
      </c>
      <c r="G150" t="s">
        <v>1030</v>
      </c>
      <c r="H150" t="s">
        <v>213</v>
      </c>
      <c r="I150" t="s">
        <v>753</v>
      </c>
      <c r="J150" t="s">
        <v>85</v>
      </c>
      <c r="K150" t="s">
        <v>291</v>
      </c>
      <c r="L150" t="s">
        <v>216</v>
      </c>
      <c r="M150" t="s">
        <v>966</v>
      </c>
      <c r="N150" t="s">
        <v>706</v>
      </c>
      <c r="O150" t="s">
        <v>72</v>
      </c>
      <c r="P150" t="s">
        <v>75</v>
      </c>
      <c r="Q150" s="44">
        <v>27</v>
      </c>
      <c r="R150" s="42">
        <v>3.718</v>
      </c>
      <c r="S150" s="48">
        <v>51201</v>
      </c>
      <c r="U150" s="44">
        <v>51.399000000000001</v>
      </c>
      <c r="V150" s="45">
        <v>0</v>
      </c>
      <c r="W150" s="45">
        <v>1.00240857199865E-2</v>
      </c>
      <c r="X150" s="45">
        <v>2.2188838904397099E-3</v>
      </c>
    </row>
    <row r="151" spans="1:24" x14ac:dyDescent="0.25">
      <c r="A151">
        <v>1182</v>
      </c>
      <c r="B151">
        <v>14769</v>
      </c>
      <c r="C151" t="s">
        <v>1031</v>
      </c>
      <c r="D151" t="s">
        <v>1032</v>
      </c>
      <c r="E151" t="s">
        <v>613</v>
      </c>
      <c r="F151" t="s">
        <v>1033</v>
      </c>
      <c r="G151" t="s">
        <v>1034</v>
      </c>
      <c r="H151" t="s">
        <v>213</v>
      </c>
      <c r="I151" t="s">
        <v>753</v>
      </c>
      <c r="J151" t="s">
        <v>85</v>
      </c>
      <c r="K151" t="s">
        <v>291</v>
      </c>
      <c r="L151" t="s">
        <v>216</v>
      </c>
      <c r="M151" t="s">
        <v>936</v>
      </c>
      <c r="N151" t="s">
        <v>937</v>
      </c>
      <c r="O151" t="s">
        <v>72</v>
      </c>
      <c r="P151" t="s">
        <v>75</v>
      </c>
      <c r="Q151" s="44">
        <v>235</v>
      </c>
      <c r="R151" s="42">
        <v>3.718</v>
      </c>
      <c r="S151" s="48">
        <v>10838</v>
      </c>
      <c r="T151" s="44">
        <v>2E-3</v>
      </c>
      <c r="U151" s="44">
        <v>94.700999999999993</v>
      </c>
      <c r="V151" s="45">
        <v>0</v>
      </c>
      <c r="W151" s="45">
        <v>1.8469259134504701E-2</v>
      </c>
      <c r="X151" s="45">
        <v>4.08826727012111E-3</v>
      </c>
    </row>
    <row r="152" spans="1:24" x14ac:dyDescent="0.25">
      <c r="A152">
        <v>1182</v>
      </c>
      <c r="B152">
        <v>14769</v>
      </c>
      <c r="C152" t="s">
        <v>1035</v>
      </c>
      <c r="D152" t="s">
        <v>1036</v>
      </c>
      <c r="E152" t="s">
        <v>613</v>
      </c>
      <c r="F152" t="s">
        <v>1035</v>
      </c>
      <c r="G152" t="s">
        <v>1037</v>
      </c>
      <c r="H152" t="s">
        <v>213</v>
      </c>
      <c r="I152" t="s">
        <v>753</v>
      </c>
      <c r="J152" t="s">
        <v>85</v>
      </c>
      <c r="K152" t="s">
        <v>291</v>
      </c>
      <c r="L152" t="s">
        <v>216</v>
      </c>
      <c r="M152" t="s">
        <v>286</v>
      </c>
      <c r="N152" t="s">
        <v>1038</v>
      </c>
      <c r="O152" t="s">
        <v>72</v>
      </c>
      <c r="P152" t="s">
        <v>75</v>
      </c>
      <c r="Q152" s="44">
        <v>149</v>
      </c>
      <c r="R152" s="42">
        <v>3.718</v>
      </c>
      <c r="S152" s="48">
        <v>13981</v>
      </c>
      <c r="U152" s="44">
        <v>77.451999999999998</v>
      </c>
      <c r="V152" s="45">
        <v>0</v>
      </c>
      <c r="W152" s="45">
        <v>1.5105220474729199E-2</v>
      </c>
      <c r="X152" s="45">
        <v>3.3436196885357401E-3</v>
      </c>
    </row>
    <row r="153" spans="1:24" x14ac:dyDescent="0.25">
      <c r="A153">
        <v>1182</v>
      </c>
      <c r="B153">
        <v>14769</v>
      </c>
      <c r="C153" t="s">
        <v>749</v>
      </c>
      <c r="D153" t="s">
        <v>750</v>
      </c>
      <c r="E153" t="s">
        <v>613</v>
      </c>
      <c r="F153" t="s">
        <v>1039</v>
      </c>
      <c r="G153" t="s">
        <v>752</v>
      </c>
      <c r="H153" t="s">
        <v>213</v>
      </c>
      <c r="I153" t="s">
        <v>753</v>
      </c>
      <c r="J153" t="s">
        <v>85</v>
      </c>
      <c r="K153" t="s">
        <v>291</v>
      </c>
      <c r="L153" t="s">
        <v>216</v>
      </c>
      <c r="M153" t="s">
        <v>966</v>
      </c>
      <c r="N153" t="s">
        <v>1040</v>
      </c>
      <c r="O153" t="s">
        <v>72</v>
      </c>
      <c r="P153" t="s">
        <v>75</v>
      </c>
      <c r="Q153" s="44">
        <v>442</v>
      </c>
      <c r="R153" s="42">
        <v>3.718</v>
      </c>
      <c r="S153" s="48">
        <v>7077</v>
      </c>
      <c r="U153" s="44">
        <v>116.3</v>
      </c>
      <c r="V153" s="45">
        <v>6.9999999999999999E-6</v>
      </c>
      <c r="W153" s="45">
        <v>2.2681617872793401E-2</v>
      </c>
      <c r="X153" s="45">
        <v>5.02069494544572E-3</v>
      </c>
    </row>
    <row r="154" spans="1:24" x14ac:dyDescent="0.25">
      <c r="A154">
        <v>1182</v>
      </c>
      <c r="B154">
        <v>14769</v>
      </c>
      <c r="C154" t="s">
        <v>1044</v>
      </c>
      <c r="D154" t="s">
        <v>1045</v>
      </c>
      <c r="E154" t="s">
        <v>613</v>
      </c>
      <c r="F154" t="s">
        <v>1046</v>
      </c>
      <c r="G154" t="s">
        <v>1047</v>
      </c>
      <c r="H154" t="s">
        <v>213</v>
      </c>
      <c r="I154" t="s">
        <v>753</v>
      </c>
      <c r="J154" t="s">
        <v>85</v>
      </c>
      <c r="K154" t="s">
        <v>291</v>
      </c>
      <c r="L154" t="s">
        <v>216</v>
      </c>
      <c r="M154" t="s">
        <v>966</v>
      </c>
      <c r="N154" t="s">
        <v>1048</v>
      </c>
      <c r="O154" t="s">
        <v>72</v>
      </c>
      <c r="P154" t="s">
        <v>75</v>
      </c>
      <c r="Q154" s="44">
        <v>500</v>
      </c>
      <c r="R154" s="42">
        <v>3.718</v>
      </c>
      <c r="S154" s="48">
        <v>4180</v>
      </c>
      <c r="T154" s="44">
        <v>0.14099999999999999</v>
      </c>
      <c r="U154" s="44">
        <v>78.230999999999995</v>
      </c>
      <c r="V154" s="45">
        <v>0</v>
      </c>
      <c r="W154" s="45">
        <v>1.52571355432629E-2</v>
      </c>
      <c r="X154" s="45">
        <v>3.3772468848407701E-3</v>
      </c>
    </row>
    <row r="155" spans="1:24" x14ac:dyDescent="0.25">
      <c r="A155">
        <v>1182</v>
      </c>
      <c r="B155">
        <v>14769</v>
      </c>
      <c r="C155" t="s">
        <v>1049</v>
      </c>
      <c r="D155" t="s">
        <v>1050</v>
      </c>
      <c r="E155" t="s">
        <v>613</v>
      </c>
      <c r="F155" t="s">
        <v>1051</v>
      </c>
      <c r="G155" t="s">
        <v>1052</v>
      </c>
      <c r="H155" t="s">
        <v>213</v>
      </c>
      <c r="I155" t="s">
        <v>753</v>
      </c>
      <c r="J155" t="s">
        <v>85</v>
      </c>
      <c r="K155" t="s">
        <v>1053</v>
      </c>
      <c r="L155" t="s">
        <v>216</v>
      </c>
      <c r="M155" t="s">
        <v>966</v>
      </c>
      <c r="N155" t="s">
        <v>937</v>
      </c>
      <c r="O155" t="s">
        <v>72</v>
      </c>
      <c r="P155" t="s">
        <v>75</v>
      </c>
      <c r="Q155" s="44">
        <v>181</v>
      </c>
      <c r="R155" s="42">
        <v>3.718</v>
      </c>
      <c r="S155" s="48">
        <v>16600</v>
      </c>
      <c r="T155" s="44">
        <v>0.123</v>
      </c>
      <c r="U155" s="44">
        <v>112.17</v>
      </c>
      <c r="V155" s="45">
        <v>0</v>
      </c>
      <c r="W155" s="45">
        <v>2.18760195961272E-2</v>
      </c>
      <c r="X155" s="45">
        <v>4.8423715463653799E-3</v>
      </c>
    </row>
    <row r="156" spans="1:24" x14ac:dyDescent="0.25">
      <c r="A156">
        <v>1182</v>
      </c>
      <c r="B156">
        <v>14769</v>
      </c>
      <c r="C156" t="s">
        <v>1054</v>
      </c>
      <c r="D156" t="s">
        <v>1055</v>
      </c>
      <c r="E156" t="s">
        <v>613</v>
      </c>
      <c r="F156" t="s">
        <v>1056</v>
      </c>
      <c r="G156" t="s">
        <v>1057</v>
      </c>
      <c r="H156" t="s">
        <v>213</v>
      </c>
      <c r="I156" t="s">
        <v>753</v>
      </c>
      <c r="J156" t="s">
        <v>85</v>
      </c>
      <c r="K156" t="s">
        <v>291</v>
      </c>
      <c r="L156" t="s">
        <v>216</v>
      </c>
      <c r="M156" t="s">
        <v>966</v>
      </c>
      <c r="N156" t="s">
        <v>700</v>
      </c>
      <c r="O156" t="s">
        <v>72</v>
      </c>
      <c r="P156" t="s">
        <v>75</v>
      </c>
      <c r="Q156" s="44">
        <v>247</v>
      </c>
      <c r="R156" s="42">
        <v>3.718</v>
      </c>
      <c r="S156" s="48">
        <v>7286</v>
      </c>
      <c r="U156" s="44">
        <v>66.911000000000001</v>
      </c>
      <c r="V156" s="45">
        <v>0</v>
      </c>
      <c r="W156" s="45">
        <v>1.30493441413455E-2</v>
      </c>
      <c r="X156" s="45">
        <v>2.8885406913773401E-3</v>
      </c>
    </row>
    <row r="157" spans="1:24" x14ac:dyDescent="0.25">
      <c r="A157">
        <v>1182</v>
      </c>
      <c r="B157">
        <v>14769</v>
      </c>
      <c r="C157" t="s">
        <v>1058</v>
      </c>
      <c r="D157" t="s">
        <v>1059</v>
      </c>
      <c r="E157" t="s">
        <v>613</v>
      </c>
      <c r="F157" t="s">
        <v>1060</v>
      </c>
      <c r="G157" t="s">
        <v>1061</v>
      </c>
      <c r="H157" t="s">
        <v>213</v>
      </c>
      <c r="I157" t="s">
        <v>753</v>
      </c>
      <c r="J157" t="s">
        <v>85</v>
      </c>
      <c r="K157" t="s">
        <v>291</v>
      </c>
      <c r="L157" t="s">
        <v>216</v>
      </c>
      <c r="M157" t="s">
        <v>966</v>
      </c>
      <c r="N157" t="s">
        <v>957</v>
      </c>
      <c r="O157" t="s">
        <v>72</v>
      </c>
      <c r="P157" t="s">
        <v>75</v>
      </c>
      <c r="Q157" s="44">
        <v>56</v>
      </c>
      <c r="R157" s="42">
        <v>3.718</v>
      </c>
      <c r="S157" s="48">
        <v>35046</v>
      </c>
      <c r="U157" s="44">
        <v>72.968999999999994</v>
      </c>
      <c r="V157" s="45">
        <v>0</v>
      </c>
      <c r="W157" s="45">
        <v>1.4230791250451701E-2</v>
      </c>
      <c r="X157" s="45">
        <v>3.1500601985953698E-3</v>
      </c>
    </row>
    <row r="158" spans="1:24" x14ac:dyDescent="0.25">
      <c r="A158">
        <v>12904</v>
      </c>
      <c r="B158">
        <v>12905</v>
      </c>
      <c r="C158" t="s">
        <v>1062</v>
      </c>
      <c r="D158" t="s">
        <v>1063</v>
      </c>
      <c r="E158" t="s">
        <v>210</v>
      </c>
      <c r="F158" t="s">
        <v>1064</v>
      </c>
      <c r="G158" t="s">
        <v>1065</v>
      </c>
      <c r="H158" t="s">
        <v>213</v>
      </c>
      <c r="I158" t="s">
        <v>753</v>
      </c>
      <c r="J158" t="s">
        <v>71</v>
      </c>
      <c r="K158" t="s">
        <v>71</v>
      </c>
      <c r="L158" t="s">
        <v>216</v>
      </c>
      <c r="M158" t="s">
        <v>117</v>
      </c>
      <c r="N158" t="s">
        <v>825</v>
      </c>
      <c r="O158" t="s">
        <v>72</v>
      </c>
      <c r="P158" t="s">
        <v>81</v>
      </c>
      <c r="Q158" s="44">
        <v>13766</v>
      </c>
      <c r="R158" s="42">
        <v>1</v>
      </c>
      <c r="S158" s="48">
        <v>294.10000000000002</v>
      </c>
      <c r="U158" s="44">
        <v>40.485999999999997</v>
      </c>
      <c r="V158" s="45">
        <v>1.13E-4</v>
      </c>
      <c r="W158" s="45">
        <v>6.2293479986118803E-3</v>
      </c>
      <c r="X158" s="45">
        <v>9.4650171432806402E-4</v>
      </c>
    </row>
    <row r="159" spans="1:24" x14ac:dyDescent="0.25">
      <c r="A159">
        <v>12904</v>
      </c>
      <c r="B159">
        <v>12905</v>
      </c>
      <c r="C159" t="s">
        <v>749</v>
      </c>
      <c r="D159" t="s">
        <v>750</v>
      </c>
      <c r="E159" t="s">
        <v>613</v>
      </c>
      <c r="F159" t="s">
        <v>751</v>
      </c>
      <c r="G159" t="s">
        <v>752</v>
      </c>
      <c r="H159" t="s">
        <v>213</v>
      </c>
      <c r="I159" t="s">
        <v>753</v>
      </c>
      <c r="J159" t="s">
        <v>71</v>
      </c>
      <c r="K159" t="s">
        <v>291</v>
      </c>
      <c r="L159" t="s">
        <v>216</v>
      </c>
      <c r="M159" t="s">
        <v>117</v>
      </c>
      <c r="N159" t="s">
        <v>287</v>
      </c>
      <c r="O159" t="s">
        <v>72</v>
      </c>
      <c r="P159" t="s">
        <v>81</v>
      </c>
      <c r="Q159" s="44">
        <v>153</v>
      </c>
      <c r="R159" s="42">
        <v>1</v>
      </c>
      <c r="S159" s="48">
        <v>26100</v>
      </c>
      <c r="U159" s="44">
        <v>39.933</v>
      </c>
      <c r="V159" s="45">
        <v>3.0000000000000001E-6</v>
      </c>
      <c r="W159" s="45">
        <v>6.1442905108167597E-3</v>
      </c>
      <c r="X159" s="45">
        <v>9.3357788056047501E-4</v>
      </c>
    </row>
    <row r="160" spans="1:24" x14ac:dyDescent="0.25">
      <c r="A160">
        <v>12904</v>
      </c>
      <c r="B160">
        <v>12905</v>
      </c>
      <c r="C160" t="s">
        <v>644</v>
      </c>
      <c r="D160" t="s">
        <v>645</v>
      </c>
      <c r="E160" t="s">
        <v>210</v>
      </c>
      <c r="F160" t="s">
        <v>754</v>
      </c>
      <c r="G160" t="s">
        <v>755</v>
      </c>
      <c r="H160" t="s">
        <v>213</v>
      </c>
      <c r="I160" t="s">
        <v>753</v>
      </c>
      <c r="J160" t="s">
        <v>71</v>
      </c>
      <c r="K160" t="s">
        <v>71</v>
      </c>
      <c r="L160" t="s">
        <v>216</v>
      </c>
      <c r="M160" t="s">
        <v>117</v>
      </c>
      <c r="N160" t="s">
        <v>227</v>
      </c>
      <c r="O160" t="s">
        <v>72</v>
      </c>
      <c r="P160" t="s">
        <v>81</v>
      </c>
      <c r="Q160" s="44">
        <v>8547</v>
      </c>
      <c r="R160" s="42">
        <v>1</v>
      </c>
      <c r="S160" s="48">
        <v>2089</v>
      </c>
      <c r="U160" s="44">
        <v>178.547</v>
      </c>
      <c r="V160" s="45">
        <v>6.0000000000000002E-6</v>
      </c>
      <c r="W160" s="45">
        <v>2.7472105609531301E-2</v>
      </c>
      <c r="X160" s="45">
        <v>4.1741760231435504E-3</v>
      </c>
    </row>
    <row r="161" spans="1:24" x14ac:dyDescent="0.25">
      <c r="A161">
        <v>12904</v>
      </c>
      <c r="B161">
        <v>12905</v>
      </c>
      <c r="C161" t="s">
        <v>756</v>
      </c>
      <c r="D161" t="s">
        <v>757</v>
      </c>
      <c r="E161" t="s">
        <v>210</v>
      </c>
      <c r="F161" t="s">
        <v>758</v>
      </c>
      <c r="G161" t="s">
        <v>759</v>
      </c>
      <c r="H161" t="s">
        <v>213</v>
      </c>
      <c r="I161" t="s">
        <v>753</v>
      </c>
      <c r="J161" t="s">
        <v>71</v>
      </c>
      <c r="K161" t="s">
        <v>71</v>
      </c>
      <c r="L161" t="s">
        <v>216</v>
      </c>
      <c r="M161" t="s">
        <v>117</v>
      </c>
      <c r="N161" t="s">
        <v>252</v>
      </c>
      <c r="O161" t="s">
        <v>72</v>
      </c>
      <c r="P161" t="s">
        <v>81</v>
      </c>
      <c r="Q161" s="44">
        <v>298</v>
      </c>
      <c r="R161" s="42">
        <v>1</v>
      </c>
      <c r="S161" s="48">
        <v>15580</v>
      </c>
      <c r="U161" s="44">
        <v>46.427999999999997</v>
      </c>
      <c r="V161" s="45">
        <v>2.0000000000000002E-5</v>
      </c>
      <c r="W161" s="45">
        <v>7.1437051449278798E-3</v>
      </c>
      <c r="X161" s="45">
        <v>1.0854312791379001E-3</v>
      </c>
    </row>
    <row r="162" spans="1:24" x14ac:dyDescent="0.25">
      <c r="A162">
        <v>12904</v>
      </c>
      <c r="B162">
        <v>12905</v>
      </c>
      <c r="C162" t="s">
        <v>760</v>
      </c>
      <c r="D162" t="s">
        <v>761</v>
      </c>
      <c r="E162" t="s">
        <v>210</v>
      </c>
      <c r="F162" t="s">
        <v>762</v>
      </c>
      <c r="G162" t="s">
        <v>763</v>
      </c>
      <c r="H162" t="s">
        <v>213</v>
      </c>
      <c r="I162" t="s">
        <v>753</v>
      </c>
      <c r="J162" t="s">
        <v>71</v>
      </c>
      <c r="K162" t="s">
        <v>71</v>
      </c>
      <c r="L162" t="s">
        <v>216</v>
      </c>
      <c r="M162" t="s">
        <v>117</v>
      </c>
      <c r="N162" t="s">
        <v>764</v>
      </c>
      <c r="O162" t="s">
        <v>72</v>
      </c>
      <c r="P162" t="s">
        <v>81</v>
      </c>
      <c r="Q162" s="44">
        <v>600</v>
      </c>
      <c r="R162" s="42">
        <v>1</v>
      </c>
      <c r="S162" s="48">
        <v>1524</v>
      </c>
      <c r="U162" s="44">
        <v>9.1440000000000001</v>
      </c>
      <c r="V162" s="45">
        <v>3.9999999999999998E-6</v>
      </c>
      <c r="W162" s="45">
        <v>1.40694143768083E-3</v>
      </c>
      <c r="X162" s="45">
        <v>2.1377397490408899E-4</v>
      </c>
    </row>
    <row r="163" spans="1:24" x14ac:dyDescent="0.25">
      <c r="A163">
        <v>12904</v>
      </c>
      <c r="B163">
        <v>12905</v>
      </c>
      <c r="C163" t="s">
        <v>769</v>
      </c>
      <c r="D163" t="s">
        <v>770</v>
      </c>
      <c r="E163" t="s">
        <v>210</v>
      </c>
      <c r="F163" t="s">
        <v>771</v>
      </c>
      <c r="G163" t="s">
        <v>772</v>
      </c>
      <c r="H163" t="s">
        <v>213</v>
      </c>
      <c r="I163" t="s">
        <v>753</v>
      </c>
      <c r="J163" t="s">
        <v>71</v>
      </c>
      <c r="K163" t="s">
        <v>71</v>
      </c>
      <c r="L163" t="s">
        <v>216</v>
      </c>
      <c r="M163" t="s">
        <v>117</v>
      </c>
      <c r="N163" t="s">
        <v>773</v>
      </c>
      <c r="O163" t="s">
        <v>72</v>
      </c>
      <c r="P163" t="s">
        <v>81</v>
      </c>
      <c r="Q163" s="44">
        <v>85</v>
      </c>
      <c r="R163" s="42">
        <v>1</v>
      </c>
      <c r="S163" s="48">
        <v>142500</v>
      </c>
      <c r="U163" s="44">
        <v>121.125</v>
      </c>
      <c r="V163" s="45">
        <v>1.9999999999999999E-6</v>
      </c>
      <c r="W163" s="45">
        <v>1.86368965047124E-2</v>
      </c>
      <c r="X163" s="45">
        <v>2.8317336734752598E-3</v>
      </c>
    </row>
    <row r="164" spans="1:24" x14ac:dyDescent="0.25">
      <c r="A164">
        <v>12904</v>
      </c>
      <c r="B164">
        <v>12905</v>
      </c>
      <c r="C164" t="s">
        <v>268</v>
      </c>
      <c r="D164" t="s">
        <v>269</v>
      </c>
      <c r="E164" t="s">
        <v>210</v>
      </c>
      <c r="F164" t="s">
        <v>774</v>
      </c>
      <c r="G164" t="s">
        <v>775</v>
      </c>
      <c r="H164" t="s">
        <v>213</v>
      </c>
      <c r="I164" t="s">
        <v>753</v>
      </c>
      <c r="J164" t="s">
        <v>71</v>
      </c>
      <c r="K164" t="s">
        <v>71</v>
      </c>
      <c r="L164" t="s">
        <v>216</v>
      </c>
      <c r="M164" t="s">
        <v>117</v>
      </c>
      <c r="N164" t="s">
        <v>272</v>
      </c>
      <c r="O164" t="s">
        <v>72</v>
      </c>
      <c r="P164" t="s">
        <v>81</v>
      </c>
      <c r="Q164" s="44">
        <v>11</v>
      </c>
      <c r="R164" s="42">
        <v>1</v>
      </c>
      <c r="S164" s="48">
        <v>173080</v>
      </c>
      <c r="U164" s="44">
        <v>19.039000000000001</v>
      </c>
      <c r="V164" s="45">
        <v>3.0000000000000001E-6</v>
      </c>
      <c r="W164" s="45">
        <v>2.9294047073182101E-3</v>
      </c>
      <c r="X164" s="45">
        <v>4.4510060732764301E-4</v>
      </c>
    </row>
    <row r="165" spans="1:24" x14ac:dyDescent="0.25">
      <c r="A165">
        <v>12904</v>
      </c>
      <c r="B165">
        <v>12905</v>
      </c>
      <c r="C165" t="s">
        <v>282</v>
      </c>
      <c r="D165" t="s">
        <v>283</v>
      </c>
      <c r="E165" t="s">
        <v>210</v>
      </c>
      <c r="F165" t="s">
        <v>776</v>
      </c>
      <c r="G165" t="s">
        <v>777</v>
      </c>
      <c r="H165" t="s">
        <v>213</v>
      </c>
      <c r="I165" t="s">
        <v>753</v>
      </c>
      <c r="J165" t="s">
        <v>71</v>
      </c>
      <c r="K165" t="s">
        <v>291</v>
      </c>
      <c r="L165" t="s">
        <v>216</v>
      </c>
      <c r="M165" t="s">
        <v>117</v>
      </c>
      <c r="N165" t="s">
        <v>287</v>
      </c>
      <c r="O165" t="s">
        <v>72</v>
      </c>
      <c r="P165" t="s">
        <v>81</v>
      </c>
      <c r="Q165" s="44">
        <v>997.9</v>
      </c>
      <c r="R165" s="42">
        <v>1</v>
      </c>
      <c r="S165" s="48">
        <v>5941</v>
      </c>
      <c r="U165" s="44">
        <v>59.284999999999997</v>
      </c>
      <c r="V165" s="45">
        <v>7.9999999999999996E-6</v>
      </c>
      <c r="W165" s="45">
        <v>9.1219225056771106E-3</v>
      </c>
      <c r="X165" s="45">
        <v>1.3860062548303701E-3</v>
      </c>
    </row>
    <row r="166" spans="1:24" x14ac:dyDescent="0.25">
      <c r="A166">
        <v>12904</v>
      </c>
      <c r="B166">
        <v>12905</v>
      </c>
      <c r="C166" t="s">
        <v>778</v>
      </c>
      <c r="D166" t="s">
        <v>779</v>
      </c>
      <c r="E166" t="s">
        <v>613</v>
      </c>
      <c r="F166" t="s">
        <v>780</v>
      </c>
      <c r="G166" t="s">
        <v>781</v>
      </c>
      <c r="H166" t="s">
        <v>213</v>
      </c>
      <c r="I166" t="s">
        <v>753</v>
      </c>
      <c r="J166" t="s">
        <v>71</v>
      </c>
      <c r="K166" t="s">
        <v>604</v>
      </c>
      <c r="L166" t="s">
        <v>216</v>
      </c>
      <c r="M166" t="s">
        <v>117</v>
      </c>
      <c r="N166" t="s">
        <v>423</v>
      </c>
      <c r="O166" t="s">
        <v>72</v>
      </c>
      <c r="P166" t="s">
        <v>81</v>
      </c>
      <c r="Q166" s="44">
        <v>1108</v>
      </c>
      <c r="R166" s="42">
        <v>1</v>
      </c>
      <c r="S166" s="48">
        <v>4205</v>
      </c>
      <c r="T166" s="44">
        <v>1.236</v>
      </c>
      <c r="U166" s="44">
        <v>47.826999999999998</v>
      </c>
      <c r="V166" s="45">
        <v>6.0000000000000002E-6</v>
      </c>
      <c r="W166" s="45">
        <v>7.3589412124833104E-3</v>
      </c>
      <c r="X166" s="45">
        <v>1.11813475098951E-3</v>
      </c>
    </row>
    <row r="167" spans="1:24" x14ac:dyDescent="0.25">
      <c r="A167">
        <v>12904</v>
      </c>
      <c r="B167">
        <v>12905</v>
      </c>
      <c r="C167" t="s">
        <v>631</v>
      </c>
      <c r="D167" t="s">
        <v>632</v>
      </c>
      <c r="E167" t="s">
        <v>210</v>
      </c>
      <c r="F167" t="s">
        <v>786</v>
      </c>
      <c r="G167" t="s">
        <v>787</v>
      </c>
      <c r="H167" t="s">
        <v>213</v>
      </c>
      <c r="I167" t="s">
        <v>753</v>
      </c>
      <c r="J167" t="s">
        <v>71</v>
      </c>
      <c r="K167" t="s">
        <v>71</v>
      </c>
      <c r="L167" t="s">
        <v>216</v>
      </c>
      <c r="M167" t="s">
        <v>117</v>
      </c>
      <c r="N167" t="s">
        <v>245</v>
      </c>
      <c r="O167" t="s">
        <v>72</v>
      </c>
      <c r="P167" t="s">
        <v>81</v>
      </c>
      <c r="Q167" s="44">
        <v>1434</v>
      </c>
      <c r="R167" s="42">
        <v>1</v>
      </c>
      <c r="S167" s="48">
        <v>5080</v>
      </c>
      <c r="U167" s="44">
        <v>72.846999999999994</v>
      </c>
      <c r="V167" s="45">
        <v>1.2999999999999999E-5</v>
      </c>
      <c r="W167" s="45">
        <v>1.12086334535239E-2</v>
      </c>
      <c r="X167" s="45">
        <v>1.70306600006924E-3</v>
      </c>
    </row>
    <row r="168" spans="1:24" x14ac:dyDescent="0.25">
      <c r="A168">
        <v>12904</v>
      </c>
      <c r="B168">
        <v>12905</v>
      </c>
      <c r="C168" t="s">
        <v>790</v>
      </c>
      <c r="D168" t="s">
        <v>791</v>
      </c>
      <c r="E168" t="s">
        <v>210</v>
      </c>
      <c r="F168" t="s">
        <v>792</v>
      </c>
      <c r="G168" t="s">
        <v>793</v>
      </c>
      <c r="H168" t="s">
        <v>213</v>
      </c>
      <c r="I168" t="s">
        <v>753</v>
      </c>
      <c r="J168" t="s">
        <v>71</v>
      </c>
      <c r="K168" t="s">
        <v>71</v>
      </c>
      <c r="L168" t="s">
        <v>216</v>
      </c>
      <c r="M168" t="s">
        <v>117</v>
      </c>
      <c r="N168" t="s">
        <v>329</v>
      </c>
      <c r="O168" t="s">
        <v>72</v>
      </c>
      <c r="P168" t="s">
        <v>81</v>
      </c>
      <c r="Q168" s="44">
        <v>17269</v>
      </c>
      <c r="R168" s="42">
        <v>1</v>
      </c>
      <c r="S168" s="48">
        <v>546.6</v>
      </c>
      <c r="U168" s="44">
        <v>94.391999999999996</v>
      </c>
      <c r="V168" s="45">
        <v>6.0000000000000002E-6</v>
      </c>
      <c r="W168" s="45">
        <v>1.4523678285524699E-2</v>
      </c>
      <c r="X168" s="45">
        <v>2.2067616705089498E-3</v>
      </c>
    </row>
    <row r="169" spans="1:24" x14ac:dyDescent="0.25">
      <c r="A169">
        <v>12904</v>
      </c>
      <c r="B169">
        <v>12905</v>
      </c>
      <c r="C169" t="s">
        <v>331</v>
      </c>
      <c r="D169" t="s">
        <v>332</v>
      </c>
      <c r="E169" t="s">
        <v>210</v>
      </c>
      <c r="F169" t="s">
        <v>794</v>
      </c>
      <c r="G169" t="s">
        <v>795</v>
      </c>
      <c r="H169" t="s">
        <v>213</v>
      </c>
      <c r="I169" t="s">
        <v>753</v>
      </c>
      <c r="J169" t="s">
        <v>71</v>
      </c>
      <c r="K169" t="s">
        <v>71</v>
      </c>
      <c r="L169" t="s">
        <v>216</v>
      </c>
      <c r="M169" t="s">
        <v>117</v>
      </c>
      <c r="N169" t="s">
        <v>258</v>
      </c>
      <c r="O169" t="s">
        <v>72</v>
      </c>
      <c r="P169" t="s">
        <v>81</v>
      </c>
      <c r="Q169" s="44">
        <v>81</v>
      </c>
      <c r="R169" s="42">
        <v>1</v>
      </c>
      <c r="S169" s="48">
        <v>51410</v>
      </c>
      <c r="U169" s="44">
        <v>41.642000000000003</v>
      </c>
      <c r="V169" s="45">
        <v>3.0000000000000001E-6</v>
      </c>
      <c r="W169" s="45">
        <v>6.40726115945416E-3</v>
      </c>
      <c r="X169" s="45">
        <v>9.7353425638162304E-4</v>
      </c>
    </row>
    <row r="170" spans="1:24" x14ac:dyDescent="0.25">
      <c r="A170">
        <v>12904</v>
      </c>
      <c r="B170">
        <v>12905</v>
      </c>
      <c r="C170" t="s">
        <v>796</v>
      </c>
      <c r="D170" t="s">
        <v>797</v>
      </c>
      <c r="E170" t="s">
        <v>210</v>
      </c>
      <c r="F170" t="s">
        <v>798</v>
      </c>
      <c r="G170" t="s">
        <v>799</v>
      </c>
      <c r="H170" t="s">
        <v>213</v>
      </c>
      <c r="I170" t="s">
        <v>753</v>
      </c>
      <c r="J170" t="s">
        <v>71</v>
      </c>
      <c r="K170" t="s">
        <v>71</v>
      </c>
      <c r="L170" t="s">
        <v>216</v>
      </c>
      <c r="M170" t="s">
        <v>117</v>
      </c>
      <c r="N170" t="s">
        <v>365</v>
      </c>
      <c r="O170" t="s">
        <v>72</v>
      </c>
      <c r="P170" t="s">
        <v>81</v>
      </c>
      <c r="Q170" s="44">
        <v>39</v>
      </c>
      <c r="R170" s="42">
        <v>1</v>
      </c>
      <c r="S170" s="48">
        <v>18720</v>
      </c>
      <c r="U170" s="44">
        <v>7.3010000000000002</v>
      </c>
      <c r="V170" s="45">
        <v>0</v>
      </c>
      <c r="W170" s="45">
        <v>1.1233374943372899E-3</v>
      </c>
      <c r="X170" s="45">
        <v>1.7068252799428801E-4</v>
      </c>
    </row>
    <row r="171" spans="1:24" x14ac:dyDescent="0.25">
      <c r="A171">
        <v>12904</v>
      </c>
      <c r="B171">
        <v>12905</v>
      </c>
      <c r="C171" t="s">
        <v>800</v>
      </c>
      <c r="D171" t="s">
        <v>801</v>
      </c>
      <c r="E171" t="s">
        <v>210</v>
      </c>
      <c r="F171" t="s">
        <v>802</v>
      </c>
      <c r="G171" t="s">
        <v>803</v>
      </c>
      <c r="H171" t="s">
        <v>213</v>
      </c>
      <c r="I171" t="s">
        <v>753</v>
      </c>
      <c r="J171" t="s">
        <v>71</v>
      </c>
      <c r="K171" t="s">
        <v>71</v>
      </c>
      <c r="L171" t="s">
        <v>216</v>
      </c>
      <c r="M171" t="s">
        <v>117</v>
      </c>
      <c r="N171" t="s">
        <v>365</v>
      </c>
      <c r="O171" t="s">
        <v>72</v>
      </c>
      <c r="P171" t="s">
        <v>81</v>
      </c>
      <c r="Q171" s="44">
        <v>7041</v>
      </c>
      <c r="R171" s="42">
        <v>1</v>
      </c>
      <c r="S171" s="48">
        <v>2572</v>
      </c>
      <c r="T171" s="44">
        <v>1.8</v>
      </c>
      <c r="U171" s="44">
        <v>182.89400000000001</v>
      </c>
      <c r="V171" s="45">
        <v>6.0000000000000002E-6</v>
      </c>
      <c r="W171" s="45">
        <v>2.81410213296759E-2</v>
      </c>
      <c r="X171" s="45">
        <v>4.2758126432198302E-3</v>
      </c>
    </row>
    <row r="172" spans="1:24" x14ac:dyDescent="0.25">
      <c r="A172">
        <v>12904</v>
      </c>
      <c r="B172">
        <v>12905</v>
      </c>
      <c r="C172" t="s">
        <v>1066</v>
      </c>
      <c r="D172" t="s">
        <v>1067</v>
      </c>
      <c r="E172" t="s">
        <v>210</v>
      </c>
      <c r="F172" t="s">
        <v>1068</v>
      </c>
      <c r="G172" t="s">
        <v>1069</v>
      </c>
      <c r="H172" t="s">
        <v>213</v>
      </c>
      <c r="I172" t="s">
        <v>753</v>
      </c>
      <c r="J172" t="s">
        <v>71</v>
      </c>
      <c r="K172" t="s">
        <v>71</v>
      </c>
      <c r="L172" t="s">
        <v>216</v>
      </c>
      <c r="M172" t="s">
        <v>117</v>
      </c>
      <c r="N172" t="s">
        <v>423</v>
      </c>
      <c r="O172" t="s">
        <v>72</v>
      </c>
      <c r="P172" t="s">
        <v>81</v>
      </c>
      <c r="Q172" s="44">
        <v>98</v>
      </c>
      <c r="R172" s="42">
        <v>1</v>
      </c>
      <c r="S172" s="48">
        <v>57450</v>
      </c>
      <c r="U172" s="44">
        <v>56.301000000000002</v>
      </c>
      <c r="V172" s="45">
        <v>5.0000000000000004E-6</v>
      </c>
      <c r="W172" s="45">
        <v>8.6627526118622407E-3</v>
      </c>
      <c r="X172" s="45">
        <v>1.31623890650428E-3</v>
      </c>
    </row>
    <row r="173" spans="1:24" x14ac:dyDescent="0.25">
      <c r="A173">
        <v>12904</v>
      </c>
      <c r="B173">
        <v>12905</v>
      </c>
      <c r="C173" t="s">
        <v>804</v>
      </c>
      <c r="D173" t="s">
        <v>805</v>
      </c>
      <c r="E173" t="s">
        <v>210</v>
      </c>
      <c r="F173" t="s">
        <v>806</v>
      </c>
      <c r="G173" t="s">
        <v>807</v>
      </c>
      <c r="H173" t="s">
        <v>213</v>
      </c>
      <c r="I173" t="s">
        <v>753</v>
      </c>
      <c r="J173" t="s">
        <v>71</v>
      </c>
      <c r="K173" t="s">
        <v>71</v>
      </c>
      <c r="L173" t="s">
        <v>216</v>
      </c>
      <c r="M173" t="s">
        <v>117</v>
      </c>
      <c r="N173" t="s">
        <v>808</v>
      </c>
      <c r="O173" t="s">
        <v>72</v>
      </c>
      <c r="P173" t="s">
        <v>81</v>
      </c>
      <c r="Q173" s="44">
        <v>470</v>
      </c>
      <c r="R173" s="42">
        <v>1</v>
      </c>
      <c r="S173" s="48">
        <v>17650</v>
      </c>
      <c r="U173" s="44">
        <v>82.954999999999998</v>
      </c>
      <c r="V173" s="45">
        <v>1.7E-5</v>
      </c>
      <c r="W173" s="45">
        <v>1.2763869965311999E-2</v>
      </c>
      <c r="X173" s="45">
        <v>1.939372275609E-3</v>
      </c>
    </row>
    <row r="174" spans="1:24" x14ac:dyDescent="0.25">
      <c r="A174">
        <v>12904</v>
      </c>
      <c r="B174">
        <v>12905</v>
      </c>
      <c r="C174" t="s">
        <v>809</v>
      </c>
      <c r="D174" t="s">
        <v>810</v>
      </c>
      <c r="E174" t="s">
        <v>210</v>
      </c>
      <c r="F174" t="s">
        <v>811</v>
      </c>
      <c r="G174" t="s">
        <v>812</v>
      </c>
      <c r="H174" t="s">
        <v>213</v>
      </c>
      <c r="I174" t="s">
        <v>753</v>
      </c>
      <c r="J174" t="s">
        <v>71</v>
      </c>
      <c r="K174" t="s">
        <v>71</v>
      </c>
      <c r="L174" t="s">
        <v>216</v>
      </c>
      <c r="M174" t="s">
        <v>117</v>
      </c>
      <c r="N174" t="s">
        <v>515</v>
      </c>
      <c r="O174" t="s">
        <v>72</v>
      </c>
      <c r="P174" t="s">
        <v>81</v>
      </c>
      <c r="Q174" s="44">
        <v>9560</v>
      </c>
      <c r="R174" s="42">
        <v>1</v>
      </c>
      <c r="S174" s="48">
        <v>638.4</v>
      </c>
      <c r="U174" s="44">
        <v>61.030999999999999</v>
      </c>
      <c r="V174" s="45">
        <v>1.0399999999999999E-4</v>
      </c>
      <c r="W174" s="45">
        <v>9.3905401531885497E-3</v>
      </c>
      <c r="X174" s="45">
        <v>1.42682064887691E-3</v>
      </c>
    </row>
    <row r="175" spans="1:24" x14ac:dyDescent="0.25">
      <c r="A175">
        <v>12904</v>
      </c>
      <c r="B175">
        <v>12905</v>
      </c>
      <c r="C175" t="s">
        <v>813</v>
      </c>
      <c r="D175" t="s">
        <v>814</v>
      </c>
      <c r="E175" t="s">
        <v>210</v>
      </c>
      <c r="F175" t="s">
        <v>815</v>
      </c>
      <c r="G175" t="s">
        <v>816</v>
      </c>
      <c r="H175" t="s">
        <v>213</v>
      </c>
      <c r="I175" t="s">
        <v>753</v>
      </c>
      <c r="J175" t="s">
        <v>71</v>
      </c>
      <c r="K175" t="s">
        <v>71</v>
      </c>
      <c r="L175" t="s">
        <v>216</v>
      </c>
      <c r="M175" t="s">
        <v>117</v>
      </c>
      <c r="N175" t="s">
        <v>252</v>
      </c>
      <c r="O175" t="s">
        <v>72</v>
      </c>
      <c r="P175" t="s">
        <v>81</v>
      </c>
      <c r="Q175" s="44">
        <v>1357</v>
      </c>
      <c r="R175" s="42">
        <v>1</v>
      </c>
      <c r="S175" s="48">
        <v>6881</v>
      </c>
      <c r="U175" s="44">
        <v>93.375</v>
      </c>
      <c r="V175" s="45">
        <v>5.0000000000000004E-6</v>
      </c>
      <c r="W175" s="45">
        <v>1.4367169282971499E-2</v>
      </c>
      <c r="X175" s="45">
        <v>2.1829813263610099E-3</v>
      </c>
    </row>
    <row r="176" spans="1:24" x14ac:dyDescent="0.25">
      <c r="A176">
        <v>12904</v>
      </c>
      <c r="B176">
        <v>12905</v>
      </c>
      <c r="C176" t="s">
        <v>817</v>
      </c>
      <c r="D176" t="s">
        <v>818</v>
      </c>
      <c r="E176" t="s">
        <v>210</v>
      </c>
      <c r="F176" t="s">
        <v>819</v>
      </c>
      <c r="G176" t="s">
        <v>820</v>
      </c>
      <c r="H176" t="s">
        <v>213</v>
      </c>
      <c r="I176" t="s">
        <v>753</v>
      </c>
      <c r="J176" t="s">
        <v>71</v>
      </c>
      <c r="K176" t="s">
        <v>71</v>
      </c>
      <c r="L176" t="s">
        <v>216</v>
      </c>
      <c r="M176" t="s">
        <v>117</v>
      </c>
      <c r="N176" t="s">
        <v>272</v>
      </c>
      <c r="O176" t="s">
        <v>72</v>
      </c>
      <c r="P176" t="s">
        <v>81</v>
      </c>
      <c r="Q176" s="44">
        <v>11</v>
      </c>
      <c r="R176" s="42">
        <v>1</v>
      </c>
      <c r="S176" s="48">
        <v>99210</v>
      </c>
      <c r="U176" s="44">
        <v>10.913</v>
      </c>
      <c r="V176" s="45">
        <v>9.9999999999999995E-7</v>
      </c>
      <c r="W176" s="45">
        <v>1.6791439855156E-3</v>
      </c>
      <c r="X176" s="45">
        <v>2.55133067095999E-4</v>
      </c>
    </row>
    <row r="177" spans="1:24" x14ac:dyDescent="0.25">
      <c r="A177">
        <v>12904</v>
      </c>
      <c r="B177">
        <v>12905</v>
      </c>
      <c r="C177" t="s">
        <v>821</v>
      </c>
      <c r="D177" t="s">
        <v>822</v>
      </c>
      <c r="E177" t="s">
        <v>210</v>
      </c>
      <c r="F177" t="s">
        <v>823</v>
      </c>
      <c r="G177" t="s">
        <v>824</v>
      </c>
      <c r="H177" t="s">
        <v>213</v>
      </c>
      <c r="I177" t="s">
        <v>753</v>
      </c>
      <c r="J177" t="s">
        <v>71</v>
      </c>
      <c r="K177" t="s">
        <v>71</v>
      </c>
      <c r="L177" t="s">
        <v>216</v>
      </c>
      <c r="M177" t="s">
        <v>117</v>
      </c>
      <c r="N177" t="s">
        <v>825</v>
      </c>
      <c r="O177" t="s">
        <v>72</v>
      </c>
      <c r="P177" t="s">
        <v>81</v>
      </c>
      <c r="Q177" s="44">
        <v>121</v>
      </c>
      <c r="R177" s="42">
        <v>1</v>
      </c>
      <c r="S177" s="48">
        <v>22740</v>
      </c>
      <c r="U177" s="44">
        <v>27.515000000000001</v>
      </c>
      <c r="V177" s="45">
        <v>5.0000000000000004E-6</v>
      </c>
      <c r="W177" s="45">
        <v>4.2336566529268399E-3</v>
      </c>
      <c r="X177" s="45">
        <v>6.4327170046762602E-4</v>
      </c>
    </row>
    <row r="178" spans="1:24" x14ac:dyDescent="0.25">
      <c r="A178">
        <v>12904</v>
      </c>
      <c r="B178">
        <v>12905</v>
      </c>
      <c r="C178" t="s">
        <v>826</v>
      </c>
      <c r="D178" t="s">
        <v>827</v>
      </c>
      <c r="E178" t="s">
        <v>210</v>
      </c>
      <c r="F178" t="s">
        <v>828</v>
      </c>
      <c r="G178" t="s">
        <v>829</v>
      </c>
      <c r="H178" t="s">
        <v>213</v>
      </c>
      <c r="I178" t="s">
        <v>753</v>
      </c>
      <c r="J178" t="s">
        <v>71</v>
      </c>
      <c r="K178" t="s">
        <v>215</v>
      </c>
      <c r="L178" t="s">
        <v>216</v>
      </c>
      <c r="M178" t="s">
        <v>117</v>
      </c>
      <c r="N178" t="s">
        <v>830</v>
      </c>
      <c r="O178" t="s">
        <v>72</v>
      </c>
      <c r="P178" t="s">
        <v>81</v>
      </c>
      <c r="Q178" s="44">
        <v>389</v>
      </c>
      <c r="R178" s="42">
        <v>1</v>
      </c>
      <c r="S178" s="48">
        <v>13000</v>
      </c>
      <c r="U178" s="44">
        <v>50.57</v>
      </c>
      <c r="V178" s="45">
        <v>3.0000000000000001E-6</v>
      </c>
      <c r="W178" s="45">
        <v>7.7809523735257501E-3</v>
      </c>
      <c r="X178" s="45">
        <v>1.1822561144903499E-3</v>
      </c>
    </row>
    <row r="179" spans="1:24" x14ac:dyDescent="0.25">
      <c r="A179">
        <v>12904</v>
      </c>
      <c r="B179">
        <v>12905</v>
      </c>
      <c r="C179" t="s">
        <v>624</v>
      </c>
      <c r="D179" t="s">
        <v>625</v>
      </c>
      <c r="E179" t="s">
        <v>210</v>
      </c>
      <c r="F179" t="s">
        <v>831</v>
      </c>
      <c r="G179" t="s">
        <v>832</v>
      </c>
      <c r="H179" t="s">
        <v>213</v>
      </c>
      <c r="I179" t="s">
        <v>753</v>
      </c>
      <c r="J179" t="s">
        <v>71</v>
      </c>
      <c r="K179" t="s">
        <v>291</v>
      </c>
      <c r="L179" t="s">
        <v>216</v>
      </c>
      <c r="M179" t="s">
        <v>117</v>
      </c>
      <c r="N179" t="s">
        <v>628</v>
      </c>
      <c r="O179" t="s">
        <v>72</v>
      </c>
      <c r="P179" t="s">
        <v>81</v>
      </c>
      <c r="Q179" s="44">
        <v>2945</v>
      </c>
      <c r="R179" s="42">
        <v>1</v>
      </c>
      <c r="S179" s="48">
        <v>5587</v>
      </c>
      <c r="U179" s="44">
        <v>164.53700000000001</v>
      </c>
      <c r="V179" s="45">
        <v>1.9999999999999999E-6</v>
      </c>
      <c r="W179" s="45">
        <v>2.5316506383738599E-2</v>
      </c>
      <c r="X179" s="45">
        <v>3.84664923172466E-3</v>
      </c>
    </row>
    <row r="180" spans="1:24" x14ac:dyDescent="0.25">
      <c r="A180">
        <v>12904</v>
      </c>
      <c r="B180">
        <v>12905</v>
      </c>
      <c r="C180" t="s">
        <v>833</v>
      </c>
      <c r="D180" t="s">
        <v>834</v>
      </c>
      <c r="E180" t="s">
        <v>210</v>
      </c>
      <c r="F180" t="s">
        <v>835</v>
      </c>
      <c r="G180" t="s">
        <v>836</v>
      </c>
      <c r="H180" t="s">
        <v>213</v>
      </c>
      <c r="I180" t="s">
        <v>753</v>
      </c>
      <c r="J180" t="s">
        <v>71</v>
      </c>
      <c r="K180" t="s">
        <v>71</v>
      </c>
      <c r="L180" t="s">
        <v>216</v>
      </c>
      <c r="M180" t="s">
        <v>117</v>
      </c>
      <c r="N180" t="s">
        <v>837</v>
      </c>
      <c r="O180" t="s">
        <v>72</v>
      </c>
      <c r="P180" t="s">
        <v>81</v>
      </c>
      <c r="Q180" s="44">
        <v>5000</v>
      </c>
      <c r="R180" s="42">
        <v>1</v>
      </c>
      <c r="S180" s="48">
        <v>692.7</v>
      </c>
      <c r="U180" s="44">
        <v>34.634999999999998</v>
      </c>
      <c r="V180" s="45">
        <v>4.6E-5</v>
      </c>
      <c r="W180" s="45">
        <v>5.3291138116880396E-3</v>
      </c>
      <c r="X180" s="45">
        <v>8.0971802502221397E-4</v>
      </c>
    </row>
    <row r="181" spans="1:24" x14ac:dyDescent="0.25">
      <c r="A181">
        <v>12904</v>
      </c>
      <c r="B181">
        <v>12905</v>
      </c>
      <c r="C181" t="s">
        <v>838</v>
      </c>
      <c r="D181" t="s">
        <v>839</v>
      </c>
      <c r="E181" t="s">
        <v>210</v>
      </c>
      <c r="F181" t="s">
        <v>840</v>
      </c>
      <c r="G181" t="s">
        <v>841</v>
      </c>
      <c r="H181" t="s">
        <v>213</v>
      </c>
      <c r="I181" t="s">
        <v>753</v>
      </c>
      <c r="J181" t="s">
        <v>71</v>
      </c>
      <c r="K181" t="s">
        <v>71</v>
      </c>
      <c r="L181" t="s">
        <v>216</v>
      </c>
      <c r="M181" t="s">
        <v>117</v>
      </c>
      <c r="N181" t="s">
        <v>429</v>
      </c>
      <c r="O181" t="s">
        <v>72</v>
      </c>
      <c r="P181" t="s">
        <v>81</v>
      </c>
      <c r="Q181" s="44">
        <v>16275</v>
      </c>
      <c r="R181" s="42">
        <v>1</v>
      </c>
      <c r="S181" s="48">
        <v>1651</v>
      </c>
      <c r="U181" s="44">
        <v>268.7</v>
      </c>
      <c r="V181" s="45">
        <v>8.1000000000000004E-5</v>
      </c>
      <c r="W181" s="45">
        <v>4.1343560371850198E-2</v>
      </c>
      <c r="X181" s="45">
        <v>6.2818373250462002E-3</v>
      </c>
    </row>
    <row r="182" spans="1:24" x14ac:dyDescent="0.25">
      <c r="A182">
        <v>12904</v>
      </c>
      <c r="B182">
        <v>12905</v>
      </c>
      <c r="C182" t="s">
        <v>842</v>
      </c>
      <c r="D182" t="s">
        <v>843</v>
      </c>
      <c r="E182" t="s">
        <v>210</v>
      </c>
      <c r="F182" t="s">
        <v>844</v>
      </c>
      <c r="G182" t="s">
        <v>845</v>
      </c>
      <c r="H182" t="s">
        <v>213</v>
      </c>
      <c r="I182" t="s">
        <v>753</v>
      </c>
      <c r="J182" t="s">
        <v>71</v>
      </c>
      <c r="K182" t="s">
        <v>71</v>
      </c>
      <c r="L182" t="s">
        <v>216</v>
      </c>
      <c r="M182" t="s">
        <v>117</v>
      </c>
      <c r="N182" t="s">
        <v>252</v>
      </c>
      <c r="O182" t="s">
        <v>72</v>
      </c>
      <c r="P182" t="s">
        <v>81</v>
      </c>
      <c r="Q182" s="44">
        <v>460</v>
      </c>
      <c r="R182" s="42">
        <v>1</v>
      </c>
      <c r="S182" s="48">
        <v>9094</v>
      </c>
      <c r="U182" s="44">
        <v>41.832000000000001</v>
      </c>
      <c r="V182" s="45">
        <v>6.0000000000000002E-6</v>
      </c>
      <c r="W182" s="45">
        <v>6.4365416664085096E-3</v>
      </c>
      <c r="X182" s="45">
        <v>9.7798320513755601E-4</v>
      </c>
    </row>
    <row r="183" spans="1:24" x14ac:dyDescent="0.25">
      <c r="A183">
        <v>12904</v>
      </c>
      <c r="B183">
        <v>12905</v>
      </c>
      <c r="C183" t="s">
        <v>82</v>
      </c>
      <c r="D183" t="s">
        <v>431</v>
      </c>
      <c r="E183" t="s">
        <v>210</v>
      </c>
      <c r="F183" t="s">
        <v>846</v>
      </c>
      <c r="G183" t="s">
        <v>847</v>
      </c>
      <c r="H183" t="s">
        <v>213</v>
      </c>
      <c r="I183" t="s">
        <v>753</v>
      </c>
      <c r="J183" t="s">
        <v>71</v>
      </c>
      <c r="K183" t="s">
        <v>71</v>
      </c>
      <c r="L183" t="s">
        <v>216</v>
      </c>
      <c r="M183" t="s">
        <v>117</v>
      </c>
      <c r="N183" t="s">
        <v>365</v>
      </c>
      <c r="O183" t="s">
        <v>72</v>
      </c>
      <c r="P183" t="s">
        <v>81</v>
      </c>
      <c r="Q183" s="44">
        <v>8157</v>
      </c>
      <c r="R183" s="42">
        <v>1</v>
      </c>
      <c r="S183" s="48">
        <v>4982</v>
      </c>
      <c r="U183" s="44">
        <v>406.38200000000001</v>
      </c>
      <c r="V183" s="45">
        <v>5.0000000000000004E-6</v>
      </c>
      <c r="W183" s="45">
        <v>6.25279209889366E-2</v>
      </c>
      <c r="X183" s="45">
        <v>9.5006386579440105E-3</v>
      </c>
    </row>
    <row r="184" spans="1:24" x14ac:dyDescent="0.25">
      <c r="A184">
        <v>12904</v>
      </c>
      <c r="B184">
        <v>12905</v>
      </c>
      <c r="C184" t="s">
        <v>444</v>
      </c>
      <c r="D184" t="s">
        <v>445</v>
      </c>
      <c r="E184" t="s">
        <v>210</v>
      </c>
      <c r="F184" t="s">
        <v>848</v>
      </c>
      <c r="G184" t="s">
        <v>849</v>
      </c>
      <c r="H184" t="s">
        <v>213</v>
      </c>
      <c r="I184" t="s">
        <v>753</v>
      </c>
      <c r="J184" t="s">
        <v>71</v>
      </c>
      <c r="K184" t="s">
        <v>71</v>
      </c>
      <c r="L184" t="s">
        <v>216</v>
      </c>
      <c r="M184" t="s">
        <v>117</v>
      </c>
      <c r="N184" t="s">
        <v>258</v>
      </c>
      <c r="O184" t="s">
        <v>72</v>
      </c>
      <c r="P184" t="s">
        <v>81</v>
      </c>
      <c r="Q184" s="44">
        <v>11029</v>
      </c>
      <c r="R184" s="42">
        <v>1</v>
      </c>
      <c r="S184" s="48">
        <v>992.1</v>
      </c>
      <c r="T184" s="44">
        <v>1.0469999999999999</v>
      </c>
      <c r="U184" s="44">
        <v>110.46599999999999</v>
      </c>
      <c r="V184" s="45">
        <v>1.5E-5</v>
      </c>
      <c r="W184" s="45">
        <v>1.6996841765183401E-2</v>
      </c>
      <c r="X184" s="45">
        <v>2.5825399179005199E-3</v>
      </c>
    </row>
    <row r="185" spans="1:24" x14ac:dyDescent="0.25">
      <c r="A185">
        <v>12904</v>
      </c>
      <c r="B185">
        <v>12905</v>
      </c>
      <c r="C185" t="s">
        <v>852</v>
      </c>
      <c r="D185" t="s">
        <v>853</v>
      </c>
      <c r="E185" t="s">
        <v>210</v>
      </c>
      <c r="F185" t="s">
        <v>854</v>
      </c>
      <c r="G185" t="s">
        <v>855</v>
      </c>
      <c r="H185" t="s">
        <v>213</v>
      </c>
      <c r="I185" t="s">
        <v>753</v>
      </c>
      <c r="J185" t="s">
        <v>71</v>
      </c>
      <c r="K185" t="s">
        <v>71</v>
      </c>
      <c r="L185" t="s">
        <v>216</v>
      </c>
      <c r="M185" t="s">
        <v>117</v>
      </c>
      <c r="N185" t="s">
        <v>856</v>
      </c>
      <c r="O185" t="s">
        <v>72</v>
      </c>
      <c r="P185" t="s">
        <v>81</v>
      </c>
      <c r="Q185" s="44">
        <v>58</v>
      </c>
      <c r="R185" s="42">
        <v>1</v>
      </c>
      <c r="S185" s="48">
        <v>22800</v>
      </c>
      <c r="U185" s="44">
        <v>13.224</v>
      </c>
      <c r="V185" s="45">
        <v>1.7E-5</v>
      </c>
      <c r="W185" s="45">
        <v>2.0347105831027201E-3</v>
      </c>
      <c r="X185" s="45">
        <v>3.0915868811588699E-4</v>
      </c>
    </row>
    <row r="186" spans="1:24" x14ac:dyDescent="0.25">
      <c r="A186">
        <v>12904</v>
      </c>
      <c r="B186">
        <v>12905</v>
      </c>
      <c r="C186" t="s">
        <v>857</v>
      </c>
      <c r="D186" t="s">
        <v>858</v>
      </c>
      <c r="E186" t="s">
        <v>210</v>
      </c>
      <c r="F186" t="s">
        <v>859</v>
      </c>
      <c r="G186" t="s">
        <v>860</v>
      </c>
      <c r="H186" t="s">
        <v>213</v>
      </c>
      <c r="I186" t="s">
        <v>753</v>
      </c>
      <c r="J186" t="s">
        <v>71</v>
      </c>
      <c r="K186" t="s">
        <v>71</v>
      </c>
      <c r="L186" t="s">
        <v>216</v>
      </c>
      <c r="M186" t="s">
        <v>117</v>
      </c>
      <c r="N186" t="s">
        <v>365</v>
      </c>
      <c r="O186" t="s">
        <v>72</v>
      </c>
      <c r="P186" t="s">
        <v>81</v>
      </c>
      <c r="Q186" s="44">
        <v>701</v>
      </c>
      <c r="R186" s="42">
        <v>1</v>
      </c>
      <c r="S186" s="48">
        <v>16650</v>
      </c>
      <c r="U186" s="44">
        <v>116.71599999999999</v>
      </c>
      <c r="V186" s="45">
        <v>3.0000000000000001E-6</v>
      </c>
      <c r="W186" s="45">
        <v>1.79585827111849E-2</v>
      </c>
      <c r="X186" s="45">
        <v>2.7286690881335399E-3</v>
      </c>
    </row>
    <row r="187" spans="1:24" x14ac:dyDescent="0.25">
      <c r="A187">
        <v>12904</v>
      </c>
      <c r="B187">
        <v>12905</v>
      </c>
      <c r="C187" t="s">
        <v>861</v>
      </c>
      <c r="D187" t="s">
        <v>862</v>
      </c>
      <c r="E187" t="s">
        <v>210</v>
      </c>
      <c r="F187" t="s">
        <v>863</v>
      </c>
      <c r="G187" t="s">
        <v>864</v>
      </c>
      <c r="H187" t="s">
        <v>213</v>
      </c>
      <c r="I187" t="s">
        <v>753</v>
      </c>
      <c r="J187" t="s">
        <v>71</v>
      </c>
      <c r="K187" t="s">
        <v>71</v>
      </c>
      <c r="L187" t="s">
        <v>216</v>
      </c>
      <c r="M187" t="s">
        <v>117</v>
      </c>
      <c r="N187" t="s">
        <v>825</v>
      </c>
      <c r="O187" t="s">
        <v>72</v>
      </c>
      <c r="P187" t="s">
        <v>81</v>
      </c>
      <c r="Q187" s="44">
        <v>60</v>
      </c>
      <c r="R187" s="42">
        <v>1</v>
      </c>
      <c r="S187" s="48">
        <v>8638</v>
      </c>
      <c r="T187" s="44">
        <v>4.9000000000000002E-2</v>
      </c>
      <c r="U187" s="44">
        <v>5.2320000000000002</v>
      </c>
      <c r="V187" s="45">
        <v>9.9999999999999995E-7</v>
      </c>
      <c r="W187" s="45">
        <v>8.0502161001160205E-4</v>
      </c>
      <c r="X187" s="45">
        <v>1.2231686753042399E-4</v>
      </c>
    </row>
    <row r="188" spans="1:24" x14ac:dyDescent="0.25">
      <c r="A188">
        <v>12904</v>
      </c>
      <c r="B188">
        <v>12905</v>
      </c>
      <c r="C188" t="s">
        <v>483</v>
      </c>
      <c r="D188" t="s">
        <v>484</v>
      </c>
      <c r="E188" t="s">
        <v>210</v>
      </c>
      <c r="F188" t="s">
        <v>865</v>
      </c>
      <c r="G188" t="s">
        <v>866</v>
      </c>
      <c r="H188" t="s">
        <v>213</v>
      </c>
      <c r="I188" t="s">
        <v>753</v>
      </c>
      <c r="J188" t="s">
        <v>71</v>
      </c>
      <c r="K188" t="s">
        <v>71</v>
      </c>
      <c r="L188" t="s">
        <v>216</v>
      </c>
      <c r="M188" t="s">
        <v>117</v>
      </c>
      <c r="N188" t="s">
        <v>258</v>
      </c>
      <c r="O188" t="s">
        <v>72</v>
      </c>
      <c r="P188" t="s">
        <v>81</v>
      </c>
      <c r="Q188" s="44">
        <v>242</v>
      </c>
      <c r="R188" s="42">
        <v>1</v>
      </c>
      <c r="S188" s="48">
        <v>28940</v>
      </c>
      <c r="T188" s="44">
        <v>0.45800000000000002</v>
      </c>
      <c r="U188" s="44">
        <v>70.492999999999995</v>
      </c>
      <c r="V188" s="45">
        <v>5.0000000000000004E-6</v>
      </c>
      <c r="W188" s="45">
        <v>1.08463306468225E-2</v>
      </c>
      <c r="X188" s="45">
        <v>1.64801686367082E-3</v>
      </c>
    </row>
    <row r="189" spans="1:24" x14ac:dyDescent="0.25">
      <c r="A189">
        <v>12904</v>
      </c>
      <c r="B189">
        <v>12905</v>
      </c>
      <c r="C189" t="s">
        <v>867</v>
      </c>
      <c r="D189" t="s">
        <v>868</v>
      </c>
      <c r="E189" t="s">
        <v>210</v>
      </c>
      <c r="F189" t="s">
        <v>869</v>
      </c>
      <c r="G189" t="s">
        <v>870</v>
      </c>
      <c r="H189" t="s">
        <v>213</v>
      </c>
      <c r="I189" t="s">
        <v>753</v>
      </c>
      <c r="J189" t="s">
        <v>71</v>
      </c>
      <c r="K189" t="s">
        <v>71</v>
      </c>
      <c r="L189" t="s">
        <v>216</v>
      </c>
      <c r="M189" t="s">
        <v>117</v>
      </c>
      <c r="N189" t="s">
        <v>252</v>
      </c>
      <c r="O189" t="s">
        <v>72</v>
      </c>
      <c r="P189" t="s">
        <v>81</v>
      </c>
      <c r="Q189" s="44">
        <v>540</v>
      </c>
      <c r="R189" s="42">
        <v>1</v>
      </c>
      <c r="S189" s="48">
        <v>18600</v>
      </c>
      <c r="T189" s="44">
        <v>1.2989999999999999</v>
      </c>
      <c r="U189" s="44">
        <v>101.739</v>
      </c>
      <c r="V189" s="45">
        <v>9.0000000000000002E-6</v>
      </c>
      <c r="W189" s="45">
        <v>1.56540960310864E-2</v>
      </c>
      <c r="X189" s="45">
        <v>2.3785199884451898E-3</v>
      </c>
    </row>
    <row r="190" spans="1:24" x14ac:dyDescent="0.25">
      <c r="A190">
        <v>12904</v>
      </c>
      <c r="B190">
        <v>12905</v>
      </c>
      <c r="C190" t="s">
        <v>494</v>
      </c>
      <c r="D190" t="s">
        <v>495</v>
      </c>
      <c r="E190" t="s">
        <v>210</v>
      </c>
      <c r="F190" t="s">
        <v>871</v>
      </c>
      <c r="G190" t="s">
        <v>872</v>
      </c>
      <c r="H190" t="s">
        <v>213</v>
      </c>
      <c r="I190" t="s">
        <v>753</v>
      </c>
      <c r="J190" t="s">
        <v>71</v>
      </c>
      <c r="K190" t="s">
        <v>71</v>
      </c>
      <c r="L190" t="s">
        <v>216</v>
      </c>
      <c r="M190" t="s">
        <v>117</v>
      </c>
      <c r="N190" t="s">
        <v>498</v>
      </c>
      <c r="O190" t="s">
        <v>72</v>
      </c>
      <c r="P190" t="s">
        <v>81</v>
      </c>
      <c r="Q190" s="44">
        <v>3732</v>
      </c>
      <c r="R190" s="42">
        <v>1</v>
      </c>
      <c r="S190" s="48">
        <v>1700</v>
      </c>
      <c r="U190" s="44">
        <v>63.444000000000003</v>
      </c>
      <c r="V190" s="45">
        <v>6.2000000000000003E-5</v>
      </c>
      <c r="W190" s="45">
        <v>9.7618102113104094E-3</v>
      </c>
      <c r="X190" s="45">
        <v>1.48323229044346E-3</v>
      </c>
    </row>
    <row r="191" spans="1:24" x14ac:dyDescent="0.25">
      <c r="A191">
        <v>12904</v>
      </c>
      <c r="B191">
        <v>12905</v>
      </c>
      <c r="C191" t="s">
        <v>873</v>
      </c>
      <c r="D191" t="s">
        <v>874</v>
      </c>
      <c r="E191" t="s">
        <v>210</v>
      </c>
      <c r="F191" t="s">
        <v>875</v>
      </c>
      <c r="G191" t="s">
        <v>876</v>
      </c>
      <c r="H191" t="s">
        <v>213</v>
      </c>
      <c r="I191" t="s">
        <v>753</v>
      </c>
      <c r="J191" t="s">
        <v>71</v>
      </c>
      <c r="K191" t="s">
        <v>71</v>
      </c>
      <c r="L191" t="s">
        <v>216</v>
      </c>
      <c r="M191" t="s">
        <v>117</v>
      </c>
      <c r="N191" t="s">
        <v>837</v>
      </c>
      <c r="O191" t="s">
        <v>72</v>
      </c>
      <c r="P191" t="s">
        <v>81</v>
      </c>
      <c r="Q191" s="44">
        <v>1000</v>
      </c>
      <c r="R191" s="42">
        <v>1</v>
      </c>
      <c r="S191" s="48">
        <v>1340</v>
      </c>
      <c r="U191" s="44">
        <v>13.4</v>
      </c>
      <c r="V191" s="45">
        <v>6.9999999999999999E-6</v>
      </c>
      <c r="W191" s="45">
        <v>2.0617908207483699E-3</v>
      </c>
      <c r="X191" s="45">
        <v>3.1327332280345501E-4</v>
      </c>
    </row>
    <row r="192" spans="1:24" x14ac:dyDescent="0.25">
      <c r="A192">
        <v>12904</v>
      </c>
      <c r="B192">
        <v>12905</v>
      </c>
      <c r="C192" t="s">
        <v>877</v>
      </c>
      <c r="D192" t="s">
        <v>878</v>
      </c>
      <c r="E192" t="s">
        <v>420</v>
      </c>
      <c r="F192" t="s">
        <v>879</v>
      </c>
      <c r="G192" t="s">
        <v>880</v>
      </c>
      <c r="H192" t="s">
        <v>213</v>
      </c>
      <c r="I192" t="s">
        <v>753</v>
      </c>
      <c r="J192" t="s">
        <v>71</v>
      </c>
      <c r="K192" t="s">
        <v>71</v>
      </c>
      <c r="L192" t="s">
        <v>216</v>
      </c>
      <c r="M192" t="s">
        <v>117</v>
      </c>
      <c r="N192" t="s">
        <v>423</v>
      </c>
      <c r="O192" t="s">
        <v>72</v>
      </c>
      <c r="P192" t="s">
        <v>81</v>
      </c>
      <c r="Q192" s="44">
        <v>4489</v>
      </c>
      <c r="R192" s="42">
        <v>1</v>
      </c>
      <c r="S192" s="48">
        <v>1249</v>
      </c>
      <c r="T192" s="44">
        <v>0.85</v>
      </c>
      <c r="U192" s="44">
        <v>56.917999999999999</v>
      </c>
      <c r="V192" s="45">
        <v>3.9999999999999998E-6</v>
      </c>
      <c r="W192" s="45">
        <v>8.7576611515609096E-3</v>
      </c>
      <c r="X192" s="45">
        <v>1.3306595321538901E-3</v>
      </c>
    </row>
    <row r="193" spans="1:24" x14ac:dyDescent="0.25">
      <c r="A193">
        <v>12904</v>
      </c>
      <c r="B193">
        <v>12905</v>
      </c>
      <c r="C193" t="s">
        <v>881</v>
      </c>
      <c r="D193" t="s">
        <v>882</v>
      </c>
      <c r="E193" t="s">
        <v>210</v>
      </c>
      <c r="F193" t="s">
        <v>883</v>
      </c>
      <c r="G193" t="s">
        <v>884</v>
      </c>
      <c r="H193" t="s">
        <v>213</v>
      </c>
      <c r="I193" t="s">
        <v>753</v>
      </c>
      <c r="J193" t="s">
        <v>71</v>
      </c>
      <c r="K193" t="s">
        <v>291</v>
      </c>
      <c r="L193" t="s">
        <v>216</v>
      </c>
      <c r="M193" t="s">
        <v>117</v>
      </c>
      <c r="N193" t="s">
        <v>526</v>
      </c>
      <c r="O193" t="s">
        <v>72</v>
      </c>
      <c r="P193" t="s">
        <v>81</v>
      </c>
      <c r="Q193" s="44">
        <v>248</v>
      </c>
      <c r="R193" s="42">
        <v>1</v>
      </c>
      <c r="S193" s="48">
        <v>56600</v>
      </c>
      <c r="U193" s="44">
        <v>140.36799999999999</v>
      </c>
      <c r="V193" s="45">
        <v>3.0000000000000001E-6</v>
      </c>
      <c r="W193" s="45">
        <v>2.1597720442299E-2</v>
      </c>
      <c r="X193" s="45">
        <v>3.28160819218473E-3</v>
      </c>
    </row>
    <row r="194" spans="1:24" x14ac:dyDescent="0.25">
      <c r="A194">
        <v>12904</v>
      </c>
      <c r="B194">
        <v>12905</v>
      </c>
      <c r="C194" t="s">
        <v>885</v>
      </c>
      <c r="D194" t="s">
        <v>886</v>
      </c>
      <c r="E194" t="s">
        <v>210</v>
      </c>
      <c r="F194" t="s">
        <v>885</v>
      </c>
      <c r="G194" t="s">
        <v>887</v>
      </c>
      <c r="H194" t="s">
        <v>213</v>
      </c>
      <c r="I194" t="s">
        <v>753</v>
      </c>
      <c r="J194" t="s">
        <v>71</v>
      </c>
      <c r="K194" t="s">
        <v>71</v>
      </c>
      <c r="L194" t="s">
        <v>216</v>
      </c>
      <c r="M194" t="s">
        <v>117</v>
      </c>
      <c r="N194" t="s">
        <v>888</v>
      </c>
      <c r="O194" t="s">
        <v>72</v>
      </c>
      <c r="P194" t="s">
        <v>81</v>
      </c>
      <c r="Q194" s="44">
        <v>1522</v>
      </c>
      <c r="R194" s="42">
        <v>1</v>
      </c>
      <c r="S194" s="48">
        <v>8478</v>
      </c>
      <c r="U194" s="44">
        <v>129.035</v>
      </c>
      <c r="V194" s="45">
        <v>1.9000000000000001E-5</v>
      </c>
      <c r="W194" s="45">
        <v>1.9853993167298301E-2</v>
      </c>
      <c r="X194" s="45">
        <v>3.016662188931E-3</v>
      </c>
    </row>
    <row r="195" spans="1:24" x14ac:dyDescent="0.25">
      <c r="A195">
        <v>12904</v>
      </c>
      <c r="B195">
        <v>12905</v>
      </c>
      <c r="C195" t="s">
        <v>551</v>
      </c>
      <c r="D195" t="s">
        <v>552</v>
      </c>
      <c r="E195" t="s">
        <v>210</v>
      </c>
      <c r="F195" t="s">
        <v>889</v>
      </c>
      <c r="G195" t="s">
        <v>890</v>
      </c>
      <c r="H195" t="s">
        <v>213</v>
      </c>
      <c r="I195" t="s">
        <v>753</v>
      </c>
      <c r="J195" t="s">
        <v>71</v>
      </c>
      <c r="K195" t="s">
        <v>71</v>
      </c>
      <c r="L195" t="s">
        <v>216</v>
      </c>
      <c r="M195" t="s">
        <v>117</v>
      </c>
      <c r="N195" t="s">
        <v>329</v>
      </c>
      <c r="O195" t="s">
        <v>72</v>
      </c>
      <c r="P195" t="s">
        <v>81</v>
      </c>
      <c r="Q195" s="44">
        <v>1127</v>
      </c>
      <c r="R195" s="42">
        <v>1</v>
      </c>
      <c r="S195" s="48">
        <v>2256</v>
      </c>
      <c r="U195" s="44">
        <v>25.425000000000001</v>
      </c>
      <c r="V195" s="45">
        <v>6.9999999999999999E-6</v>
      </c>
      <c r="W195" s="45">
        <v>3.91203574868849E-3</v>
      </c>
      <c r="X195" s="45">
        <v>5.9440386754302805E-4</v>
      </c>
    </row>
    <row r="196" spans="1:24" x14ac:dyDescent="0.25">
      <c r="A196">
        <v>12904</v>
      </c>
      <c r="B196">
        <v>12905</v>
      </c>
      <c r="C196" t="s">
        <v>556</v>
      </c>
      <c r="D196" t="s">
        <v>557</v>
      </c>
      <c r="E196" t="s">
        <v>210</v>
      </c>
      <c r="F196" t="s">
        <v>891</v>
      </c>
      <c r="G196" t="s">
        <v>892</v>
      </c>
      <c r="H196" t="s">
        <v>213</v>
      </c>
      <c r="I196" t="s">
        <v>753</v>
      </c>
      <c r="J196" t="s">
        <v>71</v>
      </c>
      <c r="K196" t="s">
        <v>71</v>
      </c>
      <c r="L196" t="s">
        <v>216</v>
      </c>
      <c r="M196" t="s">
        <v>117</v>
      </c>
      <c r="N196" t="s">
        <v>258</v>
      </c>
      <c r="O196" t="s">
        <v>72</v>
      </c>
      <c r="P196" t="s">
        <v>81</v>
      </c>
      <c r="Q196" s="44">
        <v>149</v>
      </c>
      <c r="R196" s="42">
        <v>1</v>
      </c>
      <c r="S196" s="48">
        <v>24920</v>
      </c>
      <c r="U196" s="44">
        <v>37.131</v>
      </c>
      <c r="V196" s="45">
        <v>9.9999999999999995E-7</v>
      </c>
      <c r="W196" s="45">
        <v>5.71313004530176E-3</v>
      </c>
      <c r="X196" s="45">
        <v>8.68066350324666E-4</v>
      </c>
    </row>
    <row r="197" spans="1:24" x14ac:dyDescent="0.25">
      <c r="A197">
        <v>12904</v>
      </c>
      <c r="B197">
        <v>12905</v>
      </c>
      <c r="C197" t="s">
        <v>88</v>
      </c>
      <c r="D197" t="s">
        <v>571</v>
      </c>
      <c r="E197" t="s">
        <v>210</v>
      </c>
      <c r="F197" t="s">
        <v>893</v>
      </c>
      <c r="G197" t="s">
        <v>894</v>
      </c>
      <c r="H197" t="s">
        <v>213</v>
      </c>
      <c r="I197" t="s">
        <v>753</v>
      </c>
      <c r="J197" t="s">
        <v>71</v>
      </c>
      <c r="K197" t="s">
        <v>71</v>
      </c>
      <c r="L197" t="s">
        <v>216</v>
      </c>
      <c r="M197" t="s">
        <v>117</v>
      </c>
      <c r="N197" t="s">
        <v>365</v>
      </c>
      <c r="O197" t="s">
        <v>72</v>
      </c>
      <c r="P197" t="s">
        <v>81</v>
      </c>
      <c r="Q197" s="44">
        <v>4814</v>
      </c>
      <c r="R197" s="42">
        <v>1</v>
      </c>
      <c r="S197" s="48">
        <v>5008</v>
      </c>
      <c r="U197" s="44">
        <v>241.08500000000001</v>
      </c>
      <c r="V197" s="45">
        <v>3.9999999999999998E-6</v>
      </c>
      <c r="W197" s="45">
        <v>3.7094558763807399E-2</v>
      </c>
      <c r="X197" s="45">
        <v>5.6362340761842997E-3</v>
      </c>
    </row>
    <row r="198" spans="1:24" x14ac:dyDescent="0.25">
      <c r="A198">
        <v>12904</v>
      </c>
      <c r="B198">
        <v>12905</v>
      </c>
      <c r="C198" t="s">
        <v>670</v>
      </c>
      <c r="D198" t="s">
        <v>671</v>
      </c>
      <c r="E198" t="s">
        <v>210</v>
      </c>
      <c r="F198" t="s">
        <v>900</v>
      </c>
      <c r="G198" t="s">
        <v>901</v>
      </c>
      <c r="H198" t="s">
        <v>213</v>
      </c>
      <c r="I198" t="s">
        <v>753</v>
      </c>
      <c r="J198" t="s">
        <v>71</v>
      </c>
      <c r="K198" t="s">
        <v>71</v>
      </c>
      <c r="L198" t="s">
        <v>216</v>
      </c>
      <c r="M198" t="s">
        <v>117</v>
      </c>
      <c r="N198" t="s">
        <v>329</v>
      </c>
      <c r="O198" t="s">
        <v>72</v>
      </c>
      <c r="P198" t="s">
        <v>81</v>
      </c>
      <c r="Q198" s="44">
        <v>2574</v>
      </c>
      <c r="R198" s="42">
        <v>1</v>
      </c>
      <c r="S198" s="48">
        <v>2530</v>
      </c>
      <c r="U198" s="44">
        <v>65.122</v>
      </c>
      <c r="V198" s="45">
        <v>1.2999999999999999E-5</v>
      </c>
      <c r="W198" s="45">
        <v>1.0020026431861199E-2</v>
      </c>
      <c r="X198" s="45">
        <v>1.5224662673336701E-3</v>
      </c>
    </row>
    <row r="199" spans="1:24" x14ac:dyDescent="0.25">
      <c r="A199">
        <v>12904</v>
      </c>
      <c r="B199">
        <v>12905</v>
      </c>
      <c r="C199" t="s">
        <v>902</v>
      </c>
      <c r="D199" t="s">
        <v>903</v>
      </c>
      <c r="E199" t="s">
        <v>210</v>
      </c>
      <c r="F199" t="s">
        <v>904</v>
      </c>
      <c r="G199" t="s">
        <v>905</v>
      </c>
      <c r="H199" t="s">
        <v>213</v>
      </c>
      <c r="I199" t="s">
        <v>753</v>
      </c>
      <c r="J199" t="s">
        <v>71</v>
      </c>
      <c r="K199" t="s">
        <v>71</v>
      </c>
      <c r="L199" t="s">
        <v>216</v>
      </c>
      <c r="M199" t="s">
        <v>117</v>
      </c>
      <c r="N199" t="s">
        <v>906</v>
      </c>
      <c r="O199" t="s">
        <v>72</v>
      </c>
      <c r="P199" t="s">
        <v>81</v>
      </c>
      <c r="Q199" s="44">
        <v>58</v>
      </c>
      <c r="R199" s="42">
        <v>1</v>
      </c>
      <c r="S199" s="48">
        <v>48410</v>
      </c>
      <c r="U199" s="44">
        <v>28.077999999999999</v>
      </c>
      <c r="V199" s="45">
        <v>3.9999999999999998E-6</v>
      </c>
      <c r="W199" s="45">
        <v>4.3201903214036197E-3</v>
      </c>
      <c r="X199" s="45">
        <v>6.5641982858289901E-4</v>
      </c>
    </row>
    <row r="200" spans="1:24" x14ac:dyDescent="0.25">
      <c r="A200">
        <v>12904</v>
      </c>
      <c r="B200">
        <v>12905</v>
      </c>
      <c r="C200" t="s">
        <v>907</v>
      </c>
      <c r="D200" t="s">
        <v>908</v>
      </c>
      <c r="E200" t="s">
        <v>210</v>
      </c>
      <c r="F200" t="s">
        <v>909</v>
      </c>
      <c r="G200" t="s">
        <v>910</v>
      </c>
      <c r="H200" t="s">
        <v>213</v>
      </c>
      <c r="I200" t="s">
        <v>753</v>
      </c>
      <c r="J200" t="s">
        <v>71</v>
      </c>
      <c r="K200" t="s">
        <v>71</v>
      </c>
      <c r="L200" t="s">
        <v>216</v>
      </c>
      <c r="M200" t="s">
        <v>117</v>
      </c>
      <c r="N200" t="s">
        <v>764</v>
      </c>
      <c r="O200" t="s">
        <v>72</v>
      </c>
      <c r="P200" t="s">
        <v>81</v>
      </c>
      <c r="Q200" s="44">
        <v>6521</v>
      </c>
      <c r="R200" s="42">
        <v>1</v>
      </c>
      <c r="S200" s="48">
        <v>682.4</v>
      </c>
      <c r="T200" s="44">
        <v>1.1319999999999999</v>
      </c>
      <c r="U200" s="44">
        <v>45.631</v>
      </c>
      <c r="V200" s="45">
        <v>2.3E-5</v>
      </c>
      <c r="W200" s="45">
        <v>7.0210415157522304E-3</v>
      </c>
      <c r="X200" s="45">
        <v>1.06679348023402E-3</v>
      </c>
    </row>
    <row r="201" spans="1:24" x14ac:dyDescent="0.25">
      <c r="A201">
        <v>12904</v>
      </c>
      <c r="B201">
        <v>12905</v>
      </c>
      <c r="C201" t="s">
        <v>911</v>
      </c>
      <c r="D201" t="s">
        <v>912</v>
      </c>
      <c r="E201" t="s">
        <v>210</v>
      </c>
      <c r="F201" t="s">
        <v>913</v>
      </c>
      <c r="G201" t="s">
        <v>914</v>
      </c>
      <c r="H201" t="s">
        <v>213</v>
      </c>
      <c r="I201" t="s">
        <v>753</v>
      </c>
      <c r="J201" t="s">
        <v>71</v>
      </c>
      <c r="K201" t="s">
        <v>215</v>
      </c>
      <c r="L201" t="s">
        <v>216</v>
      </c>
      <c r="M201" t="s">
        <v>117</v>
      </c>
      <c r="N201" t="s">
        <v>830</v>
      </c>
      <c r="O201" t="s">
        <v>72</v>
      </c>
      <c r="P201" t="s">
        <v>81</v>
      </c>
      <c r="Q201" s="44">
        <v>215</v>
      </c>
      <c r="R201" s="42">
        <v>1</v>
      </c>
      <c r="S201" s="48">
        <v>21310</v>
      </c>
      <c r="U201" s="44">
        <v>45.816000000000003</v>
      </c>
      <c r="V201" s="45">
        <v>5.0000000000000004E-6</v>
      </c>
      <c r="W201" s="45">
        <v>7.04955515961326E-3</v>
      </c>
      <c r="X201" s="45">
        <v>1.0711259100167499E-3</v>
      </c>
    </row>
    <row r="202" spans="1:24" x14ac:dyDescent="0.25">
      <c r="A202">
        <v>12904</v>
      </c>
      <c r="B202">
        <v>12905</v>
      </c>
      <c r="C202" t="s">
        <v>919</v>
      </c>
      <c r="D202" t="s">
        <v>920</v>
      </c>
      <c r="E202" t="s">
        <v>210</v>
      </c>
      <c r="F202" t="s">
        <v>921</v>
      </c>
      <c r="G202" t="s">
        <v>922</v>
      </c>
      <c r="H202" t="s">
        <v>213</v>
      </c>
      <c r="I202" t="s">
        <v>753</v>
      </c>
      <c r="J202" t="s">
        <v>71</v>
      </c>
      <c r="K202" t="s">
        <v>71</v>
      </c>
      <c r="L202" t="s">
        <v>216</v>
      </c>
      <c r="M202" t="s">
        <v>117</v>
      </c>
      <c r="N202" t="s">
        <v>856</v>
      </c>
      <c r="O202" t="s">
        <v>72</v>
      </c>
      <c r="P202" t="s">
        <v>81</v>
      </c>
      <c r="Q202" s="44">
        <v>1552</v>
      </c>
      <c r="R202" s="42">
        <v>1</v>
      </c>
      <c r="S202" s="48">
        <v>7800</v>
      </c>
      <c r="U202" s="44">
        <v>121.056</v>
      </c>
      <c r="V202" s="45">
        <v>1.2999999999999999E-5</v>
      </c>
      <c r="W202" s="45">
        <v>1.8626279820635399E-2</v>
      </c>
      <c r="X202" s="45">
        <v>2.83012054964888E-3</v>
      </c>
    </row>
    <row r="203" spans="1:24" x14ac:dyDescent="0.25">
      <c r="A203">
        <v>12904</v>
      </c>
      <c r="B203">
        <v>12905</v>
      </c>
      <c r="C203" t="s">
        <v>923</v>
      </c>
      <c r="D203" t="s">
        <v>924</v>
      </c>
      <c r="E203" t="s">
        <v>210</v>
      </c>
      <c r="F203" t="s">
        <v>925</v>
      </c>
      <c r="G203" t="s">
        <v>926</v>
      </c>
      <c r="H203" t="s">
        <v>213</v>
      </c>
      <c r="I203" t="s">
        <v>753</v>
      </c>
      <c r="J203" t="s">
        <v>71</v>
      </c>
      <c r="K203" t="s">
        <v>71</v>
      </c>
      <c r="L203" t="s">
        <v>216</v>
      </c>
      <c r="M203" t="s">
        <v>117</v>
      </c>
      <c r="N203" t="s">
        <v>764</v>
      </c>
      <c r="O203" t="s">
        <v>72</v>
      </c>
      <c r="P203" t="s">
        <v>81</v>
      </c>
      <c r="Q203" s="44">
        <v>2013</v>
      </c>
      <c r="R203" s="42">
        <v>1</v>
      </c>
      <c r="S203" s="48">
        <v>2245</v>
      </c>
      <c r="T203" s="44">
        <v>0.45100000000000001</v>
      </c>
      <c r="U203" s="44">
        <v>45.642000000000003</v>
      </c>
      <c r="V203" s="45">
        <v>6.0000000000000002E-6</v>
      </c>
      <c r="W203" s="45">
        <v>7.0227657267923297E-3</v>
      </c>
      <c r="X203" s="45">
        <v>1.06705546089486E-3</v>
      </c>
    </row>
    <row r="204" spans="1:24" x14ac:dyDescent="0.25">
      <c r="A204">
        <v>12904</v>
      </c>
      <c r="B204">
        <v>12905</v>
      </c>
      <c r="C204" t="s">
        <v>927</v>
      </c>
      <c r="D204" t="s">
        <v>928</v>
      </c>
      <c r="E204" t="s">
        <v>210</v>
      </c>
      <c r="F204" t="s">
        <v>929</v>
      </c>
      <c r="G204" t="s">
        <v>930</v>
      </c>
      <c r="H204" t="s">
        <v>213</v>
      </c>
      <c r="I204" t="s">
        <v>753</v>
      </c>
      <c r="J204" t="s">
        <v>71</v>
      </c>
      <c r="K204" t="s">
        <v>215</v>
      </c>
      <c r="L204" t="s">
        <v>216</v>
      </c>
      <c r="M204" t="s">
        <v>117</v>
      </c>
      <c r="N204" t="s">
        <v>931</v>
      </c>
      <c r="O204" t="s">
        <v>72</v>
      </c>
      <c r="P204" t="s">
        <v>81</v>
      </c>
      <c r="Q204" s="44">
        <v>425</v>
      </c>
      <c r="R204" s="42">
        <v>1</v>
      </c>
      <c r="S204" s="48">
        <v>10080</v>
      </c>
      <c r="U204" s="44">
        <v>42.84</v>
      </c>
      <c r="V204" s="45">
        <v>3.8000000000000002E-5</v>
      </c>
      <c r="W204" s="45">
        <v>6.5915760269298603E-3</v>
      </c>
      <c r="X204" s="45">
        <v>1.00153948872388E-3</v>
      </c>
    </row>
    <row r="205" spans="1:24" x14ac:dyDescent="0.25">
      <c r="A205">
        <v>12904</v>
      </c>
      <c r="B205">
        <v>12905</v>
      </c>
      <c r="C205" t="s">
        <v>932</v>
      </c>
      <c r="D205" t="s">
        <v>933</v>
      </c>
      <c r="E205" t="s">
        <v>613</v>
      </c>
      <c r="F205" t="s">
        <v>934</v>
      </c>
      <c r="G205" t="s">
        <v>935</v>
      </c>
      <c r="H205" t="s">
        <v>213</v>
      </c>
      <c r="I205" t="s">
        <v>753</v>
      </c>
      <c r="J205" t="s">
        <v>85</v>
      </c>
      <c r="K205" t="s">
        <v>291</v>
      </c>
      <c r="L205" t="s">
        <v>216</v>
      </c>
      <c r="M205" t="s">
        <v>936</v>
      </c>
      <c r="N205" t="s">
        <v>937</v>
      </c>
      <c r="O205" t="s">
        <v>72</v>
      </c>
      <c r="P205" t="s">
        <v>75</v>
      </c>
      <c r="Q205" s="44">
        <v>220</v>
      </c>
      <c r="R205" s="42">
        <v>3.718</v>
      </c>
      <c r="S205" s="48">
        <v>10274</v>
      </c>
      <c r="U205" s="44">
        <v>84.037000000000006</v>
      </c>
      <c r="V205" s="45">
        <v>0</v>
      </c>
      <c r="W205" s="45">
        <v>1.2930384254031301E-2</v>
      </c>
      <c r="X205" s="45">
        <v>1.9646728463538102E-3</v>
      </c>
    </row>
    <row r="206" spans="1:24" x14ac:dyDescent="0.25">
      <c r="A206">
        <v>12904</v>
      </c>
      <c r="B206">
        <v>12905</v>
      </c>
      <c r="C206" t="s">
        <v>938</v>
      </c>
      <c r="D206" t="s">
        <v>939</v>
      </c>
      <c r="E206" t="s">
        <v>613</v>
      </c>
      <c r="F206" t="s">
        <v>940</v>
      </c>
      <c r="G206" t="s">
        <v>941</v>
      </c>
      <c r="H206" t="s">
        <v>213</v>
      </c>
      <c r="I206" t="s">
        <v>753</v>
      </c>
      <c r="J206" t="s">
        <v>85</v>
      </c>
      <c r="L206" t="s">
        <v>216</v>
      </c>
      <c r="M206" t="s">
        <v>286</v>
      </c>
      <c r="N206" t="s">
        <v>942</v>
      </c>
      <c r="O206" t="s">
        <v>72</v>
      </c>
      <c r="P206" t="s">
        <v>75</v>
      </c>
      <c r="Q206" s="44">
        <v>184</v>
      </c>
      <c r="R206" s="42">
        <v>3.718</v>
      </c>
      <c r="S206" s="48">
        <v>11946</v>
      </c>
      <c r="U206" s="44">
        <v>81.724000000000004</v>
      </c>
      <c r="V206" s="45">
        <v>9.9999999999999995E-7</v>
      </c>
      <c r="W206" s="45">
        <v>1.2574465170223601E-2</v>
      </c>
      <c r="X206" s="45">
        <v>1.9105936677526001E-3</v>
      </c>
    </row>
    <row r="207" spans="1:24" x14ac:dyDescent="0.25">
      <c r="A207">
        <v>12904</v>
      </c>
      <c r="B207">
        <v>12905</v>
      </c>
      <c r="C207" t="s">
        <v>943</v>
      </c>
      <c r="D207" t="s">
        <v>944</v>
      </c>
      <c r="E207" t="s">
        <v>613</v>
      </c>
      <c r="F207" t="s">
        <v>945</v>
      </c>
      <c r="G207" t="s">
        <v>946</v>
      </c>
      <c r="H207" t="s">
        <v>213</v>
      </c>
      <c r="I207" t="s">
        <v>753</v>
      </c>
      <c r="J207" t="s">
        <v>85</v>
      </c>
      <c r="K207" t="s">
        <v>291</v>
      </c>
      <c r="L207" t="s">
        <v>216</v>
      </c>
      <c r="M207" t="s">
        <v>936</v>
      </c>
      <c r="N207" t="s">
        <v>947</v>
      </c>
      <c r="O207" t="s">
        <v>72</v>
      </c>
      <c r="P207" t="s">
        <v>75</v>
      </c>
      <c r="Q207" s="44">
        <v>161</v>
      </c>
      <c r="R207" s="42">
        <v>3.718</v>
      </c>
      <c r="S207" s="48">
        <v>19026</v>
      </c>
      <c r="U207" s="44">
        <v>113.889</v>
      </c>
      <c r="V207" s="45">
        <v>0</v>
      </c>
      <c r="W207" s="45">
        <v>1.75235687709351E-2</v>
      </c>
      <c r="X207" s="45">
        <v>2.6625720519277002E-3</v>
      </c>
    </row>
    <row r="208" spans="1:24" x14ac:dyDescent="0.25">
      <c r="A208">
        <v>12904</v>
      </c>
      <c r="B208">
        <v>12905</v>
      </c>
      <c r="C208" t="s">
        <v>948</v>
      </c>
      <c r="D208" t="s">
        <v>949</v>
      </c>
      <c r="E208" t="s">
        <v>613</v>
      </c>
      <c r="F208" t="s">
        <v>950</v>
      </c>
      <c r="G208" t="s">
        <v>951</v>
      </c>
      <c r="H208" t="s">
        <v>213</v>
      </c>
      <c r="I208" t="s">
        <v>753</v>
      </c>
      <c r="J208" t="s">
        <v>85</v>
      </c>
      <c r="K208" t="s">
        <v>291</v>
      </c>
      <c r="L208" t="s">
        <v>216</v>
      </c>
      <c r="M208" t="s">
        <v>286</v>
      </c>
      <c r="N208" t="s">
        <v>952</v>
      </c>
      <c r="O208" t="s">
        <v>72</v>
      </c>
      <c r="P208" t="s">
        <v>75</v>
      </c>
      <c r="Q208" s="44">
        <v>100</v>
      </c>
      <c r="R208" s="42">
        <v>3.718</v>
      </c>
      <c r="S208" s="48">
        <v>14512</v>
      </c>
      <c r="U208" s="44">
        <v>53.956000000000003</v>
      </c>
      <c r="V208" s="45">
        <v>0</v>
      </c>
      <c r="W208" s="45">
        <v>8.3018801340764108E-3</v>
      </c>
      <c r="X208" s="45">
        <v>1.2614070976289E-3</v>
      </c>
    </row>
    <row r="209" spans="1:24" x14ac:dyDescent="0.25">
      <c r="A209">
        <v>12904</v>
      </c>
      <c r="B209">
        <v>12905</v>
      </c>
      <c r="C209" t="s">
        <v>953</v>
      </c>
      <c r="D209" t="s">
        <v>954</v>
      </c>
      <c r="E209" t="s">
        <v>613</v>
      </c>
      <c r="F209" t="s">
        <v>955</v>
      </c>
      <c r="G209" t="s">
        <v>956</v>
      </c>
      <c r="H209" t="s">
        <v>213</v>
      </c>
      <c r="I209" t="s">
        <v>753</v>
      </c>
      <c r="J209" t="s">
        <v>85</v>
      </c>
      <c r="K209" t="s">
        <v>291</v>
      </c>
      <c r="L209" t="s">
        <v>216</v>
      </c>
      <c r="M209" t="s">
        <v>936</v>
      </c>
      <c r="N209" t="s">
        <v>957</v>
      </c>
      <c r="O209" t="s">
        <v>72</v>
      </c>
      <c r="P209" t="s">
        <v>75</v>
      </c>
      <c r="Q209" s="44">
        <v>58</v>
      </c>
      <c r="R209" s="42">
        <v>3.718</v>
      </c>
      <c r="S209" s="48">
        <v>53258</v>
      </c>
      <c r="U209" s="44">
        <v>114.848</v>
      </c>
      <c r="V209" s="45">
        <v>0</v>
      </c>
      <c r="W209" s="45">
        <v>1.7671036980758802E-2</v>
      </c>
      <c r="X209" s="45">
        <v>2.6849787168689099E-3</v>
      </c>
    </row>
    <row r="210" spans="1:24" x14ac:dyDescent="0.25">
      <c r="A210">
        <v>12904</v>
      </c>
      <c r="B210">
        <v>12905</v>
      </c>
      <c r="C210" t="s">
        <v>958</v>
      </c>
      <c r="D210" t="s">
        <v>959</v>
      </c>
      <c r="E210" t="s">
        <v>613</v>
      </c>
      <c r="F210" t="s">
        <v>960</v>
      </c>
      <c r="G210" t="s">
        <v>961</v>
      </c>
      <c r="H210" t="s">
        <v>213</v>
      </c>
      <c r="I210" t="s">
        <v>753</v>
      </c>
      <c r="J210" t="s">
        <v>85</v>
      </c>
      <c r="K210" t="s">
        <v>291</v>
      </c>
      <c r="L210" t="s">
        <v>216</v>
      </c>
      <c r="M210" t="s">
        <v>936</v>
      </c>
      <c r="N210" t="s">
        <v>680</v>
      </c>
      <c r="O210" t="s">
        <v>72</v>
      </c>
      <c r="P210" t="s">
        <v>75</v>
      </c>
      <c r="Q210" s="44">
        <v>142</v>
      </c>
      <c r="R210" s="42">
        <v>3.718</v>
      </c>
      <c r="S210" s="48">
        <v>13684</v>
      </c>
      <c r="U210" s="44">
        <v>72.245000000000005</v>
      </c>
      <c r="V210" s="45">
        <v>9.9999999999999995E-7</v>
      </c>
      <c r="W210" s="45">
        <v>1.11160527433625E-2</v>
      </c>
      <c r="X210" s="45">
        <v>1.6889990702876601E-3</v>
      </c>
    </row>
    <row r="211" spans="1:24" x14ac:dyDescent="0.25">
      <c r="A211">
        <v>12904</v>
      </c>
      <c r="B211">
        <v>12905</v>
      </c>
      <c r="C211" t="s">
        <v>1082</v>
      </c>
      <c r="D211" t="s">
        <v>1083</v>
      </c>
      <c r="E211" t="s">
        <v>613</v>
      </c>
      <c r="F211" t="s">
        <v>1082</v>
      </c>
      <c r="G211" t="s">
        <v>1084</v>
      </c>
      <c r="H211" t="s">
        <v>213</v>
      </c>
      <c r="I211" t="s">
        <v>753</v>
      </c>
      <c r="J211" t="s">
        <v>85</v>
      </c>
      <c r="K211" t="s">
        <v>215</v>
      </c>
      <c r="L211" t="s">
        <v>216</v>
      </c>
      <c r="M211" t="s">
        <v>936</v>
      </c>
      <c r="N211" t="s">
        <v>706</v>
      </c>
      <c r="O211" t="s">
        <v>72</v>
      </c>
      <c r="P211" t="s">
        <v>75</v>
      </c>
      <c r="Q211" s="44">
        <v>21</v>
      </c>
      <c r="R211" s="42">
        <v>3.718</v>
      </c>
      <c r="S211" s="48">
        <v>94578</v>
      </c>
      <c r="U211" s="44">
        <v>73.844999999999999</v>
      </c>
      <c r="V211" s="45">
        <v>0</v>
      </c>
      <c r="W211" s="45">
        <v>1.1362100059078201E-2</v>
      </c>
      <c r="X211" s="45">
        <v>1.7263840752966299E-3</v>
      </c>
    </row>
    <row r="212" spans="1:24" x14ac:dyDescent="0.25">
      <c r="A212">
        <v>12904</v>
      </c>
      <c r="B212">
        <v>12905</v>
      </c>
      <c r="C212" t="s">
        <v>967</v>
      </c>
      <c r="D212" t="s">
        <v>968</v>
      </c>
      <c r="E212" t="s">
        <v>613</v>
      </c>
      <c r="F212" t="s">
        <v>969</v>
      </c>
      <c r="G212" t="s">
        <v>970</v>
      </c>
      <c r="H212" t="s">
        <v>213</v>
      </c>
      <c r="I212" t="s">
        <v>753</v>
      </c>
      <c r="J212" t="s">
        <v>85</v>
      </c>
      <c r="K212" t="s">
        <v>291</v>
      </c>
      <c r="L212" t="s">
        <v>216</v>
      </c>
      <c r="M212" t="s">
        <v>936</v>
      </c>
      <c r="N212" t="s">
        <v>616</v>
      </c>
      <c r="O212" t="s">
        <v>72</v>
      </c>
      <c r="P212" t="s">
        <v>75</v>
      </c>
      <c r="Q212" s="44">
        <v>880</v>
      </c>
      <c r="R212" s="42">
        <v>3.718</v>
      </c>
      <c r="S212" s="48">
        <v>3308</v>
      </c>
      <c r="U212" s="44">
        <v>108.232</v>
      </c>
      <c r="V212" s="45">
        <v>1.9999999999999999E-6</v>
      </c>
      <c r="W212" s="45">
        <v>1.6653187117903701E-2</v>
      </c>
      <c r="X212" s="45">
        <v>2.5303242264895498E-3</v>
      </c>
    </row>
    <row r="213" spans="1:24" x14ac:dyDescent="0.25">
      <c r="A213">
        <v>12904</v>
      </c>
      <c r="B213">
        <v>12905</v>
      </c>
      <c r="C213" t="s">
        <v>971</v>
      </c>
      <c r="D213" t="s">
        <v>972</v>
      </c>
      <c r="E213" t="s">
        <v>613</v>
      </c>
      <c r="F213" t="s">
        <v>973</v>
      </c>
      <c r="G213" t="s">
        <v>974</v>
      </c>
      <c r="H213" t="s">
        <v>213</v>
      </c>
      <c r="I213" t="s">
        <v>753</v>
      </c>
      <c r="J213" t="s">
        <v>85</v>
      </c>
      <c r="K213" t="s">
        <v>291</v>
      </c>
      <c r="L213" t="s">
        <v>216</v>
      </c>
      <c r="M213" t="s">
        <v>936</v>
      </c>
      <c r="N213" t="s">
        <v>975</v>
      </c>
      <c r="O213" t="s">
        <v>72</v>
      </c>
      <c r="P213" t="s">
        <v>75</v>
      </c>
      <c r="Q213" s="44">
        <v>202</v>
      </c>
      <c r="R213" s="42">
        <v>3.718</v>
      </c>
      <c r="S213" s="48">
        <v>15623</v>
      </c>
      <c r="U213" s="44">
        <v>117.334</v>
      </c>
      <c r="V213" s="45">
        <v>0</v>
      </c>
      <c r="W213" s="45">
        <v>1.8053648851712002E-2</v>
      </c>
      <c r="X213" s="45">
        <v>2.7431136600218902E-3</v>
      </c>
    </row>
    <row r="214" spans="1:24" x14ac:dyDescent="0.25">
      <c r="A214">
        <v>12904</v>
      </c>
      <c r="B214">
        <v>12905</v>
      </c>
      <c r="C214" t="s">
        <v>976</v>
      </c>
      <c r="D214" t="s">
        <v>977</v>
      </c>
      <c r="E214" t="s">
        <v>613</v>
      </c>
      <c r="F214" t="s">
        <v>978</v>
      </c>
      <c r="G214" t="s">
        <v>979</v>
      </c>
      <c r="H214" t="s">
        <v>213</v>
      </c>
      <c r="I214" t="s">
        <v>753</v>
      </c>
      <c r="J214" t="s">
        <v>85</v>
      </c>
      <c r="L214" t="s">
        <v>216</v>
      </c>
      <c r="M214" t="s">
        <v>286</v>
      </c>
      <c r="N214" t="s">
        <v>952</v>
      </c>
      <c r="O214" t="s">
        <v>72</v>
      </c>
      <c r="P214" t="s">
        <v>75</v>
      </c>
      <c r="Q214" s="44">
        <v>926</v>
      </c>
      <c r="R214" s="42">
        <v>3.718</v>
      </c>
      <c r="S214" s="48">
        <v>2271</v>
      </c>
      <c r="U214" s="44">
        <v>78.188000000000002</v>
      </c>
      <c r="V214" s="45">
        <v>0</v>
      </c>
      <c r="W214" s="45">
        <v>1.20303236083486E-2</v>
      </c>
      <c r="X214" s="45">
        <v>1.8279155253103001E-3</v>
      </c>
    </row>
    <row r="215" spans="1:24" x14ac:dyDescent="0.25">
      <c r="A215">
        <v>12904</v>
      </c>
      <c r="B215">
        <v>12905</v>
      </c>
      <c r="C215" t="s">
        <v>980</v>
      </c>
      <c r="D215" t="s">
        <v>981</v>
      </c>
      <c r="E215" t="s">
        <v>613</v>
      </c>
      <c r="F215" t="s">
        <v>982</v>
      </c>
      <c r="G215" t="s">
        <v>983</v>
      </c>
      <c r="H215" t="s">
        <v>213</v>
      </c>
      <c r="I215" t="s">
        <v>753</v>
      </c>
      <c r="J215" t="s">
        <v>85</v>
      </c>
      <c r="K215" t="s">
        <v>984</v>
      </c>
      <c r="L215" t="s">
        <v>216</v>
      </c>
      <c r="M215" t="s">
        <v>286</v>
      </c>
      <c r="N215" t="s">
        <v>985</v>
      </c>
      <c r="O215" t="s">
        <v>72</v>
      </c>
      <c r="P215" t="s">
        <v>75</v>
      </c>
      <c r="Q215" s="44">
        <v>277.8</v>
      </c>
      <c r="R215" s="42">
        <v>3.718</v>
      </c>
      <c r="S215" s="48">
        <v>16822</v>
      </c>
      <c r="U215" s="44">
        <v>173.74799999999999</v>
      </c>
      <c r="V215" s="45">
        <v>0</v>
      </c>
      <c r="W215" s="45">
        <v>2.6733699305104299E-2</v>
      </c>
      <c r="X215" s="45">
        <v>4.06198084105282E-3</v>
      </c>
    </row>
    <row r="216" spans="1:24" x14ac:dyDescent="0.25">
      <c r="A216">
        <v>12904</v>
      </c>
      <c r="B216">
        <v>12905</v>
      </c>
      <c r="C216" t="s">
        <v>986</v>
      </c>
      <c r="D216" t="s">
        <v>987</v>
      </c>
      <c r="E216" t="s">
        <v>613</v>
      </c>
      <c r="F216" t="s">
        <v>988</v>
      </c>
      <c r="G216" t="s">
        <v>989</v>
      </c>
      <c r="H216" t="s">
        <v>213</v>
      </c>
      <c r="I216" t="s">
        <v>753</v>
      </c>
      <c r="J216" t="s">
        <v>85</v>
      </c>
      <c r="K216" t="s">
        <v>990</v>
      </c>
      <c r="L216" t="s">
        <v>216</v>
      </c>
      <c r="M216" t="s">
        <v>991</v>
      </c>
      <c r="N216" t="s">
        <v>992</v>
      </c>
      <c r="O216" t="s">
        <v>72</v>
      </c>
      <c r="P216" t="s">
        <v>77</v>
      </c>
      <c r="Q216" s="44">
        <v>28</v>
      </c>
      <c r="R216" s="42">
        <v>4.0218999999999996</v>
      </c>
      <c r="S216" s="48">
        <v>57170</v>
      </c>
      <c r="U216" s="44">
        <v>64.381</v>
      </c>
      <c r="V216" s="45">
        <v>0</v>
      </c>
      <c r="W216" s="45">
        <v>9.9059765400672205E-3</v>
      </c>
      <c r="X216" s="45">
        <v>1.5051372598475E-3</v>
      </c>
    </row>
    <row r="217" spans="1:24" x14ac:dyDescent="0.25">
      <c r="A217">
        <v>12904</v>
      </c>
      <c r="B217">
        <v>12905</v>
      </c>
      <c r="C217" t="s">
        <v>993</v>
      </c>
      <c r="D217" t="s">
        <v>994</v>
      </c>
      <c r="E217" t="s">
        <v>613</v>
      </c>
      <c r="F217" t="s">
        <v>995</v>
      </c>
      <c r="G217" t="s">
        <v>996</v>
      </c>
      <c r="H217" t="s">
        <v>213</v>
      </c>
      <c r="I217" t="s">
        <v>753</v>
      </c>
      <c r="J217" t="s">
        <v>85</v>
      </c>
      <c r="K217" t="s">
        <v>291</v>
      </c>
      <c r="L217" t="s">
        <v>216</v>
      </c>
      <c r="M217" t="s">
        <v>966</v>
      </c>
      <c r="N217" t="s">
        <v>957</v>
      </c>
      <c r="O217" t="s">
        <v>72</v>
      </c>
      <c r="P217" t="s">
        <v>75</v>
      </c>
      <c r="Q217" s="44">
        <v>68</v>
      </c>
      <c r="R217" s="42">
        <v>3.718</v>
      </c>
      <c r="S217" s="48">
        <v>54812</v>
      </c>
      <c r="U217" s="44">
        <v>138.578</v>
      </c>
      <c r="V217" s="45">
        <v>0</v>
      </c>
      <c r="W217" s="45">
        <v>2.13222853264965E-2</v>
      </c>
      <c r="X217" s="45">
        <v>3.2397579360501599E-3</v>
      </c>
    </row>
    <row r="218" spans="1:24" x14ac:dyDescent="0.25">
      <c r="A218">
        <v>12904</v>
      </c>
      <c r="B218">
        <v>12905</v>
      </c>
      <c r="C218" t="s">
        <v>997</v>
      </c>
      <c r="D218" t="s">
        <v>998</v>
      </c>
      <c r="E218" t="s">
        <v>613</v>
      </c>
      <c r="F218" t="s">
        <v>999</v>
      </c>
      <c r="G218" t="s">
        <v>1000</v>
      </c>
      <c r="H218" t="s">
        <v>213</v>
      </c>
      <c r="I218" t="s">
        <v>753</v>
      </c>
      <c r="J218" t="s">
        <v>85</v>
      </c>
      <c r="K218" t="s">
        <v>1001</v>
      </c>
      <c r="L218" t="s">
        <v>216</v>
      </c>
      <c r="M218" t="s">
        <v>286</v>
      </c>
      <c r="N218" t="s">
        <v>992</v>
      </c>
      <c r="O218" t="s">
        <v>72</v>
      </c>
      <c r="P218" t="s">
        <v>75</v>
      </c>
      <c r="Q218" s="44">
        <v>10</v>
      </c>
      <c r="R218" s="42">
        <v>3.718</v>
      </c>
      <c r="S218" s="48">
        <v>195087</v>
      </c>
      <c r="U218" s="44">
        <v>72.533000000000001</v>
      </c>
      <c r="V218" s="45">
        <v>0</v>
      </c>
      <c r="W218" s="45">
        <v>1.11603424043313E-2</v>
      </c>
      <c r="X218" s="45">
        <v>1.6957285450325901E-3</v>
      </c>
    </row>
    <row r="219" spans="1:24" x14ac:dyDescent="0.25">
      <c r="A219">
        <v>12904</v>
      </c>
      <c r="B219">
        <v>12905</v>
      </c>
      <c r="C219" t="s">
        <v>1002</v>
      </c>
      <c r="D219" t="s">
        <v>1003</v>
      </c>
      <c r="E219" t="s">
        <v>613</v>
      </c>
      <c r="F219" t="s">
        <v>1004</v>
      </c>
      <c r="G219" t="s">
        <v>1005</v>
      </c>
      <c r="H219" t="s">
        <v>213</v>
      </c>
      <c r="I219" t="s">
        <v>753</v>
      </c>
      <c r="J219" t="s">
        <v>85</v>
      </c>
      <c r="K219" t="s">
        <v>291</v>
      </c>
      <c r="L219" t="s">
        <v>216</v>
      </c>
      <c r="M219" t="s">
        <v>966</v>
      </c>
      <c r="N219" t="s">
        <v>680</v>
      </c>
      <c r="O219" t="s">
        <v>72</v>
      </c>
      <c r="P219" t="s">
        <v>75</v>
      </c>
      <c r="Q219" s="44">
        <v>0</v>
      </c>
      <c r="R219" s="42">
        <v>3.718</v>
      </c>
      <c r="S219" s="48">
        <v>0</v>
      </c>
      <c r="T219" s="44">
        <v>0.18</v>
      </c>
      <c r="U219" s="44">
        <v>0.66800000000000004</v>
      </c>
      <c r="V219" s="45">
        <v>0</v>
      </c>
      <c r="W219" s="45">
        <v>1.0285720490761799E-4</v>
      </c>
      <c r="X219" s="45">
        <v>1.5628364444841899E-5</v>
      </c>
    </row>
    <row r="220" spans="1:24" x14ac:dyDescent="0.25">
      <c r="A220">
        <v>12904</v>
      </c>
      <c r="B220">
        <v>12905</v>
      </c>
      <c r="C220" t="s">
        <v>1006</v>
      </c>
      <c r="D220" t="s">
        <v>1007</v>
      </c>
      <c r="E220" t="s">
        <v>613</v>
      </c>
      <c r="F220" t="s">
        <v>1008</v>
      </c>
      <c r="G220" t="s">
        <v>1009</v>
      </c>
      <c r="H220" t="s">
        <v>213</v>
      </c>
      <c r="I220" t="s">
        <v>753</v>
      </c>
      <c r="J220" t="s">
        <v>85</v>
      </c>
      <c r="K220" t="s">
        <v>291</v>
      </c>
      <c r="L220" t="s">
        <v>216</v>
      </c>
      <c r="M220" t="s">
        <v>936</v>
      </c>
      <c r="N220" t="s">
        <v>1010</v>
      </c>
      <c r="O220" t="s">
        <v>72</v>
      </c>
      <c r="P220" t="s">
        <v>75</v>
      </c>
      <c r="Q220" s="44">
        <v>116</v>
      </c>
      <c r="R220" s="42">
        <v>3.718</v>
      </c>
      <c r="S220" s="48">
        <v>37539</v>
      </c>
      <c r="U220" s="44">
        <v>161.90100000000001</v>
      </c>
      <c r="V220" s="45">
        <v>0</v>
      </c>
      <c r="W220" s="45">
        <v>2.4910926329216501E-2</v>
      </c>
      <c r="X220" s="45">
        <v>3.7850244490045398E-3</v>
      </c>
    </row>
    <row r="221" spans="1:24" x14ac:dyDescent="0.25">
      <c r="A221">
        <v>12904</v>
      </c>
      <c r="B221">
        <v>12905</v>
      </c>
      <c r="C221" t="s">
        <v>1011</v>
      </c>
      <c r="D221" t="s">
        <v>1012</v>
      </c>
      <c r="E221" t="s">
        <v>613</v>
      </c>
      <c r="F221" t="s">
        <v>1011</v>
      </c>
      <c r="G221" t="s">
        <v>1013</v>
      </c>
      <c r="H221" t="s">
        <v>213</v>
      </c>
      <c r="I221" t="s">
        <v>753</v>
      </c>
      <c r="J221" t="s">
        <v>85</v>
      </c>
      <c r="K221" t="s">
        <v>291</v>
      </c>
      <c r="L221" t="s">
        <v>216</v>
      </c>
      <c r="M221" t="s">
        <v>936</v>
      </c>
      <c r="N221" t="s">
        <v>680</v>
      </c>
      <c r="O221" t="s">
        <v>72</v>
      </c>
      <c r="P221" t="s">
        <v>75</v>
      </c>
      <c r="Q221" s="44">
        <v>163</v>
      </c>
      <c r="R221" s="42">
        <v>3.718</v>
      </c>
      <c r="S221" s="48">
        <v>2835</v>
      </c>
      <c r="U221" s="44">
        <v>17.181000000000001</v>
      </c>
      <c r="V221" s="45">
        <v>0</v>
      </c>
      <c r="W221" s="45">
        <v>2.6435641671426302E-3</v>
      </c>
      <c r="X221" s="45">
        <v>4.0166932666055901E-4</v>
      </c>
    </row>
    <row r="222" spans="1:24" x14ac:dyDescent="0.25">
      <c r="A222">
        <v>12904</v>
      </c>
      <c r="B222">
        <v>12905</v>
      </c>
      <c r="C222" t="s">
        <v>1014</v>
      </c>
      <c r="D222" t="s">
        <v>1015</v>
      </c>
      <c r="E222" t="s">
        <v>613</v>
      </c>
      <c r="F222" t="s">
        <v>1016</v>
      </c>
      <c r="G222" t="s">
        <v>1017</v>
      </c>
      <c r="H222" t="s">
        <v>213</v>
      </c>
      <c r="I222" t="s">
        <v>753</v>
      </c>
      <c r="J222" t="s">
        <v>85</v>
      </c>
      <c r="K222" t="s">
        <v>291</v>
      </c>
      <c r="L222" t="s">
        <v>216</v>
      </c>
      <c r="M222" t="s">
        <v>936</v>
      </c>
      <c r="N222" t="s">
        <v>975</v>
      </c>
      <c r="O222" t="s">
        <v>72</v>
      </c>
      <c r="P222" t="s">
        <v>75</v>
      </c>
      <c r="Q222" s="44">
        <v>17</v>
      </c>
      <c r="R222" s="42">
        <v>3.718</v>
      </c>
      <c r="S222" s="48">
        <v>93253</v>
      </c>
      <c r="U222" s="44">
        <v>58.941000000000003</v>
      </c>
      <c r="V222" s="45">
        <v>0</v>
      </c>
      <c r="W222" s="45">
        <v>9.0690317519511194E-3</v>
      </c>
      <c r="X222" s="45">
        <v>1.3779699099215801E-3</v>
      </c>
    </row>
    <row r="223" spans="1:24" x14ac:dyDescent="0.25">
      <c r="A223">
        <v>12904</v>
      </c>
      <c r="B223">
        <v>12905</v>
      </c>
      <c r="C223" t="s">
        <v>1018</v>
      </c>
      <c r="D223" t="s">
        <v>1019</v>
      </c>
      <c r="E223" t="s">
        <v>613</v>
      </c>
      <c r="F223" t="s">
        <v>1020</v>
      </c>
      <c r="G223" t="s">
        <v>1021</v>
      </c>
      <c r="H223" t="s">
        <v>213</v>
      </c>
      <c r="I223" t="s">
        <v>753</v>
      </c>
      <c r="J223" t="s">
        <v>85</v>
      </c>
      <c r="K223" t="s">
        <v>291</v>
      </c>
      <c r="L223" t="s">
        <v>216</v>
      </c>
      <c r="M223" t="s">
        <v>1022</v>
      </c>
      <c r="N223" t="s">
        <v>1023</v>
      </c>
      <c r="O223" t="s">
        <v>72</v>
      </c>
      <c r="P223" t="s">
        <v>75</v>
      </c>
      <c r="Q223" s="44">
        <v>392</v>
      </c>
      <c r="R223" s="42">
        <v>3.718</v>
      </c>
      <c r="S223" s="48">
        <v>7089</v>
      </c>
      <c r="U223" s="44">
        <v>103.319</v>
      </c>
      <c r="V223" s="45">
        <v>0</v>
      </c>
      <c r="W223" s="45">
        <v>1.5897185144723901E-2</v>
      </c>
      <c r="X223" s="45">
        <v>2.4154555173069E-3</v>
      </c>
    </row>
    <row r="224" spans="1:24" x14ac:dyDescent="0.25">
      <c r="A224">
        <v>12904</v>
      </c>
      <c r="B224">
        <v>12905</v>
      </c>
      <c r="C224" t="s">
        <v>1024</v>
      </c>
      <c r="D224" t="s">
        <v>1025</v>
      </c>
      <c r="E224" t="s">
        <v>613</v>
      </c>
      <c r="F224" t="s">
        <v>1024</v>
      </c>
      <c r="G224" t="s">
        <v>1026</v>
      </c>
      <c r="H224" t="s">
        <v>213</v>
      </c>
      <c r="I224" t="s">
        <v>753</v>
      </c>
      <c r="J224" t="s">
        <v>85</v>
      </c>
      <c r="K224" t="s">
        <v>291</v>
      </c>
      <c r="L224" t="s">
        <v>216</v>
      </c>
      <c r="M224" t="s">
        <v>966</v>
      </c>
      <c r="N224" t="s">
        <v>947</v>
      </c>
      <c r="O224" t="s">
        <v>72</v>
      </c>
      <c r="P224" t="s">
        <v>75</v>
      </c>
      <c r="Q224" s="44">
        <v>386</v>
      </c>
      <c r="R224" s="42">
        <v>3.718</v>
      </c>
      <c r="S224" s="48">
        <v>6348</v>
      </c>
      <c r="T224" s="44">
        <v>0.154</v>
      </c>
      <c r="U224" s="44">
        <v>91.677000000000007</v>
      </c>
      <c r="V224" s="45">
        <v>0</v>
      </c>
      <c r="W224" s="45">
        <v>1.41059194972721E-2</v>
      </c>
      <c r="X224" s="45">
        <v>2.1432864224822301E-3</v>
      </c>
    </row>
    <row r="225" spans="1:24" x14ac:dyDescent="0.25">
      <c r="A225">
        <v>12904</v>
      </c>
      <c r="B225">
        <v>12905</v>
      </c>
      <c r="C225" t="s">
        <v>1027</v>
      </c>
      <c r="D225" t="s">
        <v>1028</v>
      </c>
      <c r="E225" t="s">
        <v>613</v>
      </c>
      <c r="F225" t="s">
        <v>1029</v>
      </c>
      <c r="G225" t="s">
        <v>1030</v>
      </c>
      <c r="H225" t="s">
        <v>213</v>
      </c>
      <c r="I225" t="s">
        <v>753</v>
      </c>
      <c r="J225" t="s">
        <v>85</v>
      </c>
      <c r="K225" t="s">
        <v>291</v>
      </c>
      <c r="L225" t="s">
        <v>216</v>
      </c>
      <c r="M225" t="s">
        <v>966</v>
      </c>
      <c r="N225" t="s">
        <v>706</v>
      </c>
      <c r="O225" t="s">
        <v>72</v>
      </c>
      <c r="P225" t="s">
        <v>75</v>
      </c>
      <c r="Q225" s="44">
        <v>51</v>
      </c>
      <c r="R225" s="42">
        <v>3.718</v>
      </c>
      <c r="S225" s="48">
        <v>51201</v>
      </c>
      <c r="U225" s="44">
        <v>97.085999999999999</v>
      </c>
      <c r="V225" s="45">
        <v>0</v>
      </c>
      <c r="W225" s="45">
        <v>1.49381841248533E-2</v>
      </c>
      <c r="X225" s="45">
        <v>2.2697426578628501E-3</v>
      </c>
    </row>
    <row r="226" spans="1:24" x14ac:dyDescent="0.25">
      <c r="A226">
        <v>12904</v>
      </c>
      <c r="B226">
        <v>12905</v>
      </c>
      <c r="C226" t="s">
        <v>1031</v>
      </c>
      <c r="D226" t="s">
        <v>1032</v>
      </c>
      <c r="E226" t="s">
        <v>613</v>
      </c>
      <c r="F226" t="s">
        <v>1033</v>
      </c>
      <c r="G226" t="s">
        <v>1034</v>
      </c>
      <c r="H226" t="s">
        <v>213</v>
      </c>
      <c r="I226" t="s">
        <v>753</v>
      </c>
      <c r="J226" t="s">
        <v>85</v>
      </c>
      <c r="K226" t="s">
        <v>291</v>
      </c>
      <c r="L226" t="s">
        <v>216</v>
      </c>
      <c r="M226" t="s">
        <v>936</v>
      </c>
      <c r="N226" t="s">
        <v>937</v>
      </c>
      <c r="O226" t="s">
        <v>72</v>
      </c>
      <c r="P226" t="s">
        <v>75</v>
      </c>
      <c r="Q226" s="44">
        <v>418</v>
      </c>
      <c r="R226" s="42">
        <v>3.718</v>
      </c>
      <c r="S226" s="48">
        <v>10838</v>
      </c>
      <c r="T226" s="44">
        <v>3.0000000000000001E-3</v>
      </c>
      <c r="U226" s="44">
        <v>168.44800000000001</v>
      </c>
      <c r="V226" s="45">
        <v>0</v>
      </c>
      <c r="W226" s="45">
        <v>2.5918181430677902E-2</v>
      </c>
      <c r="X226" s="45">
        <v>3.9380691465413301E-3</v>
      </c>
    </row>
    <row r="227" spans="1:24" x14ac:dyDescent="0.25">
      <c r="A227">
        <v>12904</v>
      </c>
      <c r="B227">
        <v>12905</v>
      </c>
      <c r="C227" t="s">
        <v>1035</v>
      </c>
      <c r="D227" t="s">
        <v>1036</v>
      </c>
      <c r="E227" t="s">
        <v>613</v>
      </c>
      <c r="F227" t="s">
        <v>1035</v>
      </c>
      <c r="G227" t="s">
        <v>1037</v>
      </c>
      <c r="H227" t="s">
        <v>213</v>
      </c>
      <c r="I227" t="s">
        <v>753</v>
      </c>
      <c r="J227" t="s">
        <v>85</v>
      </c>
      <c r="K227" t="s">
        <v>291</v>
      </c>
      <c r="L227" t="s">
        <v>216</v>
      </c>
      <c r="M227" t="s">
        <v>286</v>
      </c>
      <c r="N227" t="s">
        <v>1038</v>
      </c>
      <c r="O227" t="s">
        <v>72</v>
      </c>
      <c r="P227" t="s">
        <v>75</v>
      </c>
      <c r="Q227" s="44">
        <v>138</v>
      </c>
      <c r="R227" s="42">
        <v>3.718</v>
      </c>
      <c r="S227" s="48">
        <v>13981</v>
      </c>
      <c r="U227" s="44">
        <v>71.733999999999995</v>
      </c>
      <c r="V227" s="45">
        <v>0</v>
      </c>
      <c r="W227" s="45">
        <v>1.10373931155761E-2</v>
      </c>
      <c r="X227" s="45">
        <v>1.6770473423436099E-3</v>
      </c>
    </row>
    <row r="228" spans="1:24" x14ac:dyDescent="0.25">
      <c r="A228">
        <v>12904</v>
      </c>
      <c r="B228">
        <v>12905</v>
      </c>
      <c r="C228" t="s">
        <v>749</v>
      </c>
      <c r="D228" t="s">
        <v>750</v>
      </c>
      <c r="E228" t="s">
        <v>613</v>
      </c>
      <c r="F228" t="s">
        <v>1039</v>
      </c>
      <c r="G228" t="s">
        <v>752</v>
      </c>
      <c r="H228" t="s">
        <v>213</v>
      </c>
      <c r="I228" t="s">
        <v>753</v>
      </c>
      <c r="J228" t="s">
        <v>85</v>
      </c>
      <c r="K228" t="s">
        <v>291</v>
      </c>
      <c r="L228" t="s">
        <v>216</v>
      </c>
      <c r="M228" t="s">
        <v>966</v>
      </c>
      <c r="N228" t="s">
        <v>1040</v>
      </c>
      <c r="O228" t="s">
        <v>72</v>
      </c>
      <c r="P228" t="s">
        <v>75</v>
      </c>
      <c r="Q228" s="44">
        <v>265</v>
      </c>
      <c r="R228" s="42">
        <v>3.718</v>
      </c>
      <c r="S228" s="48">
        <v>7077</v>
      </c>
      <c r="U228" s="44">
        <v>69.727999999999994</v>
      </c>
      <c r="V228" s="45">
        <v>3.9999999999999998E-6</v>
      </c>
      <c r="W228" s="45">
        <v>1.07286297635388E-2</v>
      </c>
      <c r="X228" s="45">
        <v>1.63013311599278E-3</v>
      </c>
    </row>
    <row r="229" spans="1:24" x14ac:dyDescent="0.25">
      <c r="A229">
        <v>12904</v>
      </c>
      <c r="B229">
        <v>12905</v>
      </c>
      <c r="C229" t="s">
        <v>1044</v>
      </c>
      <c r="D229" t="s">
        <v>1045</v>
      </c>
      <c r="E229" t="s">
        <v>613</v>
      </c>
      <c r="F229" t="s">
        <v>1046</v>
      </c>
      <c r="G229" t="s">
        <v>1047</v>
      </c>
      <c r="H229" t="s">
        <v>213</v>
      </c>
      <c r="I229" t="s">
        <v>753</v>
      </c>
      <c r="J229" t="s">
        <v>85</v>
      </c>
      <c r="K229" t="s">
        <v>291</v>
      </c>
      <c r="L229" t="s">
        <v>216</v>
      </c>
      <c r="M229" t="s">
        <v>966</v>
      </c>
      <c r="N229" t="s">
        <v>1048</v>
      </c>
      <c r="O229" t="s">
        <v>72</v>
      </c>
      <c r="P229" t="s">
        <v>75</v>
      </c>
      <c r="Q229" s="44">
        <v>659</v>
      </c>
      <c r="R229" s="42">
        <v>3.718</v>
      </c>
      <c r="S229" s="48">
        <v>4180</v>
      </c>
      <c r="T229" s="44">
        <v>0.14299999999999999</v>
      </c>
      <c r="U229" s="44">
        <v>102.95</v>
      </c>
      <c r="V229" s="45">
        <v>0</v>
      </c>
      <c r="W229" s="45">
        <v>1.58403313797791E-2</v>
      </c>
      <c r="X229" s="45">
        <v>2.4068170231983398E-3</v>
      </c>
    </row>
    <row r="230" spans="1:24" x14ac:dyDescent="0.25">
      <c r="A230">
        <v>12904</v>
      </c>
      <c r="B230">
        <v>12905</v>
      </c>
      <c r="C230" t="s">
        <v>1049</v>
      </c>
      <c r="D230" t="s">
        <v>1050</v>
      </c>
      <c r="E230" t="s">
        <v>613</v>
      </c>
      <c r="F230" t="s">
        <v>1051</v>
      </c>
      <c r="G230" t="s">
        <v>1052</v>
      </c>
      <c r="H230" t="s">
        <v>213</v>
      </c>
      <c r="I230" t="s">
        <v>753</v>
      </c>
      <c r="J230" t="s">
        <v>85</v>
      </c>
      <c r="K230" t="s">
        <v>1053</v>
      </c>
      <c r="L230" t="s">
        <v>216</v>
      </c>
      <c r="M230" t="s">
        <v>966</v>
      </c>
      <c r="N230" t="s">
        <v>937</v>
      </c>
      <c r="O230" t="s">
        <v>72</v>
      </c>
      <c r="P230" t="s">
        <v>75</v>
      </c>
      <c r="Q230" s="44">
        <v>301</v>
      </c>
      <c r="R230" s="42">
        <v>3.718</v>
      </c>
      <c r="S230" s="48">
        <v>16600</v>
      </c>
      <c r="T230" s="44">
        <v>0.20499999999999999</v>
      </c>
      <c r="U230" s="44">
        <v>186.536</v>
      </c>
      <c r="V230" s="45">
        <v>0</v>
      </c>
      <c r="W230" s="45">
        <v>2.8701381916728299E-2</v>
      </c>
      <c r="X230" s="45">
        <v>4.3609551423072403E-3</v>
      </c>
    </row>
    <row r="231" spans="1:24" x14ac:dyDescent="0.25">
      <c r="A231">
        <v>12904</v>
      </c>
      <c r="B231">
        <v>12905</v>
      </c>
      <c r="C231" t="s">
        <v>1054</v>
      </c>
      <c r="D231" t="s">
        <v>1055</v>
      </c>
      <c r="E231" t="s">
        <v>613</v>
      </c>
      <c r="F231" t="s">
        <v>1056</v>
      </c>
      <c r="G231" t="s">
        <v>1057</v>
      </c>
      <c r="H231" t="s">
        <v>213</v>
      </c>
      <c r="I231" t="s">
        <v>753</v>
      </c>
      <c r="J231" t="s">
        <v>85</v>
      </c>
      <c r="K231" t="s">
        <v>291</v>
      </c>
      <c r="L231" t="s">
        <v>216</v>
      </c>
      <c r="M231" t="s">
        <v>966</v>
      </c>
      <c r="N231" t="s">
        <v>700</v>
      </c>
      <c r="O231" t="s">
        <v>72</v>
      </c>
      <c r="P231" t="s">
        <v>75</v>
      </c>
      <c r="Q231" s="44">
        <v>315</v>
      </c>
      <c r="R231" s="42">
        <v>3.718</v>
      </c>
      <c r="S231" s="48">
        <v>7286</v>
      </c>
      <c r="U231" s="44">
        <v>85.331000000000003</v>
      </c>
      <c r="V231" s="45">
        <v>0</v>
      </c>
      <c r="W231" s="45">
        <v>1.31295218280853E-2</v>
      </c>
      <c r="X231" s="45">
        <v>1.9949302754252401E-3</v>
      </c>
    </row>
    <row r="232" spans="1:24" x14ac:dyDescent="0.25">
      <c r="A232">
        <v>12904</v>
      </c>
      <c r="B232">
        <v>12905</v>
      </c>
      <c r="C232" t="s">
        <v>1058</v>
      </c>
      <c r="D232" t="s">
        <v>1059</v>
      </c>
      <c r="E232" t="s">
        <v>613</v>
      </c>
      <c r="F232" t="s">
        <v>1060</v>
      </c>
      <c r="G232" t="s">
        <v>1061</v>
      </c>
      <c r="H232" t="s">
        <v>213</v>
      </c>
      <c r="I232" t="s">
        <v>753</v>
      </c>
      <c r="J232" t="s">
        <v>85</v>
      </c>
      <c r="K232" t="s">
        <v>291</v>
      </c>
      <c r="L232" t="s">
        <v>216</v>
      </c>
      <c r="M232" t="s">
        <v>966</v>
      </c>
      <c r="N232" t="s">
        <v>957</v>
      </c>
      <c r="O232" t="s">
        <v>72</v>
      </c>
      <c r="P232" t="s">
        <v>75</v>
      </c>
      <c r="Q232" s="44">
        <v>121</v>
      </c>
      <c r="R232" s="42">
        <v>3.718</v>
      </c>
      <c r="S232" s="48">
        <v>35046</v>
      </c>
      <c r="U232" s="44">
        <v>157.66399999999999</v>
      </c>
      <c r="V232" s="45">
        <v>0</v>
      </c>
      <c r="W232" s="45">
        <v>2.42590067755236E-2</v>
      </c>
      <c r="X232" s="45">
        <v>3.6859702662374498E-3</v>
      </c>
    </row>
    <row r="233" spans="1:24" x14ac:dyDescent="0.25">
      <c r="A233">
        <v>12904</v>
      </c>
      <c r="B233">
        <v>13680</v>
      </c>
      <c r="C233" t="s">
        <v>1062</v>
      </c>
      <c r="D233" t="s">
        <v>1063</v>
      </c>
      <c r="E233" t="s">
        <v>210</v>
      </c>
      <c r="F233" t="s">
        <v>1064</v>
      </c>
      <c r="G233" t="s">
        <v>1065</v>
      </c>
      <c r="H233" t="s">
        <v>213</v>
      </c>
      <c r="I233" t="s">
        <v>753</v>
      </c>
      <c r="J233" t="s">
        <v>71</v>
      </c>
      <c r="K233" t="s">
        <v>71</v>
      </c>
      <c r="L233" t="s">
        <v>216</v>
      </c>
      <c r="M233" t="s">
        <v>117</v>
      </c>
      <c r="N233" t="s">
        <v>825</v>
      </c>
      <c r="O233" t="s">
        <v>72</v>
      </c>
      <c r="P233" t="s">
        <v>81</v>
      </c>
      <c r="Q233" s="44">
        <v>17213</v>
      </c>
      <c r="R233" s="42">
        <v>1</v>
      </c>
      <c r="S233" s="48">
        <v>294.10000000000002</v>
      </c>
      <c r="U233" s="44">
        <v>50.622999999999998</v>
      </c>
      <c r="V233" s="45">
        <v>1.4100000000000001E-4</v>
      </c>
      <c r="W233" s="45">
        <v>4.1310237581258999E-3</v>
      </c>
      <c r="X233" s="45">
        <v>1.0887730829487699E-3</v>
      </c>
    </row>
    <row r="234" spans="1:24" x14ac:dyDescent="0.25">
      <c r="A234">
        <v>12904</v>
      </c>
      <c r="B234">
        <v>13680</v>
      </c>
      <c r="C234" t="s">
        <v>749</v>
      </c>
      <c r="D234" t="s">
        <v>750</v>
      </c>
      <c r="E234" t="s">
        <v>613</v>
      </c>
      <c r="F234" t="s">
        <v>751</v>
      </c>
      <c r="G234" t="s">
        <v>752</v>
      </c>
      <c r="H234" t="s">
        <v>213</v>
      </c>
      <c r="I234" t="s">
        <v>753</v>
      </c>
      <c r="J234" t="s">
        <v>71</v>
      </c>
      <c r="K234" t="s">
        <v>291</v>
      </c>
      <c r="L234" t="s">
        <v>216</v>
      </c>
      <c r="M234" t="s">
        <v>117</v>
      </c>
      <c r="N234" t="s">
        <v>287</v>
      </c>
      <c r="O234" t="s">
        <v>72</v>
      </c>
      <c r="P234" t="s">
        <v>81</v>
      </c>
      <c r="Q234" s="44">
        <v>736</v>
      </c>
      <c r="R234" s="42">
        <v>1</v>
      </c>
      <c r="S234" s="48">
        <v>26100</v>
      </c>
      <c r="U234" s="44">
        <v>192.096</v>
      </c>
      <c r="V234" s="45">
        <v>1.2999999999999999E-5</v>
      </c>
      <c r="W234" s="45">
        <v>1.5675608958423501E-2</v>
      </c>
      <c r="X234" s="45">
        <v>4.1314652473712502E-3</v>
      </c>
    </row>
    <row r="235" spans="1:24" x14ac:dyDescent="0.25">
      <c r="A235">
        <v>12904</v>
      </c>
      <c r="B235">
        <v>13680</v>
      </c>
      <c r="C235" t="s">
        <v>644</v>
      </c>
      <c r="D235" t="s">
        <v>645</v>
      </c>
      <c r="E235" t="s">
        <v>210</v>
      </c>
      <c r="F235" t="s">
        <v>754</v>
      </c>
      <c r="G235" t="s">
        <v>755</v>
      </c>
      <c r="H235" t="s">
        <v>213</v>
      </c>
      <c r="I235" t="s">
        <v>753</v>
      </c>
      <c r="J235" t="s">
        <v>71</v>
      </c>
      <c r="K235" t="s">
        <v>71</v>
      </c>
      <c r="L235" t="s">
        <v>216</v>
      </c>
      <c r="M235" t="s">
        <v>117</v>
      </c>
      <c r="N235" t="s">
        <v>227</v>
      </c>
      <c r="O235" t="s">
        <v>72</v>
      </c>
      <c r="P235" t="s">
        <v>81</v>
      </c>
      <c r="Q235" s="44">
        <v>13070</v>
      </c>
      <c r="R235" s="42">
        <v>1</v>
      </c>
      <c r="S235" s="48">
        <v>2089</v>
      </c>
      <c r="U235" s="44">
        <v>273.03199999999998</v>
      </c>
      <c r="V235" s="45">
        <v>1.0000000000000001E-5</v>
      </c>
      <c r="W235" s="45">
        <v>2.2280253455662698E-2</v>
      </c>
      <c r="X235" s="45">
        <v>5.8721860885174197E-3</v>
      </c>
    </row>
    <row r="236" spans="1:24" x14ac:dyDescent="0.25">
      <c r="A236">
        <v>12904</v>
      </c>
      <c r="B236">
        <v>13680</v>
      </c>
      <c r="C236" t="s">
        <v>756</v>
      </c>
      <c r="D236" t="s">
        <v>757</v>
      </c>
      <c r="E236" t="s">
        <v>210</v>
      </c>
      <c r="F236" t="s">
        <v>758</v>
      </c>
      <c r="G236" t="s">
        <v>759</v>
      </c>
      <c r="H236" t="s">
        <v>213</v>
      </c>
      <c r="I236" t="s">
        <v>753</v>
      </c>
      <c r="J236" t="s">
        <v>71</v>
      </c>
      <c r="K236" t="s">
        <v>71</v>
      </c>
      <c r="L236" t="s">
        <v>216</v>
      </c>
      <c r="M236" t="s">
        <v>117</v>
      </c>
      <c r="N236" t="s">
        <v>252</v>
      </c>
      <c r="O236" t="s">
        <v>72</v>
      </c>
      <c r="P236" t="s">
        <v>81</v>
      </c>
      <c r="Q236" s="44">
        <v>629</v>
      </c>
      <c r="R236" s="42">
        <v>1</v>
      </c>
      <c r="S236" s="48">
        <v>15580</v>
      </c>
      <c r="U236" s="44">
        <v>97.998000000000005</v>
      </c>
      <c r="V236" s="45">
        <v>4.3000000000000002E-5</v>
      </c>
      <c r="W236" s="45">
        <v>7.9969466403744909E-3</v>
      </c>
      <c r="X236" s="45">
        <v>2.1076761494509899E-3</v>
      </c>
    </row>
    <row r="237" spans="1:24" x14ac:dyDescent="0.25">
      <c r="A237">
        <v>12904</v>
      </c>
      <c r="B237">
        <v>13680</v>
      </c>
      <c r="C237" t="s">
        <v>760</v>
      </c>
      <c r="D237" t="s">
        <v>761</v>
      </c>
      <c r="E237" t="s">
        <v>210</v>
      </c>
      <c r="F237" t="s">
        <v>762</v>
      </c>
      <c r="G237" t="s">
        <v>763</v>
      </c>
      <c r="H237" t="s">
        <v>213</v>
      </c>
      <c r="I237" t="s">
        <v>753</v>
      </c>
      <c r="J237" t="s">
        <v>71</v>
      </c>
      <c r="K237" t="s">
        <v>71</v>
      </c>
      <c r="L237" t="s">
        <v>216</v>
      </c>
      <c r="M237" t="s">
        <v>117</v>
      </c>
      <c r="N237" t="s">
        <v>764</v>
      </c>
      <c r="O237" t="s">
        <v>72</v>
      </c>
      <c r="P237" t="s">
        <v>81</v>
      </c>
      <c r="Q237" s="44">
        <v>791</v>
      </c>
      <c r="R237" s="42">
        <v>1</v>
      </c>
      <c r="S237" s="48">
        <v>1524</v>
      </c>
      <c r="U237" s="44">
        <v>12.055</v>
      </c>
      <c r="V237" s="45">
        <v>5.0000000000000004E-6</v>
      </c>
      <c r="W237" s="45">
        <v>9.8371105018512598E-4</v>
      </c>
      <c r="X237" s="45">
        <v>2.5926699422487102E-4</v>
      </c>
    </row>
    <row r="238" spans="1:24" x14ac:dyDescent="0.25">
      <c r="A238">
        <v>12904</v>
      </c>
      <c r="B238">
        <v>13680</v>
      </c>
      <c r="C238" t="s">
        <v>769</v>
      </c>
      <c r="D238" t="s">
        <v>770</v>
      </c>
      <c r="E238" t="s">
        <v>210</v>
      </c>
      <c r="F238" t="s">
        <v>771</v>
      </c>
      <c r="G238" t="s">
        <v>772</v>
      </c>
      <c r="H238" t="s">
        <v>213</v>
      </c>
      <c r="I238" t="s">
        <v>753</v>
      </c>
      <c r="J238" t="s">
        <v>71</v>
      </c>
      <c r="K238" t="s">
        <v>71</v>
      </c>
      <c r="L238" t="s">
        <v>216</v>
      </c>
      <c r="M238" t="s">
        <v>117</v>
      </c>
      <c r="N238" t="s">
        <v>773</v>
      </c>
      <c r="O238" t="s">
        <v>72</v>
      </c>
      <c r="P238" t="s">
        <v>81</v>
      </c>
      <c r="Q238" s="44">
        <v>269</v>
      </c>
      <c r="R238" s="42">
        <v>1</v>
      </c>
      <c r="S238" s="48">
        <v>142500</v>
      </c>
      <c r="U238" s="44">
        <v>383.32499999999999</v>
      </c>
      <c r="V238" s="45">
        <v>6.0000000000000002E-6</v>
      </c>
      <c r="W238" s="45">
        <v>3.1280468120042502E-2</v>
      </c>
      <c r="X238" s="45">
        <v>8.2442836703970207E-3</v>
      </c>
    </row>
    <row r="239" spans="1:24" x14ac:dyDescent="0.25">
      <c r="A239">
        <v>12904</v>
      </c>
      <c r="B239">
        <v>13680</v>
      </c>
      <c r="C239" t="s">
        <v>268</v>
      </c>
      <c r="D239" t="s">
        <v>269</v>
      </c>
      <c r="E239" t="s">
        <v>210</v>
      </c>
      <c r="F239" t="s">
        <v>774</v>
      </c>
      <c r="G239" t="s">
        <v>775</v>
      </c>
      <c r="H239" t="s">
        <v>213</v>
      </c>
      <c r="I239" t="s">
        <v>753</v>
      </c>
      <c r="J239" t="s">
        <v>71</v>
      </c>
      <c r="K239" t="s">
        <v>71</v>
      </c>
      <c r="L239" t="s">
        <v>216</v>
      </c>
      <c r="M239" t="s">
        <v>117</v>
      </c>
      <c r="N239" t="s">
        <v>272</v>
      </c>
      <c r="O239" t="s">
        <v>72</v>
      </c>
      <c r="P239" t="s">
        <v>81</v>
      </c>
      <c r="Q239" s="44">
        <v>27</v>
      </c>
      <c r="R239" s="42">
        <v>1</v>
      </c>
      <c r="S239" s="48">
        <v>173080</v>
      </c>
      <c r="U239" s="44">
        <v>46.731999999999999</v>
      </c>
      <c r="V239" s="45">
        <v>6.9999999999999999E-6</v>
      </c>
      <c r="W239" s="45">
        <v>3.8134385286599602E-3</v>
      </c>
      <c r="X239" s="45">
        <v>1.00507028441016E-3</v>
      </c>
    </row>
    <row r="240" spans="1:24" x14ac:dyDescent="0.25">
      <c r="A240">
        <v>12904</v>
      </c>
      <c r="B240">
        <v>13680</v>
      </c>
      <c r="C240" t="s">
        <v>282</v>
      </c>
      <c r="D240" t="s">
        <v>283</v>
      </c>
      <c r="E240" t="s">
        <v>210</v>
      </c>
      <c r="F240" t="s">
        <v>776</v>
      </c>
      <c r="G240" t="s">
        <v>777</v>
      </c>
      <c r="H240" t="s">
        <v>213</v>
      </c>
      <c r="I240" t="s">
        <v>753</v>
      </c>
      <c r="J240" t="s">
        <v>71</v>
      </c>
      <c r="K240" t="s">
        <v>291</v>
      </c>
      <c r="L240" t="s">
        <v>216</v>
      </c>
      <c r="M240" t="s">
        <v>117</v>
      </c>
      <c r="N240" t="s">
        <v>287</v>
      </c>
      <c r="O240" t="s">
        <v>72</v>
      </c>
      <c r="P240" t="s">
        <v>81</v>
      </c>
      <c r="Q240" s="44">
        <v>3270.9</v>
      </c>
      <c r="R240" s="42">
        <v>1</v>
      </c>
      <c r="S240" s="48">
        <v>5941</v>
      </c>
      <c r="U240" s="44">
        <v>194.32400000000001</v>
      </c>
      <c r="V240" s="45">
        <v>2.6999999999999999E-5</v>
      </c>
      <c r="W240" s="45">
        <v>1.5857434222548102E-2</v>
      </c>
      <c r="X240" s="45">
        <v>4.17938713428597E-3</v>
      </c>
    </row>
    <row r="241" spans="1:24" x14ac:dyDescent="0.25">
      <c r="A241">
        <v>12904</v>
      </c>
      <c r="B241">
        <v>13680</v>
      </c>
      <c r="C241" t="s">
        <v>778</v>
      </c>
      <c r="D241" t="s">
        <v>779</v>
      </c>
      <c r="E241" t="s">
        <v>613</v>
      </c>
      <c r="F241" t="s">
        <v>780</v>
      </c>
      <c r="G241" t="s">
        <v>781</v>
      </c>
      <c r="H241" t="s">
        <v>213</v>
      </c>
      <c r="I241" t="s">
        <v>753</v>
      </c>
      <c r="J241" t="s">
        <v>71</v>
      </c>
      <c r="K241" t="s">
        <v>604</v>
      </c>
      <c r="L241" t="s">
        <v>216</v>
      </c>
      <c r="M241" t="s">
        <v>117</v>
      </c>
      <c r="N241" t="s">
        <v>423</v>
      </c>
      <c r="O241" t="s">
        <v>72</v>
      </c>
      <c r="P241" t="s">
        <v>81</v>
      </c>
      <c r="Q241" s="44">
        <v>1932</v>
      </c>
      <c r="R241" s="42">
        <v>1</v>
      </c>
      <c r="S241" s="48">
        <v>4205</v>
      </c>
      <c r="T241" s="44">
        <v>2.1549999999999998</v>
      </c>
      <c r="U241" s="44">
        <v>83.396000000000001</v>
      </c>
      <c r="V241" s="45">
        <v>1.1E-5</v>
      </c>
      <c r="W241" s="45">
        <v>6.8053268915769204E-3</v>
      </c>
      <c r="X241" s="45">
        <v>1.7936127154053901E-3</v>
      </c>
    </row>
    <row r="242" spans="1:24" x14ac:dyDescent="0.25">
      <c r="A242">
        <v>12904</v>
      </c>
      <c r="B242">
        <v>13680</v>
      </c>
      <c r="C242" t="s">
        <v>631</v>
      </c>
      <c r="D242" t="s">
        <v>632</v>
      </c>
      <c r="E242" t="s">
        <v>210</v>
      </c>
      <c r="F242" t="s">
        <v>786</v>
      </c>
      <c r="G242" t="s">
        <v>787</v>
      </c>
      <c r="H242" t="s">
        <v>213</v>
      </c>
      <c r="I242" t="s">
        <v>753</v>
      </c>
      <c r="J242" t="s">
        <v>71</v>
      </c>
      <c r="K242" t="s">
        <v>71</v>
      </c>
      <c r="L242" t="s">
        <v>216</v>
      </c>
      <c r="M242" t="s">
        <v>117</v>
      </c>
      <c r="N242" t="s">
        <v>245</v>
      </c>
      <c r="O242" t="s">
        <v>72</v>
      </c>
      <c r="P242" t="s">
        <v>81</v>
      </c>
      <c r="Q242" s="44">
        <v>2717</v>
      </c>
      <c r="R242" s="42">
        <v>1</v>
      </c>
      <c r="S242" s="48">
        <v>5080</v>
      </c>
      <c r="U242" s="44">
        <v>138.024</v>
      </c>
      <c r="V242" s="45">
        <v>2.4000000000000001E-5</v>
      </c>
      <c r="W242" s="45">
        <v>1.12631391628866E-2</v>
      </c>
      <c r="X242" s="45">
        <v>2.9685142153770602E-3</v>
      </c>
    </row>
    <row r="243" spans="1:24" x14ac:dyDescent="0.25">
      <c r="A243">
        <v>12904</v>
      </c>
      <c r="B243">
        <v>13680</v>
      </c>
      <c r="C243" t="s">
        <v>320</v>
      </c>
      <c r="D243" t="s">
        <v>321</v>
      </c>
      <c r="E243" t="s">
        <v>210</v>
      </c>
      <c r="F243" t="s">
        <v>788</v>
      </c>
      <c r="G243" t="s">
        <v>789</v>
      </c>
      <c r="H243" t="s">
        <v>213</v>
      </c>
      <c r="I243" t="s">
        <v>753</v>
      </c>
      <c r="J243" t="s">
        <v>71</v>
      </c>
      <c r="K243" t="s">
        <v>71</v>
      </c>
      <c r="L243" t="s">
        <v>216</v>
      </c>
      <c r="M243" t="s">
        <v>117</v>
      </c>
      <c r="N243" t="s">
        <v>234</v>
      </c>
      <c r="O243" t="s">
        <v>72</v>
      </c>
      <c r="P243" t="s">
        <v>81</v>
      </c>
      <c r="Q243" s="44">
        <v>21035</v>
      </c>
      <c r="R243" s="42">
        <v>1</v>
      </c>
      <c r="S243" s="48">
        <v>88.3</v>
      </c>
      <c r="T243" s="44">
        <v>1.23</v>
      </c>
      <c r="U243" s="44">
        <v>19.803999999999998</v>
      </c>
      <c r="V243" s="45">
        <v>6.9999999999999999E-6</v>
      </c>
      <c r="W243" s="45">
        <v>1.6160734684505199E-3</v>
      </c>
      <c r="X243" s="45">
        <v>4.2593250379049398E-4</v>
      </c>
    </row>
    <row r="244" spans="1:24" x14ac:dyDescent="0.25">
      <c r="A244">
        <v>12904</v>
      </c>
      <c r="B244">
        <v>13680</v>
      </c>
      <c r="C244" t="s">
        <v>790</v>
      </c>
      <c r="D244" t="s">
        <v>791</v>
      </c>
      <c r="E244" t="s">
        <v>210</v>
      </c>
      <c r="F244" t="s">
        <v>792</v>
      </c>
      <c r="G244" t="s">
        <v>793</v>
      </c>
      <c r="H244" t="s">
        <v>213</v>
      </c>
      <c r="I244" t="s">
        <v>753</v>
      </c>
      <c r="J244" t="s">
        <v>71</v>
      </c>
      <c r="K244" t="s">
        <v>71</v>
      </c>
      <c r="L244" t="s">
        <v>216</v>
      </c>
      <c r="M244" t="s">
        <v>117</v>
      </c>
      <c r="N244" t="s">
        <v>329</v>
      </c>
      <c r="O244" t="s">
        <v>72</v>
      </c>
      <c r="P244" t="s">
        <v>81</v>
      </c>
      <c r="Q244" s="44">
        <v>41548</v>
      </c>
      <c r="R244" s="42">
        <v>1</v>
      </c>
      <c r="S244" s="48">
        <v>546.6</v>
      </c>
      <c r="U244" s="44">
        <v>227.101</v>
      </c>
      <c r="V244" s="45">
        <v>1.5E-5</v>
      </c>
      <c r="W244" s="45">
        <v>1.8532151833932201E-2</v>
      </c>
      <c r="X244" s="45">
        <v>4.8843360065929002E-3</v>
      </c>
    </row>
    <row r="245" spans="1:24" x14ac:dyDescent="0.25">
      <c r="A245">
        <v>12904</v>
      </c>
      <c r="B245">
        <v>13680</v>
      </c>
      <c r="C245" t="s">
        <v>331</v>
      </c>
      <c r="D245" t="s">
        <v>332</v>
      </c>
      <c r="E245" t="s">
        <v>210</v>
      </c>
      <c r="F245" t="s">
        <v>794</v>
      </c>
      <c r="G245" t="s">
        <v>795</v>
      </c>
      <c r="H245" t="s">
        <v>213</v>
      </c>
      <c r="I245" t="s">
        <v>753</v>
      </c>
      <c r="J245" t="s">
        <v>71</v>
      </c>
      <c r="K245" t="s">
        <v>71</v>
      </c>
      <c r="L245" t="s">
        <v>216</v>
      </c>
      <c r="M245" t="s">
        <v>117</v>
      </c>
      <c r="N245" t="s">
        <v>258</v>
      </c>
      <c r="O245" t="s">
        <v>72</v>
      </c>
      <c r="P245" t="s">
        <v>81</v>
      </c>
      <c r="Q245" s="44">
        <v>144</v>
      </c>
      <c r="R245" s="42">
        <v>1</v>
      </c>
      <c r="S245" s="48">
        <v>51410</v>
      </c>
      <c r="U245" s="44">
        <v>74.03</v>
      </c>
      <c r="V245" s="45">
        <v>6.0000000000000002E-6</v>
      </c>
      <c r="W245" s="45">
        <v>6.0411023729576704E-3</v>
      </c>
      <c r="X245" s="45">
        <v>1.5921936159471999E-3</v>
      </c>
    </row>
    <row r="246" spans="1:24" x14ac:dyDescent="0.25">
      <c r="A246">
        <v>12904</v>
      </c>
      <c r="B246">
        <v>13680</v>
      </c>
      <c r="C246" t="s">
        <v>796</v>
      </c>
      <c r="D246" t="s">
        <v>797</v>
      </c>
      <c r="E246" t="s">
        <v>210</v>
      </c>
      <c r="F246" t="s">
        <v>798</v>
      </c>
      <c r="G246" t="s">
        <v>799</v>
      </c>
      <c r="H246" t="s">
        <v>213</v>
      </c>
      <c r="I246" t="s">
        <v>753</v>
      </c>
      <c r="J246" t="s">
        <v>71</v>
      </c>
      <c r="K246" t="s">
        <v>71</v>
      </c>
      <c r="L246" t="s">
        <v>216</v>
      </c>
      <c r="M246" t="s">
        <v>117</v>
      </c>
      <c r="N246" t="s">
        <v>365</v>
      </c>
      <c r="O246" t="s">
        <v>72</v>
      </c>
      <c r="P246" t="s">
        <v>81</v>
      </c>
      <c r="Q246" s="44">
        <v>482</v>
      </c>
      <c r="R246" s="42">
        <v>1</v>
      </c>
      <c r="S246" s="48">
        <v>18720</v>
      </c>
      <c r="U246" s="44">
        <v>90.23</v>
      </c>
      <c r="V246" s="45">
        <v>5.0000000000000004E-6</v>
      </c>
      <c r="W246" s="45">
        <v>7.3630708945638503E-3</v>
      </c>
      <c r="X246" s="45">
        <v>1.94061178710857E-3</v>
      </c>
    </row>
    <row r="247" spans="1:24" x14ac:dyDescent="0.25">
      <c r="A247">
        <v>12904</v>
      </c>
      <c r="B247">
        <v>13680</v>
      </c>
      <c r="C247" t="s">
        <v>800</v>
      </c>
      <c r="D247" t="s">
        <v>801</v>
      </c>
      <c r="E247" t="s">
        <v>210</v>
      </c>
      <c r="F247" t="s">
        <v>802</v>
      </c>
      <c r="G247" t="s">
        <v>803</v>
      </c>
      <c r="H247" t="s">
        <v>213</v>
      </c>
      <c r="I247" t="s">
        <v>753</v>
      </c>
      <c r="J247" t="s">
        <v>71</v>
      </c>
      <c r="K247" t="s">
        <v>71</v>
      </c>
      <c r="L247" t="s">
        <v>216</v>
      </c>
      <c r="M247" t="s">
        <v>117</v>
      </c>
      <c r="N247" t="s">
        <v>365</v>
      </c>
      <c r="O247" t="s">
        <v>72</v>
      </c>
      <c r="P247" t="s">
        <v>81</v>
      </c>
      <c r="Q247" s="44">
        <v>15021</v>
      </c>
      <c r="R247" s="42">
        <v>1</v>
      </c>
      <c r="S247" s="48">
        <v>2572</v>
      </c>
      <c r="T247" s="44">
        <v>3.839</v>
      </c>
      <c r="U247" s="44">
        <v>390.18</v>
      </c>
      <c r="V247" s="45">
        <v>1.2E-5</v>
      </c>
      <c r="W247" s="45">
        <v>3.1839823194642299E-2</v>
      </c>
      <c r="X247" s="45">
        <v>8.3917073563143599E-3</v>
      </c>
    </row>
    <row r="248" spans="1:24" x14ac:dyDescent="0.25">
      <c r="A248">
        <v>12904</v>
      </c>
      <c r="B248">
        <v>13680</v>
      </c>
      <c r="C248" t="s">
        <v>1066</v>
      </c>
      <c r="D248" t="s">
        <v>1067</v>
      </c>
      <c r="E248" t="s">
        <v>210</v>
      </c>
      <c r="F248" t="s">
        <v>1068</v>
      </c>
      <c r="G248" t="s">
        <v>1069</v>
      </c>
      <c r="H248" t="s">
        <v>213</v>
      </c>
      <c r="I248" t="s">
        <v>753</v>
      </c>
      <c r="J248" t="s">
        <v>71</v>
      </c>
      <c r="K248" t="s">
        <v>71</v>
      </c>
      <c r="L248" t="s">
        <v>216</v>
      </c>
      <c r="M248" t="s">
        <v>117</v>
      </c>
      <c r="N248" t="s">
        <v>423</v>
      </c>
      <c r="O248" t="s">
        <v>72</v>
      </c>
      <c r="P248" t="s">
        <v>81</v>
      </c>
      <c r="Q248" s="44">
        <v>81</v>
      </c>
      <c r="R248" s="42">
        <v>1</v>
      </c>
      <c r="S248" s="48">
        <v>57450</v>
      </c>
      <c r="U248" s="44">
        <v>46.534999999999997</v>
      </c>
      <c r="V248" s="45">
        <v>3.9999999999999998E-6</v>
      </c>
      <c r="W248" s="45">
        <v>3.7973545783137499E-3</v>
      </c>
      <c r="X248" s="45">
        <v>1.0008311966610299E-3</v>
      </c>
    </row>
    <row r="249" spans="1:24" x14ac:dyDescent="0.25">
      <c r="A249">
        <v>12904</v>
      </c>
      <c r="B249">
        <v>13680</v>
      </c>
      <c r="C249" t="s">
        <v>804</v>
      </c>
      <c r="D249" t="s">
        <v>805</v>
      </c>
      <c r="E249" t="s">
        <v>210</v>
      </c>
      <c r="F249" t="s">
        <v>806</v>
      </c>
      <c r="G249" t="s">
        <v>807</v>
      </c>
      <c r="H249" t="s">
        <v>213</v>
      </c>
      <c r="I249" t="s">
        <v>753</v>
      </c>
      <c r="J249" t="s">
        <v>71</v>
      </c>
      <c r="K249" t="s">
        <v>71</v>
      </c>
      <c r="L249" t="s">
        <v>216</v>
      </c>
      <c r="M249" t="s">
        <v>117</v>
      </c>
      <c r="N249" t="s">
        <v>808</v>
      </c>
      <c r="O249" t="s">
        <v>72</v>
      </c>
      <c r="P249" t="s">
        <v>81</v>
      </c>
      <c r="Q249" s="44">
        <v>1440</v>
      </c>
      <c r="R249" s="42">
        <v>1</v>
      </c>
      <c r="S249" s="48">
        <v>17650</v>
      </c>
      <c r="U249" s="44">
        <v>254.16</v>
      </c>
      <c r="V249" s="45">
        <v>5.3000000000000001E-5</v>
      </c>
      <c r="W249" s="45">
        <v>2.0740217250088101E-2</v>
      </c>
      <c r="X249" s="45">
        <v>5.4662939742205902E-3</v>
      </c>
    </row>
    <row r="250" spans="1:24" x14ac:dyDescent="0.25">
      <c r="A250">
        <v>12904</v>
      </c>
      <c r="B250">
        <v>13680</v>
      </c>
      <c r="C250" t="s">
        <v>809</v>
      </c>
      <c r="D250" t="s">
        <v>810</v>
      </c>
      <c r="E250" t="s">
        <v>210</v>
      </c>
      <c r="F250" t="s">
        <v>811</v>
      </c>
      <c r="G250" t="s">
        <v>812</v>
      </c>
      <c r="H250" t="s">
        <v>213</v>
      </c>
      <c r="I250" t="s">
        <v>753</v>
      </c>
      <c r="J250" t="s">
        <v>71</v>
      </c>
      <c r="K250" t="s">
        <v>71</v>
      </c>
      <c r="L250" t="s">
        <v>216</v>
      </c>
      <c r="M250" t="s">
        <v>117</v>
      </c>
      <c r="N250" t="s">
        <v>515</v>
      </c>
      <c r="O250" t="s">
        <v>72</v>
      </c>
      <c r="P250" t="s">
        <v>81</v>
      </c>
      <c r="Q250" s="44">
        <v>17667</v>
      </c>
      <c r="R250" s="42">
        <v>1</v>
      </c>
      <c r="S250" s="48">
        <v>638.4</v>
      </c>
      <c r="U250" s="44">
        <v>112.786</v>
      </c>
      <c r="V250" s="45">
        <v>1.92E-4</v>
      </c>
      <c r="W250" s="45">
        <v>9.2036858573978694E-3</v>
      </c>
      <c r="X250" s="45">
        <v>2.42572447223037E-3</v>
      </c>
    </row>
    <row r="251" spans="1:24" x14ac:dyDescent="0.25">
      <c r="A251">
        <v>12904</v>
      </c>
      <c r="B251">
        <v>13680</v>
      </c>
      <c r="C251" t="s">
        <v>813</v>
      </c>
      <c r="D251" t="s">
        <v>814</v>
      </c>
      <c r="E251" t="s">
        <v>210</v>
      </c>
      <c r="F251" t="s">
        <v>815</v>
      </c>
      <c r="G251" t="s">
        <v>816</v>
      </c>
      <c r="H251" t="s">
        <v>213</v>
      </c>
      <c r="I251" t="s">
        <v>753</v>
      </c>
      <c r="J251" t="s">
        <v>71</v>
      </c>
      <c r="K251" t="s">
        <v>71</v>
      </c>
      <c r="L251" t="s">
        <v>216</v>
      </c>
      <c r="M251" t="s">
        <v>117</v>
      </c>
      <c r="N251" t="s">
        <v>252</v>
      </c>
      <c r="O251" t="s">
        <v>72</v>
      </c>
      <c r="P251" t="s">
        <v>81</v>
      </c>
      <c r="Q251" s="44">
        <v>2630</v>
      </c>
      <c r="R251" s="42">
        <v>1</v>
      </c>
      <c r="S251" s="48">
        <v>6881</v>
      </c>
      <c r="U251" s="44">
        <v>180.97</v>
      </c>
      <c r="V251" s="45">
        <v>1.0000000000000001E-5</v>
      </c>
      <c r="W251" s="45">
        <v>1.47677185151622E-2</v>
      </c>
      <c r="X251" s="45">
        <v>3.8921815407731001E-3</v>
      </c>
    </row>
    <row r="252" spans="1:24" x14ac:dyDescent="0.25">
      <c r="A252">
        <v>12904</v>
      </c>
      <c r="B252">
        <v>13680</v>
      </c>
      <c r="C252" t="s">
        <v>817</v>
      </c>
      <c r="D252" t="s">
        <v>818</v>
      </c>
      <c r="E252" t="s">
        <v>210</v>
      </c>
      <c r="F252" t="s">
        <v>819</v>
      </c>
      <c r="G252" t="s">
        <v>820</v>
      </c>
      <c r="H252" t="s">
        <v>213</v>
      </c>
      <c r="I252" t="s">
        <v>753</v>
      </c>
      <c r="J252" t="s">
        <v>71</v>
      </c>
      <c r="K252" t="s">
        <v>71</v>
      </c>
      <c r="L252" t="s">
        <v>216</v>
      </c>
      <c r="M252" t="s">
        <v>117</v>
      </c>
      <c r="N252" t="s">
        <v>272</v>
      </c>
      <c r="O252" t="s">
        <v>72</v>
      </c>
      <c r="P252" t="s">
        <v>81</v>
      </c>
      <c r="Q252" s="44">
        <v>12</v>
      </c>
      <c r="R252" s="42">
        <v>1</v>
      </c>
      <c r="S252" s="48">
        <v>99210</v>
      </c>
      <c r="U252" s="44">
        <v>11.904999999999999</v>
      </c>
      <c r="V252" s="45">
        <v>1.9999999999999999E-6</v>
      </c>
      <c r="W252" s="45">
        <v>9.7149997798925297E-4</v>
      </c>
      <c r="X252" s="45">
        <v>2.5604864267347698E-4</v>
      </c>
    </row>
    <row r="253" spans="1:24" x14ac:dyDescent="0.25">
      <c r="A253">
        <v>12904</v>
      </c>
      <c r="B253">
        <v>13680</v>
      </c>
      <c r="C253" t="s">
        <v>821</v>
      </c>
      <c r="D253" t="s">
        <v>822</v>
      </c>
      <c r="E253" t="s">
        <v>210</v>
      </c>
      <c r="F253" t="s">
        <v>823</v>
      </c>
      <c r="G253" t="s">
        <v>824</v>
      </c>
      <c r="H253" t="s">
        <v>213</v>
      </c>
      <c r="I253" t="s">
        <v>753</v>
      </c>
      <c r="J253" t="s">
        <v>71</v>
      </c>
      <c r="K253" t="s">
        <v>71</v>
      </c>
      <c r="L253" t="s">
        <v>216</v>
      </c>
      <c r="M253" t="s">
        <v>117</v>
      </c>
      <c r="N253" t="s">
        <v>825</v>
      </c>
      <c r="O253" t="s">
        <v>72</v>
      </c>
      <c r="P253" t="s">
        <v>81</v>
      </c>
      <c r="Q253" s="44">
        <v>131</v>
      </c>
      <c r="R253" s="42">
        <v>1</v>
      </c>
      <c r="S253" s="48">
        <v>22740</v>
      </c>
      <c r="U253" s="44">
        <v>29.789000000000001</v>
      </c>
      <c r="V253" s="45">
        <v>6.0000000000000002E-6</v>
      </c>
      <c r="W253" s="45">
        <v>2.43090426404538E-3</v>
      </c>
      <c r="X253" s="45">
        <v>6.4068939925891895E-4</v>
      </c>
    </row>
    <row r="254" spans="1:24" x14ac:dyDescent="0.25">
      <c r="A254">
        <v>12904</v>
      </c>
      <c r="B254">
        <v>13680</v>
      </c>
      <c r="C254" t="s">
        <v>826</v>
      </c>
      <c r="D254" t="s">
        <v>827</v>
      </c>
      <c r="E254" t="s">
        <v>210</v>
      </c>
      <c r="F254" t="s">
        <v>828</v>
      </c>
      <c r="G254" t="s">
        <v>829</v>
      </c>
      <c r="H254" t="s">
        <v>213</v>
      </c>
      <c r="I254" t="s">
        <v>753</v>
      </c>
      <c r="J254" t="s">
        <v>71</v>
      </c>
      <c r="K254" t="s">
        <v>215</v>
      </c>
      <c r="L254" t="s">
        <v>216</v>
      </c>
      <c r="M254" t="s">
        <v>117</v>
      </c>
      <c r="N254" t="s">
        <v>830</v>
      </c>
      <c r="O254" t="s">
        <v>72</v>
      </c>
      <c r="P254" t="s">
        <v>81</v>
      </c>
      <c r="Q254" s="44">
        <v>832</v>
      </c>
      <c r="R254" s="42">
        <v>1</v>
      </c>
      <c r="S254" s="48">
        <v>13000</v>
      </c>
      <c r="U254" s="44">
        <v>108.16</v>
      </c>
      <c r="V254" s="45">
        <v>6.9999999999999999E-6</v>
      </c>
      <c r="W254" s="45">
        <v>8.8261799566002799E-3</v>
      </c>
      <c r="X254" s="45">
        <v>2.3262289748650399E-3</v>
      </c>
    </row>
    <row r="255" spans="1:24" x14ac:dyDescent="0.25">
      <c r="A255">
        <v>12904</v>
      </c>
      <c r="B255">
        <v>13680</v>
      </c>
      <c r="C255" t="s">
        <v>624</v>
      </c>
      <c r="D255" t="s">
        <v>625</v>
      </c>
      <c r="E255" t="s">
        <v>210</v>
      </c>
      <c r="F255" t="s">
        <v>831</v>
      </c>
      <c r="G255" t="s">
        <v>832</v>
      </c>
      <c r="H255" t="s">
        <v>213</v>
      </c>
      <c r="I255" t="s">
        <v>753</v>
      </c>
      <c r="J255" t="s">
        <v>71</v>
      </c>
      <c r="K255" t="s">
        <v>291</v>
      </c>
      <c r="L255" t="s">
        <v>216</v>
      </c>
      <c r="M255" t="s">
        <v>117</v>
      </c>
      <c r="N255" t="s">
        <v>628</v>
      </c>
      <c r="O255" t="s">
        <v>72</v>
      </c>
      <c r="P255" t="s">
        <v>81</v>
      </c>
      <c r="Q255" s="44">
        <v>5420</v>
      </c>
      <c r="R255" s="42">
        <v>1</v>
      </c>
      <c r="S255" s="48">
        <v>5587</v>
      </c>
      <c r="U255" s="44">
        <v>302.815</v>
      </c>
      <c r="V255" s="45">
        <v>3.9999999999999998E-6</v>
      </c>
      <c r="W255" s="45">
        <v>2.47106436208385E-2</v>
      </c>
      <c r="X255" s="45">
        <v>6.5127399918208902E-3</v>
      </c>
    </row>
    <row r="256" spans="1:24" x14ac:dyDescent="0.25">
      <c r="A256">
        <v>12904</v>
      </c>
      <c r="B256">
        <v>13680</v>
      </c>
      <c r="C256" t="s">
        <v>833</v>
      </c>
      <c r="D256" t="s">
        <v>834</v>
      </c>
      <c r="E256" t="s">
        <v>210</v>
      </c>
      <c r="F256" t="s">
        <v>835</v>
      </c>
      <c r="G256" t="s">
        <v>836</v>
      </c>
      <c r="H256" t="s">
        <v>213</v>
      </c>
      <c r="I256" t="s">
        <v>753</v>
      </c>
      <c r="J256" t="s">
        <v>71</v>
      </c>
      <c r="K256" t="s">
        <v>71</v>
      </c>
      <c r="L256" t="s">
        <v>216</v>
      </c>
      <c r="M256" t="s">
        <v>117</v>
      </c>
      <c r="N256" t="s">
        <v>837</v>
      </c>
      <c r="O256" t="s">
        <v>72</v>
      </c>
      <c r="P256" t="s">
        <v>81</v>
      </c>
      <c r="Q256" s="44">
        <v>7126</v>
      </c>
      <c r="R256" s="42">
        <v>1</v>
      </c>
      <c r="S256" s="48">
        <v>692.7</v>
      </c>
      <c r="U256" s="44">
        <v>49.362000000000002</v>
      </c>
      <c r="V256" s="45">
        <v>6.6000000000000005E-5</v>
      </c>
      <c r="W256" s="45">
        <v>4.0280708897380904E-3</v>
      </c>
      <c r="X256" s="45">
        <v>1.0616388134610901E-3</v>
      </c>
    </row>
    <row r="257" spans="1:24" x14ac:dyDescent="0.25">
      <c r="A257">
        <v>12904</v>
      </c>
      <c r="B257">
        <v>13680</v>
      </c>
      <c r="C257" t="s">
        <v>838</v>
      </c>
      <c r="D257" t="s">
        <v>839</v>
      </c>
      <c r="E257" t="s">
        <v>210</v>
      </c>
      <c r="F257" t="s">
        <v>840</v>
      </c>
      <c r="G257" t="s">
        <v>841</v>
      </c>
      <c r="H257" t="s">
        <v>213</v>
      </c>
      <c r="I257" t="s">
        <v>753</v>
      </c>
      <c r="J257" t="s">
        <v>71</v>
      </c>
      <c r="K257" t="s">
        <v>71</v>
      </c>
      <c r="L257" t="s">
        <v>216</v>
      </c>
      <c r="M257" t="s">
        <v>117</v>
      </c>
      <c r="N257" t="s">
        <v>429</v>
      </c>
      <c r="O257" t="s">
        <v>72</v>
      </c>
      <c r="P257" t="s">
        <v>81</v>
      </c>
      <c r="Q257" s="44">
        <v>31702</v>
      </c>
      <c r="R257" s="42">
        <v>1</v>
      </c>
      <c r="S257" s="48">
        <v>1651</v>
      </c>
      <c r="U257" s="44">
        <v>523.4</v>
      </c>
      <c r="V257" s="45">
        <v>1.5699999999999999E-4</v>
      </c>
      <c r="W257" s="45">
        <v>4.2711009299262102E-2</v>
      </c>
      <c r="X257" s="45">
        <v>1.12569183798904E-2</v>
      </c>
    </row>
    <row r="258" spans="1:24" x14ac:dyDescent="0.25">
      <c r="A258">
        <v>12904</v>
      </c>
      <c r="B258">
        <v>13680</v>
      </c>
      <c r="C258" t="s">
        <v>842</v>
      </c>
      <c r="D258" t="s">
        <v>843</v>
      </c>
      <c r="E258" t="s">
        <v>210</v>
      </c>
      <c r="F258" t="s">
        <v>844</v>
      </c>
      <c r="G258" t="s">
        <v>845</v>
      </c>
      <c r="H258" t="s">
        <v>213</v>
      </c>
      <c r="I258" t="s">
        <v>753</v>
      </c>
      <c r="J258" t="s">
        <v>71</v>
      </c>
      <c r="K258" t="s">
        <v>71</v>
      </c>
      <c r="L258" t="s">
        <v>216</v>
      </c>
      <c r="M258" t="s">
        <v>117</v>
      </c>
      <c r="N258" t="s">
        <v>252</v>
      </c>
      <c r="O258" t="s">
        <v>72</v>
      </c>
      <c r="P258" t="s">
        <v>81</v>
      </c>
      <c r="Q258" s="44">
        <v>1381</v>
      </c>
      <c r="R258" s="42">
        <v>1</v>
      </c>
      <c r="S258" s="48">
        <v>9094</v>
      </c>
      <c r="U258" s="44">
        <v>125.58799999999999</v>
      </c>
      <c r="V258" s="45">
        <v>1.7E-5</v>
      </c>
      <c r="W258" s="45">
        <v>1.02483683806833E-2</v>
      </c>
      <c r="X258" s="45">
        <v>2.7010611147134499E-3</v>
      </c>
    </row>
    <row r="259" spans="1:24" x14ac:dyDescent="0.25">
      <c r="A259">
        <v>12904</v>
      </c>
      <c r="B259">
        <v>13680</v>
      </c>
      <c r="C259" t="s">
        <v>82</v>
      </c>
      <c r="D259" t="s">
        <v>431</v>
      </c>
      <c r="E259" t="s">
        <v>210</v>
      </c>
      <c r="F259" t="s">
        <v>846</v>
      </c>
      <c r="G259" t="s">
        <v>847</v>
      </c>
      <c r="H259" t="s">
        <v>213</v>
      </c>
      <c r="I259" t="s">
        <v>753</v>
      </c>
      <c r="J259" t="s">
        <v>71</v>
      </c>
      <c r="K259" t="s">
        <v>71</v>
      </c>
      <c r="L259" t="s">
        <v>216</v>
      </c>
      <c r="M259" t="s">
        <v>117</v>
      </c>
      <c r="N259" t="s">
        <v>365</v>
      </c>
      <c r="O259" t="s">
        <v>72</v>
      </c>
      <c r="P259" t="s">
        <v>81</v>
      </c>
      <c r="Q259" s="44">
        <v>15028</v>
      </c>
      <c r="R259" s="42">
        <v>1</v>
      </c>
      <c r="S259" s="48">
        <v>4982</v>
      </c>
      <c r="U259" s="44">
        <v>748.69500000000005</v>
      </c>
      <c r="V259" s="45">
        <v>9.0000000000000002E-6</v>
      </c>
      <c r="W259" s="45">
        <v>6.1095751197851801E-2</v>
      </c>
      <c r="X259" s="45">
        <v>1.6102403007465099E-2</v>
      </c>
    </row>
    <row r="260" spans="1:24" x14ac:dyDescent="0.25">
      <c r="A260">
        <v>12904</v>
      </c>
      <c r="B260">
        <v>13680</v>
      </c>
      <c r="C260" t="s">
        <v>1074</v>
      </c>
      <c r="D260" t="s">
        <v>1075</v>
      </c>
      <c r="E260" t="s">
        <v>210</v>
      </c>
      <c r="F260" t="s">
        <v>1076</v>
      </c>
      <c r="G260" t="s">
        <v>1077</v>
      </c>
      <c r="H260" t="s">
        <v>213</v>
      </c>
      <c r="I260" t="s">
        <v>753</v>
      </c>
      <c r="J260" t="s">
        <v>71</v>
      </c>
      <c r="K260" t="s">
        <v>71</v>
      </c>
      <c r="L260" t="s">
        <v>216</v>
      </c>
      <c r="M260" t="s">
        <v>117</v>
      </c>
      <c r="N260" t="s">
        <v>837</v>
      </c>
      <c r="O260" t="s">
        <v>72</v>
      </c>
      <c r="P260" t="s">
        <v>81</v>
      </c>
      <c r="Q260" s="44">
        <v>220</v>
      </c>
      <c r="R260" s="42">
        <v>1</v>
      </c>
      <c r="S260" s="48">
        <v>23560</v>
      </c>
      <c r="U260" s="44">
        <v>51.832000000000001</v>
      </c>
      <c r="V260" s="45">
        <v>1.5E-5</v>
      </c>
      <c r="W260" s="45">
        <v>4.2296464451784897E-3</v>
      </c>
      <c r="X260" s="45">
        <v>1.11476608936025E-3</v>
      </c>
    </row>
    <row r="261" spans="1:24" x14ac:dyDescent="0.25">
      <c r="A261">
        <v>12904</v>
      </c>
      <c r="B261">
        <v>13680</v>
      </c>
      <c r="C261" t="s">
        <v>444</v>
      </c>
      <c r="D261" t="s">
        <v>445</v>
      </c>
      <c r="E261" t="s">
        <v>210</v>
      </c>
      <c r="F261" t="s">
        <v>848</v>
      </c>
      <c r="G261" t="s">
        <v>849</v>
      </c>
      <c r="H261" t="s">
        <v>213</v>
      </c>
      <c r="I261" t="s">
        <v>753</v>
      </c>
      <c r="J261" t="s">
        <v>71</v>
      </c>
      <c r="K261" t="s">
        <v>71</v>
      </c>
      <c r="L261" t="s">
        <v>216</v>
      </c>
      <c r="M261" t="s">
        <v>117</v>
      </c>
      <c r="N261" t="s">
        <v>258</v>
      </c>
      <c r="O261" t="s">
        <v>72</v>
      </c>
      <c r="P261" t="s">
        <v>81</v>
      </c>
      <c r="Q261" s="44">
        <v>15670</v>
      </c>
      <c r="R261" s="42">
        <v>1</v>
      </c>
      <c r="S261" s="48">
        <v>992.1</v>
      </c>
      <c r="T261" s="44">
        <v>1.488</v>
      </c>
      <c r="U261" s="44">
        <v>156.94999999999999</v>
      </c>
      <c r="V261" s="45">
        <v>2.0999999999999999E-5</v>
      </c>
      <c r="W261" s="45">
        <v>1.28075892744694E-2</v>
      </c>
      <c r="X261" s="45">
        <v>3.3755696592342702E-3</v>
      </c>
    </row>
    <row r="262" spans="1:24" x14ac:dyDescent="0.25">
      <c r="A262">
        <v>12904</v>
      </c>
      <c r="B262">
        <v>13680</v>
      </c>
      <c r="C262" t="s">
        <v>852</v>
      </c>
      <c r="D262" t="s">
        <v>853</v>
      </c>
      <c r="E262" t="s">
        <v>210</v>
      </c>
      <c r="F262" t="s">
        <v>854</v>
      </c>
      <c r="G262" t="s">
        <v>855</v>
      </c>
      <c r="H262" t="s">
        <v>213</v>
      </c>
      <c r="I262" t="s">
        <v>753</v>
      </c>
      <c r="J262" t="s">
        <v>71</v>
      </c>
      <c r="K262" t="s">
        <v>71</v>
      </c>
      <c r="L262" t="s">
        <v>216</v>
      </c>
      <c r="M262" t="s">
        <v>117</v>
      </c>
      <c r="N262" t="s">
        <v>856</v>
      </c>
      <c r="O262" t="s">
        <v>72</v>
      </c>
      <c r="P262" t="s">
        <v>81</v>
      </c>
      <c r="Q262" s="44">
        <v>42</v>
      </c>
      <c r="R262" s="42">
        <v>1</v>
      </c>
      <c r="S262" s="48">
        <v>22800</v>
      </c>
      <c r="U262" s="44">
        <v>9.5760000000000005</v>
      </c>
      <c r="V262" s="45">
        <v>1.2E-5</v>
      </c>
      <c r="W262" s="45">
        <v>7.8143028166054195E-4</v>
      </c>
      <c r="X262" s="45">
        <v>2.0595385228649801E-4</v>
      </c>
    </row>
    <row r="263" spans="1:24" x14ac:dyDescent="0.25">
      <c r="A263">
        <v>12904</v>
      </c>
      <c r="B263">
        <v>13680</v>
      </c>
      <c r="C263" t="s">
        <v>857</v>
      </c>
      <c r="D263" t="s">
        <v>858</v>
      </c>
      <c r="E263" t="s">
        <v>210</v>
      </c>
      <c r="F263" t="s">
        <v>859</v>
      </c>
      <c r="G263" t="s">
        <v>860</v>
      </c>
      <c r="H263" t="s">
        <v>213</v>
      </c>
      <c r="I263" t="s">
        <v>753</v>
      </c>
      <c r="J263" t="s">
        <v>71</v>
      </c>
      <c r="K263" t="s">
        <v>71</v>
      </c>
      <c r="L263" t="s">
        <v>216</v>
      </c>
      <c r="M263" t="s">
        <v>117</v>
      </c>
      <c r="N263" t="s">
        <v>365</v>
      </c>
      <c r="O263" t="s">
        <v>72</v>
      </c>
      <c r="P263" t="s">
        <v>81</v>
      </c>
      <c r="Q263" s="44">
        <v>1312</v>
      </c>
      <c r="R263" s="42">
        <v>1</v>
      </c>
      <c r="S263" s="48">
        <v>16650</v>
      </c>
      <c r="U263" s="44">
        <v>218.44800000000001</v>
      </c>
      <c r="V263" s="45">
        <v>5.0000000000000004E-6</v>
      </c>
      <c r="W263" s="45">
        <v>1.7826011086902901E-2</v>
      </c>
      <c r="X263" s="45">
        <v>4.6982254724604201E-3</v>
      </c>
    </row>
    <row r="264" spans="1:24" x14ac:dyDescent="0.25">
      <c r="A264">
        <v>12904</v>
      </c>
      <c r="B264">
        <v>13680</v>
      </c>
      <c r="C264" t="s">
        <v>861</v>
      </c>
      <c r="D264" t="s">
        <v>862</v>
      </c>
      <c r="E264" t="s">
        <v>210</v>
      </c>
      <c r="F264" t="s">
        <v>863</v>
      </c>
      <c r="G264" t="s">
        <v>864</v>
      </c>
      <c r="H264" t="s">
        <v>213</v>
      </c>
      <c r="I264" t="s">
        <v>753</v>
      </c>
      <c r="J264" t="s">
        <v>71</v>
      </c>
      <c r="K264" t="s">
        <v>71</v>
      </c>
      <c r="L264" t="s">
        <v>216</v>
      </c>
      <c r="M264" t="s">
        <v>117</v>
      </c>
      <c r="N264" t="s">
        <v>825</v>
      </c>
      <c r="O264" t="s">
        <v>72</v>
      </c>
      <c r="P264" t="s">
        <v>81</v>
      </c>
      <c r="Q264" s="44">
        <v>153</v>
      </c>
      <c r="R264" s="42">
        <v>1</v>
      </c>
      <c r="S264" s="48">
        <v>8638</v>
      </c>
      <c r="T264" s="44">
        <v>0.125</v>
      </c>
      <c r="U264" s="44">
        <v>13.342000000000001</v>
      </c>
      <c r="V264" s="45">
        <v>1.9999999999999999E-6</v>
      </c>
      <c r="W264" s="45">
        <v>1.08871452023833E-3</v>
      </c>
      <c r="X264" s="45">
        <v>2.8694172051645198E-4</v>
      </c>
    </row>
    <row r="265" spans="1:24" x14ac:dyDescent="0.25">
      <c r="A265">
        <v>12904</v>
      </c>
      <c r="B265">
        <v>13680</v>
      </c>
      <c r="C265" t="s">
        <v>483</v>
      </c>
      <c r="D265" t="s">
        <v>484</v>
      </c>
      <c r="E265" t="s">
        <v>210</v>
      </c>
      <c r="F265" t="s">
        <v>865</v>
      </c>
      <c r="G265" t="s">
        <v>866</v>
      </c>
      <c r="H265" t="s">
        <v>213</v>
      </c>
      <c r="I265" t="s">
        <v>753</v>
      </c>
      <c r="J265" t="s">
        <v>71</v>
      </c>
      <c r="K265" t="s">
        <v>71</v>
      </c>
      <c r="L265" t="s">
        <v>216</v>
      </c>
      <c r="M265" t="s">
        <v>117</v>
      </c>
      <c r="N265" t="s">
        <v>258</v>
      </c>
      <c r="O265" t="s">
        <v>72</v>
      </c>
      <c r="P265" t="s">
        <v>81</v>
      </c>
      <c r="Q265" s="44">
        <v>500</v>
      </c>
      <c r="R265" s="42">
        <v>1</v>
      </c>
      <c r="S265" s="48">
        <v>28940</v>
      </c>
      <c r="T265" s="44">
        <v>0.94599999999999995</v>
      </c>
      <c r="U265" s="44">
        <v>145.64599999999999</v>
      </c>
      <c r="V265" s="45">
        <v>1.1E-5</v>
      </c>
      <c r="W265" s="45">
        <v>1.18851253523023E-2</v>
      </c>
      <c r="X265" s="45">
        <v>3.1324449649084798E-3</v>
      </c>
    </row>
    <row r="266" spans="1:24" x14ac:dyDescent="0.25">
      <c r="A266">
        <v>12904</v>
      </c>
      <c r="B266">
        <v>13680</v>
      </c>
      <c r="C266" t="s">
        <v>867</v>
      </c>
      <c r="D266" t="s">
        <v>868</v>
      </c>
      <c r="E266" t="s">
        <v>210</v>
      </c>
      <c r="F266" t="s">
        <v>869</v>
      </c>
      <c r="G266" t="s">
        <v>870</v>
      </c>
      <c r="H266" t="s">
        <v>213</v>
      </c>
      <c r="I266" t="s">
        <v>753</v>
      </c>
      <c r="J266" t="s">
        <v>71</v>
      </c>
      <c r="K266" t="s">
        <v>71</v>
      </c>
      <c r="L266" t="s">
        <v>216</v>
      </c>
      <c r="M266" t="s">
        <v>117</v>
      </c>
      <c r="N266" t="s">
        <v>252</v>
      </c>
      <c r="O266" t="s">
        <v>72</v>
      </c>
      <c r="P266" t="s">
        <v>81</v>
      </c>
      <c r="Q266" s="44">
        <v>1086</v>
      </c>
      <c r="R266" s="42">
        <v>1</v>
      </c>
      <c r="S266" s="48">
        <v>18600</v>
      </c>
      <c r="T266" s="44">
        <v>2.613</v>
      </c>
      <c r="U266" s="44">
        <v>204.60900000000001</v>
      </c>
      <c r="V266" s="45">
        <v>1.7E-5</v>
      </c>
      <c r="W266" s="45">
        <v>1.6696688468182699E-2</v>
      </c>
      <c r="X266" s="45">
        <v>4.4005810769739001E-3</v>
      </c>
    </row>
    <row r="267" spans="1:24" x14ac:dyDescent="0.25">
      <c r="A267">
        <v>12904</v>
      </c>
      <c r="B267">
        <v>13680</v>
      </c>
      <c r="C267" t="s">
        <v>722</v>
      </c>
      <c r="D267" t="s">
        <v>723</v>
      </c>
      <c r="E267" t="s">
        <v>210</v>
      </c>
      <c r="F267" t="s">
        <v>1085</v>
      </c>
      <c r="G267" t="s">
        <v>1086</v>
      </c>
      <c r="H267" t="s">
        <v>213</v>
      </c>
      <c r="I267" t="s">
        <v>753</v>
      </c>
      <c r="J267" t="s">
        <v>71</v>
      </c>
      <c r="K267" t="s">
        <v>71</v>
      </c>
      <c r="L267" t="s">
        <v>216</v>
      </c>
      <c r="M267" t="s">
        <v>117</v>
      </c>
      <c r="N267" t="s">
        <v>258</v>
      </c>
      <c r="O267" t="s">
        <v>72</v>
      </c>
      <c r="P267" t="s">
        <v>81</v>
      </c>
      <c r="Q267" s="44">
        <v>1981</v>
      </c>
      <c r="R267" s="42">
        <v>1</v>
      </c>
      <c r="S267" s="48">
        <v>184</v>
      </c>
      <c r="U267" s="44">
        <v>3.645</v>
      </c>
      <c r="V267" s="45">
        <v>3.0000000000000001E-6</v>
      </c>
      <c r="W267" s="45">
        <v>2.9744618148119702E-4</v>
      </c>
      <c r="X267" s="45">
        <v>7.8394948803088595E-5</v>
      </c>
    </row>
    <row r="268" spans="1:24" x14ac:dyDescent="0.25">
      <c r="A268">
        <v>12904</v>
      </c>
      <c r="B268">
        <v>13680</v>
      </c>
      <c r="C268" t="s">
        <v>494</v>
      </c>
      <c r="D268" t="s">
        <v>495</v>
      </c>
      <c r="E268" t="s">
        <v>210</v>
      </c>
      <c r="F268" t="s">
        <v>871</v>
      </c>
      <c r="G268" t="s">
        <v>872</v>
      </c>
      <c r="H268" t="s">
        <v>213</v>
      </c>
      <c r="I268" t="s">
        <v>753</v>
      </c>
      <c r="J268" t="s">
        <v>71</v>
      </c>
      <c r="K268" t="s">
        <v>71</v>
      </c>
      <c r="L268" t="s">
        <v>216</v>
      </c>
      <c r="M268" t="s">
        <v>117</v>
      </c>
      <c r="N268" t="s">
        <v>498</v>
      </c>
      <c r="O268" t="s">
        <v>72</v>
      </c>
      <c r="P268" t="s">
        <v>81</v>
      </c>
      <c r="Q268" s="44">
        <v>3253</v>
      </c>
      <c r="R268" s="42">
        <v>1</v>
      </c>
      <c r="S268" s="48">
        <v>1700</v>
      </c>
      <c r="U268" s="44">
        <v>55.301000000000002</v>
      </c>
      <c r="V268" s="45">
        <v>5.3999999999999998E-5</v>
      </c>
      <c r="W268" s="45">
        <v>4.5127272353915702E-3</v>
      </c>
      <c r="X268" s="45">
        <v>1.1893748940367201E-3</v>
      </c>
    </row>
    <row r="269" spans="1:24" x14ac:dyDescent="0.25">
      <c r="A269">
        <v>12904</v>
      </c>
      <c r="B269">
        <v>13680</v>
      </c>
      <c r="C269" t="s">
        <v>873</v>
      </c>
      <c r="D269" t="s">
        <v>874</v>
      </c>
      <c r="E269" t="s">
        <v>210</v>
      </c>
      <c r="F269" t="s">
        <v>875</v>
      </c>
      <c r="G269" t="s">
        <v>876</v>
      </c>
      <c r="H269" t="s">
        <v>213</v>
      </c>
      <c r="I269" t="s">
        <v>753</v>
      </c>
      <c r="J269" t="s">
        <v>71</v>
      </c>
      <c r="K269" t="s">
        <v>71</v>
      </c>
      <c r="L269" t="s">
        <v>216</v>
      </c>
      <c r="M269" t="s">
        <v>117</v>
      </c>
      <c r="N269" t="s">
        <v>837</v>
      </c>
      <c r="O269" t="s">
        <v>72</v>
      </c>
      <c r="P269" t="s">
        <v>81</v>
      </c>
      <c r="Q269" s="44">
        <v>861</v>
      </c>
      <c r="R269" s="42">
        <v>1</v>
      </c>
      <c r="S269" s="48">
        <v>1340</v>
      </c>
      <c r="U269" s="44">
        <v>11.537000000000001</v>
      </c>
      <c r="V269" s="45">
        <v>6.0000000000000002E-6</v>
      </c>
      <c r="W269" s="45">
        <v>9.4148639636908301E-4</v>
      </c>
      <c r="X269" s="45">
        <v>2.4813825975044301E-4</v>
      </c>
    </row>
    <row r="270" spans="1:24" x14ac:dyDescent="0.25">
      <c r="A270">
        <v>12904</v>
      </c>
      <c r="B270">
        <v>13680</v>
      </c>
      <c r="C270" t="s">
        <v>877</v>
      </c>
      <c r="D270" t="s">
        <v>878</v>
      </c>
      <c r="E270" t="s">
        <v>420</v>
      </c>
      <c r="F270" t="s">
        <v>879</v>
      </c>
      <c r="G270" t="s">
        <v>880</v>
      </c>
      <c r="H270" t="s">
        <v>213</v>
      </c>
      <c r="I270" t="s">
        <v>753</v>
      </c>
      <c r="J270" t="s">
        <v>71</v>
      </c>
      <c r="K270" t="s">
        <v>71</v>
      </c>
      <c r="L270" t="s">
        <v>216</v>
      </c>
      <c r="M270" t="s">
        <v>117</v>
      </c>
      <c r="N270" t="s">
        <v>423</v>
      </c>
      <c r="O270" t="s">
        <v>72</v>
      </c>
      <c r="P270" t="s">
        <v>81</v>
      </c>
      <c r="Q270" s="44">
        <v>11612</v>
      </c>
      <c r="R270" s="42">
        <v>1</v>
      </c>
      <c r="S270" s="48">
        <v>1249</v>
      </c>
      <c r="T270" s="44">
        <v>2.1989999999999998</v>
      </c>
      <c r="U270" s="44">
        <v>147.233</v>
      </c>
      <c r="V270" s="45">
        <v>1.0000000000000001E-5</v>
      </c>
      <c r="W270" s="45">
        <v>1.20146709231501E-2</v>
      </c>
      <c r="X270" s="45">
        <v>3.1665880100257898E-3</v>
      </c>
    </row>
    <row r="271" spans="1:24" x14ac:dyDescent="0.25">
      <c r="A271">
        <v>12904</v>
      </c>
      <c r="B271">
        <v>13680</v>
      </c>
      <c r="C271" t="s">
        <v>881</v>
      </c>
      <c r="D271" t="s">
        <v>882</v>
      </c>
      <c r="E271" t="s">
        <v>210</v>
      </c>
      <c r="F271" t="s">
        <v>883</v>
      </c>
      <c r="G271" t="s">
        <v>884</v>
      </c>
      <c r="H271" t="s">
        <v>213</v>
      </c>
      <c r="I271" t="s">
        <v>753</v>
      </c>
      <c r="J271" t="s">
        <v>71</v>
      </c>
      <c r="K271" t="s">
        <v>291</v>
      </c>
      <c r="L271" t="s">
        <v>216</v>
      </c>
      <c r="M271" t="s">
        <v>117</v>
      </c>
      <c r="N271" t="s">
        <v>526</v>
      </c>
      <c r="O271" t="s">
        <v>72</v>
      </c>
      <c r="P271" t="s">
        <v>81</v>
      </c>
      <c r="Q271" s="44">
        <v>588</v>
      </c>
      <c r="R271" s="42">
        <v>1</v>
      </c>
      <c r="S271" s="48">
        <v>56600</v>
      </c>
      <c r="U271" s="44">
        <v>332.80799999999999</v>
      </c>
      <c r="V271" s="45">
        <v>7.9999999999999996E-6</v>
      </c>
      <c r="W271" s="45">
        <v>2.7158129613500601E-2</v>
      </c>
      <c r="X271" s="45">
        <v>7.1577996733254799E-3</v>
      </c>
    </row>
    <row r="272" spans="1:24" x14ac:dyDescent="0.25">
      <c r="A272">
        <v>12904</v>
      </c>
      <c r="B272">
        <v>13680</v>
      </c>
      <c r="C272" t="s">
        <v>885</v>
      </c>
      <c r="D272" t="s">
        <v>886</v>
      </c>
      <c r="E272" t="s">
        <v>210</v>
      </c>
      <c r="F272" t="s">
        <v>885</v>
      </c>
      <c r="G272" t="s">
        <v>887</v>
      </c>
      <c r="H272" t="s">
        <v>213</v>
      </c>
      <c r="I272" t="s">
        <v>753</v>
      </c>
      <c r="J272" t="s">
        <v>71</v>
      </c>
      <c r="K272" t="s">
        <v>71</v>
      </c>
      <c r="L272" t="s">
        <v>216</v>
      </c>
      <c r="M272" t="s">
        <v>117</v>
      </c>
      <c r="N272" t="s">
        <v>888</v>
      </c>
      <c r="O272" t="s">
        <v>72</v>
      </c>
      <c r="P272" t="s">
        <v>81</v>
      </c>
      <c r="Q272" s="44">
        <v>1649</v>
      </c>
      <c r="R272" s="42">
        <v>1</v>
      </c>
      <c r="S272" s="48">
        <v>8478</v>
      </c>
      <c r="U272" s="44">
        <v>139.80199999999999</v>
      </c>
      <c r="V272" s="45">
        <v>2.0999999999999999E-5</v>
      </c>
      <c r="W272" s="45">
        <v>1.14082798821396E-2</v>
      </c>
      <c r="X272" s="45">
        <v>3.0067675195493402E-3</v>
      </c>
    </row>
    <row r="273" spans="1:24" x14ac:dyDescent="0.25">
      <c r="A273">
        <v>12904</v>
      </c>
      <c r="B273">
        <v>13680</v>
      </c>
      <c r="C273" t="s">
        <v>551</v>
      </c>
      <c r="D273" t="s">
        <v>552</v>
      </c>
      <c r="E273" t="s">
        <v>210</v>
      </c>
      <c r="F273" t="s">
        <v>889</v>
      </c>
      <c r="G273" t="s">
        <v>890</v>
      </c>
      <c r="H273" t="s">
        <v>213</v>
      </c>
      <c r="I273" t="s">
        <v>753</v>
      </c>
      <c r="J273" t="s">
        <v>71</v>
      </c>
      <c r="K273" t="s">
        <v>71</v>
      </c>
      <c r="L273" t="s">
        <v>216</v>
      </c>
      <c r="M273" t="s">
        <v>117</v>
      </c>
      <c r="N273" t="s">
        <v>329</v>
      </c>
      <c r="O273" t="s">
        <v>72</v>
      </c>
      <c r="P273" t="s">
        <v>81</v>
      </c>
      <c r="Q273" s="44">
        <v>5876</v>
      </c>
      <c r="R273" s="42">
        <v>1</v>
      </c>
      <c r="S273" s="48">
        <v>2256</v>
      </c>
      <c r="U273" s="44">
        <v>132.56299999999999</v>
      </c>
      <c r="V273" s="45">
        <v>3.4999999999999997E-5</v>
      </c>
      <c r="W273" s="45">
        <v>1.08175019421932E-2</v>
      </c>
      <c r="X273" s="45">
        <v>2.8510620197326701E-3</v>
      </c>
    </row>
    <row r="274" spans="1:24" x14ac:dyDescent="0.25">
      <c r="A274">
        <v>12904</v>
      </c>
      <c r="B274">
        <v>13680</v>
      </c>
      <c r="C274" t="s">
        <v>556</v>
      </c>
      <c r="D274" t="s">
        <v>557</v>
      </c>
      <c r="E274" t="s">
        <v>210</v>
      </c>
      <c r="F274" t="s">
        <v>891</v>
      </c>
      <c r="G274" t="s">
        <v>892</v>
      </c>
      <c r="H274" t="s">
        <v>213</v>
      </c>
      <c r="I274" t="s">
        <v>753</v>
      </c>
      <c r="J274" t="s">
        <v>71</v>
      </c>
      <c r="K274" t="s">
        <v>71</v>
      </c>
      <c r="L274" t="s">
        <v>216</v>
      </c>
      <c r="M274" t="s">
        <v>117</v>
      </c>
      <c r="N274" t="s">
        <v>258</v>
      </c>
      <c r="O274" t="s">
        <v>72</v>
      </c>
      <c r="P274" t="s">
        <v>81</v>
      </c>
      <c r="Q274" s="44">
        <v>435</v>
      </c>
      <c r="R274" s="42">
        <v>1</v>
      </c>
      <c r="S274" s="48">
        <v>24920</v>
      </c>
      <c r="U274" s="44">
        <v>108.402</v>
      </c>
      <c r="V274" s="45">
        <v>3.9999999999999998E-6</v>
      </c>
      <c r="W274" s="45">
        <v>8.8459278814292108E-3</v>
      </c>
      <c r="X274" s="45">
        <v>2.33143374013795E-3</v>
      </c>
    </row>
    <row r="275" spans="1:24" x14ac:dyDescent="0.25">
      <c r="A275">
        <v>12904</v>
      </c>
      <c r="B275">
        <v>13680</v>
      </c>
      <c r="C275" t="s">
        <v>88</v>
      </c>
      <c r="D275" t="s">
        <v>571</v>
      </c>
      <c r="E275" t="s">
        <v>210</v>
      </c>
      <c r="F275" t="s">
        <v>893</v>
      </c>
      <c r="G275" t="s">
        <v>894</v>
      </c>
      <c r="H275" t="s">
        <v>213</v>
      </c>
      <c r="I275" t="s">
        <v>753</v>
      </c>
      <c r="J275" t="s">
        <v>71</v>
      </c>
      <c r="K275" t="s">
        <v>71</v>
      </c>
      <c r="L275" t="s">
        <v>216</v>
      </c>
      <c r="M275" t="s">
        <v>117</v>
      </c>
      <c r="N275" t="s">
        <v>365</v>
      </c>
      <c r="O275" t="s">
        <v>72</v>
      </c>
      <c r="P275" t="s">
        <v>81</v>
      </c>
      <c r="Q275" s="44">
        <v>11744</v>
      </c>
      <c r="R275" s="42">
        <v>1</v>
      </c>
      <c r="S275" s="48">
        <v>5008</v>
      </c>
      <c r="U275" s="44">
        <v>588.14</v>
      </c>
      <c r="V275" s="45">
        <v>9.0000000000000002E-6</v>
      </c>
      <c r="W275" s="45">
        <v>4.7993946404479598E-2</v>
      </c>
      <c r="X275" s="45">
        <v>1.26492898732176E-2</v>
      </c>
    </row>
    <row r="276" spans="1:24" x14ac:dyDescent="0.25">
      <c r="A276">
        <v>12904</v>
      </c>
      <c r="B276">
        <v>13680</v>
      </c>
      <c r="C276" t="s">
        <v>670</v>
      </c>
      <c r="D276" t="s">
        <v>671</v>
      </c>
      <c r="E276" t="s">
        <v>210</v>
      </c>
      <c r="F276" t="s">
        <v>900</v>
      </c>
      <c r="G276" t="s">
        <v>901</v>
      </c>
      <c r="H276" t="s">
        <v>213</v>
      </c>
      <c r="I276" t="s">
        <v>753</v>
      </c>
      <c r="J276" t="s">
        <v>71</v>
      </c>
      <c r="K276" t="s">
        <v>71</v>
      </c>
      <c r="L276" t="s">
        <v>216</v>
      </c>
      <c r="M276" t="s">
        <v>117</v>
      </c>
      <c r="N276" t="s">
        <v>329</v>
      </c>
      <c r="O276" t="s">
        <v>72</v>
      </c>
      <c r="P276" t="s">
        <v>81</v>
      </c>
      <c r="Q276" s="44">
        <v>5510</v>
      </c>
      <c r="R276" s="42">
        <v>1</v>
      </c>
      <c r="S276" s="48">
        <v>2530</v>
      </c>
      <c r="U276" s="44">
        <v>139.40299999999999</v>
      </c>
      <c r="V276" s="45">
        <v>2.9E-5</v>
      </c>
      <c r="W276" s="45">
        <v>1.13757023344115E-2</v>
      </c>
      <c r="X276" s="45">
        <v>2.9981813774326098E-3</v>
      </c>
    </row>
    <row r="277" spans="1:24" x14ac:dyDescent="0.25">
      <c r="A277">
        <v>12904</v>
      </c>
      <c r="B277">
        <v>13680</v>
      </c>
      <c r="C277" t="s">
        <v>902</v>
      </c>
      <c r="D277" t="s">
        <v>903</v>
      </c>
      <c r="E277" t="s">
        <v>210</v>
      </c>
      <c r="F277" t="s">
        <v>904</v>
      </c>
      <c r="G277" t="s">
        <v>905</v>
      </c>
      <c r="H277" t="s">
        <v>213</v>
      </c>
      <c r="I277" t="s">
        <v>753</v>
      </c>
      <c r="J277" t="s">
        <v>71</v>
      </c>
      <c r="K277" t="s">
        <v>71</v>
      </c>
      <c r="L277" t="s">
        <v>216</v>
      </c>
      <c r="M277" t="s">
        <v>117</v>
      </c>
      <c r="N277" t="s">
        <v>906</v>
      </c>
      <c r="O277" t="s">
        <v>72</v>
      </c>
      <c r="P277" t="s">
        <v>81</v>
      </c>
      <c r="Q277" s="44">
        <v>135</v>
      </c>
      <c r="R277" s="42">
        <v>1</v>
      </c>
      <c r="S277" s="48">
        <v>48410</v>
      </c>
      <c r="U277" s="44">
        <v>65.352999999999994</v>
      </c>
      <c r="V277" s="45">
        <v>7.9999999999999996E-6</v>
      </c>
      <c r="W277" s="45">
        <v>5.3330413442462697E-3</v>
      </c>
      <c r="X277" s="45">
        <v>1.4055769721601601E-3</v>
      </c>
    </row>
    <row r="278" spans="1:24" x14ac:dyDescent="0.25">
      <c r="A278">
        <v>12904</v>
      </c>
      <c r="B278">
        <v>13680</v>
      </c>
      <c r="C278" t="s">
        <v>907</v>
      </c>
      <c r="D278" t="s">
        <v>908</v>
      </c>
      <c r="E278" t="s">
        <v>210</v>
      </c>
      <c r="F278" t="s">
        <v>909</v>
      </c>
      <c r="G278" t="s">
        <v>910</v>
      </c>
      <c r="H278" t="s">
        <v>213</v>
      </c>
      <c r="I278" t="s">
        <v>753</v>
      </c>
      <c r="J278" t="s">
        <v>71</v>
      </c>
      <c r="K278" t="s">
        <v>71</v>
      </c>
      <c r="L278" t="s">
        <v>216</v>
      </c>
      <c r="M278" t="s">
        <v>117</v>
      </c>
      <c r="N278" t="s">
        <v>764</v>
      </c>
      <c r="O278" t="s">
        <v>72</v>
      </c>
      <c r="P278" t="s">
        <v>81</v>
      </c>
      <c r="Q278" s="44">
        <v>9299</v>
      </c>
      <c r="R278" s="42">
        <v>1</v>
      </c>
      <c r="S278" s="48">
        <v>682.4</v>
      </c>
      <c r="T278" s="44">
        <v>1.6140000000000001</v>
      </c>
      <c r="U278" s="44">
        <v>65.069999999999993</v>
      </c>
      <c r="V278" s="45">
        <v>3.1999999999999999E-5</v>
      </c>
      <c r="W278" s="45">
        <v>5.309943290054E-3</v>
      </c>
      <c r="X278" s="45">
        <v>1.39948924641819E-3</v>
      </c>
    </row>
    <row r="279" spans="1:24" x14ac:dyDescent="0.25">
      <c r="A279">
        <v>12904</v>
      </c>
      <c r="B279">
        <v>13680</v>
      </c>
      <c r="C279" t="s">
        <v>911</v>
      </c>
      <c r="D279" t="s">
        <v>912</v>
      </c>
      <c r="E279" t="s">
        <v>210</v>
      </c>
      <c r="F279" t="s">
        <v>913</v>
      </c>
      <c r="G279" t="s">
        <v>914</v>
      </c>
      <c r="H279" t="s">
        <v>213</v>
      </c>
      <c r="I279" t="s">
        <v>753</v>
      </c>
      <c r="J279" t="s">
        <v>71</v>
      </c>
      <c r="K279" t="s">
        <v>215</v>
      </c>
      <c r="L279" t="s">
        <v>216</v>
      </c>
      <c r="M279" t="s">
        <v>117</v>
      </c>
      <c r="N279" t="s">
        <v>830</v>
      </c>
      <c r="O279" t="s">
        <v>72</v>
      </c>
      <c r="P279" t="s">
        <v>81</v>
      </c>
      <c r="Q279" s="44">
        <v>503</v>
      </c>
      <c r="R279" s="42">
        <v>1</v>
      </c>
      <c r="S279" s="48">
        <v>21310</v>
      </c>
      <c r="U279" s="44">
        <v>107.18899999999999</v>
      </c>
      <c r="V279" s="45">
        <v>1.1E-5</v>
      </c>
      <c r="W279" s="45">
        <v>8.7469679291976195E-3</v>
      </c>
      <c r="X279" s="45">
        <v>2.3053518440782298E-3</v>
      </c>
    </row>
    <row r="280" spans="1:24" x14ac:dyDescent="0.25">
      <c r="A280">
        <v>12904</v>
      </c>
      <c r="B280">
        <v>13680</v>
      </c>
      <c r="C280" t="s">
        <v>919</v>
      </c>
      <c r="D280" t="s">
        <v>920</v>
      </c>
      <c r="E280" t="s">
        <v>210</v>
      </c>
      <c r="F280" t="s">
        <v>921</v>
      </c>
      <c r="G280" t="s">
        <v>922</v>
      </c>
      <c r="H280" t="s">
        <v>213</v>
      </c>
      <c r="I280" t="s">
        <v>753</v>
      </c>
      <c r="J280" t="s">
        <v>71</v>
      </c>
      <c r="K280" t="s">
        <v>71</v>
      </c>
      <c r="L280" t="s">
        <v>216</v>
      </c>
      <c r="M280" t="s">
        <v>117</v>
      </c>
      <c r="N280" t="s">
        <v>856</v>
      </c>
      <c r="O280" t="s">
        <v>72</v>
      </c>
      <c r="P280" t="s">
        <v>81</v>
      </c>
      <c r="Q280" s="44">
        <v>1934</v>
      </c>
      <c r="R280" s="42">
        <v>1</v>
      </c>
      <c r="S280" s="48">
        <v>7800</v>
      </c>
      <c r="U280" s="44">
        <v>150.852</v>
      </c>
      <c r="V280" s="45">
        <v>1.5999999999999999E-5</v>
      </c>
      <c r="W280" s="45">
        <v>1.2309975026008399E-2</v>
      </c>
      <c r="X280" s="45">
        <v>3.2444183923478298E-3</v>
      </c>
    </row>
    <row r="281" spans="1:24" x14ac:dyDescent="0.25">
      <c r="A281">
        <v>12904</v>
      </c>
      <c r="B281">
        <v>13680</v>
      </c>
      <c r="C281" t="s">
        <v>923</v>
      </c>
      <c r="D281" t="s">
        <v>924</v>
      </c>
      <c r="E281" t="s">
        <v>210</v>
      </c>
      <c r="F281" t="s">
        <v>925</v>
      </c>
      <c r="G281" t="s">
        <v>926</v>
      </c>
      <c r="H281" t="s">
        <v>213</v>
      </c>
      <c r="I281" t="s">
        <v>753</v>
      </c>
      <c r="J281" t="s">
        <v>71</v>
      </c>
      <c r="K281" t="s">
        <v>71</v>
      </c>
      <c r="L281" t="s">
        <v>216</v>
      </c>
      <c r="M281" t="s">
        <v>117</v>
      </c>
      <c r="N281" t="s">
        <v>764</v>
      </c>
      <c r="O281" t="s">
        <v>72</v>
      </c>
      <c r="P281" t="s">
        <v>81</v>
      </c>
      <c r="Q281" s="44">
        <v>4848</v>
      </c>
      <c r="R281" s="42">
        <v>1</v>
      </c>
      <c r="S281" s="48">
        <v>2245</v>
      </c>
      <c r="T281" s="44">
        <v>1.085</v>
      </c>
      <c r="U281" s="44">
        <v>109.923</v>
      </c>
      <c r="V281" s="45">
        <v>1.4E-5</v>
      </c>
      <c r="W281" s="45">
        <v>8.9700182920505502E-3</v>
      </c>
      <c r="X281" s="45">
        <v>2.3641390226168501E-3</v>
      </c>
    </row>
    <row r="282" spans="1:24" x14ac:dyDescent="0.25">
      <c r="A282">
        <v>12904</v>
      </c>
      <c r="B282">
        <v>13680</v>
      </c>
      <c r="C282" t="s">
        <v>927</v>
      </c>
      <c r="D282" t="s">
        <v>928</v>
      </c>
      <c r="E282" t="s">
        <v>210</v>
      </c>
      <c r="F282" t="s">
        <v>929</v>
      </c>
      <c r="G282" t="s">
        <v>930</v>
      </c>
      <c r="H282" t="s">
        <v>213</v>
      </c>
      <c r="I282" t="s">
        <v>753</v>
      </c>
      <c r="J282" t="s">
        <v>71</v>
      </c>
      <c r="K282" t="s">
        <v>215</v>
      </c>
      <c r="L282" t="s">
        <v>216</v>
      </c>
      <c r="M282" t="s">
        <v>117</v>
      </c>
      <c r="N282" t="s">
        <v>931</v>
      </c>
      <c r="O282" t="s">
        <v>72</v>
      </c>
      <c r="P282" t="s">
        <v>81</v>
      </c>
      <c r="Q282" s="44">
        <v>600</v>
      </c>
      <c r="R282" s="42">
        <v>1</v>
      </c>
      <c r="S282" s="48">
        <v>10080</v>
      </c>
      <c r="U282" s="44">
        <v>60.48</v>
      </c>
      <c r="V282" s="45">
        <v>5.3999999999999998E-5</v>
      </c>
      <c r="W282" s="45">
        <v>4.9353491473297399E-3</v>
      </c>
      <c r="X282" s="45">
        <v>1.3007611723357801E-3</v>
      </c>
    </row>
    <row r="283" spans="1:24" x14ac:dyDescent="0.25">
      <c r="A283">
        <v>12904</v>
      </c>
      <c r="B283">
        <v>13680</v>
      </c>
      <c r="C283" t="s">
        <v>932</v>
      </c>
      <c r="D283" t="s">
        <v>933</v>
      </c>
      <c r="E283" t="s">
        <v>613</v>
      </c>
      <c r="F283" t="s">
        <v>934</v>
      </c>
      <c r="G283" t="s">
        <v>935</v>
      </c>
      <c r="H283" t="s">
        <v>213</v>
      </c>
      <c r="I283" t="s">
        <v>753</v>
      </c>
      <c r="J283" t="s">
        <v>85</v>
      </c>
      <c r="K283" t="s">
        <v>291</v>
      </c>
      <c r="L283" t="s">
        <v>216</v>
      </c>
      <c r="M283" t="s">
        <v>936</v>
      </c>
      <c r="N283" t="s">
        <v>937</v>
      </c>
      <c r="O283" t="s">
        <v>72</v>
      </c>
      <c r="P283" t="s">
        <v>75</v>
      </c>
      <c r="Q283" s="44">
        <v>353</v>
      </c>
      <c r="R283" s="42">
        <v>3.718</v>
      </c>
      <c r="S283" s="48">
        <v>10274</v>
      </c>
      <c r="U283" s="44">
        <v>134.84200000000001</v>
      </c>
      <c r="V283" s="45">
        <v>0</v>
      </c>
      <c r="W283" s="45">
        <v>1.10034722271929E-2</v>
      </c>
      <c r="X283" s="45">
        <v>2.9000763688120401E-3</v>
      </c>
    </row>
    <row r="284" spans="1:24" x14ac:dyDescent="0.25">
      <c r="A284">
        <v>12904</v>
      </c>
      <c r="B284">
        <v>13680</v>
      </c>
      <c r="C284" t="s">
        <v>938</v>
      </c>
      <c r="D284" t="s">
        <v>939</v>
      </c>
      <c r="E284" t="s">
        <v>613</v>
      </c>
      <c r="F284" t="s">
        <v>940</v>
      </c>
      <c r="G284" t="s">
        <v>941</v>
      </c>
      <c r="H284" t="s">
        <v>213</v>
      </c>
      <c r="I284" t="s">
        <v>753</v>
      </c>
      <c r="J284" t="s">
        <v>85</v>
      </c>
      <c r="L284" t="s">
        <v>216</v>
      </c>
      <c r="M284" t="s">
        <v>286</v>
      </c>
      <c r="N284" t="s">
        <v>942</v>
      </c>
      <c r="O284" t="s">
        <v>72</v>
      </c>
      <c r="P284" t="s">
        <v>75</v>
      </c>
      <c r="Q284" s="44">
        <v>297</v>
      </c>
      <c r="R284" s="42">
        <v>3.718</v>
      </c>
      <c r="S284" s="48">
        <v>11946</v>
      </c>
      <c r="U284" s="44">
        <v>131.91300000000001</v>
      </c>
      <c r="V284" s="45">
        <v>9.9999999999999995E-7</v>
      </c>
      <c r="W284" s="45">
        <v>1.07645144375929E-2</v>
      </c>
      <c r="X284" s="45">
        <v>2.8370966271037898E-3</v>
      </c>
    </row>
    <row r="285" spans="1:24" x14ac:dyDescent="0.25">
      <c r="A285">
        <v>12904</v>
      </c>
      <c r="B285">
        <v>13680</v>
      </c>
      <c r="C285" t="s">
        <v>943</v>
      </c>
      <c r="D285" t="s">
        <v>944</v>
      </c>
      <c r="E285" t="s">
        <v>613</v>
      </c>
      <c r="F285" t="s">
        <v>945</v>
      </c>
      <c r="G285" t="s">
        <v>946</v>
      </c>
      <c r="H285" t="s">
        <v>213</v>
      </c>
      <c r="I285" t="s">
        <v>753</v>
      </c>
      <c r="J285" t="s">
        <v>85</v>
      </c>
      <c r="K285" t="s">
        <v>291</v>
      </c>
      <c r="L285" t="s">
        <v>216</v>
      </c>
      <c r="M285" t="s">
        <v>936</v>
      </c>
      <c r="N285" t="s">
        <v>947</v>
      </c>
      <c r="O285" t="s">
        <v>72</v>
      </c>
      <c r="P285" t="s">
        <v>75</v>
      </c>
      <c r="Q285" s="44">
        <v>219</v>
      </c>
      <c r="R285" s="42">
        <v>3.718</v>
      </c>
      <c r="S285" s="48">
        <v>19026</v>
      </c>
      <c r="U285" s="44">
        <v>154.91800000000001</v>
      </c>
      <c r="V285" s="45">
        <v>0</v>
      </c>
      <c r="W285" s="45">
        <v>1.26417469296548E-2</v>
      </c>
      <c r="X285" s="45">
        <v>3.3318602323174802E-3</v>
      </c>
    </row>
    <row r="286" spans="1:24" x14ac:dyDescent="0.25">
      <c r="A286">
        <v>12904</v>
      </c>
      <c r="B286">
        <v>13680</v>
      </c>
      <c r="C286" t="s">
        <v>948</v>
      </c>
      <c r="D286" t="s">
        <v>949</v>
      </c>
      <c r="E286" t="s">
        <v>613</v>
      </c>
      <c r="F286" t="s">
        <v>950</v>
      </c>
      <c r="G286" t="s">
        <v>951</v>
      </c>
      <c r="H286" t="s">
        <v>213</v>
      </c>
      <c r="I286" t="s">
        <v>753</v>
      </c>
      <c r="J286" t="s">
        <v>85</v>
      </c>
      <c r="K286" t="s">
        <v>291</v>
      </c>
      <c r="L286" t="s">
        <v>216</v>
      </c>
      <c r="M286" t="s">
        <v>286</v>
      </c>
      <c r="N286" t="s">
        <v>952</v>
      </c>
      <c r="O286" t="s">
        <v>72</v>
      </c>
      <c r="P286" t="s">
        <v>75</v>
      </c>
      <c r="Q286" s="44">
        <v>212</v>
      </c>
      <c r="R286" s="42">
        <v>3.718</v>
      </c>
      <c r="S286" s="48">
        <v>14512</v>
      </c>
      <c r="U286" s="44">
        <v>114.386</v>
      </c>
      <c r="V286" s="45">
        <v>0</v>
      </c>
      <c r="W286" s="45">
        <v>9.3342325272620999E-3</v>
      </c>
      <c r="X286" s="45">
        <v>2.4601313671162202E-3</v>
      </c>
    </row>
    <row r="287" spans="1:24" x14ac:dyDescent="0.25">
      <c r="A287">
        <v>12904</v>
      </c>
      <c r="B287">
        <v>13680</v>
      </c>
      <c r="C287" t="s">
        <v>953</v>
      </c>
      <c r="D287" t="s">
        <v>954</v>
      </c>
      <c r="E287" t="s">
        <v>613</v>
      </c>
      <c r="F287" t="s">
        <v>955</v>
      </c>
      <c r="G287" t="s">
        <v>956</v>
      </c>
      <c r="H287" t="s">
        <v>213</v>
      </c>
      <c r="I287" t="s">
        <v>753</v>
      </c>
      <c r="J287" t="s">
        <v>85</v>
      </c>
      <c r="K287" t="s">
        <v>291</v>
      </c>
      <c r="L287" t="s">
        <v>216</v>
      </c>
      <c r="M287" t="s">
        <v>936</v>
      </c>
      <c r="N287" t="s">
        <v>957</v>
      </c>
      <c r="O287" t="s">
        <v>72</v>
      </c>
      <c r="P287" t="s">
        <v>75</v>
      </c>
      <c r="Q287" s="44">
        <v>77</v>
      </c>
      <c r="R287" s="42">
        <v>3.718</v>
      </c>
      <c r="S287" s="48">
        <v>53258</v>
      </c>
      <c r="U287" s="44">
        <v>152.47</v>
      </c>
      <c r="V287" s="45">
        <v>0</v>
      </c>
      <c r="W287" s="45">
        <v>1.2442024819779299E-2</v>
      </c>
      <c r="X287" s="45">
        <v>3.2792214507383699E-3</v>
      </c>
    </row>
    <row r="288" spans="1:24" x14ac:dyDescent="0.25">
      <c r="A288">
        <v>12904</v>
      </c>
      <c r="B288">
        <v>13680</v>
      </c>
      <c r="C288" t="s">
        <v>958</v>
      </c>
      <c r="D288" t="s">
        <v>959</v>
      </c>
      <c r="E288" t="s">
        <v>613</v>
      </c>
      <c r="F288" t="s">
        <v>960</v>
      </c>
      <c r="G288" t="s">
        <v>961</v>
      </c>
      <c r="H288" t="s">
        <v>213</v>
      </c>
      <c r="I288" t="s">
        <v>753</v>
      </c>
      <c r="J288" t="s">
        <v>85</v>
      </c>
      <c r="K288" t="s">
        <v>291</v>
      </c>
      <c r="L288" t="s">
        <v>216</v>
      </c>
      <c r="M288" t="s">
        <v>936</v>
      </c>
      <c r="N288" t="s">
        <v>680</v>
      </c>
      <c r="O288" t="s">
        <v>72</v>
      </c>
      <c r="P288" t="s">
        <v>75</v>
      </c>
      <c r="Q288" s="44">
        <v>245</v>
      </c>
      <c r="R288" s="42">
        <v>3.718</v>
      </c>
      <c r="S288" s="48">
        <v>13684</v>
      </c>
      <c r="U288" s="44">
        <v>124.649</v>
      </c>
      <c r="V288" s="45">
        <v>9.9999999999999995E-7</v>
      </c>
      <c r="W288" s="45">
        <v>1.0171725574621499E-2</v>
      </c>
      <c r="X288" s="45">
        <v>2.6808611281901101E-3</v>
      </c>
    </row>
    <row r="289" spans="1:24" x14ac:dyDescent="0.25">
      <c r="A289">
        <v>12904</v>
      </c>
      <c r="B289">
        <v>13680</v>
      </c>
      <c r="C289" t="s">
        <v>1082</v>
      </c>
      <c r="D289" t="s">
        <v>1083</v>
      </c>
      <c r="E289" t="s">
        <v>613</v>
      </c>
      <c r="F289" t="s">
        <v>1082</v>
      </c>
      <c r="G289" t="s">
        <v>1084</v>
      </c>
      <c r="H289" t="s">
        <v>213</v>
      </c>
      <c r="I289" t="s">
        <v>753</v>
      </c>
      <c r="J289" t="s">
        <v>85</v>
      </c>
      <c r="K289" t="s">
        <v>215</v>
      </c>
      <c r="L289" t="s">
        <v>216</v>
      </c>
      <c r="M289" t="s">
        <v>936</v>
      </c>
      <c r="N289" t="s">
        <v>706</v>
      </c>
      <c r="O289" t="s">
        <v>72</v>
      </c>
      <c r="P289" t="s">
        <v>75</v>
      </c>
      <c r="Q289" s="44">
        <v>46</v>
      </c>
      <c r="R289" s="42">
        <v>3.718</v>
      </c>
      <c r="S289" s="48">
        <v>94578</v>
      </c>
      <c r="U289" s="44">
        <v>161.755</v>
      </c>
      <c r="V289" s="45">
        <v>0</v>
      </c>
      <c r="W289" s="45">
        <v>1.31996812079776E-2</v>
      </c>
      <c r="X289" s="45">
        <v>3.47890945300943E-3</v>
      </c>
    </row>
    <row r="290" spans="1:24" x14ac:dyDescent="0.25">
      <c r="A290">
        <v>12904</v>
      </c>
      <c r="B290">
        <v>13680</v>
      </c>
      <c r="C290" t="s">
        <v>967</v>
      </c>
      <c r="D290" t="s">
        <v>968</v>
      </c>
      <c r="E290" t="s">
        <v>613</v>
      </c>
      <c r="F290" t="s">
        <v>969</v>
      </c>
      <c r="G290" t="s">
        <v>970</v>
      </c>
      <c r="H290" t="s">
        <v>213</v>
      </c>
      <c r="I290" t="s">
        <v>753</v>
      </c>
      <c r="J290" t="s">
        <v>85</v>
      </c>
      <c r="K290" t="s">
        <v>291</v>
      </c>
      <c r="L290" t="s">
        <v>216</v>
      </c>
      <c r="M290" t="s">
        <v>936</v>
      </c>
      <c r="N290" t="s">
        <v>616</v>
      </c>
      <c r="O290" t="s">
        <v>72</v>
      </c>
      <c r="P290" t="s">
        <v>75</v>
      </c>
      <c r="Q290" s="44">
        <v>1521</v>
      </c>
      <c r="R290" s="42">
        <v>3.718</v>
      </c>
      <c r="S290" s="48">
        <v>3308</v>
      </c>
      <c r="U290" s="44">
        <v>187.07</v>
      </c>
      <c r="V290" s="45">
        <v>3.9999999999999998E-6</v>
      </c>
      <c r="W290" s="45">
        <v>1.52654706922698E-2</v>
      </c>
      <c r="X290" s="45">
        <v>4.0233691601490301E-3</v>
      </c>
    </row>
    <row r="291" spans="1:24" x14ac:dyDescent="0.25">
      <c r="A291">
        <v>12904</v>
      </c>
      <c r="B291">
        <v>13680</v>
      </c>
      <c r="C291" t="s">
        <v>971</v>
      </c>
      <c r="D291" t="s">
        <v>972</v>
      </c>
      <c r="E291" t="s">
        <v>613</v>
      </c>
      <c r="F291" t="s">
        <v>973</v>
      </c>
      <c r="G291" t="s">
        <v>974</v>
      </c>
      <c r="H291" t="s">
        <v>213</v>
      </c>
      <c r="I291" t="s">
        <v>753</v>
      </c>
      <c r="J291" t="s">
        <v>85</v>
      </c>
      <c r="K291" t="s">
        <v>291</v>
      </c>
      <c r="L291" t="s">
        <v>216</v>
      </c>
      <c r="M291" t="s">
        <v>936</v>
      </c>
      <c r="N291" t="s">
        <v>975</v>
      </c>
      <c r="O291" t="s">
        <v>72</v>
      </c>
      <c r="P291" t="s">
        <v>75</v>
      </c>
      <c r="Q291" s="44">
        <v>466</v>
      </c>
      <c r="R291" s="42">
        <v>3.718</v>
      </c>
      <c r="S291" s="48">
        <v>15623</v>
      </c>
      <c r="U291" s="44">
        <v>270.68200000000002</v>
      </c>
      <c r="V291" s="45">
        <v>0</v>
      </c>
      <c r="W291" s="45">
        <v>2.2088480153188698E-2</v>
      </c>
      <c r="X291" s="45">
        <v>5.8216422955045801E-3</v>
      </c>
    </row>
    <row r="292" spans="1:24" x14ac:dyDescent="0.25">
      <c r="A292">
        <v>12904</v>
      </c>
      <c r="B292">
        <v>13680</v>
      </c>
      <c r="C292" t="s">
        <v>976</v>
      </c>
      <c r="D292" t="s">
        <v>977</v>
      </c>
      <c r="E292" t="s">
        <v>613</v>
      </c>
      <c r="F292" t="s">
        <v>978</v>
      </c>
      <c r="G292" t="s">
        <v>979</v>
      </c>
      <c r="H292" t="s">
        <v>213</v>
      </c>
      <c r="I292" t="s">
        <v>753</v>
      </c>
      <c r="J292" t="s">
        <v>85</v>
      </c>
      <c r="L292" t="s">
        <v>216</v>
      </c>
      <c r="M292" t="s">
        <v>286</v>
      </c>
      <c r="N292" t="s">
        <v>952</v>
      </c>
      <c r="O292" t="s">
        <v>72</v>
      </c>
      <c r="P292" t="s">
        <v>75</v>
      </c>
      <c r="Q292" s="44">
        <v>2275</v>
      </c>
      <c r="R292" s="42">
        <v>3.718</v>
      </c>
      <c r="S292" s="48">
        <v>2271</v>
      </c>
      <c r="U292" s="44">
        <v>192.09100000000001</v>
      </c>
      <c r="V292" s="45">
        <v>9.9999999999999995E-7</v>
      </c>
      <c r="W292" s="45">
        <v>1.56752335438443E-2</v>
      </c>
      <c r="X292" s="45">
        <v>4.1313663030628301E-3</v>
      </c>
    </row>
    <row r="293" spans="1:24" x14ac:dyDescent="0.25">
      <c r="A293">
        <v>12904</v>
      </c>
      <c r="B293">
        <v>13680</v>
      </c>
      <c r="C293" t="s">
        <v>980</v>
      </c>
      <c r="D293" t="s">
        <v>981</v>
      </c>
      <c r="E293" t="s">
        <v>613</v>
      </c>
      <c r="F293" t="s">
        <v>982</v>
      </c>
      <c r="G293" t="s">
        <v>983</v>
      </c>
      <c r="H293" t="s">
        <v>213</v>
      </c>
      <c r="I293" t="s">
        <v>753</v>
      </c>
      <c r="J293" t="s">
        <v>85</v>
      </c>
      <c r="K293" t="s">
        <v>984</v>
      </c>
      <c r="L293" t="s">
        <v>216</v>
      </c>
      <c r="M293" t="s">
        <v>286</v>
      </c>
      <c r="N293" t="s">
        <v>985</v>
      </c>
      <c r="O293" t="s">
        <v>72</v>
      </c>
      <c r="P293" t="s">
        <v>75</v>
      </c>
      <c r="Q293" s="44">
        <v>150.97999999999999</v>
      </c>
      <c r="R293" s="42">
        <v>3.718</v>
      </c>
      <c r="S293" s="48">
        <v>16822</v>
      </c>
      <c r="U293" s="44">
        <v>94.429000000000002</v>
      </c>
      <c r="V293" s="45">
        <v>0</v>
      </c>
      <c r="W293" s="45">
        <v>7.70570776378384E-3</v>
      </c>
      <c r="X293" s="45">
        <v>2.0309171986179399E-3</v>
      </c>
    </row>
    <row r="294" spans="1:24" x14ac:dyDescent="0.25">
      <c r="A294">
        <v>12904</v>
      </c>
      <c r="B294">
        <v>13680</v>
      </c>
      <c r="C294" t="s">
        <v>986</v>
      </c>
      <c r="D294" t="s">
        <v>987</v>
      </c>
      <c r="E294" t="s">
        <v>613</v>
      </c>
      <c r="F294" t="s">
        <v>988</v>
      </c>
      <c r="G294" t="s">
        <v>989</v>
      </c>
      <c r="H294" t="s">
        <v>213</v>
      </c>
      <c r="I294" t="s">
        <v>753</v>
      </c>
      <c r="J294" t="s">
        <v>85</v>
      </c>
      <c r="K294" t="s">
        <v>990</v>
      </c>
      <c r="L294" t="s">
        <v>216</v>
      </c>
      <c r="M294" t="s">
        <v>991</v>
      </c>
      <c r="N294" t="s">
        <v>992</v>
      </c>
      <c r="O294" t="s">
        <v>72</v>
      </c>
      <c r="P294" t="s">
        <v>77</v>
      </c>
      <c r="Q294" s="44">
        <v>44</v>
      </c>
      <c r="R294" s="42">
        <v>4.0218999999999996</v>
      </c>
      <c r="S294" s="48">
        <v>57170</v>
      </c>
      <c r="U294" s="44">
        <v>101.17</v>
      </c>
      <c r="V294" s="45">
        <v>0</v>
      </c>
      <c r="W294" s="45">
        <v>8.2557823744876802E-3</v>
      </c>
      <c r="X294" s="45">
        <v>2.1758949244346502E-3</v>
      </c>
    </row>
    <row r="295" spans="1:24" x14ac:dyDescent="0.25">
      <c r="A295">
        <v>12904</v>
      </c>
      <c r="B295">
        <v>13680</v>
      </c>
      <c r="C295" t="s">
        <v>993</v>
      </c>
      <c r="D295" t="s">
        <v>994</v>
      </c>
      <c r="E295" t="s">
        <v>613</v>
      </c>
      <c r="F295" t="s">
        <v>995</v>
      </c>
      <c r="G295" t="s">
        <v>996</v>
      </c>
      <c r="H295" t="s">
        <v>213</v>
      </c>
      <c r="I295" t="s">
        <v>753</v>
      </c>
      <c r="J295" t="s">
        <v>85</v>
      </c>
      <c r="K295" t="s">
        <v>291</v>
      </c>
      <c r="L295" t="s">
        <v>216</v>
      </c>
      <c r="M295" t="s">
        <v>966</v>
      </c>
      <c r="N295" t="s">
        <v>957</v>
      </c>
      <c r="O295" t="s">
        <v>72</v>
      </c>
      <c r="P295" t="s">
        <v>75</v>
      </c>
      <c r="Q295" s="44">
        <v>80</v>
      </c>
      <c r="R295" s="42">
        <v>3.718</v>
      </c>
      <c r="S295" s="48">
        <v>54812</v>
      </c>
      <c r="U295" s="44">
        <v>163.03299999999999</v>
      </c>
      <c r="V295" s="45">
        <v>0</v>
      </c>
      <c r="W295" s="45">
        <v>1.3303965833982301E-2</v>
      </c>
      <c r="X295" s="45">
        <v>3.5063947206833198E-3</v>
      </c>
    </row>
    <row r="296" spans="1:24" x14ac:dyDescent="0.25">
      <c r="A296">
        <v>12904</v>
      </c>
      <c r="B296">
        <v>13680</v>
      </c>
      <c r="C296" t="s">
        <v>997</v>
      </c>
      <c r="D296" t="s">
        <v>998</v>
      </c>
      <c r="E296" t="s">
        <v>613</v>
      </c>
      <c r="F296" t="s">
        <v>999</v>
      </c>
      <c r="G296" t="s">
        <v>1000</v>
      </c>
      <c r="H296" t="s">
        <v>213</v>
      </c>
      <c r="I296" t="s">
        <v>753</v>
      </c>
      <c r="J296" t="s">
        <v>85</v>
      </c>
      <c r="K296" t="s">
        <v>1001</v>
      </c>
      <c r="L296" t="s">
        <v>216</v>
      </c>
      <c r="M296" t="s">
        <v>286</v>
      </c>
      <c r="N296" t="s">
        <v>992</v>
      </c>
      <c r="O296" t="s">
        <v>72</v>
      </c>
      <c r="P296" t="s">
        <v>75</v>
      </c>
      <c r="Q296" s="44">
        <v>21</v>
      </c>
      <c r="R296" s="42">
        <v>3.718</v>
      </c>
      <c r="S296" s="48">
        <v>195087</v>
      </c>
      <c r="U296" s="44">
        <v>152.32</v>
      </c>
      <c r="V296" s="45">
        <v>0</v>
      </c>
      <c r="W296" s="45">
        <v>1.2429770496364E-2</v>
      </c>
      <c r="X296" s="45">
        <v>3.2759916998907402E-3</v>
      </c>
    </row>
    <row r="297" spans="1:24" x14ac:dyDescent="0.25">
      <c r="A297">
        <v>12904</v>
      </c>
      <c r="B297">
        <v>13680</v>
      </c>
      <c r="C297" t="s">
        <v>1002</v>
      </c>
      <c r="D297" t="s">
        <v>1003</v>
      </c>
      <c r="E297" t="s">
        <v>613</v>
      </c>
      <c r="F297" t="s">
        <v>1004</v>
      </c>
      <c r="G297" t="s">
        <v>1005</v>
      </c>
      <c r="H297" t="s">
        <v>213</v>
      </c>
      <c r="I297" t="s">
        <v>753</v>
      </c>
      <c r="J297" t="s">
        <v>85</v>
      </c>
      <c r="K297" t="s">
        <v>291</v>
      </c>
      <c r="L297" t="s">
        <v>216</v>
      </c>
      <c r="M297" t="s">
        <v>966</v>
      </c>
      <c r="N297" t="s">
        <v>680</v>
      </c>
      <c r="O297" t="s">
        <v>72</v>
      </c>
      <c r="P297" t="s">
        <v>75</v>
      </c>
      <c r="Q297" s="44">
        <v>0</v>
      </c>
      <c r="R297" s="42">
        <v>3.718</v>
      </c>
      <c r="S297" s="48">
        <v>0</v>
      </c>
      <c r="T297" s="44">
        <v>0.28599999999999998</v>
      </c>
      <c r="U297" s="44">
        <v>1.0649999999999999</v>
      </c>
      <c r="V297" s="45">
        <v>0</v>
      </c>
      <c r="W297" s="45">
        <v>8.6876996738122797E-5</v>
      </c>
      <c r="X297" s="45">
        <v>2.2897310960711598E-5</v>
      </c>
    </row>
    <row r="298" spans="1:24" x14ac:dyDescent="0.25">
      <c r="A298">
        <v>12904</v>
      </c>
      <c r="B298">
        <v>13680</v>
      </c>
      <c r="C298" t="s">
        <v>1006</v>
      </c>
      <c r="D298" t="s">
        <v>1007</v>
      </c>
      <c r="E298" t="s">
        <v>613</v>
      </c>
      <c r="F298" t="s">
        <v>1008</v>
      </c>
      <c r="G298" t="s">
        <v>1009</v>
      </c>
      <c r="H298" t="s">
        <v>213</v>
      </c>
      <c r="I298" t="s">
        <v>753</v>
      </c>
      <c r="J298" t="s">
        <v>85</v>
      </c>
      <c r="K298" t="s">
        <v>291</v>
      </c>
      <c r="L298" t="s">
        <v>216</v>
      </c>
      <c r="M298" t="s">
        <v>936</v>
      </c>
      <c r="N298" t="s">
        <v>1010</v>
      </c>
      <c r="O298" t="s">
        <v>72</v>
      </c>
      <c r="P298" t="s">
        <v>75</v>
      </c>
      <c r="Q298" s="44">
        <v>221</v>
      </c>
      <c r="R298" s="42">
        <v>3.718</v>
      </c>
      <c r="S298" s="48">
        <v>37539</v>
      </c>
      <c r="U298" s="44">
        <v>308.45</v>
      </c>
      <c r="V298" s="45">
        <v>0</v>
      </c>
      <c r="W298" s="45">
        <v>2.5170419737158702E-2</v>
      </c>
      <c r="X298" s="45">
        <v>6.6339186363753803E-3</v>
      </c>
    </row>
    <row r="299" spans="1:24" x14ac:dyDescent="0.25">
      <c r="A299">
        <v>12904</v>
      </c>
      <c r="B299">
        <v>13680</v>
      </c>
      <c r="C299" t="s">
        <v>1011</v>
      </c>
      <c r="D299" t="s">
        <v>1012</v>
      </c>
      <c r="E299" t="s">
        <v>613</v>
      </c>
      <c r="F299" t="s">
        <v>1011</v>
      </c>
      <c r="G299" t="s">
        <v>1013</v>
      </c>
      <c r="H299" t="s">
        <v>213</v>
      </c>
      <c r="I299" t="s">
        <v>753</v>
      </c>
      <c r="J299" t="s">
        <v>85</v>
      </c>
      <c r="K299" t="s">
        <v>291</v>
      </c>
      <c r="L299" t="s">
        <v>216</v>
      </c>
      <c r="M299" t="s">
        <v>936</v>
      </c>
      <c r="N299" t="s">
        <v>680</v>
      </c>
      <c r="O299" t="s">
        <v>72</v>
      </c>
      <c r="P299" t="s">
        <v>75</v>
      </c>
      <c r="Q299" s="44">
        <v>676</v>
      </c>
      <c r="R299" s="42">
        <v>3.718</v>
      </c>
      <c r="S299" s="48">
        <v>2835</v>
      </c>
      <c r="U299" s="44">
        <v>71.254000000000005</v>
      </c>
      <c r="V299" s="45">
        <v>1.9999999999999999E-6</v>
      </c>
      <c r="W299" s="45">
        <v>5.8145384136215001E-3</v>
      </c>
      <c r="X299" s="45">
        <v>1.53248039352714E-3</v>
      </c>
    </row>
    <row r="300" spans="1:24" x14ac:dyDescent="0.25">
      <c r="A300">
        <v>12904</v>
      </c>
      <c r="B300">
        <v>13680</v>
      </c>
      <c r="C300" t="s">
        <v>1014</v>
      </c>
      <c r="D300" t="s">
        <v>1015</v>
      </c>
      <c r="E300" t="s">
        <v>613</v>
      </c>
      <c r="F300" t="s">
        <v>1016</v>
      </c>
      <c r="G300" t="s">
        <v>1017</v>
      </c>
      <c r="H300" t="s">
        <v>213</v>
      </c>
      <c r="I300" t="s">
        <v>753</v>
      </c>
      <c r="J300" t="s">
        <v>85</v>
      </c>
      <c r="K300" t="s">
        <v>291</v>
      </c>
      <c r="L300" t="s">
        <v>216</v>
      </c>
      <c r="M300" t="s">
        <v>936</v>
      </c>
      <c r="N300" t="s">
        <v>975</v>
      </c>
      <c r="O300" t="s">
        <v>72</v>
      </c>
      <c r="P300" t="s">
        <v>75</v>
      </c>
      <c r="Q300" s="44">
        <v>24</v>
      </c>
      <c r="R300" s="42">
        <v>3.718</v>
      </c>
      <c r="S300" s="48">
        <v>93253</v>
      </c>
      <c r="U300" s="44">
        <v>83.212000000000003</v>
      </c>
      <c r="V300" s="45">
        <v>0</v>
      </c>
      <c r="W300" s="45">
        <v>6.7903090158159801E-3</v>
      </c>
      <c r="X300" s="45">
        <v>1.78965460239299E-3</v>
      </c>
    </row>
    <row r="301" spans="1:24" x14ac:dyDescent="0.25">
      <c r="A301">
        <v>12904</v>
      </c>
      <c r="B301">
        <v>13680</v>
      </c>
      <c r="C301" t="s">
        <v>1018</v>
      </c>
      <c r="D301" t="s">
        <v>1019</v>
      </c>
      <c r="E301" t="s">
        <v>613</v>
      </c>
      <c r="F301" t="s">
        <v>1020</v>
      </c>
      <c r="G301" t="s">
        <v>1021</v>
      </c>
      <c r="H301" t="s">
        <v>213</v>
      </c>
      <c r="I301" t="s">
        <v>753</v>
      </c>
      <c r="J301" t="s">
        <v>85</v>
      </c>
      <c r="K301" t="s">
        <v>291</v>
      </c>
      <c r="L301" t="s">
        <v>216</v>
      </c>
      <c r="M301" t="s">
        <v>1022</v>
      </c>
      <c r="N301" t="s">
        <v>1023</v>
      </c>
      <c r="O301" t="s">
        <v>72</v>
      </c>
      <c r="P301" t="s">
        <v>75</v>
      </c>
      <c r="Q301" s="44">
        <v>515</v>
      </c>
      <c r="R301" s="42">
        <v>3.718</v>
      </c>
      <c r="S301" s="48">
        <v>7089</v>
      </c>
      <c r="U301" s="44">
        <v>135.738</v>
      </c>
      <c r="V301" s="45">
        <v>0</v>
      </c>
      <c r="W301" s="45">
        <v>1.10766310537626E-2</v>
      </c>
      <c r="X301" s="45">
        <v>2.9193581173114201E-3</v>
      </c>
    </row>
    <row r="302" spans="1:24" x14ac:dyDescent="0.25">
      <c r="A302">
        <v>12904</v>
      </c>
      <c r="B302">
        <v>13680</v>
      </c>
      <c r="C302" t="s">
        <v>1024</v>
      </c>
      <c r="D302" t="s">
        <v>1025</v>
      </c>
      <c r="E302" t="s">
        <v>613</v>
      </c>
      <c r="F302" t="s">
        <v>1024</v>
      </c>
      <c r="G302" t="s">
        <v>1026</v>
      </c>
      <c r="H302" t="s">
        <v>213</v>
      </c>
      <c r="I302" t="s">
        <v>753</v>
      </c>
      <c r="J302" t="s">
        <v>85</v>
      </c>
      <c r="K302" t="s">
        <v>291</v>
      </c>
      <c r="L302" t="s">
        <v>216</v>
      </c>
      <c r="M302" t="s">
        <v>966</v>
      </c>
      <c r="N302" t="s">
        <v>947</v>
      </c>
      <c r="O302" t="s">
        <v>72</v>
      </c>
      <c r="P302" t="s">
        <v>75</v>
      </c>
      <c r="Q302" s="44">
        <v>828</v>
      </c>
      <c r="R302" s="42">
        <v>3.718</v>
      </c>
      <c r="S302" s="48">
        <v>6348</v>
      </c>
      <c r="T302" s="44">
        <v>0.33100000000000002</v>
      </c>
      <c r="U302" s="44">
        <v>196.655</v>
      </c>
      <c r="V302" s="45">
        <v>9.9999999999999995E-7</v>
      </c>
      <c r="W302" s="45">
        <v>1.60476235913013E-2</v>
      </c>
      <c r="X302" s="45">
        <v>4.2295134655505103E-3</v>
      </c>
    </row>
    <row r="303" spans="1:24" x14ac:dyDescent="0.25">
      <c r="A303">
        <v>12904</v>
      </c>
      <c r="B303">
        <v>13680</v>
      </c>
      <c r="C303" t="s">
        <v>1027</v>
      </c>
      <c r="D303" t="s">
        <v>1028</v>
      </c>
      <c r="E303" t="s">
        <v>613</v>
      </c>
      <c r="F303" t="s">
        <v>1029</v>
      </c>
      <c r="G303" t="s">
        <v>1030</v>
      </c>
      <c r="H303" t="s">
        <v>213</v>
      </c>
      <c r="I303" t="s">
        <v>753</v>
      </c>
      <c r="J303" t="s">
        <v>85</v>
      </c>
      <c r="K303" t="s">
        <v>291</v>
      </c>
      <c r="L303" t="s">
        <v>216</v>
      </c>
      <c r="M303" t="s">
        <v>966</v>
      </c>
      <c r="N303" t="s">
        <v>706</v>
      </c>
      <c r="O303" t="s">
        <v>72</v>
      </c>
      <c r="P303" t="s">
        <v>75</v>
      </c>
      <c r="Q303" s="44">
        <v>89</v>
      </c>
      <c r="R303" s="42">
        <v>3.718</v>
      </c>
      <c r="S303" s="48">
        <v>51201</v>
      </c>
      <c r="U303" s="44">
        <v>169.42500000000001</v>
      </c>
      <c r="V303" s="45">
        <v>9.9999999999999995E-7</v>
      </c>
      <c r="W303" s="45">
        <v>1.38255983099617E-2</v>
      </c>
      <c r="X303" s="45">
        <v>3.6438762342963001E-3</v>
      </c>
    </row>
    <row r="304" spans="1:24" x14ac:dyDescent="0.25">
      <c r="A304">
        <v>12904</v>
      </c>
      <c r="B304">
        <v>13680</v>
      </c>
      <c r="C304" t="s">
        <v>1031</v>
      </c>
      <c r="D304" t="s">
        <v>1032</v>
      </c>
      <c r="E304" t="s">
        <v>613</v>
      </c>
      <c r="F304" t="s">
        <v>1033</v>
      </c>
      <c r="G304" t="s">
        <v>1034</v>
      </c>
      <c r="H304" t="s">
        <v>213</v>
      </c>
      <c r="I304" t="s">
        <v>753</v>
      </c>
      <c r="J304" t="s">
        <v>85</v>
      </c>
      <c r="K304" t="s">
        <v>291</v>
      </c>
      <c r="L304" t="s">
        <v>216</v>
      </c>
      <c r="M304" t="s">
        <v>936</v>
      </c>
      <c r="N304" t="s">
        <v>937</v>
      </c>
      <c r="O304" t="s">
        <v>72</v>
      </c>
      <c r="P304" t="s">
        <v>75</v>
      </c>
      <c r="Q304" s="44">
        <v>676</v>
      </c>
      <c r="R304" s="42">
        <v>3.718</v>
      </c>
      <c r="S304" s="48">
        <v>10838</v>
      </c>
      <c r="T304" s="44">
        <v>5.0000000000000001E-3</v>
      </c>
      <c r="U304" s="44">
        <v>272.41800000000001</v>
      </c>
      <c r="V304" s="45">
        <v>0</v>
      </c>
      <c r="W304" s="45">
        <v>2.2230092407892799E-2</v>
      </c>
      <c r="X304" s="45">
        <v>5.8589656371663603E-3</v>
      </c>
    </row>
    <row r="305" spans="1:24" x14ac:dyDescent="0.25">
      <c r="A305">
        <v>12904</v>
      </c>
      <c r="B305">
        <v>13680</v>
      </c>
      <c r="C305" t="s">
        <v>1035</v>
      </c>
      <c r="D305" t="s">
        <v>1036</v>
      </c>
      <c r="E305" t="s">
        <v>613</v>
      </c>
      <c r="F305" t="s">
        <v>1035</v>
      </c>
      <c r="G305" t="s">
        <v>1037</v>
      </c>
      <c r="H305" t="s">
        <v>213</v>
      </c>
      <c r="I305" t="s">
        <v>753</v>
      </c>
      <c r="J305" t="s">
        <v>85</v>
      </c>
      <c r="K305" t="s">
        <v>291</v>
      </c>
      <c r="L305" t="s">
        <v>216</v>
      </c>
      <c r="M305" t="s">
        <v>286</v>
      </c>
      <c r="N305" t="s">
        <v>1038</v>
      </c>
      <c r="O305" t="s">
        <v>72</v>
      </c>
      <c r="P305" t="s">
        <v>75</v>
      </c>
      <c r="Q305" s="44">
        <v>286</v>
      </c>
      <c r="R305" s="42">
        <v>3.718</v>
      </c>
      <c r="S305" s="48">
        <v>13981</v>
      </c>
      <c r="U305" s="44">
        <v>148.667</v>
      </c>
      <c r="V305" s="45">
        <v>0</v>
      </c>
      <c r="W305" s="45">
        <v>1.2131646685243001E-2</v>
      </c>
      <c r="X305" s="45">
        <v>3.1974181549441301E-3</v>
      </c>
    </row>
    <row r="306" spans="1:24" x14ac:dyDescent="0.25">
      <c r="A306">
        <v>12904</v>
      </c>
      <c r="B306">
        <v>13680</v>
      </c>
      <c r="C306" t="s">
        <v>749</v>
      </c>
      <c r="D306" t="s">
        <v>750</v>
      </c>
      <c r="E306" t="s">
        <v>613</v>
      </c>
      <c r="F306" t="s">
        <v>1039</v>
      </c>
      <c r="G306" t="s">
        <v>752</v>
      </c>
      <c r="H306" t="s">
        <v>213</v>
      </c>
      <c r="I306" t="s">
        <v>753</v>
      </c>
      <c r="J306" t="s">
        <v>85</v>
      </c>
      <c r="K306" t="s">
        <v>291</v>
      </c>
      <c r="L306" t="s">
        <v>216</v>
      </c>
      <c r="M306" t="s">
        <v>966</v>
      </c>
      <c r="N306" t="s">
        <v>1040</v>
      </c>
      <c r="O306" t="s">
        <v>72</v>
      </c>
      <c r="P306" t="s">
        <v>75</v>
      </c>
      <c r="Q306" s="44">
        <v>406</v>
      </c>
      <c r="R306" s="42">
        <v>3.718</v>
      </c>
      <c r="S306" s="48">
        <v>7077</v>
      </c>
      <c r="U306" s="44">
        <v>106.828</v>
      </c>
      <c r="V306" s="45">
        <v>6.9999999999999999E-6</v>
      </c>
      <c r="W306" s="45">
        <v>8.7174750693460503E-3</v>
      </c>
      <c r="X306" s="45">
        <v>2.2975787026426699E-3</v>
      </c>
    </row>
    <row r="307" spans="1:24" x14ac:dyDescent="0.25">
      <c r="A307">
        <v>12904</v>
      </c>
      <c r="B307">
        <v>13680</v>
      </c>
      <c r="C307" t="s">
        <v>1044</v>
      </c>
      <c r="D307" t="s">
        <v>1045</v>
      </c>
      <c r="E307" t="s">
        <v>613</v>
      </c>
      <c r="F307" t="s">
        <v>1046</v>
      </c>
      <c r="G307" t="s">
        <v>1047</v>
      </c>
      <c r="H307" t="s">
        <v>213</v>
      </c>
      <c r="I307" t="s">
        <v>753</v>
      </c>
      <c r="J307" t="s">
        <v>85</v>
      </c>
      <c r="K307" t="s">
        <v>291</v>
      </c>
      <c r="L307" t="s">
        <v>216</v>
      </c>
      <c r="M307" t="s">
        <v>966</v>
      </c>
      <c r="N307" t="s">
        <v>1048</v>
      </c>
      <c r="O307" t="s">
        <v>72</v>
      </c>
      <c r="P307" t="s">
        <v>75</v>
      </c>
      <c r="Q307" s="44">
        <v>1154</v>
      </c>
      <c r="R307" s="42">
        <v>3.718</v>
      </c>
      <c r="S307" s="48">
        <v>4180</v>
      </c>
      <c r="T307" s="44">
        <v>0.251</v>
      </c>
      <c r="U307" s="44">
        <v>180.279</v>
      </c>
      <c r="V307" s="45">
        <v>9.9999999999999995E-7</v>
      </c>
      <c r="W307" s="45">
        <v>1.4711296539606801E-2</v>
      </c>
      <c r="X307" s="45">
        <v>3.87731095859584E-3</v>
      </c>
    </row>
    <row r="308" spans="1:24" x14ac:dyDescent="0.25">
      <c r="A308">
        <v>12904</v>
      </c>
      <c r="B308">
        <v>13680</v>
      </c>
      <c r="C308" t="s">
        <v>1049</v>
      </c>
      <c r="D308" t="s">
        <v>1050</v>
      </c>
      <c r="E308" t="s">
        <v>613</v>
      </c>
      <c r="F308" t="s">
        <v>1051</v>
      </c>
      <c r="G308" t="s">
        <v>1052</v>
      </c>
      <c r="H308" t="s">
        <v>213</v>
      </c>
      <c r="I308" t="s">
        <v>753</v>
      </c>
      <c r="J308" t="s">
        <v>85</v>
      </c>
      <c r="K308" t="s">
        <v>1053</v>
      </c>
      <c r="L308" t="s">
        <v>216</v>
      </c>
      <c r="M308" t="s">
        <v>966</v>
      </c>
      <c r="N308" t="s">
        <v>937</v>
      </c>
      <c r="O308" t="s">
        <v>72</v>
      </c>
      <c r="P308" t="s">
        <v>75</v>
      </c>
      <c r="Q308" s="44">
        <v>523</v>
      </c>
      <c r="R308" s="42">
        <v>3.718</v>
      </c>
      <c r="S308" s="48">
        <v>16600</v>
      </c>
      <c r="T308" s="44">
        <v>0.35599999999999998</v>
      </c>
      <c r="U308" s="44">
        <v>324.11399999999998</v>
      </c>
      <c r="V308" s="45">
        <v>0</v>
      </c>
      <c r="W308" s="45">
        <v>2.64486979808825E-2</v>
      </c>
      <c r="X308" s="45">
        <v>6.97082179301975E-3</v>
      </c>
    </row>
    <row r="309" spans="1:24" x14ac:dyDescent="0.25">
      <c r="A309">
        <v>12904</v>
      </c>
      <c r="B309">
        <v>13680</v>
      </c>
      <c r="C309" t="s">
        <v>1054</v>
      </c>
      <c r="D309" t="s">
        <v>1055</v>
      </c>
      <c r="E309" t="s">
        <v>613</v>
      </c>
      <c r="F309" t="s">
        <v>1056</v>
      </c>
      <c r="G309" t="s">
        <v>1057</v>
      </c>
      <c r="H309" t="s">
        <v>213</v>
      </c>
      <c r="I309" t="s">
        <v>753</v>
      </c>
      <c r="J309" t="s">
        <v>85</v>
      </c>
      <c r="K309" t="s">
        <v>291</v>
      </c>
      <c r="L309" t="s">
        <v>216</v>
      </c>
      <c r="M309" t="s">
        <v>966</v>
      </c>
      <c r="N309" t="s">
        <v>700</v>
      </c>
      <c r="O309" t="s">
        <v>72</v>
      </c>
      <c r="P309" t="s">
        <v>75</v>
      </c>
      <c r="Q309" s="44">
        <v>507</v>
      </c>
      <c r="R309" s="42">
        <v>3.718</v>
      </c>
      <c r="S309" s="48">
        <v>7286</v>
      </c>
      <c r="U309" s="44">
        <v>137.34299999999999</v>
      </c>
      <c r="V309" s="45">
        <v>0</v>
      </c>
      <c r="W309" s="45">
        <v>1.12075997041392E-2</v>
      </c>
      <c r="X309" s="45">
        <v>2.9538762294282401E-3</v>
      </c>
    </row>
    <row r="310" spans="1:24" x14ac:dyDescent="0.25">
      <c r="A310">
        <v>12904</v>
      </c>
      <c r="B310">
        <v>13680</v>
      </c>
      <c r="C310" t="s">
        <v>1058</v>
      </c>
      <c r="D310" t="s">
        <v>1059</v>
      </c>
      <c r="E310" t="s">
        <v>613</v>
      </c>
      <c r="F310" t="s">
        <v>1060</v>
      </c>
      <c r="G310" t="s">
        <v>1061</v>
      </c>
      <c r="H310" t="s">
        <v>213</v>
      </c>
      <c r="I310" t="s">
        <v>753</v>
      </c>
      <c r="J310" t="s">
        <v>85</v>
      </c>
      <c r="K310" t="s">
        <v>291</v>
      </c>
      <c r="L310" t="s">
        <v>216</v>
      </c>
      <c r="M310" t="s">
        <v>966</v>
      </c>
      <c r="N310" t="s">
        <v>957</v>
      </c>
      <c r="O310" t="s">
        <v>72</v>
      </c>
      <c r="P310" t="s">
        <v>75</v>
      </c>
      <c r="Q310" s="44">
        <v>152</v>
      </c>
      <c r="R310" s="42">
        <v>3.718</v>
      </c>
      <c r="S310" s="48">
        <v>35046</v>
      </c>
      <c r="U310" s="44">
        <v>198.05799999999999</v>
      </c>
      <c r="V310" s="45">
        <v>0</v>
      </c>
      <c r="W310" s="45">
        <v>1.6162090319158402E-2</v>
      </c>
      <c r="X310" s="45">
        <v>4.2596823291255297E-3</v>
      </c>
    </row>
    <row r="311" spans="1:24" x14ac:dyDescent="0.25">
      <c r="A311">
        <v>424</v>
      </c>
      <c r="B311">
        <v>7228</v>
      </c>
      <c r="C311" t="s">
        <v>1087</v>
      </c>
      <c r="D311" t="s">
        <v>1088</v>
      </c>
      <c r="E311" t="s">
        <v>210</v>
      </c>
      <c r="F311" t="s">
        <v>1089</v>
      </c>
      <c r="G311" t="s">
        <v>1090</v>
      </c>
      <c r="H311" t="s">
        <v>213</v>
      </c>
      <c r="I311" t="s">
        <v>753</v>
      </c>
      <c r="J311" t="s">
        <v>71</v>
      </c>
      <c r="K311" t="s">
        <v>71</v>
      </c>
      <c r="L311" t="s">
        <v>216</v>
      </c>
      <c r="M311" t="s">
        <v>117</v>
      </c>
      <c r="N311" t="s">
        <v>258</v>
      </c>
      <c r="O311" t="s">
        <v>72</v>
      </c>
      <c r="P311" t="s">
        <v>81</v>
      </c>
      <c r="Q311" s="44">
        <v>2469</v>
      </c>
      <c r="R311" s="42">
        <v>1</v>
      </c>
      <c r="S311" s="48">
        <v>26200</v>
      </c>
      <c r="U311" s="44">
        <v>646.87800000000004</v>
      </c>
      <c r="V311" s="45">
        <v>1.2569E-2</v>
      </c>
      <c r="W311" s="45">
        <v>1.74551450495647E-3</v>
      </c>
      <c r="X311" s="45">
        <v>2.6356598321946402E-4</v>
      </c>
    </row>
    <row r="312" spans="1:24" x14ac:dyDescent="0.25">
      <c r="A312">
        <v>424</v>
      </c>
      <c r="B312">
        <v>7228</v>
      </c>
      <c r="C312" t="s">
        <v>1087</v>
      </c>
      <c r="D312" t="s">
        <v>1088</v>
      </c>
      <c r="E312" t="s">
        <v>210</v>
      </c>
      <c r="F312" t="s">
        <v>1091</v>
      </c>
      <c r="G312" t="s">
        <v>1092</v>
      </c>
      <c r="H312" t="s">
        <v>213</v>
      </c>
      <c r="I312" t="s">
        <v>753</v>
      </c>
      <c r="J312" t="s">
        <v>71</v>
      </c>
      <c r="K312" t="s">
        <v>71</v>
      </c>
      <c r="L312" t="s">
        <v>216</v>
      </c>
      <c r="M312" t="s">
        <v>117</v>
      </c>
      <c r="N312" t="s">
        <v>258</v>
      </c>
      <c r="O312" t="s">
        <v>72</v>
      </c>
      <c r="P312" t="s">
        <v>81</v>
      </c>
      <c r="Q312" s="44">
        <v>801</v>
      </c>
      <c r="R312" s="42">
        <v>1</v>
      </c>
      <c r="S312" s="48">
        <v>115300</v>
      </c>
      <c r="U312" s="44">
        <v>923.553</v>
      </c>
      <c r="V312" s="45">
        <v>7.5523000000000007E-2</v>
      </c>
      <c r="W312" s="45">
        <v>2.49208530448719E-3</v>
      </c>
      <c r="X312" s="45">
        <v>3.7629530529757603E-4</v>
      </c>
    </row>
    <row r="313" spans="1:24" x14ac:dyDescent="0.25">
      <c r="A313">
        <v>424</v>
      </c>
      <c r="B313">
        <v>7228</v>
      </c>
      <c r="C313" t="s">
        <v>749</v>
      </c>
      <c r="D313" t="s">
        <v>750</v>
      </c>
      <c r="E313" t="s">
        <v>613</v>
      </c>
      <c r="F313" t="s">
        <v>751</v>
      </c>
      <c r="G313" t="s">
        <v>752</v>
      </c>
      <c r="H313" t="s">
        <v>213</v>
      </c>
      <c r="I313" t="s">
        <v>753</v>
      </c>
      <c r="J313" t="s">
        <v>71</v>
      </c>
      <c r="K313" t="s">
        <v>291</v>
      </c>
      <c r="L313" t="s">
        <v>216</v>
      </c>
      <c r="M313" t="s">
        <v>117</v>
      </c>
      <c r="N313" t="s">
        <v>287</v>
      </c>
      <c r="O313" t="s">
        <v>72</v>
      </c>
      <c r="P313" t="s">
        <v>81</v>
      </c>
      <c r="Q313" s="44">
        <v>17966.39</v>
      </c>
      <c r="R313" s="42">
        <v>1</v>
      </c>
      <c r="S313" s="48">
        <v>26100</v>
      </c>
      <c r="U313" s="44">
        <v>4689.2280000000001</v>
      </c>
      <c r="V313" s="45">
        <v>3.19E-4</v>
      </c>
      <c r="W313" s="45">
        <v>1.26532593850618E-2</v>
      </c>
      <c r="X313" s="45">
        <v>1.91059354779631E-3</v>
      </c>
    </row>
    <row r="314" spans="1:24" x14ac:dyDescent="0.25">
      <c r="A314">
        <v>424</v>
      </c>
      <c r="B314">
        <v>7228</v>
      </c>
      <c r="C314" t="s">
        <v>644</v>
      </c>
      <c r="D314" t="s">
        <v>645</v>
      </c>
      <c r="E314" t="s">
        <v>210</v>
      </c>
      <c r="F314" t="s">
        <v>754</v>
      </c>
      <c r="G314" t="s">
        <v>755</v>
      </c>
      <c r="H314" t="s">
        <v>213</v>
      </c>
      <c r="I314" t="s">
        <v>753</v>
      </c>
      <c r="J314" t="s">
        <v>71</v>
      </c>
      <c r="K314" t="s">
        <v>71</v>
      </c>
      <c r="L314" t="s">
        <v>216</v>
      </c>
      <c r="M314" t="s">
        <v>117</v>
      </c>
      <c r="N314" t="s">
        <v>227</v>
      </c>
      <c r="O314" t="s">
        <v>72</v>
      </c>
      <c r="P314" t="s">
        <v>81</v>
      </c>
      <c r="Q314" s="44">
        <v>283659</v>
      </c>
      <c r="R314" s="42">
        <v>1</v>
      </c>
      <c r="S314" s="48">
        <v>2089</v>
      </c>
      <c r="U314" s="44">
        <v>5925.6369999999997</v>
      </c>
      <c r="V314" s="45">
        <v>2.1599999999999999E-4</v>
      </c>
      <c r="W314" s="45">
        <v>1.5989544364323201E-2</v>
      </c>
      <c r="X314" s="45">
        <v>2.4143597602009998E-3</v>
      </c>
    </row>
    <row r="315" spans="1:24" x14ac:dyDescent="0.25">
      <c r="A315">
        <v>424</v>
      </c>
      <c r="B315">
        <v>7228</v>
      </c>
      <c r="C315" t="s">
        <v>756</v>
      </c>
      <c r="D315" t="s">
        <v>757</v>
      </c>
      <c r="E315" t="s">
        <v>210</v>
      </c>
      <c r="F315" t="s">
        <v>758</v>
      </c>
      <c r="G315" t="s">
        <v>759</v>
      </c>
      <c r="H315" t="s">
        <v>213</v>
      </c>
      <c r="I315" t="s">
        <v>753</v>
      </c>
      <c r="J315" t="s">
        <v>71</v>
      </c>
      <c r="K315" t="s">
        <v>71</v>
      </c>
      <c r="L315" t="s">
        <v>216</v>
      </c>
      <c r="M315" t="s">
        <v>117</v>
      </c>
      <c r="N315" t="s">
        <v>252</v>
      </c>
      <c r="O315" t="s">
        <v>72</v>
      </c>
      <c r="P315" t="s">
        <v>81</v>
      </c>
      <c r="Q315" s="44">
        <v>16199</v>
      </c>
      <c r="R315" s="42">
        <v>1</v>
      </c>
      <c r="S315" s="48">
        <v>15580</v>
      </c>
      <c r="U315" s="44">
        <v>2523.8040000000001</v>
      </c>
      <c r="V315" s="45">
        <v>1.1000000000000001E-3</v>
      </c>
      <c r="W315" s="45">
        <v>6.8101509693791803E-3</v>
      </c>
      <c r="X315" s="45">
        <v>1.0283066288023601E-3</v>
      </c>
    </row>
    <row r="316" spans="1:24" x14ac:dyDescent="0.25">
      <c r="A316">
        <v>424</v>
      </c>
      <c r="B316">
        <v>7228</v>
      </c>
      <c r="C316" t="s">
        <v>760</v>
      </c>
      <c r="D316" t="s">
        <v>761</v>
      </c>
      <c r="E316" t="s">
        <v>210</v>
      </c>
      <c r="F316" t="s">
        <v>762</v>
      </c>
      <c r="G316" t="s">
        <v>763</v>
      </c>
      <c r="H316" t="s">
        <v>213</v>
      </c>
      <c r="I316" t="s">
        <v>753</v>
      </c>
      <c r="J316" t="s">
        <v>71</v>
      </c>
      <c r="K316" t="s">
        <v>71</v>
      </c>
      <c r="L316" t="s">
        <v>216</v>
      </c>
      <c r="M316" t="s">
        <v>117</v>
      </c>
      <c r="N316" t="s">
        <v>764</v>
      </c>
      <c r="O316" t="s">
        <v>72</v>
      </c>
      <c r="P316" t="s">
        <v>81</v>
      </c>
      <c r="Q316" s="44">
        <v>123139</v>
      </c>
      <c r="R316" s="42">
        <v>1</v>
      </c>
      <c r="S316" s="48">
        <v>1524</v>
      </c>
      <c r="U316" s="44">
        <v>1876.6379999999999</v>
      </c>
      <c r="V316" s="45">
        <v>8.3000000000000001E-4</v>
      </c>
      <c r="W316" s="45">
        <v>5.0638597663511999E-3</v>
      </c>
      <c r="X316" s="45">
        <v>7.64623367158508E-4</v>
      </c>
    </row>
    <row r="317" spans="1:24" x14ac:dyDescent="0.25">
      <c r="A317">
        <v>424</v>
      </c>
      <c r="B317">
        <v>7228</v>
      </c>
      <c r="C317" t="s">
        <v>765</v>
      </c>
      <c r="D317" t="s">
        <v>766</v>
      </c>
      <c r="E317" t="s">
        <v>210</v>
      </c>
      <c r="F317" t="s">
        <v>767</v>
      </c>
      <c r="G317" t="s">
        <v>768</v>
      </c>
      <c r="H317" t="s">
        <v>213</v>
      </c>
      <c r="I317" t="s">
        <v>753</v>
      </c>
      <c r="J317" t="s">
        <v>71</v>
      </c>
      <c r="K317" t="s">
        <v>71</v>
      </c>
      <c r="L317" t="s">
        <v>216</v>
      </c>
      <c r="M317" t="s">
        <v>117</v>
      </c>
      <c r="N317" t="s">
        <v>515</v>
      </c>
      <c r="O317" t="s">
        <v>72</v>
      </c>
      <c r="P317" t="s">
        <v>81</v>
      </c>
      <c r="Q317" s="44">
        <v>0</v>
      </c>
      <c r="R317" s="42">
        <v>1</v>
      </c>
      <c r="S317" s="48">
        <v>0</v>
      </c>
      <c r="T317" s="44">
        <v>1E-3</v>
      </c>
      <c r="U317" s="44">
        <v>1E-3</v>
      </c>
      <c r="V317" s="45">
        <v>0</v>
      </c>
      <c r="W317" s="45">
        <v>1.40315104637562E-9</v>
      </c>
      <c r="X317" s="45">
        <v>2.1187041648366599E-10</v>
      </c>
    </row>
    <row r="318" spans="1:24" x14ac:dyDescent="0.25">
      <c r="A318">
        <v>424</v>
      </c>
      <c r="B318">
        <v>7228</v>
      </c>
      <c r="C318" t="s">
        <v>769</v>
      </c>
      <c r="D318" t="s">
        <v>770</v>
      </c>
      <c r="E318" t="s">
        <v>210</v>
      </c>
      <c r="F318" t="s">
        <v>771</v>
      </c>
      <c r="G318" t="s">
        <v>772</v>
      </c>
      <c r="H318" t="s">
        <v>213</v>
      </c>
      <c r="I318" t="s">
        <v>753</v>
      </c>
      <c r="J318" t="s">
        <v>71</v>
      </c>
      <c r="K318" t="s">
        <v>71</v>
      </c>
      <c r="L318" t="s">
        <v>216</v>
      </c>
      <c r="M318" t="s">
        <v>117</v>
      </c>
      <c r="N318" t="s">
        <v>773</v>
      </c>
      <c r="O318" t="s">
        <v>72</v>
      </c>
      <c r="P318" t="s">
        <v>81</v>
      </c>
      <c r="Q318" s="44">
        <v>7909.67</v>
      </c>
      <c r="R318" s="42">
        <v>1</v>
      </c>
      <c r="S318" s="48">
        <v>142500</v>
      </c>
      <c r="U318" s="44">
        <v>11271.28</v>
      </c>
      <c r="V318" s="45">
        <v>1.7699999999999999E-4</v>
      </c>
      <c r="W318" s="45">
        <v>3.04140537984708E-2</v>
      </c>
      <c r="X318" s="45">
        <v>4.5924052594930997E-3</v>
      </c>
    </row>
    <row r="319" spans="1:24" x14ac:dyDescent="0.25">
      <c r="A319">
        <v>424</v>
      </c>
      <c r="B319">
        <v>7228</v>
      </c>
      <c r="C319" t="s">
        <v>268</v>
      </c>
      <c r="D319" t="s">
        <v>269</v>
      </c>
      <c r="E319" t="s">
        <v>210</v>
      </c>
      <c r="F319" t="s">
        <v>774</v>
      </c>
      <c r="G319" t="s">
        <v>775</v>
      </c>
      <c r="H319" t="s">
        <v>213</v>
      </c>
      <c r="I319" t="s">
        <v>753</v>
      </c>
      <c r="J319" t="s">
        <v>71</v>
      </c>
      <c r="K319" t="s">
        <v>71</v>
      </c>
      <c r="L319" t="s">
        <v>216</v>
      </c>
      <c r="M319" t="s">
        <v>117</v>
      </c>
      <c r="N319" t="s">
        <v>272</v>
      </c>
      <c r="O319" t="s">
        <v>72</v>
      </c>
      <c r="P319" t="s">
        <v>81</v>
      </c>
      <c r="Q319" s="44">
        <v>602</v>
      </c>
      <c r="R319" s="42">
        <v>1</v>
      </c>
      <c r="S319" s="48">
        <v>173080</v>
      </c>
      <c r="U319" s="44">
        <v>1041.942</v>
      </c>
      <c r="V319" s="45">
        <v>1.4799999999999999E-4</v>
      </c>
      <c r="W319" s="45">
        <v>2.81154124288901E-3</v>
      </c>
      <c r="X319" s="45">
        <v>4.2453192450703399E-4</v>
      </c>
    </row>
    <row r="320" spans="1:24" x14ac:dyDescent="0.25">
      <c r="A320">
        <v>424</v>
      </c>
      <c r="B320">
        <v>7228</v>
      </c>
      <c r="C320" t="s">
        <v>282</v>
      </c>
      <c r="D320" t="s">
        <v>283</v>
      </c>
      <c r="E320" t="s">
        <v>210</v>
      </c>
      <c r="F320" t="s">
        <v>776</v>
      </c>
      <c r="G320" t="s">
        <v>777</v>
      </c>
      <c r="H320" t="s">
        <v>213</v>
      </c>
      <c r="I320" t="s">
        <v>753</v>
      </c>
      <c r="J320" t="s">
        <v>71</v>
      </c>
      <c r="K320" t="s">
        <v>291</v>
      </c>
      <c r="L320" t="s">
        <v>216</v>
      </c>
      <c r="M320" t="s">
        <v>117</v>
      </c>
      <c r="N320" t="s">
        <v>287</v>
      </c>
      <c r="O320" t="s">
        <v>72</v>
      </c>
      <c r="P320" t="s">
        <v>81</v>
      </c>
      <c r="Q320" s="44">
        <v>48087.8</v>
      </c>
      <c r="R320" s="42">
        <v>1</v>
      </c>
      <c r="S320" s="48">
        <v>5941</v>
      </c>
      <c r="U320" s="44">
        <v>2856.8960000000002</v>
      </c>
      <c r="V320" s="45">
        <v>4.0400000000000001E-4</v>
      </c>
      <c r="W320" s="45">
        <v>7.7089555569427298E-3</v>
      </c>
      <c r="X320" s="45">
        <v>1.1640226679247401E-3</v>
      </c>
    </row>
    <row r="321" spans="1:24" x14ac:dyDescent="0.25">
      <c r="A321">
        <v>424</v>
      </c>
      <c r="B321">
        <v>7228</v>
      </c>
      <c r="C321" t="s">
        <v>778</v>
      </c>
      <c r="D321" t="s">
        <v>779</v>
      </c>
      <c r="E321" t="s">
        <v>613</v>
      </c>
      <c r="F321" t="s">
        <v>780</v>
      </c>
      <c r="G321" t="s">
        <v>781</v>
      </c>
      <c r="H321" t="s">
        <v>213</v>
      </c>
      <c r="I321" t="s">
        <v>753</v>
      </c>
      <c r="J321" t="s">
        <v>71</v>
      </c>
      <c r="K321" t="s">
        <v>604</v>
      </c>
      <c r="L321" t="s">
        <v>216</v>
      </c>
      <c r="M321" t="s">
        <v>117</v>
      </c>
      <c r="N321" t="s">
        <v>423</v>
      </c>
      <c r="O321" t="s">
        <v>72</v>
      </c>
      <c r="P321" t="s">
        <v>81</v>
      </c>
      <c r="Q321" s="44">
        <v>53421</v>
      </c>
      <c r="R321" s="42">
        <v>1</v>
      </c>
      <c r="S321" s="48">
        <v>4205</v>
      </c>
      <c r="T321" s="44">
        <v>59.585999999999999</v>
      </c>
      <c r="U321" s="44">
        <v>2305.9389999999999</v>
      </c>
      <c r="V321" s="45">
        <v>2.9100000000000003E-4</v>
      </c>
      <c r="W321" s="45">
        <v>6.2222701672372703E-3</v>
      </c>
      <c r="X321" s="45">
        <v>9.3953888657368704E-4</v>
      </c>
    </row>
    <row r="322" spans="1:24" x14ac:dyDescent="0.25">
      <c r="A322">
        <v>424</v>
      </c>
      <c r="B322">
        <v>7228</v>
      </c>
      <c r="C322" t="s">
        <v>631</v>
      </c>
      <c r="D322" t="s">
        <v>632</v>
      </c>
      <c r="E322" t="s">
        <v>210</v>
      </c>
      <c r="F322" t="s">
        <v>786</v>
      </c>
      <c r="G322" t="s">
        <v>787</v>
      </c>
      <c r="H322" t="s">
        <v>213</v>
      </c>
      <c r="I322" t="s">
        <v>753</v>
      </c>
      <c r="J322" t="s">
        <v>71</v>
      </c>
      <c r="K322" t="s">
        <v>71</v>
      </c>
      <c r="L322" t="s">
        <v>216</v>
      </c>
      <c r="M322" t="s">
        <v>117</v>
      </c>
      <c r="N322" t="s">
        <v>245</v>
      </c>
      <c r="O322" t="s">
        <v>72</v>
      </c>
      <c r="P322" t="s">
        <v>81</v>
      </c>
      <c r="Q322" s="44">
        <v>119359</v>
      </c>
      <c r="R322" s="42">
        <v>1</v>
      </c>
      <c r="S322" s="48">
        <v>5080</v>
      </c>
      <c r="U322" s="44">
        <v>6063.4369999999999</v>
      </c>
      <c r="V322" s="45">
        <v>1.0709999999999999E-3</v>
      </c>
      <c r="W322" s="45">
        <v>1.6361381253486199E-2</v>
      </c>
      <c r="X322" s="45">
        <v>2.4705057017049099E-3</v>
      </c>
    </row>
    <row r="323" spans="1:24" x14ac:dyDescent="0.25">
      <c r="A323">
        <v>424</v>
      </c>
      <c r="B323">
        <v>7228</v>
      </c>
      <c r="C323" t="s">
        <v>1093</v>
      </c>
      <c r="D323" t="s">
        <v>1094</v>
      </c>
      <c r="E323" t="s">
        <v>210</v>
      </c>
      <c r="F323" t="s">
        <v>1095</v>
      </c>
      <c r="G323" t="s">
        <v>1096</v>
      </c>
      <c r="H323" t="s">
        <v>213</v>
      </c>
      <c r="I323" t="s">
        <v>753</v>
      </c>
      <c r="J323" t="s">
        <v>71</v>
      </c>
      <c r="K323" t="s">
        <v>291</v>
      </c>
      <c r="L323" t="s">
        <v>216</v>
      </c>
      <c r="M323" t="s">
        <v>117</v>
      </c>
      <c r="N323" t="s">
        <v>217</v>
      </c>
      <c r="O323" t="s">
        <v>72</v>
      </c>
      <c r="P323" t="s">
        <v>81</v>
      </c>
      <c r="Q323" s="44">
        <v>88270</v>
      </c>
      <c r="R323" s="42">
        <v>1</v>
      </c>
      <c r="S323" s="48">
        <v>728.3</v>
      </c>
      <c r="T323" s="44">
        <v>11.669</v>
      </c>
      <c r="U323" s="44">
        <v>654.53899999999999</v>
      </c>
      <c r="V323" s="45">
        <v>1.575E-3</v>
      </c>
      <c r="W323" s="45">
        <v>1.7661872372574201E-3</v>
      </c>
      <c r="X323" s="45">
        <v>2.6668748636324199E-4</v>
      </c>
    </row>
    <row r="324" spans="1:24" x14ac:dyDescent="0.25">
      <c r="A324">
        <v>424</v>
      </c>
      <c r="B324">
        <v>7228</v>
      </c>
      <c r="C324" t="s">
        <v>320</v>
      </c>
      <c r="D324" t="s">
        <v>321</v>
      </c>
      <c r="E324" t="s">
        <v>210</v>
      </c>
      <c r="F324" t="s">
        <v>788</v>
      </c>
      <c r="G324" t="s">
        <v>789</v>
      </c>
      <c r="H324" t="s">
        <v>213</v>
      </c>
      <c r="I324" t="s">
        <v>753</v>
      </c>
      <c r="J324" t="s">
        <v>71</v>
      </c>
      <c r="K324" t="s">
        <v>71</v>
      </c>
      <c r="L324" t="s">
        <v>216</v>
      </c>
      <c r="M324" t="s">
        <v>117</v>
      </c>
      <c r="N324" t="s">
        <v>234</v>
      </c>
      <c r="O324" t="s">
        <v>72</v>
      </c>
      <c r="P324" t="s">
        <v>81</v>
      </c>
      <c r="Q324" s="44">
        <v>1287364</v>
      </c>
      <c r="R324" s="42">
        <v>1</v>
      </c>
      <c r="S324" s="48">
        <v>88.3</v>
      </c>
      <c r="T324" s="44">
        <v>75.289000000000001</v>
      </c>
      <c r="U324" s="44">
        <v>1212.0309999999999</v>
      </c>
      <c r="V324" s="45">
        <v>4.0000000000000002E-4</v>
      </c>
      <c r="W324" s="45">
        <v>3.27050566835917E-3</v>
      </c>
      <c r="X324" s="45">
        <v>4.9383378921128405E-4</v>
      </c>
    </row>
    <row r="325" spans="1:24" x14ac:dyDescent="0.25">
      <c r="A325">
        <v>424</v>
      </c>
      <c r="B325">
        <v>7228</v>
      </c>
      <c r="C325" t="s">
        <v>790</v>
      </c>
      <c r="D325" t="s">
        <v>791</v>
      </c>
      <c r="E325" t="s">
        <v>210</v>
      </c>
      <c r="F325" t="s">
        <v>792</v>
      </c>
      <c r="G325" t="s">
        <v>793</v>
      </c>
      <c r="H325" t="s">
        <v>213</v>
      </c>
      <c r="I325" t="s">
        <v>753</v>
      </c>
      <c r="J325" t="s">
        <v>71</v>
      </c>
      <c r="K325" t="s">
        <v>71</v>
      </c>
      <c r="L325" t="s">
        <v>216</v>
      </c>
      <c r="M325" t="s">
        <v>117</v>
      </c>
      <c r="N325" t="s">
        <v>329</v>
      </c>
      <c r="O325" t="s">
        <v>72</v>
      </c>
      <c r="P325" t="s">
        <v>81</v>
      </c>
      <c r="Q325" s="44">
        <v>982531.76</v>
      </c>
      <c r="R325" s="42">
        <v>1</v>
      </c>
      <c r="S325" s="48">
        <v>546.6</v>
      </c>
      <c r="U325" s="44">
        <v>5370.5190000000002</v>
      </c>
      <c r="V325" s="45">
        <v>3.5500000000000001E-4</v>
      </c>
      <c r="W325" s="45">
        <v>1.44916322949889E-2</v>
      </c>
      <c r="X325" s="45">
        <v>2.1881807933638001E-3</v>
      </c>
    </row>
    <row r="326" spans="1:24" x14ac:dyDescent="0.25">
      <c r="A326">
        <v>424</v>
      </c>
      <c r="B326">
        <v>7228</v>
      </c>
      <c r="C326" t="s">
        <v>331</v>
      </c>
      <c r="D326" t="s">
        <v>332</v>
      </c>
      <c r="E326" t="s">
        <v>210</v>
      </c>
      <c r="F326" t="s">
        <v>794</v>
      </c>
      <c r="G326" t="s">
        <v>795</v>
      </c>
      <c r="H326" t="s">
        <v>213</v>
      </c>
      <c r="I326" t="s">
        <v>753</v>
      </c>
      <c r="J326" t="s">
        <v>71</v>
      </c>
      <c r="K326" t="s">
        <v>71</v>
      </c>
      <c r="L326" t="s">
        <v>216</v>
      </c>
      <c r="M326" t="s">
        <v>117</v>
      </c>
      <c r="N326" t="s">
        <v>258</v>
      </c>
      <c r="O326" t="s">
        <v>72</v>
      </c>
      <c r="P326" t="s">
        <v>81</v>
      </c>
      <c r="Q326" s="44">
        <v>7599.88</v>
      </c>
      <c r="R326" s="42">
        <v>1</v>
      </c>
      <c r="S326" s="48">
        <v>51410</v>
      </c>
      <c r="U326" s="44">
        <v>3907.098</v>
      </c>
      <c r="V326" s="45">
        <v>3.0600000000000001E-4</v>
      </c>
      <c r="W326" s="45">
        <v>1.05427866906973E-2</v>
      </c>
      <c r="X326" s="45">
        <v>1.5919202803049801E-3</v>
      </c>
    </row>
    <row r="327" spans="1:24" x14ac:dyDescent="0.25">
      <c r="A327">
        <v>424</v>
      </c>
      <c r="B327">
        <v>7228</v>
      </c>
      <c r="C327" t="s">
        <v>800</v>
      </c>
      <c r="D327" t="s">
        <v>801</v>
      </c>
      <c r="E327" t="s">
        <v>210</v>
      </c>
      <c r="F327" t="s">
        <v>802</v>
      </c>
      <c r="G327" t="s">
        <v>803</v>
      </c>
      <c r="H327" t="s">
        <v>213</v>
      </c>
      <c r="I327" t="s">
        <v>753</v>
      </c>
      <c r="J327" t="s">
        <v>71</v>
      </c>
      <c r="K327" t="s">
        <v>71</v>
      </c>
      <c r="L327" t="s">
        <v>216</v>
      </c>
      <c r="M327" t="s">
        <v>117</v>
      </c>
      <c r="N327" t="s">
        <v>365</v>
      </c>
      <c r="O327" t="s">
        <v>72</v>
      </c>
      <c r="P327" t="s">
        <v>81</v>
      </c>
      <c r="Q327" s="44">
        <v>316632</v>
      </c>
      <c r="R327" s="42">
        <v>1</v>
      </c>
      <c r="S327" s="48">
        <v>2572</v>
      </c>
      <c r="T327" s="44">
        <v>80.933000000000007</v>
      </c>
      <c r="U327" s="44">
        <v>8224.7080000000005</v>
      </c>
      <c r="V327" s="45">
        <v>2.5599999999999999E-4</v>
      </c>
      <c r="W327" s="45">
        <v>2.2193284725536999E-2</v>
      </c>
      <c r="X327" s="45">
        <v>3.3511007172647399E-3</v>
      </c>
    </row>
    <row r="328" spans="1:24" x14ac:dyDescent="0.25">
      <c r="A328">
        <v>424</v>
      </c>
      <c r="B328">
        <v>7228</v>
      </c>
      <c r="C328" t="s">
        <v>804</v>
      </c>
      <c r="D328" t="s">
        <v>805</v>
      </c>
      <c r="E328" t="s">
        <v>210</v>
      </c>
      <c r="F328" t="s">
        <v>806</v>
      </c>
      <c r="G328" t="s">
        <v>807</v>
      </c>
      <c r="H328" t="s">
        <v>213</v>
      </c>
      <c r="I328" t="s">
        <v>753</v>
      </c>
      <c r="J328" t="s">
        <v>71</v>
      </c>
      <c r="K328" t="s">
        <v>71</v>
      </c>
      <c r="L328" t="s">
        <v>216</v>
      </c>
      <c r="M328" t="s">
        <v>117</v>
      </c>
      <c r="N328" t="s">
        <v>808</v>
      </c>
      <c r="O328" t="s">
        <v>72</v>
      </c>
      <c r="P328" t="s">
        <v>81</v>
      </c>
      <c r="Q328" s="44">
        <v>33839</v>
      </c>
      <c r="R328" s="42">
        <v>1</v>
      </c>
      <c r="S328" s="48">
        <v>17650</v>
      </c>
      <c r="U328" s="44">
        <v>5972.5829999999996</v>
      </c>
      <c r="V328" s="45">
        <v>1.2570000000000001E-3</v>
      </c>
      <c r="W328" s="45">
        <v>1.6116224591520699E-2</v>
      </c>
      <c r="X328" s="45">
        <v>2.4334879877470602E-3</v>
      </c>
    </row>
    <row r="329" spans="1:24" x14ac:dyDescent="0.25">
      <c r="A329">
        <v>424</v>
      </c>
      <c r="B329">
        <v>7228</v>
      </c>
      <c r="C329" t="s">
        <v>809</v>
      </c>
      <c r="D329" t="s">
        <v>810</v>
      </c>
      <c r="E329" t="s">
        <v>210</v>
      </c>
      <c r="F329" t="s">
        <v>811</v>
      </c>
      <c r="G329" t="s">
        <v>812</v>
      </c>
      <c r="H329" t="s">
        <v>213</v>
      </c>
      <c r="I329" t="s">
        <v>753</v>
      </c>
      <c r="J329" t="s">
        <v>71</v>
      </c>
      <c r="K329" t="s">
        <v>71</v>
      </c>
      <c r="L329" t="s">
        <v>216</v>
      </c>
      <c r="M329" t="s">
        <v>117</v>
      </c>
      <c r="N329" t="s">
        <v>515</v>
      </c>
      <c r="O329" t="s">
        <v>72</v>
      </c>
      <c r="P329" t="s">
        <v>81</v>
      </c>
      <c r="Q329" s="44">
        <v>340160</v>
      </c>
      <c r="R329" s="42">
        <v>1</v>
      </c>
      <c r="S329" s="48">
        <v>638.4</v>
      </c>
      <c r="U329" s="44">
        <v>2171.5810000000001</v>
      </c>
      <c r="V329" s="45">
        <v>3.7060000000000001E-3</v>
      </c>
      <c r="W329" s="45">
        <v>5.8597245573574399E-3</v>
      </c>
      <c r="X329" s="45">
        <v>8.8479589254038401E-4</v>
      </c>
    </row>
    <row r="330" spans="1:24" x14ac:dyDescent="0.25">
      <c r="A330">
        <v>424</v>
      </c>
      <c r="B330">
        <v>7228</v>
      </c>
      <c r="C330" t="s">
        <v>813</v>
      </c>
      <c r="D330" t="s">
        <v>814</v>
      </c>
      <c r="E330" t="s">
        <v>210</v>
      </c>
      <c r="F330" t="s">
        <v>815</v>
      </c>
      <c r="G330" t="s">
        <v>816</v>
      </c>
      <c r="H330" t="s">
        <v>213</v>
      </c>
      <c r="I330" t="s">
        <v>753</v>
      </c>
      <c r="J330" t="s">
        <v>71</v>
      </c>
      <c r="K330" t="s">
        <v>71</v>
      </c>
      <c r="L330" t="s">
        <v>216</v>
      </c>
      <c r="M330" t="s">
        <v>117</v>
      </c>
      <c r="N330" t="s">
        <v>252</v>
      </c>
      <c r="O330" t="s">
        <v>72</v>
      </c>
      <c r="P330" t="s">
        <v>81</v>
      </c>
      <c r="Q330" s="44">
        <v>113784</v>
      </c>
      <c r="R330" s="42">
        <v>1</v>
      </c>
      <c r="S330" s="48">
        <v>6881</v>
      </c>
      <c r="U330" s="44">
        <v>7829.4769999999999</v>
      </c>
      <c r="V330" s="45">
        <v>4.3399999999999998E-4</v>
      </c>
      <c r="W330" s="45">
        <v>2.11268055793267E-2</v>
      </c>
      <c r="X330" s="45">
        <v>3.1900664640655799E-3</v>
      </c>
    </row>
    <row r="331" spans="1:24" x14ac:dyDescent="0.25">
      <c r="A331">
        <v>424</v>
      </c>
      <c r="B331">
        <v>7228</v>
      </c>
      <c r="C331" t="s">
        <v>817</v>
      </c>
      <c r="D331" t="s">
        <v>818</v>
      </c>
      <c r="E331" t="s">
        <v>210</v>
      </c>
      <c r="F331" t="s">
        <v>819</v>
      </c>
      <c r="G331" t="s">
        <v>820</v>
      </c>
      <c r="H331" t="s">
        <v>213</v>
      </c>
      <c r="I331" t="s">
        <v>753</v>
      </c>
      <c r="J331" t="s">
        <v>71</v>
      </c>
      <c r="K331" t="s">
        <v>71</v>
      </c>
      <c r="L331" t="s">
        <v>216</v>
      </c>
      <c r="M331" t="s">
        <v>117</v>
      </c>
      <c r="N331" t="s">
        <v>272</v>
      </c>
      <c r="O331" t="s">
        <v>72</v>
      </c>
      <c r="P331" t="s">
        <v>81</v>
      </c>
      <c r="Q331" s="44">
        <v>1785</v>
      </c>
      <c r="R331" s="42">
        <v>1</v>
      </c>
      <c r="S331" s="48">
        <v>99210</v>
      </c>
      <c r="U331" s="44">
        <v>1770.8989999999999</v>
      </c>
      <c r="V331" s="45">
        <v>2.32E-4</v>
      </c>
      <c r="W331" s="45">
        <v>4.7785347755769404E-3</v>
      </c>
      <c r="X331" s="45">
        <v>7.2154038989480699E-4</v>
      </c>
    </row>
    <row r="332" spans="1:24" x14ac:dyDescent="0.25">
      <c r="A332">
        <v>424</v>
      </c>
      <c r="B332">
        <v>7228</v>
      </c>
      <c r="C332" t="s">
        <v>821</v>
      </c>
      <c r="D332" t="s">
        <v>822</v>
      </c>
      <c r="E332" t="s">
        <v>210</v>
      </c>
      <c r="F332" t="s">
        <v>823</v>
      </c>
      <c r="G332" t="s">
        <v>824</v>
      </c>
      <c r="H332" t="s">
        <v>213</v>
      </c>
      <c r="I332" t="s">
        <v>753</v>
      </c>
      <c r="J332" t="s">
        <v>71</v>
      </c>
      <c r="K332" t="s">
        <v>71</v>
      </c>
      <c r="L332" t="s">
        <v>216</v>
      </c>
      <c r="M332" t="s">
        <v>117</v>
      </c>
      <c r="N332" t="s">
        <v>825</v>
      </c>
      <c r="O332" t="s">
        <v>72</v>
      </c>
      <c r="P332" t="s">
        <v>81</v>
      </c>
      <c r="Q332" s="44">
        <v>12867</v>
      </c>
      <c r="R332" s="42">
        <v>1</v>
      </c>
      <c r="S332" s="48">
        <v>22740</v>
      </c>
      <c r="U332" s="44">
        <v>2925.9560000000001</v>
      </c>
      <c r="V332" s="45">
        <v>5.6099999999999998E-4</v>
      </c>
      <c r="W332" s="45">
        <v>7.8953037354207792E-3</v>
      </c>
      <c r="X332" s="45">
        <v>1.1921605268438401E-3</v>
      </c>
    </row>
    <row r="333" spans="1:24" x14ac:dyDescent="0.25">
      <c r="A333">
        <v>424</v>
      </c>
      <c r="B333">
        <v>7228</v>
      </c>
      <c r="C333" t="s">
        <v>826</v>
      </c>
      <c r="D333" t="s">
        <v>827</v>
      </c>
      <c r="E333" t="s">
        <v>210</v>
      </c>
      <c r="F333" t="s">
        <v>828</v>
      </c>
      <c r="G333" t="s">
        <v>829</v>
      </c>
      <c r="H333" t="s">
        <v>213</v>
      </c>
      <c r="I333" t="s">
        <v>753</v>
      </c>
      <c r="J333" t="s">
        <v>71</v>
      </c>
      <c r="K333" t="s">
        <v>215</v>
      </c>
      <c r="L333" t="s">
        <v>216</v>
      </c>
      <c r="M333" t="s">
        <v>117</v>
      </c>
      <c r="N333" t="s">
        <v>830</v>
      </c>
      <c r="O333" t="s">
        <v>72</v>
      </c>
      <c r="P333" t="s">
        <v>81</v>
      </c>
      <c r="Q333" s="44">
        <v>22637.32</v>
      </c>
      <c r="R333" s="42">
        <v>1</v>
      </c>
      <c r="S333" s="48">
        <v>13000</v>
      </c>
      <c r="U333" s="44">
        <v>2942.8519999999999</v>
      </c>
      <c r="V333" s="45">
        <v>2.03E-4</v>
      </c>
      <c r="W333" s="45">
        <v>7.9408948112849199E-3</v>
      </c>
      <c r="X333" s="45">
        <v>1.19904460411851E-3</v>
      </c>
    </row>
    <row r="334" spans="1:24" x14ac:dyDescent="0.25">
      <c r="A334">
        <v>424</v>
      </c>
      <c r="B334">
        <v>7228</v>
      </c>
      <c r="C334" t="s">
        <v>624</v>
      </c>
      <c r="D334" t="s">
        <v>625</v>
      </c>
      <c r="E334" t="s">
        <v>210</v>
      </c>
      <c r="F334" t="s">
        <v>831</v>
      </c>
      <c r="G334" t="s">
        <v>832</v>
      </c>
      <c r="H334" t="s">
        <v>213</v>
      </c>
      <c r="I334" t="s">
        <v>753</v>
      </c>
      <c r="J334" t="s">
        <v>71</v>
      </c>
      <c r="K334" t="s">
        <v>291</v>
      </c>
      <c r="L334" t="s">
        <v>216</v>
      </c>
      <c r="M334" t="s">
        <v>117</v>
      </c>
      <c r="N334" t="s">
        <v>628</v>
      </c>
      <c r="O334" t="s">
        <v>72</v>
      </c>
      <c r="P334" t="s">
        <v>81</v>
      </c>
      <c r="Q334" s="44">
        <v>137748</v>
      </c>
      <c r="R334" s="42">
        <v>1</v>
      </c>
      <c r="S334" s="48">
        <v>5587</v>
      </c>
      <c r="U334" s="44">
        <v>7695.9809999999998</v>
      </c>
      <c r="V334" s="45">
        <v>1.1E-4</v>
      </c>
      <c r="W334" s="45">
        <v>2.0766583569770399E-2</v>
      </c>
      <c r="X334" s="45">
        <v>3.1356743247528498E-3</v>
      </c>
    </row>
    <row r="335" spans="1:24" x14ac:dyDescent="0.25">
      <c r="A335">
        <v>424</v>
      </c>
      <c r="B335">
        <v>7228</v>
      </c>
      <c r="C335" t="s">
        <v>833</v>
      </c>
      <c r="D335" t="s">
        <v>834</v>
      </c>
      <c r="E335" t="s">
        <v>210</v>
      </c>
      <c r="F335" t="s">
        <v>835</v>
      </c>
      <c r="G335" t="s">
        <v>836</v>
      </c>
      <c r="H335" t="s">
        <v>213</v>
      </c>
      <c r="I335" t="s">
        <v>753</v>
      </c>
      <c r="J335" t="s">
        <v>71</v>
      </c>
      <c r="K335" t="s">
        <v>71</v>
      </c>
      <c r="L335" t="s">
        <v>216</v>
      </c>
      <c r="M335" t="s">
        <v>117</v>
      </c>
      <c r="N335" t="s">
        <v>837</v>
      </c>
      <c r="O335" t="s">
        <v>72</v>
      </c>
      <c r="P335" t="s">
        <v>81</v>
      </c>
      <c r="Q335" s="44">
        <v>317285</v>
      </c>
      <c r="R335" s="42">
        <v>1</v>
      </c>
      <c r="S335" s="48">
        <v>692.7</v>
      </c>
      <c r="U335" s="44">
        <v>2197.8330000000001</v>
      </c>
      <c r="V335" s="45">
        <v>2.9169999999999999E-3</v>
      </c>
      <c r="W335" s="45">
        <v>5.9305614371602203E-3</v>
      </c>
      <c r="X335" s="45">
        <v>8.9549198920437802E-4</v>
      </c>
    </row>
    <row r="336" spans="1:24" x14ac:dyDescent="0.25">
      <c r="A336">
        <v>424</v>
      </c>
      <c r="B336">
        <v>7228</v>
      </c>
      <c r="C336" t="s">
        <v>838</v>
      </c>
      <c r="D336" t="s">
        <v>839</v>
      </c>
      <c r="E336" t="s">
        <v>210</v>
      </c>
      <c r="F336" t="s">
        <v>840</v>
      </c>
      <c r="G336" t="s">
        <v>841</v>
      </c>
      <c r="H336" t="s">
        <v>213</v>
      </c>
      <c r="I336" t="s">
        <v>753</v>
      </c>
      <c r="J336" t="s">
        <v>71</v>
      </c>
      <c r="K336" t="s">
        <v>71</v>
      </c>
      <c r="L336" t="s">
        <v>216</v>
      </c>
      <c r="M336" t="s">
        <v>117</v>
      </c>
      <c r="N336" t="s">
        <v>429</v>
      </c>
      <c r="O336" t="s">
        <v>72</v>
      </c>
      <c r="P336" t="s">
        <v>81</v>
      </c>
      <c r="Q336" s="44">
        <v>764635</v>
      </c>
      <c r="R336" s="42">
        <v>1</v>
      </c>
      <c r="S336" s="48">
        <v>1651</v>
      </c>
      <c r="U336" s="44">
        <v>12624.124</v>
      </c>
      <c r="V336" s="45">
        <v>3.7820000000000002E-3</v>
      </c>
      <c r="W336" s="45">
        <v>3.4064524210967097E-2</v>
      </c>
      <c r="X336" s="45">
        <v>5.1436122650786202E-3</v>
      </c>
    </row>
    <row r="337" spans="1:24" x14ac:dyDescent="0.25">
      <c r="A337">
        <v>424</v>
      </c>
      <c r="B337">
        <v>7228</v>
      </c>
      <c r="C337" t="s">
        <v>842</v>
      </c>
      <c r="D337" t="s">
        <v>843</v>
      </c>
      <c r="E337" t="s">
        <v>210</v>
      </c>
      <c r="F337" t="s">
        <v>844</v>
      </c>
      <c r="G337" t="s">
        <v>845</v>
      </c>
      <c r="H337" t="s">
        <v>213</v>
      </c>
      <c r="I337" t="s">
        <v>753</v>
      </c>
      <c r="J337" t="s">
        <v>71</v>
      </c>
      <c r="K337" t="s">
        <v>71</v>
      </c>
      <c r="L337" t="s">
        <v>216</v>
      </c>
      <c r="M337" t="s">
        <v>117</v>
      </c>
      <c r="N337" t="s">
        <v>252</v>
      </c>
      <c r="O337" t="s">
        <v>72</v>
      </c>
      <c r="P337" t="s">
        <v>81</v>
      </c>
      <c r="Q337" s="44">
        <v>72602</v>
      </c>
      <c r="R337" s="42">
        <v>1</v>
      </c>
      <c r="S337" s="48">
        <v>9094</v>
      </c>
      <c r="U337" s="44">
        <v>6602.4260000000004</v>
      </c>
      <c r="V337" s="45">
        <v>9.1299999999999997E-4</v>
      </c>
      <c r="W337" s="45">
        <v>1.78157707348836E-2</v>
      </c>
      <c r="X337" s="45">
        <v>2.6901129249964199E-3</v>
      </c>
    </row>
    <row r="338" spans="1:24" x14ac:dyDescent="0.25">
      <c r="A338">
        <v>424</v>
      </c>
      <c r="B338">
        <v>7228</v>
      </c>
      <c r="C338" t="s">
        <v>82</v>
      </c>
      <c r="D338" t="s">
        <v>431</v>
      </c>
      <c r="E338" t="s">
        <v>210</v>
      </c>
      <c r="F338" t="s">
        <v>846</v>
      </c>
      <c r="G338" t="s">
        <v>847</v>
      </c>
      <c r="H338" t="s">
        <v>213</v>
      </c>
      <c r="I338" t="s">
        <v>753</v>
      </c>
      <c r="J338" t="s">
        <v>71</v>
      </c>
      <c r="K338" t="s">
        <v>71</v>
      </c>
      <c r="L338" t="s">
        <v>216</v>
      </c>
      <c r="M338" t="s">
        <v>117</v>
      </c>
      <c r="N338" t="s">
        <v>365</v>
      </c>
      <c r="O338" t="s">
        <v>72</v>
      </c>
      <c r="P338" t="s">
        <v>81</v>
      </c>
      <c r="Q338" s="44">
        <v>357564</v>
      </c>
      <c r="R338" s="42">
        <v>1</v>
      </c>
      <c r="S338" s="48">
        <v>4982</v>
      </c>
      <c r="U338" s="44">
        <v>17813.838</v>
      </c>
      <c r="V338" s="45">
        <v>2.2100000000000001E-4</v>
      </c>
      <c r="W338" s="45">
        <v>4.8068280967650402E-2</v>
      </c>
      <c r="X338" s="45">
        <v>7.2581257267891504E-3</v>
      </c>
    </row>
    <row r="339" spans="1:24" x14ac:dyDescent="0.25">
      <c r="A339">
        <v>424</v>
      </c>
      <c r="B339">
        <v>7228</v>
      </c>
      <c r="C339" t="s">
        <v>444</v>
      </c>
      <c r="D339" t="s">
        <v>445</v>
      </c>
      <c r="E339" t="s">
        <v>210</v>
      </c>
      <c r="F339" t="s">
        <v>848</v>
      </c>
      <c r="G339" t="s">
        <v>849</v>
      </c>
      <c r="H339" t="s">
        <v>213</v>
      </c>
      <c r="I339" t="s">
        <v>753</v>
      </c>
      <c r="J339" t="s">
        <v>71</v>
      </c>
      <c r="K339" t="s">
        <v>71</v>
      </c>
      <c r="L339" t="s">
        <v>216</v>
      </c>
      <c r="M339" t="s">
        <v>117</v>
      </c>
      <c r="N339" t="s">
        <v>258</v>
      </c>
      <c r="O339" t="s">
        <v>72</v>
      </c>
      <c r="P339" t="s">
        <v>81</v>
      </c>
      <c r="Q339" s="44">
        <v>509226</v>
      </c>
      <c r="R339" s="42">
        <v>1</v>
      </c>
      <c r="S339" s="48">
        <v>992.1</v>
      </c>
      <c r="T339" s="44">
        <v>48.353000000000002</v>
      </c>
      <c r="U339" s="44">
        <v>5100.384</v>
      </c>
      <c r="V339" s="45">
        <v>6.9099999999999999E-4</v>
      </c>
      <c r="W339" s="45">
        <v>1.3762709589535099E-2</v>
      </c>
      <c r="X339" s="45">
        <v>2.0781162656796199E-3</v>
      </c>
    </row>
    <row r="340" spans="1:24" x14ac:dyDescent="0.25">
      <c r="A340">
        <v>424</v>
      </c>
      <c r="B340">
        <v>7228</v>
      </c>
      <c r="C340" t="s">
        <v>458</v>
      </c>
      <c r="D340" t="s">
        <v>459</v>
      </c>
      <c r="E340" t="s">
        <v>210</v>
      </c>
      <c r="F340" t="s">
        <v>850</v>
      </c>
      <c r="G340" t="s">
        <v>851</v>
      </c>
      <c r="H340" t="s">
        <v>213</v>
      </c>
      <c r="I340" t="s">
        <v>753</v>
      </c>
      <c r="J340" t="s">
        <v>71</v>
      </c>
      <c r="K340" t="s">
        <v>71</v>
      </c>
      <c r="L340" t="s">
        <v>216</v>
      </c>
      <c r="M340" t="s">
        <v>117</v>
      </c>
      <c r="N340" t="s">
        <v>258</v>
      </c>
      <c r="O340" t="s">
        <v>72</v>
      </c>
      <c r="P340" t="s">
        <v>81</v>
      </c>
      <c r="Q340" s="44">
        <v>118140</v>
      </c>
      <c r="R340" s="42">
        <v>1</v>
      </c>
      <c r="S340" s="48">
        <v>1142</v>
      </c>
      <c r="U340" s="44">
        <v>1349.1590000000001</v>
      </c>
      <c r="V340" s="45">
        <v>7.85E-4</v>
      </c>
      <c r="W340" s="45">
        <v>3.6405261191286E-3</v>
      </c>
      <c r="X340" s="45">
        <v>5.4970545549731396E-4</v>
      </c>
    </row>
    <row r="341" spans="1:24" x14ac:dyDescent="0.25">
      <c r="A341">
        <v>424</v>
      </c>
      <c r="B341">
        <v>7228</v>
      </c>
      <c r="C341" t="s">
        <v>852</v>
      </c>
      <c r="D341" t="s">
        <v>853</v>
      </c>
      <c r="E341" t="s">
        <v>210</v>
      </c>
      <c r="F341" t="s">
        <v>854</v>
      </c>
      <c r="G341" t="s">
        <v>855</v>
      </c>
      <c r="H341" t="s">
        <v>213</v>
      </c>
      <c r="I341" t="s">
        <v>753</v>
      </c>
      <c r="J341" t="s">
        <v>71</v>
      </c>
      <c r="K341" t="s">
        <v>71</v>
      </c>
      <c r="L341" t="s">
        <v>216</v>
      </c>
      <c r="M341" t="s">
        <v>117</v>
      </c>
      <c r="N341" t="s">
        <v>856</v>
      </c>
      <c r="O341" t="s">
        <v>72</v>
      </c>
      <c r="P341" t="s">
        <v>81</v>
      </c>
      <c r="Q341" s="44">
        <v>6182.46</v>
      </c>
      <c r="R341" s="42">
        <v>1</v>
      </c>
      <c r="S341" s="48">
        <v>22800</v>
      </c>
      <c r="U341" s="44">
        <v>1409.6010000000001</v>
      </c>
      <c r="V341" s="45">
        <v>1.7960000000000001E-3</v>
      </c>
      <c r="W341" s="45">
        <v>3.8036210571999801E-3</v>
      </c>
      <c r="X341" s="45">
        <v>5.7433216446412005E-4</v>
      </c>
    </row>
    <row r="342" spans="1:24" x14ac:dyDescent="0.25">
      <c r="A342">
        <v>424</v>
      </c>
      <c r="B342">
        <v>7228</v>
      </c>
      <c r="C342" t="s">
        <v>861</v>
      </c>
      <c r="D342" t="s">
        <v>862</v>
      </c>
      <c r="E342" t="s">
        <v>210</v>
      </c>
      <c r="F342" t="s">
        <v>863</v>
      </c>
      <c r="G342" t="s">
        <v>864</v>
      </c>
      <c r="H342" t="s">
        <v>213</v>
      </c>
      <c r="I342" t="s">
        <v>753</v>
      </c>
      <c r="J342" t="s">
        <v>71</v>
      </c>
      <c r="K342" t="s">
        <v>71</v>
      </c>
      <c r="L342" t="s">
        <v>216</v>
      </c>
      <c r="M342" t="s">
        <v>117</v>
      </c>
      <c r="N342" t="s">
        <v>825</v>
      </c>
      <c r="O342" t="s">
        <v>72</v>
      </c>
      <c r="P342" t="s">
        <v>81</v>
      </c>
      <c r="Q342" s="44">
        <v>20764</v>
      </c>
      <c r="R342" s="42">
        <v>1</v>
      </c>
      <c r="S342" s="48">
        <v>8638</v>
      </c>
      <c r="T342" s="44">
        <v>17.026</v>
      </c>
      <c r="U342" s="44">
        <v>1810.6210000000001</v>
      </c>
      <c r="V342" s="45">
        <v>3.2299999999999999E-4</v>
      </c>
      <c r="W342" s="45">
        <v>4.8857201348258801E-3</v>
      </c>
      <c r="X342" s="45">
        <v>7.3772496728844003E-4</v>
      </c>
    </row>
    <row r="343" spans="1:24" x14ac:dyDescent="0.25">
      <c r="A343">
        <v>424</v>
      </c>
      <c r="B343">
        <v>7228</v>
      </c>
      <c r="C343" t="s">
        <v>483</v>
      </c>
      <c r="D343" t="s">
        <v>484</v>
      </c>
      <c r="E343" t="s">
        <v>210</v>
      </c>
      <c r="F343" t="s">
        <v>865</v>
      </c>
      <c r="G343" t="s">
        <v>866</v>
      </c>
      <c r="H343" t="s">
        <v>213</v>
      </c>
      <c r="I343" t="s">
        <v>753</v>
      </c>
      <c r="J343" t="s">
        <v>71</v>
      </c>
      <c r="K343" t="s">
        <v>71</v>
      </c>
      <c r="L343" t="s">
        <v>216</v>
      </c>
      <c r="M343" t="s">
        <v>117</v>
      </c>
      <c r="N343" t="s">
        <v>258</v>
      </c>
      <c r="O343" t="s">
        <v>72</v>
      </c>
      <c r="P343" t="s">
        <v>81</v>
      </c>
      <c r="Q343" s="44">
        <v>12240</v>
      </c>
      <c r="R343" s="42">
        <v>1</v>
      </c>
      <c r="S343" s="48">
        <v>28940</v>
      </c>
      <c r="T343" s="44">
        <v>23.151</v>
      </c>
      <c r="U343" s="44">
        <v>3565.4070000000002</v>
      </c>
      <c r="V343" s="45">
        <v>2.5700000000000001E-4</v>
      </c>
      <c r="W343" s="45">
        <v>9.62077724985126E-3</v>
      </c>
      <c r="X343" s="45">
        <v>1.45270039750012E-3</v>
      </c>
    </row>
    <row r="344" spans="1:24" x14ac:dyDescent="0.25">
      <c r="A344">
        <v>424</v>
      </c>
      <c r="B344">
        <v>7228</v>
      </c>
      <c r="C344" t="s">
        <v>867</v>
      </c>
      <c r="D344" t="s">
        <v>868</v>
      </c>
      <c r="E344" t="s">
        <v>210</v>
      </c>
      <c r="F344" t="s">
        <v>869</v>
      </c>
      <c r="G344" t="s">
        <v>870</v>
      </c>
      <c r="H344" t="s">
        <v>213</v>
      </c>
      <c r="I344" t="s">
        <v>753</v>
      </c>
      <c r="J344" t="s">
        <v>71</v>
      </c>
      <c r="K344" t="s">
        <v>71</v>
      </c>
      <c r="L344" t="s">
        <v>216</v>
      </c>
      <c r="M344" t="s">
        <v>117</v>
      </c>
      <c r="N344" t="s">
        <v>252</v>
      </c>
      <c r="O344" t="s">
        <v>72</v>
      </c>
      <c r="P344" t="s">
        <v>81</v>
      </c>
      <c r="Q344" s="44">
        <v>41274</v>
      </c>
      <c r="R344" s="42">
        <v>1</v>
      </c>
      <c r="S344" s="48">
        <v>18600</v>
      </c>
      <c r="T344" s="44">
        <v>99.3</v>
      </c>
      <c r="U344" s="44">
        <v>7776.2640000000001</v>
      </c>
      <c r="V344" s="45">
        <v>6.5200000000000002E-4</v>
      </c>
      <c r="W344" s="45">
        <v>2.09832168693306E-2</v>
      </c>
      <c r="X344" s="45">
        <v>3.1683851205867E-3</v>
      </c>
    </row>
    <row r="345" spans="1:24" x14ac:dyDescent="0.25">
      <c r="A345">
        <v>424</v>
      </c>
      <c r="B345">
        <v>7228</v>
      </c>
      <c r="C345" t="s">
        <v>494</v>
      </c>
      <c r="D345" t="s">
        <v>495</v>
      </c>
      <c r="E345" t="s">
        <v>210</v>
      </c>
      <c r="F345" t="s">
        <v>871</v>
      </c>
      <c r="G345" t="s">
        <v>872</v>
      </c>
      <c r="H345" t="s">
        <v>213</v>
      </c>
      <c r="I345" t="s">
        <v>753</v>
      </c>
      <c r="J345" t="s">
        <v>71</v>
      </c>
      <c r="K345" t="s">
        <v>71</v>
      </c>
      <c r="L345" t="s">
        <v>216</v>
      </c>
      <c r="M345" t="s">
        <v>117</v>
      </c>
      <c r="N345" t="s">
        <v>498</v>
      </c>
      <c r="O345" t="s">
        <v>72</v>
      </c>
      <c r="P345" t="s">
        <v>81</v>
      </c>
      <c r="Q345" s="44">
        <v>271138</v>
      </c>
      <c r="R345" s="42">
        <v>1</v>
      </c>
      <c r="S345" s="48">
        <v>1700</v>
      </c>
      <c r="U345" s="44">
        <v>4609.3459999999995</v>
      </c>
      <c r="V345" s="45">
        <v>4.483E-3</v>
      </c>
      <c r="W345" s="45">
        <v>1.2437708967321701E-2</v>
      </c>
      <c r="X345" s="45">
        <v>1.8780462629563899E-3</v>
      </c>
    </row>
    <row r="346" spans="1:24" x14ac:dyDescent="0.25">
      <c r="A346">
        <v>424</v>
      </c>
      <c r="B346">
        <v>7228</v>
      </c>
      <c r="C346" t="s">
        <v>873</v>
      </c>
      <c r="D346" t="s">
        <v>874</v>
      </c>
      <c r="E346" t="s">
        <v>210</v>
      </c>
      <c r="F346" t="s">
        <v>875</v>
      </c>
      <c r="G346" t="s">
        <v>876</v>
      </c>
      <c r="H346" t="s">
        <v>213</v>
      </c>
      <c r="I346" t="s">
        <v>753</v>
      </c>
      <c r="J346" t="s">
        <v>71</v>
      </c>
      <c r="K346" t="s">
        <v>71</v>
      </c>
      <c r="L346" t="s">
        <v>216</v>
      </c>
      <c r="M346" t="s">
        <v>117</v>
      </c>
      <c r="N346" t="s">
        <v>837</v>
      </c>
      <c r="O346" t="s">
        <v>72</v>
      </c>
      <c r="P346" t="s">
        <v>81</v>
      </c>
      <c r="Q346" s="44">
        <v>105355</v>
      </c>
      <c r="R346" s="42">
        <v>1</v>
      </c>
      <c r="S346" s="48">
        <v>1340</v>
      </c>
      <c r="U346" s="44">
        <v>1411.7570000000001</v>
      </c>
      <c r="V346" s="45">
        <v>7.36E-4</v>
      </c>
      <c r="W346" s="45">
        <v>3.8094390611117298E-3</v>
      </c>
      <c r="X346" s="45">
        <v>5.7521066069948302E-4</v>
      </c>
    </row>
    <row r="347" spans="1:24" x14ac:dyDescent="0.25">
      <c r="A347">
        <v>424</v>
      </c>
      <c r="B347">
        <v>7228</v>
      </c>
      <c r="C347" t="s">
        <v>877</v>
      </c>
      <c r="D347" t="s">
        <v>878</v>
      </c>
      <c r="E347" t="s">
        <v>420</v>
      </c>
      <c r="F347" t="s">
        <v>879</v>
      </c>
      <c r="G347" t="s">
        <v>880</v>
      </c>
      <c r="H347" t="s">
        <v>213</v>
      </c>
      <c r="I347" t="s">
        <v>753</v>
      </c>
      <c r="J347" t="s">
        <v>71</v>
      </c>
      <c r="K347" t="s">
        <v>71</v>
      </c>
      <c r="L347" t="s">
        <v>216</v>
      </c>
      <c r="M347" t="s">
        <v>117</v>
      </c>
      <c r="N347" t="s">
        <v>423</v>
      </c>
      <c r="O347" t="s">
        <v>72</v>
      </c>
      <c r="P347" t="s">
        <v>81</v>
      </c>
      <c r="Q347" s="44">
        <v>205266.19</v>
      </c>
      <c r="R347" s="42">
        <v>1</v>
      </c>
      <c r="S347" s="48">
        <v>1249</v>
      </c>
      <c r="T347" s="44">
        <v>38.877000000000002</v>
      </c>
      <c r="U347" s="44">
        <v>2602.652</v>
      </c>
      <c r="V347" s="45">
        <v>1.75E-4</v>
      </c>
      <c r="W347" s="45">
        <v>7.02291144549791E-3</v>
      </c>
      <c r="X347" s="45">
        <v>1.0604326431776299E-3</v>
      </c>
    </row>
    <row r="348" spans="1:24" x14ac:dyDescent="0.25">
      <c r="A348">
        <v>424</v>
      </c>
      <c r="B348">
        <v>7228</v>
      </c>
      <c r="C348" t="s">
        <v>881</v>
      </c>
      <c r="D348" t="s">
        <v>882</v>
      </c>
      <c r="E348" t="s">
        <v>210</v>
      </c>
      <c r="F348" t="s">
        <v>883</v>
      </c>
      <c r="G348" t="s">
        <v>884</v>
      </c>
      <c r="H348" t="s">
        <v>213</v>
      </c>
      <c r="I348" t="s">
        <v>753</v>
      </c>
      <c r="J348" t="s">
        <v>71</v>
      </c>
      <c r="K348" t="s">
        <v>291</v>
      </c>
      <c r="L348" t="s">
        <v>216</v>
      </c>
      <c r="M348" t="s">
        <v>117</v>
      </c>
      <c r="N348" t="s">
        <v>526</v>
      </c>
      <c r="O348" t="s">
        <v>72</v>
      </c>
      <c r="P348" t="s">
        <v>81</v>
      </c>
      <c r="Q348" s="44">
        <v>11440</v>
      </c>
      <c r="R348" s="42">
        <v>1</v>
      </c>
      <c r="S348" s="48">
        <v>56600</v>
      </c>
      <c r="U348" s="44">
        <v>6475.04</v>
      </c>
      <c r="V348" s="45">
        <v>1.5300000000000001E-4</v>
      </c>
      <c r="W348" s="45">
        <v>1.7472036829469201E-2</v>
      </c>
      <c r="X348" s="45">
        <v>2.6382104260546102E-3</v>
      </c>
    </row>
    <row r="349" spans="1:24" x14ac:dyDescent="0.25">
      <c r="A349">
        <v>424</v>
      </c>
      <c r="B349">
        <v>7228</v>
      </c>
      <c r="C349" t="s">
        <v>885</v>
      </c>
      <c r="D349" t="s">
        <v>886</v>
      </c>
      <c r="E349" t="s">
        <v>210</v>
      </c>
      <c r="F349" t="s">
        <v>885</v>
      </c>
      <c r="G349" t="s">
        <v>887</v>
      </c>
      <c r="H349" t="s">
        <v>213</v>
      </c>
      <c r="I349" t="s">
        <v>753</v>
      </c>
      <c r="J349" t="s">
        <v>71</v>
      </c>
      <c r="K349" t="s">
        <v>71</v>
      </c>
      <c r="L349" t="s">
        <v>216</v>
      </c>
      <c r="M349" t="s">
        <v>117</v>
      </c>
      <c r="N349" t="s">
        <v>888</v>
      </c>
      <c r="O349" t="s">
        <v>72</v>
      </c>
      <c r="P349" t="s">
        <v>81</v>
      </c>
      <c r="Q349" s="44">
        <v>26199</v>
      </c>
      <c r="R349" s="42">
        <v>1</v>
      </c>
      <c r="S349" s="48">
        <v>8478</v>
      </c>
      <c r="U349" s="44">
        <v>2221.1509999999998</v>
      </c>
      <c r="V349" s="45">
        <v>3.2600000000000001E-4</v>
      </c>
      <c r="W349" s="45">
        <v>5.9934820355797601E-3</v>
      </c>
      <c r="X349" s="45">
        <v>9.0499275779731402E-4</v>
      </c>
    </row>
    <row r="350" spans="1:24" x14ac:dyDescent="0.25">
      <c r="A350">
        <v>424</v>
      </c>
      <c r="B350">
        <v>7228</v>
      </c>
      <c r="C350" t="s">
        <v>551</v>
      </c>
      <c r="D350" t="s">
        <v>552</v>
      </c>
      <c r="E350" t="s">
        <v>210</v>
      </c>
      <c r="F350" t="s">
        <v>889</v>
      </c>
      <c r="G350" t="s">
        <v>890</v>
      </c>
      <c r="H350" t="s">
        <v>213</v>
      </c>
      <c r="I350" t="s">
        <v>753</v>
      </c>
      <c r="J350" t="s">
        <v>71</v>
      </c>
      <c r="K350" t="s">
        <v>71</v>
      </c>
      <c r="L350" t="s">
        <v>216</v>
      </c>
      <c r="M350" t="s">
        <v>117</v>
      </c>
      <c r="N350" t="s">
        <v>329</v>
      </c>
      <c r="O350" t="s">
        <v>72</v>
      </c>
      <c r="P350" t="s">
        <v>81</v>
      </c>
      <c r="Q350" s="44">
        <v>64464</v>
      </c>
      <c r="R350" s="42">
        <v>1</v>
      </c>
      <c r="S350" s="48">
        <v>2256</v>
      </c>
      <c r="U350" s="44">
        <v>1454.308</v>
      </c>
      <c r="V350" s="45">
        <v>3.8699999999999997E-4</v>
      </c>
      <c r="W350" s="45">
        <v>3.9242568604774299E-3</v>
      </c>
      <c r="X350" s="45">
        <v>5.9254770722357898E-4</v>
      </c>
    </row>
    <row r="351" spans="1:24" x14ac:dyDescent="0.25">
      <c r="A351">
        <v>424</v>
      </c>
      <c r="B351">
        <v>7228</v>
      </c>
      <c r="C351" t="s">
        <v>556</v>
      </c>
      <c r="D351" t="s">
        <v>557</v>
      </c>
      <c r="E351" t="s">
        <v>210</v>
      </c>
      <c r="F351" t="s">
        <v>891</v>
      </c>
      <c r="G351" t="s">
        <v>892</v>
      </c>
      <c r="H351" t="s">
        <v>213</v>
      </c>
      <c r="I351" t="s">
        <v>753</v>
      </c>
      <c r="J351" t="s">
        <v>71</v>
      </c>
      <c r="K351" t="s">
        <v>71</v>
      </c>
      <c r="L351" t="s">
        <v>216</v>
      </c>
      <c r="M351" t="s">
        <v>117</v>
      </c>
      <c r="N351" t="s">
        <v>258</v>
      </c>
      <c r="O351" t="s">
        <v>72</v>
      </c>
      <c r="P351" t="s">
        <v>81</v>
      </c>
      <c r="Q351" s="44">
        <v>2773</v>
      </c>
      <c r="R351" s="42">
        <v>1</v>
      </c>
      <c r="S351" s="48">
        <v>24920</v>
      </c>
      <c r="U351" s="44">
        <v>691.03200000000004</v>
      </c>
      <c r="V351" s="45">
        <v>2.3E-5</v>
      </c>
      <c r="W351" s="45">
        <v>1.86465713965119E-3</v>
      </c>
      <c r="X351" s="45">
        <v>2.8155606326033498E-4</v>
      </c>
    </row>
    <row r="352" spans="1:24" x14ac:dyDescent="0.25">
      <c r="A352">
        <v>424</v>
      </c>
      <c r="B352">
        <v>7228</v>
      </c>
      <c r="C352" t="s">
        <v>88</v>
      </c>
      <c r="D352" t="s">
        <v>571</v>
      </c>
      <c r="E352" t="s">
        <v>210</v>
      </c>
      <c r="F352" t="s">
        <v>893</v>
      </c>
      <c r="G352" t="s">
        <v>894</v>
      </c>
      <c r="H352" t="s">
        <v>213</v>
      </c>
      <c r="I352" t="s">
        <v>753</v>
      </c>
      <c r="J352" t="s">
        <v>71</v>
      </c>
      <c r="K352" t="s">
        <v>71</v>
      </c>
      <c r="L352" t="s">
        <v>216</v>
      </c>
      <c r="M352" t="s">
        <v>117</v>
      </c>
      <c r="N352" t="s">
        <v>365</v>
      </c>
      <c r="O352" t="s">
        <v>72</v>
      </c>
      <c r="P352" t="s">
        <v>81</v>
      </c>
      <c r="Q352" s="44">
        <v>355608</v>
      </c>
      <c r="R352" s="42">
        <v>1</v>
      </c>
      <c r="S352" s="48">
        <v>5008</v>
      </c>
      <c r="U352" s="44">
        <v>17808.848999999998</v>
      </c>
      <c r="V352" s="45">
        <v>2.6600000000000001E-4</v>
      </c>
      <c r="W352" s="45">
        <v>4.80548165460788E-2</v>
      </c>
      <c r="X352" s="45">
        <v>7.2560926508680196E-3</v>
      </c>
    </row>
    <row r="353" spans="1:24" x14ac:dyDescent="0.25">
      <c r="A353">
        <v>424</v>
      </c>
      <c r="B353">
        <v>7228</v>
      </c>
      <c r="C353" t="s">
        <v>895</v>
      </c>
      <c r="D353" t="s">
        <v>896</v>
      </c>
      <c r="E353" t="s">
        <v>210</v>
      </c>
      <c r="F353" t="s">
        <v>897</v>
      </c>
      <c r="G353" t="s">
        <v>898</v>
      </c>
      <c r="H353" t="s">
        <v>213</v>
      </c>
      <c r="I353" t="s">
        <v>753</v>
      </c>
      <c r="J353" t="s">
        <v>71</v>
      </c>
      <c r="K353" t="s">
        <v>71</v>
      </c>
      <c r="L353" t="s">
        <v>216</v>
      </c>
      <c r="M353" t="s">
        <v>117</v>
      </c>
      <c r="N353" t="s">
        <v>899</v>
      </c>
      <c r="O353" t="s">
        <v>72</v>
      </c>
      <c r="P353" t="s">
        <v>81</v>
      </c>
      <c r="Q353" s="44">
        <v>54700</v>
      </c>
      <c r="R353" s="42">
        <v>1</v>
      </c>
      <c r="S353" s="48">
        <v>329.7</v>
      </c>
      <c r="U353" s="44">
        <v>180.346</v>
      </c>
      <c r="V353" s="45">
        <v>1.0839999999999999E-3</v>
      </c>
      <c r="W353" s="45">
        <v>4.8663949672029302E-4</v>
      </c>
      <c r="X353" s="45">
        <v>7.3480694123310799E-5</v>
      </c>
    </row>
    <row r="354" spans="1:24" x14ac:dyDescent="0.25">
      <c r="A354">
        <v>424</v>
      </c>
      <c r="B354">
        <v>7228</v>
      </c>
      <c r="C354" t="s">
        <v>670</v>
      </c>
      <c r="D354" t="s">
        <v>671</v>
      </c>
      <c r="E354" t="s">
        <v>210</v>
      </c>
      <c r="F354" t="s">
        <v>900</v>
      </c>
      <c r="G354" t="s">
        <v>901</v>
      </c>
      <c r="H354" t="s">
        <v>213</v>
      </c>
      <c r="I354" t="s">
        <v>753</v>
      </c>
      <c r="J354" t="s">
        <v>71</v>
      </c>
      <c r="K354" t="s">
        <v>71</v>
      </c>
      <c r="L354" t="s">
        <v>216</v>
      </c>
      <c r="M354" t="s">
        <v>117</v>
      </c>
      <c r="N354" t="s">
        <v>329</v>
      </c>
      <c r="O354" t="s">
        <v>72</v>
      </c>
      <c r="P354" t="s">
        <v>81</v>
      </c>
      <c r="Q354" s="44">
        <v>103198</v>
      </c>
      <c r="R354" s="42">
        <v>1</v>
      </c>
      <c r="S354" s="48">
        <v>2530</v>
      </c>
      <c r="U354" s="44">
        <v>2610.9090000000001</v>
      </c>
      <c r="V354" s="45">
        <v>5.3899999999999998E-4</v>
      </c>
      <c r="W354" s="45">
        <v>7.04519280115756E-3</v>
      </c>
      <c r="X354" s="45">
        <v>1.06379704226754E-3</v>
      </c>
    </row>
    <row r="355" spans="1:24" x14ac:dyDescent="0.25">
      <c r="A355">
        <v>424</v>
      </c>
      <c r="B355">
        <v>7228</v>
      </c>
      <c r="C355" t="s">
        <v>902</v>
      </c>
      <c r="D355" t="s">
        <v>903</v>
      </c>
      <c r="E355" t="s">
        <v>210</v>
      </c>
      <c r="F355" t="s">
        <v>904</v>
      </c>
      <c r="G355" t="s">
        <v>905</v>
      </c>
      <c r="H355" t="s">
        <v>213</v>
      </c>
      <c r="I355" t="s">
        <v>753</v>
      </c>
      <c r="J355" t="s">
        <v>71</v>
      </c>
      <c r="K355" t="s">
        <v>71</v>
      </c>
      <c r="L355" t="s">
        <v>216</v>
      </c>
      <c r="M355" t="s">
        <v>117</v>
      </c>
      <c r="N355" t="s">
        <v>906</v>
      </c>
      <c r="O355" t="s">
        <v>72</v>
      </c>
      <c r="P355" t="s">
        <v>81</v>
      </c>
      <c r="Q355" s="44">
        <v>3724</v>
      </c>
      <c r="R355" s="42">
        <v>1</v>
      </c>
      <c r="S355" s="48">
        <v>48410</v>
      </c>
      <c r="U355" s="44">
        <v>1802.788</v>
      </c>
      <c r="V355" s="45">
        <v>2.2599999999999999E-4</v>
      </c>
      <c r="W355" s="45">
        <v>4.8645854420265797E-3</v>
      </c>
      <c r="X355" s="45">
        <v>7.3453370988446598E-4</v>
      </c>
    </row>
    <row r="356" spans="1:24" x14ac:dyDescent="0.25">
      <c r="A356">
        <v>424</v>
      </c>
      <c r="B356">
        <v>7228</v>
      </c>
      <c r="C356" t="s">
        <v>907</v>
      </c>
      <c r="D356" t="s">
        <v>908</v>
      </c>
      <c r="E356" t="s">
        <v>210</v>
      </c>
      <c r="F356" t="s">
        <v>909</v>
      </c>
      <c r="G356" t="s">
        <v>910</v>
      </c>
      <c r="H356" t="s">
        <v>213</v>
      </c>
      <c r="I356" t="s">
        <v>753</v>
      </c>
      <c r="J356" t="s">
        <v>71</v>
      </c>
      <c r="K356" t="s">
        <v>71</v>
      </c>
      <c r="L356" t="s">
        <v>216</v>
      </c>
      <c r="M356" t="s">
        <v>117</v>
      </c>
      <c r="N356" t="s">
        <v>764</v>
      </c>
      <c r="O356" t="s">
        <v>72</v>
      </c>
      <c r="P356" t="s">
        <v>81</v>
      </c>
      <c r="Q356" s="44">
        <v>694241</v>
      </c>
      <c r="R356" s="42">
        <v>1</v>
      </c>
      <c r="S356" s="48">
        <v>682.4</v>
      </c>
      <c r="T356" s="44">
        <v>120.503</v>
      </c>
      <c r="U356" s="44">
        <v>4858.0029999999997</v>
      </c>
      <c r="V356" s="45">
        <v>2.4099999999999998E-3</v>
      </c>
      <c r="W356" s="45">
        <v>1.31086772167406E-2</v>
      </c>
      <c r="X356" s="45">
        <v>1.97935989046563E-3</v>
      </c>
    </row>
    <row r="357" spans="1:24" x14ac:dyDescent="0.25">
      <c r="A357">
        <v>424</v>
      </c>
      <c r="B357">
        <v>7228</v>
      </c>
      <c r="C357" t="s">
        <v>911</v>
      </c>
      <c r="D357" t="s">
        <v>912</v>
      </c>
      <c r="E357" t="s">
        <v>210</v>
      </c>
      <c r="F357" t="s">
        <v>913</v>
      </c>
      <c r="G357" t="s">
        <v>914</v>
      </c>
      <c r="H357" t="s">
        <v>213</v>
      </c>
      <c r="I357" t="s">
        <v>753</v>
      </c>
      <c r="J357" t="s">
        <v>71</v>
      </c>
      <c r="K357" t="s">
        <v>215</v>
      </c>
      <c r="L357" t="s">
        <v>216</v>
      </c>
      <c r="M357" t="s">
        <v>117</v>
      </c>
      <c r="N357" t="s">
        <v>830</v>
      </c>
      <c r="O357" t="s">
        <v>72</v>
      </c>
      <c r="P357" t="s">
        <v>81</v>
      </c>
      <c r="Q357" s="44">
        <v>10305</v>
      </c>
      <c r="R357" s="42">
        <v>1</v>
      </c>
      <c r="S357" s="48">
        <v>21310</v>
      </c>
      <c r="U357" s="44">
        <v>2195.9949999999999</v>
      </c>
      <c r="V357" s="45">
        <v>2.1699999999999999E-4</v>
      </c>
      <c r="W357" s="45">
        <v>5.9256026608868204E-3</v>
      </c>
      <c r="X357" s="45">
        <v>8.9474323304087797E-4</v>
      </c>
    </row>
    <row r="358" spans="1:24" x14ac:dyDescent="0.25">
      <c r="A358">
        <v>424</v>
      </c>
      <c r="B358">
        <v>7228</v>
      </c>
      <c r="C358" t="s">
        <v>915</v>
      </c>
      <c r="D358" t="s">
        <v>916</v>
      </c>
      <c r="E358" t="s">
        <v>210</v>
      </c>
      <c r="F358" t="s">
        <v>917</v>
      </c>
      <c r="G358" t="s">
        <v>918</v>
      </c>
      <c r="H358" t="s">
        <v>213</v>
      </c>
      <c r="I358" t="s">
        <v>753</v>
      </c>
      <c r="J358" t="s">
        <v>71</v>
      </c>
      <c r="K358" t="s">
        <v>71</v>
      </c>
      <c r="L358" t="s">
        <v>216</v>
      </c>
      <c r="M358" t="s">
        <v>117</v>
      </c>
      <c r="N358" t="s">
        <v>258</v>
      </c>
      <c r="O358" t="s">
        <v>72</v>
      </c>
      <c r="P358" t="s">
        <v>81</v>
      </c>
      <c r="Q358" s="44">
        <v>216496.9</v>
      </c>
      <c r="R358" s="42">
        <v>1</v>
      </c>
      <c r="S358" s="48">
        <v>382</v>
      </c>
      <c r="U358" s="44">
        <v>827.01800000000003</v>
      </c>
      <c r="V358" s="45">
        <v>2.013E-3</v>
      </c>
      <c r="W358" s="45">
        <v>2.2315988341718002E-3</v>
      </c>
      <c r="X358" s="45">
        <v>3.3696284918272002E-4</v>
      </c>
    </row>
    <row r="359" spans="1:24" x14ac:dyDescent="0.25">
      <c r="A359">
        <v>424</v>
      </c>
      <c r="B359">
        <v>7228</v>
      </c>
      <c r="C359" t="s">
        <v>919</v>
      </c>
      <c r="D359" t="s">
        <v>920</v>
      </c>
      <c r="E359" t="s">
        <v>210</v>
      </c>
      <c r="F359" t="s">
        <v>921</v>
      </c>
      <c r="G359" t="s">
        <v>922</v>
      </c>
      <c r="H359" t="s">
        <v>213</v>
      </c>
      <c r="I359" t="s">
        <v>753</v>
      </c>
      <c r="J359" t="s">
        <v>71</v>
      </c>
      <c r="K359" t="s">
        <v>71</v>
      </c>
      <c r="L359" t="s">
        <v>216</v>
      </c>
      <c r="M359" t="s">
        <v>117</v>
      </c>
      <c r="N359" t="s">
        <v>856</v>
      </c>
      <c r="O359" t="s">
        <v>72</v>
      </c>
      <c r="P359" t="s">
        <v>81</v>
      </c>
      <c r="Q359" s="44">
        <v>77189</v>
      </c>
      <c r="R359" s="42">
        <v>1</v>
      </c>
      <c r="S359" s="48">
        <v>7800</v>
      </c>
      <c r="U359" s="44">
        <v>6020.7420000000002</v>
      </c>
      <c r="V359" s="45">
        <v>6.5700000000000003E-4</v>
      </c>
      <c r="W359" s="45">
        <v>1.62461739178031E-2</v>
      </c>
      <c r="X359" s="45">
        <v>2.4531098366936599E-3</v>
      </c>
    </row>
    <row r="360" spans="1:24" x14ac:dyDescent="0.25">
      <c r="A360">
        <v>424</v>
      </c>
      <c r="B360">
        <v>7228</v>
      </c>
      <c r="C360" t="s">
        <v>923</v>
      </c>
      <c r="D360" t="s">
        <v>924</v>
      </c>
      <c r="E360" t="s">
        <v>210</v>
      </c>
      <c r="F360" t="s">
        <v>925</v>
      </c>
      <c r="G360" t="s">
        <v>926</v>
      </c>
      <c r="H360" t="s">
        <v>213</v>
      </c>
      <c r="I360" t="s">
        <v>753</v>
      </c>
      <c r="J360" t="s">
        <v>71</v>
      </c>
      <c r="K360" t="s">
        <v>71</v>
      </c>
      <c r="L360" t="s">
        <v>216</v>
      </c>
      <c r="M360" t="s">
        <v>117</v>
      </c>
      <c r="N360" t="s">
        <v>764</v>
      </c>
      <c r="O360" t="s">
        <v>72</v>
      </c>
      <c r="P360" t="s">
        <v>81</v>
      </c>
      <c r="Q360" s="44">
        <v>161464</v>
      </c>
      <c r="R360" s="42">
        <v>1</v>
      </c>
      <c r="S360" s="48">
        <v>2245</v>
      </c>
      <c r="T360" s="44">
        <v>36.137999999999998</v>
      </c>
      <c r="U360" s="44">
        <v>3661.0050000000001</v>
      </c>
      <c r="V360" s="45">
        <v>4.5199999999999998E-4</v>
      </c>
      <c r="W360" s="45">
        <v>9.8787361810129398E-3</v>
      </c>
      <c r="X360" s="45">
        <v>1.49165120491467E-3</v>
      </c>
    </row>
    <row r="361" spans="1:24" x14ac:dyDescent="0.25">
      <c r="A361">
        <v>424</v>
      </c>
      <c r="B361">
        <v>7228</v>
      </c>
      <c r="C361" t="s">
        <v>927</v>
      </c>
      <c r="D361" t="s">
        <v>928</v>
      </c>
      <c r="E361" t="s">
        <v>210</v>
      </c>
      <c r="F361" t="s">
        <v>929</v>
      </c>
      <c r="G361" t="s">
        <v>930</v>
      </c>
      <c r="H361" t="s">
        <v>213</v>
      </c>
      <c r="I361" t="s">
        <v>753</v>
      </c>
      <c r="J361" t="s">
        <v>71</v>
      </c>
      <c r="K361" t="s">
        <v>215</v>
      </c>
      <c r="L361" t="s">
        <v>216</v>
      </c>
      <c r="M361" t="s">
        <v>117</v>
      </c>
      <c r="N361" t="s">
        <v>931</v>
      </c>
      <c r="O361" t="s">
        <v>72</v>
      </c>
      <c r="P361" t="s">
        <v>81</v>
      </c>
      <c r="Q361" s="44">
        <v>15900</v>
      </c>
      <c r="R361" s="42">
        <v>1</v>
      </c>
      <c r="S361" s="48">
        <v>10080</v>
      </c>
      <c r="U361" s="44">
        <v>1602.72</v>
      </c>
      <c r="V361" s="45">
        <v>1.418E-3</v>
      </c>
      <c r="W361" s="45">
        <v>4.3247273943213997E-3</v>
      </c>
      <c r="X361" s="45">
        <v>6.5301721905134899E-4</v>
      </c>
    </row>
    <row r="362" spans="1:24" x14ac:dyDescent="0.25">
      <c r="A362">
        <v>424</v>
      </c>
      <c r="B362">
        <v>7228</v>
      </c>
      <c r="C362" t="s">
        <v>932</v>
      </c>
      <c r="D362" t="s">
        <v>933</v>
      </c>
      <c r="E362" t="s">
        <v>613</v>
      </c>
      <c r="F362" t="s">
        <v>934</v>
      </c>
      <c r="G362" t="s">
        <v>935</v>
      </c>
      <c r="H362" t="s">
        <v>213</v>
      </c>
      <c r="I362" t="s">
        <v>753</v>
      </c>
      <c r="J362" t="s">
        <v>85</v>
      </c>
      <c r="K362" t="s">
        <v>291</v>
      </c>
      <c r="L362" t="s">
        <v>216</v>
      </c>
      <c r="M362" t="s">
        <v>936</v>
      </c>
      <c r="N362" t="s">
        <v>937</v>
      </c>
      <c r="O362" t="s">
        <v>72</v>
      </c>
      <c r="P362" t="s">
        <v>75</v>
      </c>
      <c r="Q362" s="44">
        <v>9542</v>
      </c>
      <c r="R362" s="42">
        <v>3.718</v>
      </c>
      <c r="S362" s="48">
        <v>10274</v>
      </c>
      <c r="U362" s="44">
        <v>3644.9229999999998</v>
      </c>
      <c r="V362" s="45">
        <v>6.0000000000000002E-6</v>
      </c>
      <c r="W362" s="45">
        <v>9.8353414073999897E-3</v>
      </c>
      <c r="X362" s="45">
        <v>1.4850987608407899E-3</v>
      </c>
    </row>
    <row r="363" spans="1:24" x14ac:dyDescent="0.25">
      <c r="A363">
        <v>424</v>
      </c>
      <c r="B363">
        <v>7228</v>
      </c>
      <c r="C363" t="s">
        <v>938</v>
      </c>
      <c r="D363" t="s">
        <v>939</v>
      </c>
      <c r="E363" t="s">
        <v>613</v>
      </c>
      <c r="F363" t="s">
        <v>940</v>
      </c>
      <c r="G363" t="s">
        <v>941</v>
      </c>
      <c r="H363" t="s">
        <v>213</v>
      </c>
      <c r="I363" t="s">
        <v>753</v>
      </c>
      <c r="J363" t="s">
        <v>85</v>
      </c>
      <c r="L363" t="s">
        <v>216</v>
      </c>
      <c r="M363" t="s">
        <v>286</v>
      </c>
      <c r="N363" t="s">
        <v>942</v>
      </c>
      <c r="O363" t="s">
        <v>72</v>
      </c>
      <c r="P363" t="s">
        <v>75</v>
      </c>
      <c r="Q363" s="44">
        <v>8020</v>
      </c>
      <c r="R363" s="42">
        <v>3.718</v>
      </c>
      <c r="S363" s="48">
        <v>11946</v>
      </c>
      <c r="U363" s="44">
        <v>3562.1010000000001</v>
      </c>
      <c r="V363" s="45">
        <v>2.3E-5</v>
      </c>
      <c r="W363" s="45">
        <v>9.6118579734337899E-3</v>
      </c>
      <c r="X363" s="45">
        <v>1.45135362103284E-3</v>
      </c>
    </row>
    <row r="364" spans="1:24" x14ac:dyDescent="0.25">
      <c r="A364">
        <v>424</v>
      </c>
      <c r="B364">
        <v>7228</v>
      </c>
      <c r="C364" t="s">
        <v>943</v>
      </c>
      <c r="D364" t="s">
        <v>944</v>
      </c>
      <c r="E364" t="s">
        <v>613</v>
      </c>
      <c r="F364" t="s">
        <v>945</v>
      </c>
      <c r="G364" t="s">
        <v>946</v>
      </c>
      <c r="H364" t="s">
        <v>213</v>
      </c>
      <c r="I364" t="s">
        <v>753</v>
      </c>
      <c r="J364" t="s">
        <v>85</v>
      </c>
      <c r="K364" t="s">
        <v>291</v>
      </c>
      <c r="L364" t="s">
        <v>216</v>
      </c>
      <c r="M364" t="s">
        <v>936</v>
      </c>
      <c r="N364" t="s">
        <v>947</v>
      </c>
      <c r="O364" t="s">
        <v>72</v>
      </c>
      <c r="P364" t="s">
        <v>75</v>
      </c>
      <c r="Q364" s="44">
        <v>19076</v>
      </c>
      <c r="R364" s="42">
        <v>3.718</v>
      </c>
      <c r="S364" s="48">
        <v>19026</v>
      </c>
      <c r="U364" s="44">
        <v>13494.108</v>
      </c>
      <c r="V364" s="45">
        <v>1.9999999999999999E-6</v>
      </c>
      <c r="W364" s="45">
        <v>3.6412061907359801E-2</v>
      </c>
      <c r="X364" s="45">
        <v>5.4980814369689698E-3</v>
      </c>
    </row>
    <row r="365" spans="1:24" x14ac:dyDescent="0.25">
      <c r="A365">
        <v>424</v>
      </c>
      <c r="B365">
        <v>7228</v>
      </c>
      <c r="C365" t="s">
        <v>948</v>
      </c>
      <c r="D365" t="s">
        <v>949</v>
      </c>
      <c r="E365" t="s">
        <v>613</v>
      </c>
      <c r="F365" t="s">
        <v>950</v>
      </c>
      <c r="G365" t="s">
        <v>951</v>
      </c>
      <c r="H365" t="s">
        <v>213</v>
      </c>
      <c r="I365" t="s">
        <v>753</v>
      </c>
      <c r="J365" t="s">
        <v>85</v>
      </c>
      <c r="K365" t="s">
        <v>291</v>
      </c>
      <c r="L365" t="s">
        <v>216</v>
      </c>
      <c r="M365" t="s">
        <v>286</v>
      </c>
      <c r="N365" t="s">
        <v>952</v>
      </c>
      <c r="O365" t="s">
        <v>72</v>
      </c>
      <c r="P365" t="s">
        <v>75</v>
      </c>
      <c r="Q365" s="44">
        <v>6625</v>
      </c>
      <c r="R365" s="42">
        <v>3.718</v>
      </c>
      <c r="S365" s="48">
        <v>14512</v>
      </c>
      <c r="U365" s="44">
        <v>3574.56</v>
      </c>
      <c r="V365" s="45">
        <v>7.9999999999999996E-6</v>
      </c>
      <c r="W365" s="45">
        <v>9.6454749748960799E-3</v>
      </c>
      <c r="X365" s="45">
        <v>1.4564296590824401E-3</v>
      </c>
    </row>
    <row r="366" spans="1:24" x14ac:dyDescent="0.25">
      <c r="A366">
        <v>424</v>
      </c>
      <c r="B366">
        <v>7228</v>
      </c>
      <c r="C366" t="s">
        <v>953</v>
      </c>
      <c r="D366" t="s">
        <v>954</v>
      </c>
      <c r="E366" t="s">
        <v>613</v>
      </c>
      <c r="F366" t="s">
        <v>955</v>
      </c>
      <c r="G366" t="s">
        <v>956</v>
      </c>
      <c r="H366" t="s">
        <v>213</v>
      </c>
      <c r="I366" t="s">
        <v>753</v>
      </c>
      <c r="J366" t="s">
        <v>85</v>
      </c>
      <c r="K366" t="s">
        <v>291</v>
      </c>
      <c r="L366" t="s">
        <v>216</v>
      </c>
      <c r="M366" t="s">
        <v>936</v>
      </c>
      <c r="N366" t="s">
        <v>957</v>
      </c>
      <c r="O366" t="s">
        <v>72</v>
      </c>
      <c r="P366" t="s">
        <v>75</v>
      </c>
      <c r="Q366" s="44">
        <v>2866</v>
      </c>
      <c r="R366" s="42">
        <v>3.718</v>
      </c>
      <c r="S366" s="48">
        <v>53258</v>
      </c>
      <c r="U366" s="44">
        <v>5675.06</v>
      </c>
      <c r="V366" s="45">
        <v>1.9999999999999999E-6</v>
      </c>
      <c r="W366" s="45">
        <v>1.53133957272212E-2</v>
      </c>
      <c r="X366" s="45">
        <v>2.3122639140569301E-3</v>
      </c>
    </row>
    <row r="367" spans="1:24" x14ac:dyDescent="0.25">
      <c r="A367">
        <v>424</v>
      </c>
      <c r="B367">
        <v>7228</v>
      </c>
      <c r="C367" t="s">
        <v>958</v>
      </c>
      <c r="D367" t="s">
        <v>959</v>
      </c>
      <c r="E367" t="s">
        <v>613</v>
      </c>
      <c r="F367" t="s">
        <v>960</v>
      </c>
      <c r="G367" t="s">
        <v>961</v>
      </c>
      <c r="H367" t="s">
        <v>213</v>
      </c>
      <c r="I367" t="s">
        <v>753</v>
      </c>
      <c r="J367" t="s">
        <v>85</v>
      </c>
      <c r="K367" t="s">
        <v>291</v>
      </c>
      <c r="L367" t="s">
        <v>216</v>
      </c>
      <c r="M367" t="s">
        <v>936</v>
      </c>
      <c r="N367" t="s">
        <v>680</v>
      </c>
      <c r="O367" t="s">
        <v>72</v>
      </c>
      <c r="P367" t="s">
        <v>75</v>
      </c>
      <c r="Q367" s="44">
        <v>9535</v>
      </c>
      <c r="R367" s="42">
        <v>3.718</v>
      </c>
      <c r="S367" s="48">
        <v>13684</v>
      </c>
      <c r="U367" s="44">
        <v>4851.1329999999998</v>
      </c>
      <c r="V367" s="45">
        <v>5.5999999999999999E-5</v>
      </c>
      <c r="W367" s="45">
        <v>1.3090138124555501E-2</v>
      </c>
      <c r="X367" s="45">
        <v>1.9765605587809699E-3</v>
      </c>
    </row>
    <row r="368" spans="1:24" x14ac:dyDescent="0.25">
      <c r="A368">
        <v>424</v>
      </c>
      <c r="B368">
        <v>7228</v>
      </c>
      <c r="C368" t="s">
        <v>962</v>
      </c>
      <c r="D368" t="s">
        <v>963</v>
      </c>
      <c r="E368" t="s">
        <v>210</v>
      </c>
      <c r="F368" t="s">
        <v>964</v>
      </c>
      <c r="G368" t="s">
        <v>965</v>
      </c>
      <c r="H368" t="s">
        <v>213</v>
      </c>
      <c r="I368" t="s">
        <v>753</v>
      </c>
      <c r="J368" t="s">
        <v>85</v>
      </c>
      <c r="K368" t="s">
        <v>291</v>
      </c>
      <c r="L368" t="s">
        <v>216</v>
      </c>
      <c r="M368" t="s">
        <v>966</v>
      </c>
      <c r="N368" t="s">
        <v>680</v>
      </c>
      <c r="O368" t="s">
        <v>72</v>
      </c>
      <c r="P368" t="s">
        <v>75</v>
      </c>
      <c r="Q368" s="44">
        <v>94000</v>
      </c>
      <c r="R368" s="42">
        <v>3.718</v>
      </c>
      <c r="S368" s="48">
        <v>100</v>
      </c>
      <c r="U368" s="44">
        <v>349.49200000000002</v>
      </c>
      <c r="V368" s="45">
        <v>0</v>
      </c>
      <c r="W368" s="45">
        <v>9.4305781826905198E-4</v>
      </c>
      <c r="X368" s="45">
        <v>1.4239810691867201E-4</v>
      </c>
    </row>
    <row r="369" spans="1:24" x14ac:dyDescent="0.25">
      <c r="A369">
        <v>424</v>
      </c>
      <c r="B369">
        <v>7228</v>
      </c>
      <c r="C369" t="s">
        <v>1097</v>
      </c>
      <c r="D369" t="s">
        <v>1098</v>
      </c>
      <c r="E369" t="s">
        <v>210</v>
      </c>
      <c r="F369" t="s">
        <v>1099</v>
      </c>
      <c r="G369" t="s">
        <v>1100</v>
      </c>
      <c r="H369" t="s">
        <v>213</v>
      </c>
      <c r="I369" t="s">
        <v>753</v>
      </c>
      <c r="J369" t="s">
        <v>85</v>
      </c>
      <c r="K369" t="s">
        <v>291</v>
      </c>
      <c r="L369" t="s">
        <v>216</v>
      </c>
      <c r="M369" t="s">
        <v>966</v>
      </c>
      <c r="N369" t="s">
        <v>1040</v>
      </c>
      <c r="O369" t="s">
        <v>72</v>
      </c>
      <c r="P369" t="s">
        <v>75</v>
      </c>
      <c r="Q369" s="44">
        <v>1900</v>
      </c>
      <c r="R369" s="42">
        <v>3.718</v>
      </c>
      <c r="S369" s="48">
        <v>1520</v>
      </c>
      <c r="U369" s="44">
        <v>107.376</v>
      </c>
      <c r="V369" s="45">
        <v>1.45E-4</v>
      </c>
      <c r="W369" s="45">
        <v>2.8973946586819402E-4</v>
      </c>
      <c r="X369" s="45">
        <v>4.3749546040545202E-5</v>
      </c>
    </row>
    <row r="370" spans="1:24" x14ac:dyDescent="0.25">
      <c r="A370">
        <v>424</v>
      </c>
      <c r="B370">
        <v>7228</v>
      </c>
      <c r="C370" t="s">
        <v>967</v>
      </c>
      <c r="D370" t="s">
        <v>968</v>
      </c>
      <c r="E370" t="s">
        <v>613</v>
      </c>
      <c r="F370" t="s">
        <v>969</v>
      </c>
      <c r="G370" t="s">
        <v>970</v>
      </c>
      <c r="H370" t="s">
        <v>213</v>
      </c>
      <c r="I370" t="s">
        <v>753</v>
      </c>
      <c r="J370" t="s">
        <v>85</v>
      </c>
      <c r="K370" t="s">
        <v>291</v>
      </c>
      <c r="L370" t="s">
        <v>216</v>
      </c>
      <c r="M370" t="s">
        <v>936</v>
      </c>
      <c r="N370" t="s">
        <v>616</v>
      </c>
      <c r="O370" t="s">
        <v>72</v>
      </c>
      <c r="P370" t="s">
        <v>75</v>
      </c>
      <c r="Q370" s="44">
        <v>47500</v>
      </c>
      <c r="R370" s="42">
        <v>3.718</v>
      </c>
      <c r="S370" s="48">
        <v>3308</v>
      </c>
      <c r="U370" s="44">
        <v>5842.0929999999998</v>
      </c>
      <c r="V370" s="45">
        <v>1.16E-4</v>
      </c>
      <c r="W370" s="45">
        <v>1.5764114360065602E-2</v>
      </c>
      <c r="X370" s="45">
        <v>2.38032069575861E-3</v>
      </c>
    </row>
    <row r="371" spans="1:24" x14ac:dyDescent="0.25">
      <c r="A371">
        <v>424</v>
      </c>
      <c r="B371">
        <v>7228</v>
      </c>
      <c r="C371" t="s">
        <v>971</v>
      </c>
      <c r="D371" t="s">
        <v>972</v>
      </c>
      <c r="E371" t="s">
        <v>613</v>
      </c>
      <c r="F371" t="s">
        <v>973</v>
      </c>
      <c r="G371" t="s">
        <v>974</v>
      </c>
      <c r="H371" t="s">
        <v>213</v>
      </c>
      <c r="I371" t="s">
        <v>753</v>
      </c>
      <c r="J371" t="s">
        <v>85</v>
      </c>
      <c r="K371" t="s">
        <v>291</v>
      </c>
      <c r="L371" t="s">
        <v>216</v>
      </c>
      <c r="M371" t="s">
        <v>936</v>
      </c>
      <c r="N371" t="s">
        <v>975</v>
      </c>
      <c r="O371" t="s">
        <v>72</v>
      </c>
      <c r="P371" t="s">
        <v>75</v>
      </c>
      <c r="Q371" s="44">
        <v>8287</v>
      </c>
      <c r="R371" s="42">
        <v>3.718</v>
      </c>
      <c r="S371" s="48">
        <v>15623</v>
      </c>
      <c r="U371" s="44">
        <v>4813.6130000000003</v>
      </c>
      <c r="V371" s="45">
        <v>9.9999999999999995E-7</v>
      </c>
      <c r="W371" s="45">
        <v>1.2988895951824699E-2</v>
      </c>
      <c r="X371" s="45">
        <v>1.9612733797152501E-3</v>
      </c>
    </row>
    <row r="372" spans="1:24" x14ac:dyDescent="0.25">
      <c r="A372">
        <v>424</v>
      </c>
      <c r="B372">
        <v>7228</v>
      </c>
      <c r="C372" t="s">
        <v>976</v>
      </c>
      <c r="D372" t="s">
        <v>977</v>
      </c>
      <c r="E372" t="s">
        <v>613</v>
      </c>
      <c r="F372" t="s">
        <v>978</v>
      </c>
      <c r="G372" t="s">
        <v>979</v>
      </c>
      <c r="H372" t="s">
        <v>213</v>
      </c>
      <c r="I372" t="s">
        <v>753</v>
      </c>
      <c r="J372" t="s">
        <v>85</v>
      </c>
      <c r="L372" t="s">
        <v>216</v>
      </c>
      <c r="M372" t="s">
        <v>286</v>
      </c>
      <c r="N372" t="s">
        <v>952</v>
      </c>
      <c r="O372" t="s">
        <v>72</v>
      </c>
      <c r="P372" t="s">
        <v>75</v>
      </c>
      <c r="Q372" s="44">
        <v>40533</v>
      </c>
      <c r="R372" s="42">
        <v>3.718</v>
      </c>
      <c r="S372" s="48">
        <v>2271</v>
      </c>
      <c r="U372" s="44">
        <v>3422.4349999999999</v>
      </c>
      <c r="V372" s="45">
        <v>1.0000000000000001E-5</v>
      </c>
      <c r="W372" s="45">
        <v>9.2349882921574193E-3</v>
      </c>
      <c r="X372" s="45">
        <v>1.3944477472579899E-3</v>
      </c>
    </row>
    <row r="373" spans="1:24" x14ac:dyDescent="0.25">
      <c r="A373">
        <v>424</v>
      </c>
      <c r="B373">
        <v>7228</v>
      </c>
      <c r="C373" t="s">
        <v>980</v>
      </c>
      <c r="D373" t="s">
        <v>981</v>
      </c>
      <c r="E373" t="s">
        <v>613</v>
      </c>
      <c r="F373" t="s">
        <v>982</v>
      </c>
      <c r="G373" t="s">
        <v>983</v>
      </c>
      <c r="H373" t="s">
        <v>213</v>
      </c>
      <c r="I373" t="s">
        <v>753</v>
      </c>
      <c r="J373" t="s">
        <v>85</v>
      </c>
      <c r="K373" t="s">
        <v>984</v>
      </c>
      <c r="L373" t="s">
        <v>216</v>
      </c>
      <c r="M373" t="s">
        <v>286</v>
      </c>
      <c r="N373" t="s">
        <v>985</v>
      </c>
      <c r="O373" t="s">
        <v>72</v>
      </c>
      <c r="P373" t="s">
        <v>75</v>
      </c>
      <c r="Q373" s="44">
        <v>19566.91</v>
      </c>
      <c r="R373" s="42">
        <v>3.718</v>
      </c>
      <c r="S373" s="48">
        <v>16822</v>
      </c>
      <c r="U373" s="44">
        <v>12237.967000000001</v>
      </c>
      <c r="V373" s="45">
        <v>0</v>
      </c>
      <c r="W373" s="45">
        <v>3.30225299197629E-2</v>
      </c>
      <c r="X373" s="45">
        <v>4.9862751309038703E-3</v>
      </c>
    </row>
    <row r="374" spans="1:24" x14ac:dyDescent="0.25">
      <c r="A374">
        <v>424</v>
      </c>
      <c r="B374">
        <v>7228</v>
      </c>
      <c r="C374" t="s">
        <v>986</v>
      </c>
      <c r="D374" t="s">
        <v>987</v>
      </c>
      <c r="E374" t="s">
        <v>613</v>
      </c>
      <c r="F374" t="s">
        <v>988</v>
      </c>
      <c r="G374" t="s">
        <v>989</v>
      </c>
      <c r="H374" t="s">
        <v>213</v>
      </c>
      <c r="I374" t="s">
        <v>753</v>
      </c>
      <c r="J374" t="s">
        <v>85</v>
      </c>
      <c r="K374" t="s">
        <v>990</v>
      </c>
      <c r="L374" t="s">
        <v>216</v>
      </c>
      <c r="M374" t="s">
        <v>991</v>
      </c>
      <c r="N374" t="s">
        <v>992</v>
      </c>
      <c r="O374" t="s">
        <v>72</v>
      </c>
      <c r="P374" t="s">
        <v>77</v>
      </c>
      <c r="Q374" s="44">
        <v>1830</v>
      </c>
      <c r="R374" s="42">
        <v>4.0218999999999996</v>
      </c>
      <c r="S374" s="48">
        <v>57170</v>
      </c>
      <c r="U374" s="44">
        <v>4207.7560000000003</v>
      </c>
      <c r="V374" s="45">
        <v>3.9999999999999998E-6</v>
      </c>
      <c r="W374" s="45">
        <v>1.1354071660806E-2</v>
      </c>
      <c r="X374" s="45">
        <v>1.7144211934802601E-3</v>
      </c>
    </row>
    <row r="375" spans="1:24" x14ac:dyDescent="0.25">
      <c r="A375">
        <v>424</v>
      </c>
      <c r="B375">
        <v>7228</v>
      </c>
      <c r="C375" t="s">
        <v>993</v>
      </c>
      <c r="D375" t="s">
        <v>994</v>
      </c>
      <c r="E375" t="s">
        <v>613</v>
      </c>
      <c r="F375" t="s">
        <v>995</v>
      </c>
      <c r="G375" t="s">
        <v>996</v>
      </c>
      <c r="H375" t="s">
        <v>213</v>
      </c>
      <c r="I375" t="s">
        <v>753</v>
      </c>
      <c r="J375" t="s">
        <v>85</v>
      </c>
      <c r="K375" t="s">
        <v>291</v>
      </c>
      <c r="L375" t="s">
        <v>216</v>
      </c>
      <c r="M375" t="s">
        <v>966</v>
      </c>
      <c r="N375" t="s">
        <v>957</v>
      </c>
      <c r="O375" t="s">
        <v>72</v>
      </c>
      <c r="P375" t="s">
        <v>75</v>
      </c>
      <c r="Q375" s="44">
        <v>3200</v>
      </c>
      <c r="R375" s="42">
        <v>3.718</v>
      </c>
      <c r="S375" s="48">
        <v>54812</v>
      </c>
      <c r="U375" s="44">
        <v>6521.3130000000001</v>
      </c>
      <c r="V375" s="45">
        <v>1.9999999999999999E-6</v>
      </c>
      <c r="W375" s="45">
        <v>1.7596897067221499E-2</v>
      </c>
      <c r="X375" s="45">
        <v>2.6570638421876602E-3</v>
      </c>
    </row>
    <row r="376" spans="1:24" x14ac:dyDescent="0.25">
      <c r="A376">
        <v>424</v>
      </c>
      <c r="B376">
        <v>7228</v>
      </c>
      <c r="C376" t="s">
        <v>997</v>
      </c>
      <c r="D376" t="s">
        <v>998</v>
      </c>
      <c r="E376" t="s">
        <v>613</v>
      </c>
      <c r="F376" t="s">
        <v>999</v>
      </c>
      <c r="G376" t="s">
        <v>1000</v>
      </c>
      <c r="H376" t="s">
        <v>213</v>
      </c>
      <c r="I376" t="s">
        <v>753</v>
      </c>
      <c r="J376" t="s">
        <v>85</v>
      </c>
      <c r="K376" t="s">
        <v>1001</v>
      </c>
      <c r="L376" t="s">
        <v>216</v>
      </c>
      <c r="M376" t="s">
        <v>286</v>
      </c>
      <c r="N376" t="s">
        <v>992</v>
      </c>
      <c r="O376" t="s">
        <v>72</v>
      </c>
      <c r="P376" t="s">
        <v>75</v>
      </c>
      <c r="Q376" s="44">
        <v>569</v>
      </c>
      <c r="R376" s="42">
        <v>3.718</v>
      </c>
      <c r="S376" s="48">
        <v>195087</v>
      </c>
      <c r="U376" s="44">
        <v>4127.1469999999999</v>
      </c>
      <c r="V376" s="45">
        <v>1.2E-5</v>
      </c>
      <c r="W376" s="45">
        <v>1.1136560044385201E-2</v>
      </c>
      <c r="X376" s="45">
        <v>1.6815777751753201E-3</v>
      </c>
    </row>
    <row r="377" spans="1:24" x14ac:dyDescent="0.25">
      <c r="A377">
        <v>424</v>
      </c>
      <c r="B377">
        <v>7228</v>
      </c>
      <c r="C377" t="s">
        <v>1002</v>
      </c>
      <c r="D377" t="s">
        <v>1003</v>
      </c>
      <c r="E377" t="s">
        <v>613</v>
      </c>
      <c r="F377" t="s">
        <v>1004</v>
      </c>
      <c r="G377" t="s">
        <v>1005</v>
      </c>
      <c r="H377" t="s">
        <v>213</v>
      </c>
      <c r="I377" t="s">
        <v>753</v>
      </c>
      <c r="J377" t="s">
        <v>85</v>
      </c>
      <c r="K377" t="s">
        <v>291</v>
      </c>
      <c r="L377" t="s">
        <v>216</v>
      </c>
      <c r="M377" t="s">
        <v>966</v>
      </c>
      <c r="N377" t="s">
        <v>680</v>
      </c>
      <c r="O377" t="s">
        <v>72</v>
      </c>
      <c r="P377" t="s">
        <v>75</v>
      </c>
      <c r="Q377" s="44">
        <v>0</v>
      </c>
      <c r="R377" s="42">
        <v>3.718</v>
      </c>
      <c r="S377" s="48">
        <v>0</v>
      </c>
      <c r="T377" s="44">
        <v>8.5459999999999994</v>
      </c>
      <c r="U377" s="44">
        <v>31.774000000000001</v>
      </c>
      <c r="V377" s="45">
        <v>0</v>
      </c>
      <c r="W377" s="45">
        <v>8.5738951047954797E-5</v>
      </c>
      <c r="X377" s="45">
        <v>1.29462521617505E-5</v>
      </c>
    </row>
    <row r="378" spans="1:24" x14ac:dyDescent="0.25">
      <c r="A378">
        <v>424</v>
      </c>
      <c r="B378">
        <v>7228</v>
      </c>
      <c r="C378" t="s">
        <v>1006</v>
      </c>
      <c r="D378" t="s">
        <v>1007</v>
      </c>
      <c r="E378" t="s">
        <v>613</v>
      </c>
      <c r="F378" t="s">
        <v>1008</v>
      </c>
      <c r="G378" t="s">
        <v>1009</v>
      </c>
      <c r="H378" t="s">
        <v>213</v>
      </c>
      <c r="I378" t="s">
        <v>753</v>
      </c>
      <c r="J378" t="s">
        <v>85</v>
      </c>
      <c r="K378" t="s">
        <v>291</v>
      </c>
      <c r="L378" t="s">
        <v>216</v>
      </c>
      <c r="M378" t="s">
        <v>936</v>
      </c>
      <c r="N378" t="s">
        <v>1010</v>
      </c>
      <c r="O378" t="s">
        <v>72</v>
      </c>
      <c r="P378" t="s">
        <v>75</v>
      </c>
      <c r="Q378" s="44">
        <v>9894</v>
      </c>
      <c r="R378" s="42">
        <v>3.718</v>
      </c>
      <c r="S378" s="48">
        <v>37539</v>
      </c>
      <c r="U378" s="44">
        <v>13809.056</v>
      </c>
      <c r="V378" s="45">
        <v>9.9999999999999995E-7</v>
      </c>
      <c r="W378" s="45">
        <v>3.7261906486316901E-2</v>
      </c>
      <c r="X378" s="45">
        <v>5.6264047029175096E-3</v>
      </c>
    </row>
    <row r="379" spans="1:24" x14ac:dyDescent="0.25">
      <c r="A379">
        <v>424</v>
      </c>
      <c r="B379">
        <v>7228</v>
      </c>
      <c r="C379" t="s">
        <v>1011</v>
      </c>
      <c r="D379" t="s">
        <v>1012</v>
      </c>
      <c r="E379" t="s">
        <v>613</v>
      </c>
      <c r="F379" t="s">
        <v>1011</v>
      </c>
      <c r="G379" t="s">
        <v>1013</v>
      </c>
      <c r="H379" t="s">
        <v>213</v>
      </c>
      <c r="I379" t="s">
        <v>753</v>
      </c>
      <c r="J379" t="s">
        <v>85</v>
      </c>
      <c r="K379" t="s">
        <v>291</v>
      </c>
      <c r="L379" t="s">
        <v>216</v>
      </c>
      <c r="M379" t="s">
        <v>936</v>
      </c>
      <c r="N379" t="s">
        <v>680</v>
      </c>
      <c r="O379" t="s">
        <v>72</v>
      </c>
      <c r="P379" t="s">
        <v>75</v>
      </c>
      <c r="Q379" s="44">
        <v>12395</v>
      </c>
      <c r="R379" s="42">
        <v>3.718</v>
      </c>
      <c r="S379" s="48">
        <v>2835</v>
      </c>
      <c r="U379" s="44">
        <v>1306.499</v>
      </c>
      <c r="V379" s="45">
        <v>3.1999999999999999E-5</v>
      </c>
      <c r="W379" s="45">
        <v>3.5254134786017301E-3</v>
      </c>
      <c r="X379" s="45">
        <v>5.3232388909079005E-4</v>
      </c>
    </row>
    <row r="380" spans="1:24" x14ac:dyDescent="0.25">
      <c r="A380">
        <v>424</v>
      </c>
      <c r="B380">
        <v>7228</v>
      </c>
      <c r="C380" t="s">
        <v>1014</v>
      </c>
      <c r="D380" t="s">
        <v>1015</v>
      </c>
      <c r="E380" t="s">
        <v>613</v>
      </c>
      <c r="F380" t="s">
        <v>1016</v>
      </c>
      <c r="G380" t="s">
        <v>1017</v>
      </c>
      <c r="H380" t="s">
        <v>213</v>
      </c>
      <c r="I380" t="s">
        <v>753</v>
      </c>
      <c r="J380" t="s">
        <v>85</v>
      </c>
      <c r="K380" t="s">
        <v>291</v>
      </c>
      <c r="L380" t="s">
        <v>216</v>
      </c>
      <c r="M380" t="s">
        <v>936</v>
      </c>
      <c r="N380" t="s">
        <v>975</v>
      </c>
      <c r="O380" t="s">
        <v>72</v>
      </c>
      <c r="P380" t="s">
        <v>75</v>
      </c>
      <c r="Q380" s="44">
        <v>1500</v>
      </c>
      <c r="R380" s="42">
        <v>3.718</v>
      </c>
      <c r="S380" s="48">
        <v>93253</v>
      </c>
      <c r="U380" s="44">
        <v>5200.72</v>
      </c>
      <c r="V380" s="45">
        <v>3.0000000000000001E-6</v>
      </c>
      <c r="W380" s="45">
        <v>1.4033452775592099E-2</v>
      </c>
      <c r="X380" s="45">
        <v>2.1189974464606801E-3</v>
      </c>
    </row>
    <row r="381" spans="1:24" x14ac:dyDescent="0.25">
      <c r="A381">
        <v>424</v>
      </c>
      <c r="B381">
        <v>7228</v>
      </c>
      <c r="C381" t="s">
        <v>1018</v>
      </c>
      <c r="D381" t="s">
        <v>1019</v>
      </c>
      <c r="E381" t="s">
        <v>613</v>
      </c>
      <c r="F381" t="s">
        <v>1020</v>
      </c>
      <c r="G381" t="s">
        <v>1021</v>
      </c>
      <c r="H381" t="s">
        <v>213</v>
      </c>
      <c r="I381" t="s">
        <v>753</v>
      </c>
      <c r="J381" t="s">
        <v>85</v>
      </c>
      <c r="K381" t="s">
        <v>291</v>
      </c>
      <c r="L381" t="s">
        <v>216</v>
      </c>
      <c r="M381" t="s">
        <v>1022</v>
      </c>
      <c r="N381" t="s">
        <v>1023</v>
      </c>
      <c r="O381" t="s">
        <v>72</v>
      </c>
      <c r="P381" t="s">
        <v>75</v>
      </c>
      <c r="Q381" s="44">
        <v>18488</v>
      </c>
      <c r="R381" s="42">
        <v>3.718</v>
      </c>
      <c r="S381" s="48">
        <v>7089</v>
      </c>
      <c r="U381" s="44">
        <v>4872.8639999999996</v>
      </c>
      <c r="V381" s="45">
        <v>9.0000000000000002E-6</v>
      </c>
      <c r="W381" s="45">
        <v>1.3148777459695501E-2</v>
      </c>
      <c r="X381" s="45">
        <v>1.9854148730691799E-3</v>
      </c>
    </row>
    <row r="382" spans="1:24" x14ac:dyDescent="0.25">
      <c r="A382">
        <v>424</v>
      </c>
      <c r="B382">
        <v>7228</v>
      </c>
      <c r="C382" t="s">
        <v>1024</v>
      </c>
      <c r="D382" t="s">
        <v>1025</v>
      </c>
      <c r="E382" t="s">
        <v>613</v>
      </c>
      <c r="F382" t="s">
        <v>1024</v>
      </c>
      <c r="G382" t="s">
        <v>1026</v>
      </c>
      <c r="H382" t="s">
        <v>213</v>
      </c>
      <c r="I382" t="s">
        <v>753</v>
      </c>
      <c r="J382" t="s">
        <v>85</v>
      </c>
      <c r="K382" t="s">
        <v>291</v>
      </c>
      <c r="L382" t="s">
        <v>216</v>
      </c>
      <c r="M382" t="s">
        <v>966</v>
      </c>
      <c r="N382" t="s">
        <v>947</v>
      </c>
      <c r="O382" t="s">
        <v>72</v>
      </c>
      <c r="P382" t="s">
        <v>75</v>
      </c>
      <c r="Q382" s="44">
        <v>25484</v>
      </c>
      <c r="R382" s="42">
        <v>3.718</v>
      </c>
      <c r="S382" s="48">
        <v>6348</v>
      </c>
      <c r="T382" s="44">
        <v>10.194000000000001</v>
      </c>
      <c r="U382" s="44">
        <v>6052.5990000000002</v>
      </c>
      <c r="V382" s="45">
        <v>2.0999999999999999E-5</v>
      </c>
      <c r="W382" s="45">
        <v>1.6332135339960599E-2</v>
      </c>
      <c r="X382" s="45">
        <v>2.4660896811381102E-3</v>
      </c>
    </row>
    <row r="383" spans="1:24" x14ac:dyDescent="0.25">
      <c r="A383">
        <v>424</v>
      </c>
      <c r="B383">
        <v>7228</v>
      </c>
      <c r="C383" t="s">
        <v>1027</v>
      </c>
      <c r="D383" t="s">
        <v>1028</v>
      </c>
      <c r="E383" t="s">
        <v>613</v>
      </c>
      <c r="F383" t="s">
        <v>1029</v>
      </c>
      <c r="G383" t="s">
        <v>1030</v>
      </c>
      <c r="H383" t="s">
        <v>213</v>
      </c>
      <c r="I383" t="s">
        <v>753</v>
      </c>
      <c r="J383" t="s">
        <v>85</v>
      </c>
      <c r="K383" t="s">
        <v>291</v>
      </c>
      <c r="L383" t="s">
        <v>216</v>
      </c>
      <c r="M383" t="s">
        <v>966</v>
      </c>
      <c r="N383" t="s">
        <v>706</v>
      </c>
      <c r="O383" t="s">
        <v>72</v>
      </c>
      <c r="P383" t="s">
        <v>75</v>
      </c>
      <c r="Q383" s="44">
        <v>2867</v>
      </c>
      <c r="R383" s="42">
        <v>3.718</v>
      </c>
      <c r="S383" s="48">
        <v>51201</v>
      </c>
      <c r="U383" s="44">
        <v>5457.7740000000003</v>
      </c>
      <c r="V383" s="45">
        <v>1.9000000000000001E-5</v>
      </c>
      <c r="W383" s="45">
        <v>1.4727078522724099E-2</v>
      </c>
      <c r="X383" s="45">
        <v>2.22373226906459E-3</v>
      </c>
    </row>
    <row r="384" spans="1:24" x14ac:dyDescent="0.25">
      <c r="A384">
        <v>424</v>
      </c>
      <c r="B384">
        <v>7228</v>
      </c>
      <c r="C384" t="s">
        <v>1031</v>
      </c>
      <c r="D384" t="s">
        <v>1032</v>
      </c>
      <c r="E384" t="s">
        <v>613</v>
      </c>
      <c r="F384" t="s">
        <v>1033</v>
      </c>
      <c r="G384" t="s">
        <v>1034</v>
      </c>
      <c r="H384" t="s">
        <v>213</v>
      </c>
      <c r="I384" t="s">
        <v>753</v>
      </c>
      <c r="J384" t="s">
        <v>85</v>
      </c>
      <c r="K384" t="s">
        <v>291</v>
      </c>
      <c r="L384" t="s">
        <v>216</v>
      </c>
      <c r="M384" t="s">
        <v>936</v>
      </c>
      <c r="N384" t="s">
        <v>937</v>
      </c>
      <c r="O384" t="s">
        <v>72</v>
      </c>
      <c r="P384" t="s">
        <v>75</v>
      </c>
      <c r="Q384" s="44">
        <v>27072</v>
      </c>
      <c r="R384" s="42">
        <v>3.718</v>
      </c>
      <c r="S384" s="48">
        <v>10838</v>
      </c>
      <c r="T384" s="44">
        <v>0.20200000000000001</v>
      </c>
      <c r="U384" s="44">
        <v>10909.6</v>
      </c>
      <c r="V384" s="45">
        <v>9.9999999999999995E-7</v>
      </c>
      <c r="W384" s="45">
        <v>2.9438108500929899E-2</v>
      </c>
      <c r="X384" s="45">
        <v>4.4450412695724497E-3</v>
      </c>
    </row>
    <row r="385" spans="1:24" x14ac:dyDescent="0.25">
      <c r="A385">
        <v>424</v>
      </c>
      <c r="B385">
        <v>7228</v>
      </c>
      <c r="C385" t="s">
        <v>1035</v>
      </c>
      <c r="D385" t="s">
        <v>1036</v>
      </c>
      <c r="E385" t="s">
        <v>613</v>
      </c>
      <c r="F385" t="s">
        <v>1035</v>
      </c>
      <c r="G385" t="s">
        <v>1037</v>
      </c>
      <c r="H385" t="s">
        <v>213</v>
      </c>
      <c r="I385" t="s">
        <v>753</v>
      </c>
      <c r="J385" t="s">
        <v>85</v>
      </c>
      <c r="K385" t="s">
        <v>291</v>
      </c>
      <c r="L385" t="s">
        <v>216</v>
      </c>
      <c r="M385" t="s">
        <v>286</v>
      </c>
      <c r="N385" t="s">
        <v>1038</v>
      </c>
      <c r="O385" t="s">
        <v>72</v>
      </c>
      <c r="P385" t="s">
        <v>75</v>
      </c>
      <c r="Q385" s="44">
        <v>8100</v>
      </c>
      <c r="R385" s="42">
        <v>3.718</v>
      </c>
      <c r="S385" s="48">
        <v>13981</v>
      </c>
      <c r="U385" s="44">
        <v>4210.49</v>
      </c>
      <c r="V385" s="45">
        <v>3.0000000000000001E-6</v>
      </c>
      <c r="W385" s="45">
        <v>1.13614489354765E-2</v>
      </c>
      <c r="X385" s="45">
        <v>1.7155351336087901E-3</v>
      </c>
    </row>
    <row r="386" spans="1:24" x14ac:dyDescent="0.25">
      <c r="A386">
        <v>424</v>
      </c>
      <c r="B386">
        <v>7228</v>
      </c>
      <c r="C386" t="s">
        <v>749</v>
      </c>
      <c r="D386" t="s">
        <v>750</v>
      </c>
      <c r="E386" t="s">
        <v>613</v>
      </c>
      <c r="F386" t="s">
        <v>1039</v>
      </c>
      <c r="G386" t="s">
        <v>752</v>
      </c>
      <c r="H386" t="s">
        <v>213</v>
      </c>
      <c r="I386" t="s">
        <v>753</v>
      </c>
      <c r="J386" t="s">
        <v>85</v>
      </c>
      <c r="K386" t="s">
        <v>291</v>
      </c>
      <c r="L386" t="s">
        <v>216</v>
      </c>
      <c r="M386" t="s">
        <v>966</v>
      </c>
      <c r="N386" t="s">
        <v>1040</v>
      </c>
      <c r="O386" t="s">
        <v>72</v>
      </c>
      <c r="P386" t="s">
        <v>75</v>
      </c>
      <c r="Q386" s="44">
        <v>5900</v>
      </c>
      <c r="R386" s="42">
        <v>3.718</v>
      </c>
      <c r="S386" s="48">
        <v>7077</v>
      </c>
      <c r="U386" s="44">
        <v>1552.425</v>
      </c>
      <c r="V386" s="45">
        <v>9.7E-5</v>
      </c>
      <c r="W386" s="45">
        <v>4.18901266610122E-3</v>
      </c>
      <c r="X386" s="45">
        <v>6.3252481656535199E-4</v>
      </c>
    </row>
    <row r="387" spans="1:24" x14ac:dyDescent="0.25">
      <c r="A387">
        <v>424</v>
      </c>
      <c r="B387">
        <v>7228</v>
      </c>
      <c r="C387" t="s">
        <v>1041</v>
      </c>
      <c r="E387" t="s">
        <v>286</v>
      </c>
      <c r="F387" t="s">
        <v>1042</v>
      </c>
      <c r="G387" t="s">
        <v>1043</v>
      </c>
      <c r="H387" t="s">
        <v>213</v>
      </c>
      <c r="I387" t="s">
        <v>753</v>
      </c>
      <c r="J387" t="s">
        <v>85</v>
      </c>
      <c r="K387" t="s">
        <v>291</v>
      </c>
      <c r="L387" t="s">
        <v>216</v>
      </c>
      <c r="M387" t="s">
        <v>936</v>
      </c>
      <c r="N387" t="s">
        <v>680</v>
      </c>
      <c r="O387" t="s">
        <v>72</v>
      </c>
      <c r="P387" t="s">
        <v>75</v>
      </c>
      <c r="Q387" s="44">
        <v>4344</v>
      </c>
      <c r="R387" s="42">
        <v>3.718</v>
      </c>
      <c r="S387" s="48">
        <v>430</v>
      </c>
      <c r="U387" s="44">
        <v>69.448999999999998</v>
      </c>
      <c r="V387" s="45">
        <v>1.3799999999999999E-4</v>
      </c>
      <c r="W387" s="45">
        <v>1.87399634032035E-4</v>
      </c>
      <c r="X387" s="45">
        <v>2.8296624667609101E-5</v>
      </c>
    </row>
    <row r="388" spans="1:24" x14ac:dyDescent="0.25">
      <c r="A388">
        <v>424</v>
      </c>
      <c r="B388">
        <v>7228</v>
      </c>
      <c r="C388" t="s">
        <v>1044</v>
      </c>
      <c r="D388" t="s">
        <v>1045</v>
      </c>
      <c r="E388" t="s">
        <v>613</v>
      </c>
      <c r="F388" t="s">
        <v>1046</v>
      </c>
      <c r="G388" t="s">
        <v>1047</v>
      </c>
      <c r="H388" t="s">
        <v>213</v>
      </c>
      <c r="I388" t="s">
        <v>753</v>
      </c>
      <c r="J388" t="s">
        <v>85</v>
      </c>
      <c r="K388" t="s">
        <v>291</v>
      </c>
      <c r="L388" t="s">
        <v>216</v>
      </c>
      <c r="M388" t="s">
        <v>966</v>
      </c>
      <c r="N388" t="s">
        <v>1048</v>
      </c>
      <c r="O388" t="s">
        <v>72</v>
      </c>
      <c r="P388" t="s">
        <v>75</v>
      </c>
      <c r="Q388" s="44">
        <v>38081</v>
      </c>
      <c r="R388" s="42">
        <v>3.718</v>
      </c>
      <c r="S388" s="48">
        <v>4180</v>
      </c>
      <c r="T388" s="44">
        <v>10.754</v>
      </c>
      <c r="U388" s="44">
        <v>5958.2420000000002</v>
      </c>
      <c r="V388" s="45">
        <v>2.5999999999999998E-5</v>
      </c>
      <c r="W388" s="45">
        <v>1.60775269927508E-2</v>
      </c>
      <c r="X388" s="45">
        <v>2.4276447990258898E-3</v>
      </c>
    </row>
    <row r="389" spans="1:24" x14ac:dyDescent="0.25">
      <c r="A389">
        <v>424</v>
      </c>
      <c r="B389">
        <v>7228</v>
      </c>
      <c r="C389" t="s">
        <v>1049</v>
      </c>
      <c r="D389" t="s">
        <v>1050</v>
      </c>
      <c r="E389" t="s">
        <v>613</v>
      </c>
      <c r="F389" t="s">
        <v>1051</v>
      </c>
      <c r="G389" t="s">
        <v>1052</v>
      </c>
      <c r="H389" t="s">
        <v>213</v>
      </c>
      <c r="I389" t="s">
        <v>753</v>
      </c>
      <c r="J389" t="s">
        <v>85</v>
      </c>
      <c r="K389" t="s">
        <v>1053</v>
      </c>
      <c r="L389" t="s">
        <v>216</v>
      </c>
      <c r="M389" t="s">
        <v>966</v>
      </c>
      <c r="N389" t="s">
        <v>937</v>
      </c>
      <c r="O389" t="s">
        <v>72</v>
      </c>
      <c r="P389" t="s">
        <v>75</v>
      </c>
      <c r="Q389" s="44">
        <v>16065</v>
      </c>
      <c r="R389" s="42">
        <v>3.718</v>
      </c>
      <c r="S389" s="48">
        <v>16600</v>
      </c>
      <c r="T389" s="44">
        <v>10.946999999999999</v>
      </c>
      <c r="U389" s="44">
        <v>9955.8250000000007</v>
      </c>
      <c r="V389" s="45">
        <v>3.0000000000000001E-6</v>
      </c>
      <c r="W389" s="45">
        <v>2.6864473319168101E-2</v>
      </c>
      <c r="X389" s="45">
        <v>4.0564322461566398E-3</v>
      </c>
    </row>
    <row r="390" spans="1:24" x14ac:dyDescent="0.25">
      <c r="A390">
        <v>424</v>
      </c>
      <c r="B390">
        <v>7228</v>
      </c>
      <c r="C390" t="s">
        <v>1054</v>
      </c>
      <c r="D390" t="s">
        <v>1055</v>
      </c>
      <c r="E390" t="s">
        <v>613</v>
      </c>
      <c r="F390" t="s">
        <v>1056</v>
      </c>
      <c r="G390" t="s">
        <v>1057</v>
      </c>
      <c r="H390" t="s">
        <v>213</v>
      </c>
      <c r="I390" t="s">
        <v>753</v>
      </c>
      <c r="J390" t="s">
        <v>85</v>
      </c>
      <c r="K390" t="s">
        <v>291</v>
      </c>
      <c r="L390" t="s">
        <v>216</v>
      </c>
      <c r="M390" t="s">
        <v>966</v>
      </c>
      <c r="N390" t="s">
        <v>700</v>
      </c>
      <c r="O390" t="s">
        <v>72</v>
      </c>
      <c r="P390" t="s">
        <v>75</v>
      </c>
      <c r="Q390" s="44">
        <v>13705</v>
      </c>
      <c r="R390" s="42">
        <v>3.718</v>
      </c>
      <c r="S390" s="48">
        <v>7286</v>
      </c>
      <c r="U390" s="44">
        <v>3712.5949999999998</v>
      </c>
      <c r="V390" s="45">
        <v>6.9999999999999999E-6</v>
      </c>
      <c r="W390" s="45">
        <v>1.00179456927514E-2</v>
      </c>
      <c r="X390" s="45">
        <v>1.5126713062834499E-3</v>
      </c>
    </row>
    <row r="391" spans="1:24" x14ac:dyDescent="0.25">
      <c r="A391">
        <v>424</v>
      </c>
      <c r="B391">
        <v>7228</v>
      </c>
      <c r="C391" t="s">
        <v>1058</v>
      </c>
      <c r="D391" t="s">
        <v>1059</v>
      </c>
      <c r="E391" t="s">
        <v>613</v>
      </c>
      <c r="F391" t="s">
        <v>1060</v>
      </c>
      <c r="G391" t="s">
        <v>1061</v>
      </c>
      <c r="H391" t="s">
        <v>213</v>
      </c>
      <c r="I391" t="s">
        <v>753</v>
      </c>
      <c r="J391" t="s">
        <v>85</v>
      </c>
      <c r="K391" t="s">
        <v>291</v>
      </c>
      <c r="L391" t="s">
        <v>216</v>
      </c>
      <c r="M391" t="s">
        <v>966</v>
      </c>
      <c r="N391" t="s">
        <v>957</v>
      </c>
      <c r="O391" t="s">
        <v>72</v>
      </c>
      <c r="P391" t="s">
        <v>75</v>
      </c>
      <c r="Q391" s="44">
        <v>6124</v>
      </c>
      <c r="R391" s="42">
        <v>3.718</v>
      </c>
      <c r="S391" s="48">
        <v>35046</v>
      </c>
      <c r="U391" s="44">
        <v>7979.6350000000002</v>
      </c>
      <c r="V391" s="45">
        <v>3.9999999999999998E-6</v>
      </c>
      <c r="W391" s="45">
        <v>2.153198680079E-2</v>
      </c>
      <c r="X391" s="45">
        <v>3.2512472716233602E-3</v>
      </c>
    </row>
    <row r="392" spans="1:24" x14ac:dyDescent="0.25">
      <c r="A392">
        <v>424</v>
      </c>
      <c r="B392">
        <v>7228</v>
      </c>
      <c r="C392" t="s">
        <v>1101</v>
      </c>
      <c r="D392" t="s">
        <v>1102</v>
      </c>
      <c r="E392" t="s">
        <v>210</v>
      </c>
      <c r="F392" t="s">
        <v>1103</v>
      </c>
      <c r="G392" t="s">
        <v>1104</v>
      </c>
      <c r="H392" t="s">
        <v>213</v>
      </c>
      <c r="I392" t="s">
        <v>753</v>
      </c>
      <c r="J392" t="s">
        <v>85</v>
      </c>
      <c r="K392" t="s">
        <v>71</v>
      </c>
      <c r="L392" t="s">
        <v>216</v>
      </c>
      <c r="M392" t="s">
        <v>936</v>
      </c>
      <c r="N392" t="s">
        <v>526</v>
      </c>
      <c r="O392" t="s">
        <v>72</v>
      </c>
      <c r="P392" t="s">
        <v>75</v>
      </c>
      <c r="Q392" s="44">
        <v>20000</v>
      </c>
      <c r="R392" s="42">
        <v>3.718</v>
      </c>
      <c r="S392" s="48">
        <v>1318</v>
      </c>
      <c r="U392" s="44">
        <v>980.06500000000005</v>
      </c>
      <c r="V392" s="45">
        <v>4.08E-4</v>
      </c>
      <c r="W392" s="45">
        <v>2.6445749031459801E-3</v>
      </c>
      <c r="X392" s="45">
        <v>3.9932064876342503E-4</v>
      </c>
    </row>
    <row r="393" spans="1:24" x14ac:dyDescent="0.25">
      <c r="A393">
        <v>424</v>
      </c>
      <c r="B393">
        <v>7228</v>
      </c>
      <c r="C393" t="s">
        <v>1041</v>
      </c>
      <c r="E393" t="s">
        <v>286</v>
      </c>
      <c r="F393" t="s">
        <v>1105</v>
      </c>
      <c r="G393" t="s">
        <v>1106</v>
      </c>
      <c r="H393" t="s">
        <v>213</v>
      </c>
      <c r="I393" t="s">
        <v>753</v>
      </c>
      <c r="J393" t="s">
        <v>85</v>
      </c>
      <c r="K393" t="s">
        <v>291</v>
      </c>
      <c r="L393" t="s">
        <v>1107</v>
      </c>
      <c r="M393" t="s">
        <v>936</v>
      </c>
      <c r="N393" t="s">
        <v>1108</v>
      </c>
      <c r="O393" t="s">
        <v>72</v>
      </c>
      <c r="P393" t="s">
        <v>75</v>
      </c>
      <c r="Q393" s="44">
        <v>1063</v>
      </c>
      <c r="R393" s="42">
        <v>3.718</v>
      </c>
      <c r="S393" s="48">
        <v>430</v>
      </c>
      <c r="U393" s="44">
        <v>16.995000000000001</v>
      </c>
      <c r="V393" s="45">
        <v>3.3000000000000003E-5</v>
      </c>
      <c r="W393" s="45">
        <v>4.5857691292829903E-5</v>
      </c>
      <c r="X393" s="45">
        <v>6.9243351799421096E-6</v>
      </c>
    </row>
    <row r="394" spans="1:24" x14ac:dyDescent="0.25">
      <c r="A394">
        <v>424</v>
      </c>
      <c r="B394">
        <v>7229</v>
      </c>
      <c r="C394" t="s">
        <v>749</v>
      </c>
      <c r="D394" t="s">
        <v>750</v>
      </c>
      <c r="E394" t="s">
        <v>613</v>
      </c>
      <c r="F394" t="s">
        <v>751</v>
      </c>
      <c r="G394" t="s">
        <v>752</v>
      </c>
      <c r="H394" t="s">
        <v>213</v>
      </c>
      <c r="I394" t="s">
        <v>753</v>
      </c>
      <c r="J394" t="s">
        <v>71</v>
      </c>
      <c r="K394" t="s">
        <v>291</v>
      </c>
      <c r="L394" t="s">
        <v>216</v>
      </c>
      <c r="M394" t="s">
        <v>117</v>
      </c>
      <c r="N394" t="s">
        <v>287</v>
      </c>
      <c r="O394" t="s">
        <v>72</v>
      </c>
      <c r="P394" t="s">
        <v>81</v>
      </c>
      <c r="Q394" s="44">
        <v>722</v>
      </c>
      <c r="R394" s="42">
        <v>1</v>
      </c>
      <c r="S394" s="48">
        <v>26100</v>
      </c>
      <c r="U394" s="44">
        <v>188.44200000000001</v>
      </c>
      <c r="V394" s="45">
        <v>1.2999999999999999E-5</v>
      </c>
      <c r="W394" s="45">
        <v>1.2888219165732301E-2</v>
      </c>
      <c r="X394" s="45">
        <v>1.2542937472747001E-3</v>
      </c>
    </row>
    <row r="395" spans="1:24" x14ac:dyDescent="0.25">
      <c r="A395">
        <v>424</v>
      </c>
      <c r="B395">
        <v>7229</v>
      </c>
      <c r="C395" t="s">
        <v>644</v>
      </c>
      <c r="D395" t="s">
        <v>645</v>
      </c>
      <c r="E395" t="s">
        <v>210</v>
      </c>
      <c r="F395" t="s">
        <v>754</v>
      </c>
      <c r="G395" t="s">
        <v>755</v>
      </c>
      <c r="H395" t="s">
        <v>213</v>
      </c>
      <c r="I395" t="s">
        <v>753</v>
      </c>
      <c r="J395" t="s">
        <v>71</v>
      </c>
      <c r="K395" t="s">
        <v>71</v>
      </c>
      <c r="L395" t="s">
        <v>216</v>
      </c>
      <c r="M395" t="s">
        <v>117</v>
      </c>
      <c r="N395" t="s">
        <v>227</v>
      </c>
      <c r="O395" t="s">
        <v>72</v>
      </c>
      <c r="P395" t="s">
        <v>81</v>
      </c>
      <c r="Q395" s="44">
        <v>9442</v>
      </c>
      <c r="R395" s="42">
        <v>1</v>
      </c>
      <c r="S395" s="48">
        <v>2089</v>
      </c>
      <c r="U395" s="44">
        <v>197.24299999999999</v>
      </c>
      <c r="V395" s="45">
        <v>6.9999999999999999E-6</v>
      </c>
      <c r="W395" s="45">
        <v>1.3490176873679E-2</v>
      </c>
      <c r="X395" s="45">
        <v>1.3128768439378E-3</v>
      </c>
    </row>
    <row r="396" spans="1:24" x14ac:dyDescent="0.25">
      <c r="A396">
        <v>424</v>
      </c>
      <c r="B396">
        <v>7229</v>
      </c>
      <c r="C396" t="s">
        <v>756</v>
      </c>
      <c r="D396" t="s">
        <v>757</v>
      </c>
      <c r="E396" t="s">
        <v>210</v>
      </c>
      <c r="F396" t="s">
        <v>758</v>
      </c>
      <c r="G396" t="s">
        <v>759</v>
      </c>
      <c r="H396" t="s">
        <v>213</v>
      </c>
      <c r="I396" t="s">
        <v>753</v>
      </c>
      <c r="J396" t="s">
        <v>71</v>
      </c>
      <c r="K396" t="s">
        <v>71</v>
      </c>
      <c r="L396" t="s">
        <v>216</v>
      </c>
      <c r="M396" t="s">
        <v>117</v>
      </c>
      <c r="N396" t="s">
        <v>252</v>
      </c>
      <c r="O396" t="s">
        <v>72</v>
      </c>
      <c r="P396" t="s">
        <v>81</v>
      </c>
      <c r="Q396" s="44">
        <v>464</v>
      </c>
      <c r="R396" s="42">
        <v>1</v>
      </c>
      <c r="S396" s="48">
        <v>15580</v>
      </c>
      <c r="U396" s="44">
        <v>72.290999999999997</v>
      </c>
      <c r="V396" s="45">
        <v>3.1000000000000001E-5</v>
      </c>
      <c r="W396" s="45">
        <v>4.94425249866688E-3</v>
      </c>
      <c r="X396" s="45">
        <v>4.8117935567964999E-4</v>
      </c>
    </row>
    <row r="397" spans="1:24" x14ac:dyDescent="0.25">
      <c r="A397">
        <v>424</v>
      </c>
      <c r="B397">
        <v>7229</v>
      </c>
      <c r="C397" t="s">
        <v>760</v>
      </c>
      <c r="D397" t="s">
        <v>761</v>
      </c>
      <c r="E397" t="s">
        <v>210</v>
      </c>
      <c r="F397" t="s">
        <v>762</v>
      </c>
      <c r="G397" t="s">
        <v>763</v>
      </c>
      <c r="H397" t="s">
        <v>213</v>
      </c>
      <c r="I397" t="s">
        <v>753</v>
      </c>
      <c r="J397" t="s">
        <v>71</v>
      </c>
      <c r="K397" t="s">
        <v>71</v>
      </c>
      <c r="L397" t="s">
        <v>216</v>
      </c>
      <c r="M397" t="s">
        <v>117</v>
      </c>
      <c r="N397" t="s">
        <v>764</v>
      </c>
      <c r="O397" t="s">
        <v>72</v>
      </c>
      <c r="P397" t="s">
        <v>81</v>
      </c>
      <c r="Q397" s="44">
        <v>4800</v>
      </c>
      <c r="R397" s="42">
        <v>1</v>
      </c>
      <c r="S397" s="48">
        <v>1524</v>
      </c>
      <c r="U397" s="44">
        <v>73.152000000000001</v>
      </c>
      <c r="V397" s="45">
        <v>3.1999999999999999E-5</v>
      </c>
      <c r="W397" s="45">
        <v>5.0031256748052297E-3</v>
      </c>
      <c r="X397" s="45">
        <v>4.8690894917607799E-4</v>
      </c>
    </row>
    <row r="398" spans="1:24" x14ac:dyDescent="0.25">
      <c r="A398">
        <v>424</v>
      </c>
      <c r="B398">
        <v>7229</v>
      </c>
      <c r="C398" t="s">
        <v>769</v>
      </c>
      <c r="D398" t="s">
        <v>770</v>
      </c>
      <c r="E398" t="s">
        <v>210</v>
      </c>
      <c r="F398" t="s">
        <v>771</v>
      </c>
      <c r="G398" t="s">
        <v>772</v>
      </c>
      <c r="H398" t="s">
        <v>213</v>
      </c>
      <c r="I398" t="s">
        <v>753</v>
      </c>
      <c r="J398" t="s">
        <v>71</v>
      </c>
      <c r="K398" t="s">
        <v>71</v>
      </c>
      <c r="L398" t="s">
        <v>216</v>
      </c>
      <c r="M398" t="s">
        <v>117</v>
      </c>
      <c r="N398" t="s">
        <v>773</v>
      </c>
      <c r="O398" t="s">
        <v>72</v>
      </c>
      <c r="P398" t="s">
        <v>81</v>
      </c>
      <c r="Q398" s="44">
        <v>247</v>
      </c>
      <c r="R398" s="42">
        <v>1</v>
      </c>
      <c r="S398" s="48">
        <v>142500</v>
      </c>
      <c r="U398" s="44">
        <v>351.97500000000002</v>
      </c>
      <c r="V398" s="45">
        <v>6.0000000000000002E-6</v>
      </c>
      <c r="W398" s="45">
        <v>2.4072823154385001E-2</v>
      </c>
      <c r="X398" s="45">
        <v>2.3427900451969898E-3</v>
      </c>
    </row>
    <row r="399" spans="1:24" x14ac:dyDescent="0.25">
      <c r="A399">
        <v>424</v>
      </c>
      <c r="B399">
        <v>7229</v>
      </c>
      <c r="C399" t="s">
        <v>268</v>
      </c>
      <c r="D399" t="s">
        <v>269</v>
      </c>
      <c r="E399" t="s">
        <v>210</v>
      </c>
      <c r="F399" t="s">
        <v>774</v>
      </c>
      <c r="G399" t="s">
        <v>775</v>
      </c>
      <c r="H399" t="s">
        <v>213</v>
      </c>
      <c r="I399" t="s">
        <v>753</v>
      </c>
      <c r="J399" t="s">
        <v>71</v>
      </c>
      <c r="K399" t="s">
        <v>71</v>
      </c>
      <c r="L399" t="s">
        <v>216</v>
      </c>
      <c r="M399" t="s">
        <v>117</v>
      </c>
      <c r="N399" t="s">
        <v>272</v>
      </c>
      <c r="O399" t="s">
        <v>72</v>
      </c>
      <c r="P399" t="s">
        <v>81</v>
      </c>
      <c r="Q399" s="44">
        <v>36</v>
      </c>
      <c r="R399" s="42">
        <v>1</v>
      </c>
      <c r="S399" s="48">
        <v>173080</v>
      </c>
      <c r="U399" s="44">
        <v>62.308999999999997</v>
      </c>
      <c r="V399" s="45">
        <v>9.0000000000000002E-6</v>
      </c>
      <c r="W399" s="45">
        <v>4.2615206289138199E-3</v>
      </c>
      <c r="X399" s="45">
        <v>4.1473524076474203E-4</v>
      </c>
    </row>
    <row r="400" spans="1:24" x14ac:dyDescent="0.25">
      <c r="A400">
        <v>424</v>
      </c>
      <c r="B400">
        <v>7229</v>
      </c>
      <c r="C400" t="s">
        <v>282</v>
      </c>
      <c r="D400" t="s">
        <v>283</v>
      </c>
      <c r="E400" t="s">
        <v>210</v>
      </c>
      <c r="F400" t="s">
        <v>776</v>
      </c>
      <c r="G400" t="s">
        <v>777</v>
      </c>
      <c r="H400" t="s">
        <v>213</v>
      </c>
      <c r="I400" t="s">
        <v>753</v>
      </c>
      <c r="J400" t="s">
        <v>71</v>
      </c>
      <c r="K400" t="s">
        <v>291</v>
      </c>
      <c r="L400" t="s">
        <v>216</v>
      </c>
      <c r="M400" t="s">
        <v>117</v>
      </c>
      <c r="N400" t="s">
        <v>287</v>
      </c>
      <c r="O400" t="s">
        <v>72</v>
      </c>
      <c r="P400" t="s">
        <v>81</v>
      </c>
      <c r="Q400" s="44">
        <v>2778.8</v>
      </c>
      <c r="R400" s="42">
        <v>1</v>
      </c>
      <c r="S400" s="48">
        <v>5941</v>
      </c>
      <c r="U400" s="44">
        <v>165.089</v>
      </c>
      <c r="V400" s="45">
        <v>2.3E-5</v>
      </c>
      <c r="W400" s="45">
        <v>1.12909907178216E-2</v>
      </c>
      <c r="X400" s="45">
        <v>1.09884995559009E-3</v>
      </c>
    </row>
    <row r="401" spans="1:24" x14ac:dyDescent="0.25">
      <c r="A401">
        <v>424</v>
      </c>
      <c r="B401">
        <v>7229</v>
      </c>
      <c r="C401" t="s">
        <v>631</v>
      </c>
      <c r="D401" t="s">
        <v>632</v>
      </c>
      <c r="E401" t="s">
        <v>210</v>
      </c>
      <c r="F401" t="s">
        <v>786</v>
      </c>
      <c r="G401" t="s">
        <v>787</v>
      </c>
      <c r="H401" t="s">
        <v>213</v>
      </c>
      <c r="I401" t="s">
        <v>753</v>
      </c>
      <c r="J401" t="s">
        <v>71</v>
      </c>
      <c r="K401" t="s">
        <v>71</v>
      </c>
      <c r="L401" t="s">
        <v>216</v>
      </c>
      <c r="M401" t="s">
        <v>117</v>
      </c>
      <c r="N401" t="s">
        <v>245</v>
      </c>
      <c r="O401" t="s">
        <v>72</v>
      </c>
      <c r="P401" t="s">
        <v>81</v>
      </c>
      <c r="Q401" s="44">
        <v>5206</v>
      </c>
      <c r="R401" s="42">
        <v>1</v>
      </c>
      <c r="S401" s="48">
        <v>5080</v>
      </c>
      <c r="U401" s="44">
        <v>264.46499999999997</v>
      </c>
      <c r="V401" s="45">
        <v>4.6999999999999997E-5</v>
      </c>
      <c r="W401" s="45">
        <v>1.8087689071552799E-2</v>
      </c>
      <c r="X401" s="45">
        <v>1.7603111037574101E-3</v>
      </c>
    </row>
    <row r="402" spans="1:24" x14ac:dyDescent="0.25">
      <c r="A402">
        <v>424</v>
      </c>
      <c r="B402">
        <v>7229</v>
      </c>
      <c r="C402" t="s">
        <v>320</v>
      </c>
      <c r="D402" t="s">
        <v>321</v>
      </c>
      <c r="E402" t="s">
        <v>210</v>
      </c>
      <c r="F402" t="s">
        <v>788</v>
      </c>
      <c r="G402" t="s">
        <v>789</v>
      </c>
      <c r="H402" t="s">
        <v>213</v>
      </c>
      <c r="I402" t="s">
        <v>753</v>
      </c>
      <c r="J402" t="s">
        <v>71</v>
      </c>
      <c r="K402" t="s">
        <v>71</v>
      </c>
      <c r="L402" t="s">
        <v>216</v>
      </c>
      <c r="M402" t="s">
        <v>117</v>
      </c>
      <c r="N402" t="s">
        <v>234</v>
      </c>
      <c r="O402" t="s">
        <v>72</v>
      </c>
      <c r="P402" t="s">
        <v>81</v>
      </c>
      <c r="Q402" s="44">
        <v>57981</v>
      </c>
      <c r="R402" s="42">
        <v>1</v>
      </c>
      <c r="S402" s="48">
        <v>88.3</v>
      </c>
      <c r="T402" s="44">
        <v>3.391</v>
      </c>
      <c r="U402" s="44">
        <v>54.588000000000001</v>
      </c>
      <c r="V402" s="45">
        <v>1.8E-5</v>
      </c>
      <c r="W402" s="45">
        <v>3.73347604605104E-3</v>
      </c>
      <c r="X402" s="45">
        <v>3.6334543973403998E-4</v>
      </c>
    </row>
    <row r="403" spans="1:24" x14ac:dyDescent="0.25">
      <c r="A403">
        <v>424</v>
      </c>
      <c r="B403">
        <v>7229</v>
      </c>
      <c r="C403" t="s">
        <v>790</v>
      </c>
      <c r="D403" t="s">
        <v>791</v>
      </c>
      <c r="E403" t="s">
        <v>210</v>
      </c>
      <c r="F403" t="s">
        <v>792</v>
      </c>
      <c r="G403" t="s">
        <v>793</v>
      </c>
      <c r="H403" t="s">
        <v>213</v>
      </c>
      <c r="I403" t="s">
        <v>753</v>
      </c>
      <c r="J403" t="s">
        <v>71</v>
      </c>
      <c r="K403" t="s">
        <v>71</v>
      </c>
      <c r="L403" t="s">
        <v>216</v>
      </c>
      <c r="M403" t="s">
        <v>117</v>
      </c>
      <c r="N403" t="s">
        <v>329</v>
      </c>
      <c r="O403" t="s">
        <v>72</v>
      </c>
      <c r="P403" t="s">
        <v>81</v>
      </c>
      <c r="Q403" s="44">
        <v>59127</v>
      </c>
      <c r="R403" s="42">
        <v>1</v>
      </c>
      <c r="S403" s="48">
        <v>546.6</v>
      </c>
      <c r="U403" s="44">
        <v>323.18799999999999</v>
      </c>
      <c r="V403" s="45">
        <v>2.0999999999999999E-5</v>
      </c>
      <c r="W403" s="45">
        <v>2.2103990200648301E-2</v>
      </c>
      <c r="X403" s="45">
        <v>2.1511813495700399E-3</v>
      </c>
    </row>
    <row r="404" spans="1:24" x14ac:dyDescent="0.25">
      <c r="A404">
        <v>424</v>
      </c>
      <c r="B404">
        <v>7229</v>
      </c>
      <c r="C404" t="s">
        <v>800</v>
      </c>
      <c r="D404" t="s">
        <v>801</v>
      </c>
      <c r="E404" t="s">
        <v>210</v>
      </c>
      <c r="F404" t="s">
        <v>802</v>
      </c>
      <c r="G404" t="s">
        <v>803</v>
      </c>
      <c r="H404" t="s">
        <v>213</v>
      </c>
      <c r="I404" t="s">
        <v>753</v>
      </c>
      <c r="J404" t="s">
        <v>71</v>
      </c>
      <c r="K404" t="s">
        <v>71</v>
      </c>
      <c r="L404" t="s">
        <v>216</v>
      </c>
      <c r="M404" t="s">
        <v>117</v>
      </c>
      <c r="N404" t="s">
        <v>365</v>
      </c>
      <c r="O404" t="s">
        <v>72</v>
      </c>
      <c r="P404" t="s">
        <v>81</v>
      </c>
      <c r="Q404" s="44">
        <v>13974</v>
      </c>
      <c r="R404" s="42">
        <v>1</v>
      </c>
      <c r="S404" s="48">
        <v>2572</v>
      </c>
      <c r="T404" s="44">
        <v>3.5720000000000001</v>
      </c>
      <c r="U404" s="44">
        <v>362.983</v>
      </c>
      <c r="V404" s="45">
        <v>1.1E-5</v>
      </c>
      <c r="W404" s="45">
        <v>2.48257083500679E-2</v>
      </c>
      <c r="X404" s="45">
        <v>2.4160615485146501E-3</v>
      </c>
    </row>
    <row r="405" spans="1:24" x14ac:dyDescent="0.25">
      <c r="A405">
        <v>424</v>
      </c>
      <c r="B405">
        <v>7229</v>
      </c>
      <c r="C405" t="s">
        <v>804</v>
      </c>
      <c r="D405" t="s">
        <v>805</v>
      </c>
      <c r="E405" t="s">
        <v>210</v>
      </c>
      <c r="F405" t="s">
        <v>806</v>
      </c>
      <c r="G405" t="s">
        <v>807</v>
      </c>
      <c r="H405" t="s">
        <v>213</v>
      </c>
      <c r="I405" t="s">
        <v>753</v>
      </c>
      <c r="J405" t="s">
        <v>71</v>
      </c>
      <c r="K405" t="s">
        <v>71</v>
      </c>
      <c r="L405" t="s">
        <v>216</v>
      </c>
      <c r="M405" t="s">
        <v>117</v>
      </c>
      <c r="N405" t="s">
        <v>808</v>
      </c>
      <c r="O405" t="s">
        <v>72</v>
      </c>
      <c r="P405" t="s">
        <v>81</v>
      </c>
      <c r="Q405" s="44">
        <v>1385</v>
      </c>
      <c r="R405" s="42">
        <v>1</v>
      </c>
      <c r="S405" s="48">
        <v>17650</v>
      </c>
      <c r="U405" s="44">
        <v>244.452</v>
      </c>
      <c r="V405" s="45">
        <v>5.1E-5</v>
      </c>
      <c r="W405" s="45">
        <v>1.67189766379638E-2</v>
      </c>
      <c r="X405" s="45">
        <v>1.6271067079295901E-3</v>
      </c>
    </row>
    <row r="406" spans="1:24" x14ac:dyDescent="0.25">
      <c r="A406">
        <v>424</v>
      </c>
      <c r="B406">
        <v>7229</v>
      </c>
      <c r="C406" t="s">
        <v>809</v>
      </c>
      <c r="D406" t="s">
        <v>810</v>
      </c>
      <c r="E406" t="s">
        <v>210</v>
      </c>
      <c r="F406" t="s">
        <v>811</v>
      </c>
      <c r="G406" t="s">
        <v>812</v>
      </c>
      <c r="H406" t="s">
        <v>213</v>
      </c>
      <c r="I406" t="s">
        <v>753</v>
      </c>
      <c r="J406" t="s">
        <v>71</v>
      </c>
      <c r="K406" t="s">
        <v>71</v>
      </c>
      <c r="L406" t="s">
        <v>216</v>
      </c>
      <c r="M406" t="s">
        <v>117</v>
      </c>
      <c r="N406" t="s">
        <v>515</v>
      </c>
      <c r="O406" t="s">
        <v>72</v>
      </c>
      <c r="P406" t="s">
        <v>81</v>
      </c>
      <c r="Q406" s="44">
        <v>14260</v>
      </c>
      <c r="R406" s="42">
        <v>1</v>
      </c>
      <c r="S406" s="48">
        <v>638.4</v>
      </c>
      <c r="U406" s="44">
        <v>91.036000000000001</v>
      </c>
      <c r="V406" s="45">
        <v>1.55E-4</v>
      </c>
      <c r="W406" s="45">
        <v>6.22626515244232E-3</v>
      </c>
      <c r="X406" s="45">
        <v>6.0594604647530603E-4</v>
      </c>
    </row>
    <row r="407" spans="1:24" x14ac:dyDescent="0.25">
      <c r="A407">
        <v>424</v>
      </c>
      <c r="B407">
        <v>7229</v>
      </c>
      <c r="C407" t="s">
        <v>813</v>
      </c>
      <c r="D407" t="s">
        <v>814</v>
      </c>
      <c r="E407" t="s">
        <v>210</v>
      </c>
      <c r="F407" t="s">
        <v>815</v>
      </c>
      <c r="G407" t="s">
        <v>816</v>
      </c>
      <c r="H407" t="s">
        <v>213</v>
      </c>
      <c r="I407" t="s">
        <v>753</v>
      </c>
      <c r="J407" t="s">
        <v>71</v>
      </c>
      <c r="K407" t="s">
        <v>71</v>
      </c>
      <c r="L407" t="s">
        <v>216</v>
      </c>
      <c r="M407" t="s">
        <v>117</v>
      </c>
      <c r="N407" t="s">
        <v>252</v>
      </c>
      <c r="O407" t="s">
        <v>72</v>
      </c>
      <c r="P407" t="s">
        <v>81</v>
      </c>
      <c r="Q407" s="44">
        <v>3043</v>
      </c>
      <c r="R407" s="42">
        <v>1</v>
      </c>
      <c r="S407" s="48">
        <v>6881</v>
      </c>
      <c r="U407" s="44">
        <v>209.38900000000001</v>
      </c>
      <c r="V407" s="45">
        <v>1.2E-5</v>
      </c>
      <c r="W407" s="45">
        <v>1.4320847432611901E-2</v>
      </c>
      <c r="X407" s="45">
        <v>1.3937184927891001E-3</v>
      </c>
    </row>
    <row r="408" spans="1:24" x14ac:dyDescent="0.25">
      <c r="A408">
        <v>424</v>
      </c>
      <c r="B408">
        <v>7229</v>
      </c>
      <c r="C408" t="s">
        <v>821</v>
      </c>
      <c r="D408" t="s">
        <v>822</v>
      </c>
      <c r="E408" t="s">
        <v>210</v>
      </c>
      <c r="F408" t="s">
        <v>823</v>
      </c>
      <c r="G408" t="s">
        <v>824</v>
      </c>
      <c r="H408" t="s">
        <v>213</v>
      </c>
      <c r="I408" t="s">
        <v>753</v>
      </c>
      <c r="J408" t="s">
        <v>71</v>
      </c>
      <c r="K408" t="s">
        <v>71</v>
      </c>
      <c r="L408" t="s">
        <v>216</v>
      </c>
      <c r="M408" t="s">
        <v>117</v>
      </c>
      <c r="N408" t="s">
        <v>825</v>
      </c>
      <c r="O408" t="s">
        <v>72</v>
      </c>
      <c r="P408" t="s">
        <v>81</v>
      </c>
      <c r="Q408" s="44">
        <v>585</v>
      </c>
      <c r="R408" s="42">
        <v>1</v>
      </c>
      <c r="S408" s="48">
        <v>22740</v>
      </c>
      <c r="U408" s="44">
        <v>133.029</v>
      </c>
      <c r="V408" s="45">
        <v>2.5000000000000001E-5</v>
      </c>
      <c r="W408" s="45">
        <v>9.0983268453858398E-3</v>
      </c>
      <c r="X408" s="45">
        <v>8.8545782206835802E-4</v>
      </c>
    </row>
    <row r="409" spans="1:24" x14ac:dyDescent="0.25">
      <c r="A409">
        <v>424</v>
      </c>
      <c r="B409">
        <v>7229</v>
      </c>
      <c r="C409" t="s">
        <v>826</v>
      </c>
      <c r="D409" t="s">
        <v>827</v>
      </c>
      <c r="E409" t="s">
        <v>210</v>
      </c>
      <c r="F409" t="s">
        <v>828</v>
      </c>
      <c r="G409" t="s">
        <v>829</v>
      </c>
      <c r="H409" t="s">
        <v>213</v>
      </c>
      <c r="I409" t="s">
        <v>753</v>
      </c>
      <c r="J409" t="s">
        <v>71</v>
      </c>
      <c r="K409" t="s">
        <v>215</v>
      </c>
      <c r="L409" t="s">
        <v>216</v>
      </c>
      <c r="M409" t="s">
        <v>117</v>
      </c>
      <c r="N409" t="s">
        <v>830</v>
      </c>
      <c r="O409" t="s">
        <v>72</v>
      </c>
      <c r="P409" t="s">
        <v>81</v>
      </c>
      <c r="Q409" s="44">
        <v>677</v>
      </c>
      <c r="R409" s="42">
        <v>1</v>
      </c>
      <c r="S409" s="48">
        <v>13000</v>
      </c>
      <c r="U409" s="44">
        <v>88.01</v>
      </c>
      <c r="V409" s="45">
        <v>6.0000000000000002E-6</v>
      </c>
      <c r="W409" s="45">
        <v>6.0193171839404E-3</v>
      </c>
      <c r="X409" s="45">
        <v>5.8580567335119599E-4</v>
      </c>
    </row>
    <row r="410" spans="1:24" x14ac:dyDescent="0.25">
      <c r="A410">
        <v>424</v>
      </c>
      <c r="B410">
        <v>7229</v>
      </c>
      <c r="C410" t="s">
        <v>624</v>
      </c>
      <c r="D410" t="s">
        <v>625</v>
      </c>
      <c r="E410" t="s">
        <v>210</v>
      </c>
      <c r="F410" t="s">
        <v>831</v>
      </c>
      <c r="G410" t="s">
        <v>832</v>
      </c>
      <c r="H410" t="s">
        <v>213</v>
      </c>
      <c r="I410" t="s">
        <v>753</v>
      </c>
      <c r="J410" t="s">
        <v>71</v>
      </c>
      <c r="K410" t="s">
        <v>291</v>
      </c>
      <c r="L410" t="s">
        <v>216</v>
      </c>
      <c r="M410" t="s">
        <v>117</v>
      </c>
      <c r="N410" t="s">
        <v>628</v>
      </c>
      <c r="O410" t="s">
        <v>72</v>
      </c>
      <c r="P410" t="s">
        <v>81</v>
      </c>
      <c r="Q410" s="44">
        <v>3878</v>
      </c>
      <c r="R410" s="42">
        <v>1</v>
      </c>
      <c r="S410" s="48">
        <v>5587</v>
      </c>
      <c r="U410" s="44">
        <v>216.66399999999999</v>
      </c>
      <c r="V410" s="45">
        <v>3.0000000000000001E-6</v>
      </c>
      <c r="W410" s="45">
        <v>1.48184126308017E-2</v>
      </c>
      <c r="X410" s="45">
        <v>1.4421420111143E-3</v>
      </c>
    </row>
    <row r="411" spans="1:24" x14ac:dyDescent="0.25">
      <c r="A411">
        <v>424</v>
      </c>
      <c r="B411">
        <v>7229</v>
      </c>
      <c r="C411" t="s">
        <v>838</v>
      </c>
      <c r="D411" t="s">
        <v>839</v>
      </c>
      <c r="E411" t="s">
        <v>210</v>
      </c>
      <c r="F411" t="s">
        <v>840</v>
      </c>
      <c r="G411" t="s">
        <v>841</v>
      </c>
      <c r="H411" t="s">
        <v>213</v>
      </c>
      <c r="I411" t="s">
        <v>753</v>
      </c>
      <c r="J411" t="s">
        <v>71</v>
      </c>
      <c r="K411" t="s">
        <v>71</v>
      </c>
      <c r="L411" t="s">
        <v>216</v>
      </c>
      <c r="M411" t="s">
        <v>117</v>
      </c>
      <c r="N411" t="s">
        <v>429</v>
      </c>
      <c r="O411" t="s">
        <v>72</v>
      </c>
      <c r="P411" t="s">
        <v>81</v>
      </c>
      <c r="Q411" s="44">
        <v>36079</v>
      </c>
      <c r="R411" s="42">
        <v>1</v>
      </c>
      <c r="S411" s="48">
        <v>1651</v>
      </c>
      <c r="U411" s="44">
        <v>595.66399999999999</v>
      </c>
      <c r="V411" s="45">
        <v>1.7799999999999999E-4</v>
      </c>
      <c r="W411" s="45">
        <v>4.0739601143695701E-2</v>
      </c>
      <c r="X411" s="45">
        <v>3.9648167309932003E-3</v>
      </c>
    </row>
    <row r="412" spans="1:24" x14ac:dyDescent="0.25">
      <c r="A412">
        <v>424</v>
      </c>
      <c r="B412">
        <v>7229</v>
      </c>
      <c r="C412" t="s">
        <v>842</v>
      </c>
      <c r="D412" t="s">
        <v>843</v>
      </c>
      <c r="E412" t="s">
        <v>210</v>
      </c>
      <c r="F412" t="s">
        <v>844</v>
      </c>
      <c r="G412" t="s">
        <v>845</v>
      </c>
      <c r="H412" t="s">
        <v>213</v>
      </c>
      <c r="I412" t="s">
        <v>753</v>
      </c>
      <c r="J412" t="s">
        <v>71</v>
      </c>
      <c r="K412" t="s">
        <v>71</v>
      </c>
      <c r="L412" t="s">
        <v>216</v>
      </c>
      <c r="M412" t="s">
        <v>117</v>
      </c>
      <c r="N412" t="s">
        <v>252</v>
      </c>
      <c r="O412" t="s">
        <v>72</v>
      </c>
      <c r="P412" t="s">
        <v>81</v>
      </c>
      <c r="Q412" s="44">
        <v>2520</v>
      </c>
      <c r="R412" s="42">
        <v>1</v>
      </c>
      <c r="S412" s="48">
        <v>9094</v>
      </c>
      <c r="U412" s="44">
        <v>229.16900000000001</v>
      </c>
      <c r="V412" s="45">
        <v>3.1999999999999999E-5</v>
      </c>
      <c r="W412" s="45">
        <v>1.5673669990489698E-2</v>
      </c>
      <c r="X412" s="45">
        <v>1.5253764707997401E-3</v>
      </c>
    </row>
    <row r="413" spans="1:24" x14ac:dyDescent="0.25">
      <c r="A413">
        <v>424</v>
      </c>
      <c r="B413">
        <v>7229</v>
      </c>
      <c r="C413" t="s">
        <v>82</v>
      </c>
      <c r="D413" t="s">
        <v>431</v>
      </c>
      <c r="E413" t="s">
        <v>210</v>
      </c>
      <c r="F413" t="s">
        <v>846</v>
      </c>
      <c r="G413" t="s">
        <v>847</v>
      </c>
      <c r="H413" t="s">
        <v>213</v>
      </c>
      <c r="I413" t="s">
        <v>753</v>
      </c>
      <c r="J413" t="s">
        <v>71</v>
      </c>
      <c r="K413" t="s">
        <v>71</v>
      </c>
      <c r="L413" t="s">
        <v>216</v>
      </c>
      <c r="M413" t="s">
        <v>117</v>
      </c>
      <c r="N413" t="s">
        <v>365</v>
      </c>
      <c r="O413" t="s">
        <v>72</v>
      </c>
      <c r="P413" t="s">
        <v>81</v>
      </c>
      <c r="Q413" s="44">
        <v>15544</v>
      </c>
      <c r="R413" s="42">
        <v>1</v>
      </c>
      <c r="S413" s="48">
        <v>4982</v>
      </c>
      <c r="U413" s="44">
        <v>774.40200000000004</v>
      </c>
      <c r="V413" s="45">
        <v>1.0000000000000001E-5</v>
      </c>
      <c r="W413" s="45">
        <v>5.2964114844031199E-2</v>
      </c>
      <c r="X413" s="45">
        <v>5.15451803112108E-3</v>
      </c>
    </row>
    <row r="414" spans="1:24" x14ac:dyDescent="0.25">
      <c r="A414">
        <v>424</v>
      </c>
      <c r="B414">
        <v>7229</v>
      </c>
      <c r="C414" t="s">
        <v>444</v>
      </c>
      <c r="D414" t="s">
        <v>445</v>
      </c>
      <c r="E414" t="s">
        <v>210</v>
      </c>
      <c r="F414" t="s">
        <v>848</v>
      </c>
      <c r="G414" t="s">
        <v>849</v>
      </c>
      <c r="H414" t="s">
        <v>213</v>
      </c>
      <c r="I414" t="s">
        <v>753</v>
      </c>
      <c r="J414" t="s">
        <v>71</v>
      </c>
      <c r="K414" t="s">
        <v>71</v>
      </c>
      <c r="L414" t="s">
        <v>216</v>
      </c>
      <c r="M414" t="s">
        <v>117</v>
      </c>
      <c r="N414" t="s">
        <v>258</v>
      </c>
      <c r="O414" t="s">
        <v>72</v>
      </c>
      <c r="P414" t="s">
        <v>81</v>
      </c>
      <c r="Q414" s="44">
        <v>15519</v>
      </c>
      <c r="R414" s="42">
        <v>1</v>
      </c>
      <c r="S414" s="48">
        <v>992.1</v>
      </c>
      <c r="T414" s="44">
        <v>1.474</v>
      </c>
      <c r="U414" s="44">
        <v>155.43799999999999</v>
      </c>
      <c r="V414" s="45">
        <v>2.0999999999999999E-5</v>
      </c>
      <c r="W414" s="45">
        <v>1.06309293296761E-2</v>
      </c>
      <c r="X414" s="45">
        <v>1.0346121535072699E-3</v>
      </c>
    </row>
    <row r="415" spans="1:24" x14ac:dyDescent="0.25">
      <c r="A415">
        <v>424</v>
      </c>
      <c r="B415">
        <v>7229</v>
      </c>
      <c r="C415" t="s">
        <v>852</v>
      </c>
      <c r="D415" t="s">
        <v>853</v>
      </c>
      <c r="E415" t="s">
        <v>210</v>
      </c>
      <c r="F415" t="s">
        <v>854</v>
      </c>
      <c r="G415" t="s">
        <v>855</v>
      </c>
      <c r="H415" t="s">
        <v>213</v>
      </c>
      <c r="I415" t="s">
        <v>753</v>
      </c>
      <c r="J415" t="s">
        <v>71</v>
      </c>
      <c r="K415" t="s">
        <v>71</v>
      </c>
      <c r="L415" t="s">
        <v>216</v>
      </c>
      <c r="M415" t="s">
        <v>117</v>
      </c>
      <c r="N415" t="s">
        <v>856</v>
      </c>
      <c r="O415" t="s">
        <v>72</v>
      </c>
      <c r="P415" t="s">
        <v>81</v>
      </c>
      <c r="Q415" s="44">
        <v>395</v>
      </c>
      <c r="R415" s="42">
        <v>1</v>
      </c>
      <c r="S415" s="48">
        <v>22800</v>
      </c>
      <c r="U415" s="44">
        <v>90.06</v>
      </c>
      <c r="V415" s="45">
        <v>1.15E-4</v>
      </c>
      <c r="W415" s="45">
        <v>6.1595239812029601E-3</v>
      </c>
      <c r="X415" s="45">
        <v>5.9945073221234703E-4</v>
      </c>
    </row>
    <row r="416" spans="1:24" x14ac:dyDescent="0.25">
      <c r="A416">
        <v>424</v>
      </c>
      <c r="B416">
        <v>7229</v>
      </c>
      <c r="C416" t="s">
        <v>861</v>
      </c>
      <c r="D416" t="s">
        <v>862</v>
      </c>
      <c r="E416" t="s">
        <v>210</v>
      </c>
      <c r="F416" t="s">
        <v>863</v>
      </c>
      <c r="G416" t="s">
        <v>864</v>
      </c>
      <c r="H416" t="s">
        <v>213</v>
      </c>
      <c r="I416" t="s">
        <v>753</v>
      </c>
      <c r="J416" t="s">
        <v>71</v>
      </c>
      <c r="K416" t="s">
        <v>71</v>
      </c>
      <c r="L416" t="s">
        <v>216</v>
      </c>
      <c r="M416" t="s">
        <v>117</v>
      </c>
      <c r="N416" t="s">
        <v>825</v>
      </c>
      <c r="O416" t="s">
        <v>72</v>
      </c>
      <c r="P416" t="s">
        <v>81</v>
      </c>
      <c r="Q416" s="44">
        <v>856</v>
      </c>
      <c r="R416" s="42">
        <v>1</v>
      </c>
      <c r="S416" s="48">
        <v>8638</v>
      </c>
      <c r="T416" s="44">
        <v>0.70199999999999996</v>
      </c>
      <c r="U416" s="44">
        <v>74.643000000000001</v>
      </c>
      <c r="V416" s="45">
        <v>1.2999999999999999E-5</v>
      </c>
      <c r="W416" s="45">
        <v>5.1051141509407998E-3</v>
      </c>
      <c r="X416" s="45">
        <v>4.9683456467546799E-4</v>
      </c>
    </row>
    <row r="417" spans="1:24" x14ac:dyDescent="0.25">
      <c r="A417">
        <v>424</v>
      </c>
      <c r="B417">
        <v>7229</v>
      </c>
      <c r="C417" t="s">
        <v>483</v>
      </c>
      <c r="D417" t="s">
        <v>484</v>
      </c>
      <c r="E417" t="s">
        <v>210</v>
      </c>
      <c r="F417" t="s">
        <v>865</v>
      </c>
      <c r="G417" t="s">
        <v>866</v>
      </c>
      <c r="H417" t="s">
        <v>213</v>
      </c>
      <c r="I417" t="s">
        <v>753</v>
      </c>
      <c r="J417" t="s">
        <v>71</v>
      </c>
      <c r="K417" t="s">
        <v>71</v>
      </c>
      <c r="L417" t="s">
        <v>216</v>
      </c>
      <c r="M417" t="s">
        <v>117</v>
      </c>
      <c r="N417" t="s">
        <v>258</v>
      </c>
      <c r="O417" t="s">
        <v>72</v>
      </c>
      <c r="P417" t="s">
        <v>81</v>
      </c>
      <c r="Q417" s="44">
        <v>454</v>
      </c>
      <c r="R417" s="42">
        <v>1</v>
      </c>
      <c r="S417" s="48">
        <v>28940</v>
      </c>
      <c r="T417" s="44">
        <v>0.85899999999999999</v>
      </c>
      <c r="U417" s="44">
        <v>132.24600000000001</v>
      </c>
      <c r="V417" s="45">
        <v>1.0000000000000001E-5</v>
      </c>
      <c r="W417" s="45">
        <v>9.0447945223198004E-3</v>
      </c>
      <c r="X417" s="45">
        <v>8.8024800547264505E-4</v>
      </c>
    </row>
    <row r="418" spans="1:24" x14ac:dyDescent="0.25">
      <c r="A418">
        <v>424</v>
      </c>
      <c r="B418">
        <v>7229</v>
      </c>
      <c r="C418" t="s">
        <v>867</v>
      </c>
      <c r="D418" t="s">
        <v>868</v>
      </c>
      <c r="E418" t="s">
        <v>210</v>
      </c>
      <c r="F418" t="s">
        <v>869</v>
      </c>
      <c r="G418" t="s">
        <v>870</v>
      </c>
      <c r="H418" t="s">
        <v>213</v>
      </c>
      <c r="I418" t="s">
        <v>753</v>
      </c>
      <c r="J418" t="s">
        <v>71</v>
      </c>
      <c r="K418" t="s">
        <v>71</v>
      </c>
      <c r="L418" t="s">
        <v>216</v>
      </c>
      <c r="M418" t="s">
        <v>117</v>
      </c>
      <c r="N418" t="s">
        <v>252</v>
      </c>
      <c r="O418" t="s">
        <v>72</v>
      </c>
      <c r="P418" t="s">
        <v>81</v>
      </c>
      <c r="Q418" s="44">
        <v>1603</v>
      </c>
      <c r="R418" s="42">
        <v>1</v>
      </c>
      <c r="S418" s="48">
        <v>18600</v>
      </c>
      <c r="T418" s="44">
        <v>3.8570000000000002</v>
      </c>
      <c r="U418" s="44">
        <v>302.01499999999999</v>
      </c>
      <c r="V418" s="45">
        <v>2.5000000000000001E-5</v>
      </c>
      <c r="W418" s="45">
        <v>2.0655854241268701E-2</v>
      </c>
      <c r="X418" s="45">
        <v>2.01024738067207E-3</v>
      </c>
    </row>
    <row r="419" spans="1:24" x14ac:dyDescent="0.25">
      <c r="A419">
        <v>424</v>
      </c>
      <c r="B419">
        <v>7229</v>
      </c>
      <c r="C419" t="s">
        <v>494</v>
      </c>
      <c r="D419" t="s">
        <v>495</v>
      </c>
      <c r="E419" t="s">
        <v>210</v>
      </c>
      <c r="F419" t="s">
        <v>871</v>
      </c>
      <c r="G419" t="s">
        <v>872</v>
      </c>
      <c r="H419" t="s">
        <v>213</v>
      </c>
      <c r="I419" t="s">
        <v>753</v>
      </c>
      <c r="J419" t="s">
        <v>71</v>
      </c>
      <c r="K419" t="s">
        <v>71</v>
      </c>
      <c r="L419" t="s">
        <v>216</v>
      </c>
      <c r="M419" t="s">
        <v>117</v>
      </c>
      <c r="N419" t="s">
        <v>498</v>
      </c>
      <c r="O419" t="s">
        <v>72</v>
      </c>
      <c r="P419" t="s">
        <v>81</v>
      </c>
      <c r="Q419" s="44">
        <v>13062</v>
      </c>
      <c r="R419" s="42">
        <v>1</v>
      </c>
      <c r="S419" s="48">
        <v>1700</v>
      </c>
      <c r="U419" s="44">
        <v>222.054</v>
      </c>
      <c r="V419" s="45">
        <v>2.1599999999999999E-4</v>
      </c>
      <c r="W419" s="45">
        <v>1.51870634923611E-2</v>
      </c>
      <c r="X419" s="45">
        <v>1.47801946358739E-3</v>
      </c>
    </row>
    <row r="420" spans="1:24" x14ac:dyDescent="0.25">
      <c r="A420">
        <v>424</v>
      </c>
      <c r="B420">
        <v>7229</v>
      </c>
      <c r="C420" t="s">
        <v>873</v>
      </c>
      <c r="D420" t="s">
        <v>874</v>
      </c>
      <c r="E420" t="s">
        <v>210</v>
      </c>
      <c r="F420" t="s">
        <v>875</v>
      </c>
      <c r="G420" t="s">
        <v>876</v>
      </c>
      <c r="H420" t="s">
        <v>213</v>
      </c>
      <c r="I420" t="s">
        <v>753</v>
      </c>
      <c r="J420" t="s">
        <v>71</v>
      </c>
      <c r="K420" t="s">
        <v>71</v>
      </c>
      <c r="L420" t="s">
        <v>216</v>
      </c>
      <c r="M420" t="s">
        <v>117</v>
      </c>
      <c r="N420" t="s">
        <v>837</v>
      </c>
      <c r="O420" t="s">
        <v>72</v>
      </c>
      <c r="P420" t="s">
        <v>81</v>
      </c>
      <c r="Q420" s="44">
        <v>6750</v>
      </c>
      <c r="R420" s="42">
        <v>1</v>
      </c>
      <c r="S420" s="48">
        <v>1340</v>
      </c>
      <c r="U420" s="44">
        <v>90.45</v>
      </c>
      <c r="V420" s="45">
        <v>4.6999999999999997E-5</v>
      </c>
      <c r="W420" s="45">
        <v>6.1861974694626598E-3</v>
      </c>
      <c r="X420" s="45">
        <v>6.02046621459103E-4</v>
      </c>
    </row>
    <row r="421" spans="1:24" x14ac:dyDescent="0.25">
      <c r="A421">
        <v>424</v>
      </c>
      <c r="B421">
        <v>7229</v>
      </c>
      <c r="C421" t="s">
        <v>881</v>
      </c>
      <c r="D421" t="s">
        <v>882</v>
      </c>
      <c r="E421" t="s">
        <v>210</v>
      </c>
      <c r="F421" t="s">
        <v>883</v>
      </c>
      <c r="G421" t="s">
        <v>884</v>
      </c>
      <c r="H421" t="s">
        <v>213</v>
      </c>
      <c r="I421" t="s">
        <v>753</v>
      </c>
      <c r="J421" t="s">
        <v>71</v>
      </c>
      <c r="K421" t="s">
        <v>291</v>
      </c>
      <c r="L421" t="s">
        <v>216</v>
      </c>
      <c r="M421" t="s">
        <v>117</v>
      </c>
      <c r="N421" t="s">
        <v>526</v>
      </c>
      <c r="O421" t="s">
        <v>72</v>
      </c>
      <c r="P421" t="s">
        <v>81</v>
      </c>
      <c r="Q421" s="44">
        <v>315</v>
      </c>
      <c r="R421" s="42">
        <v>1</v>
      </c>
      <c r="S421" s="48">
        <v>56600</v>
      </c>
      <c r="U421" s="44">
        <v>178.29</v>
      </c>
      <c r="V421" s="45">
        <v>3.9999999999999998E-6</v>
      </c>
      <c r="W421" s="45">
        <v>1.2193887748264199E-2</v>
      </c>
      <c r="X421" s="45">
        <v>1.18672075334376E-3</v>
      </c>
    </row>
    <row r="422" spans="1:24" x14ac:dyDescent="0.25">
      <c r="A422">
        <v>424</v>
      </c>
      <c r="B422">
        <v>7229</v>
      </c>
      <c r="C422" t="s">
        <v>885</v>
      </c>
      <c r="D422" t="s">
        <v>886</v>
      </c>
      <c r="E422" t="s">
        <v>210</v>
      </c>
      <c r="F422" t="s">
        <v>885</v>
      </c>
      <c r="G422" t="s">
        <v>887</v>
      </c>
      <c r="H422" t="s">
        <v>213</v>
      </c>
      <c r="I422" t="s">
        <v>753</v>
      </c>
      <c r="J422" t="s">
        <v>71</v>
      </c>
      <c r="K422" t="s">
        <v>71</v>
      </c>
      <c r="L422" t="s">
        <v>216</v>
      </c>
      <c r="M422" t="s">
        <v>117</v>
      </c>
      <c r="N422" t="s">
        <v>888</v>
      </c>
      <c r="O422" t="s">
        <v>72</v>
      </c>
      <c r="P422" t="s">
        <v>81</v>
      </c>
      <c r="Q422" s="44">
        <v>1576</v>
      </c>
      <c r="R422" s="42">
        <v>1</v>
      </c>
      <c r="S422" s="48">
        <v>8478</v>
      </c>
      <c r="U422" s="44">
        <v>133.613</v>
      </c>
      <c r="V422" s="45">
        <v>2.0000000000000002E-5</v>
      </c>
      <c r="W422" s="45">
        <v>9.1382878344124594E-3</v>
      </c>
      <c r="X422" s="45">
        <v>8.8934686352757503E-4</v>
      </c>
    </row>
    <row r="423" spans="1:24" x14ac:dyDescent="0.25">
      <c r="A423">
        <v>424</v>
      </c>
      <c r="B423">
        <v>7229</v>
      </c>
      <c r="C423" t="s">
        <v>551</v>
      </c>
      <c r="D423" t="s">
        <v>552</v>
      </c>
      <c r="E423" t="s">
        <v>210</v>
      </c>
      <c r="F423" t="s">
        <v>889</v>
      </c>
      <c r="G423" t="s">
        <v>890</v>
      </c>
      <c r="H423" t="s">
        <v>213</v>
      </c>
      <c r="I423" t="s">
        <v>753</v>
      </c>
      <c r="J423" t="s">
        <v>71</v>
      </c>
      <c r="K423" t="s">
        <v>71</v>
      </c>
      <c r="L423" t="s">
        <v>216</v>
      </c>
      <c r="M423" t="s">
        <v>117</v>
      </c>
      <c r="N423" t="s">
        <v>329</v>
      </c>
      <c r="O423" t="s">
        <v>72</v>
      </c>
      <c r="P423" t="s">
        <v>81</v>
      </c>
      <c r="Q423" s="44">
        <v>8891</v>
      </c>
      <c r="R423" s="42">
        <v>1</v>
      </c>
      <c r="S423" s="48">
        <v>2256</v>
      </c>
      <c r="U423" s="44">
        <v>200.58099999999999</v>
      </c>
      <c r="V423" s="45">
        <v>5.3000000000000001E-5</v>
      </c>
      <c r="W423" s="45">
        <v>1.37184458504631E-2</v>
      </c>
      <c r="X423" s="45">
        <v>1.3350921978664801E-3</v>
      </c>
    </row>
    <row r="424" spans="1:24" x14ac:dyDescent="0.25">
      <c r="A424">
        <v>424</v>
      </c>
      <c r="B424">
        <v>7229</v>
      </c>
      <c r="C424" t="s">
        <v>88</v>
      </c>
      <c r="D424" t="s">
        <v>571</v>
      </c>
      <c r="E424" t="s">
        <v>210</v>
      </c>
      <c r="F424" t="s">
        <v>893</v>
      </c>
      <c r="G424" t="s">
        <v>894</v>
      </c>
      <c r="H424" t="s">
        <v>213</v>
      </c>
      <c r="I424" t="s">
        <v>753</v>
      </c>
      <c r="J424" t="s">
        <v>71</v>
      </c>
      <c r="K424" t="s">
        <v>71</v>
      </c>
      <c r="L424" t="s">
        <v>216</v>
      </c>
      <c r="M424" t="s">
        <v>117</v>
      </c>
      <c r="N424" t="s">
        <v>365</v>
      </c>
      <c r="O424" t="s">
        <v>72</v>
      </c>
      <c r="P424" t="s">
        <v>81</v>
      </c>
      <c r="Q424" s="44">
        <v>11325</v>
      </c>
      <c r="R424" s="42">
        <v>1</v>
      </c>
      <c r="S424" s="48">
        <v>5008</v>
      </c>
      <c r="U424" s="44">
        <v>567.15599999999995</v>
      </c>
      <c r="V424" s="45">
        <v>7.9999999999999996E-6</v>
      </c>
      <c r="W424" s="45">
        <v>3.8789817711338499E-2</v>
      </c>
      <c r="X424" s="45">
        <v>3.7750619529050202E-3</v>
      </c>
    </row>
    <row r="425" spans="1:24" x14ac:dyDescent="0.25">
      <c r="A425">
        <v>424</v>
      </c>
      <c r="B425">
        <v>7229</v>
      </c>
      <c r="C425" t="s">
        <v>670</v>
      </c>
      <c r="D425" t="s">
        <v>671</v>
      </c>
      <c r="E425" t="s">
        <v>210</v>
      </c>
      <c r="F425" t="s">
        <v>900</v>
      </c>
      <c r="G425" t="s">
        <v>901</v>
      </c>
      <c r="H425" t="s">
        <v>213</v>
      </c>
      <c r="I425" t="s">
        <v>753</v>
      </c>
      <c r="J425" t="s">
        <v>71</v>
      </c>
      <c r="K425" t="s">
        <v>71</v>
      </c>
      <c r="L425" t="s">
        <v>216</v>
      </c>
      <c r="M425" t="s">
        <v>117</v>
      </c>
      <c r="N425" t="s">
        <v>329</v>
      </c>
      <c r="O425" t="s">
        <v>72</v>
      </c>
      <c r="P425" t="s">
        <v>81</v>
      </c>
      <c r="Q425" s="44">
        <v>7694</v>
      </c>
      <c r="R425" s="42">
        <v>1</v>
      </c>
      <c r="S425" s="48">
        <v>2530</v>
      </c>
      <c r="U425" s="44">
        <v>194.65799999999999</v>
      </c>
      <c r="V425" s="45">
        <v>4.0000000000000003E-5</v>
      </c>
      <c r="W425" s="45">
        <v>1.33133672111681E-2</v>
      </c>
      <c r="X425" s="45">
        <v>1.29566955941747E-3</v>
      </c>
    </row>
    <row r="426" spans="1:24" x14ac:dyDescent="0.25">
      <c r="A426">
        <v>424</v>
      </c>
      <c r="B426">
        <v>7229</v>
      </c>
      <c r="C426" t="s">
        <v>902</v>
      </c>
      <c r="D426" t="s">
        <v>903</v>
      </c>
      <c r="E426" t="s">
        <v>210</v>
      </c>
      <c r="F426" t="s">
        <v>904</v>
      </c>
      <c r="G426" t="s">
        <v>905</v>
      </c>
      <c r="H426" t="s">
        <v>213</v>
      </c>
      <c r="I426" t="s">
        <v>753</v>
      </c>
      <c r="J426" t="s">
        <v>71</v>
      </c>
      <c r="K426" t="s">
        <v>71</v>
      </c>
      <c r="L426" t="s">
        <v>216</v>
      </c>
      <c r="M426" t="s">
        <v>117</v>
      </c>
      <c r="N426" t="s">
        <v>906</v>
      </c>
      <c r="O426" t="s">
        <v>72</v>
      </c>
      <c r="P426" t="s">
        <v>81</v>
      </c>
      <c r="Q426" s="44">
        <v>140</v>
      </c>
      <c r="R426" s="42">
        <v>1</v>
      </c>
      <c r="S426" s="48">
        <v>48410</v>
      </c>
      <c r="U426" s="44">
        <v>67.774000000000001</v>
      </c>
      <c r="V426" s="45">
        <v>9.0000000000000002E-6</v>
      </c>
      <c r="W426" s="45">
        <v>4.6353051110598403E-3</v>
      </c>
      <c r="X426" s="45">
        <v>4.5111230207594497E-4</v>
      </c>
    </row>
    <row r="427" spans="1:24" x14ac:dyDescent="0.25">
      <c r="A427">
        <v>424</v>
      </c>
      <c r="B427">
        <v>7229</v>
      </c>
      <c r="C427" t="s">
        <v>907</v>
      </c>
      <c r="D427" t="s">
        <v>908</v>
      </c>
      <c r="E427" t="s">
        <v>210</v>
      </c>
      <c r="F427" t="s">
        <v>909</v>
      </c>
      <c r="G427" t="s">
        <v>910</v>
      </c>
      <c r="H427" t="s">
        <v>213</v>
      </c>
      <c r="I427" t="s">
        <v>753</v>
      </c>
      <c r="J427" t="s">
        <v>71</v>
      </c>
      <c r="K427" t="s">
        <v>71</v>
      </c>
      <c r="L427" t="s">
        <v>216</v>
      </c>
      <c r="M427" t="s">
        <v>117</v>
      </c>
      <c r="N427" t="s">
        <v>764</v>
      </c>
      <c r="O427" t="s">
        <v>72</v>
      </c>
      <c r="P427" t="s">
        <v>81</v>
      </c>
      <c r="Q427" s="44">
        <v>29987</v>
      </c>
      <c r="R427" s="42">
        <v>1</v>
      </c>
      <c r="S427" s="48">
        <v>682.4</v>
      </c>
      <c r="T427" s="44">
        <v>5.2050000000000001</v>
      </c>
      <c r="U427" s="44">
        <v>209.83600000000001</v>
      </c>
      <c r="V427" s="45">
        <v>1.0399999999999999E-4</v>
      </c>
      <c r="W427" s="45">
        <v>1.4351449310150199E-2</v>
      </c>
      <c r="X427" s="45">
        <v>1.3966966966167699E-3</v>
      </c>
    </row>
    <row r="428" spans="1:24" x14ac:dyDescent="0.25">
      <c r="A428">
        <v>424</v>
      </c>
      <c r="B428">
        <v>7229</v>
      </c>
      <c r="C428" t="s">
        <v>911</v>
      </c>
      <c r="D428" t="s">
        <v>912</v>
      </c>
      <c r="E428" t="s">
        <v>210</v>
      </c>
      <c r="F428" t="s">
        <v>913</v>
      </c>
      <c r="G428" t="s">
        <v>914</v>
      </c>
      <c r="H428" t="s">
        <v>213</v>
      </c>
      <c r="I428" t="s">
        <v>753</v>
      </c>
      <c r="J428" t="s">
        <v>71</v>
      </c>
      <c r="K428" t="s">
        <v>215</v>
      </c>
      <c r="L428" t="s">
        <v>216</v>
      </c>
      <c r="M428" t="s">
        <v>117</v>
      </c>
      <c r="N428" t="s">
        <v>830</v>
      </c>
      <c r="O428" t="s">
        <v>72</v>
      </c>
      <c r="P428" t="s">
        <v>81</v>
      </c>
      <c r="Q428" s="44">
        <v>517</v>
      </c>
      <c r="R428" s="42">
        <v>1</v>
      </c>
      <c r="S428" s="48">
        <v>21310</v>
      </c>
      <c r="U428" s="44">
        <v>110.173</v>
      </c>
      <c r="V428" s="45">
        <v>1.1E-5</v>
      </c>
      <c r="W428" s="45">
        <v>7.53510312817987E-3</v>
      </c>
      <c r="X428" s="45">
        <v>7.3332340311804602E-4</v>
      </c>
    </row>
    <row r="429" spans="1:24" x14ac:dyDescent="0.25">
      <c r="A429">
        <v>424</v>
      </c>
      <c r="B429">
        <v>7229</v>
      </c>
      <c r="C429" t="s">
        <v>919</v>
      </c>
      <c r="D429" t="s">
        <v>920</v>
      </c>
      <c r="E429" t="s">
        <v>210</v>
      </c>
      <c r="F429" t="s">
        <v>921</v>
      </c>
      <c r="G429" t="s">
        <v>922</v>
      </c>
      <c r="H429" t="s">
        <v>213</v>
      </c>
      <c r="I429" t="s">
        <v>753</v>
      </c>
      <c r="J429" t="s">
        <v>71</v>
      </c>
      <c r="K429" t="s">
        <v>71</v>
      </c>
      <c r="L429" t="s">
        <v>216</v>
      </c>
      <c r="M429" t="s">
        <v>117</v>
      </c>
      <c r="N429" t="s">
        <v>856</v>
      </c>
      <c r="O429" t="s">
        <v>72</v>
      </c>
      <c r="P429" t="s">
        <v>81</v>
      </c>
      <c r="Q429" s="44">
        <v>3662</v>
      </c>
      <c r="R429" s="42">
        <v>1</v>
      </c>
      <c r="S429" s="48">
        <v>7800</v>
      </c>
      <c r="U429" s="44">
        <v>285.63600000000002</v>
      </c>
      <c r="V429" s="45">
        <v>3.1000000000000001E-5</v>
      </c>
      <c r="W429" s="45">
        <v>1.95356628014089E-2</v>
      </c>
      <c r="X429" s="45">
        <v>1.90122928432385E-3</v>
      </c>
    </row>
    <row r="430" spans="1:24" x14ac:dyDescent="0.25">
      <c r="A430">
        <v>424</v>
      </c>
      <c r="B430">
        <v>7229</v>
      </c>
      <c r="C430" t="s">
        <v>923</v>
      </c>
      <c r="D430" t="s">
        <v>924</v>
      </c>
      <c r="E430" t="s">
        <v>210</v>
      </c>
      <c r="F430" t="s">
        <v>925</v>
      </c>
      <c r="G430" t="s">
        <v>926</v>
      </c>
      <c r="H430" t="s">
        <v>213</v>
      </c>
      <c r="I430" t="s">
        <v>753</v>
      </c>
      <c r="J430" t="s">
        <v>71</v>
      </c>
      <c r="K430" t="s">
        <v>71</v>
      </c>
      <c r="L430" t="s">
        <v>216</v>
      </c>
      <c r="M430" t="s">
        <v>117</v>
      </c>
      <c r="N430" t="s">
        <v>764</v>
      </c>
      <c r="O430" t="s">
        <v>72</v>
      </c>
      <c r="P430" t="s">
        <v>81</v>
      </c>
      <c r="Q430" s="44">
        <v>9564</v>
      </c>
      <c r="R430" s="42">
        <v>1</v>
      </c>
      <c r="S430" s="48">
        <v>2245</v>
      </c>
      <c r="T430" s="44">
        <v>2.141</v>
      </c>
      <c r="U430" s="44">
        <v>216.852</v>
      </c>
      <c r="V430" s="45">
        <v>2.6999999999999999E-5</v>
      </c>
      <c r="W430" s="45">
        <v>1.4831305500729501E-2</v>
      </c>
      <c r="X430" s="45">
        <v>1.4433967574781601E-3</v>
      </c>
    </row>
    <row r="431" spans="1:24" x14ac:dyDescent="0.25">
      <c r="A431">
        <v>424</v>
      </c>
      <c r="B431">
        <v>7229</v>
      </c>
      <c r="C431" t="s">
        <v>927</v>
      </c>
      <c r="D431" t="s">
        <v>928</v>
      </c>
      <c r="E431" t="s">
        <v>210</v>
      </c>
      <c r="F431" t="s">
        <v>929</v>
      </c>
      <c r="G431" t="s">
        <v>930</v>
      </c>
      <c r="H431" t="s">
        <v>213</v>
      </c>
      <c r="I431" t="s">
        <v>753</v>
      </c>
      <c r="J431" t="s">
        <v>71</v>
      </c>
      <c r="K431" t="s">
        <v>215</v>
      </c>
      <c r="L431" t="s">
        <v>216</v>
      </c>
      <c r="M431" t="s">
        <v>117</v>
      </c>
      <c r="N431" t="s">
        <v>931</v>
      </c>
      <c r="O431" t="s">
        <v>72</v>
      </c>
      <c r="P431" t="s">
        <v>81</v>
      </c>
      <c r="Q431" s="44">
        <v>1250</v>
      </c>
      <c r="R431" s="42">
        <v>1</v>
      </c>
      <c r="S431" s="48">
        <v>10080</v>
      </c>
      <c r="U431" s="44">
        <v>126</v>
      </c>
      <c r="V431" s="45">
        <v>1.11E-4</v>
      </c>
      <c r="W431" s="45">
        <v>8.6175885146743594E-3</v>
      </c>
      <c r="X431" s="45">
        <v>8.38671910490293E-4</v>
      </c>
    </row>
    <row r="432" spans="1:24" x14ac:dyDescent="0.25">
      <c r="A432">
        <v>424</v>
      </c>
      <c r="B432">
        <v>7229</v>
      </c>
      <c r="C432" t="s">
        <v>932</v>
      </c>
      <c r="D432" t="s">
        <v>933</v>
      </c>
      <c r="E432" t="s">
        <v>613</v>
      </c>
      <c r="F432" t="s">
        <v>934</v>
      </c>
      <c r="G432" t="s">
        <v>935</v>
      </c>
      <c r="H432" t="s">
        <v>213</v>
      </c>
      <c r="I432" t="s">
        <v>753</v>
      </c>
      <c r="J432" t="s">
        <v>85</v>
      </c>
      <c r="K432" t="s">
        <v>291</v>
      </c>
      <c r="L432" t="s">
        <v>216</v>
      </c>
      <c r="M432" t="s">
        <v>936</v>
      </c>
      <c r="N432" t="s">
        <v>937</v>
      </c>
      <c r="O432" t="s">
        <v>72</v>
      </c>
      <c r="P432" t="s">
        <v>75</v>
      </c>
      <c r="Q432" s="44">
        <v>382</v>
      </c>
      <c r="R432" s="42">
        <v>3.718</v>
      </c>
      <c r="S432" s="48">
        <v>10274</v>
      </c>
      <c r="U432" s="44">
        <v>145.91900000000001</v>
      </c>
      <c r="V432" s="45">
        <v>0</v>
      </c>
      <c r="W432" s="45">
        <v>9.9799305149587108E-3</v>
      </c>
      <c r="X432" s="45">
        <v>9.7125632968993896E-4</v>
      </c>
    </row>
    <row r="433" spans="1:24" x14ac:dyDescent="0.25">
      <c r="A433">
        <v>424</v>
      </c>
      <c r="B433">
        <v>7229</v>
      </c>
      <c r="C433" t="s">
        <v>938</v>
      </c>
      <c r="D433" t="s">
        <v>939</v>
      </c>
      <c r="E433" t="s">
        <v>613</v>
      </c>
      <c r="F433" t="s">
        <v>940</v>
      </c>
      <c r="G433" t="s">
        <v>941</v>
      </c>
      <c r="H433" t="s">
        <v>213</v>
      </c>
      <c r="I433" t="s">
        <v>753</v>
      </c>
      <c r="J433" t="s">
        <v>85</v>
      </c>
      <c r="L433" t="s">
        <v>216</v>
      </c>
      <c r="M433" t="s">
        <v>286</v>
      </c>
      <c r="N433" t="s">
        <v>942</v>
      </c>
      <c r="O433" t="s">
        <v>72</v>
      </c>
      <c r="P433" t="s">
        <v>75</v>
      </c>
      <c r="Q433" s="44">
        <v>321</v>
      </c>
      <c r="R433" s="42">
        <v>3.718</v>
      </c>
      <c r="S433" s="48">
        <v>11946</v>
      </c>
      <c r="U433" s="44">
        <v>142.57300000000001</v>
      </c>
      <c r="V433" s="45">
        <v>9.9999999999999995E-7</v>
      </c>
      <c r="W433" s="45">
        <v>9.7510668999453293E-3</v>
      </c>
      <c r="X433" s="45">
        <v>9.4898310500322598E-4</v>
      </c>
    </row>
    <row r="434" spans="1:24" x14ac:dyDescent="0.25">
      <c r="A434">
        <v>424</v>
      </c>
      <c r="B434">
        <v>7229</v>
      </c>
      <c r="C434" t="s">
        <v>943</v>
      </c>
      <c r="D434" t="s">
        <v>944</v>
      </c>
      <c r="E434" t="s">
        <v>613</v>
      </c>
      <c r="F434" t="s">
        <v>945</v>
      </c>
      <c r="G434" t="s">
        <v>946</v>
      </c>
      <c r="H434" t="s">
        <v>213</v>
      </c>
      <c r="I434" t="s">
        <v>753</v>
      </c>
      <c r="J434" t="s">
        <v>85</v>
      </c>
      <c r="K434" t="s">
        <v>291</v>
      </c>
      <c r="L434" t="s">
        <v>216</v>
      </c>
      <c r="M434" t="s">
        <v>936</v>
      </c>
      <c r="N434" t="s">
        <v>947</v>
      </c>
      <c r="O434" t="s">
        <v>72</v>
      </c>
      <c r="P434" t="s">
        <v>75</v>
      </c>
      <c r="Q434" s="44">
        <v>639</v>
      </c>
      <c r="R434" s="42">
        <v>3.718</v>
      </c>
      <c r="S434" s="48">
        <v>19026</v>
      </c>
      <c r="U434" s="44">
        <v>452.02</v>
      </c>
      <c r="V434" s="45">
        <v>0</v>
      </c>
      <c r="W434" s="45">
        <v>3.0915262882794E-2</v>
      </c>
      <c r="X434" s="45">
        <v>3.0087027874528501E-3</v>
      </c>
    </row>
    <row r="435" spans="1:24" x14ac:dyDescent="0.25">
      <c r="A435">
        <v>424</v>
      </c>
      <c r="B435">
        <v>7229</v>
      </c>
      <c r="C435" t="s">
        <v>948</v>
      </c>
      <c r="D435" t="s">
        <v>949</v>
      </c>
      <c r="E435" t="s">
        <v>613</v>
      </c>
      <c r="F435" t="s">
        <v>950</v>
      </c>
      <c r="G435" t="s">
        <v>951</v>
      </c>
      <c r="H435" t="s">
        <v>213</v>
      </c>
      <c r="I435" t="s">
        <v>753</v>
      </c>
      <c r="J435" t="s">
        <v>85</v>
      </c>
      <c r="K435" t="s">
        <v>291</v>
      </c>
      <c r="L435" t="s">
        <v>216</v>
      </c>
      <c r="M435" t="s">
        <v>286</v>
      </c>
      <c r="N435" t="s">
        <v>952</v>
      </c>
      <c r="O435" t="s">
        <v>72</v>
      </c>
      <c r="P435" t="s">
        <v>75</v>
      </c>
      <c r="Q435" s="44">
        <v>212</v>
      </c>
      <c r="R435" s="42">
        <v>3.718</v>
      </c>
      <c r="S435" s="48">
        <v>14512</v>
      </c>
      <c r="U435" s="44">
        <v>114.386</v>
      </c>
      <c r="V435" s="45">
        <v>0</v>
      </c>
      <c r="W435" s="45">
        <v>7.8232592785461401E-3</v>
      </c>
      <c r="X435" s="45">
        <v>7.6136703373880395E-4</v>
      </c>
    </row>
    <row r="436" spans="1:24" x14ac:dyDescent="0.25">
      <c r="A436">
        <v>424</v>
      </c>
      <c r="B436">
        <v>7229</v>
      </c>
      <c r="C436" t="s">
        <v>953</v>
      </c>
      <c r="D436" t="s">
        <v>954</v>
      </c>
      <c r="E436" t="s">
        <v>613</v>
      </c>
      <c r="F436" t="s">
        <v>955</v>
      </c>
      <c r="G436" t="s">
        <v>956</v>
      </c>
      <c r="H436" t="s">
        <v>213</v>
      </c>
      <c r="I436" t="s">
        <v>753</v>
      </c>
      <c r="J436" t="s">
        <v>85</v>
      </c>
      <c r="K436" t="s">
        <v>291</v>
      </c>
      <c r="L436" t="s">
        <v>216</v>
      </c>
      <c r="M436" t="s">
        <v>936</v>
      </c>
      <c r="N436" t="s">
        <v>957</v>
      </c>
      <c r="O436" t="s">
        <v>72</v>
      </c>
      <c r="P436" t="s">
        <v>75</v>
      </c>
      <c r="Q436" s="44">
        <v>86</v>
      </c>
      <c r="R436" s="42">
        <v>3.718</v>
      </c>
      <c r="S436" s="48">
        <v>53258</v>
      </c>
      <c r="U436" s="44">
        <v>170.291</v>
      </c>
      <c r="V436" s="45">
        <v>0</v>
      </c>
      <c r="W436" s="45">
        <v>1.1646834327247E-2</v>
      </c>
      <c r="X436" s="45">
        <v>1.1334809941044399E-3</v>
      </c>
    </row>
    <row r="437" spans="1:24" x14ac:dyDescent="0.25">
      <c r="A437">
        <v>424</v>
      </c>
      <c r="B437">
        <v>7229</v>
      </c>
      <c r="C437" t="s">
        <v>958</v>
      </c>
      <c r="D437" t="s">
        <v>959</v>
      </c>
      <c r="E437" t="s">
        <v>613</v>
      </c>
      <c r="F437" t="s">
        <v>960</v>
      </c>
      <c r="G437" t="s">
        <v>961</v>
      </c>
      <c r="H437" t="s">
        <v>213</v>
      </c>
      <c r="I437" t="s">
        <v>753</v>
      </c>
      <c r="J437" t="s">
        <v>85</v>
      </c>
      <c r="K437" t="s">
        <v>291</v>
      </c>
      <c r="L437" t="s">
        <v>216</v>
      </c>
      <c r="M437" t="s">
        <v>936</v>
      </c>
      <c r="N437" t="s">
        <v>680</v>
      </c>
      <c r="O437" t="s">
        <v>72</v>
      </c>
      <c r="P437" t="s">
        <v>75</v>
      </c>
      <c r="Q437" s="44">
        <v>587</v>
      </c>
      <c r="R437" s="42">
        <v>3.718</v>
      </c>
      <c r="S437" s="48">
        <v>13684</v>
      </c>
      <c r="U437" s="44">
        <v>298.649</v>
      </c>
      <c r="V437" s="45">
        <v>3.0000000000000001E-6</v>
      </c>
      <c r="W437" s="45">
        <v>2.0425644080174402E-2</v>
      </c>
      <c r="X437" s="45">
        <v>1.9878431088400498E-3</v>
      </c>
    </row>
    <row r="438" spans="1:24" x14ac:dyDescent="0.25">
      <c r="A438">
        <v>424</v>
      </c>
      <c r="B438">
        <v>7229</v>
      </c>
      <c r="C438" t="s">
        <v>967</v>
      </c>
      <c r="D438" t="s">
        <v>968</v>
      </c>
      <c r="E438" t="s">
        <v>613</v>
      </c>
      <c r="F438" t="s">
        <v>969</v>
      </c>
      <c r="G438" t="s">
        <v>970</v>
      </c>
      <c r="H438" t="s">
        <v>213</v>
      </c>
      <c r="I438" t="s">
        <v>753</v>
      </c>
      <c r="J438" t="s">
        <v>85</v>
      </c>
      <c r="K438" t="s">
        <v>291</v>
      </c>
      <c r="L438" t="s">
        <v>216</v>
      </c>
      <c r="M438" t="s">
        <v>936</v>
      </c>
      <c r="N438" t="s">
        <v>616</v>
      </c>
      <c r="O438" t="s">
        <v>72</v>
      </c>
      <c r="P438" t="s">
        <v>75</v>
      </c>
      <c r="Q438" s="44">
        <v>2345</v>
      </c>
      <c r="R438" s="42">
        <v>3.718</v>
      </c>
      <c r="S438" s="48">
        <v>3308</v>
      </c>
      <c r="U438" s="44">
        <v>288.41500000000002</v>
      </c>
      <c r="V438" s="45">
        <v>6.0000000000000002E-6</v>
      </c>
      <c r="W438" s="45">
        <v>1.9725723497240701E-2</v>
      </c>
      <c r="X438" s="45">
        <v>1.91972617201011E-3</v>
      </c>
    </row>
    <row r="439" spans="1:24" x14ac:dyDescent="0.25">
      <c r="A439">
        <v>424</v>
      </c>
      <c r="B439">
        <v>7229</v>
      </c>
      <c r="C439" t="s">
        <v>971</v>
      </c>
      <c r="D439" t="s">
        <v>972</v>
      </c>
      <c r="E439" t="s">
        <v>613</v>
      </c>
      <c r="F439" t="s">
        <v>973</v>
      </c>
      <c r="G439" t="s">
        <v>974</v>
      </c>
      <c r="H439" t="s">
        <v>213</v>
      </c>
      <c r="I439" t="s">
        <v>753</v>
      </c>
      <c r="J439" t="s">
        <v>85</v>
      </c>
      <c r="K439" t="s">
        <v>291</v>
      </c>
      <c r="L439" t="s">
        <v>216</v>
      </c>
      <c r="M439" t="s">
        <v>936</v>
      </c>
      <c r="N439" t="s">
        <v>975</v>
      </c>
      <c r="O439" t="s">
        <v>72</v>
      </c>
      <c r="P439" t="s">
        <v>75</v>
      </c>
      <c r="Q439" s="44">
        <v>284</v>
      </c>
      <c r="R439" s="42">
        <v>3.718</v>
      </c>
      <c r="S439" s="48">
        <v>15623</v>
      </c>
      <c r="U439" s="44">
        <v>164.965</v>
      </c>
      <c r="V439" s="45">
        <v>0</v>
      </c>
      <c r="W439" s="45">
        <v>1.1282552577593001E-2</v>
      </c>
      <c r="X439" s="45">
        <v>1.0980287477574801E-3</v>
      </c>
    </row>
    <row r="440" spans="1:24" x14ac:dyDescent="0.25">
      <c r="A440">
        <v>424</v>
      </c>
      <c r="B440">
        <v>7229</v>
      </c>
      <c r="C440" t="s">
        <v>976</v>
      </c>
      <c r="D440" t="s">
        <v>977</v>
      </c>
      <c r="E440" t="s">
        <v>613</v>
      </c>
      <c r="F440" t="s">
        <v>978</v>
      </c>
      <c r="G440" t="s">
        <v>979</v>
      </c>
      <c r="H440" t="s">
        <v>213</v>
      </c>
      <c r="I440" t="s">
        <v>753</v>
      </c>
      <c r="J440" t="s">
        <v>85</v>
      </c>
      <c r="L440" t="s">
        <v>216</v>
      </c>
      <c r="M440" t="s">
        <v>286</v>
      </c>
      <c r="N440" t="s">
        <v>952</v>
      </c>
      <c r="O440" t="s">
        <v>72</v>
      </c>
      <c r="P440" t="s">
        <v>75</v>
      </c>
      <c r="Q440" s="44">
        <v>1583</v>
      </c>
      <c r="R440" s="42">
        <v>3.718</v>
      </c>
      <c r="S440" s="48">
        <v>2271</v>
      </c>
      <c r="U440" s="44">
        <v>133.66200000000001</v>
      </c>
      <c r="V440" s="45">
        <v>0</v>
      </c>
      <c r="W440" s="45">
        <v>9.1416090078862595E-3</v>
      </c>
      <c r="X440" s="45">
        <v>8.8967008328883401E-4</v>
      </c>
    </row>
    <row r="441" spans="1:24" x14ac:dyDescent="0.25">
      <c r="A441">
        <v>424</v>
      </c>
      <c r="B441">
        <v>7229</v>
      </c>
      <c r="C441" t="s">
        <v>980</v>
      </c>
      <c r="D441" t="s">
        <v>981</v>
      </c>
      <c r="E441" t="s">
        <v>613</v>
      </c>
      <c r="F441" t="s">
        <v>982</v>
      </c>
      <c r="G441" t="s">
        <v>983</v>
      </c>
      <c r="H441" t="s">
        <v>213</v>
      </c>
      <c r="I441" t="s">
        <v>753</v>
      </c>
      <c r="J441" t="s">
        <v>85</v>
      </c>
      <c r="K441" t="s">
        <v>984</v>
      </c>
      <c r="L441" t="s">
        <v>216</v>
      </c>
      <c r="M441" t="s">
        <v>286</v>
      </c>
      <c r="N441" t="s">
        <v>985</v>
      </c>
      <c r="O441" t="s">
        <v>72</v>
      </c>
      <c r="P441" t="s">
        <v>75</v>
      </c>
      <c r="Q441" s="44">
        <v>1147.44</v>
      </c>
      <c r="R441" s="42">
        <v>3.718</v>
      </c>
      <c r="S441" s="48">
        <v>16822</v>
      </c>
      <c r="U441" s="44">
        <v>717.65700000000004</v>
      </c>
      <c r="V441" s="45">
        <v>0</v>
      </c>
      <c r="W441" s="45">
        <v>4.9083125214605901E-2</v>
      </c>
      <c r="X441" s="45">
        <v>4.7768164291519602E-3</v>
      </c>
    </row>
    <row r="442" spans="1:24" x14ac:dyDescent="0.25">
      <c r="A442">
        <v>424</v>
      </c>
      <c r="B442">
        <v>7229</v>
      </c>
      <c r="C442" t="s">
        <v>986</v>
      </c>
      <c r="D442" t="s">
        <v>987</v>
      </c>
      <c r="E442" t="s">
        <v>613</v>
      </c>
      <c r="F442" t="s">
        <v>988</v>
      </c>
      <c r="G442" t="s">
        <v>989</v>
      </c>
      <c r="H442" t="s">
        <v>213</v>
      </c>
      <c r="I442" t="s">
        <v>753</v>
      </c>
      <c r="J442" t="s">
        <v>85</v>
      </c>
      <c r="K442" t="s">
        <v>990</v>
      </c>
      <c r="L442" t="s">
        <v>216</v>
      </c>
      <c r="M442" t="s">
        <v>991</v>
      </c>
      <c r="N442" t="s">
        <v>992</v>
      </c>
      <c r="O442" t="s">
        <v>72</v>
      </c>
      <c r="P442" t="s">
        <v>77</v>
      </c>
      <c r="Q442" s="44">
        <v>84</v>
      </c>
      <c r="R442" s="42">
        <v>4.0218999999999996</v>
      </c>
      <c r="S442" s="48">
        <v>57170</v>
      </c>
      <c r="U442" s="44">
        <v>193.143</v>
      </c>
      <c r="V442" s="45">
        <v>0</v>
      </c>
      <c r="W442" s="45">
        <v>1.32097304037376E-2</v>
      </c>
      <c r="X442" s="45">
        <v>1.28558352674872E-3</v>
      </c>
    </row>
    <row r="443" spans="1:24" x14ac:dyDescent="0.25">
      <c r="A443">
        <v>424</v>
      </c>
      <c r="B443">
        <v>7229</v>
      </c>
      <c r="C443" t="s">
        <v>993</v>
      </c>
      <c r="D443" t="s">
        <v>994</v>
      </c>
      <c r="E443" t="s">
        <v>613</v>
      </c>
      <c r="F443" t="s">
        <v>995</v>
      </c>
      <c r="G443" t="s">
        <v>996</v>
      </c>
      <c r="H443" t="s">
        <v>213</v>
      </c>
      <c r="I443" t="s">
        <v>753</v>
      </c>
      <c r="J443" t="s">
        <v>85</v>
      </c>
      <c r="K443" t="s">
        <v>291</v>
      </c>
      <c r="L443" t="s">
        <v>216</v>
      </c>
      <c r="M443" t="s">
        <v>966</v>
      </c>
      <c r="N443" t="s">
        <v>957</v>
      </c>
      <c r="O443" t="s">
        <v>72</v>
      </c>
      <c r="P443" t="s">
        <v>75</v>
      </c>
      <c r="Q443" s="44">
        <v>158</v>
      </c>
      <c r="R443" s="42">
        <v>3.718</v>
      </c>
      <c r="S443" s="48">
        <v>54812</v>
      </c>
      <c r="U443" s="44">
        <v>321.99</v>
      </c>
      <c r="V443" s="45">
        <v>0</v>
      </c>
      <c r="W443" s="45">
        <v>2.2022028950977501E-2</v>
      </c>
      <c r="X443" s="45">
        <v>2.14320480279821E-3</v>
      </c>
    </row>
    <row r="444" spans="1:24" x14ac:dyDescent="0.25">
      <c r="A444">
        <v>424</v>
      </c>
      <c r="B444">
        <v>7229</v>
      </c>
      <c r="C444" t="s">
        <v>997</v>
      </c>
      <c r="D444" t="s">
        <v>998</v>
      </c>
      <c r="E444" t="s">
        <v>613</v>
      </c>
      <c r="F444" t="s">
        <v>999</v>
      </c>
      <c r="G444" t="s">
        <v>1000</v>
      </c>
      <c r="H444" t="s">
        <v>213</v>
      </c>
      <c r="I444" t="s">
        <v>753</v>
      </c>
      <c r="J444" t="s">
        <v>85</v>
      </c>
      <c r="K444" t="s">
        <v>1001</v>
      </c>
      <c r="L444" t="s">
        <v>216</v>
      </c>
      <c r="M444" t="s">
        <v>286</v>
      </c>
      <c r="N444" t="s">
        <v>992</v>
      </c>
      <c r="O444" t="s">
        <v>72</v>
      </c>
      <c r="P444" t="s">
        <v>75</v>
      </c>
      <c r="Q444" s="44">
        <v>22</v>
      </c>
      <c r="R444" s="42">
        <v>3.718</v>
      </c>
      <c r="S444" s="48">
        <v>195087</v>
      </c>
      <c r="U444" s="44">
        <v>159.57300000000001</v>
      </c>
      <c r="V444" s="45">
        <v>0</v>
      </c>
      <c r="W444" s="45">
        <v>1.0913790286510501E-2</v>
      </c>
      <c r="X444" s="45">
        <v>1.0621404508572099E-3</v>
      </c>
    </row>
    <row r="445" spans="1:24" x14ac:dyDescent="0.25">
      <c r="A445">
        <v>424</v>
      </c>
      <c r="B445">
        <v>7229</v>
      </c>
      <c r="C445" t="s">
        <v>1002</v>
      </c>
      <c r="D445" t="s">
        <v>1003</v>
      </c>
      <c r="E445" t="s">
        <v>613</v>
      </c>
      <c r="F445" t="s">
        <v>1004</v>
      </c>
      <c r="G445" t="s">
        <v>1005</v>
      </c>
      <c r="H445" t="s">
        <v>213</v>
      </c>
      <c r="I445" t="s">
        <v>753</v>
      </c>
      <c r="J445" t="s">
        <v>85</v>
      </c>
      <c r="K445" t="s">
        <v>291</v>
      </c>
      <c r="L445" t="s">
        <v>216</v>
      </c>
      <c r="M445" t="s">
        <v>966</v>
      </c>
      <c r="N445" t="s">
        <v>680</v>
      </c>
      <c r="O445" t="s">
        <v>72</v>
      </c>
      <c r="P445" t="s">
        <v>75</v>
      </c>
      <c r="Q445" s="44">
        <v>0</v>
      </c>
      <c r="R445" s="42">
        <v>3.718</v>
      </c>
      <c r="S445" s="48">
        <v>0</v>
      </c>
      <c r="T445" s="44">
        <v>0.39200000000000002</v>
      </c>
      <c r="U445" s="44">
        <v>1.4590000000000001</v>
      </c>
      <c r="V445" s="45">
        <v>0</v>
      </c>
      <c r="W445" s="45">
        <v>9.9752690670934104E-5</v>
      </c>
      <c r="X445" s="45">
        <v>9.7080267315015601E-6</v>
      </c>
    </row>
    <row r="446" spans="1:24" x14ac:dyDescent="0.25">
      <c r="A446">
        <v>424</v>
      </c>
      <c r="B446">
        <v>7229</v>
      </c>
      <c r="C446" t="s">
        <v>1006</v>
      </c>
      <c r="D446" t="s">
        <v>1007</v>
      </c>
      <c r="E446" t="s">
        <v>613</v>
      </c>
      <c r="F446" t="s">
        <v>1008</v>
      </c>
      <c r="G446" t="s">
        <v>1009</v>
      </c>
      <c r="H446" t="s">
        <v>213</v>
      </c>
      <c r="I446" t="s">
        <v>753</v>
      </c>
      <c r="J446" t="s">
        <v>85</v>
      </c>
      <c r="K446" t="s">
        <v>291</v>
      </c>
      <c r="L446" t="s">
        <v>216</v>
      </c>
      <c r="M446" t="s">
        <v>936</v>
      </c>
      <c r="N446" t="s">
        <v>1010</v>
      </c>
      <c r="O446" t="s">
        <v>72</v>
      </c>
      <c r="P446" t="s">
        <v>75</v>
      </c>
      <c r="Q446" s="44">
        <v>189</v>
      </c>
      <c r="R446" s="42">
        <v>3.718</v>
      </c>
      <c r="S446" s="48">
        <v>37539</v>
      </c>
      <c r="U446" s="44">
        <v>263.78699999999998</v>
      </c>
      <c r="V446" s="45">
        <v>0</v>
      </c>
      <c r="W446" s="45">
        <v>1.80413526934242E-2</v>
      </c>
      <c r="X446" s="45">
        <v>1.7558016033671099E-3</v>
      </c>
    </row>
    <row r="447" spans="1:24" x14ac:dyDescent="0.25">
      <c r="A447">
        <v>424</v>
      </c>
      <c r="B447">
        <v>7229</v>
      </c>
      <c r="C447" t="s">
        <v>1011</v>
      </c>
      <c r="D447" t="s">
        <v>1012</v>
      </c>
      <c r="E447" t="s">
        <v>613</v>
      </c>
      <c r="F447" t="s">
        <v>1011</v>
      </c>
      <c r="G447" t="s">
        <v>1013</v>
      </c>
      <c r="H447" t="s">
        <v>213</v>
      </c>
      <c r="I447" t="s">
        <v>753</v>
      </c>
      <c r="J447" t="s">
        <v>85</v>
      </c>
      <c r="K447" t="s">
        <v>291</v>
      </c>
      <c r="L447" t="s">
        <v>216</v>
      </c>
      <c r="M447" t="s">
        <v>936</v>
      </c>
      <c r="N447" t="s">
        <v>680</v>
      </c>
      <c r="O447" t="s">
        <v>72</v>
      </c>
      <c r="P447" t="s">
        <v>75</v>
      </c>
      <c r="Q447" s="44">
        <v>525</v>
      </c>
      <c r="R447" s="42">
        <v>3.718</v>
      </c>
      <c r="S447" s="48">
        <v>2835</v>
      </c>
      <c r="U447" s="44">
        <v>55.338000000000001</v>
      </c>
      <c r="V447" s="45">
        <v>9.9999999999999995E-7</v>
      </c>
      <c r="W447" s="45">
        <v>3.7847479277741901E-3</v>
      </c>
      <c r="X447" s="45">
        <v>3.6833526802834303E-4</v>
      </c>
    </row>
    <row r="448" spans="1:24" x14ac:dyDescent="0.25">
      <c r="A448">
        <v>424</v>
      </c>
      <c r="B448">
        <v>7229</v>
      </c>
      <c r="C448" t="s">
        <v>1014</v>
      </c>
      <c r="D448" t="s">
        <v>1015</v>
      </c>
      <c r="E448" t="s">
        <v>613</v>
      </c>
      <c r="F448" t="s">
        <v>1016</v>
      </c>
      <c r="G448" t="s">
        <v>1017</v>
      </c>
      <c r="H448" t="s">
        <v>213</v>
      </c>
      <c r="I448" t="s">
        <v>753</v>
      </c>
      <c r="J448" t="s">
        <v>85</v>
      </c>
      <c r="K448" t="s">
        <v>291</v>
      </c>
      <c r="L448" t="s">
        <v>216</v>
      </c>
      <c r="M448" t="s">
        <v>936</v>
      </c>
      <c r="N448" t="s">
        <v>975</v>
      </c>
      <c r="O448" t="s">
        <v>72</v>
      </c>
      <c r="P448" t="s">
        <v>75</v>
      </c>
      <c r="Q448" s="44">
        <v>66</v>
      </c>
      <c r="R448" s="42">
        <v>3.718</v>
      </c>
      <c r="S448" s="48">
        <v>93253</v>
      </c>
      <c r="U448" s="44">
        <v>228.83199999999999</v>
      </c>
      <c r="V448" s="45">
        <v>0</v>
      </c>
      <c r="W448" s="45">
        <v>1.5650612581893601E-2</v>
      </c>
      <c r="X448" s="45">
        <v>1.5231325018651299E-3</v>
      </c>
    </row>
    <row r="449" spans="1:24" x14ac:dyDescent="0.25">
      <c r="A449">
        <v>424</v>
      </c>
      <c r="B449">
        <v>7229</v>
      </c>
      <c r="C449" t="s">
        <v>1018</v>
      </c>
      <c r="D449" t="s">
        <v>1019</v>
      </c>
      <c r="E449" t="s">
        <v>613</v>
      </c>
      <c r="F449" t="s">
        <v>1020</v>
      </c>
      <c r="G449" t="s">
        <v>1021</v>
      </c>
      <c r="H449" t="s">
        <v>213</v>
      </c>
      <c r="I449" t="s">
        <v>753</v>
      </c>
      <c r="J449" t="s">
        <v>85</v>
      </c>
      <c r="K449" t="s">
        <v>291</v>
      </c>
      <c r="L449" t="s">
        <v>216</v>
      </c>
      <c r="M449" t="s">
        <v>1022</v>
      </c>
      <c r="N449" t="s">
        <v>1023</v>
      </c>
      <c r="O449" t="s">
        <v>72</v>
      </c>
      <c r="P449" t="s">
        <v>75</v>
      </c>
      <c r="Q449" s="44">
        <v>556</v>
      </c>
      <c r="R449" s="42">
        <v>3.718</v>
      </c>
      <c r="S449" s="48">
        <v>7089</v>
      </c>
      <c r="U449" s="44">
        <v>146.54400000000001</v>
      </c>
      <c r="V449" s="45">
        <v>0</v>
      </c>
      <c r="W449" s="45">
        <v>1.0022691459716199E-2</v>
      </c>
      <c r="X449" s="45">
        <v>9.7541786550394002E-4</v>
      </c>
    </row>
    <row r="450" spans="1:24" x14ac:dyDescent="0.25">
      <c r="A450">
        <v>424</v>
      </c>
      <c r="B450">
        <v>7229</v>
      </c>
      <c r="C450" t="s">
        <v>1024</v>
      </c>
      <c r="D450" t="s">
        <v>1025</v>
      </c>
      <c r="E450" t="s">
        <v>613</v>
      </c>
      <c r="F450" t="s">
        <v>1024</v>
      </c>
      <c r="G450" t="s">
        <v>1026</v>
      </c>
      <c r="H450" t="s">
        <v>213</v>
      </c>
      <c r="I450" t="s">
        <v>753</v>
      </c>
      <c r="J450" t="s">
        <v>85</v>
      </c>
      <c r="K450" t="s">
        <v>291</v>
      </c>
      <c r="L450" t="s">
        <v>216</v>
      </c>
      <c r="M450" t="s">
        <v>966</v>
      </c>
      <c r="N450" t="s">
        <v>947</v>
      </c>
      <c r="O450" t="s">
        <v>72</v>
      </c>
      <c r="P450" t="s">
        <v>75</v>
      </c>
      <c r="Q450" s="44">
        <v>794</v>
      </c>
      <c r="R450" s="42">
        <v>3.718</v>
      </c>
      <c r="S450" s="48">
        <v>6348</v>
      </c>
      <c r="T450" s="44">
        <v>0.318</v>
      </c>
      <c r="U450" s="44">
        <v>188.58</v>
      </c>
      <c r="V450" s="45">
        <v>9.9999999999999995E-7</v>
      </c>
      <c r="W450" s="45">
        <v>1.2897632647364699E-2</v>
      </c>
      <c r="X450" s="45">
        <v>1.25520987626039E-3</v>
      </c>
    </row>
    <row r="451" spans="1:24" x14ac:dyDescent="0.25">
      <c r="A451">
        <v>424</v>
      </c>
      <c r="B451">
        <v>7229</v>
      </c>
      <c r="C451" t="s">
        <v>1027</v>
      </c>
      <c r="D451" t="s">
        <v>1028</v>
      </c>
      <c r="E451" t="s">
        <v>613</v>
      </c>
      <c r="F451" t="s">
        <v>1029</v>
      </c>
      <c r="G451" t="s">
        <v>1030</v>
      </c>
      <c r="H451" t="s">
        <v>213</v>
      </c>
      <c r="I451" t="s">
        <v>753</v>
      </c>
      <c r="J451" t="s">
        <v>85</v>
      </c>
      <c r="K451" t="s">
        <v>291</v>
      </c>
      <c r="L451" t="s">
        <v>216</v>
      </c>
      <c r="M451" t="s">
        <v>966</v>
      </c>
      <c r="N451" t="s">
        <v>706</v>
      </c>
      <c r="O451" t="s">
        <v>72</v>
      </c>
      <c r="P451" t="s">
        <v>75</v>
      </c>
      <c r="Q451" s="44">
        <v>87</v>
      </c>
      <c r="R451" s="42">
        <v>3.718</v>
      </c>
      <c r="S451" s="48">
        <v>51201</v>
      </c>
      <c r="U451" s="44">
        <v>165.61799999999999</v>
      </c>
      <c r="V451" s="45">
        <v>9.9999999999999995E-7</v>
      </c>
      <c r="W451" s="45">
        <v>1.13271927051631E-2</v>
      </c>
      <c r="X451" s="45">
        <v>1.1023731674301E-3</v>
      </c>
    </row>
    <row r="452" spans="1:24" x14ac:dyDescent="0.25">
      <c r="A452">
        <v>424</v>
      </c>
      <c r="B452">
        <v>7229</v>
      </c>
      <c r="C452" t="s">
        <v>1031</v>
      </c>
      <c r="D452" t="s">
        <v>1032</v>
      </c>
      <c r="E452" t="s">
        <v>613</v>
      </c>
      <c r="F452" t="s">
        <v>1033</v>
      </c>
      <c r="G452" t="s">
        <v>1034</v>
      </c>
      <c r="H452" t="s">
        <v>213</v>
      </c>
      <c r="I452" t="s">
        <v>753</v>
      </c>
      <c r="J452" t="s">
        <v>85</v>
      </c>
      <c r="K452" t="s">
        <v>291</v>
      </c>
      <c r="L452" t="s">
        <v>216</v>
      </c>
      <c r="M452" t="s">
        <v>936</v>
      </c>
      <c r="N452" t="s">
        <v>937</v>
      </c>
      <c r="O452" t="s">
        <v>72</v>
      </c>
      <c r="P452" t="s">
        <v>75</v>
      </c>
      <c r="Q452" s="44">
        <v>1467</v>
      </c>
      <c r="R452" s="42">
        <v>3.718</v>
      </c>
      <c r="S452" s="48">
        <v>10838</v>
      </c>
      <c r="T452" s="44">
        <v>1.0999999999999999E-2</v>
      </c>
      <c r="U452" s="44">
        <v>591.178</v>
      </c>
      <c r="V452" s="45">
        <v>0</v>
      </c>
      <c r="W452" s="45">
        <v>4.0432798186907801E-2</v>
      </c>
      <c r="X452" s="45">
        <v>3.9349583754364004E-3</v>
      </c>
    </row>
    <row r="453" spans="1:24" x14ac:dyDescent="0.25">
      <c r="A453">
        <v>424</v>
      </c>
      <c r="B453">
        <v>7229</v>
      </c>
      <c r="C453" t="s">
        <v>1035</v>
      </c>
      <c r="D453" t="s">
        <v>1036</v>
      </c>
      <c r="E453" t="s">
        <v>613</v>
      </c>
      <c r="F453" t="s">
        <v>1035</v>
      </c>
      <c r="G453" t="s">
        <v>1037</v>
      </c>
      <c r="H453" t="s">
        <v>213</v>
      </c>
      <c r="I453" t="s">
        <v>753</v>
      </c>
      <c r="J453" t="s">
        <v>85</v>
      </c>
      <c r="K453" t="s">
        <v>291</v>
      </c>
      <c r="L453" t="s">
        <v>216</v>
      </c>
      <c r="M453" t="s">
        <v>286</v>
      </c>
      <c r="N453" t="s">
        <v>1038</v>
      </c>
      <c r="O453" t="s">
        <v>72</v>
      </c>
      <c r="P453" t="s">
        <v>75</v>
      </c>
      <c r="Q453" s="44">
        <v>235</v>
      </c>
      <c r="R453" s="42">
        <v>3.718</v>
      </c>
      <c r="S453" s="48">
        <v>13981</v>
      </c>
      <c r="U453" s="44">
        <v>122.15600000000001</v>
      </c>
      <c r="V453" s="45">
        <v>0</v>
      </c>
      <c r="W453" s="45">
        <v>8.3546967551051104E-3</v>
      </c>
      <c r="X453" s="45">
        <v>8.1308703441102101E-4</v>
      </c>
    </row>
    <row r="454" spans="1:24" x14ac:dyDescent="0.25">
      <c r="A454">
        <v>424</v>
      </c>
      <c r="B454">
        <v>7229</v>
      </c>
      <c r="C454" t="s">
        <v>1044</v>
      </c>
      <c r="D454" t="s">
        <v>1045</v>
      </c>
      <c r="E454" t="s">
        <v>613</v>
      </c>
      <c r="F454" t="s">
        <v>1046</v>
      </c>
      <c r="G454" t="s">
        <v>1047</v>
      </c>
      <c r="H454" t="s">
        <v>213</v>
      </c>
      <c r="I454" t="s">
        <v>753</v>
      </c>
      <c r="J454" t="s">
        <v>85</v>
      </c>
      <c r="K454" t="s">
        <v>291</v>
      </c>
      <c r="L454" t="s">
        <v>216</v>
      </c>
      <c r="M454" t="s">
        <v>966</v>
      </c>
      <c r="N454" t="s">
        <v>1048</v>
      </c>
      <c r="O454" t="s">
        <v>72</v>
      </c>
      <c r="P454" t="s">
        <v>75</v>
      </c>
      <c r="Q454" s="44">
        <v>1575</v>
      </c>
      <c r="R454" s="42">
        <v>3.718</v>
      </c>
      <c r="S454" s="48">
        <v>4180</v>
      </c>
      <c r="T454" s="44">
        <v>0.44500000000000001</v>
      </c>
      <c r="U454" s="44">
        <v>246.428</v>
      </c>
      <c r="V454" s="45">
        <v>9.9999999999999995E-7</v>
      </c>
      <c r="W454" s="45">
        <v>1.6854101793745E-2</v>
      </c>
      <c r="X454" s="45">
        <v>1.6402572166086E-3</v>
      </c>
    </row>
    <row r="455" spans="1:24" x14ac:dyDescent="0.25">
      <c r="A455">
        <v>424</v>
      </c>
      <c r="B455">
        <v>7229</v>
      </c>
      <c r="C455" t="s">
        <v>1049</v>
      </c>
      <c r="D455" t="s">
        <v>1050</v>
      </c>
      <c r="E455" t="s">
        <v>613</v>
      </c>
      <c r="F455" t="s">
        <v>1051</v>
      </c>
      <c r="G455" t="s">
        <v>1052</v>
      </c>
      <c r="H455" t="s">
        <v>213</v>
      </c>
      <c r="I455" t="s">
        <v>753</v>
      </c>
      <c r="J455" t="s">
        <v>85</v>
      </c>
      <c r="K455" t="s">
        <v>1053</v>
      </c>
      <c r="L455" t="s">
        <v>216</v>
      </c>
      <c r="M455" t="s">
        <v>966</v>
      </c>
      <c r="N455" t="s">
        <v>937</v>
      </c>
      <c r="O455" t="s">
        <v>72</v>
      </c>
      <c r="P455" t="s">
        <v>75</v>
      </c>
      <c r="Q455" s="44">
        <v>1240</v>
      </c>
      <c r="R455" s="42">
        <v>3.718</v>
      </c>
      <c r="S455" s="48">
        <v>16600</v>
      </c>
      <c r="T455" s="44">
        <v>0.84499999999999997</v>
      </c>
      <c r="U455" s="44">
        <v>768.45500000000004</v>
      </c>
      <c r="V455" s="45">
        <v>0</v>
      </c>
      <c r="W455" s="45">
        <v>5.25573441480707E-2</v>
      </c>
      <c r="X455" s="45">
        <v>5.1149307201080602E-3</v>
      </c>
    </row>
    <row r="456" spans="1:24" x14ac:dyDescent="0.25">
      <c r="A456">
        <v>424</v>
      </c>
      <c r="B456">
        <v>7229</v>
      </c>
      <c r="C456" t="s">
        <v>1054</v>
      </c>
      <c r="D456" t="s">
        <v>1055</v>
      </c>
      <c r="E456" t="s">
        <v>613</v>
      </c>
      <c r="F456" t="s">
        <v>1056</v>
      </c>
      <c r="G456" t="s">
        <v>1057</v>
      </c>
      <c r="H456" t="s">
        <v>213</v>
      </c>
      <c r="I456" t="s">
        <v>753</v>
      </c>
      <c r="J456" t="s">
        <v>85</v>
      </c>
      <c r="K456" t="s">
        <v>291</v>
      </c>
      <c r="L456" t="s">
        <v>216</v>
      </c>
      <c r="M456" t="s">
        <v>966</v>
      </c>
      <c r="N456" t="s">
        <v>700</v>
      </c>
      <c r="O456" t="s">
        <v>72</v>
      </c>
      <c r="P456" t="s">
        <v>75</v>
      </c>
      <c r="Q456" s="44">
        <v>548</v>
      </c>
      <c r="R456" s="42">
        <v>3.718</v>
      </c>
      <c r="S456" s="48">
        <v>7286</v>
      </c>
      <c r="U456" s="44">
        <v>148.44999999999999</v>
      </c>
      <c r="V456" s="45">
        <v>0</v>
      </c>
      <c r="W456" s="45">
        <v>1.01529984205365E-2</v>
      </c>
      <c r="X456" s="45">
        <v>9.8809946286673202E-4</v>
      </c>
    </row>
    <row r="457" spans="1:24" x14ac:dyDescent="0.25">
      <c r="A457">
        <v>424</v>
      </c>
      <c r="B457">
        <v>7229</v>
      </c>
      <c r="C457" t="s">
        <v>1058</v>
      </c>
      <c r="D457" t="s">
        <v>1059</v>
      </c>
      <c r="E457" t="s">
        <v>613</v>
      </c>
      <c r="F457" t="s">
        <v>1060</v>
      </c>
      <c r="G457" t="s">
        <v>1061</v>
      </c>
      <c r="H457" t="s">
        <v>213</v>
      </c>
      <c r="I457" t="s">
        <v>753</v>
      </c>
      <c r="J457" t="s">
        <v>85</v>
      </c>
      <c r="K457" t="s">
        <v>291</v>
      </c>
      <c r="L457" t="s">
        <v>216</v>
      </c>
      <c r="M457" t="s">
        <v>966</v>
      </c>
      <c r="N457" t="s">
        <v>957</v>
      </c>
      <c r="O457" t="s">
        <v>72</v>
      </c>
      <c r="P457" t="s">
        <v>75</v>
      </c>
      <c r="Q457" s="44">
        <v>258</v>
      </c>
      <c r="R457" s="42">
        <v>3.718</v>
      </c>
      <c r="S457" s="48">
        <v>35046</v>
      </c>
      <c r="U457" s="44">
        <v>336.17700000000002</v>
      </c>
      <c r="V457" s="45">
        <v>0</v>
      </c>
      <c r="W457" s="45">
        <v>2.2992317914643599E-2</v>
      </c>
      <c r="X457" s="45">
        <v>2.23763424759009E-3</v>
      </c>
    </row>
    <row r="458" spans="1:24" x14ac:dyDescent="0.25">
      <c r="A458">
        <v>424</v>
      </c>
      <c r="B458">
        <v>9817</v>
      </c>
      <c r="C458" t="s">
        <v>804</v>
      </c>
      <c r="D458" t="s">
        <v>805</v>
      </c>
      <c r="E458" t="s">
        <v>210</v>
      </c>
      <c r="F458" t="s">
        <v>806</v>
      </c>
      <c r="G458" t="s">
        <v>807</v>
      </c>
      <c r="H458" t="s">
        <v>213</v>
      </c>
      <c r="I458" t="s">
        <v>753</v>
      </c>
      <c r="J458" t="s">
        <v>71</v>
      </c>
      <c r="K458" t="s">
        <v>71</v>
      </c>
      <c r="L458" t="s">
        <v>216</v>
      </c>
      <c r="M458" t="s">
        <v>117</v>
      </c>
      <c r="N458" t="s">
        <v>808</v>
      </c>
      <c r="O458" t="s">
        <v>72</v>
      </c>
      <c r="P458" t="s">
        <v>81</v>
      </c>
      <c r="Q458" s="44">
        <v>13</v>
      </c>
      <c r="R458" s="42">
        <v>1</v>
      </c>
      <c r="S458" s="48">
        <v>17650</v>
      </c>
      <c r="U458" s="44">
        <v>2.2949999999999999</v>
      </c>
      <c r="V458" s="45">
        <v>0</v>
      </c>
      <c r="W458" s="45">
        <v>4.8611637234009901E-2</v>
      </c>
      <c r="X458" s="45">
        <v>1.19303087547899E-3</v>
      </c>
    </row>
    <row r="459" spans="1:24" x14ac:dyDescent="0.25">
      <c r="A459">
        <v>424</v>
      </c>
      <c r="B459">
        <v>9817</v>
      </c>
      <c r="C459" t="s">
        <v>82</v>
      </c>
      <c r="D459" t="s">
        <v>431</v>
      </c>
      <c r="E459" t="s">
        <v>210</v>
      </c>
      <c r="F459" t="s">
        <v>846</v>
      </c>
      <c r="G459" t="s">
        <v>847</v>
      </c>
      <c r="H459" t="s">
        <v>213</v>
      </c>
      <c r="I459" t="s">
        <v>753</v>
      </c>
      <c r="J459" t="s">
        <v>71</v>
      </c>
      <c r="K459" t="s">
        <v>71</v>
      </c>
      <c r="L459" t="s">
        <v>216</v>
      </c>
      <c r="M459" t="s">
        <v>117</v>
      </c>
      <c r="N459" t="s">
        <v>365</v>
      </c>
      <c r="O459" t="s">
        <v>72</v>
      </c>
      <c r="P459" t="s">
        <v>81</v>
      </c>
      <c r="Q459" s="44">
        <v>464</v>
      </c>
      <c r="R459" s="42">
        <v>1</v>
      </c>
      <c r="S459" s="48">
        <v>4982</v>
      </c>
      <c r="U459" s="44">
        <v>23.116</v>
      </c>
      <c r="V459" s="45">
        <v>0</v>
      </c>
      <c r="W459" s="45">
        <v>0.48974937454227302</v>
      </c>
      <c r="X459" s="45">
        <v>1.2019470199343E-2</v>
      </c>
    </row>
    <row r="460" spans="1:24" x14ac:dyDescent="0.25">
      <c r="A460">
        <v>424</v>
      </c>
      <c r="B460">
        <v>9817</v>
      </c>
      <c r="C460" t="s">
        <v>88</v>
      </c>
      <c r="D460" t="s">
        <v>571</v>
      </c>
      <c r="E460" t="s">
        <v>210</v>
      </c>
      <c r="F460" t="s">
        <v>893</v>
      </c>
      <c r="G460" t="s">
        <v>894</v>
      </c>
      <c r="H460" t="s">
        <v>213</v>
      </c>
      <c r="I460" t="s">
        <v>753</v>
      </c>
      <c r="J460" t="s">
        <v>71</v>
      </c>
      <c r="K460" t="s">
        <v>71</v>
      </c>
      <c r="L460" t="s">
        <v>216</v>
      </c>
      <c r="M460" t="s">
        <v>117</v>
      </c>
      <c r="N460" t="s">
        <v>365</v>
      </c>
      <c r="O460" t="s">
        <v>72</v>
      </c>
      <c r="P460" t="s">
        <v>81</v>
      </c>
      <c r="Q460" s="44">
        <v>409</v>
      </c>
      <c r="R460" s="42">
        <v>1</v>
      </c>
      <c r="S460" s="48">
        <v>5008</v>
      </c>
      <c r="U460" s="44">
        <v>20.483000000000001</v>
      </c>
      <c r="V460" s="45">
        <v>0</v>
      </c>
      <c r="W460" s="45">
        <v>0.43395012168481101</v>
      </c>
      <c r="X460" s="45">
        <v>1.0650040258788801E-2</v>
      </c>
    </row>
    <row r="461" spans="1:24" x14ac:dyDescent="0.25">
      <c r="A461">
        <v>424</v>
      </c>
      <c r="B461">
        <v>9817</v>
      </c>
      <c r="C461" t="s">
        <v>915</v>
      </c>
      <c r="D461" t="s">
        <v>916</v>
      </c>
      <c r="E461" t="s">
        <v>210</v>
      </c>
      <c r="F461" t="s">
        <v>917</v>
      </c>
      <c r="G461" t="s">
        <v>918</v>
      </c>
      <c r="H461" t="s">
        <v>213</v>
      </c>
      <c r="I461" t="s">
        <v>753</v>
      </c>
      <c r="J461" t="s">
        <v>71</v>
      </c>
      <c r="K461" t="s">
        <v>71</v>
      </c>
      <c r="L461" t="s">
        <v>216</v>
      </c>
      <c r="M461" t="s">
        <v>117</v>
      </c>
      <c r="N461" t="s">
        <v>258</v>
      </c>
      <c r="O461" t="s">
        <v>72</v>
      </c>
      <c r="P461" t="s">
        <v>81</v>
      </c>
      <c r="Q461" s="44">
        <v>215.6</v>
      </c>
      <c r="R461" s="42">
        <v>1</v>
      </c>
      <c r="S461" s="48">
        <v>382</v>
      </c>
      <c r="U461" s="44">
        <v>0.82399999999999995</v>
      </c>
      <c r="V461" s="45">
        <v>1.9999999999999999E-6</v>
      </c>
      <c r="W461" s="45">
        <v>1.7448749415050199E-2</v>
      </c>
      <c r="X461" s="45">
        <v>4.2822867064610598E-4</v>
      </c>
    </row>
    <row r="462" spans="1:24" x14ac:dyDescent="0.25">
      <c r="A462">
        <v>424</v>
      </c>
      <c r="B462">
        <v>9817</v>
      </c>
      <c r="C462" t="s">
        <v>962</v>
      </c>
      <c r="D462" t="s">
        <v>963</v>
      </c>
      <c r="E462" t="s">
        <v>210</v>
      </c>
      <c r="F462" t="s">
        <v>964</v>
      </c>
      <c r="G462" t="s">
        <v>965</v>
      </c>
      <c r="H462" t="s">
        <v>213</v>
      </c>
      <c r="I462" t="s">
        <v>753</v>
      </c>
      <c r="J462" t="s">
        <v>85</v>
      </c>
      <c r="K462" t="s">
        <v>291</v>
      </c>
      <c r="L462" t="s">
        <v>216</v>
      </c>
      <c r="M462" t="s">
        <v>966</v>
      </c>
      <c r="N462" t="s">
        <v>680</v>
      </c>
      <c r="O462" t="s">
        <v>72</v>
      </c>
      <c r="P462" t="s">
        <v>75</v>
      </c>
      <c r="Q462" s="44">
        <v>130</v>
      </c>
      <c r="R462" s="42">
        <v>3.718</v>
      </c>
      <c r="S462" s="48">
        <v>100</v>
      </c>
      <c r="U462" s="44">
        <v>0.48299999999999998</v>
      </c>
      <c r="V462" s="45">
        <v>0</v>
      </c>
      <c r="W462" s="45">
        <v>1.02401171238555E-2</v>
      </c>
      <c r="X462" s="45">
        <v>2.51313812749625E-4</v>
      </c>
    </row>
    <row r="463" spans="1:24" x14ac:dyDescent="0.25">
      <c r="A463">
        <v>969</v>
      </c>
      <c r="B463">
        <v>969</v>
      </c>
      <c r="C463" t="s">
        <v>749</v>
      </c>
      <c r="D463" t="s">
        <v>750</v>
      </c>
      <c r="E463" t="s">
        <v>613</v>
      </c>
      <c r="F463" t="s">
        <v>751</v>
      </c>
      <c r="G463" t="s">
        <v>752</v>
      </c>
      <c r="H463" t="s">
        <v>213</v>
      </c>
      <c r="I463" t="s">
        <v>753</v>
      </c>
      <c r="J463" t="s">
        <v>71</v>
      </c>
      <c r="K463" t="s">
        <v>291</v>
      </c>
      <c r="L463" t="s">
        <v>216</v>
      </c>
      <c r="M463" t="s">
        <v>117</v>
      </c>
      <c r="N463" t="s">
        <v>287</v>
      </c>
      <c r="O463" t="s">
        <v>72</v>
      </c>
      <c r="P463" t="s">
        <v>81</v>
      </c>
      <c r="Q463" s="44">
        <v>626</v>
      </c>
      <c r="R463" s="42">
        <v>1</v>
      </c>
      <c r="S463" s="48">
        <v>26100</v>
      </c>
      <c r="U463" s="44">
        <v>163.386</v>
      </c>
      <c r="V463" s="45">
        <v>1.1E-5</v>
      </c>
      <c r="W463" s="45">
        <v>1.28051175918033E-2</v>
      </c>
      <c r="X463" s="45">
        <v>2.2302384014718101E-3</v>
      </c>
    </row>
    <row r="464" spans="1:24" x14ac:dyDescent="0.25">
      <c r="A464">
        <v>969</v>
      </c>
      <c r="B464">
        <v>969</v>
      </c>
      <c r="C464" t="s">
        <v>644</v>
      </c>
      <c r="D464" t="s">
        <v>645</v>
      </c>
      <c r="E464" t="s">
        <v>210</v>
      </c>
      <c r="F464" t="s">
        <v>754</v>
      </c>
      <c r="G464" t="s">
        <v>755</v>
      </c>
      <c r="H464" t="s">
        <v>213</v>
      </c>
      <c r="I464" t="s">
        <v>753</v>
      </c>
      <c r="J464" t="s">
        <v>71</v>
      </c>
      <c r="K464" t="s">
        <v>71</v>
      </c>
      <c r="L464" t="s">
        <v>216</v>
      </c>
      <c r="M464" t="s">
        <v>117</v>
      </c>
      <c r="N464" t="s">
        <v>227</v>
      </c>
      <c r="O464" t="s">
        <v>72</v>
      </c>
      <c r="P464" t="s">
        <v>81</v>
      </c>
      <c r="Q464" s="44">
        <v>9304</v>
      </c>
      <c r="R464" s="42">
        <v>1</v>
      </c>
      <c r="S464" s="48">
        <v>2089</v>
      </c>
      <c r="U464" s="44">
        <v>194.36099999999999</v>
      </c>
      <c r="V464" s="45">
        <v>6.9999999999999999E-6</v>
      </c>
      <c r="W464" s="45">
        <v>1.5232699411263701E-2</v>
      </c>
      <c r="X464" s="45">
        <v>2.6530448425419999E-3</v>
      </c>
    </row>
    <row r="465" spans="1:24" x14ac:dyDescent="0.25">
      <c r="A465">
        <v>969</v>
      </c>
      <c r="B465">
        <v>969</v>
      </c>
      <c r="C465" t="s">
        <v>756</v>
      </c>
      <c r="D465" t="s">
        <v>757</v>
      </c>
      <c r="E465" t="s">
        <v>210</v>
      </c>
      <c r="F465" t="s">
        <v>758</v>
      </c>
      <c r="G465" t="s">
        <v>759</v>
      </c>
      <c r="H465" t="s">
        <v>213</v>
      </c>
      <c r="I465" t="s">
        <v>753</v>
      </c>
      <c r="J465" t="s">
        <v>71</v>
      </c>
      <c r="K465" t="s">
        <v>71</v>
      </c>
      <c r="L465" t="s">
        <v>216</v>
      </c>
      <c r="M465" t="s">
        <v>117</v>
      </c>
      <c r="N465" t="s">
        <v>252</v>
      </c>
      <c r="O465" t="s">
        <v>72</v>
      </c>
      <c r="P465" t="s">
        <v>81</v>
      </c>
      <c r="Q465" s="44">
        <v>983</v>
      </c>
      <c r="R465" s="42">
        <v>1</v>
      </c>
      <c r="S465" s="48">
        <v>15580</v>
      </c>
      <c r="U465" s="44">
        <v>153.15100000000001</v>
      </c>
      <c r="V465" s="45">
        <v>6.7000000000000002E-5</v>
      </c>
      <c r="W465" s="45">
        <v>1.20029971132735E-2</v>
      </c>
      <c r="X465" s="45">
        <v>2.0905348898875701E-3</v>
      </c>
    </row>
    <row r="466" spans="1:24" x14ac:dyDescent="0.25">
      <c r="A466">
        <v>969</v>
      </c>
      <c r="B466">
        <v>969</v>
      </c>
      <c r="C466" t="s">
        <v>760</v>
      </c>
      <c r="D466" t="s">
        <v>761</v>
      </c>
      <c r="E466" t="s">
        <v>210</v>
      </c>
      <c r="F466" t="s">
        <v>762</v>
      </c>
      <c r="G466" t="s">
        <v>763</v>
      </c>
      <c r="H466" t="s">
        <v>213</v>
      </c>
      <c r="I466" t="s">
        <v>753</v>
      </c>
      <c r="J466" t="s">
        <v>71</v>
      </c>
      <c r="K466" t="s">
        <v>71</v>
      </c>
      <c r="L466" t="s">
        <v>216</v>
      </c>
      <c r="M466" t="s">
        <v>117</v>
      </c>
      <c r="N466" t="s">
        <v>764</v>
      </c>
      <c r="O466" t="s">
        <v>72</v>
      </c>
      <c r="P466" t="s">
        <v>81</v>
      </c>
      <c r="Q466" s="44">
        <v>4347</v>
      </c>
      <c r="R466" s="42">
        <v>1</v>
      </c>
      <c r="S466" s="48">
        <v>1524</v>
      </c>
      <c r="U466" s="44">
        <v>66.248000000000005</v>
      </c>
      <c r="V466" s="45">
        <v>2.9E-5</v>
      </c>
      <c r="W466" s="45">
        <v>5.1921034584034697E-3</v>
      </c>
      <c r="X466" s="45">
        <v>9.04296929280704E-4</v>
      </c>
    </row>
    <row r="467" spans="1:24" x14ac:dyDescent="0.25">
      <c r="A467">
        <v>969</v>
      </c>
      <c r="B467">
        <v>969</v>
      </c>
      <c r="C467" t="s">
        <v>765</v>
      </c>
      <c r="D467" t="s">
        <v>766</v>
      </c>
      <c r="E467" t="s">
        <v>210</v>
      </c>
      <c r="F467" t="s">
        <v>767</v>
      </c>
      <c r="G467" t="s">
        <v>768</v>
      </c>
      <c r="H467" t="s">
        <v>213</v>
      </c>
      <c r="I467" t="s">
        <v>753</v>
      </c>
      <c r="J467" t="s">
        <v>71</v>
      </c>
      <c r="K467" t="s">
        <v>71</v>
      </c>
      <c r="L467" t="s">
        <v>216</v>
      </c>
      <c r="M467" t="s">
        <v>117</v>
      </c>
      <c r="N467" t="s">
        <v>515</v>
      </c>
      <c r="O467" t="s">
        <v>72</v>
      </c>
      <c r="P467" t="s">
        <v>81</v>
      </c>
      <c r="Q467" s="44">
        <v>0</v>
      </c>
      <c r="R467" s="42">
        <v>1</v>
      </c>
      <c r="S467" s="48">
        <v>0</v>
      </c>
      <c r="T467" s="44">
        <v>1E-3</v>
      </c>
      <c r="U467" s="44">
        <v>1E-3</v>
      </c>
      <c r="V467" s="45">
        <v>0</v>
      </c>
      <c r="W467" s="45">
        <v>5.3293917241539899E-8</v>
      </c>
      <c r="X467" s="45">
        <v>9.2820811636298903E-9</v>
      </c>
    </row>
    <row r="468" spans="1:24" x14ac:dyDescent="0.25">
      <c r="A468">
        <v>969</v>
      </c>
      <c r="B468">
        <v>969</v>
      </c>
      <c r="C468" t="s">
        <v>769</v>
      </c>
      <c r="D468" t="s">
        <v>770</v>
      </c>
      <c r="E468" t="s">
        <v>210</v>
      </c>
      <c r="F468" t="s">
        <v>771</v>
      </c>
      <c r="G468" t="s">
        <v>772</v>
      </c>
      <c r="H468" t="s">
        <v>213</v>
      </c>
      <c r="I468" t="s">
        <v>753</v>
      </c>
      <c r="J468" t="s">
        <v>71</v>
      </c>
      <c r="K468" t="s">
        <v>71</v>
      </c>
      <c r="L468" t="s">
        <v>216</v>
      </c>
      <c r="M468" t="s">
        <v>117</v>
      </c>
      <c r="N468" t="s">
        <v>773</v>
      </c>
      <c r="O468" t="s">
        <v>72</v>
      </c>
      <c r="P468" t="s">
        <v>81</v>
      </c>
      <c r="Q468" s="44">
        <v>166</v>
      </c>
      <c r="R468" s="42">
        <v>1</v>
      </c>
      <c r="S468" s="48">
        <v>142500</v>
      </c>
      <c r="U468" s="44">
        <v>236.55</v>
      </c>
      <c r="V468" s="45">
        <v>3.9999999999999998E-6</v>
      </c>
      <c r="W468" s="45">
        <v>1.85392295933621E-2</v>
      </c>
      <c r="X468" s="45">
        <v>3.2289357342009601E-3</v>
      </c>
    </row>
    <row r="469" spans="1:24" x14ac:dyDescent="0.25">
      <c r="A469">
        <v>969</v>
      </c>
      <c r="B469">
        <v>969</v>
      </c>
      <c r="C469" t="s">
        <v>268</v>
      </c>
      <c r="D469" t="s">
        <v>269</v>
      </c>
      <c r="E469" t="s">
        <v>210</v>
      </c>
      <c r="F469" t="s">
        <v>774</v>
      </c>
      <c r="G469" t="s">
        <v>775</v>
      </c>
      <c r="H469" t="s">
        <v>213</v>
      </c>
      <c r="I469" t="s">
        <v>753</v>
      </c>
      <c r="J469" t="s">
        <v>71</v>
      </c>
      <c r="K469" t="s">
        <v>71</v>
      </c>
      <c r="L469" t="s">
        <v>216</v>
      </c>
      <c r="M469" t="s">
        <v>117</v>
      </c>
      <c r="N469" t="s">
        <v>272</v>
      </c>
      <c r="O469" t="s">
        <v>72</v>
      </c>
      <c r="P469" t="s">
        <v>81</v>
      </c>
      <c r="Q469" s="44">
        <v>21</v>
      </c>
      <c r="R469" s="42">
        <v>1</v>
      </c>
      <c r="S469" s="48">
        <v>173080</v>
      </c>
      <c r="U469" s="44">
        <v>36.347000000000001</v>
      </c>
      <c r="V469" s="45">
        <v>5.0000000000000004E-6</v>
      </c>
      <c r="W469" s="45">
        <v>2.8486225752864698E-3</v>
      </c>
      <c r="X469" s="45">
        <v>4.9613815829150395E-4</v>
      </c>
    </row>
    <row r="470" spans="1:24" x14ac:dyDescent="0.25">
      <c r="A470">
        <v>969</v>
      </c>
      <c r="B470">
        <v>969</v>
      </c>
      <c r="C470" t="s">
        <v>282</v>
      </c>
      <c r="D470" t="s">
        <v>283</v>
      </c>
      <c r="E470" t="s">
        <v>210</v>
      </c>
      <c r="F470" t="s">
        <v>776</v>
      </c>
      <c r="G470" t="s">
        <v>777</v>
      </c>
      <c r="H470" t="s">
        <v>213</v>
      </c>
      <c r="I470" t="s">
        <v>753</v>
      </c>
      <c r="J470" t="s">
        <v>71</v>
      </c>
      <c r="K470" t="s">
        <v>291</v>
      </c>
      <c r="L470" t="s">
        <v>216</v>
      </c>
      <c r="M470" t="s">
        <v>117</v>
      </c>
      <c r="N470" t="s">
        <v>287</v>
      </c>
      <c r="O470" t="s">
        <v>72</v>
      </c>
      <c r="P470" t="s">
        <v>81</v>
      </c>
      <c r="Q470" s="44">
        <v>1699.5</v>
      </c>
      <c r="R470" s="42">
        <v>1</v>
      </c>
      <c r="S470" s="48">
        <v>5941</v>
      </c>
      <c r="U470" s="44">
        <v>100.967</v>
      </c>
      <c r="V470" s="45">
        <v>1.4E-5</v>
      </c>
      <c r="W470" s="45">
        <v>7.9131509762237397E-3</v>
      </c>
      <c r="X470" s="45">
        <v>1.37821562803259E-3</v>
      </c>
    </row>
    <row r="471" spans="1:24" x14ac:dyDescent="0.25">
      <c r="A471">
        <v>969</v>
      </c>
      <c r="B471">
        <v>969</v>
      </c>
      <c r="C471" t="s">
        <v>778</v>
      </c>
      <c r="D471" t="s">
        <v>779</v>
      </c>
      <c r="E471" t="s">
        <v>613</v>
      </c>
      <c r="F471" t="s">
        <v>780</v>
      </c>
      <c r="G471" t="s">
        <v>781</v>
      </c>
      <c r="H471" t="s">
        <v>213</v>
      </c>
      <c r="I471" t="s">
        <v>753</v>
      </c>
      <c r="J471" t="s">
        <v>71</v>
      </c>
      <c r="K471" t="s">
        <v>604</v>
      </c>
      <c r="L471" t="s">
        <v>216</v>
      </c>
      <c r="M471" t="s">
        <v>117</v>
      </c>
      <c r="N471" t="s">
        <v>423</v>
      </c>
      <c r="O471" t="s">
        <v>72</v>
      </c>
      <c r="P471" t="s">
        <v>81</v>
      </c>
      <c r="Q471" s="44">
        <v>2717</v>
      </c>
      <c r="R471" s="42">
        <v>1</v>
      </c>
      <c r="S471" s="48">
        <v>4205</v>
      </c>
      <c r="T471" s="44">
        <v>3.0310000000000001</v>
      </c>
      <c r="U471" s="44">
        <v>117.28</v>
      </c>
      <c r="V471" s="45">
        <v>1.5E-5</v>
      </c>
      <c r="W471" s="45">
        <v>9.1916639627125998E-3</v>
      </c>
      <c r="X471" s="45">
        <v>1.6008913464557501E-3</v>
      </c>
    </row>
    <row r="472" spans="1:24" x14ac:dyDescent="0.25">
      <c r="A472">
        <v>969</v>
      </c>
      <c r="B472">
        <v>969</v>
      </c>
      <c r="C472" t="s">
        <v>631</v>
      </c>
      <c r="D472" t="s">
        <v>632</v>
      </c>
      <c r="E472" t="s">
        <v>210</v>
      </c>
      <c r="F472" t="s">
        <v>786</v>
      </c>
      <c r="G472" t="s">
        <v>787</v>
      </c>
      <c r="H472" t="s">
        <v>213</v>
      </c>
      <c r="I472" t="s">
        <v>753</v>
      </c>
      <c r="J472" t="s">
        <v>71</v>
      </c>
      <c r="K472" t="s">
        <v>71</v>
      </c>
      <c r="L472" t="s">
        <v>216</v>
      </c>
      <c r="M472" t="s">
        <v>117</v>
      </c>
      <c r="N472" t="s">
        <v>245</v>
      </c>
      <c r="O472" t="s">
        <v>72</v>
      </c>
      <c r="P472" t="s">
        <v>81</v>
      </c>
      <c r="Q472" s="44">
        <v>3830</v>
      </c>
      <c r="R472" s="42">
        <v>1</v>
      </c>
      <c r="S472" s="48">
        <v>5080</v>
      </c>
      <c r="U472" s="44">
        <v>194.56399999999999</v>
      </c>
      <c r="V472" s="45">
        <v>3.4E-5</v>
      </c>
      <c r="W472" s="45">
        <v>1.52486436973279E-2</v>
      </c>
      <c r="X472" s="45">
        <v>2.6558218228242402E-3</v>
      </c>
    </row>
    <row r="473" spans="1:24" x14ac:dyDescent="0.25">
      <c r="A473">
        <v>969</v>
      </c>
      <c r="B473">
        <v>969</v>
      </c>
      <c r="C473" t="s">
        <v>320</v>
      </c>
      <c r="D473" t="s">
        <v>321</v>
      </c>
      <c r="E473" t="s">
        <v>210</v>
      </c>
      <c r="F473" t="s">
        <v>788</v>
      </c>
      <c r="G473" t="s">
        <v>789</v>
      </c>
      <c r="H473" t="s">
        <v>213</v>
      </c>
      <c r="I473" t="s">
        <v>753</v>
      </c>
      <c r="J473" t="s">
        <v>71</v>
      </c>
      <c r="K473" t="s">
        <v>71</v>
      </c>
      <c r="L473" t="s">
        <v>216</v>
      </c>
      <c r="M473" t="s">
        <v>117</v>
      </c>
      <c r="N473" t="s">
        <v>234</v>
      </c>
      <c r="O473" t="s">
        <v>72</v>
      </c>
      <c r="P473" t="s">
        <v>81</v>
      </c>
      <c r="Q473" s="44">
        <v>45645</v>
      </c>
      <c r="R473" s="42">
        <v>1</v>
      </c>
      <c r="S473" s="48">
        <v>88.3</v>
      </c>
      <c r="T473" s="44">
        <v>2.669</v>
      </c>
      <c r="U473" s="44">
        <v>42.973999999999997</v>
      </c>
      <c r="V473" s="45">
        <v>1.4E-5</v>
      </c>
      <c r="W473" s="45">
        <v>3.3680176472487902E-3</v>
      </c>
      <c r="X473" s="45">
        <v>5.8660002455090195E-4</v>
      </c>
    </row>
    <row r="474" spans="1:24" x14ac:dyDescent="0.25">
      <c r="A474">
        <v>969</v>
      </c>
      <c r="B474">
        <v>969</v>
      </c>
      <c r="C474" t="s">
        <v>790</v>
      </c>
      <c r="D474" t="s">
        <v>791</v>
      </c>
      <c r="E474" t="s">
        <v>210</v>
      </c>
      <c r="F474" t="s">
        <v>792</v>
      </c>
      <c r="G474" t="s">
        <v>793</v>
      </c>
      <c r="H474" t="s">
        <v>213</v>
      </c>
      <c r="I474" t="s">
        <v>753</v>
      </c>
      <c r="J474" t="s">
        <v>71</v>
      </c>
      <c r="K474" t="s">
        <v>71</v>
      </c>
      <c r="L474" t="s">
        <v>216</v>
      </c>
      <c r="M474" t="s">
        <v>117</v>
      </c>
      <c r="N474" t="s">
        <v>329</v>
      </c>
      <c r="O474" t="s">
        <v>72</v>
      </c>
      <c r="P474" t="s">
        <v>81</v>
      </c>
      <c r="Q474" s="44">
        <v>31137</v>
      </c>
      <c r="R474" s="42">
        <v>1</v>
      </c>
      <c r="S474" s="48">
        <v>546.6</v>
      </c>
      <c r="U474" s="44">
        <v>170.19499999999999</v>
      </c>
      <c r="V474" s="45">
        <v>1.1E-5</v>
      </c>
      <c r="W474" s="45">
        <v>1.3338749741889601E-2</v>
      </c>
      <c r="X474" s="45">
        <v>2.3231799074634801E-3</v>
      </c>
    </row>
    <row r="475" spans="1:24" x14ac:dyDescent="0.25">
      <c r="A475">
        <v>969</v>
      </c>
      <c r="B475">
        <v>969</v>
      </c>
      <c r="C475" t="s">
        <v>331</v>
      </c>
      <c r="D475" t="s">
        <v>332</v>
      </c>
      <c r="E475" t="s">
        <v>210</v>
      </c>
      <c r="F475" t="s">
        <v>794</v>
      </c>
      <c r="G475" t="s">
        <v>795</v>
      </c>
      <c r="H475" t="s">
        <v>213</v>
      </c>
      <c r="I475" t="s">
        <v>753</v>
      </c>
      <c r="J475" t="s">
        <v>71</v>
      </c>
      <c r="K475" t="s">
        <v>71</v>
      </c>
      <c r="L475" t="s">
        <v>216</v>
      </c>
      <c r="M475" t="s">
        <v>117</v>
      </c>
      <c r="N475" t="s">
        <v>258</v>
      </c>
      <c r="O475" t="s">
        <v>72</v>
      </c>
      <c r="P475" t="s">
        <v>81</v>
      </c>
      <c r="Q475" s="44">
        <v>257.44</v>
      </c>
      <c r="R475" s="42">
        <v>1</v>
      </c>
      <c r="S475" s="48">
        <v>51410</v>
      </c>
      <c r="U475" s="44">
        <v>132.35</v>
      </c>
      <c r="V475" s="45">
        <v>1.0000000000000001E-5</v>
      </c>
      <c r="W475" s="45">
        <v>1.03727129863261E-2</v>
      </c>
      <c r="X475" s="45">
        <v>1.8065919866568001E-3</v>
      </c>
    </row>
    <row r="476" spans="1:24" x14ac:dyDescent="0.25">
      <c r="A476">
        <v>969</v>
      </c>
      <c r="B476">
        <v>969</v>
      </c>
      <c r="C476" t="s">
        <v>796</v>
      </c>
      <c r="D476" t="s">
        <v>797</v>
      </c>
      <c r="E476" t="s">
        <v>210</v>
      </c>
      <c r="F476" t="s">
        <v>798</v>
      </c>
      <c r="G476" t="s">
        <v>799</v>
      </c>
      <c r="H476" t="s">
        <v>213</v>
      </c>
      <c r="I476" t="s">
        <v>753</v>
      </c>
      <c r="J476" t="s">
        <v>71</v>
      </c>
      <c r="K476" t="s">
        <v>71</v>
      </c>
      <c r="L476" t="s">
        <v>216</v>
      </c>
      <c r="M476" t="s">
        <v>117</v>
      </c>
      <c r="N476" t="s">
        <v>365</v>
      </c>
      <c r="O476" t="s">
        <v>72</v>
      </c>
      <c r="P476" t="s">
        <v>81</v>
      </c>
      <c r="Q476" s="44">
        <v>694</v>
      </c>
      <c r="R476" s="42">
        <v>1</v>
      </c>
      <c r="S476" s="48">
        <v>18720</v>
      </c>
      <c r="U476" s="44">
        <v>129.917</v>
      </c>
      <c r="V476" s="45">
        <v>6.9999999999999999E-6</v>
      </c>
      <c r="W476" s="45">
        <v>1.0182022334537799E-2</v>
      </c>
      <c r="X476" s="45">
        <v>1.7733798266456901E-3</v>
      </c>
    </row>
    <row r="477" spans="1:24" x14ac:dyDescent="0.25">
      <c r="A477">
        <v>969</v>
      </c>
      <c r="B477">
        <v>969</v>
      </c>
      <c r="C477" t="s">
        <v>800</v>
      </c>
      <c r="D477" t="s">
        <v>801</v>
      </c>
      <c r="E477" t="s">
        <v>210</v>
      </c>
      <c r="F477" t="s">
        <v>802</v>
      </c>
      <c r="G477" t="s">
        <v>803</v>
      </c>
      <c r="H477" t="s">
        <v>213</v>
      </c>
      <c r="I477" t="s">
        <v>753</v>
      </c>
      <c r="J477" t="s">
        <v>71</v>
      </c>
      <c r="K477" t="s">
        <v>71</v>
      </c>
      <c r="L477" t="s">
        <v>216</v>
      </c>
      <c r="M477" t="s">
        <v>117</v>
      </c>
      <c r="N477" t="s">
        <v>365</v>
      </c>
      <c r="O477" t="s">
        <v>72</v>
      </c>
      <c r="P477" t="s">
        <v>81</v>
      </c>
      <c r="Q477" s="44">
        <v>8125</v>
      </c>
      <c r="R477" s="42">
        <v>1</v>
      </c>
      <c r="S477" s="48">
        <v>2572</v>
      </c>
      <c r="T477" s="44">
        <v>2.077</v>
      </c>
      <c r="U477" s="44">
        <v>211.05199999999999</v>
      </c>
      <c r="V477" s="45">
        <v>6.9999999999999999E-6</v>
      </c>
      <c r="W477" s="45">
        <v>1.6540848768938299E-2</v>
      </c>
      <c r="X477" s="45">
        <v>2.8808822607796799E-3</v>
      </c>
    </row>
    <row r="478" spans="1:24" x14ac:dyDescent="0.25">
      <c r="A478">
        <v>969</v>
      </c>
      <c r="B478">
        <v>969</v>
      </c>
      <c r="C478" t="s">
        <v>804</v>
      </c>
      <c r="D478" t="s">
        <v>805</v>
      </c>
      <c r="E478" t="s">
        <v>210</v>
      </c>
      <c r="F478" t="s">
        <v>806</v>
      </c>
      <c r="G478" t="s">
        <v>807</v>
      </c>
      <c r="H478" t="s">
        <v>213</v>
      </c>
      <c r="I478" t="s">
        <v>753</v>
      </c>
      <c r="J478" t="s">
        <v>71</v>
      </c>
      <c r="K478" t="s">
        <v>71</v>
      </c>
      <c r="L478" t="s">
        <v>216</v>
      </c>
      <c r="M478" t="s">
        <v>117</v>
      </c>
      <c r="N478" t="s">
        <v>808</v>
      </c>
      <c r="O478" t="s">
        <v>72</v>
      </c>
      <c r="P478" t="s">
        <v>81</v>
      </c>
      <c r="Q478" s="44">
        <v>1213</v>
      </c>
      <c r="R478" s="42">
        <v>1</v>
      </c>
      <c r="S478" s="48">
        <v>17650</v>
      </c>
      <c r="U478" s="44">
        <v>214.095</v>
      </c>
      <c r="V478" s="45">
        <v>4.5000000000000003E-5</v>
      </c>
      <c r="W478" s="45">
        <v>1.67793155365718E-2</v>
      </c>
      <c r="X478" s="45">
        <v>2.9224154789511199E-3</v>
      </c>
    </row>
    <row r="479" spans="1:24" x14ac:dyDescent="0.25">
      <c r="A479">
        <v>969</v>
      </c>
      <c r="B479">
        <v>969</v>
      </c>
      <c r="C479" t="s">
        <v>809</v>
      </c>
      <c r="D479" t="s">
        <v>810</v>
      </c>
      <c r="E479" t="s">
        <v>210</v>
      </c>
      <c r="F479" t="s">
        <v>811</v>
      </c>
      <c r="G479" t="s">
        <v>812</v>
      </c>
      <c r="H479" t="s">
        <v>213</v>
      </c>
      <c r="I479" t="s">
        <v>753</v>
      </c>
      <c r="J479" t="s">
        <v>71</v>
      </c>
      <c r="K479" t="s">
        <v>71</v>
      </c>
      <c r="L479" t="s">
        <v>216</v>
      </c>
      <c r="M479" t="s">
        <v>117</v>
      </c>
      <c r="N479" t="s">
        <v>515</v>
      </c>
      <c r="O479" t="s">
        <v>72</v>
      </c>
      <c r="P479" t="s">
        <v>81</v>
      </c>
      <c r="Q479" s="44">
        <v>10400</v>
      </c>
      <c r="R479" s="42">
        <v>1</v>
      </c>
      <c r="S479" s="48">
        <v>638.4</v>
      </c>
      <c r="U479" s="44">
        <v>66.394000000000005</v>
      </c>
      <c r="V479" s="45">
        <v>1.13E-4</v>
      </c>
      <c r="W479" s="45">
        <v>5.2034926820116196E-3</v>
      </c>
      <c r="X479" s="45">
        <v>9.0628056462584898E-4</v>
      </c>
    </row>
    <row r="480" spans="1:24" x14ac:dyDescent="0.25">
      <c r="A480">
        <v>969</v>
      </c>
      <c r="B480">
        <v>969</v>
      </c>
      <c r="C480" t="s">
        <v>813</v>
      </c>
      <c r="D480" t="s">
        <v>814</v>
      </c>
      <c r="E480" t="s">
        <v>210</v>
      </c>
      <c r="F480" t="s">
        <v>815</v>
      </c>
      <c r="G480" t="s">
        <v>816</v>
      </c>
      <c r="H480" t="s">
        <v>213</v>
      </c>
      <c r="I480" t="s">
        <v>753</v>
      </c>
      <c r="J480" t="s">
        <v>71</v>
      </c>
      <c r="K480" t="s">
        <v>71</v>
      </c>
      <c r="L480" t="s">
        <v>216</v>
      </c>
      <c r="M480" t="s">
        <v>117</v>
      </c>
      <c r="N480" t="s">
        <v>252</v>
      </c>
      <c r="O480" t="s">
        <v>72</v>
      </c>
      <c r="P480" t="s">
        <v>81</v>
      </c>
      <c r="Q480" s="44">
        <v>2577</v>
      </c>
      <c r="R480" s="42">
        <v>1</v>
      </c>
      <c r="S480" s="48">
        <v>6881</v>
      </c>
      <c r="U480" s="44">
        <v>177.32300000000001</v>
      </c>
      <c r="V480" s="45">
        <v>1.0000000000000001E-5</v>
      </c>
      <c r="W480" s="45">
        <v>1.3897436773192599E-2</v>
      </c>
      <c r="X480" s="45">
        <v>2.42048516551231E-3</v>
      </c>
    </row>
    <row r="481" spans="1:24" x14ac:dyDescent="0.25">
      <c r="A481">
        <v>969</v>
      </c>
      <c r="B481">
        <v>969</v>
      </c>
      <c r="C481" t="s">
        <v>817</v>
      </c>
      <c r="D481" t="s">
        <v>818</v>
      </c>
      <c r="E481" t="s">
        <v>210</v>
      </c>
      <c r="F481" t="s">
        <v>819</v>
      </c>
      <c r="G481" t="s">
        <v>820</v>
      </c>
      <c r="H481" t="s">
        <v>213</v>
      </c>
      <c r="I481" t="s">
        <v>753</v>
      </c>
      <c r="J481" t="s">
        <v>71</v>
      </c>
      <c r="K481" t="s">
        <v>71</v>
      </c>
      <c r="L481" t="s">
        <v>216</v>
      </c>
      <c r="M481" t="s">
        <v>117</v>
      </c>
      <c r="N481" t="s">
        <v>272</v>
      </c>
      <c r="O481" t="s">
        <v>72</v>
      </c>
      <c r="P481" t="s">
        <v>81</v>
      </c>
      <c r="Q481" s="44">
        <v>69</v>
      </c>
      <c r="R481" s="42">
        <v>1</v>
      </c>
      <c r="S481" s="48">
        <v>99210</v>
      </c>
      <c r="U481" s="44">
        <v>68.454999999999998</v>
      </c>
      <c r="V481" s="45">
        <v>9.0000000000000002E-6</v>
      </c>
      <c r="W481" s="45">
        <v>5.3650437873204197E-3</v>
      </c>
      <c r="X481" s="45">
        <v>9.3441755565906997E-4</v>
      </c>
    </row>
    <row r="482" spans="1:24" x14ac:dyDescent="0.25">
      <c r="A482">
        <v>969</v>
      </c>
      <c r="B482">
        <v>969</v>
      </c>
      <c r="C482" t="s">
        <v>821</v>
      </c>
      <c r="D482" t="s">
        <v>822</v>
      </c>
      <c r="E482" t="s">
        <v>210</v>
      </c>
      <c r="F482" t="s">
        <v>823</v>
      </c>
      <c r="G482" t="s">
        <v>824</v>
      </c>
      <c r="H482" t="s">
        <v>213</v>
      </c>
      <c r="I482" t="s">
        <v>753</v>
      </c>
      <c r="J482" t="s">
        <v>71</v>
      </c>
      <c r="K482" t="s">
        <v>71</v>
      </c>
      <c r="L482" t="s">
        <v>216</v>
      </c>
      <c r="M482" t="s">
        <v>117</v>
      </c>
      <c r="N482" t="s">
        <v>825</v>
      </c>
      <c r="O482" t="s">
        <v>72</v>
      </c>
      <c r="P482" t="s">
        <v>81</v>
      </c>
      <c r="Q482" s="44">
        <v>658</v>
      </c>
      <c r="R482" s="42">
        <v>1</v>
      </c>
      <c r="S482" s="48">
        <v>22740</v>
      </c>
      <c r="U482" s="44">
        <v>149.62899999999999</v>
      </c>
      <c r="V482" s="45">
        <v>2.9E-5</v>
      </c>
      <c r="W482" s="45">
        <v>1.17269502966438E-2</v>
      </c>
      <c r="X482" s="45">
        <v>2.0424564394838402E-3</v>
      </c>
    </row>
    <row r="483" spans="1:24" x14ac:dyDescent="0.25">
      <c r="A483">
        <v>969</v>
      </c>
      <c r="B483">
        <v>969</v>
      </c>
      <c r="C483" t="s">
        <v>826</v>
      </c>
      <c r="D483" t="s">
        <v>827</v>
      </c>
      <c r="E483" t="s">
        <v>210</v>
      </c>
      <c r="F483" t="s">
        <v>828</v>
      </c>
      <c r="G483" t="s">
        <v>829</v>
      </c>
      <c r="H483" t="s">
        <v>213</v>
      </c>
      <c r="I483" t="s">
        <v>753</v>
      </c>
      <c r="J483" t="s">
        <v>71</v>
      </c>
      <c r="K483" t="s">
        <v>215</v>
      </c>
      <c r="L483" t="s">
        <v>216</v>
      </c>
      <c r="M483" t="s">
        <v>117</v>
      </c>
      <c r="N483" t="s">
        <v>830</v>
      </c>
      <c r="O483" t="s">
        <v>72</v>
      </c>
      <c r="P483" t="s">
        <v>81</v>
      </c>
      <c r="Q483" s="44">
        <v>678</v>
      </c>
      <c r="R483" s="42">
        <v>1</v>
      </c>
      <c r="S483" s="48">
        <v>13000</v>
      </c>
      <c r="U483" s="44">
        <v>88.14</v>
      </c>
      <c r="V483" s="45">
        <v>6.0000000000000002E-6</v>
      </c>
      <c r="W483" s="45">
        <v>6.9078321553960598E-3</v>
      </c>
      <c r="X483" s="45">
        <v>1.2031215202387301E-3</v>
      </c>
    </row>
    <row r="484" spans="1:24" x14ac:dyDescent="0.25">
      <c r="A484">
        <v>969</v>
      </c>
      <c r="B484">
        <v>969</v>
      </c>
      <c r="C484" t="s">
        <v>624</v>
      </c>
      <c r="D484" t="s">
        <v>625</v>
      </c>
      <c r="E484" t="s">
        <v>210</v>
      </c>
      <c r="F484" t="s">
        <v>831</v>
      </c>
      <c r="G484" t="s">
        <v>832</v>
      </c>
      <c r="H484" t="s">
        <v>213</v>
      </c>
      <c r="I484" t="s">
        <v>753</v>
      </c>
      <c r="J484" t="s">
        <v>71</v>
      </c>
      <c r="K484" t="s">
        <v>291</v>
      </c>
      <c r="L484" t="s">
        <v>216</v>
      </c>
      <c r="M484" t="s">
        <v>117</v>
      </c>
      <c r="N484" t="s">
        <v>628</v>
      </c>
      <c r="O484" t="s">
        <v>72</v>
      </c>
      <c r="P484" t="s">
        <v>81</v>
      </c>
      <c r="Q484" s="44">
        <v>7211</v>
      </c>
      <c r="R484" s="42">
        <v>1</v>
      </c>
      <c r="S484" s="48">
        <v>5587</v>
      </c>
      <c r="U484" s="44">
        <v>402.87900000000002</v>
      </c>
      <c r="V484" s="45">
        <v>6.0000000000000002E-6</v>
      </c>
      <c r="W484" s="45">
        <v>3.1574966423485201E-2</v>
      </c>
      <c r="X484" s="45">
        <v>5.4993405673928603E-3</v>
      </c>
    </row>
    <row r="485" spans="1:24" x14ac:dyDescent="0.25">
      <c r="A485">
        <v>969</v>
      </c>
      <c r="B485">
        <v>969</v>
      </c>
      <c r="C485" t="s">
        <v>838</v>
      </c>
      <c r="D485" t="s">
        <v>839</v>
      </c>
      <c r="E485" t="s">
        <v>210</v>
      </c>
      <c r="F485" t="s">
        <v>840</v>
      </c>
      <c r="G485" t="s">
        <v>841</v>
      </c>
      <c r="H485" t="s">
        <v>213</v>
      </c>
      <c r="I485" t="s">
        <v>753</v>
      </c>
      <c r="J485" t="s">
        <v>71</v>
      </c>
      <c r="K485" t="s">
        <v>71</v>
      </c>
      <c r="L485" t="s">
        <v>216</v>
      </c>
      <c r="M485" t="s">
        <v>117</v>
      </c>
      <c r="N485" t="s">
        <v>429</v>
      </c>
      <c r="O485" t="s">
        <v>72</v>
      </c>
      <c r="P485" t="s">
        <v>81</v>
      </c>
      <c r="Q485" s="44">
        <v>24760</v>
      </c>
      <c r="R485" s="42">
        <v>1</v>
      </c>
      <c r="S485" s="48">
        <v>1651</v>
      </c>
      <c r="U485" s="44">
        <v>408.78800000000001</v>
      </c>
      <c r="V485" s="45">
        <v>1.22E-4</v>
      </c>
      <c r="W485" s="45">
        <v>3.2038077240834899E-2</v>
      </c>
      <c r="X485" s="45">
        <v>5.5799995321845104E-3</v>
      </c>
    </row>
    <row r="486" spans="1:24" x14ac:dyDescent="0.25">
      <c r="A486">
        <v>969</v>
      </c>
      <c r="B486">
        <v>969</v>
      </c>
      <c r="C486" t="s">
        <v>842</v>
      </c>
      <c r="D486" t="s">
        <v>843</v>
      </c>
      <c r="E486" t="s">
        <v>210</v>
      </c>
      <c r="F486" t="s">
        <v>844</v>
      </c>
      <c r="G486" t="s">
        <v>845</v>
      </c>
      <c r="H486" t="s">
        <v>213</v>
      </c>
      <c r="I486" t="s">
        <v>753</v>
      </c>
      <c r="J486" t="s">
        <v>71</v>
      </c>
      <c r="K486" t="s">
        <v>71</v>
      </c>
      <c r="L486" t="s">
        <v>216</v>
      </c>
      <c r="M486" t="s">
        <v>117</v>
      </c>
      <c r="N486" t="s">
        <v>252</v>
      </c>
      <c r="O486" t="s">
        <v>72</v>
      </c>
      <c r="P486" t="s">
        <v>81</v>
      </c>
      <c r="Q486" s="44">
        <v>2529</v>
      </c>
      <c r="R486" s="42">
        <v>1</v>
      </c>
      <c r="S486" s="48">
        <v>9094</v>
      </c>
      <c r="U486" s="44">
        <v>229.98699999999999</v>
      </c>
      <c r="V486" s="45">
        <v>3.1999999999999999E-5</v>
      </c>
      <c r="W486" s="45">
        <v>1.8024885295659598E-2</v>
      </c>
      <c r="X486" s="45">
        <v>3.1393535498836001E-3</v>
      </c>
    </row>
    <row r="487" spans="1:24" x14ac:dyDescent="0.25">
      <c r="A487">
        <v>969</v>
      </c>
      <c r="B487">
        <v>969</v>
      </c>
      <c r="C487" t="s">
        <v>82</v>
      </c>
      <c r="D487" t="s">
        <v>431</v>
      </c>
      <c r="E487" t="s">
        <v>210</v>
      </c>
      <c r="F487" t="s">
        <v>846</v>
      </c>
      <c r="G487" t="s">
        <v>847</v>
      </c>
      <c r="H487" t="s">
        <v>213</v>
      </c>
      <c r="I487" t="s">
        <v>753</v>
      </c>
      <c r="J487" t="s">
        <v>71</v>
      </c>
      <c r="K487" t="s">
        <v>71</v>
      </c>
      <c r="L487" t="s">
        <v>216</v>
      </c>
      <c r="M487" t="s">
        <v>117</v>
      </c>
      <c r="N487" t="s">
        <v>365</v>
      </c>
      <c r="O487" t="s">
        <v>72</v>
      </c>
      <c r="P487" t="s">
        <v>81</v>
      </c>
      <c r="Q487" s="44">
        <v>14198</v>
      </c>
      <c r="R487" s="42">
        <v>1</v>
      </c>
      <c r="S487" s="48">
        <v>4982</v>
      </c>
      <c r="U487" s="44">
        <v>707.34400000000005</v>
      </c>
      <c r="V487" s="45">
        <v>9.0000000000000002E-6</v>
      </c>
      <c r="W487" s="45">
        <v>5.54369879163382E-2</v>
      </c>
      <c r="X487" s="45">
        <v>9.6553349414056407E-3</v>
      </c>
    </row>
    <row r="488" spans="1:24" x14ac:dyDescent="0.25">
      <c r="A488">
        <v>969</v>
      </c>
      <c r="B488">
        <v>969</v>
      </c>
      <c r="C488" t="s">
        <v>444</v>
      </c>
      <c r="D488" t="s">
        <v>445</v>
      </c>
      <c r="E488" t="s">
        <v>210</v>
      </c>
      <c r="F488" t="s">
        <v>848</v>
      </c>
      <c r="G488" t="s">
        <v>849</v>
      </c>
      <c r="H488" t="s">
        <v>213</v>
      </c>
      <c r="I488" t="s">
        <v>753</v>
      </c>
      <c r="J488" t="s">
        <v>71</v>
      </c>
      <c r="K488" t="s">
        <v>71</v>
      </c>
      <c r="L488" t="s">
        <v>216</v>
      </c>
      <c r="M488" t="s">
        <v>117</v>
      </c>
      <c r="N488" t="s">
        <v>258</v>
      </c>
      <c r="O488" t="s">
        <v>72</v>
      </c>
      <c r="P488" t="s">
        <v>81</v>
      </c>
      <c r="Q488" s="44">
        <v>15680</v>
      </c>
      <c r="R488" s="42">
        <v>1</v>
      </c>
      <c r="S488" s="48">
        <v>992.1</v>
      </c>
      <c r="T488" s="44">
        <v>1.4890000000000001</v>
      </c>
      <c r="U488" s="44">
        <v>157.05000000000001</v>
      </c>
      <c r="V488" s="45">
        <v>2.0999999999999999E-5</v>
      </c>
      <c r="W488" s="45">
        <v>1.2308555436575601E-2</v>
      </c>
      <c r="X488" s="45">
        <v>2.1437532927356599E-3</v>
      </c>
    </row>
    <row r="489" spans="1:24" x14ac:dyDescent="0.25">
      <c r="A489">
        <v>969</v>
      </c>
      <c r="B489">
        <v>969</v>
      </c>
      <c r="C489" t="s">
        <v>458</v>
      </c>
      <c r="D489" t="s">
        <v>459</v>
      </c>
      <c r="E489" t="s">
        <v>210</v>
      </c>
      <c r="F489" t="s">
        <v>850</v>
      </c>
      <c r="G489" t="s">
        <v>851</v>
      </c>
      <c r="H489" t="s">
        <v>213</v>
      </c>
      <c r="I489" t="s">
        <v>753</v>
      </c>
      <c r="J489" t="s">
        <v>71</v>
      </c>
      <c r="K489" t="s">
        <v>71</v>
      </c>
      <c r="L489" t="s">
        <v>216</v>
      </c>
      <c r="M489" t="s">
        <v>117</v>
      </c>
      <c r="N489" t="s">
        <v>258</v>
      </c>
      <c r="O489" t="s">
        <v>72</v>
      </c>
      <c r="P489" t="s">
        <v>81</v>
      </c>
      <c r="Q489" s="44">
        <v>4662</v>
      </c>
      <c r="R489" s="42">
        <v>1</v>
      </c>
      <c r="S489" s="48">
        <v>1142</v>
      </c>
      <c r="U489" s="44">
        <v>53.24</v>
      </c>
      <c r="V489" s="45">
        <v>3.1000000000000001E-5</v>
      </c>
      <c r="W489" s="45">
        <v>4.1726033613180497E-3</v>
      </c>
      <c r="X489" s="45">
        <v>7.2673290063956098E-4</v>
      </c>
    </row>
    <row r="490" spans="1:24" x14ac:dyDescent="0.25">
      <c r="A490">
        <v>969</v>
      </c>
      <c r="B490">
        <v>969</v>
      </c>
      <c r="C490" t="s">
        <v>852</v>
      </c>
      <c r="D490" t="s">
        <v>853</v>
      </c>
      <c r="E490" t="s">
        <v>210</v>
      </c>
      <c r="F490" t="s">
        <v>854</v>
      </c>
      <c r="G490" t="s">
        <v>855</v>
      </c>
      <c r="H490" t="s">
        <v>213</v>
      </c>
      <c r="I490" t="s">
        <v>753</v>
      </c>
      <c r="J490" t="s">
        <v>71</v>
      </c>
      <c r="K490" t="s">
        <v>71</v>
      </c>
      <c r="L490" t="s">
        <v>216</v>
      </c>
      <c r="M490" t="s">
        <v>117</v>
      </c>
      <c r="N490" t="s">
        <v>856</v>
      </c>
      <c r="O490" t="s">
        <v>72</v>
      </c>
      <c r="P490" t="s">
        <v>81</v>
      </c>
      <c r="Q490" s="44">
        <v>189</v>
      </c>
      <c r="R490" s="42">
        <v>1</v>
      </c>
      <c r="S490" s="48">
        <v>22800</v>
      </c>
      <c r="U490" s="44">
        <v>43.091999999999999</v>
      </c>
      <c r="V490" s="45">
        <v>5.5000000000000002E-5</v>
      </c>
      <c r="W490" s="45">
        <v>3.3772668849594602E-3</v>
      </c>
      <c r="X490" s="45">
        <v>5.8821094338696895E-4</v>
      </c>
    </row>
    <row r="491" spans="1:24" x14ac:dyDescent="0.25">
      <c r="A491">
        <v>969</v>
      </c>
      <c r="B491">
        <v>969</v>
      </c>
      <c r="C491" t="s">
        <v>861</v>
      </c>
      <c r="D491" t="s">
        <v>862</v>
      </c>
      <c r="E491" t="s">
        <v>210</v>
      </c>
      <c r="F491" t="s">
        <v>863</v>
      </c>
      <c r="G491" t="s">
        <v>864</v>
      </c>
      <c r="H491" t="s">
        <v>213</v>
      </c>
      <c r="I491" t="s">
        <v>753</v>
      </c>
      <c r="J491" t="s">
        <v>71</v>
      </c>
      <c r="K491" t="s">
        <v>71</v>
      </c>
      <c r="L491" t="s">
        <v>216</v>
      </c>
      <c r="M491" t="s">
        <v>117</v>
      </c>
      <c r="N491" t="s">
        <v>825</v>
      </c>
      <c r="O491" t="s">
        <v>72</v>
      </c>
      <c r="P491" t="s">
        <v>81</v>
      </c>
      <c r="Q491" s="44">
        <v>645</v>
      </c>
      <c r="R491" s="42">
        <v>1</v>
      </c>
      <c r="S491" s="48">
        <v>8638</v>
      </c>
      <c r="T491" s="44">
        <v>0.52900000000000003</v>
      </c>
      <c r="U491" s="44">
        <v>56.244</v>
      </c>
      <c r="V491" s="45">
        <v>1.0000000000000001E-5</v>
      </c>
      <c r="W491" s="45">
        <v>4.4080339431370099E-3</v>
      </c>
      <c r="X491" s="45">
        <v>7.6773731318705799E-4</v>
      </c>
    </row>
    <row r="492" spans="1:24" x14ac:dyDescent="0.25">
      <c r="A492">
        <v>969</v>
      </c>
      <c r="B492">
        <v>969</v>
      </c>
      <c r="C492" t="s">
        <v>483</v>
      </c>
      <c r="D492" t="s">
        <v>484</v>
      </c>
      <c r="E492" t="s">
        <v>210</v>
      </c>
      <c r="F492" t="s">
        <v>865</v>
      </c>
      <c r="G492" t="s">
        <v>866</v>
      </c>
      <c r="H492" t="s">
        <v>213</v>
      </c>
      <c r="I492" t="s">
        <v>753</v>
      </c>
      <c r="J492" t="s">
        <v>71</v>
      </c>
      <c r="K492" t="s">
        <v>71</v>
      </c>
      <c r="L492" t="s">
        <v>216</v>
      </c>
      <c r="M492" t="s">
        <v>117</v>
      </c>
      <c r="N492" t="s">
        <v>258</v>
      </c>
      <c r="O492" t="s">
        <v>72</v>
      </c>
      <c r="P492" t="s">
        <v>81</v>
      </c>
      <c r="Q492" s="44">
        <v>404.25</v>
      </c>
      <c r="R492" s="42">
        <v>1</v>
      </c>
      <c r="S492" s="48">
        <v>28940</v>
      </c>
      <c r="T492" s="44">
        <v>0.76500000000000001</v>
      </c>
      <c r="U492" s="44">
        <v>117.755</v>
      </c>
      <c r="V492" s="45">
        <v>7.9999999999999996E-6</v>
      </c>
      <c r="W492" s="45">
        <v>9.2288253566393599E-3</v>
      </c>
      <c r="X492" s="45">
        <v>1.6073636624804599E-3</v>
      </c>
    </row>
    <row r="493" spans="1:24" x14ac:dyDescent="0.25">
      <c r="A493">
        <v>969</v>
      </c>
      <c r="B493">
        <v>969</v>
      </c>
      <c r="C493" t="s">
        <v>867</v>
      </c>
      <c r="D493" t="s">
        <v>868</v>
      </c>
      <c r="E493" t="s">
        <v>210</v>
      </c>
      <c r="F493" t="s">
        <v>869</v>
      </c>
      <c r="G493" t="s">
        <v>870</v>
      </c>
      <c r="H493" t="s">
        <v>213</v>
      </c>
      <c r="I493" t="s">
        <v>753</v>
      </c>
      <c r="J493" t="s">
        <v>71</v>
      </c>
      <c r="K493" t="s">
        <v>71</v>
      </c>
      <c r="L493" t="s">
        <v>216</v>
      </c>
      <c r="M493" t="s">
        <v>117</v>
      </c>
      <c r="N493" t="s">
        <v>252</v>
      </c>
      <c r="O493" t="s">
        <v>72</v>
      </c>
      <c r="P493" t="s">
        <v>81</v>
      </c>
      <c r="Q493" s="44">
        <v>1582</v>
      </c>
      <c r="R493" s="42">
        <v>1</v>
      </c>
      <c r="S493" s="48">
        <v>18600</v>
      </c>
      <c r="T493" s="44">
        <v>3.806</v>
      </c>
      <c r="U493" s="44">
        <v>298.05799999999999</v>
      </c>
      <c r="V493" s="45">
        <v>2.5000000000000001E-5</v>
      </c>
      <c r="W493" s="45">
        <v>2.3359828208281499E-2</v>
      </c>
      <c r="X493" s="45">
        <v>4.0685285042007403E-3</v>
      </c>
    </row>
    <row r="494" spans="1:24" x14ac:dyDescent="0.25">
      <c r="A494">
        <v>969</v>
      </c>
      <c r="B494">
        <v>969</v>
      </c>
      <c r="C494" t="s">
        <v>494</v>
      </c>
      <c r="D494" t="s">
        <v>495</v>
      </c>
      <c r="E494" t="s">
        <v>210</v>
      </c>
      <c r="F494" t="s">
        <v>871</v>
      </c>
      <c r="G494" t="s">
        <v>872</v>
      </c>
      <c r="H494" t="s">
        <v>213</v>
      </c>
      <c r="I494" t="s">
        <v>753</v>
      </c>
      <c r="J494" t="s">
        <v>71</v>
      </c>
      <c r="K494" t="s">
        <v>71</v>
      </c>
      <c r="L494" t="s">
        <v>216</v>
      </c>
      <c r="M494" t="s">
        <v>117</v>
      </c>
      <c r="N494" t="s">
        <v>498</v>
      </c>
      <c r="O494" t="s">
        <v>72</v>
      </c>
      <c r="P494" t="s">
        <v>81</v>
      </c>
      <c r="Q494" s="44">
        <v>8859</v>
      </c>
      <c r="R494" s="42">
        <v>1</v>
      </c>
      <c r="S494" s="48">
        <v>1700</v>
      </c>
      <c r="U494" s="44">
        <v>150.60300000000001</v>
      </c>
      <c r="V494" s="45">
        <v>1.46E-4</v>
      </c>
      <c r="W494" s="45">
        <v>1.180327032107E-2</v>
      </c>
      <c r="X494" s="45">
        <v>2.0557489257149301E-3</v>
      </c>
    </row>
    <row r="495" spans="1:24" x14ac:dyDescent="0.25">
      <c r="A495">
        <v>969</v>
      </c>
      <c r="B495">
        <v>969</v>
      </c>
      <c r="C495" t="s">
        <v>873</v>
      </c>
      <c r="D495" t="s">
        <v>874</v>
      </c>
      <c r="E495" t="s">
        <v>210</v>
      </c>
      <c r="F495" t="s">
        <v>875</v>
      </c>
      <c r="G495" t="s">
        <v>876</v>
      </c>
      <c r="H495" t="s">
        <v>213</v>
      </c>
      <c r="I495" t="s">
        <v>753</v>
      </c>
      <c r="J495" t="s">
        <v>71</v>
      </c>
      <c r="K495" t="s">
        <v>71</v>
      </c>
      <c r="L495" t="s">
        <v>216</v>
      </c>
      <c r="M495" t="s">
        <v>117</v>
      </c>
      <c r="N495" t="s">
        <v>837</v>
      </c>
      <c r="O495" t="s">
        <v>72</v>
      </c>
      <c r="P495" t="s">
        <v>81</v>
      </c>
      <c r="Q495" s="44">
        <v>3279</v>
      </c>
      <c r="R495" s="42">
        <v>1</v>
      </c>
      <c r="S495" s="48">
        <v>1340</v>
      </c>
      <c r="U495" s="44">
        <v>43.939</v>
      </c>
      <c r="V495" s="45">
        <v>2.3E-5</v>
      </c>
      <c r="W495" s="45">
        <v>3.4436178119251798E-3</v>
      </c>
      <c r="X495" s="45">
        <v>5.99767134435689E-4</v>
      </c>
    </row>
    <row r="496" spans="1:24" x14ac:dyDescent="0.25">
      <c r="A496">
        <v>969</v>
      </c>
      <c r="B496">
        <v>969</v>
      </c>
      <c r="C496" t="s">
        <v>877</v>
      </c>
      <c r="D496" t="s">
        <v>878</v>
      </c>
      <c r="E496" t="s">
        <v>420</v>
      </c>
      <c r="F496" t="s">
        <v>879</v>
      </c>
      <c r="G496" t="s">
        <v>880</v>
      </c>
      <c r="H496" t="s">
        <v>213</v>
      </c>
      <c r="I496" t="s">
        <v>753</v>
      </c>
      <c r="J496" t="s">
        <v>71</v>
      </c>
      <c r="K496" t="s">
        <v>71</v>
      </c>
      <c r="L496" t="s">
        <v>216</v>
      </c>
      <c r="M496" t="s">
        <v>117</v>
      </c>
      <c r="N496" t="s">
        <v>423</v>
      </c>
      <c r="O496" t="s">
        <v>72</v>
      </c>
      <c r="P496" t="s">
        <v>81</v>
      </c>
      <c r="Q496" s="44">
        <v>10420.06</v>
      </c>
      <c r="R496" s="42">
        <v>1</v>
      </c>
      <c r="S496" s="48">
        <v>1249</v>
      </c>
      <c r="T496" s="44">
        <v>1.974</v>
      </c>
      <c r="U496" s="44">
        <v>132.12</v>
      </c>
      <c r="V496" s="45">
        <v>9.0000000000000002E-6</v>
      </c>
      <c r="W496" s="45">
        <v>1.0354701632983E-2</v>
      </c>
      <c r="X496" s="45">
        <v>1.80345498993652E-3</v>
      </c>
    </row>
    <row r="497" spans="1:24" x14ac:dyDescent="0.25">
      <c r="A497">
        <v>969</v>
      </c>
      <c r="B497">
        <v>969</v>
      </c>
      <c r="C497" t="s">
        <v>881</v>
      </c>
      <c r="D497" t="s">
        <v>882</v>
      </c>
      <c r="E497" t="s">
        <v>210</v>
      </c>
      <c r="F497" t="s">
        <v>883</v>
      </c>
      <c r="G497" t="s">
        <v>884</v>
      </c>
      <c r="H497" t="s">
        <v>213</v>
      </c>
      <c r="I497" t="s">
        <v>753</v>
      </c>
      <c r="J497" t="s">
        <v>71</v>
      </c>
      <c r="K497" t="s">
        <v>291</v>
      </c>
      <c r="L497" t="s">
        <v>216</v>
      </c>
      <c r="M497" t="s">
        <v>117</v>
      </c>
      <c r="N497" t="s">
        <v>526</v>
      </c>
      <c r="O497" t="s">
        <v>72</v>
      </c>
      <c r="P497" t="s">
        <v>81</v>
      </c>
      <c r="Q497" s="44">
        <v>400</v>
      </c>
      <c r="R497" s="42">
        <v>1</v>
      </c>
      <c r="S497" s="48">
        <v>56600</v>
      </c>
      <c r="U497" s="44">
        <v>226.4</v>
      </c>
      <c r="V497" s="45">
        <v>5.0000000000000004E-6</v>
      </c>
      <c r="W497" s="45">
        <v>1.7743739505124399E-2</v>
      </c>
      <c r="X497" s="45">
        <v>3.0903870227144202E-3</v>
      </c>
    </row>
    <row r="498" spans="1:24" x14ac:dyDescent="0.25">
      <c r="A498">
        <v>969</v>
      </c>
      <c r="B498">
        <v>969</v>
      </c>
      <c r="C498" t="s">
        <v>885</v>
      </c>
      <c r="D498" t="s">
        <v>886</v>
      </c>
      <c r="E498" t="s">
        <v>210</v>
      </c>
      <c r="F498" t="s">
        <v>885</v>
      </c>
      <c r="G498" t="s">
        <v>887</v>
      </c>
      <c r="H498" t="s">
        <v>213</v>
      </c>
      <c r="I498" t="s">
        <v>753</v>
      </c>
      <c r="J498" t="s">
        <v>71</v>
      </c>
      <c r="K498" t="s">
        <v>71</v>
      </c>
      <c r="L498" t="s">
        <v>216</v>
      </c>
      <c r="M498" t="s">
        <v>117</v>
      </c>
      <c r="N498" t="s">
        <v>888</v>
      </c>
      <c r="O498" t="s">
        <v>72</v>
      </c>
      <c r="P498" t="s">
        <v>81</v>
      </c>
      <c r="Q498" s="44">
        <v>852</v>
      </c>
      <c r="R498" s="42">
        <v>1</v>
      </c>
      <c r="S498" s="48">
        <v>8478</v>
      </c>
      <c r="U498" s="44">
        <v>72.233000000000004</v>
      </c>
      <c r="V498" s="45">
        <v>1.1E-5</v>
      </c>
      <c r="W498" s="45">
        <v>5.66111187468318E-3</v>
      </c>
      <c r="X498" s="45">
        <v>9.859830655540669E-4</v>
      </c>
    </row>
    <row r="499" spans="1:24" x14ac:dyDescent="0.25">
      <c r="A499">
        <v>969</v>
      </c>
      <c r="B499">
        <v>969</v>
      </c>
      <c r="C499" t="s">
        <v>1109</v>
      </c>
      <c r="D499" t="s">
        <v>1110</v>
      </c>
      <c r="E499" t="s">
        <v>210</v>
      </c>
      <c r="F499" t="s">
        <v>1111</v>
      </c>
      <c r="G499" t="s">
        <v>1112</v>
      </c>
      <c r="H499" t="s">
        <v>213</v>
      </c>
      <c r="I499" t="s">
        <v>753</v>
      </c>
      <c r="J499" t="s">
        <v>71</v>
      </c>
      <c r="K499" t="s">
        <v>215</v>
      </c>
      <c r="L499" t="s">
        <v>216</v>
      </c>
      <c r="M499" t="s">
        <v>117</v>
      </c>
      <c r="N499" t="s">
        <v>217</v>
      </c>
      <c r="O499" t="s">
        <v>72</v>
      </c>
      <c r="P499" t="s">
        <v>81</v>
      </c>
      <c r="Q499" s="44">
        <v>1819</v>
      </c>
      <c r="R499" s="42">
        <v>1</v>
      </c>
      <c r="S499" s="48">
        <v>5364</v>
      </c>
      <c r="U499" s="44">
        <v>97.570999999999998</v>
      </c>
      <c r="V499" s="45">
        <v>2.5000000000000001E-5</v>
      </c>
      <c r="W499" s="45">
        <v>7.6469843032368296E-3</v>
      </c>
      <c r="X499" s="45">
        <v>1.33185797992576E-3</v>
      </c>
    </row>
    <row r="500" spans="1:24" x14ac:dyDescent="0.25">
      <c r="A500">
        <v>969</v>
      </c>
      <c r="B500">
        <v>969</v>
      </c>
      <c r="C500" t="s">
        <v>551</v>
      </c>
      <c r="D500" t="s">
        <v>552</v>
      </c>
      <c r="E500" t="s">
        <v>210</v>
      </c>
      <c r="F500" t="s">
        <v>889</v>
      </c>
      <c r="G500" t="s">
        <v>890</v>
      </c>
      <c r="H500" t="s">
        <v>213</v>
      </c>
      <c r="I500" t="s">
        <v>753</v>
      </c>
      <c r="J500" t="s">
        <v>71</v>
      </c>
      <c r="K500" t="s">
        <v>71</v>
      </c>
      <c r="L500" t="s">
        <v>216</v>
      </c>
      <c r="M500" t="s">
        <v>117</v>
      </c>
      <c r="N500" t="s">
        <v>329</v>
      </c>
      <c r="O500" t="s">
        <v>72</v>
      </c>
      <c r="P500" t="s">
        <v>81</v>
      </c>
      <c r="Q500" s="44">
        <v>5980</v>
      </c>
      <c r="R500" s="42">
        <v>1</v>
      </c>
      <c r="S500" s="48">
        <v>2256</v>
      </c>
      <c r="U500" s="44">
        <v>134.90899999999999</v>
      </c>
      <c r="V500" s="45">
        <v>3.6000000000000001E-5</v>
      </c>
      <c r="W500" s="45">
        <v>1.05732623858168E-2</v>
      </c>
      <c r="X500" s="45">
        <v>1.84152122248222E-3</v>
      </c>
    </row>
    <row r="501" spans="1:24" x14ac:dyDescent="0.25">
      <c r="A501">
        <v>969</v>
      </c>
      <c r="B501">
        <v>969</v>
      </c>
      <c r="C501" t="s">
        <v>556</v>
      </c>
      <c r="D501" t="s">
        <v>557</v>
      </c>
      <c r="E501" t="s">
        <v>210</v>
      </c>
      <c r="F501" t="s">
        <v>891</v>
      </c>
      <c r="G501" t="s">
        <v>892</v>
      </c>
      <c r="H501" t="s">
        <v>213</v>
      </c>
      <c r="I501" t="s">
        <v>753</v>
      </c>
      <c r="J501" t="s">
        <v>71</v>
      </c>
      <c r="K501" t="s">
        <v>71</v>
      </c>
      <c r="L501" t="s">
        <v>216</v>
      </c>
      <c r="M501" t="s">
        <v>117</v>
      </c>
      <c r="N501" t="s">
        <v>258</v>
      </c>
      <c r="O501" t="s">
        <v>72</v>
      </c>
      <c r="P501" t="s">
        <v>81</v>
      </c>
      <c r="Q501" s="44">
        <v>573</v>
      </c>
      <c r="R501" s="42">
        <v>1</v>
      </c>
      <c r="S501" s="48">
        <v>24920</v>
      </c>
      <c r="U501" s="44">
        <v>142.792</v>
      </c>
      <c r="V501" s="45">
        <v>5.0000000000000004E-6</v>
      </c>
      <c r="W501" s="45">
        <v>1.1191064284098599E-2</v>
      </c>
      <c r="X501" s="45">
        <v>1.9491223833596699E-3</v>
      </c>
    </row>
    <row r="502" spans="1:24" x14ac:dyDescent="0.25">
      <c r="A502">
        <v>969</v>
      </c>
      <c r="B502">
        <v>969</v>
      </c>
      <c r="C502" t="s">
        <v>88</v>
      </c>
      <c r="D502" t="s">
        <v>571</v>
      </c>
      <c r="E502" t="s">
        <v>210</v>
      </c>
      <c r="F502" t="s">
        <v>893</v>
      </c>
      <c r="G502" t="s">
        <v>894</v>
      </c>
      <c r="H502" t="s">
        <v>213</v>
      </c>
      <c r="I502" t="s">
        <v>753</v>
      </c>
      <c r="J502" t="s">
        <v>71</v>
      </c>
      <c r="K502" t="s">
        <v>71</v>
      </c>
      <c r="L502" t="s">
        <v>216</v>
      </c>
      <c r="M502" t="s">
        <v>117</v>
      </c>
      <c r="N502" t="s">
        <v>365</v>
      </c>
      <c r="O502" t="s">
        <v>72</v>
      </c>
      <c r="P502" t="s">
        <v>81</v>
      </c>
      <c r="Q502" s="44">
        <v>10252</v>
      </c>
      <c r="R502" s="42">
        <v>1</v>
      </c>
      <c r="S502" s="48">
        <v>5008</v>
      </c>
      <c r="U502" s="44">
        <v>513.41999999999996</v>
      </c>
      <c r="V502" s="45">
        <v>7.9999999999999996E-6</v>
      </c>
      <c r="W502" s="45">
        <v>4.0238487525261997E-2</v>
      </c>
      <c r="X502" s="45">
        <v>7.0082464649468303E-3</v>
      </c>
    </row>
    <row r="503" spans="1:24" x14ac:dyDescent="0.25">
      <c r="A503">
        <v>969</v>
      </c>
      <c r="B503">
        <v>969</v>
      </c>
      <c r="C503" t="s">
        <v>895</v>
      </c>
      <c r="D503" t="s">
        <v>896</v>
      </c>
      <c r="E503" t="s">
        <v>210</v>
      </c>
      <c r="F503" t="s">
        <v>897</v>
      </c>
      <c r="G503" t="s">
        <v>898</v>
      </c>
      <c r="H503" t="s">
        <v>213</v>
      </c>
      <c r="I503" t="s">
        <v>753</v>
      </c>
      <c r="J503" t="s">
        <v>71</v>
      </c>
      <c r="K503" t="s">
        <v>71</v>
      </c>
      <c r="L503" t="s">
        <v>216</v>
      </c>
      <c r="M503" t="s">
        <v>117</v>
      </c>
      <c r="N503" t="s">
        <v>899</v>
      </c>
      <c r="O503" t="s">
        <v>72</v>
      </c>
      <c r="P503" t="s">
        <v>81</v>
      </c>
      <c r="Q503" s="44">
        <v>2080</v>
      </c>
      <c r="R503" s="42">
        <v>1</v>
      </c>
      <c r="S503" s="48">
        <v>329.7</v>
      </c>
      <c r="U503" s="44">
        <v>6.8579999999999997</v>
      </c>
      <c r="V503" s="45">
        <v>4.1E-5</v>
      </c>
      <c r="W503" s="45">
        <v>5.3746602044462105E-4</v>
      </c>
      <c r="X503" s="45">
        <v>9.3609242530433105E-5</v>
      </c>
    </row>
    <row r="504" spans="1:24" x14ac:dyDescent="0.25">
      <c r="A504">
        <v>969</v>
      </c>
      <c r="B504">
        <v>969</v>
      </c>
      <c r="C504" t="s">
        <v>670</v>
      </c>
      <c r="D504" t="s">
        <v>671</v>
      </c>
      <c r="E504" t="s">
        <v>210</v>
      </c>
      <c r="F504" t="s">
        <v>900</v>
      </c>
      <c r="G504" t="s">
        <v>901</v>
      </c>
      <c r="H504" t="s">
        <v>213</v>
      </c>
      <c r="I504" t="s">
        <v>753</v>
      </c>
      <c r="J504" t="s">
        <v>71</v>
      </c>
      <c r="K504" t="s">
        <v>71</v>
      </c>
      <c r="L504" t="s">
        <v>216</v>
      </c>
      <c r="M504" t="s">
        <v>117</v>
      </c>
      <c r="N504" t="s">
        <v>329</v>
      </c>
      <c r="O504" t="s">
        <v>72</v>
      </c>
      <c r="P504" t="s">
        <v>81</v>
      </c>
      <c r="Q504" s="44">
        <v>6331</v>
      </c>
      <c r="R504" s="42">
        <v>1</v>
      </c>
      <c r="S504" s="48">
        <v>2530</v>
      </c>
      <c r="U504" s="44">
        <v>160.17400000000001</v>
      </c>
      <c r="V504" s="45">
        <v>3.3000000000000003E-5</v>
      </c>
      <c r="W504" s="45">
        <v>1.2553405718267E-2</v>
      </c>
      <c r="X504" s="45">
        <v>2.1863983131288301E-3</v>
      </c>
    </row>
    <row r="505" spans="1:24" x14ac:dyDescent="0.25">
      <c r="A505">
        <v>969</v>
      </c>
      <c r="B505">
        <v>969</v>
      </c>
      <c r="C505" t="s">
        <v>902</v>
      </c>
      <c r="D505" t="s">
        <v>903</v>
      </c>
      <c r="E505" t="s">
        <v>210</v>
      </c>
      <c r="F505" t="s">
        <v>904</v>
      </c>
      <c r="G505" t="s">
        <v>905</v>
      </c>
      <c r="H505" t="s">
        <v>213</v>
      </c>
      <c r="I505" t="s">
        <v>753</v>
      </c>
      <c r="J505" t="s">
        <v>71</v>
      </c>
      <c r="K505" t="s">
        <v>71</v>
      </c>
      <c r="L505" t="s">
        <v>216</v>
      </c>
      <c r="M505" t="s">
        <v>117</v>
      </c>
      <c r="N505" t="s">
        <v>906</v>
      </c>
      <c r="O505" t="s">
        <v>72</v>
      </c>
      <c r="P505" t="s">
        <v>81</v>
      </c>
      <c r="Q505" s="44">
        <v>120</v>
      </c>
      <c r="R505" s="42">
        <v>1</v>
      </c>
      <c r="S505" s="48">
        <v>48410</v>
      </c>
      <c r="U505" s="44">
        <v>58.091999999999999</v>
      </c>
      <c r="V505" s="45">
        <v>6.9999999999999999E-6</v>
      </c>
      <c r="W505" s="45">
        <v>4.55286800058167E-3</v>
      </c>
      <c r="X505" s="45">
        <v>7.9296273376115798E-4</v>
      </c>
    </row>
    <row r="506" spans="1:24" x14ac:dyDescent="0.25">
      <c r="A506">
        <v>969</v>
      </c>
      <c r="B506">
        <v>969</v>
      </c>
      <c r="C506" t="s">
        <v>907</v>
      </c>
      <c r="D506" t="s">
        <v>908</v>
      </c>
      <c r="E506" t="s">
        <v>210</v>
      </c>
      <c r="F506" t="s">
        <v>909</v>
      </c>
      <c r="G506" t="s">
        <v>910</v>
      </c>
      <c r="H506" t="s">
        <v>213</v>
      </c>
      <c r="I506" t="s">
        <v>753</v>
      </c>
      <c r="J506" t="s">
        <v>71</v>
      </c>
      <c r="K506" t="s">
        <v>71</v>
      </c>
      <c r="L506" t="s">
        <v>216</v>
      </c>
      <c r="M506" t="s">
        <v>117</v>
      </c>
      <c r="N506" t="s">
        <v>764</v>
      </c>
      <c r="O506" t="s">
        <v>72</v>
      </c>
      <c r="P506" t="s">
        <v>81</v>
      </c>
      <c r="Q506" s="44">
        <v>23684</v>
      </c>
      <c r="R506" s="42">
        <v>1</v>
      </c>
      <c r="S506" s="48">
        <v>682.4</v>
      </c>
      <c r="T506" s="44">
        <v>4.1109999999999998</v>
      </c>
      <c r="U506" s="44">
        <v>165.73099999999999</v>
      </c>
      <c r="V506" s="45">
        <v>8.2000000000000001E-5</v>
      </c>
      <c r="W506" s="45">
        <v>1.29888684350859E-2</v>
      </c>
      <c r="X506" s="45">
        <v>2.26224187071398E-3</v>
      </c>
    </row>
    <row r="507" spans="1:24" x14ac:dyDescent="0.25">
      <c r="A507">
        <v>969</v>
      </c>
      <c r="B507">
        <v>969</v>
      </c>
      <c r="C507" t="s">
        <v>911</v>
      </c>
      <c r="D507" t="s">
        <v>912</v>
      </c>
      <c r="E507" t="s">
        <v>210</v>
      </c>
      <c r="F507" t="s">
        <v>913</v>
      </c>
      <c r="G507" t="s">
        <v>914</v>
      </c>
      <c r="H507" t="s">
        <v>213</v>
      </c>
      <c r="I507" t="s">
        <v>753</v>
      </c>
      <c r="J507" t="s">
        <v>71</v>
      </c>
      <c r="K507" t="s">
        <v>215</v>
      </c>
      <c r="L507" t="s">
        <v>216</v>
      </c>
      <c r="M507" t="s">
        <v>117</v>
      </c>
      <c r="N507" t="s">
        <v>830</v>
      </c>
      <c r="O507" t="s">
        <v>72</v>
      </c>
      <c r="P507" t="s">
        <v>81</v>
      </c>
      <c r="Q507" s="44">
        <v>442</v>
      </c>
      <c r="R507" s="42">
        <v>1</v>
      </c>
      <c r="S507" s="48">
        <v>21310</v>
      </c>
      <c r="U507" s="44">
        <v>94.19</v>
      </c>
      <c r="V507" s="45">
        <v>9.0000000000000002E-6</v>
      </c>
      <c r="W507" s="45">
        <v>7.3820069467118903E-3</v>
      </c>
      <c r="X507" s="45">
        <v>1.28570747238019E-3</v>
      </c>
    </row>
    <row r="508" spans="1:24" x14ac:dyDescent="0.25">
      <c r="A508">
        <v>969</v>
      </c>
      <c r="B508">
        <v>969</v>
      </c>
      <c r="C508" t="s">
        <v>915</v>
      </c>
      <c r="D508" t="s">
        <v>916</v>
      </c>
      <c r="E508" t="s">
        <v>210</v>
      </c>
      <c r="F508" t="s">
        <v>917</v>
      </c>
      <c r="G508" t="s">
        <v>918</v>
      </c>
      <c r="H508" t="s">
        <v>213</v>
      </c>
      <c r="I508" t="s">
        <v>753</v>
      </c>
      <c r="J508" t="s">
        <v>71</v>
      </c>
      <c r="K508" t="s">
        <v>71</v>
      </c>
      <c r="L508" t="s">
        <v>216</v>
      </c>
      <c r="M508" t="s">
        <v>117</v>
      </c>
      <c r="N508" t="s">
        <v>258</v>
      </c>
      <c r="O508" t="s">
        <v>72</v>
      </c>
      <c r="P508" t="s">
        <v>81</v>
      </c>
      <c r="Q508" s="44">
        <v>12682.2</v>
      </c>
      <c r="R508" s="42">
        <v>1</v>
      </c>
      <c r="S508" s="48">
        <v>382</v>
      </c>
      <c r="U508" s="44">
        <v>48.445999999999998</v>
      </c>
      <c r="V508" s="45">
        <v>1.18E-4</v>
      </c>
      <c r="W508" s="45">
        <v>3.7968784233225099E-3</v>
      </c>
      <c r="X508" s="45">
        <v>6.6129373703167405E-4</v>
      </c>
    </row>
    <row r="509" spans="1:24" x14ac:dyDescent="0.25">
      <c r="A509">
        <v>969</v>
      </c>
      <c r="B509">
        <v>969</v>
      </c>
      <c r="C509" t="s">
        <v>1078</v>
      </c>
      <c r="D509" t="s">
        <v>1079</v>
      </c>
      <c r="E509" t="s">
        <v>210</v>
      </c>
      <c r="F509" t="s">
        <v>1080</v>
      </c>
      <c r="G509" t="s">
        <v>1081</v>
      </c>
      <c r="H509" t="s">
        <v>213</v>
      </c>
      <c r="I509" t="s">
        <v>753</v>
      </c>
      <c r="J509" t="s">
        <v>71</v>
      </c>
      <c r="K509" t="s">
        <v>71</v>
      </c>
      <c r="L509" t="s">
        <v>216</v>
      </c>
      <c r="M509" t="s">
        <v>117</v>
      </c>
      <c r="N509" t="s">
        <v>837</v>
      </c>
      <c r="O509" t="s">
        <v>72</v>
      </c>
      <c r="P509" t="s">
        <v>81</v>
      </c>
      <c r="Q509" s="44">
        <v>184</v>
      </c>
      <c r="R509" s="42">
        <v>1</v>
      </c>
      <c r="S509" s="48">
        <v>26660</v>
      </c>
      <c r="U509" s="44">
        <v>49.054000000000002</v>
      </c>
      <c r="V509" s="45">
        <v>1.2999999999999999E-5</v>
      </c>
      <c r="W509" s="45">
        <v>3.8445604910785202E-3</v>
      </c>
      <c r="X509" s="45">
        <v>6.6959841504877398E-4</v>
      </c>
    </row>
    <row r="510" spans="1:24" x14ac:dyDescent="0.25">
      <c r="A510">
        <v>969</v>
      </c>
      <c r="B510">
        <v>969</v>
      </c>
      <c r="C510" t="s">
        <v>919</v>
      </c>
      <c r="D510" t="s">
        <v>920</v>
      </c>
      <c r="E510" t="s">
        <v>210</v>
      </c>
      <c r="F510" t="s">
        <v>921</v>
      </c>
      <c r="G510" t="s">
        <v>922</v>
      </c>
      <c r="H510" t="s">
        <v>213</v>
      </c>
      <c r="I510" t="s">
        <v>753</v>
      </c>
      <c r="J510" t="s">
        <v>71</v>
      </c>
      <c r="K510" t="s">
        <v>71</v>
      </c>
      <c r="L510" t="s">
        <v>216</v>
      </c>
      <c r="M510" t="s">
        <v>117</v>
      </c>
      <c r="N510" t="s">
        <v>856</v>
      </c>
      <c r="O510" t="s">
        <v>72</v>
      </c>
      <c r="P510" t="s">
        <v>81</v>
      </c>
      <c r="Q510" s="44">
        <v>2911</v>
      </c>
      <c r="R510" s="42">
        <v>1</v>
      </c>
      <c r="S510" s="48">
        <v>7800</v>
      </c>
      <c r="U510" s="44">
        <v>227.05799999999999</v>
      </c>
      <c r="V510" s="45">
        <v>2.5000000000000001E-5</v>
      </c>
      <c r="W510" s="45">
        <v>1.7795309207396401E-2</v>
      </c>
      <c r="X510" s="45">
        <v>3.09936880125217E-3</v>
      </c>
    </row>
    <row r="511" spans="1:24" x14ac:dyDescent="0.25">
      <c r="A511">
        <v>969</v>
      </c>
      <c r="B511">
        <v>969</v>
      </c>
      <c r="C511" t="s">
        <v>923</v>
      </c>
      <c r="D511" t="s">
        <v>924</v>
      </c>
      <c r="E511" t="s">
        <v>210</v>
      </c>
      <c r="F511" t="s">
        <v>925</v>
      </c>
      <c r="G511" t="s">
        <v>926</v>
      </c>
      <c r="H511" t="s">
        <v>213</v>
      </c>
      <c r="I511" t="s">
        <v>753</v>
      </c>
      <c r="J511" t="s">
        <v>71</v>
      </c>
      <c r="K511" t="s">
        <v>71</v>
      </c>
      <c r="L511" t="s">
        <v>216</v>
      </c>
      <c r="M511" t="s">
        <v>117</v>
      </c>
      <c r="N511" t="s">
        <v>764</v>
      </c>
      <c r="O511" t="s">
        <v>72</v>
      </c>
      <c r="P511" t="s">
        <v>81</v>
      </c>
      <c r="Q511" s="44">
        <v>5295</v>
      </c>
      <c r="R511" s="42">
        <v>1</v>
      </c>
      <c r="S511" s="48">
        <v>2245</v>
      </c>
      <c r="T511" s="44">
        <v>1.1850000000000001</v>
      </c>
      <c r="U511" s="44">
        <v>120.05800000000001</v>
      </c>
      <c r="V511" s="45">
        <v>1.5E-5</v>
      </c>
      <c r="W511" s="45">
        <v>9.4093428266135409E-3</v>
      </c>
      <c r="X511" s="45">
        <v>1.6388039823983899E-3</v>
      </c>
    </row>
    <row r="512" spans="1:24" x14ac:dyDescent="0.25">
      <c r="A512">
        <v>969</v>
      </c>
      <c r="B512">
        <v>969</v>
      </c>
      <c r="C512" t="s">
        <v>927</v>
      </c>
      <c r="D512" t="s">
        <v>928</v>
      </c>
      <c r="E512" t="s">
        <v>210</v>
      </c>
      <c r="F512" t="s">
        <v>929</v>
      </c>
      <c r="G512" t="s">
        <v>930</v>
      </c>
      <c r="H512" t="s">
        <v>213</v>
      </c>
      <c r="I512" t="s">
        <v>753</v>
      </c>
      <c r="J512" t="s">
        <v>71</v>
      </c>
      <c r="K512" t="s">
        <v>215</v>
      </c>
      <c r="L512" t="s">
        <v>216</v>
      </c>
      <c r="M512" t="s">
        <v>117</v>
      </c>
      <c r="N512" t="s">
        <v>931</v>
      </c>
      <c r="O512" t="s">
        <v>72</v>
      </c>
      <c r="P512" t="s">
        <v>81</v>
      </c>
      <c r="Q512" s="44">
        <v>675</v>
      </c>
      <c r="R512" s="42">
        <v>1</v>
      </c>
      <c r="S512" s="48">
        <v>10080</v>
      </c>
      <c r="U512" s="44">
        <v>68.040000000000006</v>
      </c>
      <c r="V512" s="45">
        <v>6.0000000000000002E-5</v>
      </c>
      <c r="W512" s="45">
        <v>5.3325266604623096E-3</v>
      </c>
      <c r="X512" s="45">
        <v>9.2875412113731996E-4</v>
      </c>
    </row>
    <row r="513" spans="1:24" x14ac:dyDescent="0.25">
      <c r="A513">
        <v>969</v>
      </c>
      <c r="B513">
        <v>969</v>
      </c>
      <c r="C513" t="s">
        <v>932</v>
      </c>
      <c r="D513" t="s">
        <v>933</v>
      </c>
      <c r="E513" t="s">
        <v>613</v>
      </c>
      <c r="F513" t="s">
        <v>934</v>
      </c>
      <c r="G513" t="s">
        <v>935</v>
      </c>
      <c r="H513" t="s">
        <v>213</v>
      </c>
      <c r="I513" t="s">
        <v>753</v>
      </c>
      <c r="J513" t="s">
        <v>85</v>
      </c>
      <c r="K513" t="s">
        <v>291</v>
      </c>
      <c r="L513" t="s">
        <v>216</v>
      </c>
      <c r="M513" t="s">
        <v>936</v>
      </c>
      <c r="N513" t="s">
        <v>937</v>
      </c>
      <c r="O513" t="s">
        <v>72</v>
      </c>
      <c r="P513" t="s">
        <v>75</v>
      </c>
      <c r="Q513" s="44">
        <v>286</v>
      </c>
      <c r="R513" s="42">
        <v>3.718</v>
      </c>
      <c r="S513" s="48">
        <v>10274</v>
      </c>
      <c r="U513" s="44">
        <v>109.248</v>
      </c>
      <c r="V513" s="45">
        <v>0</v>
      </c>
      <c r="W513" s="45">
        <v>8.56216731933487E-3</v>
      </c>
      <c r="X513" s="45">
        <v>1.49125333824587E-3</v>
      </c>
    </row>
    <row r="514" spans="1:24" x14ac:dyDescent="0.25">
      <c r="A514">
        <v>969</v>
      </c>
      <c r="B514">
        <v>969</v>
      </c>
      <c r="C514" t="s">
        <v>938</v>
      </c>
      <c r="D514" t="s">
        <v>939</v>
      </c>
      <c r="E514" t="s">
        <v>613</v>
      </c>
      <c r="F514" t="s">
        <v>940</v>
      </c>
      <c r="G514" t="s">
        <v>941</v>
      </c>
      <c r="H514" t="s">
        <v>213</v>
      </c>
      <c r="I514" t="s">
        <v>753</v>
      </c>
      <c r="J514" t="s">
        <v>85</v>
      </c>
      <c r="L514" t="s">
        <v>216</v>
      </c>
      <c r="M514" t="s">
        <v>286</v>
      </c>
      <c r="N514" t="s">
        <v>942</v>
      </c>
      <c r="O514" t="s">
        <v>72</v>
      </c>
      <c r="P514" t="s">
        <v>75</v>
      </c>
      <c r="Q514" s="44">
        <v>240</v>
      </c>
      <c r="R514" s="42">
        <v>3.718</v>
      </c>
      <c r="S514" s="48">
        <v>11946</v>
      </c>
      <c r="U514" s="44">
        <v>106.59699999999999</v>
      </c>
      <c r="V514" s="45">
        <v>9.9999999999999995E-7</v>
      </c>
      <c r="W514" s="45">
        <v>8.3543346539863197E-3</v>
      </c>
      <c r="X514" s="45">
        <v>1.4550555924604501E-3</v>
      </c>
    </row>
    <row r="515" spans="1:24" x14ac:dyDescent="0.25">
      <c r="A515">
        <v>969</v>
      </c>
      <c r="B515">
        <v>969</v>
      </c>
      <c r="C515" t="s">
        <v>943</v>
      </c>
      <c r="D515" t="s">
        <v>944</v>
      </c>
      <c r="E515" t="s">
        <v>613</v>
      </c>
      <c r="F515" t="s">
        <v>945</v>
      </c>
      <c r="G515" t="s">
        <v>946</v>
      </c>
      <c r="H515" t="s">
        <v>213</v>
      </c>
      <c r="I515" t="s">
        <v>753</v>
      </c>
      <c r="J515" t="s">
        <v>85</v>
      </c>
      <c r="K515" t="s">
        <v>291</v>
      </c>
      <c r="L515" t="s">
        <v>216</v>
      </c>
      <c r="M515" t="s">
        <v>936</v>
      </c>
      <c r="N515" t="s">
        <v>947</v>
      </c>
      <c r="O515" t="s">
        <v>72</v>
      </c>
      <c r="P515" t="s">
        <v>75</v>
      </c>
      <c r="Q515" s="44">
        <v>392</v>
      </c>
      <c r="R515" s="42">
        <v>3.718</v>
      </c>
      <c r="S515" s="48">
        <v>19026</v>
      </c>
      <c r="U515" s="44">
        <v>277.29599999999999</v>
      </c>
      <c r="V515" s="45">
        <v>0</v>
      </c>
      <c r="W515" s="45">
        <v>2.1732599434149302E-2</v>
      </c>
      <c r="X515" s="45">
        <v>3.7851177448671E-3</v>
      </c>
    </row>
    <row r="516" spans="1:24" x14ac:dyDescent="0.25">
      <c r="A516">
        <v>969</v>
      </c>
      <c r="B516">
        <v>969</v>
      </c>
      <c r="C516" t="s">
        <v>948</v>
      </c>
      <c r="D516" t="s">
        <v>949</v>
      </c>
      <c r="E516" t="s">
        <v>613</v>
      </c>
      <c r="F516" t="s">
        <v>950</v>
      </c>
      <c r="G516" t="s">
        <v>951</v>
      </c>
      <c r="H516" t="s">
        <v>213</v>
      </c>
      <c r="I516" t="s">
        <v>753</v>
      </c>
      <c r="J516" t="s">
        <v>85</v>
      </c>
      <c r="K516" t="s">
        <v>291</v>
      </c>
      <c r="L516" t="s">
        <v>216</v>
      </c>
      <c r="M516" t="s">
        <v>286</v>
      </c>
      <c r="N516" t="s">
        <v>952</v>
      </c>
      <c r="O516" t="s">
        <v>72</v>
      </c>
      <c r="P516" t="s">
        <v>75</v>
      </c>
      <c r="Q516" s="44">
        <v>160</v>
      </c>
      <c r="R516" s="42">
        <v>3.718</v>
      </c>
      <c r="S516" s="48">
        <v>14512</v>
      </c>
      <c r="U516" s="44">
        <v>86.328999999999994</v>
      </c>
      <c r="V516" s="45">
        <v>0</v>
      </c>
      <c r="W516" s="45">
        <v>6.7658967854595398E-3</v>
      </c>
      <c r="X516" s="45">
        <v>1.1784009575191701E-3</v>
      </c>
    </row>
    <row r="517" spans="1:24" x14ac:dyDescent="0.25">
      <c r="A517">
        <v>969</v>
      </c>
      <c r="B517">
        <v>969</v>
      </c>
      <c r="C517" t="s">
        <v>953</v>
      </c>
      <c r="D517" t="s">
        <v>954</v>
      </c>
      <c r="E517" t="s">
        <v>613</v>
      </c>
      <c r="F517" t="s">
        <v>955</v>
      </c>
      <c r="G517" t="s">
        <v>956</v>
      </c>
      <c r="H517" t="s">
        <v>213</v>
      </c>
      <c r="I517" t="s">
        <v>753</v>
      </c>
      <c r="J517" t="s">
        <v>85</v>
      </c>
      <c r="K517" t="s">
        <v>291</v>
      </c>
      <c r="L517" t="s">
        <v>216</v>
      </c>
      <c r="M517" t="s">
        <v>936</v>
      </c>
      <c r="N517" t="s">
        <v>957</v>
      </c>
      <c r="O517" t="s">
        <v>72</v>
      </c>
      <c r="P517" t="s">
        <v>75</v>
      </c>
      <c r="Q517" s="44">
        <v>89</v>
      </c>
      <c r="R517" s="42">
        <v>3.718</v>
      </c>
      <c r="S517" s="48">
        <v>53258</v>
      </c>
      <c r="U517" s="44">
        <v>176.232</v>
      </c>
      <c r="V517" s="45">
        <v>0</v>
      </c>
      <c r="W517" s="45">
        <v>1.3811885706226001E-2</v>
      </c>
      <c r="X517" s="45">
        <v>2.4055849294568601E-3</v>
      </c>
    </row>
    <row r="518" spans="1:24" x14ac:dyDescent="0.25">
      <c r="A518">
        <v>969</v>
      </c>
      <c r="B518">
        <v>969</v>
      </c>
      <c r="C518" t="s">
        <v>958</v>
      </c>
      <c r="D518" t="s">
        <v>959</v>
      </c>
      <c r="E518" t="s">
        <v>613</v>
      </c>
      <c r="F518" t="s">
        <v>960</v>
      </c>
      <c r="G518" t="s">
        <v>961</v>
      </c>
      <c r="H518" t="s">
        <v>213</v>
      </c>
      <c r="I518" t="s">
        <v>753</v>
      </c>
      <c r="J518" t="s">
        <v>85</v>
      </c>
      <c r="K518" t="s">
        <v>291</v>
      </c>
      <c r="L518" t="s">
        <v>216</v>
      </c>
      <c r="M518" t="s">
        <v>936</v>
      </c>
      <c r="N518" t="s">
        <v>680</v>
      </c>
      <c r="O518" t="s">
        <v>72</v>
      </c>
      <c r="P518" t="s">
        <v>75</v>
      </c>
      <c r="Q518" s="44">
        <v>291</v>
      </c>
      <c r="R518" s="42">
        <v>3.718</v>
      </c>
      <c r="S518" s="48">
        <v>13684</v>
      </c>
      <c r="U518" s="44">
        <v>148.05199999999999</v>
      </c>
      <c r="V518" s="45">
        <v>1.9999999999999999E-6</v>
      </c>
      <c r="W518" s="45">
        <v>1.16033707876061E-2</v>
      </c>
      <c r="X518" s="45">
        <v>2.0209328755872199E-3</v>
      </c>
    </row>
    <row r="519" spans="1:24" x14ac:dyDescent="0.25">
      <c r="A519">
        <v>969</v>
      </c>
      <c r="B519">
        <v>969</v>
      </c>
      <c r="C519" t="s">
        <v>1113</v>
      </c>
      <c r="D519" t="s">
        <v>1114</v>
      </c>
      <c r="E519" t="s">
        <v>613</v>
      </c>
      <c r="F519" t="s">
        <v>1113</v>
      </c>
      <c r="G519" t="s">
        <v>1115</v>
      </c>
      <c r="H519" t="s">
        <v>213</v>
      </c>
      <c r="I519" t="s">
        <v>753</v>
      </c>
      <c r="J519" t="s">
        <v>85</v>
      </c>
      <c r="K519" t="s">
        <v>291</v>
      </c>
      <c r="L519" t="s">
        <v>216</v>
      </c>
      <c r="M519" t="s">
        <v>936</v>
      </c>
      <c r="N519" t="s">
        <v>1116</v>
      </c>
      <c r="O519" t="s">
        <v>72</v>
      </c>
      <c r="P519" t="s">
        <v>75</v>
      </c>
      <c r="Q519" s="44">
        <v>8</v>
      </c>
      <c r="R519" s="42">
        <v>3.718</v>
      </c>
      <c r="S519" s="48">
        <v>79.180000000000007</v>
      </c>
      <c r="U519" s="44">
        <v>2.4E-2</v>
      </c>
      <c r="V519" s="45">
        <v>9.9999999999999995E-7</v>
      </c>
      <c r="W519" s="45">
        <v>1.84579557425815E-6</v>
      </c>
      <c r="X519" s="45">
        <v>3.2147804512254703E-7</v>
      </c>
    </row>
    <row r="520" spans="1:24" x14ac:dyDescent="0.25">
      <c r="A520">
        <v>969</v>
      </c>
      <c r="B520">
        <v>969</v>
      </c>
      <c r="C520" t="s">
        <v>962</v>
      </c>
      <c r="D520" t="s">
        <v>963</v>
      </c>
      <c r="E520" t="s">
        <v>210</v>
      </c>
      <c r="F520" t="s">
        <v>964</v>
      </c>
      <c r="G520" t="s">
        <v>965</v>
      </c>
      <c r="H520" t="s">
        <v>213</v>
      </c>
      <c r="I520" t="s">
        <v>753</v>
      </c>
      <c r="J520" t="s">
        <v>85</v>
      </c>
      <c r="K520" t="s">
        <v>291</v>
      </c>
      <c r="L520" t="s">
        <v>216</v>
      </c>
      <c r="M520" t="s">
        <v>966</v>
      </c>
      <c r="N520" t="s">
        <v>680</v>
      </c>
      <c r="O520" t="s">
        <v>72</v>
      </c>
      <c r="P520" t="s">
        <v>75</v>
      </c>
      <c r="Q520" s="44">
        <v>5928</v>
      </c>
      <c r="R520" s="42">
        <v>3.718</v>
      </c>
      <c r="S520" s="48">
        <v>100</v>
      </c>
      <c r="U520" s="44">
        <v>22.04</v>
      </c>
      <c r="V520" s="45">
        <v>0</v>
      </c>
      <c r="W520" s="45">
        <v>1.7273737314035E-3</v>
      </c>
      <c r="X520" s="45">
        <v>3.0085278029275998E-4</v>
      </c>
    </row>
    <row r="521" spans="1:24" x14ac:dyDescent="0.25">
      <c r="A521">
        <v>969</v>
      </c>
      <c r="B521">
        <v>969</v>
      </c>
      <c r="C521" t="s">
        <v>967</v>
      </c>
      <c r="D521" t="s">
        <v>968</v>
      </c>
      <c r="E521" t="s">
        <v>613</v>
      </c>
      <c r="F521" t="s">
        <v>969</v>
      </c>
      <c r="G521" t="s">
        <v>970</v>
      </c>
      <c r="H521" t="s">
        <v>213</v>
      </c>
      <c r="I521" t="s">
        <v>753</v>
      </c>
      <c r="J521" t="s">
        <v>85</v>
      </c>
      <c r="K521" t="s">
        <v>291</v>
      </c>
      <c r="L521" t="s">
        <v>216</v>
      </c>
      <c r="M521" t="s">
        <v>936</v>
      </c>
      <c r="N521" t="s">
        <v>616</v>
      </c>
      <c r="O521" t="s">
        <v>72</v>
      </c>
      <c r="P521" t="s">
        <v>75</v>
      </c>
      <c r="Q521" s="44">
        <v>1500</v>
      </c>
      <c r="R521" s="42">
        <v>3.718</v>
      </c>
      <c r="S521" s="48">
        <v>3308</v>
      </c>
      <c r="U521" s="44">
        <v>184.48699999999999</v>
      </c>
      <c r="V521" s="45">
        <v>3.9999999999999998E-6</v>
      </c>
      <c r="W521" s="45">
        <v>1.4458887407598099E-2</v>
      </c>
      <c r="X521" s="45">
        <v>2.51827175406996E-3</v>
      </c>
    </row>
    <row r="522" spans="1:24" x14ac:dyDescent="0.25">
      <c r="A522">
        <v>969</v>
      </c>
      <c r="B522">
        <v>969</v>
      </c>
      <c r="C522" t="s">
        <v>971</v>
      </c>
      <c r="D522" t="s">
        <v>972</v>
      </c>
      <c r="E522" t="s">
        <v>613</v>
      </c>
      <c r="F522" t="s">
        <v>973</v>
      </c>
      <c r="G522" t="s">
        <v>974</v>
      </c>
      <c r="H522" t="s">
        <v>213</v>
      </c>
      <c r="I522" t="s">
        <v>753</v>
      </c>
      <c r="J522" t="s">
        <v>85</v>
      </c>
      <c r="K522" t="s">
        <v>291</v>
      </c>
      <c r="L522" t="s">
        <v>216</v>
      </c>
      <c r="M522" t="s">
        <v>936</v>
      </c>
      <c r="N522" t="s">
        <v>975</v>
      </c>
      <c r="O522" t="s">
        <v>72</v>
      </c>
      <c r="P522" t="s">
        <v>75</v>
      </c>
      <c r="Q522" s="44">
        <v>250</v>
      </c>
      <c r="R522" s="42">
        <v>3.718</v>
      </c>
      <c r="S522" s="48">
        <v>15623</v>
      </c>
      <c r="U522" s="44">
        <v>145.21600000000001</v>
      </c>
      <c r="V522" s="45">
        <v>0</v>
      </c>
      <c r="W522" s="45">
        <v>1.13810559234636E-2</v>
      </c>
      <c r="X522" s="45">
        <v>1.9822127979562199E-3</v>
      </c>
    </row>
    <row r="523" spans="1:24" x14ac:dyDescent="0.25">
      <c r="A523">
        <v>969</v>
      </c>
      <c r="B523">
        <v>969</v>
      </c>
      <c r="C523" t="s">
        <v>976</v>
      </c>
      <c r="D523" t="s">
        <v>977</v>
      </c>
      <c r="E523" t="s">
        <v>613</v>
      </c>
      <c r="F523" t="s">
        <v>978</v>
      </c>
      <c r="G523" t="s">
        <v>979</v>
      </c>
      <c r="H523" t="s">
        <v>213</v>
      </c>
      <c r="I523" t="s">
        <v>753</v>
      </c>
      <c r="J523" t="s">
        <v>85</v>
      </c>
      <c r="L523" t="s">
        <v>216</v>
      </c>
      <c r="M523" t="s">
        <v>286</v>
      </c>
      <c r="N523" t="s">
        <v>952</v>
      </c>
      <c r="O523" t="s">
        <v>72</v>
      </c>
      <c r="P523" t="s">
        <v>75</v>
      </c>
      <c r="Q523" s="44">
        <v>1274</v>
      </c>
      <c r="R523" s="42">
        <v>3.718</v>
      </c>
      <c r="S523" s="48">
        <v>2271</v>
      </c>
      <c r="U523" s="44">
        <v>107.571</v>
      </c>
      <c r="V523" s="45">
        <v>0</v>
      </c>
      <c r="W523" s="45">
        <v>8.4307202393355297E-3</v>
      </c>
      <c r="X523" s="45">
        <v>1.46835949728939E-3</v>
      </c>
    </row>
    <row r="524" spans="1:24" x14ac:dyDescent="0.25">
      <c r="A524">
        <v>969</v>
      </c>
      <c r="B524">
        <v>969</v>
      </c>
      <c r="C524" t="s">
        <v>980</v>
      </c>
      <c r="D524" t="s">
        <v>981</v>
      </c>
      <c r="E524" t="s">
        <v>613</v>
      </c>
      <c r="F524" t="s">
        <v>982</v>
      </c>
      <c r="G524" t="s">
        <v>983</v>
      </c>
      <c r="H524" t="s">
        <v>213</v>
      </c>
      <c r="I524" t="s">
        <v>753</v>
      </c>
      <c r="J524" t="s">
        <v>85</v>
      </c>
      <c r="K524" t="s">
        <v>984</v>
      </c>
      <c r="L524" t="s">
        <v>216</v>
      </c>
      <c r="M524" t="s">
        <v>286</v>
      </c>
      <c r="N524" t="s">
        <v>985</v>
      </c>
      <c r="O524" t="s">
        <v>72</v>
      </c>
      <c r="P524" t="s">
        <v>75</v>
      </c>
      <c r="Q524" s="44">
        <v>603.91999999999996</v>
      </c>
      <c r="R524" s="42">
        <v>3.718</v>
      </c>
      <c r="S524" s="48">
        <v>16822</v>
      </c>
      <c r="U524" s="44">
        <v>377.71699999999998</v>
      </c>
      <c r="V524" s="45">
        <v>0</v>
      </c>
      <c r="W524" s="45">
        <v>2.9602961266814599E-2</v>
      </c>
      <c r="X524" s="45">
        <v>5.1558808844359202E-3</v>
      </c>
    </row>
    <row r="525" spans="1:24" x14ac:dyDescent="0.25">
      <c r="A525">
        <v>969</v>
      </c>
      <c r="B525">
        <v>969</v>
      </c>
      <c r="C525" t="s">
        <v>986</v>
      </c>
      <c r="D525" t="s">
        <v>987</v>
      </c>
      <c r="E525" t="s">
        <v>613</v>
      </c>
      <c r="F525" t="s">
        <v>988</v>
      </c>
      <c r="G525" t="s">
        <v>989</v>
      </c>
      <c r="H525" t="s">
        <v>213</v>
      </c>
      <c r="I525" t="s">
        <v>753</v>
      </c>
      <c r="J525" t="s">
        <v>85</v>
      </c>
      <c r="K525" t="s">
        <v>990</v>
      </c>
      <c r="L525" t="s">
        <v>216</v>
      </c>
      <c r="M525" t="s">
        <v>991</v>
      </c>
      <c r="N525" t="s">
        <v>992</v>
      </c>
      <c r="O525" t="s">
        <v>72</v>
      </c>
      <c r="P525" t="s">
        <v>77</v>
      </c>
      <c r="Q525" s="44">
        <v>53</v>
      </c>
      <c r="R525" s="42">
        <v>4.0218999999999996</v>
      </c>
      <c r="S525" s="48">
        <v>57170</v>
      </c>
      <c r="U525" s="44">
        <v>121.864</v>
      </c>
      <c r="V525" s="45">
        <v>0</v>
      </c>
      <c r="W525" s="45">
        <v>9.5508947773811394E-3</v>
      </c>
      <c r="X525" s="45">
        <v>1.6634577658675199E-3</v>
      </c>
    </row>
    <row r="526" spans="1:24" x14ac:dyDescent="0.25">
      <c r="A526">
        <v>969</v>
      </c>
      <c r="B526">
        <v>969</v>
      </c>
      <c r="C526" t="s">
        <v>993</v>
      </c>
      <c r="D526" t="s">
        <v>994</v>
      </c>
      <c r="E526" t="s">
        <v>613</v>
      </c>
      <c r="F526" t="s">
        <v>995</v>
      </c>
      <c r="G526" t="s">
        <v>996</v>
      </c>
      <c r="H526" t="s">
        <v>213</v>
      </c>
      <c r="I526" t="s">
        <v>753</v>
      </c>
      <c r="J526" t="s">
        <v>85</v>
      </c>
      <c r="K526" t="s">
        <v>291</v>
      </c>
      <c r="L526" t="s">
        <v>216</v>
      </c>
      <c r="M526" t="s">
        <v>966</v>
      </c>
      <c r="N526" t="s">
        <v>957</v>
      </c>
      <c r="O526" t="s">
        <v>72</v>
      </c>
      <c r="P526" t="s">
        <v>75</v>
      </c>
      <c r="Q526" s="44">
        <v>127</v>
      </c>
      <c r="R526" s="42">
        <v>3.718</v>
      </c>
      <c r="S526" s="48">
        <v>54812</v>
      </c>
      <c r="U526" s="44">
        <v>258.815</v>
      </c>
      <c r="V526" s="45">
        <v>0</v>
      </c>
      <c r="W526" s="45">
        <v>2.0284181407966399E-2</v>
      </c>
      <c r="X526" s="45">
        <v>3.5328500495321398E-3</v>
      </c>
    </row>
    <row r="527" spans="1:24" x14ac:dyDescent="0.25">
      <c r="A527">
        <v>969</v>
      </c>
      <c r="B527">
        <v>969</v>
      </c>
      <c r="C527" t="s">
        <v>997</v>
      </c>
      <c r="D527" t="s">
        <v>998</v>
      </c>
      <c r="E527" t="s">
        <v>613</v>
      </c>
      <c r="F527" t="s">
        <v>999</v>
      </c>
      <c r="G527" t="s">
        <v>1000</v>
      </c>
      <c r="H527" t="s">
        <v>213</v>
      </c>
      <c r="I527" t="s">
        <v>753</v>
      </c>
      <c r="J527" t="s">
        <v>85</v>
      </c>
      <c r="K527" t="s">
        <v>1001</v>
      </c>
      <c r="L527" t="s">
        <v>216</v>
      </c>
      <c r="M527" t="s">
        <v>286</v>
      </c>
      <c r="N527" t="s">
        <v>992</v>
      </c>
      <c r="O527" t="s">
        <v>72</v>
      </c>
      <c r="P527" t="s">
        <v>75</v>
      </c>
      <c r="Q527" s="44">
        <v>18</v>
      </c>
      <c r="R527" s="42">
        <v>3.718</v>
      </c>
      <c r="S527" s="48">
        <v>195087</v>
      </c>
      <c r="U527" s="44">
        <v>130.56</v>
      </c>
      <c r="V527" s="45">
        <v>0</v>
      </c>
      <c r="W527" s="45">
        <v>1.02324339819326E-2</v>
      </c>
      <c r="X527" s="45">
        <v>1.7821599093817901E-3</v>
      </c>
    </row>
    <row r="528" spans="1:24" x14ac:dyDescent="0.25">
      <c r="A528">
        <v>969</v>
      </c>
      <c r="B528">
        <v>969</v>
      </c>
      <c r="C528" t="s">
        <v>1002</v>
      </c>
      <c r="D528" t="s">
        <v>1003</v>
      </c>
      <c r="E528" t="s">
        <v>613</v>
      </c>
      <c r="F528" t="s">
        <v>1004</v>
      </c>
      <c r="G528" t="s">
        <v>1005</v>
      </c>
      <c r="H528" t="s">
        <v>213</v>
      </c>
      <c r="I528" t="s">
        <v>753</v>
      </c>
      <c r="J528" t="s">
        <v>85</v>
      </c>
      <c r="K528" t="s">
        <v>291</v>
      </c>
      <c r="L528" t="s">
        <v>216</v>
      </c>
      <c r="M528" t="s">
        <v>966</v>
      </c>
      <c r="N528" t="s">
        <v>680</v>
      </c>
      <c r="O528" t="s">
        <v>72</v>
      </c>
      <c r="P528" t="s">
        <v>75</v>
      </c>
      <c r="Q528" s="44">
        <v>0</v>
      </c>
      <c r="R528" s="42">
        <v>3.718</v>
      </c>
      <c r="S528" s="48">
        <v>0</v>
      </c>
      <c r="T528" s="44">
        <v>0.26200000000000001</v>
      </c>
      <c r="U528" s="44">
        <v>0.97199999999999998</v>
      </c>
      <c r="V528" s="45">
        <v>0</v>
      </c>
      <c r="W528" s="45">
        <v>7.6205599250939499E-5</v>
      </c>
      <c r="X528" s="45">
        <v>1.32725570568292E-5</v>
      </c>
    </row>
    <row r="529" spans="1:24" x14ac:dyDescent="0.25">
      <c r="A529">
        <v>969</v>
      </c>
      <c r="B529">
        <v>969</v>
      </c>
      <c r="C529" t="s">
        <v>1006</v>
      </c>
      <c r="D529" t="s">
        <v>1007</v>
      </c>
      <c r="E529" t="s">
        <v>613</v>
      </c>
      <c r="F529" t="s">
        <v>1008</v>
      </c>
      <c r="G529" t="s">
        <v>1009</v>
      </c>
      <c r="H529" t="s">
        <v>213</v>
      </c>
      <c r="I529" t="s">
        <v>753</v>
      </c>
      <c r="J529" t="s">
        <v>85</v>
      </c>
      <c r="K529" t="s">
        <v>291</v>
      </c>
      <c r="L529" t="s">
        <v>216</v>
      </c>
      <c r="M529" t="s">
        <v>936</v>
      </c>
      <c r="N529" t="s">
        <v>1010</v>
      </c>
      <c r="O529" t="s">
        <v>72</v>
      </c>
      <c r="P529" t="s">
        <v>75</v>
      </c>
      <c r="Q529" s="44">
        <v>327</v>
      </c>
      <c r="R529" s="42">
        <v>3.718</v>
      </c>
      <c r="S529" s="48">
        <v>37539</v>
      </c>
      <c r="U529" s="44">
        <v>456.39400000000001</v>
      </c>
      <c r="V529" s="45">
        <v>0</v>
      </c>
      <c r="W529" s="45">
        <v>3.5769145712773301E-2</v>
      </c>
      <c r="X529" s="45">
        <v>6.2298312986623404E-3</v>
      </c>
    </row>
    <row r="530" spans="1:24" x14ac:dyDescent="0.25">
      <c r="A530">
        <v>969</v>
      </c>
      <c r="B530">
        <v>969</v>
      </c>
      <c r="C530" t="s">
        <v>1011</v>
      </c>
      <c r="D530" t="s">
        <v>1012</v>
      </c>
      <c r="E530" t="s">
        <v>613</v>
      </c>
      <c r="F530" t="s">
        <v>1011</v>
      </c>
      <c r="G530" t="s">
        <v>1013</v>
      </c>
      <c r="H530" t="s">
        <v>213</v>
      </c>
      <c r="I530" t="s">
        <v>753</v>
      </c>
      <c r="J530" t="s">
        <v>85</v>
      </c>
      <c r="K530" t="s">
        <v>291</v>
      </c>
      <c r="L530" t="s">
        <v>216</v>
      </c>
      <c r="M530" t="s">
        <v>936</v>
      </c>
      <c r="N530" t="s">
        <v>680</v>
      </c>
      <c r="O530" t="s">
        <v>72</v>
      </c>
      <c r="P530" t="s">
        <v>75</v>
      </c>
      <c r="Q530" s="44">
        <v>396</v>
      </c>
      <c r="R530" s="42">
        <v>3.718</v>
      </c>
      <c r="S530" s="48">
        <v>2835</v>
      </c>
      <c r="U530" s="44">
        <v>41.74</v>
      </c>
      <c r="V530" s="45">
        <v>9.9999999999999995E-7</v>
      </c>
      <c r="W530" s="45">
        <v>3.27134513039382E-3</v>
      </c>
      <c r="X530" s="45">
        <v>5.6976279069411199E-4</v>
      </c>
    </row>
    <row r="531" spans="1:24" x14ac:dyDescent="0.25">
      <c r="A531">
        <v>969</v>
      </c>
      <c r="B531">
        <v>969</v>
      </c>
      <c r="C531" t="s">
        <v>1014</v>
      </c>
      <c r="D531" t="s">
        <v>1015</v>
      </c>
      <c r="E531" t="s">
        <v>613</v>
      </c>
      <c r="F531" t="s">
        <v>1016</v>
      </c>
      <c r="G531" t="s">
        <v>1017</v>
      </c>
      <c r="H531" t="s">
        <v>213</v>
      </c>
      <c r="I531" t="s">
        <v>753</v>
      </c>
      <c r="J531" t="s">
        <v>85</v>
      </c>
      <c r="K531" t="s">
        <v>291</v>
      </c>
      <c r="L531" t="s">
        <v>216</v>
      </c>
      <c r="M531" t="s">
        <v>936</v>
      </c>
      <c r="N531" t="s">
        <v>975</v>
      </c>
      <c r="O531" t="s">
        <v>72</v>
      </c>
      <c r="P531" t="s">
        <v>75</v>
      </c>
      <c r="Q531" s="44">
        <v>30</v>
      </c>
      <c r="R531" s="42">
        <v>3.718</v>
      </c>
      <c r="S531" s="48">
        <v>93253</v>
      </c>
      <c r="U531" s="44">
        <v>104.014</v>
      </c>
      <c r="V531" s="45">
        <v>0</v>
      </c>
      <c r="W531" s="45">
        <v>8.15196268089932E-3</v>
      </c>
      <c r="X531" s="45">
        <v>1.4198089231093501E-3</v>
      </c>
    </row>
    <row r="532" spans="1:24" x14ac:dyDescent="0.25">
      <c r="A532">
        <v>969</v>
      </c>
      <c r="B532">
        <v>969</v>
      </c>
      <c r="C532" t="s">
        <v>1018</v>
      </c>
      <c r="D532" t="s">
        <v>1019</v>
      </c>
      <c r="E532" t="s">
        <v>613</v>
      </c>
      <c r="F532" t="s">
        <v>1020</v>
      </c>
      <c r="G532" t="s">
        <v>1021</v>
      </c>
      <c r="H532" t="s">
        <v>213</v>
      </c>
      <c r="I532" t="s">
        <v>753</v>
      </c>
      <c r="J532" t="s">
        <v>85</v>
      </c>
      <c r="K532" t="s">
        <v>291</v>
      </c>
      <c r="L532" t="s">
        <v>216</v>
      </c>
      <c r="M532" t="s">
        <v>1022</v>
      </c>
      <c r="N532" t="s">
        <v>1023</v>
      </c>
      <c r="O532" t="s">
        <v>72</v>
      </c>
      <c r="P532" t="s">
        <v>75</v>
      </c>
      <c r="Q532" s="44">
        <v>445</v>
      </c>
      <c r="R532" s="42">
        <v>3.718</v>
      </c>
      <c r="S532" s="48">
        <v>7089</v>
      </c>
      <c r="U532" s="44">
        <v>117.288</v>
      </c>
      <c r="V532" s="45">
        <v>0</v>
      </c>
      <c r="W532" s="45">
        <v>9.1922770073450399E-3</v>
      </c>
      <c r="X532" s="45">
        <v>1.60099811905439E-3</v>
      </c>
    </row>
    <row r="533" spans="1:24" x14ac:dyDescent="0.25">
      <c r="A533">
        <v>969</v>
      </c>
      <c r="B533">
        <v>969</v>
      </c>
      <c r="C533" t="s">
        <v>1024</v>
      </c>
      <c r="D533" t="s">
        <v>1025</v>
      </c>
      <c r="E533" t="s">
        <v>613</v>
      </c>
      <c r="F533" t="s">
        <v>1024</v>
      </c>
      <c r="G533" t="s">
        <v>1026</v>
      </c>
      <c r="H533" t="s">
        <v>213</v>
      </c>
      <c r="I533" t="s">
        <v>753</v>
      </c>
      <c r="J533" t="s">
        <v>85</v>
      </c>
      <c r="K533" t="s">
        <v>291</v>
      </c>
      <c r="L533" t="s">
        <v>216</v>
      </c>
      <c r="M533" t="s">
        <v>966</v>
      </c>
      <c r="N533" t="s">
        <v>947</v>
      </c>
      <c r="O533" t="s">
        <v>72</v>
      </c>
      <c r="P533" t="s">
        <v>75</v>
      </c>
      <c r="Q533" s="44">
        <v>800</v>
      </c>
      <c r="R533" s="42">
        <v>3.718</v>
      </c>
      <c r="S533" s="48">
        <v>6348</v>
      </c>
      <c r="T533" s="44">
        <v>0.32</v>
      </c>
      <c r="U533" s="44">
        <v>190.005</v>
      </c>
      <c r="V533" s="45">
        <v>9.9999999999999995E-7</v>
      </c>
      <c r="W533" s="45">
        <v>1.4891313625108701E-2</v>
      </c>
      <c r="X533" s="45">
        <v>2.5935864514306998E-3</v>
      </c>
    </row>
    <row r="534" spans="1:24" x14ac:dyDescent="0.25">
      <c r="A534">
        <v>969</v>
      </c>
      <c r="B534">
        <v>969</v>
      </c>
      <c r="C534" t="s">
        <v>1027</v>
      </c>
      <c r="D534" t="s">
        <v>1028</v>
      </c>
      <c r="E534" t="s">
        <v>613</v>
      </c>
      <c r="F534" t="s">
        <v>1029</v>
      </c>
      <c r="G534" t="s">
        <v>1030</v>
      </c>
      <c r="H534" t="s">
        <v>213</v>
      </c>
      <c r="I534" t="s">
        <v>753</v>
      </c>
      <c r="J534" t="s">
        <v>85</v>
      </c>
      <c r="K534" t="s">
        <v>291</v>
      </c>
      <c r="L534" t="s">
        <v>216</v>
      </c>
      <c r="M534" t="s">
        <v>966</v>
      </c>
      <c r="N534" t="s">
        <v>706</v>
      </c>
      <c r="O534" t="s">
        <v>72</v>
      </c>
      <c r="P534" t="s">
        <v>75</v>
      </c>
      <c r="Q534" s="44">
        <v>89</v>
      </c>
      <c r="R534" s="42">
        <v>3.718</v>
      </c>
      <c r="S534" s="48">
        <v>51201</v>
      </c>
      <c r="U534" s="44">
        <v>169.42500000000001</v>
      </c>
      <c r="V534" s="45">
        <v>9.9999999999999995E-7</v>
      </c>
      <c r="W534" s="45">
        <v>1.32784250261835E-2</v>
      </c>
      <c r="X534" s="45">
        <v>2.3126732880153402E-3</v>
      </c>
    </row>
    <row r="535" spans="1:24" x14ac:dyDescent="0.25">
      <c r="A535">
        <v>969</v>
      </c>
      <c r="B535">
        <v>969</v>
      </c>
      <c r="C535" t="s">
        <v>1031</v>
      </c>
      <c r="D535" t="s">
        <v>1032</v>
      </c>
      <c r="E535" t="s">
        <v>613</v>
      </c>
      <c r="F535" t="s">
        <v>1033</v>
      </c>
      <c r="G535" t="s">
        <v>1034</v>
      </c>
      <c r="H535" t="s">
        <v>213</v>
      </c>
      <c r="I535" t="s">
        <v>753</v>
      </c>
      <c r="J535" t="s">
        <v>85</v>
      </c>
      <c r="K535" t="s">
        <v>291</v>
      </c>
      <c r="L535" t="s">
        <v>216</v>
      </c>
      <c r="M535" t="s">
        <v>936</v>
      </c>
      <c r="N535" t="s">
        <v>937</v>
      </c>
      <c r="O535" t="s">
        <v>72</v>
      </c>
      <c r="P535" t="s">
        <v>75</v>
      </c>
      <c r="Q535" s="44">
        <v>1043</v>
      </c>
      <c r="R535" s="42">
        <v>3.718</v>
      </c>
      <c r="S535" s="48">
        <v>10838</v>
      </c>
      <c r="T535" s="44">
        <v>8.0000000000000002E-3</v>
      </c>
      <c r="U535" s="44">
        <v>420.31299999999999</v>
      </c>
      <c r="V535" s="45">
        <v>0</v>
      </c>
      <c r="W535" s="45">
        <v>3.2941358518262402E-2</v>
      </c>
      <c r="X535" s="45">
        <v>5.7373219915689503E-3</v>
      </c>
    </row>
    <row r="536" spans="1:24" x14ac:dyDescent="0.25">
      <c r="A536">
        <v>969</v>
      </c>
      <c r="B536">
        <v>969</v>
      </c>
      <c r="C536" t="s">
        <v>1035</v>
      </c>
      <c r="D536" t="s">
        <v>1036</v>
      </c>
      <c r="E536" t="s">
        <v>613</v>
      </c>
      <c r="F536" t="s">
        <v>1035</v>
      </c>
      <c r="G536" t="s">
        <v>1037</v>
      </c>
      <c r="H536" t="s">
        <v>213</v>
      </c>
      <c r="I536" t="s">
        <v>753</v>
      </c>
      <c r="J536" t="s">
        <v>85</v>
      </c>
      <c r="K536" t="s">
        <v>291</v>
      </c>
      <c r="L536" t="s">
        <v>216</v>
      </c>
      <c r="M536" t="s">
        <v>286</v>
      </c>
      <c r="N536" t="s">
        <v>1038</v>
      </c>
      <c r="O536" t="s">
        <v>72</v>
      </c>
      <c r="P536" t="s">
        <v>75</v>
      </c>
      <c r="Q536" s="44">
        <v>262</v>
      </c>
      <c r="R536" s="42">
        <v>3.718</v>
      </c>
      <c r="S536" s="48">
        <v>13981</v>
      </c>
      <c r="U536" s="44">
        <v>136.191</v>
      </c>
      <c r="V536" s="45">
        <v>0</v>
      </c>
      <c r="W536" s="45">
        <v>1.0673765149043699E-2</v>
      </c>
      <c r="X536" s="45">
        <v>1.8590255616962601E-3</v>
      </c>
    </row>
    <row r="537" spans="1:24" x14ac:dyDescent="0.25">
      <c r="A537">
        <v>969</v>
      </c>
      <c r="B537">
        <v>969</v>
      </c>
      <c r="C537" t="s">
        <v>749</v>
      </c>
      <c r="D537" t="s">
        <v>750</v>
      </c>
      <c r="E537" t="s">
        <v>613</v>
      </c>
      <c r="F537" t="s">
        <v>1039</v>
      </c>
      <c r="G537" t="s">
        <v>752</v>
      </c>
      <c r="H537" t="s">
        <v>213</v>
      </c>
      <c r="I537" t="s">
        <v>753</v>
      </c>
      <c r="J537" t="s">
        <v>85</v>
      </c>
      <c r="K537" t="s">
        <v>291</v>
      </c>
      <c r="L537" t="s">
        <v>216</v>
      </c>
      <c r="M537" t="s">
        <v>966</v>
      </c>
      <c r="N537" t="s">
        <v>1040</v>
      </c>
      <c r="O537" t="s">
        <v>72</v>
      </c>
      <c r="P537" t="s">
        <v>75</v>
      </c>
      <c r="Q537" s="44">
        <v>221</v>
      </c>
      <c r="R537" s="42">
        <v>3.718</v>
      </c>
      <c r="S537" s="48">
        <v>7077</v>
      </c>
      <c r="U537" s="44">
        <v>58.15</v>
      </c>
      <c r="V537" s="45">
        <v>3.9999999999999998E-6</v>
      </c>
      <c r="W537" s="45">
        <v>4.55742557568912E-3</v>
      </c>
      <c r="X537" s="45">
        <v>7.9375651632108805E-4</v>
      </c>
    </row>
    <row r="538" spans="1:24" x14ac:dyDescent="0.25">
      <c r="A538">
        <v>969</v>
      </c>
      <c r="B538">
        <v>969</v>
      </c>
      <c r="C538" t="s">
        <v>1041</v>
      </c>
      <c r="E538" t="s">
        <v>286</v>
      </c>
      <c r="F538" t="s">
        <v>1042</v>
      </c>
      <c r="G538" t="s">
        <v>1043</v>
      </c>
      <c r="H538" t="s">
        <v>213</v>
      </c>
      <c r="I538" t="s">
        <v>753</v>
      </c>
      <c r="J538" t="s">
        <v>85</v>
      </c>
      <c r="K538" t="s">
        <v>291</v>
      </c>
      <c r="L538" t="s">
        <v>216</v>
      </c>
      <c r="M538" t="s">
        <v>936</v>
      </c>
      <c r="N538" t="s">
        <v>680</v>
      </c>
      <c r="O538" t="s">
        <v>72</v>
      </c>
      <c r="P538" t="s">
        <v>75</v>
      </c>
      <c r="Q538" s="44">
        <v>329</v>
      </c>
      <c r="R538" s="42">
        <v>3.718</v>
      </c>
      <c r="S538" s="48">
        <v>430</v>
      </c>
      <c r="U538" s="44">
        <v>5.26</v>
      </c>
      <c r="V538" s="45">
        <v>1.0000000000000001E-5</v>
      </c>
      <c r="W538" s="45">
        <v>4.1223272905137201E-4</v>
      </c>
      <c r="X538" s="45">
        <v>7.1797643097194099E-5</v>
      </c>
    </row>
    <row r="539" spans="1:24" x14ac:dyDescent="0.25">
      <c r="A539">
        <v>969</v>
      </c>
      <c r="B539">
        <v>969</v>
      </c>
      <c r="C539" t="s">
        <v>1117</v>
      </c>
      <c r="D539" t="s">
        <v>1118</v>
      </c>
      <c r="E539" t="s">
        <v>613</v>
      </c>
      <c r="F539" t="s">
        <v>1117</v>
      </c>
      <c r="G539" t="s">
        <v>1119</v>
      </c>
      <c r="H539" t="s">
        <v>213</v>
      </c>
      <c r="I539" t="s">
        <v>753</v>
      </c>
      <c r="J539" t="s">
        <v>85</v>
      </c>
      <c r="K539" t="s">
        <v>990</v>
      </c>
      <c r="L539" t="s">
        <v>216</v>
      </c>
      <c r="M539" t="s">
        <v>991</v>
      </c>
      <c r="N539" t="s">
        <v>706</v>
      </c>
      <c r="O539" t="s">
        <v>72</v>
      </c>
      <c r="P539" t="s">
        <v>77</v>
      </c>
      <c r="Q539" s="44">
        <v>175</v>
      </c>
      <c r="R539" s="42">
        <v>4.0218999999999996</v>
      </c>
      <c r="S539" s="48">
        <v>24200</v>
      </c>
      <c r="U539" s="44">
        <v>170.327</v>
      </c>
      <c r="V539" s="45">
        <v>0</v>
      </c>
      <c r="W539" s="45">
        <v>1.3349143858340099E-2</v>
      </c>
      <c r="X539" s="45">
        <v>2.32499022724313E-3</v>
      </c>
    </row>
    <row r="540" spans="1:24" x14ac:dyDescent="0.25">
      <c r="A540">
        <v>969</v>
      </c>
      <c r="B540">
        <v>969</v>
      </c>
      <c r="C540" t="s">
        <v>1044</v>
      </c>
      <c r="D540" t="s">
        <v>1045</v>
      </c>
      <c r="E540" t="s">
        <v>613</v>
      </c>
      <c r="F540" t="s">
        <v>1046</v>
      </c>
      <c r="G540" t="s">
        <v>1047</v>
      </c>
      <c r="H540" t="s">
        <v>213</v>
      </c>
      <c r="I540" t="s">
        <v>753</v>
      </c>
      <c r="J540" t="s">
        <v>85</v>
      </c>
      <c r="K540" t="s">
        <v>291</v>
      </c>
      <c r="L540" t="s">
        <v>216</v>
      </c>
      <c r="M540" t="s">
        <v>966</v>
      </c>
      <c r="N540" t="s">
        <v>1048</v>
      </c>
      <c r="O540" t="s">
        <v>72</v>
      </c>
      <c r="P540" t="s">
        <v>75</v>
      </c>
      <c r="Q540" s="44">
        <v>1182</v>
      </c>
      <c r="R540" s="42">
        <v>3.718</v>
      </c>
      <c r="S540" s="48">
        <v>4180</v>
      </c>
      <c r="T540" s="44">
        <v>0.33400000000000002</v>
      </c>
      <c r="U540" s="44">
        <v>184.93799999999999</v>
      </c>
      <c r="V540" s="45">
        <v>9.9999999999999995E-7</v>
      </c>
      <c r="W540" s="45">
        <v>1.44942594269041E-2</v>
      </c>
      <c r="X540" s="45">
        <v>2.5244324187595501E-3</v>
      </c>
    </row>
    <row r="541" spans="1:24" x14ac:dyDescent="0.25">
      <c r="A541">
        <v>969</v>
      </c>
      <c r="B541">
        <v>969</v>
      </c>
      <c r="C541" t="s">
        <v>1049</v>
      </c>
      <c r="D541" t="s">
        <v>1050</v>
      </c>
      <c r="E541" t="s">
        <v>613</v>
      </c>
      <c r="F541" t="s">
        <v>1051</v>
      </c>
      <c r="G541" t="s">
        <v>1052</v>
      </c>
      <c r="H541" t="s">
        <v>213</v>
      </c>
      <c r="I541" t="s">
        <v>753</v>
      </c>
      <c r="J541" t="s">
        <v>85</v>
      </c>
      <c r="K541" t="s">
        <v>1053</v>
      </c>
      <c r="L541" t="s">
        <v>216</v>
      </c>
      <c r="M541" t="s">
        <v>966</v>
      </c>
      <c r="N541" t="s">
        <v>937</v>
      </c>
      <c r="O541" t="s">
        <v>72</v>
      </c>
      <c r="P541" t="s">
        <v>75</v>
      </c>
      <c r="Q541" s="44">
        <v>560</v>
      </c>
      <c r="R541" s="42">
        <v>3.718</v>
      </c>
      <c r="S541" s="48">
        <v>16600</v>
      </c>
      <c r="T541" s="44">
        <v>0.38200000000000001</v>
      </c>
      <c r="U541" s="44">
        <v>347.04399999999998</v>
      </c>
      <c r="V541" s="45">
        <v>0</v>
      </c>
      <c r="W541" s="45">
        <v>2.7199020120932001E-2</v>
      </c>
      <c r="X541" s="45">
        <v>4.7371918860734698E-3</v>
      </c>
    </row>
    <row r="542" spans="1:24" x14ac:dyDescent="0.25">
      <c r="A542">
        <v>969</v>
      </c>
      <c r="B542">
        <v>969</v>
      </c>
      <c r="C542" t="s">
        <v>1054</v>
      </c>
      <c r="D542" t="s">
        <v>1055</v>
      </c>
      <c r="E542" t="s">
        <v>613</v>
      </c>
      <c r="F542" t="s">
        <v>1056</v>
      </c>
      <c r="G542" t="s">
        <v>1057</v>
      </c>
      <c r="H542" t="s">
        <v>213</v>
      </c>
      <c r="I542" t="s">
        <v>753</v>
      </c>
      <c r="J542" t="s">
        <v>85</v>
      </c>
      <c r="K542" t="s">
        <v>291</v>
      </c>
      <c r="L542" t="s">
        <v>216</v>
      </c>
      <c r="M542" t="s">
        <v>966</v>
      </c>
      <c r="N542" t="s">
        <v>700</v>
      </c>
      <c r="O542" t="s">
        <v>72</v>
      </c>
      <c r="P542" t="s">
        <v>75</v>
      </c>
      <c r="Q542" s="44">
        <v>411</v>
      </c>
      <c r="R542" s="42">
        <v>3.718</v>
      </c>
      <c r="S542" s="48">
        <v>7286</v>
      </c>
      <c r="U542" s="44">
        <v>111.337</v>
      </c>
      <c r="V542" s="45">
        <v>0</v>
      </c>
      <c r="W542" s="45">
        <v>8.7258773580962002E-3</v>
      </c>
      <c r="X542" s="45">
        <v>1.5197663458410299E-3</v>
      </c>
    </row>
    <row r="543" spans="1:24" x14ac:dyDescent="0.25">
      <c r="A543">
        <v>969</v>
      </c>
      <c r="B543">
        <v>969</v>
      </c>
      <c r="C543" t="s">
        <v>1058</v>
      </c>
      <c r="D543" t="s">
        <v>1059</v>
      </c>
      <c r="E543" t="s">
        <v>613</v>
      </c>
      <c r="F543" t="s">
        <v>1060</v>
      </c>
      <c r="G543" t="s">
        <v>1061</v>
      </c>
      <c r="H543" t="s">
        <v>213</v>
      </c>
      <c r="I543" t="s">
        <v>753</v>
      </c>
      <c r="J543" t="s">
        <v>85</v>
      </c>
      <c r="K543" t="s">
        <v>291</v>
      </c>
      <c r="L543" t="s">
        <v>216</v>
      </c>
      <c r="M543" t="s">
        <v>966</v>
      </c>
      <c r="N543" t="s">
        <v>957</v>
      </c>
      <c r="O543" t="s">
        <v>72</v>
      </c>
      <c r="P543" t="s">
        <v>75</v>
      </c>
      <c r="Q543" s="44">
        <v>226</v>
      </c>
      <c r="R543" s="42">
        <v>3.718</v>
      </c>
      <c r="S543" s="48">
        <v>35046</v>
      </c>
      <c r="U543" s="44">
        <v>294.48</v>
      </c>
      <c r="V543" s="45">
        <v>0</v>
      </c>
      <c r="W543" s="45">
        <v>2.30794264384503E-2</v>
      </c>
      <c r="X543" s="45">
        <v>4.0196915614366599E-3</v>
      </c>
    </row>
  </sheetData>
  <dataValidations count="8">
    <dataValidation type="list" allowBlank="1" showInputMessage="1" showErrorMessage="1" sqref="J2:J19" xr:uid="{00000000-0002-0000-0600-000000000000}">
      <formula1>israel_abroad</formula1>
      <formula2>0</formula2>
    </dataValidation>
    <dataValidation type="list" allowBlank="1" showInputMessage="1" showErrorMessage="1" sqref="O2:O19" xr:uid="{00000000-0002-0000-0600-000001000000}">
      <formula1>Holding_interest</formula1>
      <formula2>0</formula2>
    </dataValidation>
    <dataValidation type="list" allowBlank="1" showInputMessage="1" showErrorMessage="1" sqref="K2:K20" xr:uid="{00000000-0002-0000-0600-000002000000}">
      <formula1>Country_list</formula1>
      <formula2>0</formula2>
    </dataValidation>
    <dataValidation type="list" allowBlank="1" showInputMessage="1" showErrorMessage="1" sqref="E2:E20" xr:uid="{00000000-0002-0000-0600-000003000000}">
      <formula1>Issuer_Number_Type_2</formula1>
      <formula2>0</formula2>
    </dataValidation>
    <dataValidation type="list" allowBlank="1" showInputMessage="1" showErrorMessage="1" sqref="H2:H20" xr:uid="{00000000-0002-0000-0600-000004000000}">
      <formula1>Security_ID_Number_Type</formula1>
      <formula2>0</formula2>
    </dataValidation>
    <dataValidation type="list" allowBlank="1" showInputMessage="1" showErrorMessage="1" sqref="N2:N21" xr:uid="{00000000-0002-0000-0600-000005000000}">
      <formula1>Industry_Sector</formula1>
      <formula2>0</formula2>
    </dataValidation>
    <dataValidation type="list" allowBlank="1" showInputMessage="1" showErrorMessage="1" sqref="L2:L20" xr:uid="{00000000-0002-0000-0600-000006000000}">
      <formula1>Tradeable_Status</formula1>
      <formula2>0</formula2>
    </dataValidation>
    <dataValidation type="list" allowBlank="1" showInputMessage="1" showErrorMessage="1" sqref="M2:M20" xr:uid="{00000000-0002-0000-0600-000007000000}">
      <formula1>Stock_Exchange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18"/>
  <sheetViews>
    <sheetView rightToLeft="1" zoomScale="70" zoomScaleNormal="70" workbookViewId="0">
      <selection activeCell="A2" sqref="A2"/>
    </sheetView>
  </sheetViews>
  <sheetFormatPr defaultColWidth="9" defaultRowHeight="13.8" x14ac:dyDescent="0.25"/>
  <cols>
    <col min="1" max="18" width="11.59765625" customWidth="1"/>
    <col min="19" max="19" width="11.59765625" style="57" customWidth="1"/>
    <col min="20" max="24" width="11.59765625" customWidth="1"/>
  </cols>
  <sheetData>
    <row r="1" spans="1:23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95</v>
      </c>
      <c r="M1" s="36" t="s">
        <v>1120</v>
      </c>
      <c r="N1" s="36" t="s">
        <v>57</v>
      </c>
      <c r="O1" s="36" t="s">
        <v>60</v>
      </c>
      <c r="P1" s="36" t="s">
        <v>101</v>
      </c>
      <c r="Q1" s="37" t="s">
        <v>62</v>
      </c>
      <c r="R1" s="47" t="s">
        <v>102</v>
      </c>
      <c r="S1" s="36" t="s">
        <v>100</v>
      </c>
      <c r="T1" s="36" t="s">
        <v>64</v>
      </c>
      <c r="U1" s="39" t="s">
        <v>104</v>
      </c>
      <c r="V1" s="39" t="s">
        <v>65</v>
      </c>
      <c r="W1" s="39" t="s">
        <v>66</v>
      </c>
    </row>
    <row r="2" spans="1:23" x14ac:dyDescent="0.25">
      <c r="A2" s="10">
        <v>1182</v>
      </c>
      <c r="B2" s="10">
        <v>1182</v>
      </c>
      <c r="C2" s="10" t="s">
        <v>1121</v>
      </c>
      <c r="D2" s="10" t="s">
        <v>1122</v>
      </c>
      <c r="E2" s="10" t="s">
        <v>210</v>
      </c>
      <c r="F2" s="10" t="s">
        <v>1123</v>
      </c>
      <c r="G2" s="10" t="s">
        <v>1124</v>
      </c>
      <c r="H2" s="10" t="s">
        <v>213</v>
      </c>
      <c r="I2" s="10" t="s">
        <v>1125</v>
      </c>
      <c r="J2" s="10" t="s">
        <v>71</v>
      </c>
      <c r="K2" s="10" t="s">
        <v>291</v>
      </c>
      <c r="L2" s="10" t="s">
        <v>117</v>
      </c>
      <c r="M2" s="10" t="s">
        <v>1126</v>
      </c>
      <c r="N2" s="10" t="s">
        <v>72</v>
      </c>
      <c r="O2" s="10" t="s">
        <v>81</v>
      </c>
      <c r="P2" s="52">
        <v>5380</v>
      </c>
      <c r="Q2" s="55">
        <v>1</v>
      </c>
      <c r="R2" s="56">
        <v>9860</v>
      </c>
      <c r="S2" s="58"/>
      <c r="T2" s="52">
        <v>530.46799999999996</v>
      </c>
      <c r="U2" s="54">
        <v>5.3799999999999996E-4</v>
      </c>
      <c r="V2" s="54">
        <v>6.7151678833195401E-3</v>
      </c>
      <c r="W2" s="54">
        <v>1.2251681049786499E-3</v>
      </c>
    </row>
    <row r="3" spans="1:23" x14ac:dyDescent="0.25">
      <c r="A3" s="10">
        <v>1182</v>
      </c>
      <c r="B3" s="10">
        <v>1182</v>
      </c>
      <c r="C3" s="10" t="s">
        <v>1127</v>
      </c>
      <c r="D3" s="10" t="s">
        <v>1128</v>
      </c>
      <c r="E3" s="10" t="s">
        <v>210</v>
      </c>
      <c r="F3" s="10" t="s">
        <v>1129</v>
      </c>
      <c r="G3" s="10" t="s">
        <v>1130</v>
      </c>
      <c r="H3" s="10" t="s">
        <v>213</v>
      </c>
      <c r="I3" s="10" t="s">
        <v>1131</v>
      </c>
      <c r="J3" s="10" t="s">
        <v>71</v>
      </c>
      <c r="K3" s="10" t="s">
        <v>71</v>
      </c>
      <c r="L3" s="10" t="s">
        <v>117</v>
      </c>
      <c r="M3" s="10" t="s">
        <v>1132</v>
      </c>
      <c r="N3" s="10" t="s">
        <v>72</v>
      </c>
      <c r="O3" s="10" t="s">
        <v>81</v>
      </c>
      <c r="P3" s="52">
        <v>2945</v>
      </c>
      <c r="Q3" s="55">
        <v>1</v>
      </c>
      <c r="R3" s="56">
        <v>2397</v>
      </c>
      <c r="S3" s="58"/>
      <c r="T3" s="52">
        <v>70.591999999999999</v>
      </c>
      <c r="U3" s="54">
        <v>1.4E-5</v>
      </c>
      <c r="V3" s="54">
        <v>8.9361616706480596E-4</v>
      </c>
      <c r="W3" s="54">
        <v>1.6303837000123701E-4</v>
      </c>
    </row>
    <row r="4" spans="1:23" x14ac:dyDescent="0.25">
      <c r="A4" s="10">
        <v>1182</v>
      </c>
      <c r="B4" s="10">
        <v>1182</v>
      </c>
      <c r="C4" s="10" t="s">
        <v>1133</v>
      </c>
      <c r="D4" s="10" t="s">
        <v>1134</v>
      </c>
      <c r="E4" s="10" t="s">
        <v>210</v>
      </c>
      <c r="F4" s="10" t="s">
        <v>1135</v>
      </c>
      <c r="G4" s="10" t="s">
        <v>1136</v>
      </c>
      <c r="H4" s="10" t="s">
        <v>213</v>
      </c>
      <c r="I4" s="10" t="s">
        <v>1125</v>
      </c>
      <c r="J4" s="10" t="s">
        <v>71</v>
      </c>
      <c r="K4" s="10" t="s">
        <v>291</v>
      </c>
      <c r="L4" s="10" t="s">
        <v>117</v>
      </c>
      <c r="M4" s="10" t="s">
        <v>1126</v>
      </c>
      <c r="N4" s="10" t="s">
        <v>72</v>
      </c>
      <c r="O4" s="10" t="s">
        <v>81</v>
      </c>
      <c r="P4" s="52">
        <v>35859</v>
      </c>
      <c r="Q4" s="55">
        <v>1</v>
      </c>
      <c r="R4" s="56">
        <v>10700</v>
      </c>
      <c r="S4" s="58"/>
      <c r="T4" s="52">
        <v>3836.913</v>
      </c>
      <c r="U4" s="54">
        <v>3.7750000000000001E-3</v>
      </c>
      <c r="V4" s="54">
        <v>4.8571289783156002E-2</v>
      </c>
      <c r="W4" s="54">
        <v>8.8617285664318295E-3</v>
      </c>
    </row>
    <row r="5" spans="1:23" x14ac:dyDescent="0.25">
      <c r="A5" s="10">
        <v>1182</v>
      </c>
      <c r="B5" s="10">
        <v>1182</v>
      </c>
      <c r="C5" s="10" t="s">
        <v>1133</v>
      </c>
      <c r="D5" s="10" t="s">
        <v>1134</v>
      </c>
      <c r="E5" s="10" t="s">
        <v>210</v>
      </c>
      <c r="F5" s="10" t="s">
        <v>1137</v>
      </c>
      <c r="G5" s="10" t="s">
        <v>1138</v>
      </c>
      <c r="H5" s="10" t="s">
        <v>213</v>
      </c>
      <c r="I5" s="10" t="s">
        <v>1125</v>
      </c>
      <c r="J5" s="10" t="s">
        <v>71</v>
      </c>
      <c r="K5" s="10" t="s">
        <v>291</v>
      </c>
      <c r="L5" s="10" t="s">
        <v>117</v>
      </c>
      <c r="M5" s="10" t="s">
        <v>1126</v>
      </c>
      <c r="N5" s="10" t="s">
        <v>72</v>
      </c>
      <c r="O5" s="10" t="s">
        <v>81</v>
      </c>
      <c r="P5" s="52">
        <v>3622</v>
      </c>
      <c r="Q5" s="55">
        <v>1</v>
      </c>
      <c r="R5" s="56">
        <v>10210</v>
      </c>
      <c r="S5" s="58"/>
      <c r="T5" s="52">
        <v>369.80599999999998</v>
      </c>
      <c r="U5" s="54">
        <v>5.3000000000000001E-5</v>
      </c>
      <c r="V5" s="54">
        <v>4.6813581918088197E-3</v>
      </c>
      <c r="W5" s="54">
        <v>8.54103850304555E-4</v>
      </c>
    </row>
    <row r="6" spans="1:23" x14ac:dyDescent="0.25">
      <c r="A6" s="10">
        <v>1182</v>
      </c>
      <c r="B6" s="10">
        <v>1182</v>
      </c>
      <c r="C6" s="10" t="s">
        <v>1121</v>
      </c>
      <c r="D6" s="10" t="s">
        <v>1122</v>
      </c>
      <c r="E6" s="10" t="s">
        <v>210</v>
      </c>
      <c r="F6" s="10" t="s">
        <v>1139</v>
      </c>
      <c r="G6" s="10" t="s">
        <v>1140</v>
      </c>
      <c r="H6" s="10" t="s">
        <v>213</v>
      </c>
      <c r="I6" s="10" t="s">
        <v>1125</v>
      </c>
      <c r="J6" s="10" t="s">
        <v>71</v>
      </c>
      <c r="K6" s="10" t="s">
        <v>291</v>
      </c>
      <c r="L6" s="10" t="s">
        <v>117</v>
      </c>
      <c r="M6" s="10" t="s">
        <v>1126</v>
      </c>
      <c r="N6" s="10" t="s">
        <v>72</v>
      </c>
      <c r="O6" s="10" t="s">
        <v>81</v>
      </c>
      <c r="P6" s="52">
        <v>4108</v>
      </c>
      <c r="Q6" s="55">
        <v>1</v>
      </c>
      <c r="R6" s="56">
        <v>3199</v>
      </c>
      <c r="S6" s="58"/>
      <c r="T6" s="52">
        <v>131.41499999999999</v>
      </c>
      <c r="U6" s="54">
        <v>2.05E-4</v>
      </c>
      <c r="V6" s="54">
        <v>1.6635749002258499E-3</v>
      </c>
      <c r="W6" s="54">
        <v>3.03515704061925E-4</v>
      </c>
    </row>
    <row r="7" spans="1:23" x14ac:dyDescent="0.25">
      <c r="A7" s="10">
        <v>1182</v>
      </c>
      <c r="B7" s="10">
        <v>1182</v>
      </c>
      <c r="C7" s="10" t="s">
        <v>1141</v>
      </c>
      <c r="D7" s="10" t="s">
        <v>1142</v>
      </c>
      <c r="E7" s="10" t="s">
        <v>613</v>
      </c>
      <c r="F7" s="10" t="s">
        <v>1143</v>
      </c>
      <c r="G7" s="10" t="s">
        <v>1144</v>
      </c>
      <c r="H7" s="10" t="s">
        <v>213</v>
      </c>
      <c r="I7" s="10" t="s">
        <v>1125</v>
      </c>
      <c r="J7" s="10" t="s">
        <v>85</v>
      </c>
      <c r="K7" s="10" t="s">
        <v>291</v>
      </c>
      <c r="L7" s="10" t="s">
        <v>966</v>
      </c>
      <c r="M7" s="10" t="s">
        <v>1145</v>
      </c>
      <c r="N7" s="10" t="s">
        <v>72</v>
      </c>
      <c r="O7" s="10" t="s">
        <v>75</v>
      </c>
      <c r="P7" s="52">
        <v>6240</v>
      </c>
      <c r="Q7" s="55">
        <v>3.718</v>
      </c>
      <c r="R7" s="56">
        <v>7885</v>
      </c>
      <c r="S7" s="58"/>
      <c r="T7" s="52">
        <v>1829.345</v>
      </c>
      <c r="U7" s="54">
        <v>2.8E-5</v>
      </c>
      <c r="V7" s="54">
        <v>2.3157589806416499E-2</v>
      </c>
      <c r="W7" s="54">
        <v>4.2250530309861801E-3</v>
      </c>
    </row>
    <row r="8" spans="1:23" x14ac:dyDescent="0.25">
      <c r="A8" s="10">
        <v>1182</v>
      </c>
      <c r="B8" s="10">
        <v>1182</v>
      </c>
      <c r="C8" s="10" t="s">
        <v>1146</v>
      </c>
      <c r="D8" s="10" t="s">
        <v>1147</v>
      </c>
      <c r="E8" s="10" t="s">
        <v>613</v>
      </c>
      <c r="F8" s="10" t="s">
        <v>1148</v>
      </c>
      <c r="G8" s="10" t="s">
        <v>1149</v>
      </c>
      <c r="H8" s="10" t="s">
        <v>213</v>
      </c>
      <c r="I8" s="10" t="s">
        <v>1125</v>
      </c>
      <c r="J8" s="10" t="s">
        <v>85</v>
      </c>
      <c r="K8" s="10" t="s">
        <v>291</v>
      </c>
      <c r="L8" s="10" t="s">
        <v>966</v>
      </c>
      <c r="M8" s="10" t="s">
        <v>1145</v>
      </c>
      <c r="N8" s="10" t="s">
        <v>72</v>
      </c>
      <c r="O8" s="10" t="s">
        <v>75</v>
      </c>
      <c r="P8" s="52">
        <v>1706</v>
      </c>
      <c r="Q8" s="55">
        <v>3.718</v>
      </c>
      <c r="R8" s="56">
        <v>11655</v>
      </c>
      <c r="S8" s="58"/>
      <c r="T8" s="52">
        <v>739.26599999999996</v>
      </c>
      <c r="U8" s="54">
        <v>8.7999999999999998E-5</v>
      </c>
      <c r="V8" s="54">
        <v>9.3583304043013196E-3</v>
      </c>
      <c r="W8" s="54">
        <v>1.7074074880067101E-3</v>
      </c>
    </row>
    <row r="9" spans="1:23" x14ac:dyDescent="0.25">
      <c r="A9" s="10">
        <v>1182</v>
      </c>
      <c r="B9" s="10">
        <v>1182</v>
      </c>
      <c r="C9" s="10" t="s">
        <v>1150</v>
      </c>
      <c r="D9" s="10" t="s">
        <v>1151</v>
      </c>
      <c r="E9" s="10" t="s">
        <v>613</v>
      </c>
      <c r="F9" s="10" t="s">
        <v>1152</v>
      </c>
      <c r="G9" s="10" t="s">
        <v>1153</v>
      </c>
      <c r="H9" s="10" t="s">
        <v>213</v>
      </c>
      <c r="I9" s="10" t="s">
        <v>1125</v>
      </c>
      <c r="J9" s="10" t="s">
        <v>85</v>
      </c>
      <c r="K9" s="10" t="s">
        <v>990</v>
      </c>
      <c r="L9" s="10" t="s">
        <v>936</v>
      </c>
      <c r="M9" s="10" t="s">
        <v>1145</v>
      </c>
      <c r="N9" s="10" t="s">
        <v>72</v>
      </c>
      <c r="O9" s="10" t="s">
        <v>75</v>
      </c>
      <c r="P9" s="52">
        <v>3184</v>
      </c>
      <c r="Q9" s="55">
        <v>3.718</v>
      </c>
      <c r="R9" s="56">
        <v>13173.4</v>
      </c>
      <c r="S9" s="58"/>
      <c r="T9" s="52">
        <v>1559.482</v>
      </c>
      <c r="U9" s="54">
        <v>0</v>
      </c>
      <c r="V9" s="54">
        <v>1.9741402701531099E-2</v>
      </c>
      <c r="W9" s="54">
        <v>3.6017769559469502E-3</v>
      </c>
    </row>
    <row r="10" spans="1:23" x14ac:dyDescent="0.25">
      <c r="A10" s="10">
        <v>1182</v>
      </c>
      <c r="B10" s="10">
        <v>1182</v>
      </c>
      <c r="C10" s="10" t="s">
        <v>1150</v>
      </c>
      <c r="D10" s="10" t="s">
        <v>1151</v>
      </c>
      <c r="E10" s="10" t="s">
        <v>613</v>
      </c>
      <c r="F10" s="10" t="s">
        <v>1154</v>
      </c>
      <c r="G10" s="10" t="s">
        <v>1155</v>
      </c>
      <c r="H10" s="10" t="s">
        <v>213</v>
      </c>
      <c r="I10" s="10" t="s">
        <v>1125</v>
      </c>
      <c r="J10" s="10" t="s">
        <v>85</v>
      </c>
      <c r="K10" s="10" t="s">
        <v>1156</v>
      </c>
      <c r="L10" s="10" t="s">
        <v>286</v>
      </c>
      <c r="M10" s="10" t="s">
        <v>1145</v>
      </c>
      <c r="N10" s="10" t="s">
        <v>72</v>
      </c>
      <c r="O10" s="10" t="s">
        <v>75</v>
      </c>
      <c r="P10" s="52">
        <v>5610</v>
      </c>
      <c r="Q10" s="55">
        <v>3.718</v>
      </c>
      <c r="R10" s="56">
        <v>7266.1</v>
      </c>
      <c r="S10" s="58"/>
      <c r="T10" s="52">
        <v>1515.5619999999999</v>
      </c>
      <c r="U10" s="54">
        <v>0</v>
      </c>
      <c r="V10" s="54">
        <v>1.9185419574459399E-2</v>
      </c>
      <c r="W10" s="54">
        <v>3.5003390163406002E-3</v>
      </c>
    </row>
    <row r="11" spans="1:23" x14ac:dyDescent="0.25">
      <c r="A11" s="10">
        <v>1182</v>
      </c>
      <c r="B11" s="10">
        <v>1182</v>
      </c>
      <c r="C11" s="10" t="s">
        <v>1150</v>
      </c>
      <c r="D11" s="10" t="s">
        <v>1151</v>
      </c>
      <c r="E11" s="10" t="s">
        <v>613</v>
      </c>
      <c r="F11" s="10" t="s">
        <v>1157</v>
      </c>
      <c r="G11" s="10" t="s">
        <v>1158</v>
      </c>
      <c r="H11" s="10" t="s">
        <v>213</v>
      </c>
      <c r="I11" s="10" t="s">
        <v>1125</v>
      </c>
      <c r="J11" s="10" t="s">
        <v>85</v>
      </c>
      <c r="K11" s="10" t="s">
        <v>291</v>
      </c>
      <c r="L11" s="10" t="s">
        <v>1022</v>
      </c>
      <c r="M11" s="10" t="s">
        <v>1145</v>
      </c>
      <c r="N11" s="10" t="s">
        <v>72</v>
      </c>
      <c r="O11" s="10" t="s">
        <v>77</v>
      </c>
      <c r="P11" s="52">
        <v>1956</v>
      </c>
      <c r="Q11" s="55">
        <v>4.0218999999999996</v>
      </c>
      <c r="R11" s="56">
        <v>7421.9</v>
      </c>
      <c r="S11" s="58"/>
      <c r="T11" s="52">
        <v>583.86900000000003</v>
      </c>
      <c r="U11" s="54">
        <v>0</v>
      </c>
      <c r="V11" s="54">
        <v>7.3911650635891104E-3</v>
      </c>
      <c r="W11" s="54">
        <v>1.34850235346097E-3</v>
      </c>
    </row>
    <row r="12" spans="1:23" x14ac:dyDescent="0.25">
      <c r="A12" s="10">
        <v>1182</v>
      </c>
      <c r="B12" s="10">
        <v>1182</v>
      </c>
      <c r="C12" s="10" t="s">
        <v>1141</v>
      </c>
      <c r="D12" s="10" t="s">
        <v>1142</v>
      </c>
      <c r="E12" s="10" t="s">
        <v>613</v>
      </c>
      <c r="F12" s="10" t="s">
        <v>1159</v>
      </c>
      <c r="G12" s="10" t="s">
        <v>1160</v>
      </c>
      <c r="H12" s="10" t="s">
        <v>213</v>
      </c>
      <c r="I12" s="10" t="s">
        <v>1125</v>
      </c>
      <c r="J12" s="10" t="s">
        <v>85</v>
      </c>
      <c r="K12" s="10" t="s">
        <v>291</v>
      </c>
      <c r="L12" s="10" t="s">
        <v>966</v>
      </c>
      <c r="M12" s="10" t="s">
        <v>1145</v>
      </c>
      <c r="N12" s="10" t="s">
        <v>72</v>
      </c>
      <c r="O12" s="10" t="s">
        <v>75</v>
      </c>
      <c r="P12" s="52">
        <v>2166</v>
      </c>
      <c r="Q12" s="55">
        <v>3.718</v>
      </c>
      <c r="R12" s="56">
        <v>9645</v>
      </c>
      <c r="S12" s="58"/>
      <c r="T12" s="52">
        <v>776.73</v>
      </c>
      <c r="U12" s="54">
        <v>1.2999999999999999E-5</v>
      </c>
      <c r="V12" s="54">
        <v>9.8325860055024292E-3</v>
      </c>
      <c r="W12" s="54">
        <v>1.79393441425712E-3</v>
      </c>
    </row>
    <row r="13" spans="1:23" x14ac:dyDescent="0.25">
      <c r="A13" s="10">
        <v>1182</v>
      </c>
      <c r="B13" s="10">
        <v>1182</v>
      </c>
      <c r="C13" s="10" t="s">
        <v>1141</v>
      </c>
      <c r="D13" s="10" t="s">
        <v>1142</v>
      </c>
      <c r="E13" s="10" t="s">
        <v>613</v>
      </c>
      <c r="F13" s="10" t="s">
        <v>1161</v>
      </c>
      <c r="G13" s="10" t="s">
        <v>1162</v>
      </c>
      <c r="H13" s="10" t="s">
        <v>213</v>
      </c>
      <c r="I13" s="10" t="s">
        <v>1125</v>
      </c>
      <c r="J13" s="10" t="s">
        <v>85</v>
      </c>
      <c r="K13" s="10" t="s">
        <v>291</v>
      </c>
      <c r="L13" s="10" t="s">
        <v>966</v>
      </c>
      <c r="M13" s="10" t="s">
        <v>1145</v>
      </c>
      <c r="N13" s="10" t="s">
        <v>72</v>
      </c>
      <c r="O13" s="10" t="s">
        <v>75</v>
      </c>
      <c r="P13" s="52">
        <v>2615</v>
      </c>
      <c r="Q13" s="55">
        <v>3.718</v>
      </c>
      <c r="R13" s="56">
        <v>19746</v>
      </c>
      <c r="S13" s="58"/>
      <c r="T13" s="52">
        <v>1919.819</v>
      </c>
      <c r="U13" s="54">
        <v>2.6999999999999999E-5</v>
      </c>
      <c r="V13" s="54">
        <v>2.4302888561335698E-2</v>
      </c>
      <c r="W13" s="54">
        <v>4.4340103541060097E-3</v>
      </c>
    </row>
    <row r="14" spans="1:23" x14ac:dyDescent="0.25">
      <c r="A14" s="10">
        <v>1182</v>
      </c>
      <c r="B14" s="10">
        <v>1182</v>
      </c>
      <c r="C14" s="10" t="s">
        <v>1163</v>
      </c>
      <c r="D14" s="10" t="s">
        <v>1164</v>
      </c>
      <c r="E14" s="10" t="s">
        <v>613</v>
      </c>
      <c r="F14" s="10" t="s">
        <v>1165</v>
      </c>
      <c r="G14" s="10" t="s">
        <v>1166</v>
      </c>
      <c r="H14" s="10" t="s">
        <v>213</v>
      </c>
      <c r="I14" s="10" t="s">
        <v>1125</v>
      </c>
      <c r="J14" s="10" t="s">
        <v>85</v>
      </c>
      <c r="K14" s="10"/>
      <c r="L14" s="10" t="s">
        <v>286</v>
      </c>
      <c r="M14" s="10" t="s">
        <v>1145</v>
      </c>
      <c r="N14" s="10" t="s">
        <v>72</v>
      </c>
      <c r="O14" s="10" t="s">
        <v>77</v>
      </c>
      <c r="P14" s="52">
        <v>15110</v>
      </c>
      <c r="Q14" s="55">
        <v>4.0218999999999996</v>
      </c>
      <c r="R14" s="56">
        <v>9495</v>
      </c>
      <c r="S14" s="58"/>
      <c r="T14" s="52">
        <v>5770.1980000000003</v>
      </c>
      <c r="U14" s="54">
        <v>0</v>
      </c>
      <c r="V14" s="54">
        <v>7.3044645503764397E-2</v>
      </c>
      <c r="W14" s="54">
        <v>1.33268402913622E-2</v>
      </c>
    </row>
    <row r="15" spans="1:23" x14ac:dyDescent="0.25">
      <c r="A15" s="10">
        <v>1182</v>
      </c>
      <c r="B15" s="10">
        <v>1182</v>
      </c>
      <c r="C15" s="10" t="s">
        <v>1141</v>
      </c>
      <c r="D15" s="10" t="s">
        <v>1142</v>
      </c>
      <c r="E15" s="10" t="s">
        <v>613</v>
      </c>
      <c r="F15" s="10" t="s">
        <v>1167</v>
      </c>
      <c r="G15" s="10" t="s">
        <v>1168</v>
      </c>
      <c r="H15" s="10" t="s">
        <v>213</v>
      </c>
      <c r="I15" s="10" t="s">
        <v>1125</v>
      </c>
      <c r="J15" s="10" t="s">
        <v>85</v>
      </c>
      <c r="K15" s="10" t="s">
        <v>291</v>
      </c>
      <c r="L15" s="10" t="s">
        <v>966</v>
      </c>
      <c r="M15" s="10" t="s">
        <v>1145</v>
      </c>
      <c r="N15" s="10" t="s">
        <v>72</v>
      </c>
      <c r="O15" s="10" t="s">
        <v>75</v>
      </c>
      <c r="P15" s="52">
        <v>27624</v>
      </c>
      <c r="Q15" s="55">
        <v>3.718</v>
      </c>
      <c r="R15" s="56">
        <v>4981</v>
      </c>
      <c r="S15" s="58"/>
      <c r="T15" s="52">
        <v>5115.7870000000003</v>
      </c>
      <c r="U15" s="54">
        <v>3.1000000000000001E-5</v>
      </c>
      <c r="V15" s="54">
        <v>6.4760497538876305E-2</v>
      </c>
      <c r="W15" s="54">
        <v>1.1815415105892801E-2</v>
      </c>
    </row>
    <row r="16" spans="1:23" x14ac:dyDescent="0.25">
      <c r="A16" s="10">
        <v>1182</v>
      </c>
      <c r="B16" s="10">
        <v>1182</v>
      </c>
      <c r="C16" s="10" t="s">
        <v>1169</v>
      </c>
      <c r="D16" s="10" t="s">
        <v>1170</v>
      </c>
      <c r="E16" s="10" t="s">
        <v>613</v>
      </c>
      <c r="F16" s="10" t="s">
        <v>1171</v>
      </c>
      <c r="G16" s="10" t="s">
        <v>1172</v>
      </c>
      <c r="H16" s="10" t="s">
        <v>213</v>
      </c>
      <c r="I16" s="10" t="s">
        <v>1125</v>
      </c>
      <c r="J16" s="10" t="s">
        <v>85</v>
      </c>
      <c r="K16" s="10" t="s">
        <v>215</v>
      </c>
      <c r="L16" s="10" t="s">
        <v>936</v>
      </c>
      <c r="M16" s="10" t="s">
        <v>1145</v>
      </c>
      <c r="N16" s="10" t="s">
        <v>72</v>
      </c>
      <c r="O16" s="10" t="s">
        <v>75</v>
      </c>
      <c r="P16" s="52">
        <v>2361</v>
      </c>
      <c r="Q16" s="55">
        <v>3.718</v>
      </c>
      <c r="R16" s="56">
        <v>11313</v>
      </c>
      <c r="S16" s="58"/>
      <c r="T16" s="52">
        <v>993.07799999999997</v>
      </c>
      <c r="U16" s="54">
        <v>3.3E-4</v>
      </c>
      <c r="V16" s="54">
        <v>1.25713189118062E-2</v>
      </c>
      <c r="W16" s="54">
        <v>2.2936104109203899E-3</v>
      </c>
    </row>
    <row r="17" spans="1:23" x14ac:dyDescent="0.25">
      <c r="A17" s="10">
        <v>1182</v>
      </c>
      <c r="B17" s="10">
        <v>1182</v>
      </c>
      <c r="C17" s="10" t="s">
        <v>1173</v>
      </c>
      <c r="D17" s="10" t="s">
        <v>1174</v>
      </c>
      <c r="E17" s="10" t="s">
        <v>613</v>
      </c>
      <c r="F17" s="10" t="s">
        <v>1175</v>
      </c>
      <c r="G17" s="10" t="s">
        <v>1176</v>
      </c>
      <c r="H17" s="10" t="s">
        <v>213</v>
      </c>
      <c r="I17" s="10" t="s">
        <v>1125</v>
      </c>
      <c r="J17" s="10" t="s">
        <v>85</v>
      </c>
      <c r="K17" s="10" t="s">
        <v>984</v>
      </c>
      <c r="L17" s="10" t="s">
        <v>966</v>
      </c>
      <c r="M17" s="10" t="s">
        <v>1145</v>
      </c>
      <c r="N17" s="10" t="s">
        <v>72</v>
      </c>
      <c r="O17" s="10" t="s">
        <v>75</v>
      </c>
      <c r="P17" s="52">
        <v>10953</v>
      </c>
      <c r="Q17" s="55">
        <v>3.718</v>
      </c>
      <c r="R17" s="56">
        <v>3773</v>
      </c>
      <c r="S17" s="58"/>
      <c r="T17" s="52">
        <v>1536.4880000000001</v>
      </c>
      <c r="U17" s="54">
        <v>7.2999999999999999E-5</v>
      </c>
      <c r="V17" s="54">
        <v>1.9450329479410399E-2</v>
      </c>
      <c r="W17" s="54">
        <v>3.5486712653443999E-3</v>
      </c>
    </row>
    <row r="18" spans="1:23" x14ac:dyDescent="0.25">
      <c r="A18" s="10">
        <v>1182</v>
      </c>
      <c r="B18" s="10">
        <v>1182</v>
      </c>
      <c r="C18" s="10" t="s">
        <v>1141</v>
      </c>
      <c r="D18" s="10" t="s">
        <v>1142</v>
      </c>
      <c r="E18" s="10" t="s">
        <v>613</v>
      </c>
      <c r="F18" s="10" t="s">
        <v>1177</v>
      </c>
      <c r="G18" s="10" t="s">
        <v>1178</v>
      </c>
      <c r="H18" s="10" t="s">
        <v>213</v>
      </c>
      <c r="I18" s="10" t="s">
        <v>1125</v>
      </c>
      <c r="J18" s="10" t="s">
        <v>85</v>
      </c>
      <c r="K18" s="10" t="s">
        <v>291</v>
      </c>
      <c r="L18" s="10" t="s">
        <v>966</v>
      </c>
      <c r="M18" s="10" t="s">
        <v>1145</v>
      </c>
      <c r="N18" s="10" t="s">
        <v>72</v>
      </c>
      <c r="O18" s="10" t="s">
        <v>75</v>
      </c>
      <c r="P18" s="52">
        <v>5487</v>
      </c>
      <c r="Q18" s="55">
        <v>3.718</v>
      </c>
      <c r="R18" s="56">
        <v>14601</v>
      </c>
      <c r="S18" s="58"/>
      <c r="T18" s="52">
        <v>2978.701</v>
      </c>
      <c r="U18" s="54">
        <v>1.8E-5</v>
      </c>
      <c r="V18" s="54">
        <v>3.7707230066119798E-2</v>
      </c>
      <c r="W18" s="54">
        <v>6.8796039662473701E-3</v>
      </c>
    </row>
    <row r="19" spans="1:23" x14ac:dyDescent="0.25">
      <c r="A19" s="10">
        <v>1182</v>
      </c>
      <c r="B19" s="10">
        <v>1182</v>
      </c>
      <c r="C19" s="10" t="s">
        <v>1179</v>
      </c>
      <c r="D19" s="10" t="s">
        <v>1180</v>
      </c>
      <c r="E19" s="10" t="s">
        <v>613</v>
      </c>
      <c r="F19" s="10" t="s">
        <v>1181</v>
      </c>
      <c r="G19" s="10" t="s">
        <v>1182</v>
      </c>
      <c r="H19" s="10" t="s">
        <v>213</v>
      </c>
      <c r="I19" s="10" t="s">
        <v>1125</v>
      </c>
      <c r="J19" s="10" t="s">
        <v>85</v>
      </c>
      <c r="K19" s="10"/>
      <c r="L19" s="10" t="s">
        <v>286</v>
      </c>
      <c r="M19" s="10" t="s">
        <v>1145</v>
      </c>
      <c r="N19" s="10" t="s">
        <v>72</v>
      </c>
      <c r="O19" s="10" t="s">
        <v>75</v>
      </c>
      <c r="P19" s="52">
        <v>4796</v>
      </c>
      <c r="Q19" s="55">
        <v>3.718</v>
      </c>
      <c r="R19" s="56">
        <v>8899</v>
      </c>
      <c r="S19" s="58"/>
      <c r="T19" s="52">
        <v>1586.828</v>
      </c>
      <c r="U19" s="54">
        <v>4.5000000000000003E-5</v>
      </c>
      <c r="V19" s="54">
        <v>2.0087572202418798E-2</v>
      </c>
      <c r="W19" s="54">
        <v>3.6649348454849701E-3</v>
      </c>
    </row>
    <row r="20" spans="1:23" x14ac:dyDescent="0.25">
      <c r="A20">
        <v>1182</v>
      </c>
      <c r="B20">
        <v>1182</v>
      </c>
      <c r="C20" t="s">
        <v>1141</v>
      </c>
      <c r="D20" t="s">
        <v>1142</v>
      </c>
      <c r="E20" s="10" t="s">
        <v>613</v>
      </c>
      <c r="F20" t="s">
        <v>1183</v>
      </c>
      <c r="G20" t="s">
        <v>1184</v>
      </c>
      <c r="H20" s="10" t="s">
        <v>213</v>
      </c>
      <c r="I20" s="10" t="s">
        <v>1125</v>
      </c>
      <c r="J20" s="10" t="s">
        <v>85</v>
      </c>
      <c r="K20" s="10" t="s">
        <v>291</v>
      </c>
      <c r="L20" s="10" t="s">
        <v>966</v>
      </c>
      <c r="M20" s="10" t="s">
        <v>1145</v>
      </c>
      <c r="N20" s="10" t="s">
        <v>72</v>
      </c>
      <c r="O20" t="s">
        <v>75</v>
      </c>
      <c r="P20" s="52">
        <v>3061</v>
      </c>
      <c r="Q20" s="42">
        <v>3.718</v>
      </c>
      <c r="R20" s="48">
        <v>13107</v>
      </c>
      <c r="T20" s="44">
        <v>1491.681</v>
      </c>
      <c r="U20" s="45">
        <v>2.1999999999999999E-5</v>
      </c>
      <c r="V20" s="45">
        <v>1.8883117634165301E-2</v>
      </c>
      <c r="W20" s="45">
        <v>3.44518466997774E-3</v>
      </c>
    </row>
    <row r="21" spans="1:23" x14ac:dyDescent="0.25">
      <c r="A21">
        <v>1182</v>
      </c>
      <c r="B21">
        <v>1182</v>
      </c>
      <c r="C21" t="s">
        <v>1179</v>
      </c>
      <c r="D21" t="s">
        <v>1180</v>
      </c>
      <c r="E21" t="s">
        <v>613</v>
      </c>
      <c r="F21" t="s">
        <v>1185</v>
      </c>
      <c r="G21" t="s">
        <v>1186</v>
      </c>
      <c r="H21" t="s">
        <v>213</v>
      </c>
      <c r="I21" t="s">
        <v>1125</v>
      </c>
      <c r="J21" t="s">
        <v>85</v>
      </c>
      <c r="K21" t="s">
        <v>604</v>
      </c>
      <c r="L21" t="s">
        <v>1187</v>
      </c>
      <c r="M21" t="s">
        <v>1145</v>
      </c>
      <c r="N21" t="s">
        <v>72</v>
      </c>
      <c r="O21" t="s">
        <v>79</v>
      </c>
      <c r="P21" s="44">
        <v>117642</v>
      </c>
      <c r="Q21" s="42">
        <v>4.8108000000000004</v>
      </c>
      <c r="R21" s="48">
        <v>838.1</v>
      </c>
      <c r="T21" s="44">
        <v>4743.2449999999999</v>
      </c>
      <c r="U21" s="45">
        <v>1.9000000000000001E-4</v>
      </c>
      <c r="V21" s="45">
        <v>6.00444991150531E-2</v>
      </c>
      <c r="W21" s="45">
        <v>1.0954991218896599E-2</v>
      </c>
    </row>
    <row r="22" spans="1:23" x14ac:dyDescent="0.25">
      <c r="A22">
        <v>1182</v>
      </c>
      <c r="B22">
        <v>1182</v>
      </c>
      <c r="C22" t="s">
        <v>1179</v>
      </c>
      <c r="D22" t="s">
        <v>1180</v>
      </c>
      <c r="E22" t="s">
        <v>613</v>
      </c>
      <c r="F22" t="s">
        <v>1188</v>
      </c>
      <c r="G22" t="s">
        <v>1189</v>
      </c>
      <c r="H22" t="s">
        <v>213</v>
      </c>
      <c r="I22" t="s">
        <v>1125</v>
      </c>
      <c r="J22" t="s">
        <v>85</v>
      </c>
      <c r="K22" t="s">
        <v>1053</v>
      </c>
      <c r="L22" t="s">
        <v>966</v>
      </c>
      <c r="M22" t="s">
        <v>1145</v>
      </c>
      <c r="N22" t="s">
        <v>72</v>
      </c>
      <c r="O22" t="s">
        <v>75</v>
      </c>
      <c r="P22" s="44">
        <v>35218</v>
      </c>
      <c r="Q22" s="42">
        <v>3.718</v>
      </c>
      <c r="R22" s="48">
        <v>3584</v>
      </c>
      <c r="T22" s="44">
        <v>4692.9080000000004</v>
      </c>
      <c r="U22" s="45">
        <v>2.0599999999999999E-4</v>
      </c>
      <c r="V22" s="45">
        <v>5.9407292492311602E-2</v>
      </c>
      <c r="W22" s="45">
        <v>1.0838734225172999E-2</v>
      </c>
    </row>
    <row r="23" spans="1:23" x14ac:dyDescent="0.25">
      <c r="A23">
        <v>1182</v>
      </c>
      <c r="B23">
        <v>1182</v>
      </c>
      <c r="C23" t="s">
        <v>1179</v>
      </c>
      <c r="D23" t="s">
        <v>1180</v>
      </c>
      <c r="E23" t="s">
        <v>613</v>
      </c>
      <c r="F23" t="s">
        <v>1190</v>
      </c>
      <c r="G23" t="s">
        <v>1191</v>
      </c>
      <c r="H23" t="s">
        <v>213</v>
      </c>
      <c r="I23" t="s">
        <v>1192</v>
      </c>
      <c r="J23" t="s">
        <v>85</v>
      </c>
      <c r="K23" t="s">
        <v>1193</v>
      </c>
      <c r="L23" t="s">
        <v>1187</v>
      </c>
      <c r="M23" t="s">
        <v>1194</v>
      </c>
      <c r="N23" t="s">
        <v>72</v>
      </c>
      <c r="O23" t="s">
        <v>75</v>
      </c>
      <c r="P23" s="44">
        <v>83057</v>
      </c>
      <c r="Q23" s="42">
        <v>3.718</v>
      </c>
      <c r="R23" s="48">
        <v>630.95000000000005</v>
      </c>
      <c r="T23" s="44">
        <v>1948.4110000000001</v>
      </c>
      <c r="U23" s="45">
        <v>0</v>
      </c>
      <c r="V23" s="45">
        <v>2.46648372836933E-2</v>
      </c>
      <c r="W23" s="45">
        <v>4.5000471290572103E-3</v>
      </c>
    </row>
    <row r="24" spans="1:23" x14ac:dyDescent="0.25">
      <c r="A24">
        <v>1182</v>
      </c>
      <c r="B24">
        <v>1182</v>
      </c>
      <c r="C24" t="s">
        <v>1179</v>
      </c>
      <c r="D24" t="s">
        <v>1180</v>
      </c>
      <c r="E24" t="s">
        <v>613</v>
      </c>
      <c r="F24" t="s">
        <v>1195</v>
      </c>
      <c r="G24" t="s">
        <v>1196</v>
      </c>
      <c r="H24" t="s">
        <v>213</v>
      </c>
      <c r="I24" t="s">
        <v>1125</v>
      </c>
      <c r="J24" t="s">
        <v>85</v>
      </c>
      <c r="K24" t="s">
        <v>291</v>
      </c>
      <c r="L24" t="s">
        <v>936</v>
      </c>
      <c r="M24" t="s">
        <v>1145</v>
      </c>
      <c r="N24" t="s">
        <v>72</v>
      </c>
      <c r="O24" t="s">
        <v>75</v>
      </c>
      <c r="P24" s="44">
        <v>1887</v>
      </c>
      <c r="Q24" s="42">
        <v>3.718</v>
      </c>
      <c r="R24" s="48">
        <v>5509</v>
      </c>
      <c r="T24" s="44">
        <v>386.50400000000002</v>
      </c>
      <c r="U24" s="45">
        <v>0</v>
      </c>
      <c r="V24" s="45">
        <v>4.8927355404121704E-3</v>
      </c>
      <c r="W24" s="45">
        <v>8.9266919820405605E-4</v>
      </c>
    </row>
    <row r="25" spans="1:23" x14ac:dyDescent="0.25">
      <c r="A25">
        <v>1182</v>
      </c>
      <c r="B25">
        <v>1182</v>
      </c>
      <c r="C25" t="s">
        <v>1179</v>
      </c>
      <c r="D25" t="s">
        <v>1180</v>
      </c>
      <c r="E25" t="s">
        <v>613</v>
      </c>
      <c r="F25" t="s">
        <v>1197</v>
      </c>
      <c r="G25" t="s">
        <v>1198</v>
      </c>
      <c r="H25" t="s">
        <v>213</v>
      </c>
      <c r="I25" t="s">
        <v>1125</v>
      </c>
      <c r="J25" t="s">
        <v>85</v>
      </c>
      <c r="K25" t="s">
        <v>1199</v>
      </c>
      <c r="L25" t="s">
        <v>1200</v>
      </c>
      <c r="M25" t="s">
        <v>1145</v>
      </c>
      <c r="N25" t="s">
        <v>72</v>
      </c>
      <c r="O25" t="s">
        <v>77</v>
      </c>
      <c r="P25" s="44">
        <v>3781</v>
      </c>
      <c r="Q25" s="42">
        <v>4.0218999999999996</v>
      </c>
      <c r="R25" s="48">
        <v>9391</v>
      </c>
      <c r="T25" s="44">
        <v>1428.0709999999999</v>
      </c>
      <c r="U25" s="45">
        <v>7.5900000000000002E-4</v>
      </c>
      <c r="V25" s="45">
        <v>1.8077878792074901E-2</v>
      </c>
      <c r="W25" s="45">
        <v>3.29827055504254E-3</v>
      </c>
    </row>
    <row r="26" spans="1:23" x14ac:dyDescent="0.25">
      <c r="A26">
        <v>1182</v>
      </c>
      <c r="B26">
        <v>1182</v>
      </c>
      <c r="C26" t="s">
        <v>1179</v>
      </c>
      <c r="D26" t="s">
        <v>1180</v>
      </c>
      <c r="E26" t="s">
        <v>613</v>
      </c>
      <c r="F26" t="s">
        <v>1201</v>
      </c>
      <c r="G26" t="s">
        <v>1202</v>
      </c>
      <c r="H26" t="s">
        <v>213</v>
      </c>
      <c r="I26" t="s">
        <v>1192</v>
      </c>
      <c r="J26" t="s">
        <v>85</v>
      </c>
      <c r="K26" t="s">
        <v>291</v>
      </c>
      <c r="L26" t="s">
        <v>1187</v>
      </c>
      <c r="M26" t="s">
        <v>1194</v>
      </c>
      <c r="N26" t="s">
        <v>72</v>
      </c>
      <c r="O26" t="s">
        <v>75</v>
      </c>
      <c r="P26" s="44">
        <v>161833</v>
      </c>
      <c r="Q26" s="42">
        <v>3.718</v>
      </c>
      <c r="R26" s="48">
        <v>605.15</v>
      </c>
      <c r="T26" s="44">
        <v>3641.1579999999999</v>
      </c>
      <c r="U26" s="45">
        <v>0</v>
      </c>
      <c r="V26" s="45">
        <v>4.6093235272577297E-2</v>
      </c>
      <c r="W26" s="45">
        <v>8.4096127889095595E-3</v>
      </c>
    </row>
    <row r="27" spans="1:23" x14ac:dyDescent="0.25">
      <c r="A27">
        <v>1182</v>
      </c>
      <c r="B27">
        <v>1182</v>
      </c>
      <c r="C27" t="s">
        <v>1203</v>
      </c>
      <c r="D27" t="s">
        <v>1151</v>
      </c>
      <c r="E27" t="s">
        <v>613</v>
      </c>
      <c r="F27" t="s">
        <v>1204</v>
      </c>
      <c r="G27" t="s">
        <v>1205</v>
      </c>
      <c r="H27" t="s">
        <v>213</v>
      </c>
      <c r="I27" t="s">
        <v>1125</v>
      </c>
      <c r="J27" t="s">
        <v>85</v>
      </c>
      <c r="K27" t="s">
        <v>1199</v>
      </c>
      <c r="L27" t="s">
        <v>1206</v>
      </c>
      <c r="M27" t="s">
        <v>1145</v>
      </c>
      <c r="N27" t="s">
        <v>72</v>
      </c>
      <c r="O27" t="s">
        <v>77</v>
      </c>
      <c r="P27" s="44">
        <v>1297</v>
      </c>
      <c r="Q27" s="42">
        <v>4.0218999999999996</v>
      </c>
      <c r="R27" s="48">
        <v>25113</v>
      </c>
      <c r="T27" s="44">
        <v>1309.9960000000001</v>
      </c>
      <c r="U27" s="45">
        <v>5.8E-5</v>
      </c>
      <c r="V27" s="45">
        <v>1.65831689377023E-2</v>
      </c>
      <c r="W27" s="45">
        <v>3.0255639196174701E-3</v>
      </c>
    </row>
    <row r="28" spans="1:23" x14ac:dyDescent="0.25">
      <c r="A28">
        <v>1182</v>
      </c>
      <c r="B28">
        <v>1182</v>
      </c>
      <c r="C28" t="s">
        <v>1203</v>
      </c>
      <c r="D28" t="s">
        <v>1151</v>
      </c>
      <c r="E28" t="s">
        <v>613</v>
      </c>
      <c r="F28" t="s">
        <v>1207</v>
      </c>
      <c r="G28" t="s">
        <v>1208</v>
      </c>
      <c r="H28" t="s">
        <v>213</v>
      </c>
      <c r="I28" t="s">
        <v>1125</v>
      </c>
      <c r="J28" t="s">
        <v>85</v>
      </c>
      <c r="K28" t="s">
        <v>990</v>
      </c>
      <c r="L28" t="s">
        <v>1206</v>
      </c>
      <c r="M28" t="s">
        <v>1145</v>
      </c>
      <c r="N28" t="s">
        <v>72</v>
      </c>
      <c r="O28" t="s">
        <v>77</v>
      </c>
      <c r="P28" s="44">
        <v>1844</v>
      </c>
      <c r="Q28" s="42">
        <v>4.0218999999999996</v>
      </c>
      <c r="R28" s="48">
        <v>14313.1</v>
      </c>
      <c r="T28" s="44">
        <v>1061.5139999999999</v>
      </c>
      <c r="U28" s="45">
        <v>5.7399999999999997E-4</v>
      </c>
      <c r="V28" s="45">
        <v>1.3437657716625501E-2</v>
      </c>
      <c r="W28" s="45">
        <v>2.4516720841670698E-3</v>
      </c>
    </row>
    <row r="29" spans="1:23" x14ac:dyDescent="0.25">
      <c r="A29">
        <v>1182</v>
      </c>
      <c r="B29">
        <v>1182</v>
      </c>
      <c r="C29" t="s">
        <v>1141</v>
      </c>
      <c r="D29" t="s">
        <v>1142</v>
      </c>
      <c r="E29" t="s">
        <v>613</v>
      </c>
      <c r="F29" t="s">
        <v>1209</v>
      </c>
      <c r="G29" t="s">
        <v>1210</v>
      </c>
      <c r="H29" t="s">
        <v>213</v>
      </c>
      <c r="I29" t="s">
        <v>1125</v>
      </c>
      <c r="J29" t="s">
        <v>85</v>
      </c>
      <c r="K29" t="s">
        <v>291</v>
      </c>
      <c r="L29" t="s">
        <v>966</v>
      </c>
      <c r="M29" t="s">
        <v>1145</v>
      </c>
      <c r="N29" t="s">
        <v>72</v>
      </c>
      <c r="O29" t="s">
        <v>75</v>
      </c>
      <c r="P29" s="44">
        <v>2853</v>
      </c>
      <c r="Q29" s="42">
        <v>3.718</v>
      </c>
      <c r="R29" s="48">
        <v>8598</v>
      </c>
      <c r="T29" s="44">
        <v>912.029</v>
      </c>
      <c r="U29" s="45">
        <v>3.6999999999999998E-5</v>
      </c>
      <c r="V29" s="45">
        <v>1.15453281702689E-2</v>
      </c>
      <c r="W29" s="45">
        <v>2.1064205812130299E-3</v>
      </c>
    </row>
    <row r="30" spans="1:23" x14ac:dyDescent="0.25">
      <c r="A30">
        <v>1182</v>
      </c>
      <c r="B30">
        <v>1182</v>
      </c>
      <c r="C30" t="s">
        <v>1211</v>
      </c>
      <c r="D30" t="s">
        <v>1212</v>
      </c>
      <c r="E30" t="s">
        <v>613</v>
      </c>
      <c r="F30" t="s">
        <v>1213</v>
      </c>
      <c r="G30" t="s">
        <v>1214</v>
      </c>
      <c r="H30" t="s">
        <v>213</v>
      </c>
      <c r="I30" t="s">
        <v>1125</v>
      </c>
      <c r="J30" t="s">
        <v>85</v>
      </c>
      <c r="K30" t="s">
        <v>291</v>
      </c>
      <c r="L30" t="s">
        <v>1022</v>
      </c>
      <c r="M30" t="s">
        <v>1145</v>
      </c>
      <c r="N30" t="s">
        <v>72</v>
      </c>
      <c r="O30" t="s">
        <v>75</v>
      </c>
      <c r="P30" s="44">
        <v>10150</v>
      </c>
      <c r="Q30" s="42">
        <v>3.718</v>
      </c>
      <c r="R30" s="48">
        <v>7694</v>
      </c>
      <c r="T30" s="44">
        <v>2903.5390000000002</v>
      </c>
      <c r="U30" s="45">
        <v>2.04E-4</v>
      </c>
      <c r="V30" s="45">
        <v>3.6755750412607299E-2</v>
      </c>
      <c r="W30" s="45">
        <v>6.7060085261519201E-3</v>
      </c>
    </row>
    <row r="31" spans="1:23" x14ac:dyDescent="0.25">
      <c r="A31">
        <v>1182</v>
      </c>
      <c r="B31">
        <v>1182</v>
      </c>
      <c r="C31" t="s">
        <v>1141</v>
      </c>
      <c r="D31" t="s">
        <v>1142</v>
      </c>
      <c r="E31" t="s">
        <v>613</v>
      </c>
      <c r="F31" t="s">
        <v>1215</v>
      </c>
      <c r="G31" t="s">
        <v>1216</v>
      </c>
      <c r="H31" t="s">
        <v>213</v>
      </c>
      <c r="I31" t="s">
        <v>1125</v>
      </c>
      <c r="J31" t="s">
        <v>85</v>
      </c>
      <c r="K31" t="s">
        <v>291</v>
      </c>
      <c r="L31" t="s">
        <v>966</v>
      </c>
      <c r="M31" t="s">
        <v>1145</v>
      </c>
      <c r="N31" t="s">
        <v>72</v>
      </c>
      <c r="O31" t="s">
        <v>75</v>
      </c>
      <c r="P31" s="44">
        <v>5399</v>
      </c>
      <c r="Q31" s="42">
        <v>3.718</v>
      </c>
      <c r="R31" s="48">
        <v>9345</v>
      </c>
      <c r="T31" s="44">
        <v>1875.867</v>
      </c>
      <c r="U31" s="45">
        <v>1.2E-5</v>
      </c>
      <c r="V31" s="45">
        <v>2.3746505185203399E-2</v>
      </c>
      <c r="W31" s="45">
        <v>4.3324993899094503E-3</v>
      </c>
    </row>
    <row r="32" spans="1:23" x14ac:dyDescent="0.25">
      <c r="A32">
        <v>1182</v>
      </c>
      <c r="B32">
        <v>1182</v>
      </c>
      <c r="C32" t="s">
        <v>1146</v>
      </c>
      <c r="D32" t="s">
        <v>1147</v>
      </c>
      <c r="E32" t="s">
        <v>613</v>
      </c>
      <c r="F32" t="s">
        <v>1217</v>
      </c>
      <c r="G32" t="s">
        <v>1218</v>
      </c>
      <c r="H32" t="s">
        <v>213</v>
      </c>
      <c r="I32" t="s">
        <v>1125</v>
      </c>
      <c r="J32" t="s">
        <v>85</v>
      </c>
      <c r="K32" t="s">
        <v>291</v>
      </c>
      <c r="L32" t="s">
        <v>936</v>
      </c>
      <c r="M32" t="s">
        <v>1145</v>
      </c>
      <c r="N32" t="s">
        <v>72</v>
      </c>
      <c r="O32" t="s">
        <v>75</v>
      </c>
      <c r="P32" s="44">
        <v>1596</v>
      </c>
      <c r="Q32" s="42">
        <v>3.718</v>
      </c>
      <c r="R32" s="48">
        <v>46892</v>
      </c>
      <c r="S32" s="59">
        <v>0.85399999999999998</v>
      </c>
      <c r="T32" s="44">
        <v>2785.712</v>
      </c>
      <c r="U32" s="45">
        <v>3.0000000000000001E-6</v>
      </c>
      <c r="V32" s="45">
        <v>3.5264183676144499E-2</v>
      </c>
      <c r="W32" s="45">
        <v>6.4338753459077499E-3</v>
      </c>
    </row>
    <row r="33" spans="1:23" x14ac:dyDescent="0.25">
      <c r="A33">
        <v>1182</v>
      </c>
      <c r="B33">
        <v>1182</v>
      </c>
      <c r="C33" t="s">
        <v>1141</v>
      </c>
      <c r="D33" t="s">
        <v>1142</v>
      </c>
      <c r="E33" t="s">
        <v>613</v>
      </c>
      <c r="F33" t="s">
        <v>1219</v>
      </c>
      <c r="G33" t="s">
        <v>1220</v>
      </c>
      <c r="H33" t="s">
        <v>213</v>
      </c>
      <c r="I33" t="s">
        <v>1125</v>
      </c>
      <c r="J33" t="s">
        <v>85</v>
      </c>
      <c r="K33" t="s">
        <v>291</v>
      </c>
      <c r="L33" t="s">
        <v>966</v>
      </c>
      <c r="M33" t="s">
        <v>1145</v>
      </c>
      <c r="N33" t="s">
        <v>72</v>
      </c>
      <c r="O33" t="s">
        <v>75</v>
      </c>
      <c r="P33" s="44">
        <v>4858</v>
      </c>
      <c r="Q33" s="42">
        <v>3.718</v>
      </c>
      <c r="R33" s="48">
        <v>4185</v>
      </c>
      <c r="T33" s="44">
        <v>755.89700000000005</v>
      </c>
      <c r="U33" s="45">
        <v>7.8999999999999996E-5</v>
      </c>
      <c r="V33" s="45">
        <v>9.5688565152310806E-3</v>
      </c>
      <c r="W33" s="45">
        <v>1.7458175294022601E-3</v>
      </c>
    </row>
    <row r="34" spans="1:23" x14ac:dyDescent="0.25">
      <c r="A34">
        <v>1182</v>
      </c>
      <c r="B34">
        <v>1182</v>
      </c>
      <c r="C34" t="s">
        <v>1146</v>
      </c>
      <c r="D34" t="s">
        <v>1147</v>
      </c>
      <c r="E34" t="s">
        <v>613</v>
      </c>
      <c r="F34" t="s">
        <v>1221</v>
      </c>
      <c r="G34" t="s">
        <v>1222</v>
      </c>
      <c r="H34" t="s">
        <v>213</v>
      </c>
      <c r="I34" t="s">
        <v>1125</v>
      </c>
      <c r="J34" t="s">
        <v>85</v>
      </c>
      <c r="K34" t="s">
        <v>291</v>
      </c>
      <c r="L34" t="s">
        <v>1022</v>
      </c>
      <c r="M34" t="s">
        <v>1145</v>
      </c>
      <c r="N34" t="s">
        <v>72</v>
      </c>
      <c r="O34" t="s">
        <v>77</v>
      </c>
      <c r="P34" s="44">
        <v>1500</v>
      </c>
      <c r="Q34" s="42">
        <v>4.0218999999999996</v>
      </c>
      <c r="R34" s="48">
        <v>13094</v>
      </c>
      <c r="T34" s="44">
        <v>789.94100000000003</v>
      </c>
      <c r="U34" s="45">
        <v>5.9000000000000003E-4</v>
      </c>
      <c r="V34" s="45">
        <v>9.9998284118287002E-3</v>
      </c>
      <c r="W34" s="45">
        <v>1.82444743576173E-3</v>
      </c>
    </row>
    <row r="35" spans="1:23" x14ac:dyDescent="0.25">
      <c r="A35">
        <v>1182</v>
      </c>
      <c r="B35">
        <v>1182</v>
      </c>
      <c r="C35" t="s">
        <v>1141</v>
      </c>
      <c r="D35" t="s">
        <v>1142</v>
      </c>
      <c r="E35" t="s">
        <v>613</v>
      </c>
      <c r="F35" t="s">
        <v>1223</v>
      </c>
      <c r="G35" t="s">
        <v>1224</v>
      </c>
      <c r="H35" t="s">
        <v>213</v>
      </c>
      <c r="I35" t="s">
        <v>1192</v>
      </c>
      <c r="J35" t="s">
        <v>85</v>
      </c>
      <c r="K35" t="s">
        <v>291</v>
      </c>
      <c r="L35" t="s">
        <v>1022</v>
      </c>
      <c r="M35" t="s">
        <v>1194</v>
      </c>
      <c r="N35" t="s">
        <v>72</v>
      </c>
      <c r="O35" t="s">
        <v>75</v>
      </c>
      <c r="P35" s="44">
        <v>153021</v>
      </c>
      <c r="Q35" s="42">
        <v>3.718</v>
      </c>
      <c r="R35" s="48">
        <v>1086.2</v>
      </c>
      <c r="T35" s="44">
        <v>6179.74</v>
      </c>
      <c r="U35" s="45">
        <v>0</v>
      </c>
      <c r="V35" s="45">
        <v>7.8229022538689699E-2</v>
      </c>
      <c r="W35" s="45">
        <v>1.42727188602588E-2</v>
      </c>
    </row>
    <row r="36" spans="1:23" x14ac:dyDescent="0.25">
      <c r="A36">
        <v>1182</v>
      </c>
      <c r="B36">
        <v>1182</v>
      </c>
      <c r="C36" t="s">
        <v>1225</v>
      </c>
      <c r="D36" t="s">
        <v>1226</v>
      </c>
      <c r="E36" t="s">
        <v>613</v>
      </c>
      <c r="F36" t="s">
        <v>1227</v>
      </c>
      <c r="G36" t="s">
        <v>1228</v>
      </c>
      <c r="H36" t="s">
        <v>213</v>
      </c>
      <c r="I36" t="s">
        <v>1125</v>
      </c>
      <c r="J36" t="s">
        <v>85</v>
      </c>
      <c r="L36" t="s">
        <v>286</v>
      </c>
      <c r="M36" t="s">
        <v>1145</v>
      </c>
      <c r="N36" t="s">
        <v>72</v>
      </c>
      <c r="O36" t="s">
        <v>77</v>
      </c>
      <c r="P36" s="44">
        <v>278</v>
      </c>
      <c r="Q36" s="42">
        <v>4.0218999999999996</v>
      </c>
      <c r="R36" s="48">
        <v>34570</v>
      </c>
      <c r="T36" s="44">
        <v>386.52300000000002</v>
      </c>
      <c r="U36" s="45">
        <v>0</v>
      </c>
      <c r="V36" s="45">
        <v>4.89297647567554E-3</v>
      </c>
      <c r="W36" s="45">
        <v>8.9271315633067004E-4</v>
      </c>
    </row>
    <row r="37" spans="1:23" x14ac:dyDescent="0.25">
      <c r="A37">
        <v>1182</v>
      </c>
      <c r="B37">
        <v>1182</v>
      </c>
      <c r="C37" t="s">
        <v>1141</v>
      </c>
      <c r="D37" t="s">
        <v>1142</v>
      </c>
      <c r="E37" t="s">
        <v>613</v>
      </c>
      <c r="F37" t="s">
        <v>1229</v>
      </c>
      <c r="G37" t="s">
        <v>1230</v>
      </c>
      <c r="H37" t="s">
        <v>213</v>
      </c>
      <c r="I37" t="s">
        <v>1125</v>
      </c>
      <c r="J37" t="s">
        <v>85</v>
      </c>
      <c r="K37" t="s">
        <v>291</v>
      </c>
      <c r="L37" t="s">
        <v>1022</v>
      </c>
      <c r="M37" t="s">
        <v>1145</v>
      </c>
      <c r="N37" t="s">
        <v>72</v>
      </c>
      <c r="O37" t="s">
        <v>75</v>
      </c>
      <c r="P37" s="44">
        <v>4000</v>
      </c>
      <c r="Q37" s="42">
        <v>3.718</v>
      </c>
      <c r="R37" s="48">
        <v>12617</v>
      </c>
      <c r="T37" s="44">
        <v>1876.4</v>
      </c>
      <c r="U37" s="45">
        <v>0</v>
      </c>
      <c r="V37" s="45">
        <v>2.3753256799469699E-2</v>
      </c>
      <c r="W37" s="45">
        <v>4.3337312075795104E-3</v>
      </c>
    </row>
    <row r="38" spans="1:23" x14ac:dyDescent="0.25">
      <c r="A38">
        <v>1182</v>
      </c>
      <c r="B38">
        <v>1182</v>
      </c>
      <c r="C38" t="s">
        <v>1231</v>
      </c>
      <c r="D38" t="s">
        <v>1232</v>
      </c>
      <c r="E38" t="s">
        <v>613</v>
      </c>
      <c r="F38" t="s">
        <v>1233</v>
      </c>
      <c r="G38" t="s">
        <v>1234</v>
      </c>
      <c r="H38" t="s">
        <v>213</v>
      </c>
      <c r="I38" t="s">
        <v>1125</v>
      </c>
      <c r="J38" t="s">
        <v>85</v>
      </c>
      <c r="K38" t="s">
        <v>291</v>
      </c>
      <c r="L38" t="s">
        <v>1235</v>
      </c>
      <c r="M38" t="s">
        <v>1145</v>
      </c>
      <c r="N38" t="s">
        <v>72</v>
      </c>
      <c r="O38" t="s">
        <v>75</v>
      </c>
      <c r="P38" s="44">
        <v>6150</v>
      </c>
      <c r="Q38" s="42">
        <v>3.718</v>
      </c>
      <c r="R38" s="48">
        <v>4389</v>
      </c>
      <c r="T38" s="44">
        <v>1003.576</v>
      </c>
      <c r="U38" s="45">
        <v>0</v>
      </c>
      <c r="V38" s="45">
        <v>1.27042129898384E-2</v>
      </c>
      <c r="W38" s="45">
        <v>2.3178566529466001E-3</v>
      </c>
    </row>
    <row r="39" spans="1:23" x14ac:dyDescent="0.25">
      <c r="A39">
        <v>1182</v>
      </c>
      <c r="B39">
        <v>1182</v>
      </c>
      <c r="C39" t="s">
        <v>1236</v>
      </c>
      <c r="D39" t="s">
        <v>1237</v>
      </c>
      <c r="E39" t="s">
        <v>613</v>
      </c>
      <c r="F39" t="s">
        <v>1238</v>
      </c>
      <c r="G39" t="s">
        <v>1239</v>
      </c>
      <c r="H39" t="s">
        <v>213</v>
      </c>
      <c r="I39" t="s">
        <v>1125</v>
      </c>
      <c r="J39" t="s">
        <v>85</v>
      </c>
      <c r="K39" t="s">
        <v>291</v>
      </c>
      <c r="L39" t="s">
        <v>966</v>
      </c>
      <c r="M39" t="s">
        <v>1145</v>
      </c>
      <c r="N39" t="s">
        <v>72</v>
      </c>
      <c r="O39" t="s">
        <v>75</v>
      </c>
      <c r="P39" s="44">
        <v>11263</v>
      </c>
      <c r="Q39" s="42">
        <v>3.718</v>
      </c>
      <c r="R39" s="48">
        <v>9870</v>
      </c>
      <c r="T39" s="44">
        <v>4133.1450000000004</v>
      </c>
      <c r="U39" s="45">
        <v>1.4120000000000001E-3</v>
      </c>
      <c r="V39" s="45">
        <v>5.2321273524828703E-2</v>
      </c>
      <c r="W39" s="45">
        <v>9.5459051282566106E-3</v>
      </c>
    </row>
    <row r="40" spans="1:23" x14ac:dyDescent="0.25">
      <c r="A40">
        <v>1182</v>
      </c>
      <c r="B40">
        <v>1182</v>
      </c>
      <c r="C40" t="s">
        <v>1240</v>
      </c>
      <c r="D40" t="s">
        <v>1241</v>
      </c>
      <c r="E40" t="s">
        <v>613</v>
      </c>
      <c r="F40" t="s">
        <v>1242</v>
      </c>
      <c r="G40" t="s">
        <v>1243</v>
      </c>
      <c r="H40" t="s">
        <v>213</v>
      </c>
      <c r="I40" t="s">
        <v>1125</v>
      </c>
      <c r="J40" t="s">
        <v>85</v>
      </c>
      <c r="K40" t="s">
        <v>1244</v>
      </c>
      <c r="L40" t="s">
        <v>966</v>
      </c>
      <c r="M40" t="s">
        <v>1145</v>
      </c>
      <c r="N40" t="s">
        <v>72</v>
      </c>
      <c r="O40" t="s">
        <v>75</v>
      </c>
      <c r="P40" s="44">
        <v>17508</v>
      </c>
      <c r="Q40" s="42">
        <v>3.718</v>
      </c>
      <c r="R40" s="48">
        <v>4371</v>
      </c>
      <c r="T40" s="44">
        <v>2845.2910000000002</v>
      </c>
      <c r="U40" s="45">
        <v>7.9600000000000005E-4</v>
      </c>
      <c r="V40" s="45">
        <v>3.60183997704921E-2</v>
      </c>
      <c r="W40" s="45">
        <v>6.5714804689831702E-3</v>
      </c>
    </row>
    <row r="41" spans="1:23" x14ac:dyDescent="0.25">
      <c r="A41">
        <v>1182</v>
      </c>
      <c r="B41">
        <v>14769</v>
      </c>
      <c r="C41" t="s">
        <v>1245</v>
      </c>
      <c r="D41" t="s">
        <v>1246</v>
      </c>
      <c r="E41" t="s">
        <v>210</v>
      </c>
      <c r="F41" t="s">
        <v>1247</v>
      </c>
      <c r="G41" t="s">
        <v>1248</v>
      </c>
      <c r="H41" t="s">
        <v>213</v>
      </c>
      <c r="I41" t="s">
        <v>1125</v>
      </c>
      <c r="J41" t="s">
        <v>71</v>
      </c>
      <c r="K41" t="s">
        <v>604</v>
      </c>
      <c r="L41" t="s">
        <v>117</v>
      </c>
      <c r="M41" t="s">
        <v>1126</v>
      </c>
      <c r="N41" t="s">
        <v>72</v>
      </c>
      <c r="O41" t="s">
        <v>81</v>
      </c>
      <c r="P41" s="44">
        <v>2943</v>
      </c>
      <c r="Q41" s="42">
        <v>1</v>
      </c>
      <c r="R41" s="48">
        <v>4711</v>
      </c>
      <c r="T41" s="44">
        <v>138.64500000000001</v>
      </c>
      <c r="U41" s="45">
        <v>1.8799999999999999E-4</v>
      </c>
      <c r="V41" s="45">
        <v>9.0488323519839504E-3</v>
      </c>
      <c r="W41" s="45">
        <v>5.9853058888431603E-3</v>
      </c>
    </row>
    <row r="42" spans="1:23" x14ac:dyDescent="0.25">
      <c r="A42">
        <v>1182</v>
      </c>
      <c r="B42">
        <v>14769</v>
      </c>
      <c r="C42" t="s">
        <v>1121</v>
      </c>
      <c r="D42" t="s">
        <v>1122</v>
      </c>
      <c r="E42" t="s">
        <v>210</v>
      </c>
      <c r="F42" t="s">
        <v>1249</v>
      </c>
      <c r="G42" t="s">
        <v>1250</v>
      </c>
      <c r="H42" t="s">
        <v>213</v>
      </c>
      <c r="I42" t="s">
        <v>1131</v>
      </c>
      <c r="J42" t="s">
        <v>71</v>
      </c>
      <c r="K42" t="s">
        <v>71</v>
      </c>
      <c r="L42" t="s">
        <v>117</v>
      </c>
      <c r="M42" t="s">
        <v>1132</v>
      </c>
      <c r="N42" t="s">
        <v>72</v>
      </c>
      <c r="O42" t="s">
        <v>81</v>
      </c>
      <c r="P42" s="44">
        <v>11896</v>
      </c>
      <c r="Q42" s="42">
        <v>1</v>
      </c>
      <c r="R42" s="48">
        <v>3763</v>
      </c>
      <c r="T42" s="44">
        <v>447.64600000000002</v>
      </c>
      <c r="U42" s="45">
        <v>1.3999999999999999E-4</v>
      </c>
      <c r="V42" s="45">
        <v>2.92162417603304E-2</v>
      </c>
      <c r="W42" s="45">
        <v>1.93249401752516E-2</v>
      </c>
    </row>
    <row r="43" spans="1:23" x14ac:dyDescent="0.25">
      <c r="A43">
        <v>1182</v>
      </c>
      <c r="B43">
        <v>14769</v>
      </c>
      <c r="C43" t="s">
        <v>1121</v>
      </c>
      <c r="D43" t="s">
        <v>1122</v>
      </c>
      <c r="E43" t="s">
        <v>210</v>
      </c>
      <c r="F43" t="s">
        <v>1251</v>
      </c>
      <c r="G43" t="s">
        <v>1252</v>
      </c>
      <c r="H43" t="s">
        <v>213</v>
      </c>
      <c r="I43" t="s">
        <v>1131</v>
      </c>
      <c r="J43" t="s">
        <v>71</v>
      </c>
      <c r="K43" t="s">
        <v>71</v>
      </c>
      <c r="L43" t="s">
        <v>117</v>
      </c>
      <c r="M43" t="s">
        <v>1132</v>
      </c>
      <c r="N43" t="s">
        <v>72</v>
      </c>
      <c r="O43" t="s">
        <v>81</v>
      </c>
      <c r="P43" s="44">
        <v>9869</v>
      </c>
      <c r="Q43" s="42">
        <v>1</v>
      </c>
      <c r="R43" s="48">
        <v>3593</v>
      </c>
      <c r="T43" s="44">
        <v>354.59300000000002</v>
      </c>
      <c r="U43" s="45">
        <v>1.64E-4</v>
      </c>
      <c r="V43" s="45">
        <v>2.3142993956485398E-2</v>
      </c>
      <c r="W43" s="45">
        <v>1.5307820128068099E-2</v>
      </c>
    </row>
    <row r="44" spans="1:23" x14ac:dyDescent="0.25">
      <c r="A44">
        <v>1182</v>
      </c>
      <c r="B44">
        <v>14769</v>
      </c>
      <c r="C44" t="s">
        <v>1127</v>
      </c>
      <c r="D44" t="s">
        <v>1128</v>
      </c>
      <c r="E44" t="s">
        <v>210</v>
      </c>
      <c r="F44" t="s">
        <v>1253</v>
      </c>
      <c r="G44" t="s">
        <v>1254</v>
      </c>
      <c r="H44" t="s">
        <v>213</v>
      </c>
      <c r="I44" t="s">
        <v>1125</v>
      </c>
      <c r="J44" t="s">
        <v>71</v>
      </c>
      <c r="K44" t="s">
        <v>1156</v>
      </c>
      <c r="L44" t="s">
        <v>117</v>
      </c>
      <c r="M44" t="s">
        <v>1126</v>
      </c>
      <c r="N44" t="s">
        <v>72</v>
      </c>
      <c r="O44" t="s">
        <v>81</v>
      </c>
      <c r="P44" s="44">
        <v>13977</v>
      </c>
      <c r="Q44" s="42">
        <v>1</v>
      </c>
      <c r="R44" s="48">
        <v>3482</v>
      </c>
      <c r="T44" s="44">
        <v>486.67899999999997</v>
      </c>
      <c r="U44" s="45">
        <v>6.6299999999999996E-4</v>
      </c>
      <c r="V44" s="45">
        <v>3.1763760130426401E-2</v>
      </c>
      <c r="W44" s="45">
        <v>2.1009983737709501E-2</v>
      </c>
    </row>
    <row r="45" spans="1:23" x14ac:dyDescent="0.25">
      <c r="A45">
        <v>1182</v>
      </c>
      <c r="B45">
        <v>14769</v>
      </c>
      <c r="C45" t="s">
        <v>1127</v>
      </c>
      <c r="D45" t="s">
        <v>1128</v>
      </c>
      <c r="E45" t="s">
        <v>210</v>
      </c>
      <c r="F45" t="s">
        <v>1255</v>
      </c>
      <c r="G45" t="s">
        <v>1256</v>
      </c>
      <c r="H45" t="s">
        <v>213</v>
      </c>
      <c r="I45" t="s">
        <v>1125</v>
      </c>
      <c r="J45" t="s">
        <v>71</v>
      </c>
      <c r="K45" t="s">
        <v>291</v>
      </c>
      <c r="L45" t="s">
        <v>117</v>
      </c>
      <c r="M45" t="s">
        <v>1126</v>
      </c>
      <c r="N45" t="s">
        <v>72</v>
      </c>
      <c r="O45" t="s">
        <v>81</v>
      </c>
      <c r="P45" s="44">
        <v>1416</v>
      </c>
      <c r="Q45" s="42">
        <v>1</v>
      </c>
      <c r="R45" s="48">
        <v>7512</v>
      </c>
      <c r="T45" s="44">
        <v>106.37</v>
      </c>
      <c r="U45" s="45">
        <v>1.4E-5</v>
      </c>
      <c r="V45" s="45">
        <v>6.9423740330695899E-3</v>
      </c>
      <c r="W45" s="45">
        <v>4.5919993394034899E-3</v>
      </c>
    </row>
    <row r="46" spans="1:23" x14ac:dyDescent="0.25">
      <c r="A46">
        <v>1182</v>
      </c>
      <c r="B46">
        <v>14769</v>
      </c>
      <c r="C46" t="s">
        <v>1127</v>
      </c>
      <c r="D46" t="s">
        <v>1128</v>
      </c>
      <c r="E46" t="s">
        <v>210</v>
      </c>
      <c r="F46" t="s">
        <v>1257</v>
      </c>
      <c r="G46" t="s">
        <v>1258</v>
      </c>
      <c r="H46" t="s">
        <v>213</v>
      </c>
      <c r="I46" t="s">
        <v>1125</v>
      </c>
      <c r="J46" t="s">
        <v>71</v>
      </c>
      <c r="K46" t="s">
        <v>291</v>
      </c>
      <c r="L46" t="s">
        <v>117</v>
      </c>
      <c r="M46" t="s">
        <v>1126</v>
      </c>
      <c r="N46" t="s">
        <v>72</v>
      </c>
      <c r="O46" t="s">
        <v>81</v>
      </c>
      <c r="P46" s="44">
        <v>17411</v>
      </c>
      <c r="Q46" s="42">
        <v>1</v>
      </c>
      <c r="R46" s="48">
        <v>2404</v>
      </c>
      <c r="T46" s="44">
        <v>418.56</v>
      </c>
      <c r="U46" s="45">
        <v>4.6E-5</v>
      </c>
      <c r="V46" s="45">
        <v>2.7317902748504298E-2</v>
      </c>
      <c r="W46" s="45">
        <v>1.8069293123285601E-2</v>
      </c>
    </row>
    <row r="47" spans="1:23" x14ac:dyDescent="0.25">
      <c r="A47">
        <v>1182</v>
      </c>
      <c r="B47">
        <v>14769</v>
      </c>
      <c r="C47" t="s">
        <v>1127</v>
      </c>
      <c r="D47" t="s">
        <v>1128</v>
      </c>
      <c r="E47" t="s">
        <v>210</v>
      </c>
      <c r="F47" t="s">
        <v>1259</v>
      </c>
      <c r="G47" t="s">
        <v>1260</v>
      </c>
      <c r="H47" t="s">
        <v>213</v>
      </c>
      <c r="I47" t="s">
        <v>1131</v>
      </c>
      <c r="J47" t="s">
        <v>71</v>
      </c>
      <c r="K47" t="s">
        <v>71</v>
      </c>
      <c r="L47" t="s">
        <v>117</v>
      </c>
      <c r="M47" t="s">
        <v>1132</v>
      </c>
      <c r="N47" t="s">
        <v>72</v>
      </c>
      <c r="O47" t="s">
        <v>81</v>
      </c>
      <c r="P47" s="44">
        <v>8515</v>
      </c>
      <c r="Q47" s="42">
        <v>1</v>
      </c>
      <c r="R47" s="48">
        <v>2395</v>
      </c>
      <c r="T47" s="44">
        <v>203.934</v>
      </c>
      <c r="U47" s="45">
        <v>3.4E-5</v>
      </c>
      <c r="V47" s="45">
        <v>1.33100395455174E-2</v>
      </c>
      <c r="W47" s="45">
        <v>8.8038605395373698E-3</v>
      </c>
    </row>
    <row r="48" spans="1:23" x14ac:dyDescent="0.25">
      <c r="A48">
        <v>1182</v>
      </c>
      <c r="B48">
        <v>14769</v>
      </c>
      <c r="C48" t="s">
        <v>1127</v>
      </c>
      <c r="D48" t="s">
        <v>1128</v>
      </c>
      <c r="E48" t="s">
        <v>210</v>
      </c>
      <c r="F48" t="s">
        <v>1129</v>
      </c>
      <c r="G48" t="s">
        <v>1130</v>
      </c>
      <c r="H48" t="s">
        <v>213</v>
      </c>
      <c r="I48" t="s">
        <v>1131</v>
      </c>
      <c r="J48" t="s">
        <v>71</v>
      </c>
      <c r="K48" t="s">
        <v>71</v>
      </c>
      <c r="L48" t="s">
        <v>117</v>
      </c>
      <c r="M48" t="s">
        <v>1132</v>
      </c>
      <c r="N48" t="s">
        <v>72</v>
      </c>
      <c r="O48" t="s">
        <v>81</v>
      </c>
      <c r="P48" s="44">
        <v>2701</v>
      </c>
      <c r="Q48" s="42">
        <v>1</v>
      </c>
      <c r="R48" s="48">
        <v>2397</v>
      </c>
      <c r="T48" s="44">
        <v>64.742999999999995</v>
      </c>
      <c r="U48" s="45">
        <v>1.2999999999999999E-5</v>
      </c>
      <c r="V48" s="45">
        <v>4.22553588224757E-3</v>
      </c>
      <c r="W48" s="45">
        <v>2.7949600363619698E-3</v>
      </c>
    </row>
    <row r="49" spans="1:23" x14ac:dyDescent="0.25">
      <c r="A49">
        <v>1182</v>
      </c>
      <c r="B49">
        <v>14769</v>
      </c>
      <c r="C49" t="s">
        <v>1133</v>
      </c>
      <c r="D49" t="s">
        <v>1134</v>
      </c>
      <c r="E49" t="s">
        <v>210</v>
      </c>
      <c r="F49" t="s">
        <v>1135</v>
      </c>
      <c r="G49" t="s">
        <v>1136</v>
      </c>
      <c r="H49" t="s">
        <v>213</v>
      </c>
      <c r="I49" t="s">
        <v>1125</v>
      </c>
      <c r="J49" t="s">
        <v>71</v>
      </c>
      <c r="K49" t="s">
        <v>291</v>
      </c>
      <c r="L49" t="s">
        <v>117</v>
      </c>
      <c r="M49" t="s">
        <v>1126</v>
      </c>
      <c r="N49" t="s">
        <v>72</v>
      </c>
      <c r="O49" t="s">
        <v>81</v>
      </c>
      <c r="P49" s="44">
        <v>7827</v>
      </c>
      <c r="Q49" s="42">
        <v>1</v>
      </c>
      <c r="R49" s="48">
        <v>10700</v>
      </c>
      <c r="T49" s="44">
        <v>837.48900000000003</v>
      </c>
      <c r="U49" s="45">
        <v>8.2399999999999997E-4</v>
      </c>
      <c r="V49" s="45">
        <v>5.4659831337481701E-2</v>
      </c>
      <c r="W49" s="45">
        <v>3.61544780212084E-2</v>
      </c>
    </row>
    <row r="50" spans="1:23" x14ac:dyDescent="0.25">
      <c r="A50">
        <v>1182</v>
      </c>
      <c r="B50">
        <v>14769</v>
      </c>
      <c r="C50" t="s">
        <v>1133</v>
      </c>
      <c r="D50" t="s">
        <v>1134</v>
      </c>
      <c r="E50" t="s">
        <v>210</v>
      </c>
      <c r="F50" t="s">
        <v>1137</v>
      </c>
      <c r="G50" t="s">
        <v>1138</v>
      </c>
      <c r="H50" t="s">
        <v>213</v>
      </c>
      <c r="I50" t="s">
        <v>1125</v>
      </c>
      <c r="J50" t="s">
        <v>71</v>
      </c>
      <c r="K50" t="s">
        <v>291</v>
      </c>
      <c r="L50" t="s">
        <v>117</v>
      </c>
      <c r="M50" t="s">
        <v>1126</v>
      </c>
      <c r="N50" t="s">
        <v>72</v>
      </c>
      <c r="O50" t="s">
        <v>81</v>
      </c>
      <c r="P50" s="44">
        <v>8196</v>
      </c>
      <c r="Q50" s="42">
        <v>1</v>
      </c>
      <c r="R50" s="48">
        <v>10210</v>
      </c>
      <c r="T50" s="44">
        <v>836.81200000000001</v>
      </c>
      <c r="U50" s="45">
        <v>1.2E-4</v>
      </c>
      <c r="V50" s="45">
        <v>5.4615619927244702E-2</v>
      </c>
      <c r="W50" s="45">
        <v>3.61252346002063E-2</v>
      </c>
    </row>
    <row r="51" spans="1:23" x14ac:dyDescent="0.25">
      <c r="A51">
        <v>1182</v>
      </c>
      <c r="B51">
        <v>14769</v>
      </c>
      <c r="C51" t="s">
        <v>1245</v>
      </c>
      <c r="D51" t="s">
        <v>1246</v>
      </c>
      <c r="E51" t="s">
        <v>210</v>
      </c>
      <c r="F51" t="s">
        <v>1261</v>
      </c>
      <c r="G51" t="s">
        <v>1262</v>
      </c>
      <c r="H51" t="s">
        <v>213</v>
      </c>
      <c r="I51" t="s">
        <v>1125</v>
      </c>
      <c r="J51" t="s">
        <v>71</v>
      </c>
      <c r="K51" t="s">
        <v>215</v>
      </c>
      <c r="L51" t="s">
        <v>117</v>
      </c>
      <c r="M51" t="s">
        <v>1126</v>
      </c>
      <c r="N51" t="s">
        <v>72</v>
      </c>
      <c r="O51" t="s">
        <v>81</v>
      </c>
      <c r="P51" s="44">
        <v>84260</v>
      </c>
      <c r="Q51" s="42">
        <v>1</v>
      </c>
      <c r="R51" s="48">
        <v>1457</v>
      </c>
      <c r="T51" s="44">
        <v>1227.6679999999999</v>
      </c>
      <c r="U51" s="45">
        <v>1.2459999999999999E-3</v>
      </c>
      <c r="V51" s="45">
        <v>8.0125394781769999E-2</v>
      </c>
      <c r="W51" s="45">
        <v>5.2998550374078197E-2</v>
      </c>
    </row>
    <row r="52" spans="1:23" x14ac:dyDescent="0.25">
      <c r="A52">
        <v>1182</v>
      </c>
      <c r="B52">
        <v>14769</v>
      </c>
      <c r="C52" t="s">
        <v>1245</v>
      </c>
      <c r="D52" t="s">
        <v>1246</v>
      </c>
      <c r="E52" t="s">
        <v>210</v>
      </c>
      <c r="F52" t="s">
        <v>1263</v>
      </c>
      <c r="G52" t="s">
        <v>1264</v>
      </c>
      <c r="H52" t="s">
        <v>213</v>
      </c>
      <c r="I52" t="s">
        <v>1125</v>
      </c>
      <c r="J52" t="s">
        <v>71</v>
      </c>
      <c r="K52" t="s">
        <v>291</v>
      </c>
      <c r="L52" t="s">
        <v>117</v>
      </c>
      <c r="M52" t="s">
        <v>1126</v>
      </c>
      <c r="N52" t="s">
        <v>72</v>
      </c>
      <c r="O52" t="s">
        <v>81</v>
      </c>
      <c r="P52" s="44">
        <v>995</v>
      </c>
      <c r="Q52" s="42">
        <v>1</v>
      </c>
      <c r="R52" s="48">
        <v>22550</v>
      </c>
      <c r="T52" s="44">
        <v>224.37299999999999</v>
      </c>
      <c r="U52" s="45">
        <v>3.4E-5</v>
      </c>
      <c r="V52" s="45">
        <v>1.4643969063198601E-2</v>
      </c>
      <c r="W52" s="45">
        <v>9.6861816929100803E-3</v>
      </c>
    </row>
    <row r="53" spans="1:23" x14ac:dyDescent="0.25">
      <c r="A53">
        <v>1182</v>
      </c>
      <c r="B53">
        <v>14769</v>
      </c>
      <c r="C53" t="s">
        <v>1245</v>
      </c>
      <c r="D53" t="s">
        <v>1246</v>
      </c>
      <c r="E53" t="s">
        <v>210</v>
      </c>
      <c r="F53" t="s">
        <v>1265</v>
      </c>
      <c r="G53" t="s">
        <v>1266</v>
      </c>
      <c r="H53" t="s">
        <v>213</v>
      </c>
      <c r="I53" t="s">
        <v>1125</v>
      </c>
      <c r="J53" t="s">
        <v>71</v>
      </c>
      <c r="K53" t="s">
        <v>71</v>
      </c>
      <c r="L53" t="s">
        <v>109</v>
      </c>
      <c r="M53" t="s">
        <v>1126</v>
      </c>
      <c r="N53" t="s">
        <v>72</v>
      </c>
      <c r="O53" t="s">
        <v>81</v>
      </c>
      <c r="P53" s="44">
        <v>68</v>
      </c>
      <c r="Q53" s="42">
        <v>1</v>
      </c>
      <c r="R53" s="48">
        <v>50350</v>
      </c>
      <c r="T53" s="44">
        <v>34.238</v>
      </c>
      <c r="U53" s="45">
        <v>3.4999999999999997E-5</v>
      </c>
      <c r="V53" s="45">
        <v>2.2345885203658802E-3</v>
      </c>
      <c r="W53" s="45">
        <v>1.47805764432743E-3</v>
      </c>
    </row>
    <row r="54" spans="1:23" x14ac:dyDescent="0.25">
      <c r="A54">
        <v>1182</v>
      </c>
      <c r="B54">
        <v>14769</v>
      </c>
      <c r="C54" t="s">
        <v>1141</v>
      </c>
      <c r="D54" t="s">
        <v>1142</v>
      </c>
      <c r="E54" t="s">
        <v>613</v>
      </c>
      <c r="F54" t="s">
        <v>1143</v>
      </c>
      <c r="G54" t="s">
        <v>1144</v>
      </c>
      <c r="H54" t="s">
        <v>213</v>
      </c>
      <c r="I54" t="s">
        <v>1125</v>
      </c>
      <c r="J54" t="s">
        <v>85</v>
      </c>
      <c r="K54" t="s">
        <v>291</v>
      </c>
      <c r="L54" t="s">
        <v>966</v>
      </c>
      <c r="M54" t="s">
        <v>1145</v>
      </c>
      <c r="N54" t="s">
        <v>72</v>
      </c>
      <c r="O54" t="s">
        <v>75</v>
      </c>
      <c r="P54" s="44">
        <v>174</v>
      </c>
      <c r="Q54" s="42">
        <v>3.718</v>
      </c>
      <c r="R54" s="48">
        <v>7885</v>
      </c>
      <c r="T54" s="44">
        <v>51.011000000000003</v>
      </c>
      <c r="U54" s="45">
        <v>9.9999999999999995E-7</v>
      </c>
      <c r="V54" s="45">
        <v>3.3292737545660102E-3</v>
      </c>
      <c r="W54" s="45">
        <v>2.20213183686688E-3</v>
      </c>
    </row>
    <row r="55" spans="1:23" x14ac:dyDescent="0.25">
      <c r="A55">
        <v>1182</v>
      </c>
      <c r="B55">
        <v>14769</v>
      </c>
      <c r="C55" t="s">
        <v>1146</v>
      </c>
      <c r="D55" t="s">
        <v>1147</v>
      </c>
      <c r="E55" t="s">
        <v>613</v>
      </c>
      <c r="F55" t="s">
        <v>1148</v>
      </c>
      <c r="G55" t="s">
        <v>1149</v>
      </c>
      <c r="H55" t="s">
        <v>213</v>
      </c>
      <c r="I55" t="s">
        <v>1125</v>
      </c>
      <c r="J55" t="s">
        <v>85</v>
      </c>
      <c r="K55" t="s">
        <v>291</v>
      </c>
      <c r="L55" t="s">
        <v>966</v>
      </c>
      <c r="M55" t="s">
        <v>1145</v>
      </c>
      <c r="N55" t="s">
        <v>72</v>
      </c>
      <c r="O55" t="s">
        <v>75</v>
      </c>
      <c r="P55" s="44">
        <v>66</v>
      </c>
      <c r="Q55" s="42">
        <v>3.718</v>
      </c>
      <c r="R55" s="48">
        <v>11655</v>
      </c>
      <c r="T55" s="44">
        <v>28.6</v>
      </c>
      <c r="U55" s="45">
        <v>3.0000000000000001E-6</v>
      </c>
      <c r="V55" s="45">
        <v>1.8666150993992799E-3</v>
      </c>
      <c r="W55" s="45">
        <v>1.2346634252969101E-3</v>
      </c>
    </row>
    <row r="56" spans="1:23" x14ac:dyDescent="0.25">
      <c r="A56">
        <v>1182</v>
      </c>
      <c r="B56">
        <v>14769</v>
      </c>
      <c r="C56" t="s">
        <v>1150</v>
      </c>
      <c r="D56" t="s">
        <v>1151</v>
      </c>
      <c r="E56" t="s">
        <v>613</v>
      </c>
      <c r="F56" t="s">
        <v>1152</v>
      </c>
      <c r="G56" t="s">
        <v>1153</v>
      </c>
      <c r="H56" t="s">
        <v>213</v>
      </c>
      <c r="I56" t="s">
        <v>1125</v>
      </c>
      <c r="J56" t="s">
        <v>85</v>
      </c>
      <c r="K56" t="s">
        <v>990</v>
      </c>
      <c r="L56" t="s">
        <v>936</v>
      </c>
      <c r="M56" t="s">
        <v>1145</v>
      </c>
      <c r="N56" t="s">
        <v>72</v>
      </c>
      <c r="O56" t="s">
        <v>75</v>
      </c>
      <c r="P56" s="44">
        <v>602</v>
      </c>
      <c r="Q56" s="42">
        <v>3.718</v>
      </c>
      <c r="R56" s="48">
        <v>13173.4</v>
      </c>
      <c r="T56" s="44">
        <v>294.85199999999998</v>
      </c>
      <c r="U56" s="45">
        <v>0</v>
      </c>
      <c r="V56" s="45">
        <v>1.9243892912336601E-2</v>
      </c>
      <c r="W56" s="45">
        <v>1.27287788183215E-2</v>
      </c>
    </row>
    <row r="57" spans="1:23" x14ac:dyDescent="0.25">
      <c r="A57">
        <v>1182</v>
      </c>
      <c r="B57">
        <v>14769</v>
      </c>
      <c r="C57" t="s">
        <v>1150</v>
      </c>
      <c r="D57" t="s">
        <v>1151</v>
      </c>
      <c r="E57" t="s">
        <v>613</v>
      </c>
      <c r="F57" t="s">
        <v>1267</v>
      </c>
      <c r="G57" t="s">
        <v>1268</v>
      </c>
      <c r="H57" t="s">
        <v>213</v>
      </c>
      <c r="I57" t="s">
        <v>1125</v>
      </c>
      <c r="J57" t="s">
        <v>85</v>
      </c>
      <c r="K57" t="s">
        <v>1156</v>
      </c>
      <c r="L57" t="s">
        <v>936</v>
      </c>
      <c r="M57" t="s">
        <v>1145</v>
      </c>
      <c r="N57" t="s">
        <v>72</v>
      </c>
      <c r="O57" t="s">
        <v>75</v>
      </c>
      <c r="P57" s="44">
        <v>1412</v>
      </c>
      <c r="Q57" s="42">
        <v>3.718</v>
      </c>
      <c r="R57" s="48">
        <v>5378</v>
      </c>
      <c r="T57" s="44">
        <v>282.33499999999998</v>
      </c>
      <c r="U57" s="45">
        <v>0</v>
      </c>
      <c r="V57" s="45">
        <v>1.8426975388962801E-2</v>
      </c>
      <c r="W57" s="45">
        <v>1.21884327191614E-2</v>
      </c>
    </row>
    <row r="58" spans="1:23" x14ac:dyDescent="0.25">
      <c r="A58">
        <v>1182</v>
      </c>
      <c r="B58">
        <v>14769</v>
      </c>
      <c r="C58" t="s">
        <v>1150</v>
      </c>
      <c r="D58" t="s">
        <v>1151</v>
      </c>
      <c r="E58" t="s">
        <v>613</v>
      </c>
      <c r="F58" t="s">
        <v>1157</v>
      </c>
      <c r="G58" t="s">
        <v>1158</v>
      </c>
      <c r="H58" t="s">
        <v>213</v>
      </c>
      <c r="I58" t="s">
        <v>1125</v>
      </c>
      <c r="J58" t="s">
        <v>85</v>
      </c>
      <c r="K58" t="s">
        <v>291</v>
      </c>
      <c r="L58" t="s">
        <v>1022</v>
      </c>
      <c r="M58" t="s">
        <v>1145</v>
      </c>
      <c r="N58" t="s">
        <v>72</v>
      </c>
      <c r="O58" t="s">
        <v>77</v>
      </c>
      <c r="P58" s="44">
        <v>180</v>
      </c>
      <c r="Q58" s="42">
        <v>4.0218999999999996</v>
      </c>
      <c r="R58" s="48">
        <v>7421.9</v>
      </c>
      <c r="T58" s="44">
        <v>53.73</v>
      </c>
      <c r="U58" s="45">
        <v>0</v>
      </c>
      <c r="V58" s="45">
        <v>3.5067761769637402E-3</v>
      </c>
      <c r="W58" s="45">
        <v>2.3195399457515802E-3</v>
      </c>
    </row>
    <row r="59" spans="1:23" x14ac:dyDescent="0.25">
      <c r="A59">
        <v>1182</v>
      </c>
      <c r="B59">
        <v>14769</v>
      </c>
      <c r="C59" t="s">
        <v>1141</v>
      </c>
      <c r="D59" t="s">
        <v>1142</v>
      </c>
      <c r="E59" t="s">
        <v>613</v>
      </c>
      <c r="F59" t="s">
        <v>1159</v>
      </c>
      <c r="G59" t="s">
        <v>1160</v>
      </c>
      <c r="H59" t="s">
        <v>213</v>
      </c>
      <c r="I59" t="s">
        <v>1125</v>
      </c>
      <c r="J59" t="s">
        <v>85</v>
      </c>
      <c r="K59" t="s">
        <v>291</v>
      </c>
      <c r="L59" t="s">
        <v>966</v>
      </c>
      <c r="M59" t="s">
        <v>1145</v>
      </c>
      <c r="N59" t="s">
        <v>72</v>
      </c>
      <c r="O59" t="s">
        <v>75</v>
      </c>
      <c r="P59" s="44">
        <v>261</v>
      </c>
      <c r="Q59" s="42">
        <v>3.718</v>
      </c>
      <c r="R59" s="48">
        <v>9645</v>
      </c>
      <c r="T59" s="44">
        <v>93.594999999999999</v>
      </c>
      <c r="U59" s="45">
        <v>1.9999999999999999E-6</v>
      </c>
      <c r="V59" s="45">
        <v>6.1085945522110002E-3</v>
      </c>
      <c r="W59" s="45">
        <v>4.0404999809602604E-3</v>
      </c>
    </row>
    <row r="60" spans="1:23" x14ac:dyDescent="0.25">
      <c r="A60">
        <v>1182</v>
      </c>
      <c r="B60">
        <v>14769</v>
      </c>
      <c r="C60" t="s">
        <v>1141</v>
      </c>
      <c r="D60" t="s">
        <v>1142</v>
      </c>
      <c r="E60" t="s">
        <v>613</v>
      </c>
      <c r="F60" t="s">
        <v>1161</v>
      </c>
      <c r="G60" t="s">
        <v>1162</v>
      </c>
      <c r="H60" t="s">
        <v>213</v>
      </c>
      <c r="I60" t="s">
        <v>1125</v>
      </c>
      <c r="J60" t="s">
        <v>85</v>
      </c>
      <c r="K60" t="s">
        <v>291</v>
      </c>
      <c r="L60" t="s">
        <v>966</v>
      </c>
      <c r="M60" t="s">
        <v>1145</v>
      </c>
      <c r="N60" t="s">
        <v>72</v>
      </c>
      <c r="O60" t="s">
        <v>75</v>
      </c>
      <c r="P60" s="44">
        <v>91</v>
      </c>
      <c r="Q60" s="42">
        <v>3.718</v>
      </c>
      <c r="R60" s="48">
        <v>19746</v>
      </c>
      <c r="T60" s="44">
        <v>66.808000000000007</v>
      </c>
      <c r="U60" s="45">
        <v>9.9999999999999995E-7</v>
      </c>
      <c r="V60" s="45">
        <v>4.3603272616761796E-3</v>
      </c>
      <c r="W60" s="45">
        <v>2.8841171348336302E-3</v>
      </c>
    </row>
    <row r="61" spans="1:23" x14ac:dyDescent="0.25">
      <c r="A61">
        <v>1182</v>
      </c>
      <c r="B61">
        <v>14769</v>
      </c>
      <c r="C61" t="s">
        <v>1163</v>
      </c>
      <c r="D61" t="s">
        <v>1164</v>
      </c>
      <c r="E61" t="s">
        <v>613</v>
      </c>
      <c r="F61" t="s">
        <v>1165</v>
      </c>
      <c r="G61" t="s">
        <v>1166</v>
      </c>
      <c r="H61" t="s">
        <v>213</v>
      </c>
      <c r="I61" t="s">
        <v>1125</v>
      </c>
      <c r="J61" t="s">
        <v>85</v>
      </c>
      <c r="L61" t="s">
        <v>286</v>
      </c>
      <c r="M61" t="s">
        <v>1145</v>
      </c>
      <c r="N61" t="s">
        <v>72</v>
      </c>
      <c r="O61" t="s">
        <v>77</v>
      </c>
      <c r="P61" s="44">
        <v>1666</v>
      </c>
      <c r="Q61" s="42">
        <v>4.0218999999999996</v>
      </c>
      <c r="R61" s="48">
        <v>9495</v>
      </c>
      <c r="T61" s="44">
        <v>636.21100000000001</v>
      </c>
      <c r="U61" s="45">
        <v>0</v>
      </c>
      <c r="V61" s="45">
        <v>4.1523161265422499E-2</v>
      </c>
      <c r="W61" s="45">
        <v>2.7465291871699601E-2</v>
      </c>
    </row>
    <row r="62" spans="1:23" x14ac:dyDescent="0.25">
      <c r="A62">
        <v>1182</v>
      </c>
      <c r="B62">
        <v>14769</v>
      </c>
      <c r="C62" t="s">
        <v>1141</v>
      </c>
      <c r="D62" t="s">
        <v>1142</v>
      </c>
      <c r="E62" t="s">
        <v>613</v>
      </c>
      <c r="F62" t="s">
        <v>1167</v>
      </c>
      <c r="G62" t="s">
        <v>1168</v>
      </c>
      <c r="H62" t="s">
        <v>213</v>
      </c>
      <c r="I62" t="s">
        <v>1125</v>
      </c>
      <c r="J62" t="s">
        <v>85</v>
      </c>
      <c r="K62" t="s">
        <v>291</v>
      </c>
      <c r="L62" t="s">
        <v>966</v>
      </c>
      <c r="M62" t="s">
        <v>1145</v>
      </c>
      <c r="N62" t="s">
        <v>72</v>
      </c>
      <c r="O62" t="s">
        <v>75</v>
      </c>
      <c r="P62" s="44">
        <v>1117</v>
      </c>
      <c r="Q62" s="42">
        <v>3.718</v>
      </c>
      <c r="R62" s="48">
        <v>4981</v>
      </c>
      <c r="T62" s="44">
        <v>206.86099999999999</v>
      </c>
      <c r="U62" s="45">
        <v>9.9999999999999995E-7</v>
      </c>
      <c r="V62" s="45">
        <v>1.35010727063302E-2</v>
      </c>
      <c r="W62" s="45">
        <v>8.9302184891491398E-3</v>
      </c>
    </row>
    <row r="63" spans="1:23" x14ac:dyDescent="0.25">
      <c r="A63">
        <v>1182</v>
      </c>
      <c r="B63">
        <v>14769</v>
      </c>
      <c r="C63" t="s">
        <v>1169</v>
      </c>
      <c r="D63" t="s">
        <v>1170</v>
      </c>
      <c r="E63" t="s">
        <v>613</v>
      </c>
      <c r="F63" t="s">
        <v>1171</v>
      </c>
      <c r="G63" t="s">
        <v>1172</v>
      </c>
      <c r="H63" t="s">
        <v>213</v>
      </c>
      <c r="I63" t="s">
        <v>1125</v>
      </c>
      <c r="J63" t="s">
        <v>85</v>
      </c>
      <c r="K63" t="s">
        <v>215</v>
      </c>
      <c r="L63" t="s">
        <v>936</v>
      </c>
      <c r="M63" t="s">
        <v>1145</v>
      </c>
      <c r="N63" t="s">
        <v>72</v>
      </c>
      <c r="O63" t="s">
        <v>75</v>
      </c>
      <c r="P63" s="44">
        <v>116</v>
      </c>
      <c r="Q63" s="42">
        <v>3.718</v>
      </c>
      <c r="R63" s="48">
        <v>11313</v>
      </c>
      <c r="T63" s="44">
        <v>48.792000000000002</v>
      </c>
      <c r="U63" s="45">
        <v>1.5999999999999999E-5</v>
      </c>
      <c r="V63" s="45">
        <v>3.1844492906705E-3</v>
      </c>
      <c r="W63" s="45">
        <v>2.10633840376031E-3</v>
      </c>
    </row>
    <row r="64" spans="1:23" x14ac:dyDescent="0.25">
      <c r="A64">
        <v>1182</v>
      </c>
      <c r="B64">
        <v>14769</v>
      </c>
      <c r="C64" t="s">
        <v>1173</v>
      </c>
      <c r="D64" t="s">
        <v>1174</v>
      </c>
      <c r="E64" t="s">
        <v>613</v>
      </c>
      <c r="F64" t="s">
        <v>1175</v>
      </c>
      <c r="G64" t="s">
        <v>1176</v>
      </c>
      <c r="H64" t="s">
        <v>213</v>
      </c>
      <c r="I64" t="s">
        <v>1125</v>
      </c>
      <c r="J64" t="s">
        <v>85</v>
      </c>
      <c r="K64" t="s">
        <v>984</v>
      </c>
      <c r="L64" t="s">
        <v>966</v>
      </c>
      <c r="M64" t="s">
        <v>1145</v>
      </c>
      <c r="N64" t="s">
        <v>72</v>
      </c>
      <c r="O64" t="s">
        <v>75</v>
      </c>
      <c r="P64" s="44">
        <v>766</v>
      </c>
      <c r="Q64" s="42">
        <v>3.718</v>
      </c>
      <c r="R64" s="48">
        <v>3773</v>
      </c>
      <c r="T64" s="44">
        <v>107.455</v>
      </c>
      <c r="U64" s="45">
        <v>5.0000000000000004E-6</v>
      </c>
      <c r="V64" s="45">
        <v>7.0131662803656104E-3</v>
      </c>
      <c r="W64" s="45">
        <v>4.6388245250344696E-3</v>
      </c>
    </row>
    <row r="65" spans="1:23" x14ac:dyDescent="0.25">
      <c r="A65">
        <v>1182</v>
      </c>
      <c r="B65">
        <v>14769</v>
      </c>
      <c r="C65" t="s">
        <v>1141</v>
      </c>
      <c r="D65" t="s">
        <v>1142</v>
      </c>
      <c r="E65" t="s">
        <v>613</v>
      </c>
      <c r="F65" t="s">
        <v>1177</v>
      </c>
      <c r="G65" t="s">
        <v>1178</v>
      </c>
      <c r="H65" t="s">
        <v>213</v>
      </c>
      <c r="I65" t="s">
        <v>1125</v>
      </c>
      <c r="J65" t="s">
        <v>85</v>
      </c>
      <c r="K65" t="s">
        <v>291</v>
      </c>
      <c r="L65" t="s">
        <v>966</v>
      </c>
      <c r="M65" t="s">
        <v>1145</v>
      </c>
      <c r="N65" t="s">
        <v>72</v>
      </c>
      <c r="O65" t="s">
        <v>75</v>
      </c>
      <c r="P65" s="44">
        <v>179</v>
      </c>
      <c r="Q65" s="42">
        <v>3.718</v>
      </c>
      <c r="R65" s="48">
        <v>14601</v>
      </c>
      <c r="T65" s="44">
        <v>97.173000000000002</v>
      </c>
      <c r="U65" s="45">
        <v>9.9999999999999995E-7</v>
      </c>
      <c r="V65" s="45">
        <v>6.3421161744508896E-3</v>
      </c>
      <c r="W65" s="45">
        <v>4.19496171551302E-3</v>
      </c>
    </row>
    <row r="66" spans="1:23" x14ac:dyDescent="0.25">
      <c r="A66">
        <v>1182</v>
      </c>
      <c r="B66">
        <v>14769</v>
      </c>
      <c r="C66" t="s">
        <v>1179</v>
      </c>
      <c r="D66" t="s">
        <v>1180</v>
      </c>
      <c r="E66" t="s">
        <v>613</v>
      </c>
      <c r="F66" t="s">
        <v>1181</v>
      </c>
      <c r="G66" t="s">
        <v>1182</v>
      </c>
      <c r="H66" t="s">
        <v>213</v>
      </c>
      <c r="I66" t="s">
        <v>1125</v>
      </c>
      <c r="J66" t="s">
        <v>85</v>
      </c>
      <c r="L66" t="s">
        <v>286</v>
      </c>
      <c r="M66" t="s">
        <v>1145</v>
      </c>
      <c r="N66" t="s">
        <v>72</v>
      </c>
      <c r="O66" t="s">
        <v>75</v>
      </c>
      <c r="P66" s="44">
        <v>431</v>
      </c>
      <c r="Q66" s="42">
        <v>3.718</v>
      </c>
      <c r="R66" s="48">
        <v>8899</v>
      </c>
      <c r="T66" s="44">
        <v>142.60300000000001</v>
      </c>
      <c r="U66" s="45">
        <v>3.9999999999999998E-6</v>
      </c>
      <c r="V66" s="45">
        <v>9.30715696043816E-3</v>
      </c>
      <c r="W66" s="45">
        <v>6.1561734372816103E-3</v>
      </c>
    </row>
    <row r="67" spans="1:23" x14ac:dyDescent="0.25">
      <c r="A67">
        <v>1182</v>
      </c>
      <c r="B67">
        <v>14769</v>
      </c>
      <c r="C67" t="s">
        <v>1141</v>
      </c>
      <c r="D67" t="s">
        <v>1142</v>
      </c>
      <c r="E67" t="s">
        <v>613</v>
      </c>
      <c r="F67" t="s">
        <v>1183</v>
      </c>
      <c r="G67" t="s">
        <v>1184</v>
      </c>
      <c r="H67" t="s">
        <v>213</v>
      </c>
      <c r="I67" t="s">
        <v>1125</v>
      </c>
      <c r="J67" t="s">
        <v>85</v>
      </c>
      <c r="K67" t="s">
        <v>291</v>
      </c>
      <c r="L67" t="s">
        <v>966</v>
      </c>
      <c r="M67" t="s">
        <v>1145</v>
      </c>
      <c r="N67" t="s">
        <v>72</v>
      </c>
      <c r="O67" t="s">
        <v>75</v>
      </c>
      <c r="P67" s="44">
        <v>53</v>
      </c>
      <c r="Q67" s="42">
        <v>3.718</v>
      </c>
      <c r="R67" s="48">
        <v>13107</v>
      </c>
      <c r="T67" s="44">
        <v>25.827999999999999</v>
      </c>
      <c r="U67" s="45">
        <v>0</v>
      </c>
      <c r="V67" s="45">
        <v>1.68569007671931E-3</v>
      </c>
      <c r="W67" s="45">
        <v>1.11499145420022E-3</v>
      </c>
    </row>
    <row r="68" spans="1:23" x14ac:dyDescent="0.25">
      <c r="A68">
        <v>1182</v>
      </c>
      <c r="B68">
        <v>14769</v>
      </c>
      <c r="C68" t="s">
        <v>1146</v>
      </c>
      <c r="D68" t="s">
        <v>1147</v>
      </c>
      <c r="E68" t="s">
        <v>613</v>
      </c>
      <c r="F68" t="s">
        <v>1269</v>
      </c>
      <c r="G68" t="s">
        <v>1270</v>
      </c>
      <c r="H68" t="s">
        <v>213</v>
      </c>
      <c r="I68" t="s">
        <v>1125</v>
      </c>
      <c r="J68" t="s">
        <v>85</v>
      </c>
      <c r="K68" t="s">
        <v>291</v>
      </c>
      <c r="L68" t="s">
        <v>936</v>
      </c>
      <c r="M68" t="s">
        <v>1145</v>
      </c>
      <c r="N68" t="s">
        <v>72</v>
      </c>
      <c r="O68" t="s">
        <v>75</v>
      </c>
      <c r="P68" s="44">
        <v>466</v>
      </c>
      <c r="Q68" s="42">
        <v>3.718</v>
      </c>
      <c r="R68" s="48">
        <v>4893</v>
      </c>
      <c r="T68" s="44">
        <v>84.775999999999996</v>
      </c>
      <c r="U68" s="45">
        <v>0</v>
      </c>
      <c r="V68" s="45">
        <v>5.5329875583558404E-3</v>
      </c>
      <c r="W68" s="45">
        <v>3.6597675509661E-3</v>
      </c>
    </row>
    <row r="69" spans="1:23" x14ac:dyDescent="0.25">
      <c r="A69">
        <v>1182</v>
      </c>
      <c r="B69">
        <v>14769</v>
      </c>
      <c r="C69" t="s">
        <v>1179</v>
      </c>
      <c r="D69" t="s">
        <v>1180</v>
      </c>
      <c r="E69" t="s">
        <v>613</v>
      </c>
      <c r="F69" t="s">
        <v>1185</v>
      </c>
      <c r="G69" t="s">
        <v>1186</v>
      </c>
      <c r="H69" t="s">
        <v>213</v>
      </c>
      <c r="I69" t="s">
        <v>1125</v>
      </c>
      <c r="J69" t="s">
        <v>85</v>
      </c>
      <c r="K69" t="s">
        <v>604</v>
      </c>
      <c r="L69" t="s">
        <v>1187</v>
      </c>
      <c r="M69" t="s">
        <v>1145</v>
      </c>
      <c r="N69" t="s">
        <v>72</v>
      </c>
      <c r="O69" t="s">
        <v>79</v>
      </c>
      <c r="P69" s="44">
        <v>7240</v>
      </c>
      <c r="Q69" s="42">
        <v>4.8108000000000004</v>
      </c>
      <c r="R69" s="48">
        <v>838.1</v>
      </c>
      <c r="T69" s="44">
        <v>291.91199999999998</v>
      </c>
      <c r="U69" s="45">
        <v>1.2E-5</v>
      </c>
      <c r="V69" s="45">
        <v>1.9052013690284201E-2</v>
      </c>
      <c r="W69" s="45">
        <v>1.2601861245642E-2</v>
      </c>
    </row>
    <row r="70" spans="1:23" x14ac:dyDescent="0.25">
      <c r="A70">
        <v>1182</v>
      </c>
      <c r="B70">
        <v>14769</v>
      </c>
      <c r="C70" t="s">
        <v>1179</v>
      </c>
      <c r="D70" t="s">
        <v>1180</v>
      </c>
      <c r="E70" t="s">
        <v>613</v>
      </c>
      <c r="F70" t="s">
        <v>1188</v>
      </c>
      <c r="G70" t="s">
        <v>1189</v>
      </c>
      <c r="H70" t="s">
        <v>213</v>
      </c>
      <c r="I70" t="s">
        <v>1125</v>
      </c>
      <c r="J70" t="s">
        <v>85</v>
      </c>
      <c r="K70" t="s">
        <v>1053</v>
      </c>
      <c r="L70" t="s">
        <v>966</v>
      </c>
      <c r="M70" t="s">
        <v>1145</v>
      </c>
      <c r="N70" t="s">
        <v>72</v>
      </c>
      <c r="O70" t="s">
        <v>75</v>
      </c>
      <c r="P70" s="44">
        <v>3105</v>
      </c>
      <c r="Q70" s="42">
        <v>3.718</v>
      </c>
      <c r="R70" s="48">
        <v>3584</v>
      </c>
      <c r="T70" s="44">
        <v>413.75099999999998</v>
      </c>
      <c r="U70" s="45">
        <v>1.8E-5</v>
      </c>
      <c r="V70" s="45">
        <v>2.7004004189835201E-2</v>
      </c>
      <c r="W70" s="45">
        <v>1.7861666457366698E-2</v>
      </c>
    </row>
    <row r="71" spans="1:23" x14ac:dyDescent="0.25">
      <c r="A71">
        <v>1182</v>
      </c>
      <c r="B71">
        <v>14769</v>
      </c>
      <c r="C71" t="s">
        <v>1179</v>
      </c>
      <c r="D71" t="s">
        <v>1180</v>
      </c>
      <c r="E71" t="s">
        <v>613</v>
      </c>
      <c r="F71" t="s">
        <v>1190</v>
      </c>
      <c r="G71" t="s">
        <v>1191</v>
      </c>
      <c r="H71" t="s">
        <v>213</v>
      </c>
      <c r="I71" t="s">
        <v>1192</v>
      </c>
      <c r="J71" t="s">
        <v>85</v>
      </c>
      <c r="K71" t="s">
        <v>1193</v>
      </c>
      <c r="L71" t="s">
        <v>1187</v>
      </c>
      <c r="M71" t="s">
        <v>1194</v>
      </c>
      <c r="N71" t="s">
        <v>72</v>
      </c>
      <c r="O71" t="s">
        <v>75</v>
      </c>
      <c r="P71" s="44">
        <v>1047</v>
      </c>
      <c r="Q71" s="42">
        <v>3.718</v>
      </c>
      <c r="R71" s="48">
        <v>630.95000000000005</v>
      </c>
      <c r="T71" s="44">
        <v>24.561</v>
      </c>
      <c r="U71" s="45">
        <v>0</v>
      </c>
      <c r="V71" s="45">
        <v>1.6030246017749901E-3</v>
      </c>
      <c r="W71" s="45">
        <v>1.06031278022967E-3</v>
      </c>
    </row>
    <row r="72" spans="1:23" x14ac:dyDescent="0.25">
      <c r="A72">
        <v>1182</v>
      </c>
      <c r="B72">
        <v>14769</v>
      </c>
      <c r="C72" t="s">
        <v>1179</v>
      </c>
      <c r="D72" t="s">
        <v>1180</v>
      </c>
      <c r="E72" t="s">
        <v>613</v>
      </c>
      <c r="F72" t="s">
        <v>1195</v>
      </c>
      <c r="G72" t="s">
        <v>1196</v>
      </c>
      <c r="H72" t="s">
        <v>213</v>
      </c>
      <c r="I72" t="s">
        <v>1125</v>
      </c>
      <c r="J72" t="s">
        <v>85</v>
      </c>
      <c r="K72" t="s">
        <v>291</v>
      </c>
      <c r="L72" t="s">
        <v>936</v>
      </c>
      <c r="M72" t="s">
        <v>1145</v>
      </c>
      <c r="N72" t="s">
        <v>72</v>
      </c>
      <c r="O72" t="s">
        <v>75</v>
      </c>
      <c r="P72" s="44">
        <v>102</v>
      </c>
      <c r="Q72" s="42">
        <v>3.718</v>
      </c>
      <c r="R72" s="48">
        <v>5509</v>
      </c>
      <c r="T72" s="44">
        <v>20.891999999999999</v>
      </c>
      <c r="U72" s="45">
        <v>0</v>
      </c>
      <c r="V72" s="45">
        <v>1.36355137400289E-3</v>
      </c>
      <c r="W72" s="45">
        <v>9.0191438531517405E-4</v>
      </c>
    </row>
    <row r="73" spans="1:23" x14ac:dyDescent="0.25">
      <c r="A73">
        <v>1182</v>
      </c>
      <c r="B73">
        <v>14769</v>
      </c>
      <c r="C73" t="s">
        <v>1179</v>
      </c>
      <c r="D73" t="s">
        <v>1180</v>
      </c>
      <c r="E73" t="s">
        <v>613</v>
      </c>
      <c r="F73" t="s">
        <v>1197</v>
      </c>
      <c r="G73" t="s">
        <v>1198</v>
      </c>
      <c r="H73" t="s">
        <v>213</v>
      </c>
      <c r="I73" t="s">
        <v>1125</v>
      </c>
      <c r="J73" t="s">
        <v>85</v>
      </c>
      <c r="K73" t="s">
        <v>1199</v>
      </c>
      <c r="L73" t="s">
        <v>1200</v>
      </c>
      <c r="M73" t="s">
        <v>1145</v>
      </c>
      <c r="N73" t="s">
        <v>72</v>
      </c>
      <c r="O73" t="s">
        <v>77</v>
      </c>
      <c r="P73" s="44">
        <v>395</v>
      </c>
      <c r="Q73" s="42">
        <v>4.0218999999999996</v>
      </c>
      <c r="R73" s="48">
        <v>9391</v>
      </c>
      <c r="T73" s="44">
        <v>149.19</v>
      </c>
      <c r="U73" s="45">
        <v>7.8999999999999996E-5</v>
      </c>
      <c r="V73" s="45">
        <v>9.7370943916407007E-3</v>
      </c>
      <c r="W73" s="45">
        <v>6.4405534477308601E-3</v>
      </c>
    </row>
    <row r="74" spans="1:23" x14ac:dyDescent="0.25">
      <c r="A74">
        <v>1182</v>
      </c>
      <c r="B74">
        <v>14769</v>
      </c>
      <c r="C74" t="s">
        <v>1179</v>
      </c>
      <c r="D74" t="s">
        <v>1180</v>
      </c>
      <c r="E74" t="s">
        <v>613</v>
      </c>
      <c r="F74" t="s">
        <v>1271</v>
      </c>
      <c r="G74" t="s">
        <v>1272</v>
      </c>
      <c r="H74" t="s">
        <v>213</v>
      </c>
      <c r="I74" t="s">
        <v>1125</v>
      </c>
      <c r="J74" t="s">
        <v>85</v>
      </c>
      <c r="K74" t="s">
        <v>291</v>
      </c>
      <c r="L74" t="s">
        <v>966</v>
      </c>
      <c r="M74" t="s">
        <v>1145</v>
      </c>
      <c r="N74" t="s">
        <v>72</v>
      </c>
      <c r="O74" t="s">
        <v>75</v>
      </c>
      <c r="P74" s="44">
        <v>234</v>
      </c>
      <c r="Q74" s="42">
        <v>3.718</v>
      </c>
      <c r="R74" s="48">
        <v>56190</v>
      </c>
      <c r="T74" s="44">
        <v>488.86</v>
      </c>
      <c r="U74" s="45">
        <v>0</v>
      </c>
      <c r="V74" s="45">
        <v>3.1906080066881698E-2</v>
      </c>
      <c r="W74" s="45">
        <v>2.1104120563393901E-2</v>
      </c>
    </row>
    <row r="75" spans="1:23" x14ac:dyDescent="0.25">
      <c r="A75">
        <v>1182</v>
      </c>
      <c r="B75">
        <v>14769</v>
      </c>
      <c r="C75" t="s">
        <v>1203</v>
      </c>
      <c r="D75" t="s">
        <v>1151</v>
      </c>
      <c r="E75" t="s">
        <v>613</v>
      </c>
      <c r="F75" t="s">
        <v>1204</v>
      </c>
      <c r="G75" t="s">
        <v>1205</v>
      </c>
      <c r="H75" t="s">
        <v>213</v>
      </c>
      <c r="I75" t="s">
        <v>1125</v>
      </c>
      <c r="J75" t="s">
        <v>85</v>
      </c>
      <c r="K75" t="s">
        <v>1199</v>
      </c>
      <c r="L75" t="s">
        <v>1206</v>
      </c>
      <c r="M75" t="s">
        <v>1145</v>
      </c>
      <c r="N75" t="s">
        <v>72</v>
      </c>
      <c r="O75" t="s">
        <v>77</v>
      </c>
      <c r="P75" s="44">
        <v>229</v>
      </c>
      <c r="Q75" s="42">
        <v>4.0218999999999996</v>
      </c>
      <c r="R75" s="48">
        <v>25113</v>
      </c>
      <c r="T75" s="44">
        <v>231.29499999999999</v>
      </c>
      <c r="U75" s="45">
        <v>1.0000000000000001E-5</v>
      </c>
      <c r="V75" s="45">
        <v>1.5095744022007499E-2</v>
      </c>
      <c r="W75" s="45">
        <v>9.9850060291569506E-3</v>
      </c>
    </row>
    <row r="76" spans="1:23" x14ac:dyDescent="0.25">
      <c r="A76">
        <v>1182</v>
      </c>
      <c r="B76">
        <v>14769</v>
      </c>
      <c r="C76" t="s">
        <v>1203</v>
      </c>
      <c r="D76" t="s">
        <v>1151</v>
      </c>
      <c r="E76" t="s">
        <v>613</v>
      </c>
      <c r="F76" t="s">
        <v>1273</v>
      </c>
      <c r="G76" t="s">
        <v>1274</v>
      </c>
      <c r="H76" t="s">
        <v>213</v>
      </c>
      <c r="I76" t="s">
        <v>1125</v>
      </c>
      <c r="J76" t="s">
        <v>85</v>
      </c>
      <c r="K76" t="s">
        <v>291</v>
      </c>
      <c r="L76" t="s">
        <v>1187</v>
      </c>
      <c r="M76" t="s">
        <v>1145</v>
      </c>
      <c r="N76" t="s">
        <v>72</v>
      </c>
      <c r="O76" t="s">
        <v>75</v>
      </c>
      <c r="P76" s="44">
        <v>150</v>
      </c>
      <c r="Q76" s="42">
        <v>3.718</v>
      </c>
      <c r="R76" s="48">
        <v>39730</v>
      </c>
      <c r="T76" s="44">
        <v>221.57400000000001</v>
      </c>
      <c r="U76" s="45">
        <v>1.7E-5</v>
      </c>
      <c r="V76" s="45">
        <v>1.44613349516659E-2</v>
      </c>
      <c r="W76" s="45">
        <v>9.5653792533533007E-3</v>
      </c>
    </row>
    <row r="77" spans="1:23" x14ac:dyDescent="0.25">
      <c r="A77">
        <v>1182</v>
      </c>
      <c r="B77">
        <v>14769</v>
      </c>
      <c r="C77" t="s">
        <v>1203</v>
      </c>
      <c r="D77" t="s">
        <v>1151</v>
      </c>
      <c r="E77" t="s">
        <v>613</v>
      </c>
      <c r="F77" t="s">
        <v>1207</v>
      </c>
      <c r="G77" t="s">
        <v>1208</v>
      </c>
      <c r="H77" t="s">
        <v>213</v>
      </c>
      <c r="I77" t="s">
        <v>1125</v>
      </c>
      <c r="J77" t="s">
        <v>85</v>
      </c>
      <c r="K77" t="s">
        <v>990</v>
      </c>
      <c r="L77" t="s">
        <v>1206</v>
      </c>
      <c r="M77" t="s">
        <v>1145</v>
      </c>
      <c r="N77" t="s">
        <v>72</v>
      </c>
      <c r="O77" t="s">
        <v>77</v>
      </c>
      <c r="P77" s="44">
        <v>113</v>
      </c>
      <c r="Q77" s="42">
        <v>4.0218999999999996</v>
      </c>
      <c r="R77" s="48">
        <v>14313.1</v>
      </c>
      <c r="T77" s="44">
        <v>65.049000000000007</v>
      </c>
      <c r="U77" s="45">
        <v>3.4999999999999997E-5</v>
      </c>
      <c r="V77" s="45">
        <v>4.2455366364187001E-3</v>
      </c>
      <c r="W77" s="45">
        <v>2.8081894373570599E-3</v>
      </c>
    </row>
    <row r="78" spans="1:23" x14ac:dyDescent="0.25">
      <c r="A78">
        <v>1182</v>
      </c>
      <c r="B78">
        <v>14769</v>
      </c>
      <c r="C78" t="s">
        <v>1211</v>
      </c>
      <c r="D78" t="s">
        <v>1212</v>
      </c>
      <c r="E78" t="s">
        <v>613</v>
      </c>
      <c r="F78" t="s">
        <v>1213</v>
      </c>
      <c r="G78" t="s">
        <v>1214</v>
      </c>
      <c r="H78" t="s">
        <v>213</v>
      </c>
      <c r="I78" t="s">
        <v>1125</v>
      </c>
      <c r="J78" t="s">
        <v>85</v>
      </c>
      <c r="K78" t="s">
        <v>291</v>
      </c>
      <c r="L78" t="s">
        <v>1022</v>
      </c>
      <c r="M78" t="s">
        <v>1145</v>
      </c>
      <c r="N78" t="s">
        <v>72</v>
      </c>
      <c r="O78" t="s">
        <v>75</v>
      </c>
      <c r="P78" s="44">
        <v>427</v>
      </c>
      <c r="Q78" s="42">
        <v>3.718</v>
      </c>
      <c r="R78" s="48">
        <v>7694</v>
      </c>
      <c r="T78" s="44">
        <v>122.149</v>
      </c>
      <c r="U78" s="45">
        <v>9.0000000000000002E-6</v>
      </c>
      <c r="V78" s="45">
        <v>7.9722079448672298E-3</v>
      </c>
      <c r="W78" s="45">
        <v>5.2731779420174896E-3</v>
      </c>
    </row>
    <row r="79" spans="1:23" x14ac:dyDescent="0.25">
      <c r="A79">
        <v>1182</v>
      </c>
      <c r="B79">
        <v>14769</v>
      </c>
      <c r="C79" t="s">
        <v>1141</v>
      </c>
      <c r="D79" t="s">
        <v>1142</v>
      </c>
      <c r="E79" t="s">
        <v>613</v>
      </c>
      <c r="F79" t="s">
        <v>1215</v>
      </c>
      <c r="G79" t="s">
        <v>1216</v>
      </c>
      <c r="H79" t="s">
        <v>213</v>
      </c>
      <c r="I79" t="s">
        <v>1125</v>
      </c>
      <c r="J79" t="s">
        <v>85</v>
      </c>
      <c r="K79" t="s">
        <v>291</v>
      </c>
      <c r="L79" t="s">
        <v>966</v>
      </c>
      <c r="M79" t="s">
        <v>1145</v>
      </c>
      <c r="N79" t="s">
        <v>72</v>
      </c>
      <c r="O79" t="s">
        <v>75</v>
      </c>
      <c r="P79" s="44">
        <v>445</v>
      </c>
      <c r="Q79" s="42">
        <v>3.718</v>
      </c>
      <c r="R79" s="48">
        <v>9345</v>
      </c>
      <c r="T79" s="44">
        <v>154.614</v>
      </c>
      <c r="U79" s="45">
        <v>9.9999999999999995E-7</v>
      </c>
      <c r="V79" s="45">
        <v>1.00910853141835E-2</v>
      </c>
      <c r="W79" s="45">
        <v>6.6746990115867204E-3</v>
      </c>
    </row>
    <row r="80" spans="1:23" x14ac:dyDescent="0.25">
      <c r="A80">
        <v>1182</v>
      </c>
      <c r="B80">
        <v>14769</v>
      </c>
      <c r="C80" t="s">
        <v>1146</v>
      </c>
      <c r="D80" t="s">
        <v>1147</v>
      </c>
      <c r="E80" t="s">
        <v>613</v>
      </c>
      <c r="F80" t="s">
        <v>1217</v>
      </c>
      <c r="G80" t="s">
        <v>1218</v>
      </c>
      <c r="H80" t="s">
        <v>213</v>
      </c>
      <c r="I80" t="s">
        <v>1125</v>
      </c>
      <c r="J80" t="s">
        <v>85</v>
      </c>
      <c r="K80" t="s">
        <v>291</v>
      </c>
      <c r="L80" t="s">
        <v>936</v>
      </c>
      <c r="M80" t="s">
        <v>1145</v>
      </c>
      <c r="N80" t="s">
        <v>72</v>
      </c>
      <c r="O80" t="s">
        <v>75</v>
      </c>
      <c r="P80" s="44">
        <v>385</v>
      </c>
      <c r="Q80" s="42">
        <v>3.718</v>
      </c>
      <c r="R80" s="48">
        <v>46892</v>
      </c>
      <c r="S80" s="59">
        <v>0.20599999999999999</v>
      </c>
      <c r="T80" s="44">
        <v>671.99199999999996</v>
      </c>
      <c r="U80" s="45">
        <v>9.9999999999999995E-7</v>
      </c>
      <c r="V80" s="45">
        <v>4.3858439208229301E-2</v>
      </c>
      <c r="W80" s="45">
        <v>2.9009950041889099E-2</v>
      </c>
    </row>
    <row r="81" spans="1:23" x14ac:dyDescent="0.25">
      <c r="A81">
        <v>1182</v>
      </c>
      <c r="B81">
        <v>14769</v>
      </c>
      <c r="C81" t="s">
        <v>1141</v>
      </c>
      <c r="D81" t="s">
        <v>1142</v>
      </c>
      <c r="E81" t="s">
        <v>613</v>
      </c>
      <c r="F81" t="s">
        <v>1219</v>
      </c>
      <c r="G81" t="s">
        <v>1220</v>
      </c>
      <c r="H81" t="s">
        <v>213</v>
      </c>
      <c r="I81" t="s">
        <v>1125</v>
      </c>
      <c r="J81" t="s">
        <v>85</v>
      </c>
      <c r="K81" t="s">
        <v>291</v>
      </c>
      <c r="L81" t="s">
        <v>966</v>
      </c>
      <c r="M81" t="s">
        <v>1145</v>
      </c>
      <c r="N81" t="s">
        <v>72</v>
      </c>
      <c r="O81" t="s">
        <v>75</v>
      </c>
      <c r="P81" s="44">
        <v>306</v>
      </c>
      <c r="Q81" s="42">
        <v>3.718</v>
      </c>
      <c r="R81" s="48">
        <v>4185</v>
      </c>
      <c r="T81" s="44">
        <v>47.613</v>
      </c>
      <c r="U81" s="45">
        <v>5.0000000000000004E-6</v>
      </c>
      <c r="V81" s="45">
        <v>3.10753085870508E-3</v>
      </c>
      <c r="W81" s="45">
        <v>2.0554610832514099E-3</v>
      </c>
    </row>
    <row r="82" spans="1:23" x14ac:dyDescent="0.25">
      <c r="A82">
        <v>1182</v>
      </c>
      <c r="B82">
        <v>14769</v>
      </c>
      <c r="C82" t="s">
        <v>1146</v>
      </c>
      <c r="D82" t="s">
        <v>1147</v>
      </c>
      <c r="E82" t="s">
        <v>613</v>
      </c>
      <c r="F82" t="s">
        <v>1221</v>
      </c>
      <c r="G82" t="s">
        <v>1222</v>
      </c>
      <c r="H82" t="s">
        <v>213</v>
      </c>
      <c r="I82" t="s">
        <v>1125</v>
      </c>
      <c r="J82" t="s">
        <v>85</v>
      </c>
      <c r="K82" t="s">
        <v>291</v>
      </c>
      <c r="L82" t="s">
        <v>1022</v>
      </c>
      <c r="M82" t="s">
        <v>1145</v>
      </c>
      <c r="N82" t="s">
        <v>72</v>
      </c>
      <c r="O82" t="s">
        <v>77</v>
      </c>
      <c r="P82" s="44">
        <v>777</v>
      </c>
      <c r="Q82" s="42">
        <v>4.0218999999999996</v>
      </c>
      <c r="R82" s="48">
        <v>13094</v>
      </c>
      <c r="T82" s="44">
        <v>409.19</v>
      </c>
      <c r="U82" s="45">
        <v>3.0600000000000001E-4</v>
      </c>
      <c r="V82" s="45">
        <v>2.6706304676343599E-2</v>
      </c>
      <c r="W82" s="45">
        <v>1.76647545706284E-2</v>
      </c>
    </row>
    <row r="83" spans="1:23" x14ac:dyDescent="0.25">
      <c r="A83">
        <v>1182</v>
      </c>
      <c r="B83">
        <v>14769</v>
      </c>
      <c r="C83" t="s">
        <v>1146</v>
      </c>
      <c r="D83" t="s">
        <v>1147</v>
      </c>
      <c r="E83" t="s">
        <v>613</v>
      </c>
      <c r="F83" t="s">
        <v>1275</v>
      </c>
      <c r="G83" t="s">
        <v>1276</v>
      </c>
      <c r="H83" t="s">
        <v>213</v>
      </c>
      <c r="I83" t="s">
        <v>1125</v>
      </c>
      <c r="J83" t="s">
        <v>85</v>
      </c>
      <c r="K83" t="s">
        <v>291</v>
      </c>
      <c r="L83" t="s">
        <v>1187</v>
      </c>
      <c r="M83" t="s">
        <v>1145</v>
      </c>
      <c r="N83" t="s">
        <v>72</v>
      </c>
      <c r="O83" t="s">
        <v>75</v>
      </c>
      <c r="P83" s="44">
        <v>140</v>
      </c>
      <c r="Q83" s="42">
        <v>3.718</v>
      </c>
      <c r="R83" s="48">
        <v>109783</v>
      </c>
      <c r="T83" s="44">
        <v>571.44200000000001</v>
      </c>
      <c r="U83" s="45">
        <v>2.8E-5</v>
      </c>
      <c r="V83" s="45">
        <v>3.7295951489189301E-2</v>
      </c>
      <c r="W83" s="45">
        <v>2.4669224646350199E-2</v>
      </c>
    </row>
    <row r="84" spans="1:23" x14ac:dyDescent="0.25">
      <c r="A84">
        <v>1182</v>
      </c>
      <c r="B84">
        <v>14769</v>
      </c>
      <c r="C84" t="s">
        <v>1141</v>
      </c>
      <c r="D84" t="s">
        <v>1142</v>
      </c>
      <c r="E84" t="s">
        <v>613</v>
      </c>
      <c r="F84" t="s">
        <v>1277</v>
      </c>
      <c r="G84" t="s">
        <v>1278</v>
      </c>
      <c r="H84" t="s">
        <v>213</v>
      </c>
      <c r="I84" t="s">
        <v>1125</v>
      </c>
      <c r="J84" t="s">
        <v>85</v>
      </c>
      <c r="K84" t="s">
        <v>291</v>
      </c>
      <c r="L84" t="s">
        <v>966</v>
      </c>
      <c r="M84" t="s">
        <v>1145</v>
      </c>
      <c r="N84" t="s">
        <v>72</v>
      </c>
      <c r="O84" t="s">
        <v>75</v>
      </c>
      <c r="P84" s="44">
        <v>89</v>
      </c>
      <c r="Q84" s="42">
        <v>3.718</v>
      </c>
      <c r="R84" s="48">
        <v>20648</v>
      </c>
      <c r="T84" s="44">
        <v>68.325000000000003</v>
      </c>
      <c r="U84" s="45">
        <v>0</v>
      </c>
      <c r="V84" s="45">
        <v>4.4592986531249001E-3</v>
      </c>
      <c r="W84" s="45">
        <v>2.9495812775011802E-3</v>
      </c>
    </row>
    <row r="85" spans="1:23" x14ac:dyDescent="0.25">
      <c r="A85">
        <v>1182</v>
      </c>
      <c r="B85">
        <v>14769</v>
      </c>
      <c r="C85" t="s">
        <v>1141</v>
      </c>
      <c r="D85" t="s">
        <v>1142</v>
      </c>
      <c r="E85" t="s">
        <v>613</v>
      </c>
      <c r="F85" t="s">
        <v>1223</v>
      </c>
      <c r="G85" t="s">
        <v>1224</v>
      </c>
      <c r="H85" t="s">
        <v>213</v>
      </c>
      <c r="I85" t="s">
        <v>1192</v>
      </c>
      <c r="J85" t="s">
        <v>85</v>
      </c>
      <c r="K85" t="s">
        <v>291</v>
      </c>
      <c r="L85" t="s">
        <v>1022</v>
      </c>
      <c r="M85" t="s">
        <v>1194</v>
      </c>
      <c r="N85" t="s">
        <v>72</v>
      </c>
      <c r="O85" t="s">
        <v>75</v>
      </c>
      <c r="P85" s="44">
        <v>9833</v>
      </c>
      <c r="Q85" s="42">
        <v>3.718</v>
      </c>
      <c r="R85" s="48">
        <v>1086.2</v>
      </c>
      <c r="T85" s="44">
        <v>397.10500000000002</v>
      </c>
      <c r="U85" s="45">
        <v>0</v>
      </c>
      <c r="V85" s="45">
        <v>2.5917577079772498E-2</v>
      </c>
      <c r="W85" s="45">
        <v>1.71430545606359E-2</v>
      </c>
    </row>
    <row r="86" spans="1:23" x14ac:dyDescent="0.25">
      <c r="A86">
        <v>1182</v>
      </c>
      <c r="B86">
        <v>14769</v>
      </c>
      <c r="C86" t="s">
        <v>1141</v>
      </c>
      <c r="D86" t="s">
        <v>1142</v>
      </c>
      <c r="E86" t="s">
        <v>613</v>
      </c>
      <c r="F86" t="s">
        <v>1229</v>
      </c>
      <c r="G86" t="s">
        <v>1230</v>
      </c>
      <c r="H86" t="s">
        <v>213</v>
      </c>
      <c r="I86" t="s">
        <v>1125</v>
      </c>
      <c r="J86" t="s">
        <v>85</v>
      </c>
      <c r="K86" t="s">
        <v>291</v>
      </c>
      <c r="L86" t="s">
        <v>1022</v>
      </c>
      <c r="M86" t="s">
        <v>1145</v>
      </c>
      <c r="N86" t="s">
        <v>72</v>
      </c>
      <c r="O86" t="s">
        <v>75</v>
      </c>
      <c r="P86" s="44">
        <v>329</v>
      </c>
      <c r="Q86" s="42">
        <v>3.718</v>
      </c>
      <c r="R86" s="48">
        <v>12617</v>
      </c>
      <c r="T86" s="44">
        <v>154.334</v>
      </c>
      <c r="U86" s="45">
        <v>0</v>
      </c>
      <c r="V86" s="45">
        <v>1.0072808147499101E-2</v>
      </c>
      <c r="W86" s="45">
        <v>6.6626096691022397E-3</v>
      </c>
    </row>
    <row r="87" spans="1:23" x14ac:dyDescent="0.25">
      <c r="A87">
        <v>1182</v>
      </c>
      <c r="B87">
        <v>14769</v>
      </c>
      <c r="C87" t="s">
        <v>1141</v>
      </c>
      <c r="D87" t="s">
        <v>1142</v>
      </c>
      <c r="E87" t="s">
        <v>613</v>
      </c>
      <c r="F87" t="s">
        <v>1279</v>
      </c>
      <c r="G87" t="s">
        <v>1280</v>
      </c>
      <c r="H87" t="s">
        <v>213</v>
      </c>
      <c r="I87" t="s">
        <v>1125</v>
      </c>
      <c r="J87" t="s">
        <v>85</v>
      </c>
      <c r="K87" t="s">
        <v>291</v>
      </c>
      <c r="L87" t="s">
        <v>1022</v>
      </c>
      <c r="M87" t="s">
        <v>1145</v>
      </c>
      <c r="N87" t="s">
        <v>72</v>
      </c>
      <c r="O87" t="s">
        <v>75</v>
      </c>
      <c r="P87" s="44">
        <v>186</v>
      </c>
      <c r="Q87" s="42">
        <v>3.718</v>
      </c>
      <c r="R87" s="48">
        <v>53348</v>
      </c>
      <c r="S87" s="59">
        <v>0.182</v>
      </c>
      <c r="T87" s="44">
        <v>369.60300000000001</v>
      </c>
      <c r="U87" s="45">
        <v>0</v>
      </c>
      <c r="V87" s="45">
        <v>2.41226256748996E-2</v>
      </c>
      <c r="W87" s="45">
        <v>1.5955792735477099E-2</v>
      </c>
    </row>
    <row r="88" spans="1:23" x14ac:dyDescent="0.25">
      <c r="A88">
        <v>1182</v>
      </c>
      <c r="B88">
        <v>14769</v>
      </c>
      <c r="C88" t="s">
        <v>1231</v>
      </c>
      <c r="D88" t="s">
        <v>1232</v>
      </c>
      <c r="E88" t="s">
        <v>613</v>
      </c>
      <c r="F88" t="s">
        <v>1233</v>
      </c>
      <c r="G88" t="s">
        <v>1234</v>
      </c>
      <c r="H88" t="s">
        <v>213</v>
      </c>
      <c r="I88" t="s">
        <v>1125</v>
      </c>
      <c r="J88" t="s">
        <v>85</v>
      </c>
      <c r="K88" t="s">
        <v>291</v>
      </c>
      <c r="L88" t="s">
        <v>1235</v>
      </c>
      <c r="M88" t="s">
        <v>1145</v>
      </c>
      <c r="N88" t="s">
        <v>72</v>
      </c>
      <c r="O88" t="s">
        <v>75</v>
      </c>
      <c r="P88" s="44">
        <v>537</v>
      </c>
      <c r="Q88" s="42">
        <v>3.718</v>
      </c>
      <c r="R88" s="48">
        <v>4389</v>
      </c>
      <c r="T88" s="44">
        <v>87.629000000000005</v>
      </c>
      <c r="U88" s="45">
        <v>0</v>
      </c>
      <c r="V88" s="45">
        <v>5.7192413991504001E-3</v>
      </c>
      <c r="W88" s="45">
        <v>3.7829642427340601E-3</v>
      </c>
    </row>
    <row r="89" spans="1:23" x14ac:dyDescent="0.25">
      <c r="A89">
        <v>1182</v>
      </c>
      <c r="B89">
        <v>14769</v>
      </c>
      <c r="C89" t="s">
        <v>1231</v>
      </c>
      <c r="D89" t="s">
        <v>1232</v>
      </c>
      <c r="E89" t="s">
        <v>613</v>
      </c>
      <c r="F89" t="s">
        <v>1281</v>
      </c>
      <c r="G89" t="s">
        <v>1282</v>
      </c>
      <c r="H89" t="s">
        <v>213</v>
      </c>
      <c r="I89" t="s">
        <v>1125</v>
      </c>
      <c r="J89" t="s">
        <v>85</v>
      </c>
      <c r="K89" t="s">
        <v>291</v>
      </c>
      <c r="L89" t="s">
        <v>936</v>
      </c>
      <c r="M89" t="s">
        <v>1145</v>
      </c>
      <c r="N89" t="s">
        <v>72</v>
      </c>
      <c r="O89" t="s">
        <v>75</v>
      </c>
      <c r="P89" s="44">
        <v>141</v>
      </c>
      <c r="Q89" s="42">
        <v>3.718</v>
      </c>
      <c r="R89" s="48">
        <v>21147</v>
      </c>
      <c r="T89" s="44">
        <v>110.861</v>
      </c>
      <c r="U89" s="45">
        <v>6.0000000000000002E-6</v>
      </c>
      <c r="V89" s="45">
        <v>7.2354648680973202E-3</v>
      </c>
      <c r="W89" s="45">
        <v>4.7858628383192197E-3</v>
      </c>
    </row>
    <row r="90" spans="1:23" x14ac:dyDescent="0.25">
      <c r="A90">
        <v>1182</v>
      </c>
      <c r="B90">
        <v>14769</v>
      </c>
      <c r="C90" t="s">
        <v>1236</v>
      </c>
      <c r="D90" t="s">
        <v>1237</v>
      </c>
      <c r="E90" t="s">
        <v>613</v>
      </c>
      <c r="F90" t="s">
        <v>1283</v>
      </c>
      <c r="G90" t="s">
        <v>1284</v>
      </c>
      <c r="H90" t="s">
        <v>213</v>
      </c>
      <c r="I90" t="s">
        <v>1125</v>
      </c>
      <c r="J90" t="s">
        <v>85</v>
      </c>
      <c r="K90" t="s">
        <v>291</v>
      </c>
      <c r="L90" t="s">
        <v>966</v>
      </c>
      <c r="M90" t="s">
        <v>1145</v>
      </c>
      <c r="N90" t="s">
        <v>72</v>
      </c>
      <c r="O90" t="s">
        <v>75</v>
      </c>
      <c r="P90" s="44">
        <v>101</v>
      </c>
      <c r="Q90" s="42">
        <v>3.718</v>
      </c>
      <c r="R90" s="48">
        <v>51391</v>
      </c>
      <c r="T90" s="44">
        <v>192.982</v>
      </c>
      <c r="U90" s="45">
        <v>0</v>
      </c>
      <c r="V90" s="45">
        <v>1.2595256131321E-2</v>
      </c>
      <c r="W90" s="45">
        <v>8.3310705472131995E-3</v>
      </c>
    </row>
    <row r="91" spans="1:23" x14ac:dyDescent="0.25">
      <c r="A91">
        <v>1182</v>
      </c>
      <c r="B91">
        <v>14769</v>
      </c>
      <c r="C91" t="s">
        <v>1236</v>
      </c>
      <c r="D91" t="s">
        <v>1237</v>
      </c>
      <c r="E91" t="s">
        <v>613</v>
      </c>
      <c r="F91" t="s">
        <v>1285</v>
      </c>
      <c r="G91" t="s">
        <v>1286</v>
      </c>
      <c r="H91" t="s">
        <v>213</v>
      </c>
      <c r="I91" t="s">
        <v>1125</v>
      </c>
      <c r="J91" t="s">
        <v>85</v>
      </c>
      <c r="K91" t="s">
        <v>291</v>
      </c>
      <c r="L91" t="s">
        <v>936</v>
      </c>
      <c r="M91" t="s">
        <v>1145</v>
      </c>
      <c r="N91" t="s">
        <v>72</v>
      </c>
      <c r="O91" t="s">
        <v>75</v>
      </c>
      <c r="P91" s="44">
        <v>38</v>
      </c>
      <c r="Q91" s="42">
        <v>3.718</v>
      </c>
      <c r="R91" s="48">
        <v>18419</v>
      </c>
      <c r="T91" s="44">
        <v>26.023</v>
      </c>
      <c r="U91" s="45">
        <v>0</v>
      </c>
      <c r="V91" s="45">
        <v>1.6984321641144301E-3</v>
      </c>
      <c r="W91" s="45">
        <v>1.12341964556851E-3</v>
      </c>
    </row>
    <row r="92" spans="1:23" x14ac:dyDescent="0.25">
      <c r="A92">
        <v>1182</v>
      </c>
      <c r="B92">
        <v>14769</v>
      </c>
      <c r="C92" t="s">
        <v>1236</v>
      </c>
      <c r="D92" t="s">
        <v>1237</v>
      </c>
      <c r="E92" t="s">
        <v>613</v>
      </c>
      <c r="F92" t="s">
        <v>1238</v>
      </c>
      <c r="G92" t="s">
        <v>1239</v>
      </c>
      <c r="H92" t="s">
        <v>213</v>
      </c>
      <c r="I92" t="s">
        <v>1125</v>
      </c>
      <c r="J92" t="s">
        <v>85</v>
      </c>
      <c r="K92" t="s">
        <v>291</v>
      </c>
      <c r="L92" t="s">
        <v>966</v>
      </c>
      <c r="M92" t="s">
        <v>1145</v>
      </c>
      <c r="N92" t="s">
        <v>72</v>
      </c>
      <c r="O92" t="s">
        <v>75</v>
      </c>
      <c r="P92" s="44">
        <v>1420</v>
      </c>
      <c r="Q92" s="42">
        <v>3.718</v>
      </c>
      <c r="R92" s="48">
        <v>9870</v>
      </c>
      <c r="T92" s="44">
        <v>521.09299999999996</v>
      </c>
      <c r="U92" s="45">
        <v>1.7799999999999999E-4</v>
      </c>
      <c r="V92" s="45">
        <v>3.4009798453155202E-2</v>
      </c>
      <c r="W92" s="45">
        <v>2.24956147977931E-2</v>
      </c>
    </row>
    <row r="93" spans="1:23" x14ac:dyDescent="0.25">
      <c r="A93">
        <v>1182</v>
      </c>
      <c r="B93">
        <v>14769</v>
      </c>
      <c r="C93" t="s">
        <v>1236</v>
      </c>
      <c r="D93" t="s">
        <v>1237</v>
      </c>
      <c r="E93" t="s">
        <v>613</v>
      </c>
      <c r="F93" t="s">
        <v>1287</v>
      </c>
      <c r="G93" t="s">
        <v>1288</v>
      </c>
      <c r="H93" t="s">
        <v>213</v>
      </c>
      <c r="I93" t="s">
        <v>1125</v>
      </c>
      <c r="J93" t="s">
        <v>85</v>
      </c>
      <c r="K93" t="s">
        <v>215</v>
      </c>
      <c r="L93" t="s">
        <v>966</v>
      </c>
      <c r="M93" t="s">
        <v>1145</v>
      </c>
      <c r="N93" t="s">
        <v>72</v>
      </c>
      <c r="O93" t="s">
        <v>75</v>
      </c>
      <c r="P93" s="44">
        <v>2665</v>
      </c>
      <c r="Q93" s="42">
        <v>3.718</v>
      </c>
      <c r="R93" s="48">
        <v>11595</v>
      </c>
      <c r="T93" s="44">
        <v>1148.8869999999999</v>
      </c>
      <c r="U93" s="45">
        <v>1.0000000000000001E-5</v>
      </c>
      <c r="V93" s="45">
        <v>7.4983641481260105E-2</v>
      </c>
      <c r="W93" s="45">
        <v>4.9597562808895601E-2</v>
      </c>
    </row>
    <row r="94" spans="1:23" x14ac:dyDescent="0.25">
      <c r="A94">
        <v>1182</v>
      </c>
      <c r="B94">
        <v>14769</v>
      </c>
      <c r="C94" t="s">
        <v>1240</v>
      </c>
      <c r="D94" t="s">
        <v>1241</v>
      </c>
      <c r="E94" t="s">
        <v>613</v>
      </c>
      <c r="F94" t="s">
        <v>1289</v>
      </c>
      <c r="G94" t="s">
        <v>1290</v>
      </c>
      <c r="H94" t="s">
        <v>213</v>
      </c>
      <c r="I94" t="s">
        <v>1125</v>
      </c>
      <c r="J94" t="s">
        <v>85</v>
      </c>
      <c r="K94" t="s">
        <v>215</v>
      </c>
      <c r="L94" t="s">
        <v>966</v>
      </c>
      <c r="M94" t="s">
        <v>1145</v>
      </c>
      <c r="N94" t="s">
        <v>72</v>
      </c>
      <c r="O94" t="s">
        <v>75</v>
      </c>
      <c r="P94" s="44">
        <v>2657</v>
      </c>
      <c r="Q94" s="42">
        <v>3.718</v>
      </c>
      <c r="R94" s="48">
        <v>3087</v>
      </c>
      <c r="T94" s="44">
        <v>304.95600000000002</v>
      </c>
      <c r="U94" s="45">
        <v>3.0000000000000001E-5</v>
      </c>
      <c r="V94" s="45">
        <v>1.9903375891571699E-2</v>
      </c>
      <c r="W94" s="45">
        <v>1.31649906084915E-2</v>
      </c>
    </row>
    <row r="95" spans="1:23" x14ac:dyDescent="0.25">
      <c r="A95">
        <v>1182</v>
      </c>
      <c r="B95">
        <v>14769</v>
      </c>
      <c r="C95" t="s">
        <v>1240</v>
      </c>
      <c r="D95" t="s">
        <v>1241</v>
      </c>
      <c r="E95" t="s">
        <v>613</v>
      </c>
      <c r="F95" t="s">
        <v>1242</v>
      </c>
      <c r="G95" t="s">
        <v>1243</v>
      </c>
      <c r="H95" t="s">
        <v>213</v>
      </c>
      <c r="I95" t="s">
        <v>1125</v>
      </c>
      <c r="J95" t="s">
        <v>85</v>
      </c>
      <c r="K95" t="s">
        <v>1244</v>
      </c>
      <c r="L95" t="s">
        <v>966</v>
      </c>
      <c r="M95" t="s">
        <v>1145</v>
      </c>
      <c r="N95" t="s">
        <v>72</v>
      </c>
      <c r="O95" t="s">
        <v>75</v>
      </c>
      <c r="P95" s="44">
        <v>2791</v>
      </c>
      <c r="Q95" s="42">
        <v>3.718</v>
      </c>
      <c r="R95" s="48">
        <v>4371</v>
      </c>
      <c r="T95" s="44">
        <v>453.57600000000002</v>
      </c>
      <c r="U95" s="45">
        <v>1.27E-4</v>
      </c>
      <c r="V95" s="45">
        <v>2.9603237142509502E-2</v>
      </c>
      <c r="W95" s="45">
        <v>1.95809163774633E-2</v>
      </c>
    </row>
    <row r="96" spans="1:23" x14ac:dyDescent="0.25">
      <c r="A96">
        <v>12904</v>
      </c>
      <c r="B96">
        <v>12905</v>
      </c>
      <c r="C96" t="s">
        <v>1245</v>
      </c>
      <c r="D96" t="s">
        <v>1246</v>
      </c>
      <c r="E96" t="s">
        <v>210</v>
      </c>
      <c r="F96" t="s">
        <v>1247</v>
      </c>
      <c r="G96" t="s">
        <v>1248</v>
      </c>
      <c r="H96" t="s">
        <v>213</v>
      </c>
      <c r="I96" t="s">
        <v>1125</v>
      </c>
      <c r="J96" t="s">
        <v>71</v>
      </c>
      <c r="K96" t="s">
        <v>604</v>
      </c>
      <c r="L96" t="s">
        <v>117</v>
      </c>
      <c r="M96" t="s">
        <v>1126</v>
      </c>
      <c r="N96" t="s">
        <v>72</v>
      </c>
      <c r="O96" t="s">
        <v>81</v>
      </c>
      <c r="P96" s="44">
        <v>4225</v>
      </c>
      <c r="Q96" s="42">
        <v>1</v>
      </c>
      <c r="R96" s="48">
        <v>4711</v>
      </c>
      <c r="T96" s="44">
        <v>199.04</v>
      </c>
      <c r="U96" s="45">
        <v>2.7E-4</v>
      </c>
      <c r="V96" s="45">
        <v>1.4951609317490301E-2</v>
      </c>
      <c r="W96" s="45">
        <v>4.6532719292887298E-3</v>
      </c>
    </row>
    <row r="97" spans="1:23" x14ac:dyDescent="0.25">
      <c r="A97">
        <v>12904</v>
      </c>
      <c r="B97">
        <v>12905</v>
      </c>
      <c r="C97" t="s">
        <v>1121</v>
      </c>
      <c r="D97" t="s">
        <v>1122</v>
      </c>
      <c r="E97" t="s">
        <v>210</v>
      </c>
      <c r="F97" t="s">
        <v>1249</v>
      </c>
      <c r="G97" t="s">
        <v>1250</v>
      </c>
      <c r="H97" t="s">
        <v>213</v>
      </c>
      <c r="I97" t="s">
        <v>1131</v>
      </c>
      <c r="J97" t="s">
        <v>71</v>
      </c>
      <c r="K97" t="s">
        <v>71</v>
      </c>
      <c r="L97" t="s">
        <v>117</v>
      </c>
      <c r="M97" t="s">
        <v>1132</v>
      </c>
      <c r="N97" t="s">
        <v>72</v>
      </c>
      <c r="O97" t="s">
        <v>81</v>
      </c>
      <c r="P97" s="44">
        <v>924</v>
      </c>
      <c r="Q97" s="42">
        <v>1</v>
      </c>
      <c r="R97" s="48">
        <v>3763</v>
      </c>
      <c r="T97" s="44">
        <v>34.770000000000003</v>
      </c>
      <c r="U97" s="45">
        <v>1.1E-5</v>
      </c>
      <c r="V97" s="45">
        <v>2.6118865712112999E-3</v>
      </c>
      <c r="W97" s="45">
        <v>8.1287694228916903E-4</v>
      </c>
    </row>
    <row r="98" spans="1:23" x14ac:dyDescent="0.25">
      <c r="A98">
        <v>12904</v>
      </c>
      <c r="B98">
        <v>12905</v>
      </c>
      <c r="C98" t="s">
        <v>1121</v>
      </c>
      <c r="D98" t="s">
        <v>1122</v>
      </c>
      <c r="E98" t="s">
        <v>210</v>
      </c>
      <c r="F98" t="s">
        <v>1251</v>
      </c>
      <c r="G98" t="s">
        <v>1252</v>
      </c>
      <c r="H98" t="s">
        <v>213</v>
      </c>
      <c r="I98" t="s">
        <v>1131</v>
      </c>
      <c r="J98" t="s">
        <v>71</v>
      </c>
      <c r="K98" t="s">
        <v>71</v>
      </c>
      <c r="L98" t="s">
        <v>117</v>
      </c>
      <c r="M98" t="s">
        <v>1132</v>
      </c>
      <c r="N98" t="s">
        <v>72</v>
      </c>
      <c r="O98" t="s">
        <v>81</v>
      </c>
      <c r="P98" s="44">
        <v>3076</v>
      </c>
      <c r="Q98" s="42">
        <v>1</v>
      </c>
      <c r="R98" s="48">
        <v>3593</v>
      </c>
      <c r="T98" s="44">
        <v>110.521</v>
      </c>
      <c r="U98" s="45">
        <v>5.1E-5</v>
      </c>
      <c r="V98" s="45">
        <v>8.3021709425547402E-3</v>
      </c>
      <c r="W98" s="45">
        <v>2.5838194523953202E-3</v>
      </c>
    </row>
    <row r="99" spans="1:23" x14ac:dyDescent="0.25">
      <c r="A99">
        <v>12904</v>
      </c>
      <c r="B99">
        <v>12905</v>
      </c>
      <c r="C99" t="s">
        <v>1121</v>
      </c>
      <c r="D99" t="s">
        <v>1122</v>
      </c>
      <c r="E99" t="s">
        <v>210</v>
      </c>
      <c r="F99" t="s">
        <v>1291</v>
      </c>
      <c r="G99" t="s">
        <v>1292</v>
      </c>
      <c r="H99" t="s">
        <v>213</v>
      </c>
      <c r="I99" t="s">
        <v>1293</v>
      </c>
      <c r="J99" t="s">
        <v>71</v>
      </c>
      <c r="K99" t="s">
        <v>71</v>
      </c>
      <c r="L99" t="s">
        <v>117</v>
      </c>
      <c r="M99" t="s">
        <v>1294</v>
      </c>
      <c r="N99" t="s">
        <v>72</v>
      </c>
      <c r="O99" t="s">
        <v>81</v>
      </c>
      <c r="P99" s="44">
        <v>107069</v>
      </c>
      <c r="Q99" s="42">
        <v>1</v>
      </c>
      <c r="R99" s="48">
        <v>475.88</v>
      </c>
      <c r="T99" s="44">
        <v>509.52</v>
      </c>
      <c r="U99" s="45">
        <v>5.1000000000000004E-4</v>
      </c>
      <c r="V99" s="45">
        <v>3.8274482054558197E-2</v>
      </c>
      <c r="W99" s="45">
        <v>1.1911866419904301E-2</v>
      </c>
    </row>
    <row r="100" spans="1:23" x14ac:dyDescent="0.25">
      <c r="A100">
        <v>12904</v>
      </c>
      <c r="B100">
        <v>12905</v>
      </c>
      <c r="C100" t="s">
        <v>1121</v>
      </c>
      <c r="D100" t="s">
        <v>1122</v>
      </c>
      <c r="E100" t="s">
        <v>210</v>
      </c>
      <c r="F100" t="s">
        <v>1295</v>
      </c>
      <c r="G100" t="s">
        <v>1296</v>
      </c>
      <c r="H100" t="s">
        <v>213</v>
      </c>
      <c r="I100" t="s">
        <v>1125</v>
      </c>
      <c r="J100" t="s">
        <v>71</v>
      </c>
      <c r="K100" t="s">
        <v>1199</v>
      </c>
      <c r="L100" t="s">
        <v>117</v>
      </c>
      <c r="M100" t="s">
        <v>1126</v>
      </c>
      <c r="N100" t="s">
        <v>72</v>
      </c>
      <c r="O100" t="s">
        <v>81</v>
      </c>
      <c r="P100" s="44">
        <v>13816</v>
      </c>
      <c r="Q100" s="42">
        <v>1</v>
      </c>
      <c r="R100" s="48">
        <v>5238</v>
      </c>
      <c r="T100" s="44">
        <v>723.68200000000002</v>
      </c>
      <c r="U100" s="45">
        <v>2.199E-3</v>
      </c>
      <c r="V100" s="45">
        <v>5.4362064513388597E-2</v>
      </c>
      <c r="W100" s="45">
        <v>1.69186783473818E-2</v>
      </c>
    </row>
    <row r="101" spans="1:23" x14ac:dyDescent="0.25">
      <c r="A101">
        <v>12904</v>
      </c>
      <c r="B101">
        <v>12905</v>
      </c>
      <c r="C101" t="s">
        <v>1127</v>
      </c>
      <c r="D101" t="s">
        <v>1128</v>
      </c>
      <c r="E101" t="s">
        <v>210</v>
      </c>
      <c r="F101" t="s">
        <v>1297</v>
      </c>
      <c r="G101" t="s">
        <v>1298</v>
      </c>
      <c r="H101" t="s">
        <v>213</v>
      </c>
      <c r="I101" t="s">
        <v>1293</v>
      </c>
      <c r="J101" t="s">
        <v>71</v>
      </c>
      <c r="K101" t="s">
        <v>71</v>
      </c>
      <c r="L101" t="s">
        <v>117</v>
      </c>
      <c r="M101" t="s">
        <v>1294</v>
      </c>
      <c r="N101" t="s">
        <v>72</v>
      </c>
      <c r="O101" t="s">
        <v>81</v>
      </c>
      <c r="P101" s="44">
        <v>111655</v>
      </c>
      <c r="Q101" s="42">
        <v>1</v>
      </c>
      <c r="R101" s="48">
        <v>419.86</v>
      </c>
      <c r="T101" s="44">
        <v>468.79500000000002</v>
      </c>
      <c r="U101" s="45">
        <v>1.034E-3</v>
      </c>
      <c r="V101" s="45">
        <v>3.5215251980233599E-2</v>
      </c>
      <c r="W101" s="45">
        <v>1.0959766272836E-2</v>
      </c>
    </row>
    <row r="102" spans="1:23" x14ac:dyDescent="0.25">
      <c r="A102">
        <v>12904</v>
      </c>
      <c r="B102">
        <v>12905</v>
      </c>
      <c r="C102" t="s">
        <v>1127</v>
      </c>
      <c r="D102" t="s">
        <v>1128</v>
      </c>
      <c r="E102" t="s">
        <v>210</v>
      </c>
      <c r="F102" t="s">
        <v>1299</v>
      </c>
      <c r="G102" t="s">
        <v>1300</v>
      </c>
      <c r="H102" t="s">
        <v>213</v>
      </c>
      <c r="I102" t="s">
        <v>1293</v>
      </c>
      <c r="J102" t="s">
        <v>71</v>
      </c>
      <c r="K102" t="s">
        <v>71</v>
      </c>
      <c r="L102" t="s">
        <v>117</v>
      </c>
      <c r="M102" t="s">
        <v>1294</v>
      </c>
      <c r="N102" t="s">
        <v>72</v>
      </c>
      <c r="O102" t="s">
        <v>81</v>
      </c>
      <c r="P102" s="44">
        <v>58603</v>
      </c>
      <c r="Q102" s="42">
        <v>1</v>
      </c>
      <c r="R102" s="48">
        <v>404.49</v>
      </c>
      <c r="T102" s="44">
        <v>237.04300000000001</v>
      </c>
      <c r="U102" s="45">
        <v>2.1499999999999999E-4</v>
      </c>
      <c r="V102" s="45">
        <v>1.7806385079628201E-2</v>
      </c>
      <c r="W102" s="45">
        <v>5.5417413666776997E-3</v>
      </c>
    </row>
    <row r="103" spans="1:23" x14ac:dyDescent="0.25">
      <c r="A103">
        <v>12904</v>
      </c>
      <c r="B103">
        <v>12905</v>
      </c>
      <c r="C103" t="s">
        <v>1133</v>
      </c>
      <c r="D103" t="s">
        <v>1134</v>
      </c>
      <c r="E103" t="s">
        <v>210</v>
      </c>
      <c r="F103" t="s">
        <v>1135</v>
      </c>
      <c r="G103" t="s">
        <v>1136</v>
      </c>
      <c r="H103" t="s">
        <v>213</v>
      </c>
      <c r="I103" t="s">
        <v>1125</v>
      </c>
      <c r="J103" t="s">
        <v>71</v>
      </c>
      <c r="K103" t="s">
        <v>291</v>
      </c>
      <c r="L103" t="s">
        <v>117</v>
      </c>
      <c r="M103" t="s">
        <v>1126</v>
      </c>
      <c r="N103" t="s">
        <v>72</v>
      </c>
      <c r="O103" t="s">
        <v>81</v>
      </c>
      <c r="P103" s="44">
        <v>2585</v>
      </c>
      <c r="Q103" s="42">
        <v>1</v>
      </c>
      <c r="R103" s="48">
        <v>10700</v>
      </c>
      <c r="T103" s="44">
        <v>276.59500000000003</v>
      </c>
      <c r="U103" s="45">
        <v>2.72E-4</v>
      </c>
      <c r="V103" s="45">
        <v>2.07774596741165E-2</v>
      </c>
      <c r="W103" s="45">
        <v>6.46640557618072E-3</v>
      </c>
    </row>
    <row r="104" spans="1:23" x14ac:dyDescent="0.25">
      <c r="A104">
        <v>12904</v>
      </c>
      <c r="B104">
        <v>12905</v>
      </c>
      <c r="C104" t="s">
        <v>1133</v>
      </c>
      <c r="D104" t="s">
        <v>1134</v>
      </c>
      <c r="E104" t="s">
        <v>210</v>
      </c>
      <c r="F104" t="s">
        <v>1137</v>
      </c>
      <c r="G104" t="s">
        <v>1138</v>
      </c>
      <c r="H104" t="s">
        <v>213</v>
      </c>
      <c r="I104" t="s">
        <v>1125</v>
      </c>
      <c r="J104" t="s">
        <v>71</v>
      </c>
      <c r="K104" t="s">
        <v>291</v>
      </c>
      <c r="L104" t="s">
        <v>117</v>
      </c>
      <c r="M104" t="s">
        <v>1126</v>
      </c>
      <c r="N104" t="s">
        <v>72</v>
      </c>
      <c r="O104" t="s">
        <v>81</v>
      </c>
      <c r="P104" s="44">
        <v>7139</v>
      </c>
      <c r="Q104" s="42">
        <v>1</v>
      </c>
      <c r="R104" s="48">
        <v>10210</v>
      </c>
      <c r="T104" s="44">
        <v>728.89200000000005</v>
      </c>
      <c r="U104" s="45">
        <v>1.0399999999999999E-4</v>
      </c>
      <c r="V104" s="45">
        <v>5.4753419472659E-2</v>
      </c>
      <c r="W104" s="45">
        <v>1.7040476677427099E-2</v>
      </c>
    </row>
    <row r="105" spans="1:23" x14ac:dyDescent="0.25">
      <c r="A105">
        <v>12904</v>
      </c>
      <c r="B105">
        <v>12905</v>
      </c>
      <c r="C105" t="s">
        <v>1121</v>
      </c>
      <c r="D105" t="s">
        <v>1122</v>
      </c>
      <c r="E105" t="s">
        <v>210</v>
      </c>
      <c r="F105" t="s">
        <v>1139</v>
      </c>
      <c r="G105" t="s">
        <v>1140</v>
      </c>
      <c r="H105" t="s">
        <v>213</v>
      </c>
      <c r="I105" t="s">
        <v>1125</v>
      </c>
      <c r="J105" t="s">
        <v>71</v>
      </c>
      <c r="K105" t="s">
        <v>291</v>
      </c>
      <c r="L105" t="s">
        <v>117</v>
      </c>
      <c r="M105" t="s">
        <v>1126</v>
      </c>
      <c r="N105" t="s">
        <v>72</v>
      </c>
      <c r="O105" t="s">
        <v>81</v>
      </c>
      <c r="P105" s="44">
        <v>1710</v>
      </c>
      <c r="Q105" s="42">
        <v>1</v>
      </c>
      <c r="R105" s="48">
        <v>3199</v>
      </c>
      <c r="T105" s="44">
        <v>54.703000000000003</v>
      </c>
      <c r="U105" s="45">
        <v>8.6000000000000003E-5</v>
      </c>
      <c r="V105" s="45">
        <v>4.1092112974103799E-3</v>
      </c>
      <c r="W105" s="45">
        <v>1.27887755596904E-3</v>
      </c>
    </row>
    <row r="106" spans="1:23" x14ac:dyDescent="0.25">
      <c r="A106">
        <v>12904</v>
      </c>
      <c r="B106">
        <v>12905</v>
      </c>
      <c r="C106" t="s">
        <v>1245</v>
      </c>
      <c r="D106" t="s">
        <v>1246</v>
      </c>
      <c r="E106" t="s">
        <v>210</v>
      </c>
      <c r="F106" t="s">
        <v>1261</v>
      </c>
      <c r="G106" t="s">
        <v>1262</v>
      </c>
      <c r="H106" t="s">
        <v>213</v>
      </c>
      <c r="I106" t="s">
        <v>1125</v>
      </c>
      <c r="J106" t="s">
        <v>71</v>
      </c>
      <c r="K106" t="s">
        <v>215</v>
      </c>
      <c r="L106" t="s">
        <v>117</v>
      </c>
      <c r="M106" t="s">
        <v>1126</v>
      </c>
      <c r="N106" t="s">
        <v>72</v>
      </c>
      <c r="O106" t="s">
        <v>81</v>
      </c>
      <c r="P106" s="44">
        <v>12681</v>
      </c>
      <c r="Q106" s="42">
        <v>1</v>
      </c>
      <c r="R106" s="48">
        <v>1457</v>
      </c>
      <c r="T106" s="44">
        <v>184.762</v>
      </c>
      <c r="U106" s="45">
        <v>1.8799999999999999E-4</v>
      </c>
      <c r="V106" s="45">
        <v>1.3879095921752901E-2</v>
      </c>
      <c r="W106" s="45">
        <v>4.3194820092743898E-3</v>
      </c>
    </row>
    <row r="107" spans="1:23" x14ac:dyDescent="0.25">
      <c r="A107">
        <v>12904</v>
      </c>
      <c r="B107">
        <v>12905</v>
      </c>
      <c r="C107" t="s">
        <v>1141</v>
      </c>
      <c r="D107" t="s">
        <v>1142</v>
      </c>
      <c r="E107" t="s">
        <v>613</v>
      </c>
      <c r="F107" t="s">
        <v>1143</v>
      </c>
      <c r="G107" t="s">
        <v>1144</v>
      </c>
      <c r="H107" t="s">
        <v>213</v>
      </c>
      <c r="I107" t="s">
        <v>1125</v>
      </c>
      <c r="J107" t="s">
        <v>85</v>
      </c>
      <c r="K107" t="s">
        <v>291</v>
      </c>
      <c r="L107" t="s">
        <v>966</v>
      </c>
      <c r="M107" t="s">
        <v>1145</v>
      </c>
      <c r="N107" t="s">
        <v>72</v>
      </c>
      <c r="O107" t="s">
        <v>75</v>
      </c>
      <c r="P107" s="44">
        <v>429</v>
      </c>
      <c r="Q107" s="42">
        <v>3.718</v>
      </c>
      <c r="R107" s="48">
        <v>7885</v>
      </c>
      <c r="T107" s="44">
        <v>125.767</v>
      </c>
      <c r="U107" s="45">
        <v>1.9999999999999999E-6</v>
      </c>
      <c r="V107" s="45">
        <v>9.4474912477424001E-3</v>
      </c>
      <c r="W107" s="45">
        <v>2.9402684949702699E-3</v>
      </c>
    </row>
    <row r="108" spans="1:23" x14ac:dyDescent="0.25">
      <c r="A108">
        <v>12904</v>
      </c>
      <c r="B108">
        <v>12905</v>
      </c>
      <c r="C108" t="s">
        <v>1146</v>
      </c>
      <c r="D108" t="s">
        <v>1147</v>
      </c>
      <c r="E108" t="s">
        <v>613</v>
      </c>
      <c r="F108" t="s">
        <v>1148</v>
      </c>
      <c r="G108" t="s">
        <v>1149</v>
      </c>
      <c r="H108" t="s">
        <v>213</v>
      </c>
      <c r="I108" t="s">
        <v>1125</v>
      </c>
      <c r="J108" t="s">
        <v>85</v>
      </c>
      <c r="K108" t="s">
        <v>291</v>
      </c>
      <c r="L108" t="s">
        <v>966</v>
      </c>
      <c r="M108" t="s">
        <v>1145</v>
      </c>
      <c r="N108" t="s">
        <v>72</v>
      </c>
      <c r="O108" t="s">
        <v>75</v>
      </c>
      <c r="P108" s="44">
        <v>210</v>
      </c>
      <c r="Q108" s="42">
        <v>3.718</v>
      </c>
      <c r="R108" s="48">
        <v>11655</v>
      </c>
      <c r="T108" s="44">
        <v>91</v>
      </c>
      <c r="U108" s="45">
        <v>1.1E-5</v>
      </c>
      <c r="V108" s="45">
        <v>6.8357958010657003E-3</v>
      </c>
      <c r="W108" s="45">
        <v>2.1274510348688099E-3</v>
      </c>
    </row>
    <row r="109" spans="1:23" x14ac:dyDescent="0.25">
      <c r="A109">
        <v>12904</v>
      </c>
      <c r="B109">
        <v>12905</v>
      </c>
      <c r="C109" t="s">
        <v>1150</v>
      </c>
      <c r="D109" t="s">
        <v>1151</v>
      </c>
      <c r="E109" t="s">
        <v>613</v>
      </c>
      <c r="F109" t="s">
        <v>1152</v>
      </c>
      <c r="G109" t="s">
        <v>1153</v>
      </c>
      <c r="H109" t="s">
        <v>213</v>
      </c>
      <c r="I109" t="s">
        <v>1125</v>
      </c>
      <c r="J109" t="s">
        <v>85</v>
      </c>
      <c r="K109" t="s">
        <v>990</v>
      </c>
      <c r="L109" t="s">
        <v>936</v>
      </c>
      <c r="M109" t="s">
        <v>1145</v>
      </c>
      <c r="N109" t="s">
        <v>72</v>
      </c>
      <c r="O109" t="s">
        <v>75</v>
      </c>
      <c r="P109" s="44">
        <v>2234</v>
      </c>
      <c r="Q109" s="42">
        <v>3.718</v>
      </c>
      <c r="R109" s="48">
        <v>13173.4</v>
      </c>
      <c r="T109" s="44">
        <v>1094.184</v>
      </c>
      <c r="U109" s="45">
        <v>0</v>
      </c>
      <c r="V109" s="45">
        <v>8.2193704788243505E-2</v>
      </c>
      <c r="W109" s="45">
        <v>2.55805011443128E-2</v>
      </c>
    </row>
    <row r="110" spans="1:23" x14ac:dyDescent="0.25">
      <c r="A110">
        <v>12904</v>
      </c>
      <c r="B110">
        <v>12905</v>
      </c>
      <c r="C110" t="s">
        <v>1150</v>
      </c>
      <c r="D110" t="s">
        <v>1151</v>
      </c>
      <c r="E110" t="s">
        <v>613</v>
      </c>
      <c r="F110" t="s">
        <v>1267</v>
      </c>
      <c r="G110" t="s">
        <v>1268</v>
      </c>
      <c r="H110" t="s">
        <v>213</v>
      </c>
      <c r="I110" t="s">
        <v>1125</v>
      </c>
      <c r="J110" t="s">
        <v>85</v>
      </c>
      <c r="K110" t="s">
        <v>1156</v>
      </c>
      <c r="L110" t="s">
        <v>936</v>
      </c>
      <c r="M110" t="s">
        <v>1145</v>
      </c>
      <c r="N110" t="s">
        <v>72</v>
      </c>
      <c r="O110" t="s">
        <v>75</v>
      </c>
      <c r="P110" s="44">
        <v>688</v>
      </c>
      <c r="Q110" s="42">
        <v>3.718</v>
      </c>
      <c r="R110" s="48">
        <v>5378</v>
      </c>
      <c r="T110" s="44">
        <v>137.56800000000001</v>
      </c>
      <c r="U110" s="45">
        <v>0</v>
      </c>
      <c r="V110" s="45">
        <v>1.03339592469508E-2</v>
      </c>
      <c r="W110" s="45">
        <v>3.2161569675311298E-3</v>
      </c>
    </row>
    <row r="111" spans="1:23" x14ac:dyDescent="0.25">
      <c r="A111">
        <v>12904</v>
      </c>
      <c r="B111">
        <v>12905</v>
      </c>
      <c r="C111" t="s">
        <v>1150</v>
      </c>
      <c r="D111" t="s">
        <v>1151</v>
      </c>
      <c r="E111" t="s">
        <v>613</v>
      </c>
      <c r="F111" t="s">
        <v>1157</v>
      </c>
      <c r="G111" t="s">
        <v>1158</v>
      </c>
      <c r="H111" t="s">
        <v>213</v>
      </c>
      <c r="I111" t="s">
        <v>1125</v>
      </c>
      <c r="J111" t="s">
        <v>85</v>
      </c>
      <c r="K111" t="s">
        <v>291</v>
      </c>
      <c r="L111" t="s">
        <v>1022</v>
      </c>
      <c r="M111" t="s">
        <v>1145</v>
      </c>
      <c r="N111" t="s">
        <v>72</v>
      </c>
      <c r="O111" t="s">
        <v>77</v>
      </c>
      <c r="P111" s="44">
        <v>469</v>
      </c>
      <c r="Q111" s="42">
        <v>4.0218999999999996</v>
      </c>
      <c r="R111" s="48">
        <v>7421.9</v>
      </c>
      <c r="T111" s="44">
        <v>139.99700000000001</v>
      </c>
      <c r="U111" s="45">
        <v>0</v>
      </c>
      <c r="V111" s="45">
        <v>1.05164057113954E-2</v>
      </c>
      <c r="W111" s="45">
        <v>3.2729383476201002E-3</v>
      </c>
    </row>
    <row r="112" spans="1:23" x14ac:dyDescent="0.25">
      <c r="A112">
        <v>12904</v>
      </c>
      <c r="B112">
        <v>12905</v>
      </c>
      <c r="C112" t="s">
        <v>1141</v>
      </c>
      <c r="D112" t="s">
        <v>1142</v>
      </c>
      <c r="E112" t="s">
        <v>613</v>
      </c>
      <c r="F112" t="s">
        <v>1159</v>
      </c>
      <c r="G112" t="s">
        <v>1160</v>
      </c>
      <c r="H112" t="s">
        <v>213</v>
      </c>
      <c r="I112" t="s">
        <v>1125</v>
      </c>
      <c r="J112" t="s">
        <v>85</v>
      </c>
      <c r="K112" t="s">
        <v>291</v>
      </c>
      <c r="L112" t="s">
        <v>966</v>
      </c>
      <c r="M112" t="s">
        <v>1145</v>
      </c>
      <c r="N112" t="s">
        <v>72</v>
      </c>
      <c r="O112" t="s">
        <v>75</v>
      </c>
      <c r="P112" s="44">
        <v>275</v>
      </c>
      <c r="Q112" s="42">
        <v>3.718</v>
      </c>
      <c r="R112" s="48">
        <v>9645</v>
      </c>
      <c r="T112" s="44">
        <v>98.614999999999995</v>
      </c>
      <c r="U112" s="45">
        <v>1.9999999999999999E-6</v>
      </c>
      <c r="V112" s="45">
        <v>7.4078543391765802E-3</v>
      </c>
      <c r="W112" s="45">
        <v>2.30548832040618E-3</v>
      </c>
    </row>
    <row r="113" spans="1:23" x14ac:dyDescent="0.25">
      <c r="A113">
        <v>12904</v>
      </c>
      <c r="B113">
        <v>12905</v>
      </c>
      <c r="C113" t="s">
        <v>1141</v>
      </c>
      <c r="D113" t="s">
        <v>1142</v>
      </c>
      <c r="E113" t="s">
        <v>613</v>
      </c>
      <c r="F113" t="s">
        <v>1161</v>
      </c>
      <c r="G113" t="s">
        <v>1162</v>
      </c>
      <c r="H113" t="s">
        <v>213</v>
      </c>
      <c r="I113" t="s">
        <v>1125</v>
      </c>
      <c r="J113" t="s">
        <v>85</v>
      </c>
      <c r="K113" t="s">
        <v>291</v>
      </c>
      <c r="L113" t="s">
        <v>966</v>
      </c>
      <c r="M113" t="s">
        <v>1145</v>
      </c>
      <c r="N113" t="s">
        <v>72</v>
      </c>
      <c r="O113" t="s">
        <v>75</v>
      </c>
      <c r="P113" s="44">
        <v>232</v>
      </c>
      <c r="Q113" s="42">
        <v>3.718</v>
      </c>
      <c r="R113" s="48">
        <v>19746</v>
      </c>
      <c r="T113" s="44">
        <v>170.32400000000001</v>
      </c>
      <c r="U113" s="45">
        <v>1.9999999999999999E-6</v>
      </c>
      <c r="V113" s="45">
        <v>1.2794538514833E-2</v>
      </c>
      <c r="W113" s="45">
        <v>3.9819437262603504E-3</v>
      </c>
    </row>
    <row r="114" spans="1:23" x14ac:dyDescent="0.25">
      <c r="A114">
        <v>12904</v>
      </c>
      <c r="B114">
        <v>12905</v>
      </c>
      <c r="C114" t="s">
        <v>1163</v>
      </c>
      <c r="D114" t="s">
        <v>1164</v>
      </c>
      <c r="E114" t="s">
        <v>613</v>
      </c>
      <c r="F114" t="s">
        <v>1165</v>
      </c>
      <c r="G114" t="s">
        <v>1166</v>
      </c>
      <c r="H114" t="s">
        <v>213</v>
      </c>
      <c r="I114" t="s">
        <v>1125</v>
      </c>
      <c r="J114" t="s">
        <v>85</v>
      </c>
      <c r="L114" t="s">
        <v>286</v>
      </c>
      <c r="M114" t="s">
        <v>1145</v>
      </c>
      <c r="N114" t="s">
        <v>72</v>
      </c>
      <c r="O114" t="s">
        <v>77</v>
      </c>
      <c r="P114" s="44">
        <v>721</v>
      </c>
      <c r="Q114" s="42">
        <v>4.0218999999999996</v>
      </c>
      <c r="R114" s="48">
        <v>9495</v>
      </c>
      <c r="T114" s="44">
        <v>275.33499999999998</v>
      </c>
      <c r="U114" s="45">
        <v>0</v>
      </c>
      <c r="V114" s="45">
        <v>2.0682813930574199E-2</v>
      </c>
      <c r="W114" s="45">
        <v>6.43694972482053E-3</v>
      </c>
    </row>
    <row r="115" spans="1:23" x14ac:dyDescent="0.25">
      <c r="A115">
        <v>12904</v>
      </c>
      <c r="B115">
        <v>12905</v>
      </c>
      <c r="C115" t="s">
        <v>1141</v>
      </c>
      <c r="D115" t="s">
        <v>1142</v>
      </c>
      <c r="E115" t="s">
        <v>613</v>
      </c>
      <c r="F115" t="s">
        <v>1167</v>
      </c>
      <c r="G115" t="s">
        <v>1168</v>
      </c>
      <c r="H115" t="s">
        <v>213</v>
      </c>
      <c r="I115" t="s">
        <v>1125</v>
      </c>
      <c r="J115" t="s">
        <v>85</v>
      </c>
      <c r="K115" t="s">
        <v>291</v>
      </c>
      <c r="L115" t="s">
        <v>966</v>
      </c>
      <c r="M115" t="s">
        <v>1145</v>
      </c>
      <c r="N115" t="s">
        <v>72</v>
      </c>
      <c r="O115" t="s">
        <v>75</v>
      </c>
      <c r="P115" s="44">
        <v>1335</v>
      </c>
      <c r="Q115" s="42">
        <v>3.718</v>
      </c>
      <c r="R115" s="48">
        <v>4981</v>
      </c>
      <c r="T115" s="44">
        <v>247.233</v>
      </c>
      <c r="U115" s="45">
        <v>9.9999999999999995E-7</v>
      </c>
      <c r="V115" s="45">
        <v>1.8571856350889499E-2</v>
      </c>
      <c r="W115" s="45">
        <v>5.77997297797791E-3</v>
      </c>
    </row>
    <row r="116" spans="1:23" x14ac:dyDescent="0.25">
      <c r="A116">
        <v>12904</v>
      </c>
      <c r="B116">
        <v>12905</v>
      </c>
      <c r="C116" t="s">
        <v>1169</v>
      </c>
      <c r="D116" t="s">
        <v>1170</v>
      </c>
      <c r="E116" t="s">
        <v>613</v>
      </c>
      <c r="F116" t="s">
        <v>1171</v>
      </c>
      <c r="G116" t="s">
        <v>1172</v>
      </c>
      <c r="H116" t="s">
        <v>213</v>
      </c>
      <c r="I116" t="s">
        <v>1125</v>
      </c>
      <c r="J116" t="s">
        <v>85</v>
      </c>
      <c r="K116" t="s">
        <v>215</v>
      </c>
      <c r="L116" t="s">
        <v>936</v>
      </c>
      <c r="M116" t="s">
        <v>1145</v>
      </c>
      <c r="N116" t="s">
        <v>72</v>
      </c>
      <c r="O116" t="s">
        <v>75</v>
      </c>
      <c r="P116" s="44">
        <v>143</v>
      </c>
      <c r="Q116" s="42">
        <v>3.718</v>
      </c>
      <c r="R116" s="48">
        <v>11313</v>
      </c>
      <c r="T116" s="44">
        <v>60.148000000000003</v>
      </c>
      <c r="U116" s="45">
        <v>2.0000000000000002E-5</v>
      </c>
      <c r="V116" s="45">
        <v>4.5182611915328599E-3</v>
      </c>
      <c r="W116" s="45">
        <v>1.40618294160214E-3</v>
      </c>
    </row>
    <row r="117" spans="1:23" x14ac:dyDescent="0.25">
      <c r="A117">
        <v>12904</v>
      </c>
      <c r="B117">
        <v>12905</v>
      </c>
      <c r="C117" t="s">
        <v>1173</v>
      </c>
      <c r="D117" t="s">
        <v>1174</v>
      </c>
      <c r="E117" t="s">
        <v>613</v>
      </c>
      <c r="F117" t="s">
        <v>1175</v>
      </c>
      <c r="G117" t="s">
        <v>1176</v>
      </c>
      <c r="H117" t="s">
        <v>213</v>
      </c>
      <c r="I117" t="s">
        <v>1125</v>
      </c>
      <c r="J117" t="s">
        <v>85</v>
      </c>
      <c r="K117" t="s">
        <v>984</v>
      </c>
      <c r="L117" t="s">
        <v>966</v>
      </c>
      <c r="M117" t="s">
        <v>1145</v>
      </c>
      <c r="N117" t="s">
        <v>72</v>
      </c>
      <c r="O117" t="s">
        <v>75</v>
      </c>
      <c r="P117" s="44">
        <v>1076</v>
      </c>
      <c r="Q117" s="42">
        <v>3.718</v>
      </c>
      <c r="R117" s="48">
        <v>3773</v>
      </c>
      <c r="T117" s="44">
        <v>150.941</v>
      </c>
      <c r="U117" s="45">
        <v>6.9999999999999999E-6</v>
      </c>
      <c r="V117" s="45">
        <v>1.13385255997977E-2</v>
      </c>
      <c r="W117" s="45">
        <v>3.5288002630820899E-3</v>
      </c>
    </row>
    <row r="118" spans="1:23" x14ac:dyDescent="0.25">
      <c r="A118">
        <v>12904</v>
      </c>
      <c r="B118">
        <v>12905</v>
      </c>
      <c r="C118" t="s">
        <v>1141</v>
      </c>
      <c r="D118" t="s">
        <v>1142</v>
      </c>
      <c r="E118" t="s">
        <v>613</v>
      </c>
      <c r="F118" t="s">
        <v>1177</v>
      </c>
      <c r="G118" t="s">
        <v>1178</v>
      </c>
      <c r="H118" t="s">
        <v>213</v>
      </c>
      <c r="I118" t="s">
        <v>1125</v>
      </c>
      <c r="J118" t="s">
        <v>85</v>
      </c>
      <c r="K118" t="s">
        <v>291</v>
      </c>
      <c r="L118" t="s">
        <v>966</v>
      </c>
      <c r="M118" t="s">
        <v>1145</v>
      </c>
      <c r="N118" t="s">
        <v>72</v>
      </c>
      <c r="O118" t="s">
        <v>75</v>
      </c>
      <c r="P118" s="44">
        <v>813</v>
      </c>
      <c r="Q118" s="42">
        <v>3.718</v>
      </c>
      <c r="R118" s="48">
        <v>14601</v>
      </c>
      <c r="T118" s="44">
        <v>441.34899999999999</v>
      </c>
      <c r="U118" s="45">
        <v>3.0000000000000001E-6</v>
      </c>
      <c r="V118" s="45">
        <v>3.31535970670572E-2</v>
      </c>
      <c r="W118" s="45">
        <v>1.0318133607639101E-2</v>
      </c>
    </row>
    <row r="119" spans="1:23" x14ac:dyDescent="0.25">
      <c r="A119">
        <v>12904</v>
      </c>
      <c r="B119">
        <v>12905</v>
      </c>
      <c r="C119" t="s">
        <v>1179</v>
      </c>
      <c r="D119" t="s">
        <v>1180</v>
      </c>
      <c r="E119" t="s">
        <v>613</v>
      </c>
      <c r="F119" t="s">
        <v>1181</v>
      </c>
      <c r="G119" t="s">
        <v>1182</v>
      </c>
      <c r="H119" t="s">
        <v>213</v>
      </c>
      <c r="I119" t="s">
        <v>1125</v>
      </c>
      <c r="J119" t="s">
        <v>85</v>
      </c>
      <c r="L119" t="s">
        <v>286</v>
      </c>
      <c r="M119" t="s">
        <v>1145</v>
      </c>
      <c r="N119" t="s">
        <v>72</v>
      </c>
      <c r="O119" t="s">
        <v>75</v>
      </c>
      <c r="P119" s="44">
        <v>465</v>
      </c>
      <c r="Q119" s="42">
        <v>3.718</v>
      </c>
      <c r="R119" s="48">
        <v>8899</v>
      </c>
      <c r="T119" s="44">
        <v>153.852</v>
      </c>
      <c r="U119" s="45">
        <v>3.9999999999999998E-6</v>
      </c>
      <c r="V119" s="45">
        <v>1.1557174430619601E-2</v>
      </c>
      <c r="W119" s="45">
        <v>3.5968486213042998E-3</v>
      </c>
    </row>
    <row r="120" spans="1:23" x14ac:dyDescent="0.25">
      <c r="A120">
        <v>12904</v>
      </c>
      <c r="B120">
        <v>12905</v>
      </c>
      <c r="C120" t="s">
        <v>1141</v>
      </c>
      <c r="D120" t="s">
        <v>1142</v>
      </c>
      <c r="E120" t="s">
        <v>613</v>
      </c>
      <c r="F120" t="s">
        <v>1183</v>
      </c>
      <c r="G120" t="s">
        <v>1184</v>
      </c>
      <c r="H120" t="s">
        <v>213</v>
      </c>
      <c r="I120" t="s">
        <v>1125</v>
      </c>
      <c r="J120" t="s">
        <v>85</v>
      </c>
      <c r="K120" t="s">
        <v>291</v>
      </c>
      <c r="L120" t="s">
        <v>966</v>
      </c>
      <c r="M120" t="s">
        <v>1145</v>
      </c>
      <c r="N120" t="s">
        <v>72</v>
      </c>
      <c r="O120" t="s">
        <v>75</v>
      </c>
      <c r="P120" s="44">
        <v>285</v>
      </c>
      <c r="Q120" s="42">
        <v>3.718</v>
      </c>
      <c r="R120" s="48">
        <v>13107</v>
      </c>
      <c r="T120" s="44">
        <v>138.886</v>
      </c>
      <c r="U120" s="45">
        <v>1.9999999999999999E-6</v>
      </c>
      <c r="V120" s="45">
        <v>1.0432914970440599E-2</v>
      </c>
      <c r="W120" s="45">
        <v>3.2469541800973401E-3</v>
      </c>
    </row>
    <row r="121" spans="1:23" x14ac:dyDescent="0.25">
      <c r="A121">
        <v>12904</v>
      </c>
      <c r="B121">
        <v>12905</v>
      </c>
      <c r="C121" t="s">
        <v>1179</v>
      </c>
      <c r="D121" t="s">
        <v>1180</v>
      </c>
      <c r="E121" t="s">
        <v>613</v>
      </c>
      <c r="F121" t="s">
        <v>1185</v>
      </c>
      <c r="G121" t="s">
        <v>1186</v>
      </c>
      <c r="H121" t="s">
        <v>213</v>
      </c>
      <c r="I121" t="s">
        <v>1125</v>
      </c>
      <c r="J121" t="s">
        <v>85</v>
      </c>
      <c r="K121" t="s">
        <v>604</v>
      </c>
      <c r="L121" t="s">
        <v>1187</v>
      </c>
      <c r="M121" t="s">
        <v>1145</v>
      </c>
      <c r="N121" t="s">
        <v>72</v>
      </c>
      <c r="O121" t="s">
        <v>79</v>
      </c>
      <c r="P121" s="44">
        <v>5066</v>
      </c>
      <c r="Q121" s="42">
        <v>4.8108000000000004</v>
      </c>
      <c r="R121" s="48">
        <v>838.1</v>
      </c>
      <c r="T121" s="44">
        <v>204.25800000000001</v>
      </c>
      <c r="U121" s="45">
        <v>7.9999999999999996E-6</v>
      </c>
      <c r="V121" s="45">
        <v>1.5343571144054701E-2</v>
      </c>
      <c r="W121" s="45">
        <v>4.7752591298753097E-3</v>
      </c>
    </row>
    <row r="122" spans="1:23" x14ac:dyDescent="0.25">
      <c r="A122">
        <v>12904</v>
      </c>
      <c r="B122">
        <v>12905</v>
      </c>
      <c r="C122" t="s">
        <v>1179</v>
      </c>
      <c r="D122" t="s">
        <v>1180</v>
      </c>
      <c r="E122" t="s">
        <v>613</v>
      </c>
      <c r="F122" t="s">
        <v>1188</v>
      </c>
      <c r="G122" t="s">
        <v>1189</v>
      </c>
      <c r="H122" t="s">
        <v>213</v>
      </c>
      <c r="I122" t="s">
        <v>1125</v>
      </c>
      <c r="J122" t="s">
        <v>85</v>
      </c>
      <c r="K122" t="s">
        <v>1053</v>
      </c>
      <c r="L122" t="s">
        <v>966</v>
      </c>
      <c r="M122" t="s">
        <v>1145</v>
      </c>
      <c r="N122" t="s">
        <v>72</v>
      </c>
      <c r="O122" t="s">
        <v>75</v>
      </c>
      <c r="P122" s="44">
        <v>2795</v>
      </c>
      <c r="Q122" s="42">
        <v>3.718</v>
      </c>
      <c r="R122" s="48">
        <v>3584</v>
      </c>
      <c r="T122" s="44">
        <v>372.44200000000001</v>
      </c>
      <c r="U122" s="45">
        <v>1.5999999999999999E-5</v>
      </c>
      <c r="V122" s="45">
        <v>2.79773980356272E-2</v>
      </c>
      <c r="W122" s="45">
        <v>8.7071858399504001E-3</v>
      </c>
    </row>
    <row r="123" spans="1:23" x14ac:dyDescent="0.25">
      <c r="A123">
        <v>12904</v>
      </c>
      <c r="B123">
        <v>12905</v>
      </c>
      <c r="C123" t="s">
        <v>1179</v>
      </c>
      <c r="D123" t="s">
        <v>1180</v>
      </c>
      <c r="E123" t="s">
        <v>613</v>
      </c>
      <c r="F123" t="s">
        <v>1190</v>
      </c>
      <c r="G123" t="s">
        <v>1191</v>
      </c>
      <c r="H123" t="s">
        <v>213</v>
      </c>
      <c r="I123" t="s">
        <v>1192</v>
      </c>
      <c r="J123" t="s">
        <v>85</v>
      </c>
      <c r="K123" t="s">
        <v>1193</v>
      </c>
      <c r="L123" t="s">
        <v>1187</v>
      </c>
      <c r="M123" t="s">
        <v>1194</v>
      </c>
      <c r="N123" t="s">
        <v>72</v>
      </c>
      <c r="O123" t="s">
        <v>75</v>
      </c>
      <c r="P123" s="44">
        <v>6921</v>
      </c>
      <c r="Q123" s="42">
        <v>3.718</v>
      </c>
      <c r="R123" s="48">
        <v>630.95000000000005</v>
      </c>
      <c r="T123" s="44">
        <v>162.358</v>
      </c>
      <c r="U123" s="45">
        <v>0</v>
      </c>
      <c r="V123" s="45">
        <v>1.2196109146404699E-2</v>
      </c>
      <c r="W123" s="45">
        <v>3.79569925433504E-3</v>
      </c>
    </row>
    <row r="124" spans="1:23" x14ac:dyDescent="0.25">
      <c r="A124">
        <v>12904</v>
      </c>
      <c r="B124">
        <v>12905</v>
      </c>
      <c r="C124" t="s">
        <v>1179</v>
      </c>
      <c r="D124" t="s">
        <v>1180</v>
      </c>
      <c r="E124" t="s">
        <v>613</v>
      </c>
      <c r="F124" t="s">
        <v>1195</v>
      </c>
      <c r="G124" t="s">
        <v>1196</v>
      </c>
      <c r="H124" t="s">
        <v>213</v>
      </c>
      <c r="I124" t="s">
        <v>1125</v>
      </c>
      <c r="J124" t="s">
        <v>85</v>
      </c>
      <c r="K124" t="s">
        <v>291</v>
      </c>
      <c r="L124" t="s">
        <v>936</v>
      </c>
      <c r="M124" t="s">
        <v>1145</v>
      </c>
      <c r="N124" t="s">
        <v>72</v>
      </c>
      <c r="O124" t="s">
        <v>75</v>
      </c>
      <c r="P124" s="44">
        <v>302</v>
      </c>
      <c r="Q124" s="42">
        <v>3.718</v>
      </c>
      <c r="R124" s="48">
        <v>5509</v>
      </c>
      <c r="T124" s="44">
        <v>61.856999999999999</v>
      </c>
      <c r="U124" s="45">
        <v>0</v>
      </c>
      <c r="V124" s="45">
        <v>4.6466207099170303E-3</v>
      </c>
      <c r="W124" s="45">
        <v>1.4461312662989001E-3</v>
      </c>
    </row>
    <row r="125" spans="1:23" x14ac:dyDescent="0.25">
      <c r="A125">
        <v>12904</v>
      </c>
      <c r="B125">
        <v>12905</v>
      </c>
      <c r="C125" t="s">
        <v>1179</v>
      </c>
      <c r="D125" t="s">
        <v>1180</v>
      </c>
      <c r="E125" t="s">
        <v>613</v>
      </c>
      <c r="F125" t="s">
        <v>1197</v>
      </c>
      <c r="G125" t="s">
        <v>1198</v>
      </c>
      <c r="H125" t="s">
        <v>213</v>
      </c>
      <c r="I125" t="s">
        <v>1125</v>
      </c>
      <c r="J125" t="s">
        <v>85</v>
      </c>
      <c r="K125" t="s">
        <v>1199</v>
      </c>
      <c r="L125" t="s">
        <v>1200</v>
      </c>
      <c r="M125" t="s">
        <v>1145</v>
      </c>
      <c r="N125" t="s">
        <v>72</v>
      </c>
      <c r="O125" t="s">
        <v>77</v>
      </c>
      <c r="P125" s="44">
        <v>338</v>
      </c>
      <c r="Q125" s="42">
        <v>4.0218999999999996</v>
      </c>
      <c r="R125" s="48">
        <v>9391</v>
      </c>
      <c r="T125" s="44">
        <v>127.661</v>
      </c>
      <c r="U125" s="45">
        <v>6.7999999999999999E-5</v>
      </c>
      <c r="V125" s="45">
        <v>9.5897642748309295E-3</v>
      </c>
      <c r="W125" s="45">
        <v>2.9845470116963398E-3</v>
      </c>
    </row>
    <row r="126" spans="1:23" x14ac:dyDescent="0.25">
      <c r="A126">
        <v>12904</v>
      </c>
      <c r="B126">
        <v>12905</v>
      </c>
      <c r="C126" t="s">
        <v>1203</v>
      </c>
      <c r="D126" t="s">
        <v>1151</v>
      </c>
      <c r="E126" t="s">
        <v>613</v>
      </c>
      <c r="F126" t="s">
        <v>1204</v>
      </c>
      <c r="G126" t="s">
        <v>1205</v>
      </c>
      <c r="H126" t="s">
        <v>213</v>
      </c>
      <c r="I126" t="s">
        <v>1125</v>
      </c>
      <c r="J126" t="s">
        <v>85</v>
      </c>
      <c r="K126" t="s">
        <v>1199</v>
      </c>
      <c r="L126" t="s">
        <v>1206</v>
      </c>
      <c r="M126" t="s">
        <v>1145</v>
      </c>
      <c r="N126" t="s">
        <v>72</v>
      </c>
      <c r="O126" t="s">
        <v>77</v>
      </c>
      <c r="P126" s="44">
        <v>125</v>
      </c>
      <c r="Q126" s="42">
        <v>4.0218999999999996</v>
      </c>
      <c r="R126" s="48">
        <v>25113</v>
      </c>
      <c r="T126" s="44">
        <v>126.252</v>
      </c>
      <c r="U126" s="45">
        <v>6.0000000000000002E-6</v>
      </c>
      <c r="V126" s="45">
        <v>9.4839225959226503E-3</v>
      </c>
      <c r="W126" s="45">
        <v>2.9516067373115198E-3</v>
      </c>
    </row>
    <row r="127" spans="1:23" x14ac:dyDescent="0.25">
      <c r="A127">
        <v>12904</v>
      </c>
      <c r="B127">
        <v>12905</v>
      </c>
      <c r="C127" t="s">
        <v>1203</v>
      </c>
      <c r="D127" t="s">
        <v>1151</v>
      </c>
      <c r="E127" t="s">
        <v>613</v>
      </c>
      <c r="F127" t="s">
        <v>1207</v>
      </c>
      <c r="G127" t="s">
        <v>1208</v>
      </c>
      <c r="H127" t="s">
        <v>213</v>
      </c>
      <c r="I127" t="s">
        <v>1125</v>
      </c>
      <c r="J127" t="s">
        <v>85</v>
      </c>
      <c r="K127" t="s">
        <v>990</v>
      </c>
      <c r="L127" t="s">
        <v>1206</v>
      </c>
      <c r="M127" t="s">
        <v>1145</v>
      </c>
      <c r="N127" t="s">
        <v>72</v>
      </c>
      <c r="O127" t="s">
        <v>77</v>
      </c>
      <c r="P127" s="44">
        <v>78</v>
      </c>
      <c r="Q127" s="42">
        <v>4.0218999999999996</v>
      </c>
      <c r="R127" s="48">
        <v>14313.1</v>
      </c>
      <c r="T127" s="44">
        <v>44.901000000000003</v>
      </c>
      <c r="U127" s="45">
        <v>2.4000000000000001E-5</v>
      </c>
      <c r="V127" s="45">
        <v>3.3729328827621198E-3</v>
      </c>
      <c r="W127" s="45">
        <v>1.0497314081348999E-3</v>
      </c>
    </row>
    <row r="128" spans="1:23" x14ac:dyDescent="0.25">
      <c r="A128">
        <v>12904</v>
      </c>
      <c r="B128">
        <v>12905</v>
      </c>
      <c r="C128" t="s">
        <v>1141</v>
      </c>
      <c r="D128" t="s">
        <v>1142</v>
      </c>
      <c r="E128" t="s">
        <v>613</v>
      </c>
      <c r="F128" t="s">
        <v>1209</v>
      </c>
      <c r="G128" t="s">
        <v>1210</v>
      </c>
      <c r="H128" t="s">
        <v>213</v>
      </c>
      <c r="I128" t="s">
        <v>1125</v>
      </c>
      <c r="J128" t="s">
        <v>85</v>
      </c>
      <c r="K128" t="s">
        <v>291</v>
      </c>
      <c r="L128" t="s">
        <v>966</v>
      </c>
      <c r="M128" t="s">
        <v>1145</v>
      </c>
      <c r="N128" t="s">
        <v>72</v>
      </c>
      <c r="O128" t="s">
        <v>75</v>
      </c>
      <c r="P128" s="44">
        <v>136</v>
      </c>
      <c r="Q128" s="42">
        <v>3.718</v>
      </c>
      <c r="R128" s="48">
        <v>8598</v>
      </c>
      <c r="T128" s="44">
        <v>43.475999999999999</v>
      </c>
      <c r="U128" s="45">
        <v>1.9999999999999999E-6</v>
      </c>
      <c r="V128" s="45">
        <v>3.2658321310978498E-3</v>
      </c>
      <c r="W128" s="45">
        <v>1.01639928242572E-3</v>
      </c>
    </row>
    <row r="129" spans="1:23" x14ac:dyDescent="0.25">
      <c r="A129">
        <v>12904</v>
      </c>
      <c r="B129">
        <v>12905</v>
      </c>
      <c r="C129" t="s">
        <v>1211</v>
      </c>
      <c r="D129" t="s">
        <v>1212</v>
      </c>
      <c r="E129" t="s">
        <v>613</v>
      </c>
      <c r="F129" t="s">
        <v>1213</v>
      </c>
      <c r="G129" t="s">
        <v>1214</v>
      </c>
      <c r="H129" t="s">
        <v>213</v>
      </c>
      <c r="I129" t="s">
        <v>1125</v>
      </c>
      <c r="J129" t="s">
        <v>85</v>
      </c>
      <c r="K129" t="s">
        <v>291</v>
      </c>
      <c r="L129" t="s">
        <v>1022</v>
      </c>
      <c r="M129" t="s">
        <v>1145</v>
      </c>
      <c r="N129" t="s">
        <v>72</v>
      </c>
      <c r="O129" t="s">
        <v>75</v>
      </c>
      <c r="P129" s="44">
        <v>628</v>
      </c>
      <c r="Q129" s="42">
        <v>3.718</v>
      </c>
      <c r="R129" s="48">
        <v>7694</v>
      </c>
      <c r="T129" s="44">
        <v>179.648</v>
      </c>
      <c r="U129" s="45">
        <v>1.2999999999999999E-5</v>
      </c>
      <c r="V129" s="45">
        <v>1.34948895414005E-2</v>
      </c>
      <c r="W129" s="45">
        <v>4.1999084752966098E-3</v>
      </c>
    </row>
    <row r="130" spans="1:23" x14ac:dyDescent="0.25">
      <c r="A130">
        <v>12904</v>
      </c>
      <c r="B130">
        <v>12905</v>
      </c>
      <c r="C130" t="s">
        <v>1141</v>
      </c>
      <c r="D130" t="s">
        <v>1142</v>
      </c>
      <c r="E130" t="s">
        <v>613</v>
      </c>
      <c r="F130" t="s">
        <v>1215</v>
      </c>
      <c r="G130" t="s">
        <v>1216</v>
      </c>
      <c r="H130" t="s">
        <v>213</v>
      </c>
      <c r="I130" t="s">
        <v>1125</v>
      </c>
      <c r="J130" t="s">
        <v>85</v>
      </c>
      <c r="K130" t="s">
        <v>291</v>
      </c>
      <c r="L130" t="s">
        <v>966</v>
      </c>
      <c r="M130" t="s">
        <v>1145</v>
      </c>
      <c r="N130" t="s">
        <v>72</v>
      </c>
      <c r="O130" t="s">
        <v>75</v>
      </c>
      <c r="P130" s="44">
        <v>579</v>
      </c>
      <c r="Q130" s="42">
        <v>3.718</v>
      </c>
      <c r="R130" s="48">
        <v>9345</v>
      </c>
      <c r="T130" s="44">
        <v>201.172</v>
      </c>
      <c r="U130" s="45">
        <v>9.9999999999999995E-7</v>
      </c>
      <c r="V130" s="45">
        <v>1.5111771489691801E-2</v>
      </c>
      <c r="W130" s="45">
        <v>4.7031179441366202E-3</v>
      </c>
    </row>
    <row r="131" spans="1:23" x14ac:dyDescent="0.25">
      <c r="A131">
        <v>12904</v>
      </c>
      <c r="B131">
        <v>12905</v>
      </c>
      <c r="C131" t="s">
        <v>1146</v>
      </c>
      <c r="D131" t="s">
        <v>1147</v>
      </c>
      <c r="E131" t="s">
        <v>613</v>
      </c>
      <c r="F131" t="s">
        <v>1217</v>
      </c>
      <c r="G131" t="s">
        <v>1218</v>
      </c>
      <c r="H131" t="s">
        <v>213</v>
      </c>
      <c r="I131" t="s">
        <v>1125</v>
      </c>
      <c r="J131" t="s">
        <v>85</v>
      </c>
      <c r="K131" t="s">
        <v>291</v>
      </c>
      <c r="L131" t="s">
        <v>936</v>
      </c>
      <c r="M131" t="s">
        <v>1145</v>
      </c>
      <c r="N131" t="s">
        <v>72</v>
      </c>
      <c r="O131" t="s">
        <v>75</v>
      </c>
      <c r="P131" s="44">
        <v>309</v>
      </c>
      <c r="Q131" s="42">
        <v>3.718</v>
      </c>
      <c r="R131" s="48">
        <v>46892</v>
      </c>
      <c r="S131" s="59">
        <v>0.16500000000000001</v>
      </c>
      <c r="T131" s="44">
        <v>539.33900000000006</v>
      </c>
      <c r="U131" s="45">
        <v>9.9999999999999995E-7</v>
      </c>
      <c r="V131" s="45">
        <v>4.0514441005574102E-2</v>
      </c>
      <c r="W131" s="45">
        <v>1.2608991250294899E-2</v>
      </c>
    </row>
    <row r="132" spans="1:23" x14ac:dyDescent="0.25">
      <c r="A132">
        <v>12904</v>
      </c>
      <c r="B132">
        <v>12905</v>
      </c>
      <c r="C132" t="s">
        <v>1141</v>
      </c>
      <c r="D132" t="s">
        <v>1142</v>
      </c>
      <c r="E132" t="s">
        <v>613</v>
      </c>
      <c r="F132" t="s">
        <v>1219</v>
      </c>
      <c r="G132" t="s">
        <v>1220</v>
      </c>
      <c r="H132" t="s">
        <v>213</v>
      </c>
      <c r="I132" t="s">
        <v>1125</v>
      </c>
      <c r="J132" t="s">
        <v>85</v>
      </c>
      <c r="K132" t="s">
        <v>291</v>
      </c>
      <c r="L132" t="s">
        <v>966</v>
      </c>
      <c r="M132" t="s">
        <v>1145</v>
      </c>
      <c r="N132" t="s">
        <v>72</v>
      </c>
      <c r="O132" t="s">
        <v>75</v>
      </c>
      <c r="P132" s="44">
        <v>324</v>
      </c>
      <c r="Q132" s="42">
        <v>3.718</v>
      </c>
      <c r="R132" s="48">
        <v>4185</v>
      </c>
      <c r="T132" s="44">
        <v>50.414000000000001</v>
      </c>
      <c r="U132" s="45">
        <v>5.0000000000000004E-6</v>
      </c>
      <c r="V132" s="45">
        <v>3.7870233329235399E-3</v>
      </c>
      <c r="W132" s="45">
        <v>1.17860552643256E-3</v>
      </c>
    </row>
    <row r="133" spans="1:23" x14ac:dyDescent="0.25">
      <c r="A133">
        <v>12904</v>
      </c>
      <c r="B133">
        <v>12905</v>
      </c>
      <c r="C133" t="s">
        <v>1146</v>
      </c>
      <c r="D133" t="s">
        <v>1147</v>
      </c>
      <c r="E133" t="s">
        <v>613</v>
      </c>
      <c r="F133" t="s">
        <v>1221</v>
      </c>
      <c r="G133" t="s">
        <v>1222</v>
      </c>
      <c r="H133" t="s">
        <v>213</v>
      </c>
      <c r="I133" t="s">
        <v>1125</v>
      </c>
      <c r="J133" t="s">
        <v>85</v>
      </c>
      <c r="K133" t="s">
        <v>291</v>
      </c>
      <c r="L133" t="s">
        <v>1022</v>
      </c>
      <c r="M133" t="s">
        <v>1145</v>
      </c>
      <c r="N133" t="s">
        <v>72</v>
      </c>
      <c r="O133" t="s">
        <v>77</v>
      </c>
      <c r="P133" s="44">
        <v>230</v>
      </c>
      <c r="Q133" s="42">
        <v>4.0218999999999996</v>
      </c>
      <c r="R133" s="48">
        <v>13094</v>
      </c>
      <c r="T133" s="44">
        <v>121.124</v>
      </c>
      <c r="U133" s="45">
        <v>9.0000000000000006E-5</v>
      </c>
      <c r="V133" s="45">
        <v>9.0987045652315707E-3</v>
      </c>
      <c r="W133" s="45">
        <v>2.8317183553449202E-3</v>
      </c>
    </row>
    <row r="134" spans="1:23" x14ac:dyDescent="0.25">
      <c r="A134">
        <v>12904</v>
      </c>
      <c r="B134">
        <v>12905</v>
      </c>
      <c r="C134" t="s">
        <v>1146</v>
      </c>
      <c r="D134" t="s">
        <v>1147</v>
      </c>
      <c r="E134" t="s">
        <v>613</v>
      </c>
      <c r="F134" t="s">
        <v>1275</v>
      </c>
      <c r="G134" t="s">
        <v>1276</v>
      </c>
      <c r="H134" t="s">
        <v>213</v>
      </c>
      <c r="I134" t="s">
        <v>1125</v>
      </c>
      <c r="J134" t="s">
        <v>85</v>
      </c>
      <c r="K134" t="s">
        <v>291</v>
      </c>
      <c r="L134" t="s">
        <v>1187</v>
      </c>
      <c r="M134" t="s">
        <v>1145</v>
      </c>
      <c r="N134" t="s">
        <v>72</v>
      </c>
      <c r="O134" t="s">
        <v>75</v>
      </c>
      <c r="P134" s="44">
        <v>305</v>
      </c>
      <c r="Q134" s="42">
        <v>3.718</v>
      </c>
      <c r="R134" s="48">
        <v>109783</v>
      </c>
      <c r="T134" s="44">
        <v>1244.9280000000001</v>
      </c>
      <c r="U134" s="45">
        <v>6.0000000000000002E-5</v>
      </c>
      <c r="V134" s="45">
        <v>9.3517403926645301E-2</v>
      </c>
      <c r="W134" s="45">
        <v>2.91046870842703E-2</v>
      </c>
    </row>
    <row r="135" spans="1:23" x14ac:dyDescent="0.25">
      <c r="A135">
        <v>12904</v>
      </c>
      <c r="B135">
        <v>12905</v>
      </c>
      <c r="C135" t="s">
        <v>1141</v>
      </c>
      <c r="D135" t="s">
        <v>1142</v>
      </c>
      <c r="E135" t="s">
        <v>613</v>
      </c>
      <c r="F135" t="s">
        <v>1223</v>
      </c>
      <c r="G135" t="s">
        <v>1224</v>
      </c>
      <c r="H135" t="s">
        <v>213</v>
      </c>
      <c r="I135" t="s">
        <v>1192</v>
      </c>
      <c r="J135" t="s">
        <v>85</v>
      </c>
      <c r="K135" t="s">
        <v>291</v>
      </c>
      <c r="L135" t="s">
        <v>1022</v>
      </c>
      <c r="M135" t="s">
        <v>1194</v>
      </c>
      <c r="N135" t="s">
        <v>72</v>
      </c>
      <c r="O135" t="s">
        <v>75</v>
      </c>
      <c r="P135" s="44">
        <v>22300</v>
      </c>
      <c r="Q135" s="42">
        <v>3.718</v>
      </c>
      <c r="R135" s="48">
        <v>1086.2</v>
      </c>
      <c r="T135" s="44">
        <v>900.58399999999995</v>
      </c>
      <c r="U135" s="45">
        <v>0</v>
      </c>
      <c r="V135" s="45">
        <v>6.76506805582405E-2</v>
      </c>
      <c r="W135" s="45">
        <v>2.1054389942539001E-2</v>
      </c>
    </row>
    <row r="136" spans="1:23" x14ac:dyDescent="0.25">
      <c r="A136">
        <v>12904</v>
      </c>
      <c r="B136">
        <v>12905</v>
      </c>
      <c r="C136" t="s">
        <v>1141</v>
      </c>
      <c r="D136" t="s">
        <v>1142</v>
      </c>
      <c r="E136" t="s">
        <v>613</v>
      </c>
      <c r="F136" t="s">
        <v>1229</v>
      </c>
      <c r="G136" t="s">
        <v>1230</v>
      </c>
      <c r="H136" t="s">
        <v>213</v>
      </c>
      <c r="I136" t="s">
        <v>1125</v>
      </c>
      <c r="J136" t="s">
        <v>85</v>
      </c>
      <c r="K136" t="s">
        <v>291</v>
      </c>
      <c r="L136" t="s">
        <v>1022</v>
      </c>
      <c r="M136" t="s">
        <v>1145</v>
      </c>
      <c r="N136" t="s">
        <v>72</v>
      </c>
      <c r="O136" t="s">
        <v>75</v>
      </c>
      <c r="P136" s="44">
        <v>399</v>
      </c>
      <c r="Q136" s="42">
        <v>3.718</v>
      </c>
      <c r="R136" s="48">
        <v>12617</v>
      </c>
      <c r="T136" s="44">
        <v>187.17099999999999</v>
      </c>
      <c r="U136" s="45">
        <v>0</v>
      </c>
      <c r="V136" s="45">
        <v>1.40600384111443E-2</v>
      </c>
      <c r="W136" s="45">
        <v>4.3757953190206398E-3</v>
      </c>
    </row>
    <row r="137" spans="1:23" x14ac:dyDescent="0.25">
      <c r="A137">
        <v>12904</v>
      </c>
      <c r="B137">
        <v>12905</v>
      </c>
      <c r="C137" t="s">
        <v>1231</v>
      </c>
      <c r="D137" t="s">
        <v>1232</v>
      </c>
      <c r="E137" t="s">
        <v>613</v>
      </c>
      <c r="F137" t="s">
        <v>1233</v>
      </c>
      <c r="G137" t="s">
        <v>1234</v>
      </c>
      <c r="H137" t="s">
        <v>213</v>
      </c>
      <c r="I137" t="s">
        <v>1125</v>
      </c>
      <c r="J137" t="s">
        <v>85</v>
      </c>
      <c r="K137" t="s">
        <v>291</v>
      </c>
      <c r="L137" t="s">
        <v>1235</v>
      </c>
      <c r="M137" t="s">
        <v>1145</v>
      </c>
      <c r="N137" t="s">
        <v>72</v>
      </c>
      <c r="O137" t="s">
        <v>75</v>
      </c>
      <c r="P137" s="44">
        <v>615</v>
      </c>
      <c r="Q137" s="42">
        <v>3.718</v>
      </c>
      <c r="R137" s="48">
        <v>4389</v>
      </c>
      <c r="T137" s="44">
        <v>100.358</v>
      </c>
      <c r="U137" s="45">
        <v>0</v>
      </c>
      <c r="V137" s="45">
        <v>7.5387302727582999E-3</v>
      </c>
      <c r="W137" s="45">
        <v>2.3462198092394902E-3</v>
      </c>
    </row>
    <row r="138" spans="1:23" x14ac:dyDescent="0.25">
      <c r="A138">
        <v>12904</v>
      </c>
      <c r="B138">
        <v>12905</v>
      </c>
      <c r="C138" t="s">
        <v>1236</v>
      </c>
      <c r="D138" t="s">
        <v>1237</v>
      </c>
      <c r="E138" t="s">
        <v>613</v>
      </c>
      <c r="F138" t="s">
        <v>1283</v>
      </c>
      <c r="G138" t="s">
        <v>1284</v>
      </c>
      <c r="H138" t="s">
        <v>213</v>
      </c>
      <c r="I138" t="s">
        <v>1125</v>
      </c>
      <c r="J138" t="s">
        <v>85</v>
      </c>
      <c r="K138" t="s">
        <v>291</v>
      </c>
      <c r="L138" t="s">
        <v>966</v>
      </c>
      <c r="M138" t="s">
        <v>1145</v>
      </c>
      <c r="N138" t="s">
        <v>72</v>
      </c>
      <c r="O138" t="s">
        <v>75</v>
      </c>
      <c r="P138" s="44">
        <v>288</v>
      </c>
      <c r="Q138" s="42">
        <v>3.718</v>
      </c>
      <c r="R138" s="48">
        <v>51391</v>
      </c>
      <c r="T138" s="44">
        <v>550.28700000000003</v>
      </c>
      <c r="U138" s="45">
        <v>0</v>
      </c>
      <c r="V138" s="45">
        <v>4.1336820093407403E-2</v>
      </c>
      <c r="W138" s="45">
        <v>1.2864933834359899E-2</v>
      </c>
    </row>
    <row r="139" spans="1:23" x14ac:dyDescent="0.25">
      <c r="A139">
        <v>12904</v>
      </c>
      <c r="B139">
        <v>12905</v>
      </c>
      <c r="C139" t="s">
        <v>1236</v>
      </c>
      <c r="D139" t="s">
        <v>1237</v>
      </c>
      <c r="E139" t="s">
        <v>613</v>
      </c>
      <c r="F139" t="s">
        <v>1238</v>
      </c>
      <c r="G139" t="s">
        <v>1239</v>
      </c>
      <c r="H139" t="s">
        <v>213</v>
      </c>
      <c r="I139" t="s">
        <v>1125</v>
      </c>
      <c r="J139" t="s">
        <v>85</v>
      </c>
      <c r="K139" t="s">
        <v>291</v>
      </c>
      <c r="L139" t="s">
        <v>966</v>
      </c>
      <c r="M139" t="s">
        <v>1145</v>
      </c>
      <c r="N139" t="s">
        <v>72</v>
      </c>
      <c r="O139" t="s">
        <v>75</v>
      </c>
      <c r="P139" s="44">
        <v>1390</v>
      </c>
      <c r="Q139" s="42">
        <v>3.718</v>
      </c>
      <c r="R139" s="48">
        <v>9870</v>
      </c>
      <c r="T139" s="44">
        <v>510.084</v>
      </c>
      <c r="U139" s="45">
        <v>1.74E-4</v>
      </c>
      <c r="V139" s="45">
        <v>3.8316820221674999E-2</v>
      </c>
      <c r="W139" s="45">
        <v>1.1925042995107601E-2</v>
      </c>
    </row>
    <row r="140" spans="1:23" x14ac:dyDescent="0.25">
      <c r="A140">
        <v>12904</v>
      </c>
      <c r="B140">
        <v>12905</v>
      </c>
      <c r="C140" t="s">
        <v>1236</v>
      </c>
      <c r="D140" t="s">
        <v>1237</v>
      </c>
      <c r="E140" t="s">
        <v>613</v>
      </c>
      <c r="F140" t="s">
        <v>1287</v>
      </c>
      <c r="G140" t="s">
        <v>1288</v>
      </c>
      <c r="H140" t="s">
        <v>213</v>
      </c>
      <c r="I140" t="s">
        <v>1125</v>
      </c>
      <c r="J140" t="s">
        <v>85</v>
      </c>
      <c r="K140" t="s">
        <v>215</v>
      </c>
      <c r="L140" t="s">
        <v>966</v>
      </c>
      <c r="M140" t="s">
        <v>1145</v>
      </c>
      <c r="N140" t="s">
        <v>72</v>
      </c>
      <c r="O140" t="s">
        <v>75</v>
      </c>
      <c r="P140" s="44">
        <v>606</v>
      </c>
      <c r="Q140" s="42">
        <v>3.718</v>
      </c>
      <c r="R140" s="48">
        <v>11595</v>
      </c>
      <c r="T140" s="44">
        <v>261.24799999999999</v>
      </c>
      <c r="U140" s="45">
        <v>1.9999999999999999E-6</v>
      </c>
      <c r="V140" s="45">
        <v>1.9624603257091498E-2</v>
      </c>
      <c r="W140" s="45">
        <v>6.1076111287116201E-3</v>
      </c>
    </row>
    <row r="141" spans="1:23" x14ac:dyDescent="0.25">
      <c r="A141">
        <v>12904</v>
      </c>
      <c r="B141">
        <v>12905</v>
      </c>
      <c r="C141" t="s">
        <v>1240</v>
      </c>
      <c r="D141" t="s">
        <v>1241</v>
      </c>
      <c r="E141" t="s">
        <v>613</v>
      </c>
      <c r="F141" t="s">
        <v>1242</v>
      </c>
      <c r="G141" t="s">
        <v>1243</v>
      </c>
      <c r="H141" t="s">
        <v>213</v>
      </c>
      <c r="I141" t="s">
        <v>1125</v>
      </c>
      <c r="J141" t="s">
        <v>85</v>
      </c>
      <c r="K141" t="s">
        <v>1244</v>
      </c>
      <c r="L141" t="s">
        <v>966</v>
      </c>
      <c r="M141" t="s">
        <v>1145</v>
      </c>
      <c r="N141" t="s">
        <v>72</v>
      </c>
      <c r="O141" t="s">
        <v>75</v>
      </c>
      <c r="P141" s="44">
        <v>2887</v>
      </c>
      <c r="Q141" s="42">
        <v>3.718</v>
      </c>
      <c r="R141" s="48">
        <v>4371</v>
      </c>
      <c r="T141" s="44">
        <v>469.17700000000002</v>
      </c>
      <c r="U141" s="45">
        <v>1.3100000000000001E-4</v>
      </c>
      <c r="V141" s="45">
        <v>3.5243992388275899E-2</v>
      </c>
      <c r="W141" s="45">
        <v>1.09687109242872E-2</v>
      </c>
    </row>
    <row r="142" spans="1:23" x14ac:dyDescent="0.25">
      <c r="A142">
        <v>12904</v>
      </c>
      <c r="B142">
        <v>13680</v>
      </c>
      <c r="C142" t="s">
        <v>1245</v>
      </c>
      <c r="D142" t="s">
        <v>1246</v>
      </c>
      <c r="E142" t="s">
        <v>210</v>
      </c>
      <c r="F142" t="s">
        <v>1247</v>
      </c>
      <c r="G142" t="s">
        <v>1248</v>
      </c>
      <c r="H142" t="s">
        <v>213</v>
      </c>
      <c r="I142" t="s">
        <v>1125</v>
      </c>
      <c r="J142" t="s">
        <v>71</v>
      </c>
      <c r="K142" t="s">
        <v>604</v>
      </c>
      <c r="L142" t="s">
        <v>117</v>
      </c>
      <c r="M142" t="s">
        <v>1126</v>
      </c>
      <c r="N142" t="s">
        <v>72</v>
      </c>
      <c r="O142" t="s">
        <v>81</v>
      </c>
      <c r="P142" s="44">
        <v>10150</v>
      </c>
      <c r="Q142" s="42">
        <v>1</v>
      </c>
      <c r="R142" s="48">
        <v>4711</v>
      </c>
      <c r="T142" s="44">
        <v>478.166</v>
      </c>
      <c r="U142" s="45">
        <v>6.4899999999999995E-4</v>
      </c>
      <c r="V142" s="45">
        <v>1.6886152386980401E-2</v>
      </c>
      <c r="W142" s="45">
        <v>1.0284067743248901E-2</v>
      </c>
    </row>
    <row r="143" spans="1:23" x14ac:dyDescent="0.25">
      <c r="A143">
        <v>12904</v>
      </c>
      <c r="B143">
        <v>13680</v>
      </c>
      <c r="C143" t="s">
        <v>1121</v>
      </c>
      <c r="D143" t="s">
        <v>1122</v>
      </c>
      <c r="E143" t="s">
        <v>210</v>
      </c>
      <c r="F143" t="s">
        <v>1123</v>
      </c>
      <c r="G143" t="s">
        <v>1124</v>
      </c>
      <c r="H143" t="s">
        <v>213</v>
      </c>
      <c r="I143" t="s">
        <v>1125</v>
      </c>
      <c r="J143" t="s">
        <v>71</v>
      </c>
      <c r="K143" t="s">
        <v>291</v>
      </c>
      <c r="L143" t="s">
        <v>117</v>
      </c>
      <c r="M143" t="s">
        <v>1126</v>
      </c>
      <c r="N143" t="s">
        <v>72</v>
      </c>
      <c r="O143" t="s">
        <v>81</v>
      </c>
      <c r="P143" s="44">
        <v>2984</v>
      </c>
      <c r="Q143" s="42">
        <v>1</v>
      </c>
      <c r="R143" s="48">
        <v>9860</v>
      </c>
      <c r="T143" s="44">
        <v>294.22199999999998</v>
      </c>
      <c r="U143" s="45">
        <v>2.9799999999999998E-4</v>
      </c>
      <c r="V143" s="45">
        <v>1.0390280962934701E-2</v>
      </c>
      <c r="W143" s="45">
        <v>6.3279278100437496E-3</v>
      </c>
    </row>
    <row r="144" spans="1:23" x14ac:dyDescent="0.25">
      <c r="A144">
        <v>12904</v>
      </c>
      <c r="B144">
        <v>13680</v>
      </c>
      <c r="C144" t="s">
        <v>1121</v>
      </c>
      <c r="D144" t="s">
        <v>1122</v>
      </c>
      <c r="E144" t="s">
        <v>210</v>
      </c>
      <c r="F144" t="s">
        <v>1249</v>
      </c>
      <c r="G144" t="s">
        <v>1250</v>
      </c>
      <c r="H144" t="s">
        <v>213</v>
      </c>
      <c r="I144" t="s">
        <v>1131</v>
      </c>
      <c r="J144" t="s">
        <v>71</v>
      </c>
      <c r="K144" t="s">
        <v>71</v>
      </c>
      <c r="L144" t="s">
        <v>117</v>
      </c>
      <c r="M144" t="s">
        <v>1132</v>
      </c>
      <c r="N144" t="s">
        <v>72</v>
      </c>
      <c r="O144" t="s">
        <v>81</v>
      </c>
      <c r="P144" s="44">
        <v>13922</v>
      </c>
      <c r="Q144" s="42">
        <v>1</v>
      </c>
      <c r="R144" s="48">
        <v>3763</v>
      </c>
      <c r="T144" s="44">
        <v>523.88499999999999</v>
      </c>
      <c r="U144" s="45">
        <v>1.64E-4</v>
      </c>
      <c r="V144" s="45">
        <v>1.8500667820083399E-2</v>
      </c>
      <c r="W144" s="45">
        <v>1.1267345976563601E-2</v>
      </c>
    </row>
    <row r="145" spans="1:23" x14ac:dyDescent="0.25">
      <c r="A145">
        <v>12904</v>
      </c>
      <c r="B145">
        <v>13680</v>
      </c>
      <c r="C145" t="s">
        <v>1121</v>
      </c>
      <c r="D145" t="s">
        <v>1122</v>
      </c>
      <c r="E145" t="s">
        <v>210</v>
      </c>
      <c r="F145" t="s">
        <v>1251</v>
      </c>
      <c r="G145" t="s">
        <v>1252</v>
      </c>
      <c r="H145" t="s">
        <v>213</v>
      </c>
      <c r="I145" t="s">
        <v>1131</v>
      </c>
      <c r="J145" t="s">
        <v>71</v>
      </c>
      <c r="K145" t="s">
        <v>71</v>
      </c>
      <c r="L145" t="s">
        <v>117</v>
      </c>
      <c r="M145" t="s">
        <v>1132</v>
      </c>
      <c r="N145" t="s">
        <v>72</v>
      </c>
      <c r="O145" t="s">
        <v>81</v>
      </c>
      <c r="P145" s="44">
        <v>19929</v>
      </c>
      <c r="Q145" s="42">
        <v>1</v>
      </c>
      <c r="R145" s="48">
        <v>3593</v>
      </c>
      <c r="T145" s="44">
        <v>716.04899999999998</v>
      </c>
      <c r="U145" s="45">
        <v>3.3199999999999999E-4</v>
      </c>
      <c r="V145" s="45">
        <v>2.5286823782009801E-2</v>
      </c>
      <c r="W145" s="45">
        <v>1.5400276085764299E-2</v>
      </c>
    </row>
    <row r="146" spans="1:23" x14ac:dyDescent="0.25">
      <c r="A146">
        <v>12904</v>
      </c>
      <c r="B146">
        <v>13680</v>
      </c>
      <c r="C146" t="s">
        <v>1301</v>
      </c>
      <c r="D146" t="s">
        <v>1302</v>
      </c>
      <c r="E146" t="s">
        <v>210</v>
      </c>
      <c r="F146" t="s">
        <v>1303</v>
      </c>
      <c r="G146" t="s">
        <v>1304</v>
      </c>
      <c r="H146" t="s">
        <v>213</v>
      </c>
      <c r="I146" t="s">
        <v>1125</v>
      </c>
      <c r="J146" t="s">
        <v>71</v>
      </c>
      <c r="K146" t="s">
        <v>291</v>
      </c>
      <c r="L146" t="s">
        <v>117</v>
      </c>
      <c r="M146" t="s">
        <v>1126</v>
      </c>
      <c r="N146" t="s">
        <v>72</v>
      </c>
      <c r="O146" t="s">
        <v>81</v>
      </c>
      <c r="P146" s="44">
        <v>2290</v>
      </c>
      <c r="Q146" s="42">
        <v>1</v>
      </c>
      <c r="R146" s="48">
        <v>20310</v>
      </c>
      <c r="T146" s="44">
        <v>465.09899999999999</v>
      </c>
      <c r="U146" s="45">
        <v>2.3E-5</v>
      </c>
      <c r="V146" s="45">
        <v>1.6424681756317502E-2</v>
      </c>
      <c r="W146" s="45">
        <v>1.00030211721594E-2</v>
      </c>
    </row>
    <row r="147" spans="1:23" x14ac:dyDescent="0.25">
      <c r="A147">
        <v>12904</v>
      </c>
      <c r="B147">
        <v>13680</v>
      </c>
      <c r="C147" t="s">
        <v>1127</v>
      </c>
      <c r="D147" t="s">
        <v>1128</v>
      </c>
      <c r="E147" t="s">
        <v>210</v>
      </c>
      <c r="F147" t="s">
        <v>1253</v>
      </c>
      <c r="G147" t="s">
        <v>1254</v>
      </c>
      <c r="H147" t="s">
        <v>213</v>
      </c>
      <c r="I147" t="s">
        <v>1125</v>
      </c>
      <c r="J147" t="s">
        <v>71</v>
      </c>
      <c r="K147" t="s">
        <v>1156</v>
      </c>
      <c r="L147" t="s">
        <v>117</v>
      </c>
      <c r="M147" t="s">
        <v>1126</v>
      </c>
      <c r="N147" t="s">
        <v>72</v>
      </c>
      <c r="O147" t="s">
        <v>81</v>
      </c>
      <c r="P147" s="44">
        <v>24877</v>
      </c>
      <c r="Q147" s="42">
        <v>1</v>
      </c>
      <c r="R147" s="48">
        <v>3482</v>
      </c>
      <c r="T147" s="44">
        <v>866.21699999999998</v>
      </c>
      <c r="U147" s="45">
        <v>1.181E-3</v>
      </c>
      <c r="V147" s="45">
        <v>3.0589919256690599E-2</v>
      </c>
      <c r="W147" s="45">
        <v>1.8629987144903201E-2</v>
      </c>
    </row>
    <row r="148" spans="1:23" x14ac:dyDescent="0.25">
      <c r="A148">
        <v>12904</v>
      </c>
      <c r="B148">
        <v>13680</v>
      </c>
      <c r="C148" t="s">
        <v>1127</v>
      </c>
      <c r="D148" t="s">
        <v>1128</v>
      </c>
      <c r="E148" t="s">
        <v>210</v>
      </c>
      <c r="F148" t="s">
        <v>1255</v>
      </c>
      <c r="G148" t="s">
        <v>1256</v>
      </c>
      <c r="H148" t="s">
        <v>213</v>
      </c>
      <c r="I148" t="s">
        <v>1125</v>
      </c>
      <c r="J148" t="s">
        <v>71</v>
      </c>
      <c r="K148" t="s">
        <v>291</v>
      </c>
      <c r="L148" t="s">
        <v>117</v>
      </c>
      <c r="M148" t="s">
        <v>1126</v>
      </c>
      <c r="N148" t="s">
        <v>72</v>
      </c>
      <c r="O148" t="s">
        <v>81</v>
      </c>
      <c r="P148" s="44">
        <v>3812</v>
      </c>
      <c r="Q148" s="42">
        <v>1</v>
      </c>
      <c r="R148" s="48">
        <v>7512</v>
      </c>
      <c r="T148" s="44">
        <v>286.35700000000003</v>
      </c>
      <c r="U148" s="45">
        <v>3.8000000000000002E-5</v>
      </c>
      <c r="V148" s="45">
        <v>1.01125347948583E-2</v>
      </c>
      <c r="W148" s="45">
        <v>6.15877379896614E-3</v>
      </c>
    </row>
    <row r="149" spans="1:23" x14ac:dyDescent="0.25">
      <c r="A149">
        <v>12904</v>
      </c>
      <c r="B149">
        <v>13680</v>
      </c>
      <c r="C149" t="s">
        <v>1127</v>
      </c>
      <c r="D149" t="s">
        <v>1128</v>
      </c>
      <c r="E149" t="s">
        <v>210</v>
      </c>
      <c r="F149" t="s">
        <v>1129</v>
      </c>
      <c r="G149" t="s">
        <v>1130</v>
      </c>
      <c r="H149" t="s">
        <v>213</v>
      </c>
      <c r="I149" t="s">
        <v>1131</v>
      </c>
      <c r="J149" t="s">
        <v>71</v>
      </c>
      <c r="K149" t="s">
        <v>71</v>
      </c>
      <c r="L149" t="s">
        <v>117</v>
      </c>
      <c r="M149" t="s">
        <v>1132</v>
      </c>
      <c r="N149" t="s">
        <v>72</v>
      </c>
      <c r="O149" t="s">
        <v>81</v>
      </c>
      <c r="P149" s="44">
        <v>1873</v>
      </c>
      <c r="Q149" s="42">
        <v>1</v>
      </c>
      <c r="R149" s="48">
        <v>2397</v>
      </c>
      <c r="T149" s="44">
        <v>44.896000000000001</v>
      </c>
      <c r="U149" s="45">
        <v>9.0000000000000002E-6</v>
      </c>
      <c r="V149" s="45">
        <v>1.5854675917215399E-3</v>
      </c>
      <c r="W149" s="45">
        <v>9.6558740821038895E-4</v>
      </c>
    </row>
    <row r="150" spans="1:23" x14ac:dyDescent="0.25">
      <c r="A150">
        <v>12904</v>
      </c>
      <c r="B150">
        <v>13680</v>
      </c>
      <c r="C150" t="s">
        <v>1133</v>
      </c>
      <c r="D150" t="s">
        <v>1134</v>
      </c>
      <c r="E150" t="s">
        <v>210</v>
      </c>
      <c r="F150" t="s">
        <v>1135</v>
      </c>
      <c r="G150" t="s">
        <v>1136</v>
      </c>
      <c r="H150" t="s">
        <v>213</v>
      </c>
      <c r="I150" t="s">
        <v>1125</v>
      </c>
      <c r="J150" t="s">
        <v>71</v>
      </c>
      <c r="K150" t="s">
        <v>291</v>
      </c>
      <c r="L150" t="s">
        <v>117</v>
      </c>
      <c r="M150" t="s">
        <v>1126</v>
      </c>
      <c r="N150" t="s">
        <v>72</v>
      </c>
      <c r="O150" t="s">
        <v>81</v>
      </c>
      <c r="P150" s="44">
        <v>5431</v>
      </c>
      <c r="Q150" s="42">
        <v>1</v>
      </c>
      <c r="R150" s="48">
        <v>10700</v>
      </c>
      <c r="T150" s="44">
        <v>581.11699999999996</v>
      </c>
      <c r="U150" s="45">
        <v>5.7200000000000003E-4</v>
      </c>
      <c r="V150" s="45">
        <v>2.0521785228921102E-2</v>
      </c>
      <c r="W150" s="45">
        <v>1.2498254467332199E-2</v>
      </c>
    </row>
    <row r="151" spans="1:23" x14ac:dyDescent="0.25">
      <c r="A151">
        <v>12904</v>
      </c>
      <c r="B151">
        <v>13680</v>
      </c>
      <c r="C151" t="s">
        <v>1133</v>
      </c>
      <c r="D151" t="s">
        <v>1134</v>
      </c>
      <c r="E151" t="s">
        <v>210</v>
      </c>
      <c r="F151" t="s">
        <v>1137</v>
      </c>
      <c r="G151" t="s">
        <v>1138</v>
      </c>
      <c r="H151" t="s">
        <v>213</v>
      </c>
      <c r="I151" t="s">
        <v>1125</v>
      </c>
      <c r="J151" t="s">
        <v>71</v>
      </c>
      <c r="K151" t="s">
        <v>291</v>
      </c>
      <c r="L151" t="s">
        <v>117</v>
      </c>
      <c r="M151" t="s">
        <v>1126</v>
      </c>
      <c r="N151" t="s">
        <v>72</v>
      </c>
      <c r="O151" t="s">
        <v>81</v>
      </c>
      <c r="P151" s="44">
        <v>19112</v>
      </c>
      <c r="Q151" s="42">
        <v>1</v>
      </c>
      <c r="R151" s="48">
        <v>10210</v>
      </c>
      <c r="T151" s="44">
        <v>1951.335</v>
      </c>
      <c r="U151" s="45">
        <v>2.7900000000000001E-4</v>
      </c>
      <c r="V151" s="45">
        <v>6.8910188282280196E-2</v>
      </c>
      <c r="W151" s="45">
        <v>4.1967940846098999E-2</v>
      </c>
    </row>
    <row r="152" spans="1:23" x14ac:dyDescent="0.25">
      <c r="A152">
        <v>12904</v>
      </c>
      <c r="B152">
        <v>13680</v>
      </c>
      <c r="C152" t="s">
        <v>1121</v>
      </c>
      <c r="D152" t="s">
        <v>1122</v>
      </c>
      <c r="E152" t="s">
        <v>210</v>
      </c>
      <c r="F152" t="s">
        <v>1139</v>
      </c>
      <c r="G152" t="s">
        <v>1140</v>
      </c>
      <c r="H152" t="s">
        <v>213</v>
      </c>
      <c r="I152" t="s">
        <v>1125</v>
      </c>
      <c r="J152" t="s">
        <v>71</v>
      </c>
      <c r="K152" t="s">
        <v>291</v>
      </c>
      <c r="L152" t="s">
        <v>117</v>
      </c>
      <c r="M152" t="s">
        <v>1126</v>
      </c>
      <c r="N152" t="s">
        <v>72</v>
      </c>
      <c r="O152" t="s">
        <v>81</v>
      </c>
      <c r="P152" s="44">
        <v>2687</v>
      </c>
      <c r="Q152" s="42">
        <v>1</v>
      </c>
      <c r="R152" s="48">
        <v>3199</v>
      </c>
      <c r="T152" s="44">
        <v>85.956999999999994</v>
      </c>
      <c r="U152" s="45">
        <v>1.34E-4</v>
      </c>
      <c r="V152" s="45">
        <v>3.0355225552762201E-3</v>
      </c>
      <c r="W152" s="45">
        <v>1.8487053106716099E-3</v>
      </c>
    </row>
    <row r="153" spans="1:23" x14ac:dyDescent="0.25">
      <c r="A153">
        <v>12904</v>
      </c>
      <c r="B153">
        <v>13680</v>
      </c>
      <c r="C153" t="s">
        <v>1245</v>
      </c>
      <c r="D153" t="s">
        <v>1246</v>
      </c>
      <c r="E153" t="s">
        <v>210</v>
      </c>
      <c r="F153" t="s">
        <v>1261</v>
      </c>
      <c r="G153" t="s">
        <v>1262</v>
      </c>
      <c r="H153" t="s">
        <v>213</v>
      </c>
      <c r="I153" t="s">
        <v>1125</v>
      </c>
      <c r="J153" t="s">
        <v>71</v>
      </c>
      <c r="K153" t="s">
        <v>215</v>
      </c>
      <c r="L153" t="s">
        <v>117</v>
      </c>
      <c r="M153" t="s">
        <v>1126</v>
      </c>
      <c r="N153" t="s">
        <v>72</v>
      </c>
      <c r="O153" t="s">
        <v>81</v>
      </c>
      <c r="P153" s="44">
        <v>96132</v>
      </c>
      <c r="Q153" s="42">
        <v>1</v>
      </c>
      <c r="R153" s="48">
        <v>1457</v>
      </c>
      <c r="T153" s="44">
        <v>1400.643</v>
      </c>
      <c r="U153" s="45">
        <v>1.4220000000000001E-3</v>
      </c>
      <c r="V153" s="45">
        <v>4.9462844407615399E-2</v>
      </c>
      <c r="W153" s="45">
        <v>3.0124046674712E-2</v>
      </c>
    </row>
    <row r="154" spans="1:23" x14ac:dyDescent="0.25">
      <c r="A154">
        <v>12904</v>
      </c>
      <c r="B154">
        <v>13680</v>
      </c>
      <c r="C154" t="s">
        <v>1245</v>
      </c>
      <c r="D154" t="s">
        <v>1246</v>
      </c>
      <c r="E154" t="s">
        <v>210</v>
      </c>
      <c r="F154" t="s">
        <v>1305</v>
      </c>
      <c r="G154" t="s">
        <v>1306</v>
      </c>
      <c r="H154" t="s">
        <v>213</v>
      </c>
      <c r="I154" t="s">
        <v>1131</v>
      </c>
      <c r="J154" t="s">
        <v>71</v>
      </c>
      <c r="K154" t="s">
        <v>71</v>
      </c>
      <c r="L154" t="s">
        <v>117</v>
      </c>
      <c r="M154" t="s">
        <v>1132</v>
      </c>
      <c r="N154" t="s">
        <v>72</v>
      </c>
      <c r="O154" t="s">
        <v>81</v>
      </c>
      <c r="P154" s="44">
        <v>0.81</v>
      </c>
      <c r="Q154" s="42">
        <v>1</v>
      </c>
      <c r="R154" s="48">
        <v>31020</v>
      </c>
      <c r="T154" s="44">
        <v>0.251</v>
      </c>
      <c r="U154" s="45">
        <v>0</v>
      </c>
      <c r="V154" s="45">
        <v>8.8731611709676E-6</v>
      </c>
      <c r="W154" s="45">
        <v>5.4039658347128297E-6</v>
      </c>
    </row>
    <row r="155" spans="1:23" x14ac:dyDescent="0.25">
      <c r="A155">
        <v>12904</v>
      </c>
      <c r="B155">
        <v>13680</v>
      </c>
      <c r="C155" t="s">
        <v>1141</v>
      </c>
      <c r="D155" t="s">
        <v>1142</v>
      </c>
      <c r="E155" t="s">
        <v>613</v>
      </c>
      <c r="F155" t="s">
        <v>1143</v>
      </c>
      <c r="G155" t="s">
        <v>1144</v>
      </c>
      <c r="H155" t="s">
        <v>213</v>
      </c>
      <c r="I155" t="s">
        <v>1125</v>
      </c>
      <c r="J155" t="s">
        <v>85</v>
      </c>
      <c r="K155" t="s">
        <v>291</v>
      </c>
      <c r="L155" t="s">
        <v>966</v>
      </c>
      <c r="M155" t="s">
        <v>1145</v>
      </c>
      <c r="N155" t="s">
        <v>72</v>
      </c>
      <c r="O155" t="s">
        <v>75</v>
      </c>
      <c r="P155" s="44">
        <v>1048</v>
      </c>
      <c r="Q155" s="42">
        <v>3.718</v>
      </c>
      <c r="R155" s="48">
        <v>7885</v>
      </c>
      <c r="T155" s="44">
        <v>307.23599999999999</v>
      </c>
      <c r="U155" s="45">
        <v>5.0000000000000004E-6</v>
      </c>
      <c r="V155" s="45">
        <v>1.0849854731239301E-2</v>
      </c>
      <c r="W155" s="45">
        <v>6.6078191469186101E-3</v>
      </c>
    </row>
    <row r="156" spans="1:23" x14ac:dyDescent="0.25">
      <c r="A156">
        <v>12904</v>
      </c>
      <c r="B156">
        <v>13680</v>
      </c>
      <c r="C156" t="s">
        <v>1146</v>
      </c>
      <c r="D156" t="s">
        <v>1147</v>
      </c>
      <c r="E156" t="s">
        <v>613</v>
      </c>
      <c r="F156" t="s">
        <v>1148</v>
      </c>
      <c r="G156" t="s">
        <v>1149</v>
      </c>
      <c r="H156" t="s">
        <v>213</v>
      </c>
      <c r="I156" t="s">
        <v>1125</v>
      </c>
      <c r="J156" t="s">
        <v>85</v>
      </c>
      <c r="K156" t="s">
        <v>291</v>
      </c>
      <c r="L156" t="s">
        <v>966</v>
      </c>
      <c r="M156" t="s">
        <v>1145</v>
      </c>
      <c r="N156" t="s">
        <v>72</v>
      </c>
      <c r="O156" t="s">
        <v>75</v>
      </c>
      <c r="P156" s="44">
        <v>292</v>
      </c>
      <c r="Q156" s="42">
        <v>3.718</v>
      </c>
      <c r="R156" s="48">
        <v>11655</v>
      </c>
      <c r="T156" s="44">
        <v>126.533</v>
      </c>
      <c r="U156" s="45">
        <v>1.5E-5</v>
      </c>
      <c r="V156" s="45">
        <v>4.46844145718721E-3</v>
      </c>
      <c r="W156" s="45">
        <v>2.7213869447184698E-3</v>
      </c>
    </row>
    <row r="157" spans="1:23" x14ac:dyDescent="0.25">
      <c r="A157">
        <v>12904</v>
      </c>
      <c r="B157">
        <v>13680</v>
      </c>
      <c r="C157" t="s">
        <v>1150</v>
      </c>
      <c r="D157" t="s">
        <v>1151</v>
      </c>
      <c r="E157" t="s">
        <v>613</v>
      </c>
      <c r="F157" t="s">
        <v>1152</v>
      </c>
      <c r="G157" t="s">
        <v>1153</v>
      </c>
      <c r="H157" t="s">
        <v>213</v>
      </c>
      <c r="I157" t="s">
        <v>1125</v>
      </c>
      <c r="J157" t="s">
        <v>85</v>
      </c>
      <c r="K157" t="s">
        <v>990</v>
      </c>
      <c r="L157" t="s">
        <v>936</v>
      </c>
      <c r="M157" t="s">
        <v>1145</v>
      </c>
      <c r="N157" t="s">
        <v>72</v>
      </c>
      <c r="O157" t="s">
        <v>75</v>
      </c>
      <c r="P157" s="44">
        <v>1373</v>
      </c>
      <c r="Q157" s="42">
        <v>3.718</v>
      </c>
      <c r="R157" s="48">
        <v>13173.4</v>
      </c>
      <c r="T157" s="44">
        <v>672.47799999999995</v>
      </c>
      <c r="U157" s="45">
        <v>0</v>
      </c>
      <c r="V157" s="45">
        <v>2.3748126816131299E-2</v>
      </c>
      <c r="W157" s="45">
        <v>1.4463173099199599E-2</v>
      </c>
    </row>
    <row r="158" spans="1:23" x14ac:dyDescent="0.25">
      <c r="A158">
        <v>12904</v>
      </c>
      <c r="B158">
        <v>13680</v>
      </c>
      <c r="C158" t="s">
        <v>1150</v>
      </c>
      <c r="D158" t="s">
        <v>1151</v>
      </c>
      <c r="E158" t="s">
        <v>613</v>
      </c>
      <c r="F158" t="s">
        <v>1154</v>
      </c>
      <c r="G158" t="s">
        <v>1155</v>
      </c>
      <c r="H158" t="s">
        <v>213</v>
      </c>
      <c r="I158" t="s">
        <v>1125</v>
      </c>
      <c r="J158" t="s">
        <v>85</v>
      </c>
      <c r="K158" t="s">
        <v>1156</v>
      </c>
      <c r="L158" t="s">
        <v>286</v>
      </c>
      <c r="M158" t="s">
        <v>1145</v>
      </c>
      <c r="N158" t="s">
        <v>72</v>
      </c>
      <c r="O158" t="s">
        <v>75</v>
      </c>
      <c r="P158" s="44">
        <v>550</v>
      </c>
      <c r="Q158" s="42">
        <v>3.718</v>
      </c>
      <c r="R158" s="48">
        <v>7266.1</v>
      </c>
      <c r="T158" s="44">
        <v>148.584</v>
      </c>
      <c r="U158" s="45">
        <v>0</v>
      </c>
      <c r="V158" s="45">
        <v>5.2471684090070704E-3</v>
      </c>
      <c r="W158" s="45">
        <v>3.19565014822858E-3</v>
      </c>
    </row>
    <row r="159" spans="1:23" x14ac:dyDescent="0.25">
      <c r="A159">
        <v>12904</v>
      </c>
      <c r="B159">
        <v>13680</v>
      </c>
      <c r="C159" t="s">
        <v>1150</v>
      </c>
      <c r="D159" t="s">
        <v>1151</v>
      </c>
      <c r="E159" t="s">
        <v>613</v>
      </c>
      <c r="F159" t="s">
        <v>1267</v>
      </c>
      <c r="G159" t="s">
        <v>1268</v>
      </c>
      <c r="H159" t="s">
        <v>213</v>
      </c>
      <c r="I159" t="s">
        <v>1125</v>
      </c>
      <c r="J159" t="s">
        <v>85</v>
      </c>
      <c r="K159" t="s">
        <v>1156</v>
      </c>
      <c r="L159" t="s">
        <v>936</v>
      </c>
      <c r="M159" t="s">
        <v>1145</v>
      </c>
      <c r="N159" t="s">
        <v>72</v>
      </c>
      <c r="O159" t="s">
        <v>75</v>
      </c>
      <c r="P159" s="44">
        <v>5206</v>
      </c>
      <c r="Q159" s="42">
        <v>3.718</v>
      </c>
      <c r="R159" s="48">
        <v>5378</v>
      </c>
      <c r="T159" s="44">
        <v>1040.961</v>
      </c>
      <c r="U159" s="45">
        <v>0</v>
      </c>
      <c r="V159" s="45">
        <v>3.6760880474619999E-2</v>
      </c>
      <c r="W159" s="45">
        <v>2.23882490480161E-2</v>
      </c>
    </row>
    <row r="160" spans="1:23" x14ac:dyDescent="0.25">
      <c r="A160">
        <v>12904</v>
      </c>
      <c r="B160">
        <v>13680</v>
      </c>
      <c r="C160" t="s">
        <v>1150</v>
      </c>
      <c r="D160" t="s">
        <v>1151</v>
      </c>
      <c r="E160" t="s">
        <v>613</v>
      </c>
      <c r="F160" t="s">
        <v>1307</v>
      </c>
      <c r="G160" t="s">
        <v>1308</v>
      </c>
      <c r="H160" t="s">
        <v>213</v>
      </c>
      <c r="I160" t="s">
        <v>1125</v>
      </c>
      <c r="J160" t="s">
        <v>85</v>
      </c>
      <c r="K160" t="s">
        <v>291</v>
      </c>
      <c r="L160" t="s">
        <v>1206</v>
      </c>
      <c r="M160" t="s">
        <v>1145</v>
      </c>
      <c r="N160" t="s">
        <v>72</v>
      </c>
      <c r="O160" t="s">
        <v>75</v>
      </c>
      <c r="P160" s="44">
        <v>555</v>
      </c>
      <c r="Q160" s="42">
        <v>3.718</v>
      </c>
      <c r="R160" s="48">
        <v>10928.02</v>
      </c>
      <c r="T160" s="44">
        <v>225.499</v>
      </c>
      <c r="U160" s="45">
        <v>0</v>
      </c>
      <c r="V160" s="45">
        <v>7.9633427287950104E-3</v>
      </c>
      <c r="W160" s="45">
        <v>4.8498648009821198E-3</v>
      </c>
    </row>
    <row r="161" spans="1:23" x14ac:dyDescent="0.25">
      <c r="A161">
        <v>12904</v>
      </c>
      <c r="B161">
        <v>13680</v>
      </c>
      <c r="C161" t="s">
        <v>1150</v>
      </c>
      <c r="D161" t="s">
        <v>1151</v>
      </c>
      <c r="E161" t="s">
        <v>613</v>
      </c>
      <c r="F161" t="s">
        <v>1157</v>
      </c>
      <c r="G161" t="s">
        <v>1158</v>
      </c>
      <c r="H161" t="s">
        <v>213</v>
      </c>
      <c r="I161" t="s">
        <v>1125</v>
      </c>
      <c r="J161" t="s">
        <v>85</v>
      </c>
      <c r="K161" t="s">
        <v>291</v>
      </c>
      <c r="L161" t="s">
        <v>1022</v>
      </c>
      <c r="M161" t="s">
        <v>1145</v>
      </c>
      <c r="N161" t="s">
        <v>72</v>
      </c>
      <c r="O161" t="s">
        <v>77</v>
      </c>
      <c r="P161" s="44">
        <v>595</v>
      </c>
      <c r="Q161" s="42">
        <v>4.0218999999999996</v>
      </c>
      <c r="R161" s="48">
        <v>7421.9</v>
      </c>
      <c r="T161" s="44">
        <v>177.608</v>
      </c>
      <c r="U161" s="45">
        <v>0</v>
      </c>
      <c r="V161" s="45">
        <v>6.2721276732084904E-3</v>
      </c>
      <c r="W161" s="45">
        <v>3.8198746764429E-3</v>
      </c>
    </row>
    <row r="162" spans="1:23" x14ac:dyDescent="0.25">
      <c r="A162">
        <v>12904</v>
      </c>
      <c r="B162">
        <v>13680</v>
      </c>
      <c r="C162" t="s">
        <v>1141</v>
      </c>
      <c r="D162" t="s">
        <v>1142</v>
      </c>
      <c r="E162" t="s">
        <v>613</v>
      </c>
      <c r="F162" t="s">
        <v>1159</v>
      </c>
      <c r="G162" t="s">
        <v>1160</v>
      </c>
      <c r="H162" t="s">
        <v>213</v>
      </c>
      <c r="I162" t="s">
        <v>1125</v>
      </c>
      <c r="J162" t="s">
        <v>85</v>
      </c>
      <c r="K162" t="s">
        <v>291</v>
      </c>
      <c r="L162" t="s">
        <v>966</v>
      </c>
      <c r="M162" t="s">
        <v>1145</v>
      </c>
      <c r="N162" t="s">
        <v>72</v>
      </c>
      <c r="O162" t="s">
        <v>75</v>
      </c>
      <c r="P162" s="44">
        <v>552</v>
      </c>
      <c r="Q162" s="42">
        <v>3.718</v>
      </c>
      <c r="R162" s="48">
        <v>9645</v>
      </c>
      <c r="T162" s="44">
        <v>197.94800000000001</v>
      </c>
      <c r="U162" s="45">
        <v>3.0000000000000001E-6</v>
      </c>
      <c r="V162" s="45">
        <v>6.9904036293797697E-3</v>
      </c>
      <c r="W162" s="45">
        <v>4.2573217882732901E-3</v>
      </c>
    </row>
    <row r="163" spans="1:23" x14ac:dyDescent="0.25">
      <c r="A163">
        <v>12904</v>
      </c>
      <c r="B163">
        <v>13680</v>
      </c>
      <c r="C163" t="s">
        <v>1141</v>
      </c>
      <c r="D163" t="s">
        <v>1142</v>
      </c>
      <c r="E163" t="s">
        <v>613</v>
      </c>
      <c r="F163" t="s">
        <v>1161</v>
      </c>
      <c r="G163" t="s">
        <v>1162</v>
      </c>
      <c r="H163" t="s">
        <v>213</v>
      </c>
      <c r="I163" t="s">
        <v>1125</v>
      </c>
      <c r="J163" t="s">
        <v>85</v>
      </c>
      <c r="K163" t="s">
        <v>291</v>
      </c>
      <c r="L163" t="s">
        <v>966</v>
      </c>
      <c r="M163" t="s">
        <v>1145</v>
      </c>
      <c r="N163" t="s">
        <v>72</v>
      </c>
      <c r="O163" t="s">
        <v>75</v>
      </c>
      <c r="P163" s="44">
        <v>390</v>
      </c>
      <c r="Q163" s="42">
        <v>3.718</v>
      </c>
      <c r="R163" s="48">
        <v>19746</v>
      </c>
      <c r="T163" s="44">
        <v>286.32100000000003</v>
      </c>
      <c r="U163" s="45">
        <v>3.9999999999999998E-6</v>
      </c>
      <c r="V163" s="45">
        <v>1.01112461449643E-2</v>
      </c>
      <c r="W163" s="45">
        <v>6.1579889805834101E-3</v>
      </c>
    </row>
    <row r="164" spans="1:23" x14ac:dyDescent="0.25">
      <c r="A164">
        <v>12904</v>
      </c>
      <c r="B164">
        <v>13680</v>
      </c>
      <c r="C164" t="s">
        <v>1163</v>
      </c>
      <c r="D164" t="s">
        <v>1164</v>
      </c>
      <c r="E164" t="s">
        <v>613</v>
      </c>
      <c r="F164" t="s">
        <v>1165</v>
      </c>
      <c r="G164" t="s">
        <v>1166</v>
      </c>
      <c r="H164" t="s">
        <v>213</v>
      </c>
      <c r="I164" t="s">
        <v>1125</v>
      </c>
      <c r="J164" t="s">
        <v>85</v>
      </c>
      <c r="L164" t="s">
        <v>286</v>
      </c>
      <c r="M164" t="s">
        <v>1145</v>
      </c>
      <c r="N164" t="s">
        <v>72</v>
      </c>
      <c r="O164" t="s">
        <v>77</v>
      </c>
      <c r="P164" s="44">
        <v>3010</v>
      </c>
      <c r="Q164" s="42">
        <v>4.0218999999999996</v>
      </c>
      <c r="R164" s="48">
        <v>9495</v>
      </c>
      <c r="T164" s="44">
        <v>1149.4570000000001</v>
      </c>
      <c r="U164" s="45">
        <v>0</v>
      </c>
      <c r="V164" s="45">
        <v>4.0592358973497798E-2</v>
      </c>
      <c r="W164" s="45">
        <v>2.4721710427272701E-2</v>
      </c>
    </row>
    <row r="165" spans="1:23" x14ac:dyDescent="0.25">
      <c r="A165">
        <v>12904</v>
      </c>
      <c r="B165">
        <v>13680</v>
      </c>
      <c r="C165" t="s">
        <v>1141</v>
      </c>
      <c r="D165" t="s">
        <v>1142</v>
      </c>
      <c r="E165" t="s">
        <v>613</v>
      </c>
      <c r="F165" t="s">
        <v>1167</v>
      </c>
      <c r="G165" t="s">
        <v>1168</v>
      </c>
      <c r="H165" t="s">
        <v>213</v>
      </c>
      <c r="I165" t="s">
        <v>1125</v>
      </c>
      <c r="J165" t="s">
        <v>85</v>
      </c>
      <c r="K165" t="s">
        <v>291</v>
      </c>
      <c r="L165" t="s">
        <v>966</v>
      </c>
      <c r="M165" t="s">
        <v>1145</v>
      </c>
      <c r="N165" t="s">
        <v>72</v>
      </c>
      <c r="O165" t="s">
        <v>75</v>
      </c>
      <c r="P165" s="44">
        <v>4194</v>
      </c>
      <c r="Q165" s="42">
        <v>3.718</v>
      </c>
      <c r="R165" s="48">
        <v>4981</v>
      </c>
      <c r="T165" s="44">
        <v>776.702</v>
      </c>
      <c r="U165" s="45">
        <v>5.0000000000000004E-6</v>
      </c>
      <c r="V165" s="45">
        <v>2.7428743361147399E-2</v>
      </c>
      <c r="W165" s="45">
        <v>1.6704755966534899E-2</v>
      </c>
    </row>
    <row r="166" spans="1:23" x14ac:dyDescent="0.25">
      <c r="A166">
        <v>12904</v>
      </c>
      <c r="B166">
        <v>13680</v>
      </c>
      <c r="C166" t="s">
        <v>1169</v>
      </c>
      <c r="D166" t="s">
        <v>1170</v>
      </c>
      <c r="E166" t="s">
        <v>613</v>
      </c>
      <c r="F166" t="s">
        <v>1171</v>
      </c>
      <c r="G166" t="s">
        <v>1172</v>
      </c>
      <c r="H166" t="s">
        <v>213</v>
      </c>
      <c r="I166" t="s">
        <v>1125</v>
      </c>
      <c r="J166" t="s">
        <v>85</v>
      </c>
      <c r="K166" t="s">
        <v>215</v>
      </c>
      <c r="L166" t="s">
        <v>936</v>
      </c>
      <c r="M166" t="s">
        <v>1145</v>
      </c>
      <c r="N166" t="s">
        <v>72</v>
      </c>
      <c r="O166" t="s">
        <v>75</v>
      </c>
      <c r="P166" s="44">
        <v>378</v>
      </c>
      <c r="Q166" s="42">
        <v>3.718</v>
      </c>
      <c r="R166" s="48">
        <v>11313</v>
      </c>
      <c r="T166" s="44">
        <v>158.99299999999999</v>
      </c>
      <c r="U166" s="45">
        <v>5.3000000000000001E-5</v>
      </c>
      <c r="V166" s="45">
        <v>5.6147513741383499E-3</v>
      </c>
      <c r="W166" s="45">
        <v>3.4195169017697301E-3</v>
      </c>
    </row>
    <row r="167" spans="1:23" x14ac:dyDescent="0.25">
      <c r="A167">
        <v>12904</v>
      </c>
      <c r="B167">
        <v>13680</v>
      </c>
      <c r="C167" t="s">
        <v>1173</v>
      </c>
      <c r="D167" t="s">
        <v>1174</v>
      </c>
      <c r="E167" t="s">
        <v>613</v>
      </c>
      <c r="F167" t="s">
        <v>1175</v>
      </c>
      <c r="G167" t="s">
        <v>1176</v>
      </c>
      <c r="H167" t="s">
        <v>213</v>
      </c>
      <c r="I167" t="s">
        <v>1125</v>
      </c>
      <c r="J167" t="s">
        <v>85</v>
      </c>
      <c r="K167" t="s">
        <v>984</v>
      </c>
      <c r="L167" t="s">
        <v>966</v>
      </c>
      <c r="M167" t="s">
        <v>1145</v>
      </c>
      <c r="N167" t="s">
        <v>72</v>
      </c>
      <c r="O167" t="s">
        <v>75</v>
      </c>
      <c r="P167" s="44">
        <v>3278</v>
      </c>
      <c r="Q167" s="42">
        <v>3.718</v>
      </c>
      <c r="R167" s="48">
        <v>3773</v>
      </c>
      <c r="T167" s="44">
        <v>459.83800000000002</v>
      </c>
      <c r="U167" s="45">
        <v>2.1999999999999999E-5</v>
      </c>
      <c r="V167" s="45">
        <v>1.62389033713842E-2</v>
      </c>
      <c r="W167" s="45">
        <v>9.8898777246704504E-3</v>
      </c>
    </row>
    <row r="168" spans="1:23" x14ac:dyDescent="0.25">
      <c r="A168">
        <v>12904</v>
      </c>
      <c r="B168">
        <v>13680</v>
      </c>
      <c r="C168" t="s">
        <v>1141</v>
      </c>
      <c r="D168" t="s">
        <v>1142</v>
      </c>
      <c r="E168" t="s">
        <v>613</v>
      </c>
      <c r="F168" t="s">
        <v>1177</v>
      </c>
      <c r="G168" t="s">
        <v>1178</v>
      </c>
      <c r="H168" t="s">
        <v>213</v>
      </c>
      <c r="I168" t="s">
        <v>1125</v>
      </c>
      <c r="J168" t="s">
        <v>85</v>
      </c>
      <c r="K168" t="s">
        <v>291</v>
      </c>
      <c r="L168" t="s">
        <v>966</v>
      </c>
      <c r="M168" t="s">
        <v>1145</v>
      </c>
      <c r="N168" t="s">
        <v>72</v>
      </c>
      <c r="O168" t="s">
        <v>75</v>
      </c>
      <c r="P168" s="44">
        <v>533</v>
      </c>
      <c r="Q168" s="42">
        <v>3.718</v>
      </c>
      <c r="R168" s="48">
        <v>14601</v>
      </c>
      <c r="T168" s="44">
        <v>289.34699999999998</v>
      </c>
      <c r="U168" s="45">
        <v>1.9999999999999999E-6</v>
      </c>
      <c r="V168" s="45">
        <v>1.0218114223079101E-2</v>
      </c>
      <c r="W168" s="45">
        <v>6.2230741775978803E-3</v>
      </c>
    </row>
    <row r="169" spans="1:23" x14ac:dyDescent="0.25">
      <c r="A169">
        <v>12904</v>
      </c>
      <c r="B169">
        <v>13680</v>
      </c>
      <c r="C169" t="s">
        <v>1179</v>
      </c>
      <c r="D169" t="s">
        <v>1180</v>
      </c>
      <c r="E169" t="s">
        <v>613</v>
      </c>
      <c r="F169" t="s">
        <v>1181</v>
      </c>
      <c r="G169" t="s">
        <v>1182</v>
      </c>
      <c r="H169" t="s">
        <v>213</v>
      </c>
      <c r="I169" t="s">
        <v>1125</v>
      </c>
      <c r="J169" t="s">
        <v>85</v>
      </c>
      <c r="L169" t="s">
        <v>286</v>
      </c>
      <c r="M169" t="s">
        <v>1145</v>
      </c>
      <c r="N169" t="s">
        <v>72</v>
      </c>
      <c r="O169" t="s">
        <v>75</v>
      </c>
      <c r="P169" s="44">
        <v>1278</v>
      </c>
      <c r="Q169" s="42">
        <v>3.718</v>
      </c>
      <c r="R169" s="48">
        <v>8899</v>
      </c>
      <c r="T169" s="44">
        <v>422.84500000000003</v>
      </c>
      <c r="U169" s="45">
        <v>1.2E-5</v>
      </c>
      <c r="V169" s="45">
        <v>1.49325165147995E-2</v>
      </c>
      <c r="W169" s="45">
        <v>9.0942571105650204E-3</v>
      </c>
    </row>
    <row r="170" spans="1:23" x14ac:dyDescent="0.25">
      <c r="A170">
        <v>12904</v>
      </c>
      <c r="B170">
        <v>13680</v>
      </c>
      <c r="C170" t="s">
        <v>1141</v>
      </c>
      <c r="D170" t="s">
        <v>1142</v>
      </c>
      <c r="E170" t="s">
        <v>613</v>
      </c>
      <c r="F170" t="s">
        <v>1183</v>
      </c>
      <c r="G170" t="s">
        <v>1184</v>
      </c>
      <c r="H170" t="s">
        <v>213</v>
      </c>
      <c r="I170" t="s">
        <v>1125</v>
      </c>
      <c r="J170" t="s">
        <v>85</v>
      </c>
      <c r="K170" t="s">
        <v>291</v>
      </c>
      <c r="L170" t="s">
        <v>966</v>
      </c>
      <c r="M170" t="s">
        <v>1145</v>
      </c>
      <c r="N170" t="s">
        <v>72</v>
      </c>
      <c r="O170" t="s">
        <v>75</v>
      </c>
      <c r="P170" s="44">
        <v>580</v>
      </c>
      <c r="Q170" s="42">
        <v>3.718</v>
      </c>
      <c r="R170" s="48">
        <v>13107</v>
      </c>
      <c r="T170" s="44">
        <v>282.64499999999998</v>
      </c>
      <c r="U170" s="45">
        <v>3.9999999999999998E-6</v>
      </c>
      <c r="V170" s="45">
        <v>9.98141783584699E-3</v>
      </c>
      <c r="W170" s="45">
        <v>6.0789204577277401E-3</v>
      </c>
    </row>
    <row r="171" spans="1:23" x14ac:dyDescent="0.25">
      <c r="A171">
        <v>12904</v>
      </c>
      <c r="B171">
        <v>13680</v>
      </c>
      <c r="C171" t="s">
        <v>1146</v>
      </c>
      <c r="D171" t="s">
        <v>1147</v>
      </c>
      <c r="E171" t="s">
        <v>613</v>
      </c>
      <c r="F171" t="s">
        <v>1269</v>
      </c>
      <c r="G171" t="s">
        <v>1270</v>
      </c>
      <c r="H171" t="s">
        <v>213</v>
      </c>
      <c r="I171" t="s">
        <v>1125</v>
      </c>
      <c r="J171" t="s">
        <v>85</v>
      </c>
      <c r="K171" t="s">
        <v>291</v>
      </c>
      <c r="L171" t="s">
        <v>936</v>
      </c>
      <c r="M171" t="s">
        <v>1145</v>
      </c>
      <c r="N171" t="s">
        <v>72</v>
      </c>
      <c r="O171" t="s">
        <v>75</v>
      </c>
      <c r="P171" s="44">
        <v>1600</v>
      </c>
      <c r="Q171" s="42">
        <v>3.718</v>
      </c>
      <c r="R171" s="48">
        <v>4893</v>
      </c>
      <c r="T171" s="44">
        <v>291.07499999999999</v>
      </c>
      <c r="U171" s="45">
        <v>0</v>
      </c>
      <c r="V171" s="45">
        <v>1.02791248626397E-2</v>
      </c>
      <c r="W171" s="45">
        <v>6.2602311057080497E-3</v>
      </c>
    </row>
    <row r="172" spans="1:23" x14ac:dyDescent="0.25">
      <c r="A172">
        <v>12904</v>
      </c>
      <c r="B172">
        <v>13680</v>
      </c>
      <c r="C172" t="s">
        <v>1179</v>
      </c>
      <c r="D172" t="s">
        <v>1180</v>
      </c>
      <c r="E172" t="s">
        <v>613</v>
      </c>
      <c r="F172" t="s">
        <v>1185</v>
      </c>
      <c r="G172" t="s">
        <v>1186</v>
      </c>
      <c r="H172" t="s">
        <v>213</v>
      </c>
      <c r="I172" t="s">
        <v>1125</v>
      </c>
      <c r="J172" t="s">
        <v>85</v>
      </c>
      <c r="K172" t="s">
        <v>604</v>
      </c>
      <c r="L172" t="s">
        <v>1187</v>
      </c>
      <c r="M172" t="s">
        <v>1145</v>
      </c>
      <c r="N172" t="s">
        <v>72</v>
      </c>
      <c r="O172" t="s">
        <v>79</v>
      </c>
      <c r="P172" s="44">
        <v>11276</v>
      </c>
      <c r="Q172" s="42">
        <v>4.8108000000000004</v>
      </c>
      <c r="R172" s="48">
        <v>838.1</v>
      </c>
      <c r="T172" s="44">
        <v>454.64100000000002</v>
      </c>
      <c r="U172" s="45">
        <v>1.8E-5</v>
      </c>
      <c r="V172" s="45">
        <v>1.6055349645508001E-2</v>
      </c>
      <c r="W172" s="45">
        <v>9.7780891473689506E-3</v>
      </c>
    </row>
    <row r="173" spans="1:23" x14ac:dyDescent="0.25">
      <c r="A173">
        <v>12904</v>
      </c>
      <c r="B173">
        <v>13680</v>
      </c>
      <c r="C173" t="s">
        <v>1179</v>
      </c>
      <c r="D173" t="s">
        <v>1180</v>
      </c>
      <c r="E173" t="s">
        <v>613</v>
      </c>
      <c r="F173" t="s">
        <v>1188</v>
      </c>
      <c r="G173" t="s">
        <v>1189</v>
      </c>
      <c r="H173" t="s">
        <v>213</v>
      </c>
      <c r="I173" t="s">
        <v>1125</v>
      </c>
      <c r="J173" t="s">
        <v>85</v>
      </c>
      <c r="K173" t="s">
        <v>1053</v>
      </c>
      <c r="L173" t="s">
        <v>966</v>
      </c>
      <c r="M173" t="s">
        <v>1145</v>
      </c>
      <c r="N173" t="s">
        <v>72</v>
      </c>
      <c r="O173" t="s">
        <v>75</v>
      </c>
      <c r="P173" s="44">
        <v>7475</v>
      </c>
      <c r="Q173" s="42">
        <v>3.718</v>
      </c>
      <c r="R173" s="48">
        <v>3584</v>
      </c>
      <c r="T173" s="44">
        <v>996.06700000000001</v>
      </c>
      <c r="U173" s="45">
        <v>4.3999999999999999E-5</v>
      </c>
      <c r="V173" s="45">
        <v>3.5175488800335102E-2</v>
      </c>
      <c r="W173" s="45">
        <v>2.1422707875327102E-2</v>
      </c>
    </row>
    <row r="174" spans="1:23" x14ac:dyDescent="0.25">
      <c r="A174">
        <v>12904</v>
      </c>
      <c r="B174">
        <v>13680</v>
      </c>
      <c r="C174" t="s">
        <v>1179</v>
      </c>
      <c r="D174" t="s">
        <v>1180</v>
      </c>
      <c r="E174" t="s">
        <v>613</v>
      </c>
      <c r="F174" t="s">
        <v>1190</v>
      </c>
      <c r="G174" t="s">
        <v>1191</v>
      </c>
      <c r="H174" t="s">
        <v>213</v>
      </c>
      <c r="I174" t="s">
        <v>1192</v>
      </c>
      <c r="J174" t="s">
        <v>85</v>
      </c>
      <c r="K174" t="s">
        <v>1193</v>
      </c>
      <c r="L174" t="s">
        <v>1187</v>
      </c>
      <c r="M174" t="s">
        <v>1194</v>
      </c>
      <c r="N174" t="s">
        <v>72</v>
      </c>
      <c r="O174" t="s">
        <v>75</v>
      </c>
      <c r="P174" s="44">
        <v>5687</v>
      </c>
      <c r="Q174" s="42">
        <v>3.718</v>
      </c>
      <c r="R174" s="48">
        <v>630.95000000000005</v>
      </c>
      <c r="T174" s="44">
        <v>133.41</v>
      </c>
      <c r="U174" s="45">
        <v>0</v>
      </c>
      <c r="V174" s="45">
        <v>4.7112821713485298E-3</v>
      </c>
      <c r="W174" s="45">
        <v>2.8692827055775E-3</v>
      </c>
    </row>
    <row r="175" spans="1:23" x14ac:dyDescent="0.25">
      <c r="A175">
        <v>12904</v>
      </c>
      <c r="B175">
        <v>13680</v>
      </c>
      <c r="C175" t="s">
        <v>1179</v>
      </c>
      <c r="D175" t="s">
        <v>1180</v>
      </c>
      <c r="E175" t="s">
        <v>613</v>
      </c>
      <c r="F175" t="s">
        <v>1195</v>
      </c>
      <c r="G175" t="s">
        <v>1196</v>
      </c>
      <c r="H175" t="s">
        <v>213</v>
      </c>
      <c r="I175" t="s">
        <v>1125</v>
      </c>
      <c r="J175" t="s">
        <v>85</v>
      </c>
      <c r="K175" t="s">
        <v>291</v>
      </c>
      <c r="L175" t="s">
        <v>936</v>
      </c>
      <c r="M175" t="s">
        <v>1145</v>
      </c>
      <c r="N175" t="s">
        <v>72</v>
      </c>
      <c r="O175" t="s">
        <v>75</v>
      </c>
      <c r="P175" s="44">
        <v>830</v>
      </c>
      <c r="Q175" s="42">
        <v>3.718</v>
      </c>
      <c r="R175" s="48">
        <v>5509</v>
      </c>
      <c r="T175" s="44">
        <v>170.00399999999999</v>
      </c>
      <c r="U175" s="45">
        <v>0</v>
      </c>
      <c r="V175" s="45">
        <v>6.0036008150258302E-3</v>
      </c>
      <c r="W175" s="45">
        <v>3.6563354439910199E-3</v>
      </c>
    </row>
    <row r="176" spans="1:23" x14ac:dyDescent="0.25">
      <c r="A176">
        <v>12904</v>
      </c>
      <c r="B176">
        <v>13680</v>
      </c>
      <c r="C176" t="s">
        <v>1179</v>
      </c>
      <c r="D176" t="s">
        <v>1180</v>
      </c>
      <c r="E176" t="s">
        <v>613</v>
      </c>
      <c r="F176" t="s">
        <v>1197</v>
      </c>
      <c r="G176" t="s">
        <v>1198</v>
      </c>
      <c r="H176" t="s">
        <v>213</v>
      </c>
      <c r="I176" t="s">
        <v>1125</v>
      </c>
      <c r="J176" t="s">
        <v>85</v>
      </c>
      <c r="K176" t="s">
        <v>1199</v>
      </c>
      <c r="L176" t="s">
        <v>1200</v>
      </c>
      <c r="M176" t="s">
        <v>1145</v>
      </c>
      <c r="N176" t="s">
        <v>72</v>
      </c>
      <c r="O176" t="s">
        <v>77</v>
      </c>
      <c r="P176" s="44">
        <v>744</v>
      </c>
      <c r="Q176" s="42">
        <v>4.0218999999999996</v>
      </c>
      <c r="R176" s="48">
        <v>9391</v>
      </c>
      <c r="T176" s="44">
        <v>281.00599999999997</v>
      </c>
      <c r="U176" s="45">
        <v>1.4899999999999999E-4</v>
      </c>
      <c r="V176" s="45">
        <v>9.9235623323822401E-3</v>
      </c>
      <c r="W176" s="45">
        <v>6.0436850824145396E-3</v>
      </c>
    </row>
    <row r="177" spans="1:23" x14ac:dyDescent="0.25">
      <c r="A177">
        <v>12904</v>
      </c>
      <c r="B177">
        <v>13680</v>
      </c>
      <c r="C177" t="s">
        <v>1179</v>
      </c>
      <c r="D177" t="s">
        <v>1180</v>
      </c>
      <c r="E177" t="s">
        <v>613</v>
      </c>
      <c r="F177" t="s">
        <v>1201</v>
      </c>
      <c r="G177" t="s">
        <v>1202</v>
      </c>
      <c r="H177" t="s">
        <v>213</v>
      </c>
      <c r="I177" t="s">
        <v>1192</v>
      </c>
      <c r="J177" t="s">
        <v>85</v>
      </c>
      <c r="K177" t="s">
        <v>291</v>
      </c>
      <c r="L177" t="s">
        <v>1187</v>
      </c>
      <c r="M177" t="s">
        <v>1194</v>
      </c>
      <c r="N177" t="s">
        <v>72</v>
      </c>
      <c r="O177" t="s">
        <v>75</v>
      </c>
      <c r="P177" s="44">
        <v>7431</v>
      </c>
      <c r="Q177" s="42">
        <v>3.718</v>
      </c>
      <c r="R177" s="48">
        <v>605.15</v>
      </c>
      <c r="T177" s="44">
        <v>167.19399999999999</v>
      </c>
      <c r="U177" s="45">
        <v>0</v>
      </c>
      <c r="V177" s="45">
        <v>5.9043384201110001E-3</v>
      </c>
      <c r="W177" s="45">
        <v>3.5958822886322898E-3</v>
      </c>
    </row>
    <row r="178" spans="1:23" x14ac:dyDescent="0.25">
      <c r="A178">
        <v>12904</v>
      </c>
      <c r="B178">
        <v>13680</v>
      </c>
      <c r="C178" t="s">
        <v>1179</v>
      </c>
      <c r="D178" t="s">
        <v>1180</v>
      </c>
      <c r="E178" t="s">
        <v>613</v>
      </c>
      <c r="F178" t="s">
        <v>1271</v>
      </c>
      <c r="G178" t="s">
        <v>1272</v>
      </c>
      <c r="H178" t="s">
        <v>213</v>
      </c>
      <c r="I178" t="s">
        <v>1125</v>
      </c>
      <c r="J178" t="s">
        <v>85</v>
      </c>
      <c r="K178" t="s">
        <v>291</v>
      </c>
      <c r="L178" t="s">
        <v>966</v>
      </c>
      <c r="M178" t="s">
        <v>1145</v>
      </c>
      <c r="N178" t="s">
        <v>72</v>
      </c>
      <c r="O178" t="s">
        <v>75</v>
      </c>
      <c r="P178" s="44">
        <v>665</v>
      </c>
      <c r="Q178" s="42">
        <v>3.718</v>
      </c>
      <c r="R178" s="48">
        <v>56190</v>
      </c>
      <c r="T178" s="44">
        <v>1389.2809999999999</v>
      </c>
      <c r="U178" s="45">
        <v>9.9999999999999995E-7</v>
      </c>
      <c r="V178" s="45">
        <v>4.9061590194039599E-2</v>
      </c>
      <c r="W178" s="45">
        <v>2.9879673331388499E-2</v>
      </c>
    </row>
    <row r="179" spans="1:23" x14ac:dyDescent="0.25">
      <c r="A179">
        <v>12904</v>
      </c>
      <c r="B179">
        <v>13680</v>
      </c>
      <c r="C179" t="s">
        <v>1203</v>
      </c>
      <c r="D179" t="s">
        <v>1151</v>
      </c>
      <c r="E179" t="s">
        <v>613</v>
      </c>
      <c r="F179" t="s">
        <v>1204</v>
      </c>
      <c r="G179" t="s">
        <v>1205</v>
      </c>
      <c r="H179" t="s">
        <v>213</v>
      </c>
      <c r="I179" t="s">
        <v>1125</v>
      </c>
      <c r="J179" t="s">
        <v>85</v>
      </c>
      <c r="K179" t="s">
        <v>1199</v>
      </c>
      <c r="L179" t="s">
        <v>1206</v>
      </c>
      <c r="M179" t="s">
        <v>1145</v>
      </c>
      <c r="N179" t="s">
        <v>72</v>
      </c>
      <c r="O179" t="s">
        <v>77</v>
      </c>
      <c r="P179" s="44">
        <v>1012</v>
      </c>
      <c r="Q179" s="42">
        <v>4.0218999999999996</v>
      </c>
      <c r="R179" s="48">
        <v>25113</v>
      </c>
      <c r="T179" s="44">
        <v>1022.14</v>
      </c>
      <c r="U179" s="45">
        <v>4.5000000000000003E-5</v>
      </c>
      <c r="V179" s="45">
        <v>3.60962374613066E-2</v>
      </c>
      <c r="W179" s="45">
        <v>2.1983465671830099E-2</v>
      </c>
    </row>
    <row r="180" spans="1:23" x14ac:dyDescent="0.25">
      <c r="A180">
        <v>12904</v>
      </c>
      <c r="B180">
        <v>13680</v>
      </c>
      <c r="C180" t="s">
        <v>1203</v>
      </c>
      <c r="D180" t="s">
        <v>1151</v>
      </c>
      <c r="E180" t="s">
        <v>613</v>
      </c>
      <c r="F180" t="s">
        <v>1207</v>
      </c>
      <c r="G180" t="s">
        <v>1208</v>
      </c>
      <c r="H180" t="s">
        <v>213</v>
      </c>
      <c r="I180" t="s">
        <v>1125</v>
      </c>
      <c r="J180" t="s">
        <v>85</v>
      </c>
      <c r="K180" t="s">
        <v>990</v>
      </c>
      <c r="L180" t="s">
        <v>1206</v>
      </c>
      <c r="M180" t="s">
        <v>1145</v>
      </c>
      <c r="N180" t="s">
        <v>72</v>
      </c>
      <c r="O180" t="s">
        <v>77</v>
      </c>
      <c r="P180" s="44">
        <v>209</v>
      </c>
      <c r="Q180" s="42">
        <v>4.0218999999999996</v>
      </c>
      <c r="R180" s="48">
        <v>14313.1</v>
      </c>
      <c r="T180" s="44">
        <v>120.313</v>
      </c>
      <c r="U180" s="45">
        <v>6.4999999999999994E-5</v>
      </c>
      <c r="V180" s="45">
        <v>4.24876604345797E-3</v>
      </c>
      <c r="W180" s="45">
        <v>2.58759940185231E-3</v>
      </c>
    </row>
    <row r="181" spans="1:23" x14ac:dyDescent="0.25">
      <c r="A181">
        <v>12904</v>
      </c>
      <c r="B181">
        <v>13680</v>
      </c>
      <c r="C181" t="s">
        <v>1141</v>
      </c>
      <c r="D181" t="s">
        <v>1142</v>
      </c>
      <c r="E181" t="s">
        <v>613</v>
      </c>
      <c r="F181" t="s">
        <v>1209</v>
      </c>
      <c r="G181" t="s">
        <v>1210</v>
      </c>
      <c r="H181" t="s">
        <v>213</v>
      </c>
      <c r="I181" t="s">
        <v>1125</v>
      </c>
      <c r="J181" t="s">
        <v>85</v>
      </c>
      <c r="K181" t="s">
        <v>291</v>
      </c>
      <c r="L181" t="s">
        <v>966</v>
      </c>
      <c r="M181" t="s">
        <v>1145</v>
      </c>
      <c r="N181" t="s">
        <v>72</v>
      </c>
      <c r="O181" t="s">
        <v>75</v>
      </c>
      <c r="P181" s="44">
        <v>919</v>
      </c>
      <c r="Q181" s="42">
        <v>3.718</v>
      </c>
      <c r="R181" s="48">
        <v>8598</v>
      </c>
      <c r="T181" s="44">
        <v>293.77999999999997</v>
      </c>
      <c r="U181" s="45">
        <v>1.2E-5</v>
      </c>
      <c r="V181" s="45">
        <v>1.0374660536466501E-2</v>
      </c>
      <c r="W181" s="45">
        <v>6.31841459943807E-3</v>
      </c>
    </row>
    <row r="182" spans="1:23" x14ac:dyDescent="0.25">
      <c r="A182">
        <v>12904</v>
      </c>
      <c r="B182">
        <v>13680</v>
      </c>
      <c r="C182" t="s">
        <v>1211</v>
      </c>
      <c r="D182" t="s">
        <v>1212</v>
      </c>
      <c r="E182" t="s">
        <v>613</v>
      </c>
      <c r="F182" t="s">
        <v>1213</v>
      </c>
      <c r="G182" t="s">
        <v>1214</v>
      </c>
      <c r="H182" t="s">
        <v>213</v>
      </c>
      <c r="I182" t="s">
        <v>1125</v>
      </c>
      <c r="J182" t="s">
        <v>85</v>
      </c>
      <c r="K182" t="s">
        <v>291</v>
      </c>
      <c r="L182" t="s">
        <v>1022</v>
      </c>
      <c r="M182" t="s">
        <v>1145</v>
      </c>
      <c r="N182" t="s">
        <v>72</v>
      </c>
      <c r="O182" t="s">
        <v>75</v>
      </c>
      <c r="P182" s="44">
        <v>817</v>
      </c>
      <c r="Q182" s="42">
        <v>3.718</v>
      </c>
      <c r="R182" s="48">
        <v>7694</v>
      </c>
      <c r="T182" s="44">
        <v>233.71299999999999</v>
      </c>
      <c r="U182" s="45">
        <v>1.5999999999999999E-5</v>
      </c>
      <c r="V182" s="45">
        <v>8.2534434815429592E-3</v>
      </c>
      <c r="W182" s="45">
        <v>5.0265430474681497E-3</v>
      </c>
    </row>
    <row r="183" spans="1:23" x14ac:dyDescent="0.25">
      <c r="A183">
        <v>12904</v>
      </c>
      <c r="B183">
        <v>13680</v>
      </c>
      <c r="C183" t="s">
        <v>1141</v>
      </c>
      <c r="D183" t="s">
        <v>1142</v>
      </c>
      <c r="E183" t="s">
        <v>613</v>
      </c>
      <c r="F183" t="s">
        <v>1215</v>
      </c>
      <c r="G183" t="s">
        <v>1216</v>
      </c>
      <c r="H183" t="s">
        <v>213</v>
      </c>
      <c r="I183" t="s">
        <v>1125</v>
      </c>
      <c r="J183" t="s">
        <v>85</v>
      </c>
      <c r="K183" t="s">
        <v>291</v>
      </c>
      <c r="L183" t="s">
        <v>966</v>
      </c>
      <c r="M183" t="s">
        <v>1145</v>
      </c>
      <c r="N183" t="s">
        <v>72</v>
      </c>
      <c r="O183" t="s">
        <v>75</v>
      </c>
      <c r="P183" s="44">
        <v>655</v>
      </c>
      <c r="Q183" s="42">
        <v>3.718</v>
      </c>
      <c r="R183" s="48">
        <v>9345</v>
      </c>
      <c r="T183" s="44">
        <v>227.578</v>
      </c>
      <c r="U183" s="45">
        <v>9.9999999999999995E-7</v>
      </c>
      <c r="V183" s="45">
        <v>8.0367701698978306E-3</v>
      </c>
      <c r="W183" s="45">
        <v>4.8945838560521902E-3</v>
      </c>
    </row>
    <row r="184" spans="1:23" x14ac:dyDescent="0.25">
      <c r="A184">
        <v>12904</v>
      </c>
      <c r="B184">
        <v>13680</v>
      </c>
      <c r="C184" t="s">
        <v>1146</v>
      </c>
      <c r="D184" t="s">
        <v>1147</v>
      </c>
      <c r="E184" t="s">
        <v>613</v>
      </c>
      <c r="F184" t="s">
        <v>1217</v>
      </c>
      <c r="G184" t="s">
        <v>1218</v>
      </c>
      <c r="H184" t="s">
        <v>213</v>
      </c>
      <c r="I184" t="s">
        <v>1125</v>
      </c>
      <c r="J184" t="s">
        <v>85</v>
      </c>
      <c r="K184" t="s">
        <v>291</v>
      </c>
      <c r="L184" t="s">
        <v>936</v>
      </c>
      <c r="M184" t="s">
        <v>1145</v>
      </c>
      <c r="N184" t="s">
        <v>72</v>
      </c>
      <c r="O184" t="s">
        <v>75</v>
      </c>
      <c r="P184" s="44">
        <v>888</v>
      </c>
      <c r="Q184" s="42">
        <v>3.718</v>
      </c>
      <c r="R184" s="48">
        <v>46892</v>
      </c>
      <c r="S184" s="59">
        <v>0.47499999999999998</v>
      </c>
      <c r="T184" s="44">
        <v>1549.9449999999999</v>
      </c>
      <c r="U184" s="45">
        <v>1.9999999999999999E-6</v>
      </c>
      <c r="V184" s="45">
        <v>5.4735336064006698E-2</v>
      </c>
      <c r="W184" s="45">
        <v>3.3335119281865E-2</v>
      </c>
    </row>
    <row r="185" spans="1:23" x14ac:dyDescent="0.25">
      <c r="A185">
        <v>12904</v>
      </c>
      <c r="B185">
        <v>13680</v>
      </c>
      <c r="C185" t="s">
        <v>1141</v>
      </c>
      <c r="D185" t="s">
        <v>1142</v>
      </c>
      <c r="E185" t="s">
        <v>613</v>
      </c>
      <c r="F185" t="s">
        <v>1219</v>
      </c>
      <c r="G185" t="s">
        <v>1220</v>
      </c>
      <c r="H185" t="s">
        <v>213</v>
      </c>
      <c r="I185" t="s">
        <v>1125</v>
      </c>
      <c r="J185" t="s">
        <v>85</v>
      </c>
      <c r="K185" t="s">
        <v>291</v>
      </c>
      <c r="L185" t="s">
        <v>966</v>
      </c>
      <c r="M185" t="s">
        <v>1145</v>
      </c>
      <c r="N185" t="s">
        <v>72</v>
      </c>
      <c r="O185" t="s">
        <v>75</v>
      </c>
      <c r="P185" s="44">
        <v>862</v>
      </c>
      <c r="Q185" s="42">
        <v>3.718</v>
      </c>
      <c r="R185" s="48">
        <v>4185</v>
      </c>
      <c r="T185" s="44">
        <v>134.126</v>
      </c>
      <c r="U185" s="45">
        <v>1.4E-5</v>
      </c>
      <c r="V185" s="45">
        <v>4.7365668516537503E-3</v>
      </c>
      <c r="W185" s="45">
        <v>2.8846816762350099E-3</v>
      </c>
    </row>
    <row r="186" spans="1:23" x14ac:dyDescent="0.25">
      <c r="A186">
        <v>12904</v>
      </c>
      <c r="B186">
        <v>13680</v>
      </c>
      <c r="C186" t="s">
        <v>1146</v>
      </c>
      <c r="D186" t="s">
        <v>1147</v>
      </c>
      <c r="E186" t="s">
        <v>613</v>
      </c>
      <c r="F186" t="s">
        <v>1221</v>
      </c>
      <c r="G186" t="s">
        <v>1222</v>
      </c>
      <c r="H186" t="s">
        <v>213</v>
      </c>
      <c r="I186" t="s">
        <v>1125</v>
      </c>
      <c r="J186" t="s">
        <v>85</v>
      </c>
      <c r="K186" t="s">
        <v>291</v>
      </c>
      <c r="L186" t="s">
        <v>1022</v>
      </c>
      <c r="M186" t="s">
        <v>1145</v>
      </c>
      <c r="N186" t="s">
        <v>72</v>
      </c>
      <c r="O186" t="s">
        <v>77</v>
      </c>
      <c r="P186" s="44">
        <v>885</v>
      </c>
      <c r="Q186" s="42">
        <v>4.0218999999999996</v>
      </c>
      <c r="R186" s="48">
        <v>13094</v>
      </c>
      <c r="T186" s="44">
        <v>466.065</v>
      </c>
      <c r="U186" s="45">
        <v>3.48E-4</v>
      </c>
      <c r="V186" s="45">
        <v>1.64588100515605E-2</v>
      </c>
      <c r="W186" s="45">
        <v>1.0023806114293999E-2</v>
      </c>
    </row>
    <row r="187" spans="1:23" x14ac:dyDescent="0.25">
      <c r="A187">
        <v>12904</v>
      </c>
      <c r="B187">
        <v>13680</v>
      </c>
      <c r="C187" t="s">
        <v>1146</v>
      </c>
      <c r="D187" t="s">
        <v>1147</v>
      </c>
      <c r="E187" t="s">
        <v>613</v>
      </c>
      <c r="F187" t="s">
        <v>1275</v>
      </c>
      <c r="G187" t="s">
        <v>1276</v>
      </c>
      <c r="H187" t="s">
        <v>213</v>
      </c>
      <c r="I187" t="s">
        <v>1125</v>
      </c>
      <c r="J187" t="s">
        <v>85</v>
      </c>
      <c r="K187" t="s">
        <v>291</v>
      </c>
      <c r="L187" t="s">
        <v>1187</v>
      </c>
      <c r="M187" t="s">
        <v>1145</v>
      </c>
      <c r="N187" t="s">
        <v>72</v>
      </c>
      <c r="O187" t="s">
        <v>75</v>
      </c>
      <c r="P187" s="44">
        <v>67</v>
      </c>
      <c r="Q187" s="42">
        <v>3.718</v>
      </c>
      <c r="R187" s="48">
        <v>109783</v>
      </c>
      <c r="T187" s="44">
        <v>273.476</v>
      </c>
      <c r="U187" s="45">
        <v>1.2999999999999999E-5</v>
      </c>
      <c r="V187" s="45">
        <v>9.6576361691800491E-3</v>
      </c>
      <c r="W187" s="45">
        <v>5.8817297349558597E-3</v>
      </c>
    </row>
    <row r="188" spans="1:23" x14ac:dyDescent="0.25">
      <c r="A188">
        <v>12904</v>
      </c>
      <c r="B188">
        <v>13680</v>
      </c>
      <c r="C188" t="s">
        <v>1141</v>
      </c>
      <c r="D188" t="s">
        <v>1142</v>
      </c>
      <c r="E188" t="s">
        <v>613</v>
      </c>
      <c r="F188" t="s">
        <v>1223</v>
      </c>
      <c r="G188" t="s">
        <v>1224</v>
      </c>
      <c r="H188" t="s">
        <v>213</v>
      </c>
      <c r="I188" t="s">
        <v>1192</v>
      </c>
      <c r="J188" t="s">
        <v>85</v>
      </c>
      <c r="K188" t="s">
        <v>291</v>
      </c>
      <c r="L188" t="s">
        <v>1022</v>
      </c>
      <c r="M188" t="s">
        <v>1194</v>
      </c>
      <c r="N188" t="s">
        <v>72</v>
      </c>
      <c r="O188" t="s">
        <v>75</v>
      </c>
      <c r="P188" s="44">
        <v>22452</v>
      </c>
      <c r="Q188" s="42">
        <v>3.718</v>
      </c>
      <c r="R188" s="48">
        <v>1086.2</v>
      </c>
      <c r="T188" s="44">
        <v>906.72199999999998</v>
      </c>
      <c r="U188" s="45">
        <v>0</v>
      </c>
      <c r="V188" s="45">
        <v>3.2020327914884197E-2</v>
      </c>
      <c r="W188" s="45">
        <v>1.95011399809236E-2</v>
      </c>
    </row>
    <row r="189" spans="1:23" x14ac:dyDescent="0.25">
      <c r="A189">
        <v>12904</v>
      </c>
      <c r="B189">
        <v>13680</v>
      </c>
      <c r="C189" t="s">
        <v>1141</v>
      </c>
      <c r="D189" t="s">
        <v>1142</v>
      </c>
      <c r="E189" t="s">
        <v>613</v>
      </c>
      <c r="F189" t="s">
        <v>1229</v>
      </c>
      <c r="G189" t="s">
        <v>1230</v>
      </c>
      <c r="H189" t="s">
        <v>213</v>
      </c>
      <c r="I189" t="s">
        <v>1125</v>
      </c>
      <c r="J189" t="s">
        <v>85</v>
      </c>
      <c r="K189" t="s">
        <v>291</v>
      </c>
      <c r="L189" t="s">
        <v>1022</v>
      </c>
      <c r="M189" t="s">
        <v>1145</v>
      </c>
      <c r="N189" t="s">
        <v>72</v>
      </c>
      <c r="O189" t="s">
        <v>75</v>
      </c>
      <c r="P189" s="44">
        <v>543</v>
      </c>
      <c r="Q189" s="42">
        <v>3.718</v>
      </c>
      <c r="R189" s="48">
        <v>12617</v>
      </c>
      <c r="T189" s="44">
        <v>254.721</v>
      </c>
      <c r="U189" s="45">
        <v>0</v>
      </c>
      <c r="V189" s="45">
        <v>8.9953253483056692E-3</v>
      </c>
      <c r="W189" s="45">
        <v>5.4783667193401501E-3</v>
      </c>
    </row>
    <row r="190" spans="1:23" x14ac:dyDescent="0.25">
      <c r="A190">
        <v>12904</v>
      </c>
      <c r="B190">
        <v>13680</v>
      </c>
      <c r="C190" t="s">
        <v>1141</v>
      </c>
      <c r="D190" t="s">
        <v>1142</v>
      </c>
      <c r="E190" t="s">
        <v>613</v>
      </c>
      <c r="F190" t="s">
        <v>1279</v>
      </c>
      <c r="G190" t="s">
        <v>1280</v>
      </c>
      <c r="H190" t="s">
        <v>213</v>
      </c>
      <c r="I190" t="s">
        <v>1125</v>
      </c>
      <c r="J190" t="s">
        <v>85</v>
      </c>
      <c r="K190" t="s">
        <v>291</v>
      </c>
      <c r="L190" t="s">
        <v>1022</v>
      </c>
      <c r="M190" t="s">
        <v>1145</v>
      </c>
      <c r="N190" t="s">
        <v>72</v>
      </c>
      <c r="O190" t="s">
        <v>75</v>
      </c>
      <c r="P190" s="44">
        <v>169</v>
      </c>
      <c r="Q190" s="42">
        <v>3.718</v>
      </c>
      <c r="R190" s="48">
        <v>53348</v>
      </c>
      <c r="S190" s="59">
        <v>0.16500000000000001</v>
      </c>
      <c r="T190" s="44">
        <v>335.822</v>
      </c>
      <c r="U190" s="45">
        <v>0</v>
      </c>
      <c r="V190" s="45">
        <v>1.1859344602227101E-2</v>
      </c>
      <c r="W190" s="45">
        <v>7.2226224473653398E-3</v>
      </c>
    </row>
    <row r="191" spans="1:23" x14ac:dyDescent="0.25">
      <c r="A191">
        <v>12904</v>
      </c>
      <c r="B191">
        <v>13680</v>
      </c>
      <c r="C191" t="s">
        <v>1231</v>
      </c>
      <c r="D191" t="s">
        <v>1232</v>
      </c>
      <c r="E191" t="s">
        <v>613</v>
      </c>
      <c r="F191" t="s">
        <v>1233</v>
      </c>
      <c r="G191" t="s">
        <v>1234</v>
      </c>
      <c r="H191" t="s">
        <v>213</v>
      </c>
      <c r="I191" t="s">
        <v>1125</v>
      </c>
      <c r="J191" t="s">
        <v>85</v>
      </c>
      <c r="K191" t="s">
        <v>291</v>
      </c>
      <c r="L191" t="s">
        <v>1235</v>
      </c>
      <c r="M191" t="s">
        <v>1145</v>
      </c>
      <c r="N191" t="s">
        <v>72</v>
      </c>
      <c r="O191" t="s">
        <v>75</v>
      </c>
      <c r="P191" s="44">
        <v>966</v>
      </c>
      <c r="Q191" s="42">
        <v>3.718</v>
      </c>
      <c r="R191" s="48">
        <v>4389</v>
      </c>
      <c r="T191" s="44">
        <v>157.63499999999999</v>
      </c>
      <c r="U191" s="45">
        <v>0</v>
      </c>
      <c r="V191" s="45">
        <v>5.5667747720434101E-3</v>
      </c>
      <c r="W191" s="45">
        <v>3.3902980119523102E-3</v>
      </c>
    </row>
    <row r="192" spans="1:23" x14ac:dyDescent="0.25">
      <c r="A192">
        <v>12904</v>
      </c>
      <c r="B192">
        <v>13680</v>
      </c>
      <c r="C192" t="s">
        <v>1236</v>
      </c>
      <c r="D192" t="s">
        <v>1237</v>
      </c>
      <c r="E192" t="s">
        <v>613</v>
      </c>
      <c r="F192" t="s">
        <v>1283</v>
      </c>
      <c r="G192" t="s">
        <v>1284</v>
      </c>
      <c r="H192" t="s">
        <v>213</v>
      </c>
      <c r="I192" t="s">
        <v>1125</v>
      </c>
      <c r="J192" t="s">
        <v>85</v>
      </c>
      <c r="K192" t="s">
        <v>291</v>
      </c>
      <c r="L192" t="s">
        <v>966</v>
      </c>
      <c r="M192" t="s">
        <v>1145</v>
      </c>
      <c r="N192" t="s">
        <v>72</v>
      </c>
      <c r="O192" t="s">
        <v>75</v>
      </c>
      <c r="P192" s="44">
        <v>610</v>
      </c>
      <c r="Q192" s="42">
        <v>3.718</v>
      </c>
      <c r="R192" s="48">
        <v>51391</v>
      </c>
      <c r="T192" s="44">
        <v>1165.538</v>
      </c>
      <c r="U192" s="45">
        <v>9.9999999999999995E-7</v>
      </c>
      <c r="V192" s="45">
        <v>4.1160235099595099E-2</v>
      </c>
      <c r="W192" s="45">
        <v>2.5067560471541E-2</v>
      </c>
    </row>
    <row r="193" spans="1:23" x14ac:dyDescent="0.25">
      <c r="A193">
        <v>12904</v>
      </c>
      <c r="B193">
        <v>13680</v>
      </c>
      <c r="C193" t="s">
        <v>1236</v>
      </c>
      <c r="D193" t="s">
        <v>1237</v>
      </c>
      <c r="E193" t="s">
        <v>613</v>
      </c>
      <c r="F193" t="s">
        <v>1285</v>
      </c>
      <c r="G193" t="s">
        <v>1286</v>
      </c>
      <c r="H193" t="s">
        <v>213</v>
      </c>
      <c r="I193" t="s">
        <v>1125</v>
      </c>
      <c r="J193" t="s">
        <v>85</v>
      </c>
      <c r="K193" t="s">
        <v>291</v>
      </c>
      <c r="L193" t="s">
        <v>936</v>
      </c>
      <c r="M193" t="s">
        <v>1145</v>
      </c>
      <c r="N193" t="s">
        <v>72</v>
      </c>
      <c r="O193" t="s">
        <v>75</v>
      </c>
      <c r="P193" s="44">
        <v>205</v>
      </c>
      <c r="Q193" s="42">
        <v>3.718</v>
      </c>
      <c r="R193" s="48">
        <v>18419</v>
      </c>
      <c r="T193" s="44">
        <v>140.38800000000001</v>
      </c>
      <c r="U193" s="45">
        <v>0</v>
      </c>
      <c r="V193" s="45">
        <v>4.9577069503904799E-3</v>
      </c>
      <c r="W193" s="45">
        <v>3.0193612470477602E-3</v>
      </c>
    </row>
    <row r="194" spans="1:23" x14ac:dyDescent="0.25">
      <c r="A194">
        <v>12904</v>
      </c>
      <c r="B194">
        <v>13680</v>
      </c>
      <c r="C194" t="s">
        <v>1236</v>
      </c>
      <c r="D194" t="s">
        <v>1237</v>
      </c>
      <c r="E194" t="s">
        <v>613</v>
      </c>
      <c r="F194" t="s">
        <v>1238</v>
      </c>
      <c r="G194" t="s">
        <v>1239</v>
      </c>
      <c r="H194" t="s">
        <v>213</v>
      </c>
      <c r="I194" t="s">
        <v>1125</v>
      </c>
      <c r="J194" t="s">
        <v>85</v>
      </c>
      <c r="K194" t="s">
        <v>291</v>
      </c>
      <c r="L194" t="s">
        <v>966</v>
      </c>
      <c r="M194" t="s">
        <v>1145</v>
      </c>
      <c r="N194" t="s">
        <v>72</v>
      </c>
      <c r="O194" t="s">
        <v>75</v>
      </c>
      <c r="P194" s="44">
        <v>2241</v>
      </c>
      <c r="Q194" s="42">
        <v>3.718</v>
      </c>
      <c r="R194" s="48">
        <v>9870</v>
      </c>
      <c r="T194" s="44">
        <v>822.37199999999996</v>
      </c>
      <c r="U194" s="45">
        <v>2.81E-4</v>
      </c>
      <c r="V194" s="45">
        <v>2.9041560740537899E-2</v>
      </c>
      <c r="W194" s="45">
        <v>1.76870000448206E-2</v>
      </c>
    </row>
    <row r="195" spans="1:23" x14ac:dyDescent="0.25">
      <c r="A195">
        <v>12904</v>
      </c>
      <c r="B195">
        <v>13680</v>
      </c>
      <c r="C195" t="s">
        <v>1236</v>
      </c>
      <c r="D195" t="s">
        <v>1237</v>
      </c>
      <c r="E195" t="s">
        <v>613</v>
      </c>
      <c r="F195" t="s">
        <v>1287</v>
      </c>
      <c r="G195" t="s">
        <v>1288</v>
      </c>
      <c r="H195" t="s">
        <v>213</v>
      </c>
      <c r="I195" t="s">
        <v>1125</v>
      </c>
      <c r="J195" t="s">
        <v>85</v>
      </c>
      <c r="K195" t="s">
        <v>215</v>
      </c>
      <c r="L195" t="s">
        <v>966</v>
      </c>
      <c r="M195" t="s">
        <v>1145</v>
      </c>
      <c r="N195" t="s">
        <v>72</v>
      </c>
      <c r="O195" t="s">
        <v>75</v>
      </c>
      <c r="P195" s="44">
        <v>2230</v>
      </c>
      <c r="Q195" s="42">
        <v>3.718</v>
      </c>
      <c r="R195" s="48">
        <v>11595</v>
      </c>
      <c r="T195" s="44">
        <v>961.35799999999995</v>
      </c>
      <c r="U195" s="45">
        <v>9.0000000000000002E-6</v>
      </c>
      <c r="V195" s="45">
        <v>3.3949748327271802E-2</v>
      </c>
      <c r="W195" s="45">
        <v>2.06762028236291E-2</v>
      </c>
    </row>
    <row r="196" spans="1:23" x14ac:dyDescent="0.25">
      <c r="A196">
        <v>12904</v>
      </c>
      <c r="B196">
        <v>13680</v>
      </c>
      <c r="C196" t="s">
        <v>1240</v>
      </c>
      <c r="D196" t="s">
        <v>1241</v>
      </c>
      <c r="E196" t="s">
        <v>613</v>
      </c>
      <c r="F196" t="s">
        <v>1242</v>
      </c>
      <c r="G196" t="s">
        <v>1243</v>
      </c>
      <c r="H196" t="s">
        <v>213</v>
      </c>
      <c r="I196" t="s">
        <v>1125</v>
      </c>
      <c r="J196" t="s">
        <v>85</v>
      </c>
      <c r="K196" t="s">
        <v>1244</v>
      </c>
      <c r="L196" t="s">
        <v>966</v>
      </c>
      <c r="M196" t="s">
        <v>1145</v>
      </c>
      <c r="N196" t="s">
        <v>72</v>
      </c>
      <c r="O196" t="s">
        <v>75</v>
      </c>
      <c r="P196" s="44">
        <v>5855</v>
      </c>
      <c r="Q196" s="42">
        <v>3.718</v>
      </c>
      <c r="R196" s="48">
        <v>4371</v>
      </c>
      <c r="T196" s="44">
        <v>951.51800000000003</v>
      </c>
      <c r="U196" s="45">
        <v>2.6600000000000001E-4</v>
      </c>
      <c r="V196" s="45">
        <v>3.3602272468995602E-2</v>
      </c>
      <c r="W196" s="45">
        <v>2.04645817755796E-2</v>
      </c>
    </row>
    <row r="197" spans="1:23" x14ac:dyDescent="0.25">
      <c r="A197">
        <v>424</v>
      </c>
      <c r="B197">
        <v>7228</v>
      </c>
      <c r="C197" t="s">
        <v>1133</v>
      </c>
      <c r="D197" t="s">
        <v>1134</v>
      </c>
      <c r="E197" t="s">
        <v>210</v>
      </c>
      <c r="F197" t="s">
        <v>1135</v>
      </c>
      <c r="G197" t="s">
        <v>1136</v>
      </c>
      <c r="H197" t="s">
        <v>213</v>
      </c>
      <c r="I197" t="s">
        <v>1125</v>
      </c>
      <c r="J197" t="s">
        <v>71</v>
      </c>
      <c r="K197" t="s">
        <v>291</v>
      </c>
      <c r="L197" t="s">
        <v>117</v>
      </c>
      <c r="M197" t="s">
        <v>1126</v>
      </c>
      <c r="N197" t="s">
        <v>72</v>
      </c>
      <c r="O197" t="s">
        <v>81</v>
      </c>
      <c r="P197" s="44">
        <v>159292</v>
      </c>
      <c r="Q197" s="42">
        <v>1</v>
      </c>
      <c r="R197" s="48">
        <v>10700</v>
      </c>
      <c r="T197" s="44">
        <v>17044.243999999999</v>
      </c>
      <c r="U197" s="45">
        <v>1.6768000000000002E-2</v>
      </c>
      <c r="V197" s="45">
        <v>4.3708048912755197E-2</v>
      </c>
      <c r="W197" s="45">
        <v>6.9445597594792897E-3</v>
      </c>
    </row>
    <row r="198" spans="1:23" x14ac:dyDescent="0.25">
      <c r="A198">
        <v>424</v>
      </c>
      <c r="B198">
        <v>7228</v>
      </c>
      <c r="C198" t="s">
        <v>1121</v>
      </c>
      <c r="D198" t="s">
        <v>1122</v>
      </c>
      <c r="E198" t="s">
        <v>210</v>
      </c>
      <c r="F198" t="s">
        <v>1139</v>
      </c>
      <c r="G198" t="s">
        <v>1140</v>
      </c>
      <c r="H198" t="s">
        <v>213</v>
      </c>
      <c r="I198" t="s">
        <v>1125</v>
      </c>
      <c r="J198" t="s">
        <v>71</v>
      </c>
      <c r="K198" t="s">
        <v>291</v>
      </c>
      <c r="L198" t="s">
        <v>117</v>
      </c>
      <c r="M198" t="s">
        <v>1126</v>
      </c>
      <c r="N198" t="s">
        <v>72</v>
      </c>
      <c r="O198" t="s">
        <v>81</v>
      </c>
      <c r="P198" s="44">
        <v>125683</v>
      </c>
      <c r="Q198" s="42">
        <v>1</v>
      </c>
      <c r="R198" s="48">
        <v>3199</v>
      </c>
      <c r="T198" s="44">
        <v>4020.5990000000002</v>
      </c>
      <c r="U198" s="45">
        <v>6.2839999999999997E-3</v>
      </c>
      <c r="V198" s="45">
        <v>1.0310374879692099E-2</v>
      </c>
      <c r="W198" s="45">
        <v>1.63816542434958E-3</v>
      </c>
    </row>
    <row r="199" spans="1:23" x14ac:dyDescent="0.25">
      <c r="A199">
        <v>424</v>
      </c>
      <c r="B199">
        <v>7228</v>
      </c>
      <c r="C199" t="s">
        <v>1245</v>
      </c>
      <c r="D199" t="s">
        <v>1246</v>
      </c>
      <c r="E199" t="s">
        <v>210</v>
      </c>
      <c r="F199" t="s">
        <v>1261</v>
      </c>
      <c r="G199" t="s">
        <v>1262</v>
      </c>
      <c r="H199" t="s">
        <v>213</v>
      </c>
      <c r="I199" t="s">
        <v>1125</v>
      </c>
      <c r="J199" t="s">
        <v>71</v>
      </c>
      <c r="K199" t="s">
        <v>215</v>
      </c>
      <c r="L199" t="s">
        <v>117</v>
      </c>
      <c r="M199" t="s">
        <v>1126</v>
      </c>
      <c r="N199" t="s">
        <v>72</v>
      </c>
      <c r="O199" t="s">
        <v>81</v>
      </c>
      <c r="P199" s="44">
        <v>935828</v>
      </c>
      <c r="Q199" s="42">
        <v>1</v>
      </c>
      <c r="R199" s="48">
        <v>1457</v>
      </c>
      <c r="T199" s="44">
        <v>13635.013999999999</v>
      </c>
      <c r="U199" s="45">
        <v>1.3842E-2</v>
      </c>
      <c r="V199" s="45">
        <v>3.4965461483054398E-2</v>
      </c>
      <c r="W199" s="45">
        <v>5.5554924739727E-3</v>
      </c>
    </row>
    <row r="200" spans="1:23" x14ac:dyDescent="0.25">
      <c r="A200">
        <v>424</v>
      </c>
      <c r="B200">
        <v>7228</v>
      </c>
      <c r="C200" t="s">
        <v>1141</v>
      </c>
      <c r="D200" t="s">
        <v>1142</v>
      </c>
      <c r="E200" t="s">
        <v>613</v>
      </c>
      <c r="F200" t="s">
        <v>1143</v>
      </c>
      <c r="G200" t="s">
        <v>1144</v>
      </c>
      <c r="H200" t="s">
        <v>213</v>
      </c>
      <c r="I200" t="s">
        <v>1125</v>
      </c>
      <c r="J200" t="s">
        <v>85</v>
      </c>
      <c r="K200" t="s">
        <v>291</v>
      </c>
      <c r="L200" t="s">
        <v>966</v>
      </c>
      <c r="M200" t="s">
        <v>1145</v>
      </c>
      <c r="N200" t="s">
        <v>72</v>
      </c>
      <c r="O200" t="s">
        <v>75</v>
      </c>
      <c r="P200" s="44">
        <v>32000</v>
      </c>
      <c r="Q200" s="42">
        <v>3.718</v>
      </c>
      <c r="R200" s="48">
        <v>7885</v>
      </c>
      <c r="T200" s="44">
        <v>9381.2579999999998</v>
      </c>
      <c r="U200" s="45">
        <v>1.4200000000000001E-4</v>
      </c>
      <c r="V200" s="45">
        <v>2.40571811835102E-2</v>
      </c>
      <c r="W200" s="45">
        <v>3.8223287593318399E-3</v>
      </c>
    </row>
    <row r="201" spans="1:23" x14ac:dyDescent="0.25">
      <c r="A201">
        <v>424</v>
      </c>
      <c r="B201">
        <v>7228</v>
      </c>
      <c r="C201" t="s">
        <v>1146</v>
      </c>
      <c r="D201" t="s">
        <v>1147</v>
      </c>
      <c r="E201" t="s">
        <v>613</v>
      </c>
      <c r="F201" t="s">
        <v>1148</v>
      </c>
      <c r="G201" t="s">
        <v>1149</v>
      </c>
      <c r="H201" t="s">
        <v>213</v>
      </c>
      <c r="I201" t="s">
        <v>1125</v>
      </c>
      <c r="J201" t="s">
        <v>85</v>
      </c>
      <c r="K201" t="s">
        <v>291</v>
      </c>
      <c r="L201" t="s">
        <v>966</v>
      </c>
      <c r="M201" t="s">
        <v>1145</v>
      </c>
      <c r="N201" t="s">
        <v>72</v>
      </c>
      <c r="O201" t="s">
        <v>75</v>
      </c>
      <c r="P201" s="44">
        <v>15319</v>
      </c>
      <c r="Q201" s="42">
        <v>3.718</v>
      </c>
      <c r="R201" s="48">
        <v>11655</v>
      </c>
      <c r="T201" s="44">
        <v>6638.2269999999999</v>
      </c>
      <c r="U201" s="45">
        <v>7.94E-4</v>
      </c>
      <c r="V201" s="45">
        <v>1.70229865920359E-2</v>
      </c>
      <c r="W201" s="45">
        <v>2.7046997203919801E-3</v>
      </c>
    </row>
    <row r="202" spans="1:23" x14ac:dyDescent="0.25">
      <c r="A202">
        <v>424</v>
      </c>
      <c r="B202">
        <v>7228</v>
      </c>
      <c r="C202" t="s">
        <v>1150</v>
      </c>
      <c r="D202" t="s">
        <v>1151</v>
      </c>
      <c r="E202" t="s">
        <v>613</v>
      </c>
      <c r="F202" t="s">
        <v>1157</v>
      </c>
      <c r="G202" t="s">
        <v>1158</v>
      </c>
      <c r="H202" t="s">
        <v>213</v>
      </c>
      <c r="I202" t="s">
        <v>1125</v>
      </c>
      <c r="J202" t="s">
        <v>85</v>
      </c>
      <c r="K202" t="s">
        <v>291</v>
      </c>
      <c r="L202" t="s">
        <v>1022</v>
      </c>
      <c r="M202" t="s">
        <v>1145</v>
      </c>
      <c r="N202" t="s">
        <v>72</v>
      </c>
      <c r="O202" t="s">
        <v>77</v>
      </c>
      <c r="P202" s="44">
        <v>13615</v>
      </c>
      <c r="Q202" s="42">
        <v>4.0218999999999996</v>
      </c>
      <c r="R202" s="48">
        <v>7421.9</v>
      </c>
      <c r="T202" s="44">
        <v>4064.0970000000002</v>
      </c>
      <c r="U202" s="45">
        <v>0</v>
      </c>
      <c r="V202" s="45">
        <v>1.04219189160585E-2</v>
      </c>
      <c r="W202" s="45">
        <v>1.65588811492097E-3</v>
      </c>
    </row>
    <row r="203" spans="1:23" x14ac:dyDescent="0.25">
      <c r="A203">
        <v>424</v>
      </c>
      <c r="B203">
        <v>7228</v>
      </c>
      <c r="C203" t="s">
        <v>1141</v>
      </c>
      <c r="D203" t="s">
        <v>1142</v>
      </c>
      <c r="E203" t="s">
        <v>613</v>
      </c>
      <c r="F203" t="s">
        <v>1161</v>
      </c>
      <c r="G203" t="s">
        <v>1162</v>
      </c>
      <c r="H203" t="s">
        <v>213</v>
      </c>
      <c r="I203" t="s">
        <v>1125</v>
      </c>
      <c r="J203" t="s">
        <v>85</v>
      </c>
      <c r="K203" t="s">
        <v>291</v>
      </c>
      <c r="L203" t="s">
        <v>966</v>
      </c>
      <c r="M203" t="s">
        <v>1145</v>
      </c>
      <c r="N203" t="s">
        <v>72</v>
      </c>
      <c r="O203" t="s">
        <v>75</v>
      </c>
      <c r="P203" s="44">
        <v>15457</v>
      </c>
      <c r="Q203" s="42">
        <v>3.718</v>
      </c>
      <c r="R203" s="48">
        <v>19746</v>
      </c>
      <c r="T203" s="44">
        <v>11347.853999999999</v>
      </c>
      <c r="U203" s="45">
        <v>1.5899999999999999E-4</v>
      </c>
      <c r="V203" s="45">
        <v>2.91002957406617E-2</v>
      </c>
      <c r="W203" s="45">
        <v>4.6236047551088599E-3</v>
      </c>
    </row>
    <row r="204" spans="1:23" x14ac:dyDescent="0.25">
      <c r="A204">
        <v>424</v>
      </c>
      <c r="B204">
        <v>7228</v>
      </c>
      <c r="C204" t="s">
        <v>1163</v>
      </c>
      <c r="D204" t="s">
        <v>1164</v>
      </c>
      <c r="E204" t="s">
        <v>613</v>
      </c>
      <c r="F204" t="s">
        <v>1165</v>
      </c>
      <c r="G204" t="s">
        <v>1166</v>
      </c>
      <c r="H204" t="s">
        <v>213</v>
      </c>
      <c r="I204" t="s">
        <v>1125</v>
      </c>
      <c r="J204" t="s">
        <v>85</v>
      </c>
      <c r="L204" t="s">
        <v>286</v>
      </c>
      <c r="M204" t="s">
        <v>1145</v>
      </c>
      <c r="N204" t="s">
        <v>72</v>
      </c>
      <c r="O204" t="s">
        <v>77</v>
      </c>
      <c r="P204" s="44">
        <v>113403</v>
      </c>
      <c r="Q204" s="42">
        <v>4.0218999999999996</v>
      </c>
      <c r="R204" s="48">
        <v>9495</v>
      </c>
      <c r="T204" s="44">
        <v>43306.27</v>
      </c>
      <c r="U204" s="45">
        <v>0</v>
      </c>
      <c r="V204" s="45">
        <v>0.11105406462206301</v>
      </c>
      <c r="W204" s="45">
        <v>1.76448413389582E-2</v>
      </c>
    </row>
    <row r="205" spans="1:23" x14ac:dyDescent="0.25">
      <c r="A205">
        <v>424</v>
      </c>
      <c r="B205">
        <v>7228</v>
      </c>
      <c r="C205" t="s">
        <v>1141</v>
      </c>
      <c r="D205" t="s">
        <v>1142</v>
      </c>
      <c r="E205" t="s">
        <v>613</v>
      </c>
      <c r="F205" t="s">
        <v>1167</v>
      </c>
      <c r="G205" t="s">
        <v>1168</v>
      </c>
      <c r="H205" t="s">
        <v>213</v>
      </c>
      <c r="I205" t="s">
        <v>1125</v>
      </c>
      <c r="J205" t="s">
        <v>85</v>
      </c>
      <c r="K205" t="s">
        <v>291</v>
      </c>
      <c r="L205" t="s">
        <v>966</v>
      </c>
      <c r="M205" t="s">
        <v>1145</v>
      </c>
      <c r="N205" t="s">
        <v>72</v>
      </c>
      <c r="O205" t="s">
        <v>75</v>
      </c>
      <c r="P205" s="44">
        <v>125952</v>
      </c>
      <c r="Q205" s="42">
        <v>3.718</v>
      </c>
      <c r="R205" s="48">
        <v>4981</v>
      </c>
      <c r="T205" s="44">
        <v>23325.502</v>
      </c>
      <c r="U205" s="45">
        <v>1.3999999999999999E-4</v>
      </c>
      <c r="V205" s="45">
        <v>5.98156288463986E-2</v>
      </c>
      <c r="W205" s="45">
        <v>9.5038149587460801E-3</v>
      </c>
    </row>
    <row r="206" spans="1:23" x14ac:dyDescent="0.25">
      <c r="A206">
        <v>424</v>
      </c>
      <c r="B206">
        <v>7228</v>
      </c>
      <c r="C206" t="s">
        <v>1169</v>
      </c>
      <c r="D206" t="s">
        <v>1170</v>
      </c>
      <c r="E206" t="s">
        <v>613</v>
      </c>
      <c r="F206" t="s">
        <v>1171</v>
      </c>
      <c r="G206" t="s">
        <v>1172</v>
      </c>
      <c r="H206" t="s">
        <v>213</v>
      </c>
      <c r="I206" t="s">
        <v>1125</v>
      </c>
      <c r="J206" t="s">
        <v>85</v>
      </c>
      <c r="K206" t="s">
        <v>215</v>
      </c>
      <c r="L206" t="s">
        <v>936</v>
      </c>
      <c r="M206" t="s">
        <v>1145</v>
      </c>
      <c r="N206" t="s">
        <v>72</v>
      </c>
      <c r="O206" t="s">
        <v>75</v>
      </c>
      <c r="P206" s="44">
        <v>9000</v>
      </c>
      <c r="Q206" s="42">
        <v>3.718</v>
      </c>
      <c r="R206" s="48">
        <v>11313</v>
      </c>
      <c r="T206" s="44">
        <v>3785.556</v>
      </c>
      <c r="U206" s="45">
        <v>1.2589999999999999E-3</v>
      </c>
      <c r="V206" s="45">
        <v>9.7076332298726194E-3</v>
      </c>
      <c r="W206" s="45">
        <v>1.5423987289509E-3</v>
      </c>
    </row>
    <row r="207" spans="1:23" x14ac:dyDescent="0.25">
      <c r="A207">
        <v>424</v>
      </c>
      <c r="B207">
        <v>7228</v>
      </c>
      <c r="C207" t="s">
        <v>1173</v>
      </c>
      <c r="D207" t="s">
        <v>1174</v>
      </c>
      <c r="E207" t="s">
        <v>613</v>
      </c>
      <c r="F207" t="s">
        <v>1175</v>
      </c>
      <c r="G207" t="s">
        <v>1176</v>
      </c>
      <c r="H207" t="s">
        <v>213</v>
      </c>
      <c r="I207" t="s">
        <v>1125</v>
      </c>
      <c r="J207" t="s">
        <v>85</v>
      </c>
      <c r="K207" t="s">
        <v>984</v>
      </c>
      <c r="L207" t="s">
        <v>966</v>
      </c>
      <c r="M207" t="s">
        <v>1145</v>
      </c>
      <c r="N207" t="s">
        <v>72</v>
      </c>
      <c r="O207" t="s">
        <v>75</v>
      </c>
      <c r="P207" s="44">
        <v>47750</v>
      </c>
      <c r="Q207" s="42">
        <v>3.718</v>
      </c>
      <c r="R207" s="48">
        <v>3773</v>
      </c>
      <c r="T207" s="44">
        <v>6698.3770000000004</v>
      </c>
      <c r="U207" s="45">
        <v>3.1700000000000001E-4</v>
      </c>
      <c r="V207" s="45">
        <v>1.71772344836204E-2</v>
      </c>
      <c r="W207" s="45">
        <v>2.7292074192604402E-3</v>
      </c>
    </row>
    <row r="208" spans="1:23" x14ac:dyDescent="0.25">
      <c r="A208">
        <v>424</v>
      </c>
      <c r="B208">
        <v>7228</v>
      </c>
      <c r="C208" t="s">
        <v>1141</v>
      </c>
      <c r="D208" t="s">
        <v>1142</v>
      </c>
      <c r="E208" t="s">
        <v>613</v>
      </c>
      <c r="F208" t="s">
        <v>1177</v>
      </c>
      <c r="G208" t="s">
        <v>1178</v>
      </c>
      <c r="H208" t="s">
        <v>213</v>
      </c>
      <c r="I208" t="s">
        <v>1125</v>
      </c>
      <c r="J208" t="s">
        <v>85</v>
      </c>
      <c r="K208" t="s">
        <v>291</v>
      </c>
      <c r="L208" t="s">
        <v>966</v>
      </c>
      <c r="M208" t="s">
        <v>1145</v>
      </c>
      <c r="N208" t="s">
        <v>72</v>
      </c>
      <c r="O208" t="s">
        <v>75</v>
      </c>
      <c r="P208" s="44">
        <v>40403</v>
      </c>
      <c r="Q208" s="42">
        <v>3.718</v>
      </c>
      <c r="R208" s="48">
        <v>14601</v>
      </c>
      <c r="T208" s="44">
        <v>21933.382000000001</v>
      </c>
      <c r="U208" s="45">
        <v>1.34E-4</v>
      </c>
      <c r="V208" s="45">
        <v>5.6245693706835999E-2</v>
      </c>
      <c r="W208" s="45">
        <v>8.9366052907134501E-3</v>
      </c>
    </row>
    <row r="209" spans="1:23" x14ac:dyDescent="0.25">
      <c r="A209">
        <v>424</v>
      </c>
      <c r="B209">
        <v>7228</v>
      </c>
      <c r="C209" t="s">
        <v>1179</v>
      </c>
      <c r="D209" t="s">
        <v>1180</v>
      </c>
      <c r="E209" t="s">
        <v>613</v>
      </c>
      <c r="F209" t="s">
        <v>1181</v>
      </c>
      <c r="G209" t="s">
        <v>1182</v>
      </c>
      <c r="H209" t="s">
        <v>213</v>
      </c>
      <c r="I209" t="s">
        <v>1125</v>
      </c>
      <c r="J209" t="s">
        <v>85</v>
      </c>
      <c r="L209" t="s">
        <v>286</v>
      </c>
      <c r="M209" t="s">
        <v>1145</v>
      </c>
      <c r="N209" t="s">
        <v>72</v>
      </c>
      <c r="O209" t="s">
        <v>75</v>
      </c>
      <c r="P209" s="44">
        <v>23946</v>
      </c>
      <c r="Q209" s="42">
        <v>3.718</v>
      </c>
      <c r="R209" s="48">
        <v>8899</v>
      </c>
      <c r="T209" s="44">
        <v>7922.8890000000001</v>
      </c>
      <c r="U209" s="45">
        <v>2.2499999999999999E-4</v>
      </c>
      <c r="V209" s="45">
        <v>2.03173586963394E-2</v>
      </c>
      <c r="W209" s="45">
        <v>3.2281265151675501E-3</v>
      </c>
    </row>
    <row r="210" spans="1:23" x14ac:dyDescent="0.25">
      <c r="A210">
        <v>424</v>
      </c>
      <c r="B210">
        <v>7228</v>
      </c>
      <c r="C210" t="s">
        <v>1141</v>
      </c>
      <c r="D210" t="s">
        <v>1142</v>
      </c>
      <c r="E210" t="s">
        <v>613</v>
      </c>
      <c r="F210" t="s">
        <v>1183</v>
      </c>
      <c r="G210" t="s">
        <v>1184</v>
      </c>
      <c r="H210" t="s">
        <v>213</v>
      </c>
      <c r="I210" t="s">
        <v>1125</v>
      </c>
      <c r="J210" t="s">
        <v>85</v>
      </c>
      <c r="K210" t="s">
        <v>291</v>
      </c>
      <c r="L210" t="s">
        <v>966</v>
      </c>
      <c r="M210" t="s">
        <v>1145</v>
      </c>
      <c r="N210" t="s">
        <v>72</v>
      </c>
      <c r="O210" t="s">
        <v>75</v>
      </c>
      <c r="P210" s="44">
        <v>29719</v>
      </c>
      <c r="Q210" s="42">
        <v>3.718</v>
      </c>
      <c r="R210" s="48">
        <v>13107</v>
      </c>
      <c r="T210" s="44">
        <v>14482.611000000001</v>
      </c>
      <c r="U210" s="45">
        <v>2.1499999999999999E-4</v>
      </c>
      <c r="V210" s="45">
        <v>3.71390298154647E-2</v>
      </c>
      <c r="W210" s="45">
        <v>5.9008401971315299E-3</v>
      </c>
    </row>
    <row r="211" spans="1:23" x14ac:dyDescent="0.25">
      <c r="A211">
        <v>424</v>
      </c>
      <c r="B211">
        <v>7228</v>
      </c>
      <c r="C211" t="s">
        <v>1179</v>
      </c>
      <c r="D211" t="s">
        <v>1180</v>
      </c>
      <c r="E211" t="s">
        <v>613</v>
      </c>
      <c r="F211" t="s">
        <v>1185</v>
      </c>
      <c r="G211" t="s">
        <v>1186</v>
      </c>
      <c r="H211" t="s">
        <v>213</v>
      </c>
      <c r="I211" t="s">
        <v>1125</v>
      </c>
      <c r="J211" t="s">
        <v>85</v>
      </c>
      <c r="K211" t="s">
        <v>604</v>
      </c>
      <c r="L211" t="s">
        <v>1187</v>
      </c>
      <c r="M211" t="s">
        <v>1145</v>
      </c>
      <c r="N211" t="s">
        <v>72</v>
      </c>
      <c r="O211" t="s">
        <v>79</v>
      </c>
      <c r="P211" s="44">
        <v>832298</v>
      </c>
      <c r="Q211" s="42">
        <v>4.8108000000000004</v>
      </c>
      <c r="R211" s="48">
        <v>838.1</v>
      </c>
      <c r="T211" s="44">
        <v>33557.684999999998</v>
      </c>
      <c r="U211" s="45">
        <v>1.343E-3</v>
      </c>
      <c r="V211" s="45">
        <v>8.6054913342746397E-2</v>
      </c>
      <c r="W211" s="45">
        <v>1.36728475228532E-2</v>
      </c>
    </row>
    <row r="212" spans="1:23" x14ac:dyDescent="0.25">
      <c r="A212">
        <v>424</v>
      </c>
      <c r="B212">
        <v>7228</v>
      </c>
      <c r="C212" t="s">
        <v>1179</v>
      </c>
      <c r="D212" t="s">
        <v>1180</v>
      </c>
      <c r="E212" t="s">
        <v>613</v>
      </c>
      <c r="F212" t="s">
        <v>1188</v>
      </c>
      <c r="G212" t="s">
        <v>1189</v>
      </c>
      <c r="H212" t="s">
        <v>213</v>
      </c>
      <c r="I212" t="s">
        <v>1125</v>
      </c>
      <c r="J212" t="s">
        <v>85</v>
      </c>
      <c r="K212" t="s">
        <v>1053</v>
      </c>
      <c r="L212" t="s">
        <v>966</v>
      </c>
      <c r="M212" t="s">
        <v>1145</v>
      </c>
      <c r="N212" t="s">
        <v>72</v>
      </c>
      <c r="O212" t="s">
        <v>75</v>
      </c>
      <c r="P212" s="44">
        <v>189493</v>
      </c>
      <c r="Q212" s="42">
        <v>3.718</v>
      </c>
      <c r="R212" s="48">
        <v>3584</v>
      </c>
      <c r="T212" s="44">
        <v>25250.532999999999</v>
      </c>
      <c r="U212" s="45">
        <v>1.111E-3</v>
      </c>
      <c r="V212" s="45">
        <v>6.4752156323243201E-2</v>
      </c>
      <c r="W212" s="45">
        <v>1.0288155850641899E-2</v>
      </c>
    </row>
    <row r="213" spans="1:23" x14ac:dyDescent="0.25">
      <c r="A213">
        <v>424</v>
      </c>
      <c r="B213">
        <v>7228</v>
      </c>
      <c r="C213" t="s">
        <v>1179</v>
      </c>
      <c r="D213" t="s">
        <v>1180</v>
      </c>
      <c r="E213" t="s">
        <v>613</v>
      </c>
      <c r="F213" t="s">
        <v>1190</v>
      </c>
      <c r="G213" t="s">
        <v>1191</v>
      </c>
      <c r="H213" t="s">
        <v>213</v>
      </c>
      <c r="I213" t="s">
        <v>1192</v>
      </c>
      <c r="J213" t="s">
        <v>85</v>
      </c>
      <c r="K213" t="s">
        <v>1193</v>
      </c>
      <c r="L213" t="s">
        <v>1187</v>
      </c>
      <c r="M213" t="s">
        <v>1194</v>
      </c>
      <c r="N213" t="s">
        <v>72</v>
      </c>
      <c r="O213" t="s">
        <v>75</v>
      </c>
      <c r="P213" s="44">
        <v>519103</v>
      </c>
      <c r="Q213" s="42">
        <v>3.718</v>
      </c>
      <c r="R213" s="48">
        <v>630.95000000000005</v>
      </c>
      <c r="T213" s="44">
        <v>12177.492</v>
      </c>
      <c r="U213" s="45">
        <v>0</v>
      </c>
      <c r="V213" s="45">
        <v>3.1227811308009799E-2</v>
      </c>
      <c r="W213" s="45">
        <v>4.9616353779390601E-3</v>
      </c>
    </row>
    <row r="214" spans="1:23" x14ac:dyDescent="0.25">
      <c r="A214">
        <v>424</v>
      </c>
      <c r="B214">
        <v>7228</v>
      </c>
      <c r="C214" t="s">
        <v>1179</v>
      </c>
      <c r="D214" t="s">
        <v>1180</v>
      </c>
      <c r="E214" t="s">
        <v>613</v>
      </c>
      <c r="F214" t="s">
        <v>1195</v>
      </c>
      <c r="G214" t="s">
        <v>1196</v>
      </c>
      <c r="H214" t="s">
        <v>213</v>
      </c>
      <c r="I214" t="s">
        <v>1125</v>
      </c>
      <c r="J214" t="s">
        <v>85</v>
      </c>
      <c r="K214" t="s">
        <v>291</v>
      </c>
      <c r="L214" t="s">
        <v>936</v>
      </c>
      <c r="M214" t="s">
        <v>1145</v>
      </c>
      <c r="N214" t="s">
        <v>72</v>
      </c>
      <c r="O214" t="s">
        <v>75</v>
      </c>
      <c r="P214" s="44">
        <v>39623</v>
      </c>
      <c r="Q214" s="42">
        <v>3.718</v>
      </c>
      <c r="R214" s="48">
        <v>5509</v>
      </c>
      <c r="T214" s="44">
        <v>8115.7659999999996</v>
      </c>
      <c r="U214" s="45">
        <v>0</v>
      </c>
      <c r="V214" s="45">
        <v>2.08119699365827E-2</v>
      </c>
      <c r="W214" s="45">
        <v>3.3067128945878702E-3</v>
      </c>
    </row>
    <row r="215" spans="1:23" x14ac:dyDescent="0.25">
      <c r="A215">
        <v>424</v>
      </c>
      <c r="B215">
        <v>7228</v>
      </c>
      <c r="C215" t="s">
        <v>1179</v>
      </c>
      <c r="D215" t="s">
        <v>1180</v>
      </c>
      <c r="E215" t="s">
        <v>613</v>
      </c>
      <c r="F215" t="s">
        <v>1197</v>
      </c>
      <c r="G215" t="s">
        <v>1198</v>
      </c>
      <c r="H215" t="s">
        <v>213</v>
      </c>
      <c r="I215" t="s">
        <v>1125</v>
      </c>
      <c r="J215" t="s">
        <v>85</v>
      </c>
      <c r="K215" t="s">
        <v>1199</v>
      </c>
      <c r="L215" t="s">
        <v>1200</v>
      </c>
      <c r="M215" t="s">
        <v>1145</v>
      </c>
      <c r="N215" t="s">
        <v>72</v>
      </c>
      <c r="O215" t="s">
        <v>77</v>
      </c>
      <c r="P215" s="44">
        <v>21447</v>
      </c>
      <c r="Q215" s="42">
        <v>4.0218999999999996</v>
      </c>
      <c r="R215" s="48">
        <v>9391</v>
      </c>
      <c r="T215" s="44">
        <v>8100.46</v>
      </c>
      <c r="U215" s="45">
        <v>4.3039999999999997E-3</v>
      </c>
      <c r="V215" s="45">
        <v>2.0772718608530701E-2</v>
      </c>
      <c r="W215" s="45">
        <v>3.30047644157575E-3</v>
      </c>
    </row>
    <row r="216" spans="1:23" x14ac:dyDescent="0.25">
      <c r="A216">
        <v>424</v>
      </c>
      <c r="B216">
        <v>7228</v>
      </c>
      <c r="C216" t="s">
        <v>1179</v>
      </c>
      <c r="D216" t="s">
        <v>1180</v>
      </c>
      <c r="E216" t="s">
        <v>613</v>
      </c>
      <c r="F216" t="s">
        <v>1201</v>
      </c>
      <c r="G216" t="s">
        <v>1202</v>
      </c>
      <c r="H216" t="s">
        <v>213</v>
      </c>
      <c r="I216" t="s">
        <v>1192</v>
      </c>
      <c r="J216" t="s">
        <v>85</v>
      </c>
      <c r="K216" t="s">
        <v>291</v>
      </c>
      <c r="L216" t="s">
        <v>1187</v>
      </c>
      <c r="M216" t="s">
        <v>1194</v>
      </c>
      <c r="N216" t="s">
        <v>72</v>
      </c>
      <c r="O216" t="s">
        <v>75</v>
      </c>
      <c r="P216" s="44">
        <v>477317</v>
      </c>
      <c r="Q216" s="42">
        <v>3.718</v>
      </c>
      <c r="R216" s="48">
        <v>605.15</v>
      </c>
      <c r="T216" s="44">
        <v>10739.383</v>
      </c>
      <c r="U216" s="45">
        <v>0</v>
      </c>
      <c r="V216" s="45">
        <v>2.7539940843251499E-2</v>
      </c>
      <c r="W216" s="45">
        <v>4.37568753847238E-3</v>
      </c>
    </row>
    <row r="217" spans="1:23" x14ac:dyDescent="0.25">
      <c r="A217">
        <v>424</v>
      </c>
      <c r="B217">
        <v>7228</v>
      </c>
      <c r="C217" t="s">
        <v>1203</v>
      </c>
      <c r="D217" t="s">
        <v>1151</v>
      </c>
      <c r="E217" t="s">
        <v>613</v>
      </c>
      <c r="F217" t="s">
        <v>1207</v>
      </c>
      <c r="G217" t="s">
        <v>1208</v>
      </c>
      <c r="H217" t="s">
        <v>213</v>
      </c>
      <c r="I217" t="s">
        <v>1125</v>
      </c>
      <c r="J217" t="s">
        <v>85</v>
      </c>
      <c r="K217" t="s">
        <v>990</v>
      </c>
      <c r="L217" t="s">
        <v>1206</v>
      </c>
      <c r="M217" t="s">
        <v>1145</v>
      </c>
      <c r="N217" t="s">
        <v>72</v>
      </c>
      <c r="O217" t="s">
        <v>77</v>
      </c>
      <c r="P217" s="44">
        <v>5533</v>
      </c>
      <c r="Q217" s="42">
        <v>4.0218999999999996</v>
      </c>
      <c r="R217" s="48">
        <v>14313.1</v>
      </c>
      <c r="T217" s="44">
        <v>3185.1190000000001</v>
      </c>
      <c r="U217" s="45">
        <v>1.7240000000000001E-3</v>
      </c>
      <c r="V217" s="45">
        <v>8.1678794906455601E-3</v>
      </c>
      <c r="W217" s="45">
        <v>1.29775473035266E-3</v>
      </c>
    </row>
    <row r="218" spans="1:23" x14ac:dyDescent="0.25">
      <c r="A218">
        <v>424</v>
      </c>
      <c r="B218">
        <v>7228</v>
      </c>
      <c r="C218" t="s">
        <v>1141</v>
      </c>
      <c r="D218" t="s">
        <v>1142</v>
      </c>
      <c r="E218" t="s">
        <v>613</v>
      </c>
      <c r="F218" t="s">
        <v>1209</v>
      </c>
      <c r="G218" t="s">
        <v>1210</v>
      </c>
      <c r="H218" t="s">
        <v>213</v>
      </c>
      <c r="I218" t="s">
        <v>1125</v>
      </c>
      <c r="J218" t="s">
        <v>85</v>
      </c>
      <c r="K218" t="s">
        <v>291</v>
      </c>
      <c r="L218" t="s">
        <v>966</v>
      </c>
      <c r="M218" t="s">
        <v>1145</v>
      </c>
      <c r="N218" t="s">
        <v>72</v>
      </c>
      <c r="O218" t="s">
        <v>75</v>
      </c>
      <c r="P218" s="44">
        <v>25118</v>
      </c>
      <c r="Q218" s="42">
        <v>3.718</v>
      </c>
      <c r="R218" s="48">
        <v>8598</v>
      </c>
      <c r="T218" s="44">
        <v>8029.5619999999999</v>
      </c>
      <c r="U218" s="45">
        <v>3.2299999999999999E-4</v>
      </c>
      <c r="V218" s="45">
        <v>2.05909109280508E-2</v>
      </c>
      <c r="W218" s="45">
        <v>3.2715899016081298E-3</v>
      </c>
    </row>
    <row r="219" spans="1:23" x14ac:dyDescent="0.25">
      <c r="A219">
        <v>424</v>
      </c>
      <c r="B219">
        <v>7228</v>
      </c>
      <c r="C219" t="s">
        <v>1141</v>
      </c>
      <c r="D219" t="s">
        <v>1142</v>
      </c>
      <c r="E219" t="s">
        <v>613</v>
      </c>
      <c r="F219" t="s">
        <v>1215</v>
      </c>
      <c r="G219" t="s">
        <v>1216</v>
      </c>
      <c r="H219" t="s">
        <v>213</v>
      </c>
      <c r="I219" t="s">
        <v>1125</v>
      </c>
      <c r="J219" t="s">
        <v>85</v>
      </c>
      <c r="K219" t="s">
        <v>291</v>
      </c>
      <c r="L219" t="s">
        <v>966</v>
      </c>
      <c r="M219" t="s">
        <v>1145</v>
      </c>
      <c r="N219" t="s">
        <v>72</v>
      </c>
      <c r="O219" t="s">
        <v>75</v>
      </c>
      <c r="P219" s="44">
        <v>31272</v>
      </c>
      <c r="Q219" s="42">
        <v>3.718</v>
      </c>
      <c r="R219" s="48">
        <v>9345</v>
      </c>
      <c r="T219" s="44">
        <v>10865.366</v>
      </c>
      <c r="U219" s="45">
        <v>6.7000000000000002E-5</v>
      </c>
      <c r="V219" s="45">
        <v>2.78630097034578E-2</v>
      </c>
      <c r="W219" s="45">
        <v>4.4270183816909397E-3</v>
      </c>
    </row>
    <row r="220" spans="1:23" x14ac:dyDescent="0.25">
      <c r="A220">
        <v>424</v>
      </c>
      <c r="B220">
        <v>7228</v>
      </c>
      <c r="C220" t="s">
        <v>1146</v>
      </c>
      <c r="D220" t="s">
        <v>1147</v>
      </c>
      <c r="E220" t="s">
        <v>613</v>
      </c>
      <c r="F220" t="s">
        <v>1217</v>
      </c>
      <c r="G220" t="s">
        <v>1218</v>
      </c>
      <c r="H220" t="s">
        <v>213</v>
      </c>
      <c r="I220" t="s">
        <v>1125</v>
      </c>
      <c r="J220" t="s">
        <v>85</v>
      </c>
      <c r="K220" t="s">
        <v>291</v>
      </c>
      <c r="L220" t="s">
        <v>936</v>
      </c>
      <c r="M220" t="s">
        <v>1145</v>
      </c>
      <c r="N220" t="s">
        <v>72</v>
      </c>
      <c r="O220" t="s">
        <v>75</v>
      </c>
      <c r="P220" s="44">
        <v>13116</v>
      </c>
      <c r="Q220" s="42">
        <v>3.718</v>
      </c>
      <c r="R220" s="48">
        <v>46892</v>
      </c>
      <c r="S220" s="59">
        <v>7.016</v>
      </c>
      <c r="T220" s="44">
        <v>22893.103999999999</v>
      </c>
      <c r="U220" s="45">
        <v>2.4000000000000001E-5</v>
      </c>
      <c r="V220" s="45">
        <v>5.8706792472858302E-2</v>
      </c>
      <c r="W220" s="45">
        <v>9.3276373289711608E-3</v>
      </c>
    </row>
    <row r="221" spans="1:23" x14ac:dyDescent="0.25">
      <c r="A221">
        <v>424</v>
      </c>
      <c r="B221">
        <v>7228</v>
      </c>
      <c r="C221" t="s">
        <v>1141</v>
      </c>
      <c r="D221" t="s">
        <v>1142</v>
      </c>
      <c r="E221" t="s">
        <v>613</v>
      </c>
      <c r="F221" t="s">
        <v>1219</v>
      </c>
      <c r="G221" t="s">
        <v>1220</v>
      </c>
      <c r="H221" t="s">
        <v>213</v>
      </c>
      <c r="I221" t="s">
        <v>1125</v>
      </c>
      <c r="J221" t="s">
        <v>85</v>
      </c>
      <c r="K221" t="s">
        <v>291</v>
      </c>
      <c r="L221" t="s">
        <v>966</v>
      </c>
      <c r="M221" t="s">
        <v>1145</v>
      </c>
      <c r="N221" t="s">
        <v>72</v>
      </c>
      <c r="O221" t="s">
        <v>75</v>
      </c>
      <c r="P221" s="44">
        <v>36972</v>
      </c>
      <c r="Q221" s="42">
        <v>3.718</v>
      </c>
      <c r="R221" s="48">
        <v>4185</v>
      </c>
      <c r="T221" s="44">
        <v>5752.78</v>
      </c>
      <c r="U221" s="45">
        <v>6.02E-4</v>
      </c>
      <c r="V221" s="45">
        <v>1.4752358908804501E-2</v>
      </c>
      <c r="W221" s="45">
        <v>2.3439307080482001E-3</v>
      </c>
    </row>
    <row r="222" spans="1:23" x14ac:dyDescent="0.25">
      <c r="A222">
        <v>424</v>
      </c>
      <c r="B222">
        <v>7228</v>
      </c>
      <c r="C222" t="s">
        <v>1146</v>
      </c>
      <c r="D222" t="s">
        <v>1147</v>
      </c>
      <c r="E222" t="s">
        <v>613</v>
      </c>
      <c r="F222" t="s">
        <v>1275</v>
      </c>
      <c r="G222" t="s">
        <v>1276</v>
      </c>
      <c r="H222" t="s">
        <v>213</v>
      </c>
      <c r="I222" t="s">
        <v>1125</v>
      </c>
      <c r="J222" t="s">
        <v>85</v>
      </c>
      <c r="K222" t="s">
        <v>291</v>
      </c>
      <c r="L222" t="s">
        <v>1187</v>
      </c>
      <c r="M222" t="s">
        <v>1145</v>
      </c>
      <c r="N222" t="s">
        <v>72</v>
      </c>
      <c r="O222" t="s">
        <v>75</v>
      </c>
      <c r="P222" s="44">
        <v>192</v>
      </c>
      <c r="Q222" s="42">
        <v>3.718</v>
      </c>
      <c r="R222" s="48">
        <v>109783</v>
      </c>
      <c r="T222" s="44">
        <v>783.69299999999998</v>
      </c>
      <c r="U222" s="45">
        <v>3.8000000000000002E-5</v>
      </c>
      <c r="V222" s="45">
        <v>2.00969145608317E-3</v>
      </c>
      <c r="W222" s="45">
        <v>3.1931012163784E-4</v>
      </c>
    </row>
    <row r="223" spans="1:23" x14ac:dyDescent="0.25">
      <c r="A223">
        <v>424</v>
      </c>
      <c r="B223">
        <v>7228</v>
      </c>
      <c r="C223" t="s">
        <v>1141</v>
      </c>
      <c r="D223" t="s">
        <v>1142</v>
      </c>
      <c r="E223" t="s">
        <v>613</v>
      </c>
      <c r="F223" t="s">
        <v>1223</v>
      </c>
      <c r="G223" t="s">
        <v>1224</v>
      </c>
      <c r="H223" t="s">
        <v>213</v>
      </c>
      <c r="I223" t="s">
        <v>1192</v>
      </c>
      <c r="J223" t="s">
        <v>85</v>
      </c>
      <c r="K223" t="s">
        <v>291</v>
      </c>
      <c r="L223" t="s">
        <v>1022</v>
      </c>
      <c r="M223" t="s">
        <v>1194</v>
      </c>
      <c r="N223" t="s">
        <v>72</v>
      </c>
      <c r="O223" t="s">
        <v>75</v>
      </c>
      <c r="P223" s="44">
        <v>538225</v>
      </c>
      <c r="Q223" s="42">
        <v>3.718</v>
      </c>
      <c r="R223" s="48">
        <v>1086.2</v>
      </c>
      <c r="T223" s="44">
        <v>21736.170999999998</v>
      </c>
      <c r="U223" s="45">
        <v>0</v>
      </c>
      <c r="V223" s="45">
        <v>5.5739969654477799E-2</v>
      </c>
      <c r="W223" s="45">
        <v>8.8562532505110092E-3</v>
      </c>
    </row>
    <row r="224" spans="1:23" x14ac:dyDescent="0.25">
      <c r="A224">
        <v>424</v>
      </c>
      <c r="B224">
        <v>7228</v>
      </c>
      <c r="C224" t="s">
        <v>1141</v>
      </c>
      <c r="D224" t="s">
        <v>1142</v>
      </c>
      <c r="E224" t="s">
        <v>613</v>
      </c>
      <c r="F224" t="s">
        <v>1229</v>
      </c>
      <c r="G224" t="s">
        <v>1230</v>
      </c>
      <c r="H224" t="s">
        <v>213</v>
      </c>
      <c r="I224" t="s">
        <v>1125</v>
      </c>
      <c r="J224" t="s">
        <v>85</v>
      </c>
      <c r="K224" t="s">
        <v>291</v>
      </c>
      <c r="L224" t="s">
        <v>1022</v>
      </c>
      <c r="M224" t="s">
        <v>1145</v>
      </c>
      <c r="N224" t="s">
        <v>72</v>
      </c>
      <c r="O224" t="s">
        <v>75</v>
      </c>
      <c r="P224" s="44">
        <v>20690</v>
      </c>
      <c r="Q224" s="42">
        <v>3.718</v>
      </c>
      <c r="R224" s="48">
        <v>12617</v>
      </c>
      <c r="T224" s="44">
        <v>9705.68</v>
      </c>
      <c r="U224" s="45">
        <v>0</v>
      </c>
      <c r="V224" s="45">
        <v>2.4889126600315802E-2</v>
      </c>
      <c r="W224" s="45">
        <v>3.9545125288513597E-3</v>
      </c>
    </row>
    <row r="225" spans="1:23" x14ac:dyDescent="0.25">
      <c r="A225">
        <v>424</v>
      </c>
      <c r="B225">
        <v>7228</v>
      </c>
      <c r="C225" t="s">
        <v>1231</v>
      </c>
      <c r="D225" t="s">
        <v>1232</v>
      </c>
      <c r="E225" t="s">
        <v>613</v>
      </c>
      <c r="F225" t="s">
        <v>1233</v>
      </c>
      <c r="G225" t="s">
        <v>1234</v>
      </c>
      <c r="H225" t="s">
        <v>213</v>
      </c>
      <c r="I225" t="s">
        <v>1125</v>
      </c>
      <c r="J225" t="s">
        <v>85</v>
      </c>
      <c r="K225" t="s">
        <v>291</v>
      </c>
      <c r="L225" t="s">
        <v>1235</v>
      </c>
      <c r="M225" t="s">
        <v>1145</v>
      </c>
      <c r="N225" t="s">
        <v>72</v>
      </c>
      <c r="O225" t="s">
        <v>75</v>
      </c>
      <c r="P225" s="44">
        <v>36286</v>
      </c>
      <c r="Q225" s="42">
        <v>3.718</v>
      </c>
      <c r="R225" s="48">
        <v>4389</v>
      </c>
      <c r="T225" s="44">
        <v>5921.259</v>
      </c>
      <c r="U225" s="45">
        <v>0</v>
      </c>
      <c r="V225" s="45">
        <v>1.51844036486552E-2</v>
      </c>
      <c r="W225" s="45">
        <v>2.4125761998808502E-3</v>
      </c>
    </row>
    <row r="226" spans="1:23" x14ac:dyDescent="0.25">
      <c r="A226">
        <v>424</v>
      </c>
      <c r="B226">
        <v>7228</v>
      </c>
      <c r="C226" t="s">
        <v>1236</v>
      </c>
      <c r="D226" t="s">
        <v>1237</v>
      </c>
      <c r="E226" t="s">
        <v>613</v>
      </c>
      <c r="F226" t="s">
        <v>1238</v>
      </c>
      <c r="G226" t="s">
        <v>1239</v>
      </c>
      <c r="H226" t="s">
        <v>213</v>
      </c>
      <c r="I226" t="s">
        <v>1125</v>
      </c>
      <c r="J226" t="s">
        <v>85</v>
      </c>
      <c r="K226" t="s">
        <v>291</v>
      </c>
      <c r="L226" t="s">
        <v>966</v>
      </c>
      <c r="M226" t="s">
        <v>1145</v>
      </c>
      <c r="N226" t="s">
        <v>72</v>
      </c>
      <c r="O226" t="s">
        <v>75</v>
      </c>
      <c r="P226" s="44">
        <v>4400</v>
      </c>
      <c r="Q226" s="42">
        <v>3.718</v>
      </c>
      <c r="R226" s="48">
        <v>9870</v>
      </c>
      <c r="T226" s="44">
        <v>1614.653</v>
      </c>
      <c r="U226" s="45">
        <v>5.5199999999999997E-4</v>
      </c>
      <c r="V226" s="45">
        <v>4.1405963238644603E-3</v>
      </c>
      <c r="W226" s="45">
        <v>6.5787925396426498E-4</v>
      </c>
    </row>
    <row r="227" spans="1:23" x14ac:dyDescent="0.25">
      <c r="A227">
        <v>424</v>
      </c>
      <c r="B227">
        <v>7228</v>
      </c>
      <c r="C227" t="s">
        <v>1240</v>
      </c>
      <c r="D227" t="s">
        <v>1241</v>
      </c>
      <c r="E227" t="s">
        <v>613</v>
      </c>
      <c r="F227" t="s">
        <v>1242</v>
      </c>
      <c r="G227" t="s">
        <v>1243</v>
      </c>
      <c r="H227" t="s">
        <v>213</v>
      </c>
      <c r="I227" t="s">
        <v>1125</v>
      </c>
      <c r="J227" t="s">
        <v>85</v>
      </c>
      <c r="K227" t="s">
        <v>1244</v>
      </c>
      <c r="L227" t="s">
        <v>966</v>
      </c>
      <c r="M227" t="s">
        <v>1145</v>
      </c>
      <c r="N227" t="s">
        <v>72</v>
      </c>
      <c r="O227" t="s">
        <v>75</v>
      </c>
      <c r="P227" s="44">
        <v>85790</v>
      </c>
      <c r="Q227" s="42">
        <v>3.718</v>
      </c>
      <c r="R227" s="48">
        <v>4371</v>
      </c>
      <c r="T227" s="44">
        <v>13942.057000000001</v>
      </c>
      <c r="U227" s="45">
        <v>3.8999999999999998E-3</v>
      </c>
      <c r="V227" s="45">
        <v>3.5752839342059403E-2</v>
      </c>
      <c r="W227" s="45">
        <v>5.6805951205370899E-3</v>
      </c>
    </row>
    <row r="228" spans="1:23" x14ac:dyDescent="0.25">
      <c r="A228">
        <v>424</v>
      </c>
      <c r="B228">
        <v>7229</v>
      </c>
      <c r="C228" t="s">
        <v>1121</v>
      </c>
      <c r="D228" t="s">
        <v>1122</v>
      </c>
      <c r="E228" t="s">
        <v>210</v>
      </c>
      <c r="F228" t="s">
        <v>1309</v>
      </c>
      <c r="G228" t="s">
        <v>1310</v>
      </c>
      <c r="H228" t="s">
        <v>213</v>
      </c>
      <c r="I228" t="s">
        <v>1125</v>
      </c>
      <c r="J228" t="s">
        <v>71</v>
      </c>
      <c r="K228" t="s">
        <v>291</v>
      </c>
      <c r="L228" t="s">
        <v>117</v>
      </c>
      <c r="M228" t="s">
        <v>1126</v>
      </c>
      <c r="N228" t="s">
        <v>72</v>
      </c>
      <c r="O228" t="s">
        <v>81</v>
      </c>
      <c r="P228" s="44">
        <v>4602</v>
      </c>
      <c r="Q228" s="42">
        <v>1</v>
      </c>
      <c r="R228" s="48">
        <v>8809</v>
      </c>
      <c r="T228" s="44">
        <v>405.39</v>
      </c>
      <c r="U228" s="45">
        <v>5.3000000000000001E-5</v>
      </c>
      <c r="V228" s="45">
        <v>1.7801912002324401E-2</v>
      </c>
      <c r="W228" s="45">
        <v>2.6983282282111399E-3</v>
      </c>
    </row>
    <row r="229" spans="1:23" x14ac:dyDescent="0.25">
      <c r="A229">
        <v>424</v>
      </c>
      <c r="B229">
        <v>7229</v>
      </c>
      <c r="C229" t="s">
        <v>1133</v>
      </c>
      <c r="D229" t="s">
        <v>1134</v>
      </c>
      <c r="E229" t="s">
        <v>210</v>
      </c>
      <c r="F229" t="s">
        <v>1135</v>
      </c>
      <c r="G229" t="s">
        <v>1136</v>
      </c>
      <c r="H229" t="s">
        <v>213</v>
      </c>
      <c r="I229" t="s">
        <v>1125</v>
      </c>
      <c r="J229" t="s">
        <v>71</v>
      </c>
      <c r="K229" t="s">
        <v>291</v>
      </c>
      <c r="L229" t="s">
        <v>117</v>
      </c>
      <c r="M229" t="s">
        <v>1126</v>
      </c>
      <c r="N229" t="s">
        <v>72</v>
      </c>
      <c r="O229" t="s">
        <v>81</v>
      </c>
      <c r="P229" s="44">
        <v>5045</v>
      </c>
      <c r="Q229" s="42">
        <v>1</v>
      </c>
      <c r="R229" s="48">
        <v>10700</v>
      </c>
      <c r="T229" s="44">
        <v>539.81500000000005</v>
      </c>
      <c r="U229" s="45">
        <v>5.31E-4</v>
      </c>
      <c r="V229" s="45">
        <v>2.3704913442981701E-2</v>
      </c>
      <c r="W229" s="45">
        <v>3.5930768044549E-3</v>
      </c>
    </row>
    <row r="230" spans="1:23" x14ac:dyDescent="0.25">
      <c r="A230">
        <v>424</v>
      </c>
      <c r="B230">
        <v>7229</v>
      </c>
      <c r="C230" t="s">
        <v>1121</v>
      </c>
      <c r="D230" t="s">
        <v>1122</v>
      </c>
      <c r="E230" t="s">
        <v>210</v>
      </c>
      <c r="F230" t="s">
        <v>1139</v>
      </c>
      <c r="G230" t="s">
        <v>1140</v>
      </c>
      <c r="H230" t="s">
        <v>213</v>
      </c>
      <c r="I230" t="s">
        <v>1125</v>
      </c>
      <c r="J230" t="s">
        <v>71</v>
      </c>
      <c r="K230" t="s">
        <v>291</v>
      </c>
      <c r="L230" t="s">
        <v>117</v>
      </c>
      <c r="M230" t="s">
        <v>1126</v>
      </c>
      <c r="N230" t="s">
        <v>72</v>
      </c>
      <c r="O230" t="s">
        <v>81</v>
      </c>
      <c r="P230" s="44">
        <v>9975</v>
      </c>
      <c r="Q230" s="42">
        <v>1</v>
      </c>
      <c r="R230" s="48">
        <v>3199</v>
      </c>
      <c r="T230" s="44">
        <v>319.10000000000002</v>
      </c>
      <c r="U230" s="45">
        <v>4.9899999999999999E-4</v>
      </c>
      <c r="V230" s="45">
        <v>1.4012659533143399E-2</v>
      </c>
      <c r="W230" s="45">
        <v>2.1239715579796001E-3</v>
      </c>
    </row>
    <row r="231" spans="1:23" x14ac:dyDescent="0.25">
      <c r="A231">
        <v>424</v>
      </c>
      <c r="B231">
        <v>7229</v>
      </c>
      <c r="C231" t="s">
        <v>1141</v>
      </c>
      <c r="D231" t="s">
        <v>1142</v>
      </c>
      <c r="E231" t="s">
        <v>613</v>
      </c>
      <c r="F231" t="s">
        <v>1143</v>
      </c>
      <c r="G231" t="s">
        <v>1144</v>
      </c>
      <c r="H231" t="s">
        <v>213</v>
      </c>
      <c r="I231" t="s">
        <v>1125</v>
      </c>
      <c r="J231" t="s">
        <v>85</v>
      </c>
      <c r="K231" t="s">
        <v>291</v>
      </c>
      <c r="L231" t="s">
        <v>966</v>
      </c>
      <c r="M231" t="s">
        <v>1145</v>
      </c>
      <c r="N231" t="s">
        <v>72</v>
      </c>
      <c r="O231" t="s">
        <v>75</v>
      </c>
      <c r="P231" s="44">
        <v>1355</v>
      </c>
      <c r="Q231" s="42">
        <v>3.718</v>
      </c>
      <c r="R231" s="48">
        <v>7885</v>
      </c>
      <c r="T231" s="44">
        <v>397.238</v>
      </c>
      <c r="U231" s="45">
        <v>6.0000000000000002E-6</v>
      </c>
      <c r="V231" s="45">
        <v>1.7443908658481101E-2</v>
      </c>
      <c r="W231" s="45">
        <v>2.6440638026617798E-3</v>
      </c>
    </row>
    <row r="232" spans="1:23" x14ac:dyDescent="0.25">
      <c r="A232">
        <v>424</v>
      </c>
      <c r="B232">
        <v>7229</v>
      </c>
      <c r="C232" t="s">
        <v>1146</v>
      </c>
      <c r="D232" t="s">
        <v>1147</v>
      </c>
      <c r="E232" t="s">
        <v>613</v>
      </c>
      <c r="F232" t="s">
        <v>1148</v>
      </c>
      <c r="G232" t="s">
        <v>1149</v>
      </c>
      <c r="H232" t="s">
        <v>213</v>
      </c>
      <c r="I232" t="s">
        <v>1125</v>
      </c>
      <c r="J232" t="s">
        <v>85</v>
      </c>
      <c r="K232" t="s">
        <v>291</v>
      </c>
      <c r="L232" t="s">
        <v>966</v>
      </c>
      <c r="M232" t="s">
        <v>1145</v>
      </c>
      <c r="N232" t="s">
        <v>72</v>
      </c>
      <c r="O232" t="s">
        <v>75</v>
      </c>
      <c r="P232" s="44">
        <v>620</v>
      </c>
      <c r="Q232" s="42">
        <v>3.718</v>
      </c>
      <c r="R232" s="48">
        <v>11655</v>
      </c>
      <c r="T232" s="44">
        <v>268.666</v>
      </c>
      <c r="U232" s="45">
        <v>3.1999999999999999E-5</v>
      </c>
      <c r="V232" s="45">
        <v>1.1797956169479699E-2</v>
      </c>
      <c r="W232" s="45">
        <v>1.7882774705968701E-3</v>
      </c>
    </row>
    <row r="233" spans="1:23" x14ac:dyDescent="0.25">
      <c r="A233">
        <v>424</v>
      </c>
      <c r="B233">
        <v>7229</v>
      </c>
      <c r="C233" t="s">
        <v>1141</v>
      </c>
      <c r="D233" t="s">
        <v>1142</v>
      </c>
      <c r="E233" t="s">
        <v>613</v>
      </c>
      <c r="F233" t="s">
        <v>1161</v>
      </c>
      <c r="G233" t="s">
        <v>1162</v>
      </c>
      <c r="H233" t="s">
        <v>213</v>
      </c>
      <c r="I233" t="s">
        <v>1125</v>
      </c>
      <c r="J233" t="s">
        <v>85</v>
      </c>
      <c r="K233" t="s">
        <v>291</v>
      </c>
      <c r="L233" t="s">
        <v>966</v>
      </c>
      <c r="M233" t="s">
        <v>1145</v>
      </c>
      <c r="N233" t="s">
        <v>72</v>
      </c>
      <c r="O233" t="s">
        <v>75</v>
      </c>
      <c r="P233" s="44">
        <v>960</v>
      </c>
      <c r="Q233" s="42">
        <v>3.718</v>
      </c>
      <c r="R233" s="48">
        <v>19746</v>
      </c>
      <c r="T233" s="44">
        <v>704.79</v>
      </c>
      <c r="U233" s="45">
        <v>1.0000000000000001E-5</v>
      </c>
      <c r="V233" s="45">
        <v>3.0949467184462402E-2</v>
      </c>
      <c r="W233" s="45">
        <v>4.6911714281603501E-3</v>
      </c>
    </row>
    <row r="234" spans="1:23" x14ac:dyDescent="0.25">
      <c r="A234">
        <v>424</v>
      </c>
      <c r="B234">
        <v>7229</v>
      </c>
      <c r="C234" t="s">
        <v>1163</v>
      </c>
      <c r="D234" t="s">
        <v>1164</v>
      </c>
      <c r="E234" t="s">
        <v>613</v>
      </c>
      <c r="F234" t="s">
        <v>1165</v>
      </c>
      <c r="G234" t="s">
        <v>1166</v>
      </c>
      <c r="H234" t="s">
        <v>213</v>
      </c>
      <c r="I234" t="s">
        <v>1125</v>
      </c>
      <c r="J234" t="s">
        <v>85</v>
      </c>
      <c r="L234" t="s">
        <v>286</v>
      </c>
      <c r="M234" t="s">
        <v>1145</v>
      </c>
      <c r="N234" t="s">
        <v>72</v>
      </c>
      <c r="O234" t="s">
        <v>77</v>
      </c>
      <c r="P234" s="44">
        <v>4931</v>
      </c>
      <c r="Q234" s="42">
        <v>4.0218999999999996</v>
      </c>
      <c r="R234" s="48">
        <v>9495</v>
      </c>
      <c r="T234" s="44">
        <v>1883.047</v>
      </c>
      <c r="U234" s="45">
        <v>0</v>
      </c>
      <c r="V234" s="45">
        <v>8.2690318622620995E-2</v>
      </c>
      <c r="W234" s="45">
        <v>1.25338009147589E-2</v>
      </c>
    </row>
    <row r="235" spans="1:23" x14ac:dyDescent="0.25">
      <c r="A235">
        <v>424</v>
      </c>
      <c r="B235">
        <v>7229</v>
      </c>
      <c r="C235" t="s">
        <v>1141</v>
      </c>
      <c r="D235" t="s">
        <v>1142</v>
      </c>
      <c r="E235" t="s">
        <v>613</v>
      </c>
      <c r="F235" t="s">
        <v>1167</v>
      </c>
      <c r="G235" t="s">
        <v>1168</v>
      </c>
      <c r="H235" t="s">
        <v>213</v>
      </c>
      <c r="I235" t="s">
        <v>1125</v>
      </c>
      <c r="J235" t="s">
        <v>85</v>
      </c>
      <c r="K235" t="s">
        <v>291</v>
      </c>
      <c r="L235" t="s">
        <v>966</v>
      </c>
      <c r="M235" t="s">
        <v>1145</v>
      </c>
      <c r="N235" t="s">
        <v>72</v>
      </c>
      <c r="O235" t="s">
        <v>75</v>
      </c>
      <c r="P235" s="44">
        <v>4302</v>
      </c>
      <c r="Q235" s="42">
        <v>3.718</v>
      </c>
      <c r="R235" s="48">
        <v>4981</v>
      </c>
      <c r="T235" s="44">
        <v>796.70299999999997</v>
      </c>
      <c r="U235" s="45">
        <v>5.0000000000000004E-6</v>
      </c>
      <c r="V235" s="45">
        <v>3.4985634832638203E-2</v>
      </c>
      <c r="W235" s="45">
        <v>5.3029543140348098E-3</v>
      </c>
    </row>
    <row r="236" spans="1:23" x14ac:dyDescent="0.25">
      <c r="A236">
        <v>424</v>
      </c>
      <c r="B236">
        <v>7229</v>
      </c>
      <c r="C236" t="s">
        <v>1169</v>
      </c>
      <c r="D236" t="s">
        <v>1170</v>
      </c>
      <c r="E236" t="s">
        <v>613</v>
      </c>
      <c r="F236" t="s">
        <v>1171</v>
      </c>
      <c r="G236" t="s">
        <v>1172</v>
      </c>
      <c r="H236" t="s">
        <v>213</v>
      </c>
      <c r="I236" t="s">
        <v>1125</v>
      </c>
      <c r="J236" t="s">
        <v>85</v>
      </c>
      <c r="K236" t="s">
        <v>215</v>
      </c>
      <c r="L236" t="s">
        <v>936</v>
      </c>
      <c r="M236" t="s">
        <v>1145</v>
      </c>
      <c r="N236" t="s">
        <v>72</v>
      </c>
      <c r="O236" t="s">
        <v>75</v>
      </c>
      <c r="P236" s="44">
        <v>569</v>
      </c>
      <c r="Q236" s="42">
        <v>3.718</v>
      </c>
      <c r="R236" s="48">
        <v>11313</v>
      </c>
      <c r="T236" s="44">
        <v>239.33099999999999</v>
      </c>
      <c r="U236" s="45">
        <v>8.0000000000000007E-5</v>
      </c>
      <c r="V236" s="45">
        <v>1.0509761595423399E-2</v>
      </c>
      <c r="W236" s="45">
        <v>1.59301913081008E-3</v>
      </c>
    </row>
    <row r="237" spans="1:23" x14ac:dyDescent="0.25">
      <c r="A237">
        <v>424</v>
      </c>
      <c r="B237">
        <v>7229</v>
      </c>
      <c r="C237" t="s">
        <v>1141</v>
      </c>
      <c r="D237" t="s">
        <v>1142</v>
      </c>
      <c r="E237" t="s">
        <v>613</v>
      </c>
      <c r="F237" t="s">
        <v>1177</v>
      </c>
      <c r="G237" t="s">
        <v>1178</v>
      </c>
      <c r="H237" t="s">
        <v>213</v>
      </c>
      <c r="I237" t="s">
        <v>1125</v>
      </c>
      <c r="J237" t="s">
        <v>85</v>
      </c>
      <c r="K237" t="s">
        <v>291</v>
      </c>
      <c r="L237" t="s">
        <v>966</v>
      </c>
      <c r="M237" t="s">
        <v>1145</v>
      </c>
      <c r="N237" t="s">
        <v>72</v>
      </c>
      <c r="O237" t="s">
        <v>75</v>
      </c>
      <c r="P237" s="44">
        <v>796</v>
      </c>
      <c r="Q237" s="42">
        <v>3.718</v>
      </c>
      <c r="R237" s="48">
        <v>14601</v>
      </c>
      <c r="T237" s="44">
        <v>432.12099999999998</v>
      </c>
      <c r="U237" s="45">
        <v>3.0000000000000001E-6</v>
      </c>
      <c r="V237" s="45">
        <v>1.8975729451894598E-2</v>
      </c>
      <c r="W237" s="45">
        <v>2.8762498334032401E-3</v>
      </c>
    </row>
    <row r="238" spans="1:23" x14ac:dyDescent="0.25">
      <c r="A238">
        <v>424</v>
      </c>
      <c r="B238">
        <v>7229</v>
      </c>
      <c r="C238" t="s">
        <v>1179</v>
      </c>
      <c r="D238" t="s">
        <v>1180</v>
      </c>
      <c r="E238" t="s">
        <v>613</v>
      </c>
      <c r="F238" t="s">
        <v>1181</v>
      </c>
      <c r="G238" t="s">
        <v>1182</v>
      </c>
      <c r="H238" t="s">
        <v>213</v>
      </c>
      <c r="I238" t="s">
        <v>1125</v>
      </c>
      <c r="J238" t="s">
        <v>85</v>
      </c>
      <c r="L238" t="s">
        <v>286</v>
      </c>
      <c r="M238" t="s">
        <v>1145</v>
      </c>
      <c r="N238" t="s">
        <v>72</v>
      </c>
      <c r="O238" t="s">
        <v>75</v>
      </c>
      <c r="P238" s="44">
        <v>828</v>
      </c>
      <c r="Q238" s="42">
        <v>3.718</v>
      </c>
      <c r="R238" s="48">
        <v>8899</v>
      </c>
      <c r="T238" s="44">
        <v>273.95600000000002</v>
      </c>
      <c r="U238" s="45">
        <v>7.9999999999999996E-6</v>
      </c>
      <c r="V238" s="45">
        <v>1.2030241748165801E-2</v>
      </c>
      <c r="W238" s="45">
        <v>1.82348620176538E-3</v>
      </c>
    </row>
    <row r="239" spans="1:23" x14ac:dyDescent="0.25">
      <c r="A239">
        <v>424</v>
      </c>
      <c r="B239">
        <v>7229</v>
      </c>
      <c r="C239" t="s">
        <v>1141</v>
      </c>
      <c r="D239" t="s">
        <v>1142</v>
      </c>
      <c r="E239" t="s">
        <v>613</v>
      </c>
      <c r="F239" t="s">
        <v>1183</v>
      </c>
      <c r="G239" t="s">
        <v>1184</v>
      </c>
      <c r="H239" t="s">
        <v>213</v>
      </c>
      <c r="I239" t="s">
        <v>1125</v>
      </c>
      <c r="J239" t="s">
        <v>85</v>
      </c>
      <c r="K239" t="s">
        <v>291</v>
      </c>
      <c r="L239" t="s">
        <v>966</v>
      </c>
      <c r="M239" t="s">
        <v>1145</v>
      </c>
      <c r="N239" t="s">
        <v>72</v>
      </c>
      <c r="O239" t="s">
        <v>75</v>
      </c>
      <c r="P239" s="44">
        <v>3214</v>
      </c>
      <c r="Q239" s="42">
        <v>3.718</v>
      </c>
      <c r="R239" s="48">
        <v>13107</v>
      </c>
      <c r="T239" s="44">
        <v>1566.241</v>
      </c>
      <c r="U239" s="45">
        <v>2.3E-5</v>
      </c>
      <c r="V239" s="45">
        <v>6.8778386433064997E-2</v>
      </c>
      <c r="W239" s="45">
        <v>1.04250971232147E-2</v>
      </c>
    </row>
    <row r="240" spans="1:23" x14ac:dyDescent="0.25">
      <c r="A240">
        <v>424</v>
      </c>
      <c r="B240">
        <v>7229</v>
      </c>
      <c r="C240" t="s">
        <v>1179</v>
      </c>
      <c r="D240" t="s">
        <v>1180</v>
      </c>
      <c r="E240" t="s">
        <v>613</v>
      </c>
      <c r="F240" t="s">
        <v>1185</v>
      </c>
      <c r="G240" t="s">
        <v>1186</v>
      </c>
      <c r="H240" t="s">
        <v>213</v>
      </c>
      <c r="I240" t="s">
        <v>1125</v>
      </c>
      <c r="J240" t="s">
        <v>85</v>
      </c>
      <c r="K240" t="s">
        <v>604</v>
      </c>
      <c r="L240" t="s">
        <v>1187</v>
      </c>
      <c r="M240" t="s">
        <v>1145</v>
      </c>
      <c r="N240" t="s">
        <v>72</v>
      </c>
      <c r="O240" t="s">
        <v>79</v>
      </c>
      <c r="P240" s="44">
        <v>28000</v>
      </c>
      <c r="Q240" s="42">
        <v>4.8108000000000004</v>
      </c>
      <c r="R240" s="48">
        <v>838.1</v>
      </c>
      <c r="T240" s="44">
        <v>1128.941</v>
      </c>
      <c r="U240" s="45">
        <v>4.5000000000000003E-5</v>
      </c>
      <c r="V240" s="45">
        <v>4.9575214263407399E-2</v>
      </c>
      <c r="W240" s="45">
        <v>7.5143726162167799E-3</v>
      </c>
    </row>
    <row r="241" spans="1:23" x14ac:dyDescent="0.25">
      <c r="A241">
        <v>424</v>
      </c>
      <c r="B241">
        <v>7229</v>
      </c>
      <c r="C241" t="s">
        <v>1179</v>
      </c>
      <c r="D241" t="s">
        <v>1180</v>
      </c>
      <c r="E241" t="s">
        <v>613</v>
      </c>
      <c r="F241" t="s">
        <v>1188</v>
      </c>
      <c r="G241" t="s">
        <v>1189</v>
      </c>
      <c r="H241" t="s">
        <v>213</v>
      </c>
      <c r="I241" t="s">
        <v>1125</v>
      </c>
      <c r="J241" t="s">
        <v>85</v>
      </c>
      <c r="K241" t="s">
        <v>1053</v>
      </c>
      <c r="L241" t="s">
        <v>966</v>
      </c>
      <c r="M241" t="s">
        <v>1145</v>
      </c>
      <c r="N241" t="s">
        <v>72</v>
      </c>
      <c r="O241" t="s">
        <v>75</v>
      </c>
      <c r="P241" s="44">
        <v>6722</v>
      </c>
      <c r="Q241" s="42">
        <v>3.718</v>
      </c>
      <c r="R241" s="48">
        <v>3584</v>
      </c>
      <c r="T241" s="44">
        <v>895.72699999999998</v>
      </c>
      <c r="U241" s="45">
        <v>3.8999999999999999E-5</v>
      </c>
      <c r="V241" s="45">
        <v>3.9334109291946202E-2</v>
      </c>
      <c r="W241" s="45">
        <v>5.9620751647431001E-3</v>
      </c>
    </row>
    <row r="242" spans="1:23" x14ac:dyDescent="0.25">
      <c r="A242">
        <v>424</v>
      </c>
      <c r="B242">
        <v>7229</v>
      </c>
      <c r="C242" t="s">
        <v>1179</v>
      </c>
      <c r="D242" t="s">
        <v>1180</v>
      </c>
      <c r="E242" t="s">
        <v>613</v>
      </c>
      <c r="F242" t="s">
        <v>1190</v>
      </c>
      <c r="G242" t="s">
        <v>1191</v>
      </c>
      <c r="H242" t="s">
        <v>213</v>
      </c>
      <c r="I242" t="s">
        <v>1192</v>
      </c>
      <c r="J242" t="s">
        <v>85</v>
      </c>
      <c r="K242" t="s">
        <v>1193</v>
      </c>
      <c r="L242" t="s">
        <v>1187</v>
      </c>
      <c r="M242" t="s">
        <v>1194</v>
      </c>
      <c r="N242" t="s">
        <v>72</v>
      </c>
      <c r="O242" t="s">
        <v>75</v>
      </c>
      <c r="P242" s="44">
        <v>44989</v>
      </c>
      <c r="Q242" s="42">
        <v>3.718</v>
      </c>
      <c r="R242" s="48">
        <v>630.95000000000005</v>
      </c>
      <c r="T242" s="44">
        <v>1055.384</v>
      </c>
      <c r="U242" s="45">
        <v>0</v>
      </c>
      <c r="V242" s="45">
        <v>4.6345129033101902E-2</v>
      </c>
      <c r="W242" s="45">
        <v>7.0247718275305397E-3</v>
      </c>
    </row>
    <row r="243" spans="1:23" x14ac:dyDescent="0.25">
      <c r="A243">
        <v>424</v>
      </c>
      <c r="B243">
        <v>7229</v>
      </c>
      <c r="C243" t="s">
        <v>1179</v>
      </c>
      <c r="D243" t="s">
        <v>1180</v>
      </c>
      <c r="E243" t="s">
        <v>613</v>
      </c>
      <c r="F243" t="s">
        <v>1195</v>
      </c>
      <c r="G243" t="s">
        <v>1196</v>
      </c>
      <c r="H243" t="s">
        <v>213</v>
      </c>
      <c r="I243" t="s">
        <v>1125</v>
      </c>
      <c r="J243" t="s">
        <v>85</v>
      </c>
      <c r="K243" t="s">
        <v>291</v>
      </c>
      <c r="L243" t="s">
        <v>936</v>
      </c>
      <c r="M243" t="s">
        <v>1145</v>
      </c>
      <c r="N243" t="s">
        <v>72</v>
      </c>
      <c r="O243" t="s">
        <v>75</v>
      </c>
      <c r="P243" s="44">
        <v>943</v>
      </c>
      <c r="Q243" s="42">
        <v>3.718</v>
      </c>
      <c r="R243" s="48">
        <v>5509</v>
      </c>
      <c r="T243" s="44">
        <v>193.15</v>
      </c>
      <c r="U243" s="45">
        <v>0</v>
      </c>
      <c r="V243" s="45">
        <v>8.4817853236208596E-3</v>
      </c>
      <c r="W243" s="45">
        <v>1.2856282382119799E-3</v>
      </c>
    </row>
    <row r="244" spans="1:23" x14ac:dyDescent="0.25">
      <c r="A244">
        <v>424</v>
      </c>
      <c r="B244">
        <v>7229</v>
      </c>
      <c r="C244" t="s">
        <v>1179</v>
      </c>
      <c r="D244" t="s">
        <v>1180</v>
      </c>
      <c r="E244" t="s">
        <v>613</v>
      </c>
      <c r="F244" t="s">
        <v>1197</v>
      </c>
      <c r="G244" t="s">
        <v>1198</v>
      </c>
      <c r="H244" t="s">
        <v>213</v>
      </c>
      <c r="I244" t="s">
        <v>1125</v>
      </c>
      <c r="J244" t="s">
        <v>85</v>
      </c>
      <c r="K244" t="s">
        <v>1199</v>
      </c>
      <c r="L244" t="s">
        <v>1200</v>
      </c>
      <c r="M244" t="s">
        <v>1145</v>
      </c>
      <c r="N244" t="s">
        <v>72</v>
      </c>
      <c r="O244" t="s">
        <v>77</v>
      </c>
      <c r="P244" s="44">
        <v>654</v>
      </c>
      <c r="Q244" s="42">
        <v>4.0218999999999996</v>
      </c>
      <c r="R244" s="48">
        <v>9391</v>
      </c>
      <c r="T244" s="44">
        <v>247.01400000000001</v>
      </c>
      <c r="U244" s="45">
        <v>1.3100000000000001E-4</v>
      </c>
      <c r="V244" s="45">
        <v>1.08471159515588E-2</v>
      </c>
      <c r="W244" s="45">
        <v>1.64415368208476E-3</v>
      </c>
    </row>
    <row r="245" spans="1:23" x14ac:dyDescent="0.25">
      <c r="A245">
        <v>424</v>
      </c>
      <c r="B245">
        <v>7229</v>
      </c>
      <c r="C245" t="s">
        <v>1179</v>
      </c>
      <c r="D245" t="s">
        <v>1180</v>
      </c>
      <c r="E245" t="s">
        <v>613</v>
      </c>
      <c r="F245" t="s">
        <v>1201</v>
      </c>
      <c r="G245" t="s">
        <v>1202</v>
      </c>
      <c r="H245" t="s">
        <v>213</v>
      </c>
      <c r="I245" t="s">
        <v>1192</v>
      </c>
      <c r="J245" t="s">
        <v>85</v>
      </c>
      <c r="K245" t="s">
        <v>291</v>
      </c>
      <c r="L245" t="s">
        <v>1187</v>
      </c>
      <c r="M245" t="s">
        <v>1194</v>
      </c>
      <c r="N245" t="s">
        <v>72</v>
      </c>
      <c r="O245" t="s">
        <v>75</v>
      </c>
      <c r="P245" s="44">
        <v>58908</v>
      </c>
      <c r="Q245" s="42">
        <v>3.718</v>
      </c>
      <c r="R245" s="48">
        <v>605.15</v>
      </c>
      <c r="T245" s="44">
        <v>1325.3989999999999</v>
      </c>
      <c r="U245" s="45">
        <v>0</v>
      </c>
      <c r="V245" s="45">
        <v>5.8202297273700597E-2</v>
      </c>
      <c r="W245" s="45">
        <v>8.8220243791709806E-3</v>
      </c>
    </row>
    <row r="246" spans="1:23" x14ac:dyDescent="0.25">
      <c r="A246">
        <v>424</v>
      </c>
      <c r="B246">
        <v>7229</v>
      </c>
      <c r="C246" t="s">
        <v>1203</v>
      </c>
      <c r="D246" t="s">
        <v>1151</v>
      </c>
      <c r="E246" t="s">
        <v>613</v>
      </c>
      <c r="F246" t="s">
        <v>1207</v>
      </c>
      <c r="G246" t="s">
        <v>1208</v>
      </c>
      <c r="H246" t="s">
        <v>213</v>
      </c>
      <c r="I246" t="s">
        <v>1125</v>
      </c>
      <c r="J246" t="s">
        <v>85</v>
      </c>
      <c r="K246" t="s">
        <v>990</v>
      </c>
      <c r="L246" t="s">
        <v>1206</v>
      </c>
      <c r="M246" t="s">
        <v>1145</v>
      </c>
      <c r="N246" t="s">
        <v>72</v>
      </c>
      <c r="O246" t="s">
        <v>77</v>
      </c>
      <c r="P246" s="44">
        <v>562</v>
      </c>
      <c r="Q246" s="42">
        <v>4.0218999999999996</v>
      </c>
      <c r="R246" s="48">
        <v>14313.1</v>
      </c>
      <c r="T246" s="44">
        <v>323.52</v>
      </c>
      <c r="U246" s="45">
        <v>1.75E-4</v>
      </c>
      <c r="V246" s="45">
        <v>1.42067492386256E-2</v>
      </c>
      <c r="W246" s="45">
        <v>2.1533907423368498E-3</v>
      </c>
    </row>
    <row r="247" spans="1:23" x14ac:dyDescent="0.25">
      <c r="A247">
        <v>424</v>
      </c>
      <c r="B247">
        <v>7229</v>
      </c>
      <c r="C247" t="s">
        <v>1141</v>
      </c>
      <c r="D247" t="s">
        <v>1142</v>
      </c>
      <c r="E247" t="s">
        <v>613</v>
      </c>
      <c r="F247" t="s">
        <v>1209</v>
      </c>
      <c r="G247" t="s">
        <v>1210</v>
      </c>
      <c r="H247" t="s">
        <v>213</v>
      </c>
      <c r="I247" t="s">
        <v>1125</v>
      </c>
      <c r="J247" t="s">
        <v>85</v>
      </c>
      <c r="K247" t="s">
        <v>291</v>
      </c>
      <c r="L247" t="s">
        <v>966</v>
      </c>
      <c r="M247" t="s">
        <v>1145</v>
      </c>
      <c r="N247" t="s">
        <v>72</v>
      </c>
      <c r="O247" t="s">
        <v>75</v>
      </c>
      <c r="P247" s="44">
        <v>867</v>
      </c>
      <c r="Q247" s="42">
        <v>3.718</v>
      </c>
      <c r="R247" s="48">
        <v>8598</v>
      </c>
      <c r="T247" s="44">
        <v>277.15699999999998</v>
      </c>
      <c r="U247" s="45">
        <v>1.1E-5</v>
      </c>
      <c r="V247" s="45">
        <v>1.21708062626972E-2</v>
      </c>
      <c r="W247" s="45">
        <v>1.8447922950319501E-3</v>
      </c>
    </row>
    <row r="248" spans="1:23" x14ac:dyDescent="0.25">
      <c r="A248">
        <v>424</v>
      </c>
      <c r="B248">
        <v>7229</v>
      </c>
      <c r="C248" t="s">
        <v>1141</v>
      </c>
      <c r="D248" t="s">
        <v>1142</v>
      </c>
      <c r="E248" t="s">
        <v>613</v>
      </c>
      <c r="F248" t="s">
        <v>1215</v>
      </c>
      <c r="G248" t="s">
        <v>1216</v>
      </c>
      <c r="H248" t="s">
        <v>213</v>
      </c>
      <c r="I248" t="s">
        <v>1125</v>
      </c>
      <c r="J248" t="s">
        <v>85</v>
      </c>
      <c r="K248" t="s">
        <v>291</v>
      </c>
      <c r="L248" t="s">
        <v>966</v>
      </c>
      <c r="M248" t="s">
        <v>1145</v>
      </c>
      <c r="N248" t="s">
        <v>72</v>
      </c>
      <c r="O248" t="s">
        <v>75</v>
      </c>
      <c r="P248" s="44">
        <v>800</v>
      </c>
      <c r="Q248" s="42">
        <v>3.718</v>
      </c>
      <c r="R248" s="48">
        <v>9345</v>
      </c>
      <c r="T248" s="44">
        <v>277.95800000000003</v>
      </c>
      <c r="U248" s="45">
        <v>1.9999999999999999E-6</v>
      </c>
      <c r="V248" s="45">
        <v>1.2205964534538699E-2</v>
      </c>
      <c r="W248" s="45">
        <v>1.85012141683372E-3</v>
      </c>
    </row>
    <row r="249" spans="1:23" x14ac:dyDescent="0.25">
      <c r="A249">
        <v>424</v>
      </c>
      <c r="B249">
        <v>7229</v>
      </c>
      <c r="C249" t="s">
        <v>1146</v>
      </c>
      <c r="D249" t="s">
        <v>1147</v>
      </c>
      <c r="E249" t="s">
        <v>613</v>
      </c>
      <c r="F249" t="s">
        <v>1217</v>
      </c>
      <c r="G249" t="s">
        <v>1218</v>
      </c>
      <c r="H249" t="s">
        <v>213</v>
      </c>
      <c r="I249" t="s">
        <v>1125</v>
      </c>
      <c r="J249" t="s">
        <v>85</v>
      </c>
      <c r="K249" t="s">
        <v>291</v>
      </c>
      <c r="L249" t="s">
        <v>936</v>
      </c>
      <c r="M249" t="s">
        <v>1145</v>
      </c>
      <c r="N249" t="s">
        <v>72</v>
      </c>
      <c r="O249" t="s">
        <v>75</v>
      </c>
      <c r="P249" s="44">
        <v>476</v>
      </c>
      <c r="Q249" s="42">
        <v>3.718</v>
      </c>
      <c r="R249" s="48">
        <v>46892</v>
      </c>
      <c r="S249" s="59">
        <v>0.255</v>
      </c>
      <c r="T249" s="44">
        <v>830.82600000000002</v>
      </c>
      <c r="U249" s="45">
        <v>9.9999999999999995E-7</v>
      </c>
      <c r="V249" s="45">
        <v>3.6484100719283603E-2</v>
      </c>
      <c r="W249" s="45">
        <v>5.5300845683815903E-3</v>
      </c>
    </row>
    <row r="250" spans="1:23" x14ac:dyDescent="0.25">
      <c r="A250">
        <v>424</v>
      </c>
      <c r="B250">
        <v>7229</v>
      </c>
      <c r="C250" t="s">
        <v>1141</v>
      </c>
      <c r="D250" t="s">
        <v>1142</v>
      </c>
      <c r="E250" t="s">
        <v>613</v>
      </c>
      <c r="F250" t="s">
        <v>1219</v>
      </c>
      <c r="G250" t="s">
        <v>1220</v>
      </c>
      <c r="H250" t="s">
        <v>213</v>
      </c>
      <c r="I250" t="s">
        <v>1125</v>
      </c>
      <c r="J250" t="s">
        <v>85</v>
      </c>
      <c r="K250" t="s">
        <v>291</v>
      </c>
      <c r="L250" t="s">
        <v>966</v>
      </c>
      <c r="M250" t="s">
        <v>1145</v>
      </c>
      <c r="N250" t="s">
        <v>72</v>
      </c>
      <c r="O250" t="s">
        <v>75</v>
      </c>
      <c r="P250" s="44">
        <v>1646</v>
      </c>
      <c r="Q250" s="42">
        <v>3.718</v>
      </c>
      <c r="R250" s="48">
        <v>4185</v>
      </c>
      <c r="T250" s="44">
        <v>256.11500000000001</v>
      </c>
      <c r="U250" s="45">
        <v>2.6999999999999999E-5</v>
      </c>
      <c r="V250" s="45">
        <v>1.1246777522179599E-2</v>
      </c>
      <c r="W250" s="45">
        <v>1.70473246135277E-3</v>
      </c>
    </row>
    <row r="251" spans="1:23" x14ac:dyDescent="0.25">
      <c r="A251">
        <v>424</v>
      </c>
      <c r="B251">
        <v>7229</v>
      </c>
      <c r="C251" t="s">
        <v>1141</v>
      </c>
      <c r="D251" t="s">
        <v>1142</v>
      </c>
      <c r="E251" t="s">
        <v>613</v>
      </c>
      <c r="F251" t="s">
        <v>1223</v>
      </c>
      <c r="G251" t="s">
        <v>1224</v>
      </c>
      <c r="H251" t="s">
        <v>213</v>
      </c>
      <c r="I251" t="s">
        <v>1192</v>
      </c>
      <c r="J251" t="s">
        <v>85</v>
      </c>
      <c r="K251" t="s">
        <v>291</v>
      </c>
      <c r="L251" t="s">
        <v>1022</v>
      </c>
      <c r="M251" t="s">
        <v>1194</v>
      </c>
      <c r="N251" t="s">
        <v>72</v>
      </c>
      <c r="O251" t="s">
        <v>75</v>
      </c>
      <c r="P251" s="44">
        <v>30570</v>
      </c>
      <c r="Q251" s="42">
        <v>3.718</v>
      </c>
      <c r="R251" s="48">
        <v>1086.2</v>
      </c>
      <c r="T251" s="44">
        <v>1234.567</v>
      </c>
      <c r="U251" s="45">
        <v>0</v>
      </c>
      <c r="V251" s="45">
        <v>5.4213575169690303E-2</v>
      </c>
      <c r="W251" s="45">
        <v>8.2174330607589201E-3</v>
      </c>
    </row>
    <row r="252" spans="1:23" x14ac:dyDescent="0.25">
      <c r="A252">
        <v>424</v>
      </c>
      <c r="B252">
        <v>7229</v>
      </c>
      <c r="C252" t="s">
        <v>1141</v>
      </c>
      <c r="D252" t="s">
        <v>1142</v>
      </c>
      <c r="E252" t="s">
        <v>613</v>
      </c>
      <c r="F252" t="s">
        <v>1229</v>
      </c>
      <c r="G252" t="s">
        <v>1230</v>
      </c>
      <c r="H252" t="s">
        <v>213</v>
      </c>
      <c r="I252" t="s">
        <v>1125</v>
      </c>
      <c r="J252" t="s">
        <v>85</v>
      </c>
      <c r="K252" t="s">
        <v>291</v>
      </c>
      <c r="L252" t="s">
        <v>1022</v>
      </c>
      <c r="M252" t="s">
        <v>1145</v>
      </c>
      <c r="N252" t="s">
        <v>72</v>
      </c>
      <c r="O252" t="s">
        <v>75</v>
      </c>
      <c r="P252" s="44">
        <v>828</v>
      </c>
      <c r="Q252" s="42">
        <v>3.718</v>
      </c>
      <c r="R252" s="48">
        <v>12617</v>
      </c>
      <c r="T252" s="44">
        <v>388.41500000000002</v>
      </c>
      <c r="U252" s="45">
        <v>0</v>
      </c>
      <c r="V252" s="45">
        <v>1.70564737764477E-2</v>
      </c>
      <c r="W252" s="45">
        <v>2.5853382860628999E-3</v>
      </c>
    </row>
    <row r="253" spans="1:23" x14ac:dyDescent="0.25">
      <c r="A253">
        <v>424</v>
      </c>
      <c r="B253">
        <v>7229</v>
      </c>
      <c r="C253" t="s">
        <v>1231</v>
      </c>
      <c r="D253" t="s">
        <v>1232</v>
      </c>
      <c r="E253" t="s">
        <v>613</v>
      </c>
      <c r="F253" t="s">
        <v>1233</v>
      </c>
      <c r="G253" t="s">
        <v>1234</v>
      </c>
      <c r="H253" t="s">
        <v>213</v>
      </c>
      <c r="I253" t="s">
        <v>1125</v>
      </c>
      <c r="J253" t="s">
        <v>85</v>
      </c>
      <c r="K253" t="s">
        <v>291</v>
      </c>
      <c r="L253" t="s">
        <v>1235</v>
      </c>
      <c r="M253" t="s">
        <v>1145</v>
      </c>
      <c r="N253" t="s">
        <v>72</v>
      </c>
      <c r="O253" t="s">
        <v>75</v>
      </c>
      <c r="P253" s="44">
        <v>1107</v>
      </c>
      <c r="Q253" s="42">
        <v>3.718</v>
      </c>
      <c r="R253" s="48">
        <v>4389</v>
      </c>
      <c r="T253" s="44">
        <v>180.64400000000001</v>
      </c>
      <c r="U253" s="45">
        <v>0</v>
      </c>
      <c r="V253" s="45">
        <v>7.9326083500125596E-3</v>
      </c>
      <c r="W253" s="45">
        <v>1.20238663304186E-3</v>
      </c>
    </row>
    <row r="254" spans="1:23" x14ac:dyDescent="0.25">
      <c r="A254">
        <v>424</v>
      </c>
      <c r="B254">
        <v>7229</v>
      </c>
      <c r="C254" t="s">
        <v>1236</v>
      </c>
      <c r="D254" t="s">
        <v>1237</v>
      </c>
      <c r="E254" t="s">
        <v>613</v>
      </c>
      <c r="F254" t="s">
        <v>1283</v>
      </c>
      <c r="G254" t="s">
        <v>1284</v>
      </c>
      <c r="H254" t="s">
        <v>213</v>
      </c>
      <c r="I254" t="s">
        <v>1125</v>
      </c>
      <c r="J254" t="s">
        <v>85</v>
      </c>
      <c r="K254" t="s">
        <v>291</v>
      </c>
      <c r="L254" t="s">
        <v>966</v>
      </c>
      <c r="M254" t="s">
        <v>1145</v>
      </c>
      <c r="N254" t="s">
        <v>72</v>
      </c>
      <c r="O254" t="s">
        <v>75</v>
      </c>
      <c r="P254" s="44">
        <v>2735</v>
      </c>
      <c r="Q254" s="42">
        <v>3.718</v>
      </c>
      <c r="R254" s="48">
        <v>51391</v>
      </c>
      <c r="T254" s="44">
        <v>5225.8119999999999</v>
      </c>
      <c r="U254" s="45">
        <v>3.9999999999999998E-6</v>
      </c>
      <c r="V254" s="45">
        <v>0.229481251803624</v>
      </c>
      <c r="W254" s="45">
        <v>3.4783664783091597E-2</v>
      </c>
    </row>
    <row r="255" spans="1:23" x14ac:dyDescent="0.25">
      <c r="A255">
        <v>424</v>
      </c>
      <c r="B255">
        <v>7229</v>
      </c>
      <c r="C255" t="s">
        <v>1240</v>
      </c>
      <c r="D255" t="s">
        <v>1241</v>
      </c>
      <c r="E255" t="s">
        <v>613</v>
      </c>
      <c r="F255" t="s">
        <v>1242</v>
      </c>
      <c r="G255" t="s">
        <v>1243</v>
      </c>
      <c r="H255" t="s">
        <v>213</v>
      </c>
      <c r="I255" t="s">
        <v>1125</v>
      </c>
      <c r="J255" t="s">
        <v>85</v>
      </c>
      <c r="K255" t="s">
        <v>1244</v>
      </c>
      <c r="L255" t="s">
        <v>966</v>
      </c>
      <c r="M255" t="s">
        <v>1145</v>
      </c>
      <c r="N255" t="s">
        <v>72</v>
      </c>
      <c r="O255" t="s">
        <v>75</v>
      </c>
      <c r="P255" s="44">
        <v>6801</v>
      </c>
      <c r="Q255" s="42">
        <v>3.718</v>
      </c>
      <c r="R255" s="48">
        <v>4371</v>
      </c>
      <c r="T255" s="44">
        <v>1105.2560000000001</v>
      </c>
      <c r="U255" s="45">
        <v>3.0899999999999998E-4</v>
      </c>
      <c r="V255" s="45">
        <v>4.8535151810883699E-2</v>
      </c>
      <c r="W255" s="45">
        <v>7.3567249503716497E-3</v>
      </c>
    </row>
    <row r="256" spans="1:23" x14ac:dyDescent="0.25">
      <c r="A256">
        <v>424</v>
      </c>
      <c r="B256">
        <v>9817</v>
      </c>
      <c r="C256" t="s">
        <v>1121</v>
      </c>
      <c r="D256" t="s">
        <v>1122</v>
      </c>
      <c r="E256" t="s">
        <v>210</v>
      </c>
      <c r="F256" t="s">
        <v>1251</v>
      </c>
      <c r="G256" t="s">
        <v>1252</v>
      </c>
      <c r="H256" t="s">
        <v>213</v>
      </c>
      <c r="I256" t="s">
        <v>1131</v>
      </c>
      <c r="J256" t="s">
        <v>71</v>
      </c>
      <c r="K256" t="s">
        <v>71</v>
      </c>
      <c r="L256" t="s">
        <v>117</v>
      </c>
      <c r="M256" t="s">
        <v>1132</v>
      </c>
      <c r="N256" t="s">
        <v>72</v>
      </c>
      <c r="O256" t="s">
        <v>81</v>
      </c>
      <c r="P256" s="44">
        <v>809</v>
      </c>
      <c r="Q256" s="42">
        <v>1</v>
      </c>
      <c r="R256" s="48">
        <v>3593</v>
      </c>
      <c r="T256" s="44">
        <v>29.067</v>
      </c>
      <c r="U256" s="45">
        <v>1.2999999999999999E-5</v>
      </c>
      <c r="V256" s="45">
        <v>2.7015867896907499E-2</v>
      </c>
      <c r="W256" s="45">
        <v>1.51136499799397E-2</v>
      </c>
    </row>
    <row r="257" spans="1:23" x14ac:dyDescent="0.25">
      <c r="A257">
        <v>424</v>
      </c>
      <c r="B257">
        <v>9817</v>
      </c>
      <c r="C257" t="s">
        <v>1121</v>
      </c>
      <c r="D257" t="s">
        <v>1122</v>
      </c>
      <c r="E257" t="s">
        <v>210</v>
      </c>
      <c r="F257" t="s">
        <v>1291</v>
      </c>
      <c r="G257" t="s">
        <v>1292</v>
      </c>
      <c r="H257" t="s">
        <v>213</v>
      </c>
      <c r="I257" t="s">
        <v>1293</v>
      </c>
      <c r="J257" t="s">
        <v>71</v>
      </c>
      <c r="K257" t="s">
        <v>71</v>
      </c>
      <c r="L257" t="s">
        <v>117</v>
      </c>
      <c r="M257" t="s">
        <v>1294</v>
      </c>
      <c r="N257" t="s">
        <v>72</v>
      </c>
      <c r="O257" t="s">
        <v>81</v>
      </c>
      <c r="P257" s="44">
        <v>16615</v>
      </c>
      <c r="Q257" s="42">
        <v>1</v>
      </c>
      <c r="R257" s="48">
        <v>475.88</v>
      </c>
      <c r="T257" s="44">
        <v>79.066999999999993</v>
      </c>
      <c r="U257" s="45">
        <v>7.8999999999999996E-5</v>
      </c>
      <c r="V257" s="45">
        <v>7.3487078753108795E-2</v>
      </c>
      <c r="W257" s="45">
        <v>4.1111319856945598E-2</v>
      </c>
    </row>
    <row r="258" spans="1:23" x14ac:dyDescent="0.25">
      <c r="A258">
        <v>424</v>
      </c>
      <c r="B258">
        <v>9817</v>
      </c>
      <c r="C258" t="s">
        <v>1121</v>
      </c>
      <c r="D258" t="s">
        <v>1122</v>
      </c>
      <c r="E258" t="s">
        <v>210</v>
      </c>
      <c r="F258" t="s">
        <v>1311</v>
      </c>
      <c r="G258" t="s">
        <v>1312</v>
      </c>
      <c r="H258" t="s">
        <v>213</v>
      </c>
      <c r="I258" t="s">
        <v>1293</v>
      </c>
      <c r="J258" t="s">
        <v>71</v>
      </c>
      <c r="K258" t="s">
        <v>71</v>
      </c>
      <c r="L258" t="s">
        <v>117</v>
      </c>
      <c r="M258" t="s">
        <v>1294</v>
      </c>
      <c r="N258" t="s">
        <v>72</v>
      </c>
      <c r="O258" t="s">
        <v>81</v>
      </c>
      <c r="P258" s="44">
        <v>5136</v>
      </c>
      <c r="Q258" s="42">
        <v>1</v>
      </c>
      <c r="R258" s="48">
        <v>470</v>
      </c>
      <c r="T258" s="44">
        <v>24.138999999999999</v>
      </c>
      <c r="U258" s="45">
        <v>2.0999999999999999E-5</v>
      </c>
      <c r="V258" s="45">
        <v>2.24355157806513E-2</v>
      </c>
      <c r="W258" s="45">
        <v>1.2551235959626201E-2</v>
      </c>
    </row>
    <row r="259" spans="1:23" x14ac:dyDescent="0.25">
      <c r="A259">
        <v>424</v>
      </c>
      <c r="B259">
        <v>9817</v>
      </c>
      <c r="C259" t="s">
        <v>1301</v>
      </c>
      <c r="D259" t="s">
        <v>1302</v>
      </c>
      <c r="E259" t="s">
        <v>210</v>
      </c>
      <c r="F259" t="s">
        <v>1313</v>
      </c>
      <c r="G259" t="s">
        <v>1314</v>
      </c>
      <c r="H259" t="s">
        <v>213</v>
      </c>
      <c r="I259" t="s">
        <v>1293</v>
      </c>
      <c r="J259" t="s">
        <v>71</v>
      </c>
      <c r="K259" t="s">
        <v>71</v>
      </c>
      <c r="L259" t="s">
        <v>117</v>
      </c>
      <c r="M259" t="s">
        <v>1294</v>
      </c>
      <c r="N259" t="s">
        <v>72</v>
      </c>
      <c r="O259" t="s">
        <v>81</v>
      </c>
      <c r="P259" s="44">
        <v>1769</v>
      </c>
      <c r="Q259" s="42">
        <v>1</v>
      </c>
      <c r="R259" s="48">
        <v>3948.95</v>
      </c>
      <c r="T259" s="44">
        <v>69.856999999999999</v>
      </c>
      <c r="U259" s="45">
        <v>1.1400000000000001E-4</v>
      </c>
      <c r="V259" s="45">
        <v>6.4926598828587104E-2</v>
      </c>
      <c r="W259" s="45">
        <v>3.6322278922438597E-2</v>
      </c>
    </row>
    <row r="260" spans="1:23" x14ac:dyDescent="0.25">
      <c r="A260">
        <v>424</v>
      </c>
      <c r="B260">
        <v>9817</v>
      </c>
      <c r="C260" t="s">
        <v>1127</v>
      </c>
      <c r="D260" t="s">
        <v>1128</v>
      </c>
      <c r="E260" t="s">
        <v>210</v>
      </c>
      <c r="F260" t="s">
        <v>1253</v>
      </c>
      <c r="G260" t="s">
        <v>1254</v>
      </c>
      <c r="H260" t="s">
        <v>213</v>
      </c>
      <c r="I260" t="s">
        <v>1125</v>
      </c>
      <c r="J260" t="s">
        <v>71</v>
      </c>
      <c r="K260" t="s">
        <v>1156</v>
      </c>
      <c r="L260" t="s">
        <v>117</v>
      </c>
      <c r="M260" t="s">
        <v>1126</v>
      </c>
      <c r="N260" t="s">
        <v>72</v>
      </c>
      <c r="O260" t="s">
        <v>81</v>
      </c>
      <c r="P260" s="44">
        <v>1061</v>
      </c>
      <c r="Q260" s="42">
        <v>1</v>
      </c>
      <c r="R260" s="48">
        <v>3482</v>
      </c>
      <c r="T260" s="44">
        <v>36.944000000000003</v>
      </c>
      <c r="U260" s="45">
        <v>5.0000000000000002E-5</v>
      </c>
      <c r="V260" s="45">
        <v>3.4336603686563598E-2</v>
      </c>
      <c r="W260" s="45">
        <v>1.9209133372984601E-2</v>
      </c>
    </row>
    <row r="261" spans="1:23" x14ac:dyDescent="0.25">
      <c r="A261">
        <v>424</v>
      </c>
      <c r="B261">
        <v>9817</v>
      </c>
      <c r="C261" t="s">
        <v>1127</v>
      </c>
      <c r="D261" t="s">
        <v>1128</v>
      </c>
      <c r="E261" t="s">
        <v>210</v>
      </c>
      <c r="F261" t="s">
        <v>1315</v>
      </c>
      <c r="G261" t="s">
        <v>1316</v>
      </c>
      <c r="H261" t="s">
        <v>213</v>
      </c>
      <c r="I261" t="s">
        <v>1293</v>
      </c>
      <c r="J261" t="s">
        <v>71</v>
      </c>
      <c r="K261" t="s">
        <v>71</v>
      </c>
      <c r="L261" t="s">
        <v>117</v>
      </c>
      <c r="M261" t="s">
        <v>1294</v>
      </c>
      <c r="N261" t="s">
        <v>72</v>
      </c>
      <c r="O261" t="s">
        <v>81</v>
      </c>
      <c r="P261" s="44">
        <v>20069</v>
      </c>
      <c r="Q261" s="42">
        <v>1</v>
      </c>
      <c r="R261" s="48">
        <v>372.88</v>
      </c>
      <c r="T261" s="44">
        <v>74.832999999999998</v>
      </c>
      <c r="U261" s="45">
        <v>6.4999999999999994E-5</v>
      </c>
      <c r="V261" s="45">
        <v>6.9551741395473196E-2</v>
      </c>
      <c r="W261" s="45">
        <v>3.8909750334794699E-2</v>
      </c>
    </row>
    <row r="262" spans="1:23" x14ac:dyDescent="0.25">
      <c r="A262">
        <v>424</v>
      </c>
      <c r="B262">
        <v>9817</v>
      </c>
      <c r="C262" t="s">
        <v>1127</v>
      </c>
      <c r="D262" t="s">
        <v>1128</v>
      </c>
      <c r="E262" t="s">
        <v>210</v>
      </c>
      <c r="F262" t="s">
        <v>1299</v>
      </c>
      <c r="G262" t="s">
        <v>1300</v>
      </c>
      <c r="H262" t="s">
        <v>213</v>
      </c>
      <c r="I262" t="s">
        <v>1293</v>
      </c>
      <c r="J262" t="s">
        <v>71</v>
      </c>
      <c r="K262" t="s">
        <v>71</v>
      </c>
      <c r="L262" t="s">
        <v>117</v>
      </c>
      <c r="M262" t="s">
        <v>1294</v>
      </c>
      <c r="N262" t="s">
        <v>72</v>
      </c>
      <c r="O262" t="s">
        <v>81</v>
      </c>
      <c r="P262" s="44">
        <v>5966</v>
      </c>
      <c r="Q262" s="42">
        <v>1</v>
      </c>
      <c r="R262" s="48">
        <v>404.49</v>
      </c>
      <c r="T262" s="44">
        <v>24.132000000000001</v>
      </c>
      <c r="U262" s="45">
        <v>2.1999999999999999E-5</v>
      </c>
      <c r="V262" s="45">
        <v>2.2428706273711602E-2</v>
      </c>
      <c r="W262" s="45">
        <v>1.2547426476073299E-2</v>
      </c>
    </row>
    <row r="263" spans="1:23" x14ac:dyDescent="0.25">
      <c r="A263">
        <v>424</v>
      </c>
      <c r="B263">
        <v>9817</v>
      </c>
      <c r="C263" t="s">
        <v>1133</v>
      </c>
      <c r="D263" t="s">
        <v>1134</v>
      </c>
      <c r="E263" t="s">
        <v>210</v>
      </c>
      <c r="F263" t="s">
        <v>1317</v>
      </c>
      <c r="G263" t="s">
        <v>1318</v>
      </c>
      <c r="H263" t="s">
        <v>213</v>
      </c>
      <c r="I263" t="s">
        <v>1131</v>
      </c>
      <c r="J263" t="s">
        <v>71</v>
      </c>
      <c r="K263" t="s">
        <v>71</v>
      </c>
      <c r="L263" t="s">
        <v>117</v>
      </c>
      <c r="M263" t="s">
        <v>1132</v>
      </c>
      <c r="N263" t="s">
        <v>72</v>
      </c>
      <c r="O263" t="s">
        <v>81</v>
      </c>
      <c r="P263" s="44">
        <v>470</v>
      </c>
      <c r="Q263" s="42">
        <v>1</v>
      </c>
      <c r="R263" s="48">
        <v>6632</v>
      </c>
      <c r="T263" s="44">
        <v>31.17</v>
      </c>
      <c r="U263" s="45">
        <v>3.8000000000000002E-5</v>
      </c>
      <c r="V263" s="45">
        <v>2.8970471311775499E-2</v>
      </c>
      <c r="W263" s="45">
        <v>1.6207125561573402E-2</v>
      </c>
    </row>
    <row r="264" spans="1:23" x14ac:dyDescent="0.25">
      <c r="A264">
        <v>424</v>
      </c>
      <c r="B264">
        <v>9817</v>
      </c>
      <c r="C264" t="s">
        <v>1133</v>
      </c>
      <c r="D264" t="s">
        <v>1134</v>
      </c>
      <c r="E264" t="s">
        <v>210</v>
      </c>
      <c r="F264" t="s">
        <v>1135</v>
      </c>
      <c r="G264" t="s">
        <v>1136</v>
      </c>
      <c r="H264" t="s">
        <v>213</v>
      </c>
      <c r="I264" t="s">
        <v>1125</v>
      </c>
      <c r="J264" t="s">
        <v>71</v>
      </c>
      <c r="K264" t="s">
        <v>291</v>
      </c>
      <c r="L264" t="s">
        <v>117</v>
      </c>
      <c r="M264" t="s">
        <v>1126</v>
      </c>
      <c r="N264" t="s">
        <v>72</v>
      </c>
      <c r="O264" t="s">
        <v>81</v>
      </c>
      <c r="P264" s="44">
        <v>451</v>
      </c>
      <c r="Q264" s="42">
        <v>1</v>
      </c>
      <c r="R264" s="48">
        <v>10700</v>
      </c>
      <c r="T264" s="44">
        <v>48.256999999999998</v>
      </c>
      <c r="U264" s="45">
        <v>4.6999999999999997E-5</v>
      </c>
      <c r="V264" s="45">
        <v>4.4851141919652997E-2</v>
      </c>
      <c r="W264" s="45">
        <v>2.50913449370187E-2</v>
      </c>
    </row>
    <row r="265" spans="1:23" x14ac:dyDescent="0.25">
      <c r="A265">
        <v>424</v>
      </c>
      <c r="B265">
        <v>9817</v>
      </c>
      <c r="C265" t="s">
        <v>1121</v>
      </c>
      <c r="D265" t="s">
        <v>1122</v>
      </c>
      <c r="E265" t="s">
        <v>210</v>
      </c>
      <c r="F265" t="s">
        <v>1139</v>
      </c>
      <c r="G265" t="s">
        <v>1140</v>
      </c>
      <c r="H265" t="s">
        <v>213</v>
      </c>
      <c r="I265" t="s">
        <v>1125</v>
      </c>
      <c r="J265" t="s">
        <v>71</v>
      </c>
      <c r="K265" t="s">
        <v>291</v>
      </c>
      <c r="L265" t="s">
        <v>117</v>
      </c>
      <c r="M265" t="s">
        <v>1126</v>
      </c>
      <c r="N265" t="s">
        <v>72</v>
      </c>
      <c r="O265" t="s">
        <v>81</v>
      </c>
      <c r="P265" s="44">
        <v>235</v>
      </c>
      <c r="Q265" s="42">
        <v>1</v>
      </c>
      <c r="R265" s="48">
        <v>3199</v>
      </c>
      <c r="T265" s="44">
        <v>7.5179999999999998</v>
      </c>
      <c r="U265" s="45">
        <v>1.2E-5</v>
      </c>
      <c r="V265" s="45">
        <v>6.98707310964792E-3</v>
      </c>
      <c r="W265" s="45">
        <v>3.9088204667877997E-3</v>
      </c>
    </row>
    <row r="266" spans="1:23" x14ac:dyDescent="0.25">
      <c r="A266">
        <v>424</v>
      </c>
      <c r="B266">
        <v>9817</v>
      </c>
      <c r="C266" t="s">
        <v>1245</v>
      </c>
      <c r="D266" t="s">
        <v>1246</v>
      </c>
      <c r="E266" t="s">
        <v>210</v>
      </c>
      <c r="F266" t="s">
        <v>1319</v>
      </c>
      <c r="G266" t="s">
        <v>1320</v>
      </c>
      <c r="H266" t="s">
        <v>213</v>
      </c>
      <c r="I266" t="s">
        <v>1192</v>
      </c>
      <c r="J266" t="s">
        <v>71</v>
      </c>
      <c r="K266" t="s">
        <v>291</v>
      </c>
      <c r="L266" t="s">
        <v>117</v>
      </c>
      <c r="M266" t="s">
        <v>1194</v>
      </c>
      <c r="N266" t="s">
        <v>72</v>
      </c>
      <c r="O266" t="s">
        <v>81</v>
      </c>
      <c r="P266" s="44">
        <v>371</v>
      </c>
      <c r="Q266" s="42">
        <v>1</v>
      </c>
      <c r="R266" s="48">
        <v>10675</v>
      </c>
      <c r="T266" s="44">
        <v>39.603999999999999</v>
      </c>
      <c r="U266" s="45">
        <v>1.6000000000000001E-4</v>
      </c>
      <c r="V266" s="45">
        <v>3.6809081322324598E-2</v>
      </c>
      <c r="W266" s="45">
        <v>2.0592326454647501E-2</v>
      </c>
    </row>
    <row r="267" spans="1:23" x14ac:dyDescent="0.25">
      <c r="A267">
        <v>424</v>
      </c>
      <c r="B267">
        <v>9817</v>
      </c>
      <c r="C267" t="s">
        <v>1245</v>
      </c>
      <c r="D267" t="s">
        <v>1246</v>
      </c>
      <c r="E267" t="s">
        <v>210</v>
      </c>
      <c r="F267" t="s">
        <v>1261</v>
      </c>
      <c r="G267" t="s">
        <v>1262</v>
      </c>
      <c r="H267" t="s">
        <v>213</v>
      </c>
      <c r="I267" t="s">
        <v>1125</v>
      </c>
      <c r="J267" t="s">
        <v>71</v>
      </c>
      <c r="K267" t="s">
        <v>215</v>
      </c>
      <c r="L267" t="s">
        <v>117</v>
      </c>
      <c r="M267" t="s">
        <v>1126</v>
      </c>
      <c r="N267" t="s">
        <v>72</v>
      </c>
      <c r="O267" t="s">
        <v>81</v>
      </c>
      <c r="P267" s="44">
        <v>7663</v>
      </c>
      <c r="Q267" s="42">
        <v>1</v>
      </c>
      <c r="R267" s="48">
        <v>1457</v>
      </c>
      <c r="T267" s="44">
        <v>111.65</v>
      </c>
      <c r="U267" s="45">
        <v>1.13E-4</v>
      </c>
      <c r="V267" s="45">
        <v>0.10376993925703</v>
      </c>
      <c r="W267" s="45">
        <v>5.8052643222684802E-2</v>
      </c>
    </row>
    <row r="268" spans="1:23" x14ac:dyDescent="0.25">
      <c r="A268">
        <v>424</v>
      </c>
      <c r="B268">
        <v>9817</v>
      </c>
      <c r="C268" t="s">
        <v>1245</v>
      </c>
      <c r="D268" t="s">
        <v>1246</v>
      </c>
      <c r="E268" t="s">
        <v>210</v>
      </c>
      <c r="F268" t="s">
        <v>1321</v>
      </c>
      <c r="G268" t="s">
        <v>1322</v>
      </c>
      <c r="H268" t="s">
        <v>213</v>
      </c>
      <c r="I268" t="s">
        <v>1131</v>
      </c>
      <c r="J268" t="s">
        <v>71</v>
      </c>
      <c r="K268" t="s">
        <v>71</v>
      </c>
      <c r="L268" t="s">
        <v>117</v>
      </c>
      <c r="M268" t="s">
        <v>1132</v>
      </c>
      <c r="N268" t="s">
        <v>72</v>
      </c>
      <c r="O268" t="s">
        <v>81</v>
      </c>
      <c r="P268" s="44">
        <v>110.18</v>
      </c>
      <c r="Q268" s="42">
        <v>1</v>
      </c>
      <c r="R268" s="48">
        <v>22890</v>
      </c>
      <c r="T268" s="44">
        <v>25.22</v>
      </c>
      <c r="U268" s="45">
        <v>3.9999999999999998E-6</v>
      </c>
      <c r="V268" s="45">
        <v>2.3440223369548801E-2</v>
      </c>
      <c r="W268" s="45">
        <v>1.31133055880658E-2</v>
      </c>
    </row>
    <row r="269" spans="1:23" x14ac:dyDescent="0.25">
      <c r="A269">
        <v>424</v>
      </c>
      <c r="B269">
        <v>9817</v>
      </c>
      <c r="C269" t="s">
        <v>1245</v>
      </c>
      <c r="D269" t="s">
        <v>1246</v>
      </c>
      <c r="E269" t="s">
        <v>210</v>
      </c>
      <c r="F269" t="s">
        <v>1323</v>
      </c>
      <c r="G269" t="s">
        <v>1324</v>
      </c>
      <c r="H269" t="s">
        <v>213</v>
      </c>
      <c r="I269" t="s">
        <v>1293</v>
      </c>
      <c r="J269" t="s">
        <v>71</v>
      </c>
      <c r="K269" t="s">
        <v>71</v>
      </c>
      <c r="L269" t="s">
        <v>117</v>
      </c>
      <c r="M269" t="s">
        <v>1294</v>
      </c>
      <c r="N269" t="s">
        <v>72</v>
      </c>
      <c r="O269" t="s">
        <v>81</v>
      </c>
      <c r="P269" s="44">
        <v>598</v>
      </c>
      <c r="Q269" s="42">
        <v>1</v>
      </c>
      <c r="R269" s="48">
        <v>4036.28</v>
      </c>
      <c r="T269" s="44">
        <v>24.137</v>
      </c>
      <c r="U269" s="45">
        <v>1.1E-5</v>
      </c>
      <c r="V269" s="45">
        <v>2.24334286694696E-2</v>
      </c>
      <c r="W269" s="45">
        <v>1.25500683544251E-2</v>
      </c>
    </row>
    <row r="270" spans="1:23" x14ac:dyDescent="0.25">
      <c r="A270">
        <v>424</v>
      </c>
      <c r="B270">
        <v>9817</v>
      </c>
      <c r="C270" t="s">
        <v>1245</v>
      </c>
      <c r="D270" t="s">
        <v>1246</v>
      </c>
      <c r="E270" t="s">
        <v>210</v>
      </c>
      <c r="F270" t="s">
        <v>1305</v>
      </c>
      <c r="G270" t="s">
        <v>1306</v>
      </c>
      <c r="H270" t="s">
        <v>213</v>
      </c>
      <c r="I270" t="s">
        <v>1131</v>
      </c>
      <c r="J270" t="s">
        <v>71</v>
      </c>
      <c r="K270" t="s">
        <v>71</v>
      </c>
      <c r="L270" t="s">
        <v>117</v>
      </c>
      <c r="M270" t="s">
        <v>1132</v>
      </c>
      <c r="N270" t="s">
        <v>72</v>
      </c>
      <c r="O270" t="s">
        <v>81</v>
      </c>
      <c r="P270" s="44">
        <v>35</v>
      </c>
      <c r="Q270" s="42">
        <v>1</v>
      </c>
      <c r="R270" s="48">
        <v>31020</v>
      </c>
      <c r="T270" s="44">
        <v>10.856999999999999</v>
      </c>
      <c r="U270" s="45">
        <v>1.9000000000000001E-5</v>
      </c>
      <c r="V270" s="45">
        <v>1.0090740158353701E-2</v>
      </c>
      <c r="W270" s="45">
        <v>5.6451236500655397E-3</v>
      </c>
    </row>
    <row r="271" spans="1:23" x14ac:dyDescent="0.25">
      <c r="A271">
        <v>424</v>
      </c>
      <c r="B271">
        <v>9817</v>
      </c>
      <c r="C271" t="s">
        <v>1150</v>
      </c>
      <c r="D271" t="s">
        <v>1151</v>
      </c>
      <c r="E271" t="s">
        <v>613</v>
      </c>
      <c r="F271" t="s">
        <v>1152</v>
      </c>
      <c r="G271" t="s">
        <v>1153</v>
      </c>
      <c r="H271" t="s">
        <v>213</v>
      </c>
      <c r="I271" t="s">
        <v>1125</v>
      </c>
      <c r="J271" t="s">
        <v>85</v>
      </c>
      <c r="K271" t="s">
        <v>990</v>
      </c>
      <c r="L271" t="s">
        <v>936</v>
      </c>
      <c r="M271" t="s">
        <v>1145</v>
      </c>
      <c r="N271" t="s">
        <v>72</v>
      </c>
      <c r="O271" t="s">
        <v>75</v>
      </c>
      <c r="P271" s="44">
        <v>135</v>
      </c>
      <c r="Q271" s="42">
        <v>3.718</v>
      </c>
      <c r="R271" s="48">
        <v>13173.4</v>
      </c>
      <c r="T271" s="44">
        <v>66.120999999999995</v>
      </c>
      <c r="U271" s="45">
        <v>0</v>
      </c>
      <c r="V271" s="45">
        <v>6.1454574798640499E-2</v>
      </c>
      <c r="W271" s="45">
        <v>3.4379903570634397E-2</v>
      </c>
    </row>
    <row r="272" spans="1:23" x14ac:dyDescent="0.25">
      <c r="A272">
        <v>424</v>
      </c>
      <c r="B272">
        <v>9817</v>
      </c>
      <c r="C272" t="s">
        <v>1163</v>
      </c>
      <c r="D272" t="s">
        <v>1164</v>
      </c>
      <c r="E272" t="s">
        <v>613</v>
      </c>
      <c r="F272" t="s">
        <v>1165</v>
      </c>
      <c r="G272" t="s">
        <v>1166</v>
      </c>
      <c r="H272" t="s">
        <v>213</v>
      </c>
      <c r="I272" t="s">
        <v>1125</v>
      </c>
      <c r="J272" t="s">
        <v>85</v>
      </c>
      <c r="L272" t="s">
        <v>286</v>
      </c>
      <c r="M272" t="s">
        <v>1145</v>
      </c>
      <c r="N272" t="s">
        <v>72</v>
      </c>
      <c r="O272" t="s">
        <v>77</v>
      </c>
      <c r="P272" s="44">
        <v>17</v>
      </c>
      <c r="Q272" s="42">
        <v>4.0218999999999996</v>
      </c>
      <c r="R272" s="48">
        <v>9495</v>
      </c>
      <c r="T272" s="44">
        <v>6.492</v>
      </c>
      <c r="U272" s="45">
        <v>0</v>
      </c>
      <c r="V272" s="45">
        <v>6.0337643373481603E-3</v>
      </c>
      <c r="W272" s="45">
        <v>3.3755051884363802E-3</v>
      </c>
    </row>
    <row r="273" spans="1:23" x14ac:dyDescent="0.25">
      <c r="A273">
        <v>424</v>
      </c>
      <c r="B273">
        <v>9817</v>
      </c>
      <c r="C273" t="s">
        <v>1141</v>
      </c>
      <c r="D273" t="s">
        <v>1142</v>
      </c>
      <c r="E273" t="s">
        <v>613</v>
      </c>
      <c r="F273" t="s">
        <v>1177</v>
      </c>
      <c r="G273" t="s">
        <v>1178</v>
      </c>
      <c r="H273" t="s">
        <v>213</v>
      </c>
      <c r="I273" t="s">
        <v>1125</v>
      </c>
      <c r="J273" t="s">
        <v>85</v>
      </c>
      <c r="K273" t="s">
        <v>291</v>
      </c>
      <c r="L273" t="s">
        <v>966</v>
      </c>
      <c r="M273" t="s">
        <v>1145</v>
      </c>
      <c r="N273" t="s">
        <v>72</v>
      </c>
      <c r="O273" t="s">
        <v>75</v>
      </c>
      <c r="P273" s="44">
        <v>65</v>
      </c>
      <c r="Q273" s="42">
        <v>3.718</v>
      </c>
      <c r="R273" s="48">
        <v>14601</v>
      </c>
      <c r="T273" s="44">
        <v>35.286000000000001</v>
      </c>
      <c r="U273" s="45">
        <v>0</v>
      </c>
      <c r="V273" s="45">
        <v>3.2795822575836998E-2</v>
      </c>
      <c r="W273" s="45">
        <v>1.8347164899786401E-2</v>
      </c>
    </row>
    <row r="274" spans="1:23" x14ac:dyDescent="0.25">
      <c r="A274">
        <v>424</v>
      </c>
      <c r="B274">
        <v>9817</v>
      </c>
      <c r="C274" t="s">
        <v>1179</v>
      </c>
      <c r="D274" t="s">
        <v>1180</v>
      </c>
      <c r="E274" t="s">
        <v>613</v>
      </c>
      <c r="F274" t="s">
        <v>1185</v>
      </c>
      <c r="G274" t="s">
        <v>1186</v>
      </c>
      <c r="H274" t="s">
        <v>213</v>
      </c>
      <c r="I274" t="s">
        <v>1125</v>
      </c>
      <c r="J274" t="s">
        <v>85</v>
      </c>
      <c r="K274" t="s">
        <v>604</v>
      </c>
      <c r="L274" t="s">
        <v>1187</v>
      </c>
      <c r="M274" t="s">
        <v>1145</v>
      </c>
      <c r="N274" t="s">
        <v>72</v>
      </c>
      <c r="O274" t="s">
        <v>79</v>
      </c>
      <c r="P274" s="44">
        <v>545</v>
      </c>
      <c r="Q274" s="42">
        <v>4.8108000000000004</v>
      </c>
      <c r="R274" s="48">
        <v>838.1</v>
      </c>
      <c r="T274" s="44">
        <v>21.974</v>
      </c>
      <c r="U274" s="45">
        <v>9.9999999999999995E-7</v>
      </c>
      <c r="V274" s="45">
        <v>2.0423154859562202E-2</v>
      </c>
      <c r="W274" s="45">
        <v>1.14254487478028E-2</v>
      </c>
    </row>
    <row r="275" spans="1:23" x14ac:dyDescent="0.25">
      <c r="A275">
        <v>424</v>
      </c>
      <c r="B275">
        <v>9817</v>
      </c>
      <c r="C275" t="s">
        <v>1179</v>
      </c>
      <c r="D275" t="s">
        <v>1180</v>
      </c>
      <c r="E275" t="s">
        <v>613</v>
      </c>
      <c r="F275" t="s">
        <v>1325</v>
      </c>
      <c r="G275" t="s">
        <v>1326</v>
      </c>
      <c r="H275" t="s">
        <v>213</v>
      </c>
      <c r="I275" t="s">
        <v>1125</v>
      </c>
      <c r="J275" t="s">
        <v>85</v>
      </c>
      <c r="K275" t="s">
        <v>1156</v>
      </c>
      <c r="L275" t="s">
        <v>936</v>
      </c>
      <c r="M275" t="s">
        <v>1145</v>
      </c>
      <c r="N275" t="s">
        <v>72</v>
      </c>
      <c r="O275" t="s">
        <v>75</v>
      </c>
      <c r="P275" s="44">
        <v>21</v>
      </c>
      <c r="Q275" s="42">
        <v>3.718</v>
      </c>
      <c r="R275" s="48">
        <v>7400</v>
      </c>
      <c r="T275" s="44">
        <v>5.7779999999999996</v>
      </c>
      <c r="U275" s="45">
        <v>0</v>
      </c>
      <c r="V275" s="45">
        <v>5.3699913370370599E-3</v>
      </c>
      <c r="W275" s="45">
        <v>3.0041666539455101E-3</v>
      </c>
    </row>
    <row r="276" spans="1:23" x14ac:dyDescent="0.25">
      <c r="A276">
        <v>424</v>
      </c>
      <c r="B276">
        <v>9817</v>
      </c>
      <c r="C276" t="s">
        <v>1179</v>
      </c>
      <c r="D276" t="s">
        <v>1180</v>
      </c>
      <c r="E276" t="s">
        <v>613</v>
      </c>
      <c r="F276" t="s">
        <v>1327</v>
      </c>
      <c r="G276" t="s">
        <v>1328</v>
      </c>
      <c r="H276" t="s">
        <v>213</v>
      </c>
      <c r="I276" t="s">
        <v>1125</v>
      </c>
      <c r="J276" t="s">
        <v>85</v>
      </c>
      <c r="K276" t="s">
        <v>215</v>
      </c>
      <c r="L276" t="s">
        <v>936</v>
      </c>
      <c r="M276" t="s">
        <v>1145</v>
      </c>
      <c r="N276" t="s">
        <v>72</v>
      </c>
      <c r="O276" t="s">
        <v>75</v>
      </c>
      <c r="P276" s="44">
        <v>75</v>
      </c>
      <c r="Q276" s="42">
        <v>3.718</v>
      </c>
      <c r="R276" s="48">
        <v>5545</v>
      </c>
      <c r="T276" s="44">
        <v>15.462</v>
      </c>
      <c r="U276" s="45">
        <v>9.9999999999999995E-7</v>
      </c>
      <c r="V276" s="45">
        <v>1.43709468937599E-2</v>
      </c>
      <c r="W276" s="45">
        <v>8.0396255290192398E-3</v>
      </c>
    </row>
    <row r="277" spans="1:23" x14ac:dyDescent="0.25">
      <c r="A277">
        <v>424</v>
      </c>
      <c r="B277">
        <v>9817</v>
      </c>
      <c r="C277" t="s">
        <v>1179</v>
      </c>
      <c r="D277" t="s">
        <v>1180</v>
      </c>
      <c r="E277" t="s">
        <v>613</v>
      </c>
      <c r="F277" t="s">
        <v>1197</v>
      </c>
      <c r="G277" t="s">
        <v>1198</v>
      </c>
      <c r="H277" t="s">
        <v>213</v>
      </c>
      <c r="I277" t="s">
        <v>1125</v>
      </c>
      <c r="J277" t="s">
        <v>85</v>
      </c>
      <c r="K277" t="s">
        <v>1199</v>
      </c>
      <c r="L277" t="s">
        <v>1200</v>
      </c>
      <c r="M277" t="s">
        <v>1145</v>
      </c>
      <c r="N277" t="s">
        <v>72</v>
      </c>
      <c r="O277" t="s">
        <v>77</v>
      </c>
      <c r="P277" s="44">
        <v>93</v>
      </c>
      <c r="Q277" s="42">
        <v>4.0218999999999996</v>
      </c>
      <c r="R277" s="48">
        <v>9391</v>
      </c>
      <c r="T277" s="44">
        <v>35.125999999999998</v>
      </c>
      <c r="U277" s="45">
        <v>1.9000000000000001E-5</v>
      </c>
      <c r="V277" s="45">
        <v>3.26466965459183E-2</v>
      </c>
      <c r="W277" s="45">
        <v>1.8263738425105199E-2</v>
      </c>
    </row>
    <row r="278" spans="1:23" x14ac:dyDescent="0.25">
      <c r="A278">
        <v>424</v>
      </c>
      <c r="B278">
        <v>9817</v>
      </c>
      <c r="C278" t="s">
        <v>1146</v>
      </c>
      <c r="D278" t="s">
        <v>1147</v>
      </c>
      <c r="E278" t="s">
        <v>613</v>
      </c>
      <c r="F278" t="s">
        <v>1275</v>
      </c>
      <c r="G278" t="s">
        <v>1276</v>
      </c>
      <c r="H278" t="s">
        <v>213</v>
      </c>
      <c r="I278" t="s">
        <v>1125</v>
      </c>
      <c r="J278" t="s">
        <v>85</v>
      </c>
      <c r="K278" t="s">
        <v>291</v>
      </c>
      <c r="L278" t="s">
        <v>1187</v>
      </c>
      <c r="M278" t="s">
        <v>1145</v>
      </c>
      <c r="N278" t="s">
        <v>72</v>
      </c>
      <c r="O278" t="s">
        <v>75</v>
      </c>
      <c r="P278" s="44">
        <v>36</v>
      </c>
      <c r="Q278" s="42">
        <v>3.718</v>
      </c>
      <c r="R278" s="48">
        <v>109783</v>
      </c>
      <c r="T278" s="44">
        <v>146.94200000000001</v>
      </c>
      <c r="U278" s="45">
        <v>6.9999999999999999E-6</v>
      </c>
      <c r="V278" s="45">
        <v>0.13657152717079701</v>
      </c>
      <c r="W278" s="45">
        <v>7.6403033460254899E-2</v>
      </c>
    </row>
    <row r="279" spans="1:23" x14ac:dyDescent="0.25">
      <c r="A279">
        <v>424</v>
      </c>
      <c r="B279">
        <v>9817</v>
      </c>
      <c r="C279" t="s">
        <v>1141</v>
      </c>
      <c r="D279" t="s">
        <v>1142</v>
      </c>
      <c r="E279" t="s">
        <v>613</v>
      </c>
      <c r="F279" t="s">
        <v>1329</v>
      </c>
      <c r="G279" t="s">
        <v>1330</v>
      </c>
      <c r="H279" t="s">
        <v>213</v>
      </c>
      <c r="I279" t="s">
        <v>1125</v>
      </c>
      <c r="J279" t="s">
        <v>85</v>
      </c>
      <c r="K279" t="s">
        <v>291</v>
      </c>
      <c r="L279" t="s">
        <v>966</v>
      </c>
      <c r="M279" t="s">
        <v>1145</v>
      </c>
      <c r="N279" t="s">
        <v>72</v>
      </c>
      <c r="O279" t="s">
        <v>75</v>
      </c>
      <c r="P279" s="44">
        <v>9</v>
      </c>
      <c r="Q279" s="42">
        <v>3.718</v>
      </c>
      <c r="R279" s="48">
        <v>55939</v>
      </c>
      <c r="S279" s="59">
        <v>1.0999999999999999E-2</v>
      </c>
      <c r="T279" s="44">
        <v>18.760999999999999</v>
      </c>
      <c r="U279" s="45">
        <v>0</v>
      </c>
      <c r="V279" s="45">
        <v>1.7436615135274801E-2</v>
      </c>
      <c r="W279" s="45">
        <v>9.7546708103214003E-3</v>
      </c>
    </row>
    <row r="280" spans="1:23" x14ac:dyDescent="0.25">
      <c r="A280">
        <v>424</v>
      </c>
      <c r="B280">
        <v>9817</v>
      </c>
      <c r="C280" t="s">
        <v>1236</v>
      </c>
      <c r="D280" t="s">
        <v>1237</v>
      </c>
      <c r="E280" t="s">
        <v>613</v>
      </c>
      <c r="F280" t="s">
        <v>1331</v>
      </c>
      <c r="G280" t="s">
        <v>1332</v>
      </c>
      <c r="H280" t="s">
        <v>213</v>
      </c>
      <c r="I280" t="s">
        <v>1125</v>
      </c>
      <c r="J280" t="s">
        <v>85</v>
      </c>
      <c r="K280" t="s">
        <v>215</v>
      </c>
      <c r="L280" t="s">
        <v>966</v>
      </c>
      <c r="M280" t="s">
        <v>1145</v>
      </c>
      <c r="N280" t="s">
        <v>72</v>
      </c>
      <c r="O280" t="s">
        <v>75</v>
      </c>
      <c r="P280" s="44">
        <v>67</v>
      </c>
      <c r="Q280" s="42">
        <v>3.718</v>
      </c>
      <c r="R280" s="48">
        <v>6066</v>
      </c>
      <c r="T280" s="44">
        <v>15.111000000000001</v>
      </c>
      <c r="U280" s="45">
        <v>0</v>
      </c>
      <c r="V280" s="45">
        <v>1.40442896987212E-2</v>
      </c>
      <c r="W280" s="45">
        <v>7.8568817234867701E-3</v>
      </c>
    </row>
    <row r="281" spans="1:23" x14ac:dyDescent="0.25">
      <c r="A281">
        <v>424</v>
      </c>
      <c r="B281">
        <v>9817</v>
      </c>
      <c r="C281" t="s">
        <v>1236</v>
      </c>
      <c r="D281" t="s">
        <v>1237</v>
      </c>
      <c r="E281" t="s">
        <v>613</v>
      </c>
      <c r="F281" t="s">
        <v>1283</v>
      </c>
      <c r="G281" t="s">
        <v>1284</v>
      </c>
      <c r="H281" t="s">
        <v>213</v>
      </c>
      <c r="I281" t="s">
        <v>1125</v>
      </c>
      <c r="J281" t="s">
        <v>85</v>
      </c>
      <c r="K281" t="s">
        <v>291</v>
      </c>
      <c r="L281" t="s">
        <v>966</v>
      </c>
      <c r="M281" t="s">
        <v>1145</v>
      </c>
      <c r="N281" t="s">
        <v>72</v>
      </c>
      <c r="O281" t="s">
        <v>75</v>
      </c>
      <c r="P281" s="44">
        <v>14</v>
      </c>
      <c r="Q281" s="42">
        <v>3.718</v>
      </c>
      <c r="R281" s="48">
        <v>51391</v>
      </c>
      <c r="T281" s="44">
        <v>26.75</v>
      </c>
      <c r="U281" s="45">
        <v>0</v>
      </c>
      <c r="V281" s="45">
        <v>2.4862092324474901E-2</v>
      </c>
      <c r="W281" s="45">
        <v>1.39087503164787E-2</v>
      </c>
    </row>
    <row r="282" spans="1:23" x14ac:dyDescent="0.25">
      <c r="A282">
        <v>424</v>
      </c>
      <c r="B282">
        <v>9817</v>
      </c>
      <c r="C282" t="s">
        <v>1240</v>
      </c>
      <c r="D282" t="s">
        <v>1241</v>
      </c>
      <c r="E282" t="s">
        <v>613</v>
      </c>
      <c r="F282" t="s">
        <v>1289</v>
      </c>
      <c r="G282" t="s">
        <v>1290</v>
      </c>
      <c r="H282" t="s">
        <v>213</v>
      </c>
      <c r="I282" t="s">
        <v>1125</v>
      </c>
      <c r="J282" t="s">
        <v>85</v>
      </c>
      <c r="K282" t="s">
        <v>215</v>
      </c>
      <c r="L282" t="s">
        <v>966</v>
      </c>
      <c r="M282" t="s">
        <v>1145</v>
      </c>
      <c r="N282" t="s">
        <v>72</v>
      </c>
      <c r="O282" t="s">
        <v>75</v>
      </c>
      <c r="P282" s="44">
        <v>398</v>
      </c>
      <c r="Q282" s="42">
        <v>3.718</v>
      </c>
      <c r="R282" s="48">
        <v>3087</v>
      </c>
      <c r="T282" s="44">
        <v>45.68</v>
      </c>
      <c r="U282" s="45">
        <v>5.0000000000000004E-6</v>
      </c>
      <c r="V282" s="45">
        <v>4.2456312589822999E-2</v>
      </c>
      <c r="W282" s="45">
        <v>2.375159111564E-2</v>
      </c>
    </row>
    <row r="283" spans="1:23" x14ac:dyDescent="0.25">
      <c r="A283">
        <v>424</v>
      </c>
      <c r="B283">
        <v>15416</v>
      </c>
      <c r="C283" t="s">
        <v>1121</v>
      </c>
      <c r="D283" t="s">
        <v>1122</v>
      </c>
      <c r="E283" t="s">
        <v>210</v>
      </c>
      <c r="F283" t="s">
        <v>1309</v>
      </c>
      <c r="G283" t="s">
        <v>1310</v>
      </c>
      <c r="H283" t="s">
        <v>213</v>
      </c>
      <c r="I283" t="s">
        <v>1125</v>
      </c>
      <c r="J283" t="s">
        <v>71</v>
      </c>
      <c r="K283" t="s">
        <v>291</v>
      </c>
      <c r="L283" t="s">
        <v>117</v>
      </c>
      <c r="M283" t="s">
        <v>1126</v>
      </c>
      <c r="N283" t="s">
        <v>72</v>
      </c>
      <c r="O283" t="s">
        <v>81</v>
      </c>
      <c r="P283" s="44">
        <v>9622</v>
      </c>
      <c r="Q283" s="42">
        <v>1</v>
      </c>
      <c r="R283" s="48">
        <v>8809</v>
      </c>
      <c r="T283" s="44">
        <v>847.60199999999998</v>
      </c>
      <c r="U283" s="45">
        <v>1.1E-4</v>
      </c>
      <c r="V283" s="45">
        <v>0.11085124177682</v>
      </c>
      <c r="W283" s="45">
        <v>0.10627245745052</v>
      </c>
    </row>
    <row r="284" spans="1:23" x14ac:dyDescent="0.25">
      <c r="A284">
        <v>424</v>
      </c>
      <c r="B284">
        <v>15416</v>
      </c>
      <c r="C284" t="s">
        <v>1127</v>
      </c>
      <c r="D284" t="s">
        <v>1128</v>
      </c>
      <c r="E284" t="s">
        <v>210</v>
      </c>
      <c r="F284" t="s">
        <v>1257</v>
      </c>
      <c r="G284" t="s">
        <v>1258</v>
      </c>
      <c r="H284" t="s">
        <v>213</v>
      </c>
      <c r="I284" t="s">
        <v>1125</v>
      </c>
      <c r="J284" t="s">
        <v>71</v>
      </c>
      <c r="K284" t="s">
        <v>291</v>
      </c>
      <c r="L284" t="s">
        <v>117</v>
      </c>
      <c r="M284" t="s">
        <v>1126</v>
      </c>
      <c r="N284" t="s">
        <v>72</v>
      </c>
      <c r="O284" t="s">
        <v>81</v>
      </c>
      <c r="P284" s="44">
        <v>31222</v>
      </c>
      <c r="Q284" s="42">
        <v>1</v>
      </c>
      <c r="R284" s="48">
        <v>2404</v>
      </c>
      <c r="T284" s="44">
        <v>750.577</v>
      </c>
      <c r="U284" s="45">
        <v>8.2000000000000001E-5</v>
      </c>
      <c r="V284" s="45">
        <v>9.8162086875931004E-2</v>
      </c>
      <c r="W284" s="45">
        <v>9.4107436538956493E-2</v>
      </c>
    </row>
    <row r="285" spans="1:23" x14ac:dyDescent="0.25">
      <c r="A285">
        <v>424</v>
      </c>
      <c r="B285">
        <v>15416</v>
      </c>
      <c r="C285" t="s">
        <v>1245</v>
      </c>
      <c r="D285" t="s">
        <v>1246</v>
      </c>
      <c r="E285" t="s">
        <v>210</v>
      </c>
      <c r="F285" t="s">
        <v>1263</v>
      </c>
      <c r="G285" t="s">
        <v>1264</v>
      </c>
      <c r="H285" t="s">
        <v>213</v>
      </c>
      <c r="I285" t="s">
        <v>1125</v>
      </c>
      <c r="J285" t="s">
        <v>71</v>
      </c>
      <c r="K285" t="s">
        <v>291</v>
      </c>
      <c r="L285" t="s">
        <v>117</v>
      </c>
      <c r="M285" t="s">
        <v>1126</v>
      </c>
      <c r="N285" t="s">
        <v>72</v>
      </c>
      <c r="O285" t="s">
        <v>81</v>
      </c>
      <c r="P285" s="44">
        <v>3311</v>
      </c>
      <c r="Q285" s="42">
        <v>1</v>
      </c>
      <c r="R285" s="48">
        <v>22550</v>
      </c>
      <c r="T285" s="44">
        <v>746.63</v>
      </c>
      <c r="U285" s="45">
        <v>1.13E-4</v>
      </c>
      <c r="V285" s="45">
        <v>9.7645970663551199E-2</v>
      </c>
      <c r="W285" s="45">
        <v>9.3612638850265897E-2</v>
      </c>
    </row>
    <row r="286" spans="1:23" x14ac:dyDescent="0.25">
      <c r="A286">
        <v>424</v>
      </c>
      <c r="B286">
        <v>15416</v>
      </c>
      <c r="C286" t="s">
        <v>1179</v>
      </c>
      <c r="D286" t="s">
        <v>1180</v>
      </c>
      <c r="E286" t="s">
        <v>613</v>
      </c>
      <c r="F286" t="s">
        <v>1271</v>
      </c>
      <c r="G286" t="s">
        <v>1272</v>
      </c>
      <c r="H286" t="s">
        <v>213</v>
      </c>
      <c r="I286" t="s">
        <v>1125</v>
      </c>
      <c r="J286" t="s">
        <v>85</v>
      </c>
      <c r="K286" t="s">
        <v>291</v>
      </c>
      <c r="L286" t="s">
        <v>966</v>
      </c>
      <c r="M286" t="s">
        <v>1145</v>
      </c>
      <c r="N286" t="s">
        <v>72</v>
      </c>
      <c r="O286" t="s">
        <v>75</v>
      </c>
      <c r="P286" s="44">
        <v>648</v>
      </c>
      <c r="Q286" s="42">
        <v>3.718</v>
      </c>
      <c r="R286" s="48">
        <v>56190</v>
      </c>
      <c r="T286" s="44">
        <v>1353.7650000000001</v>
      </c>
      <c r="U286" s="45">
        <v>9.9999999999999995E-7</v>
      </c>
      <c r="V286" s="45">
        <v>0.177048406937304</v>
      </c>
      <c r="W286" s="45">
        <v>0.16973530464195</v>
      </c>
    </row>
    <row r="287" spans="1:23" x14ac:dyDescent="0.25">
      <c r="A287">
        <v>424</v>
      </c>
      <c r="B287">
        <v>15416</v>
      </c>
      <c r="C287" t="s">
        <v>1203</v>
      </c>
      <c r="D287" t="s">
        <v>1151</v>
      </c>
      <c r="E287" t="s">
        <v>613</v>
      </c>
      <c r="F287" t="s">
        <v>1273</v>
      </c>
      <c r="G287" t="s">
        <v>1274</v>
      </c>
      <c r="H287" t="s">
        <v>213</v>
      </c>
      <c r="I287" t="s">
        <v>1125</v>
      </c>
      <c r="J287" t="s">
        <v>85</v>
      </c>
      <c r="K287" t="s">
        <v>291</v>
      </c>
      <c r="L287" t="s">
        <v>1187</v>
      </c>
      <c r="M287" t="s">
        <v>1145</v>
      </c>
      <c r="N287" t="s">
        <v>72</v>
      </c>
      <c r="O287" t="s">
        <v>75</v>
      </c>
      <c r="P287" s="44">
        <v>878</v>
      </c>
      <c r="Q287" s="42">
        <v>3.718</v>
      </c>
      <c r="R287" s="48">
        <v>39730</v>
      </c>
      <c r="T287" s="44">
        <v>1296.9480000000001</v>
      </c>
      <c r="U287" s="45">
        <v>9.8999999999999994E-5</v>
      </c>
      <c r="V287" s="45">
        <v>0.16961765955811201</v>
      </c>
      <c r="W287" s="45">
        <v>0.16261148922930299</v>
      </c>
    </row>
    <row r="288" spans="1:23" x14ac:dyDescent="0.25">
      <c r="A288">
        <v>424</v>
      </c>
      <c r="B288">
        <v>15416</v>
      </c>
      <c r="C288" t="s">
        <v>1146</v>
      </c>
      <c r="D288" t="s">
        <v>1147</v>
      </c>
      <c r="E288" t="s">
        <v>613</v>
      </c>
      <c r="F288" t="s">
        <v>1275</v>
      </c>
      <c r="G288" t="s">
        <v>1276</v>
      </c>
      <c r="H288" t="s">
        <v>213</v>
      </c>
      <c r="I288" t="s">
        <v>1125</v>
      </c>
      <c r="J288" t="s">
        <v>85</v>
      </c>
      <c r="K288" t="s">
        <v>291</v>
      </c>
      <c r="L288" t="s">
        <v>1187</v>
      </c>
      <c r="M288" t="s">
        <v>1145</v>
      </c>
      <c r="N288" t="s">
        <v>72</v>
      </c>
      <c r="O288" t="s">
        <v>75</v>
      </c>
      <c r="P288" s="44">
        <v>318</v>
      </c>
      <c r="Q288" s="42">
        <v>3.718</v>
      </c>
      <c r="R288" s="48">
        <v>109783</v>
      </c>
      <c r="T288" s="44">
        <v>1297.991</v>
      </c>
      <c r="U288" s="45">
        <v>6.3E-5</v>
      </c>
      <c r="V288" s="45">
        <v>0.169754071621466</v>
      </c>
      <c r="W288" s="45">
        <v>0.16274226670158201</v>
      </c>
    </row>
    <row r="289" spans="1:23" x14ac:dyDescent="0.25">
      <c r="A289">
        <v>424</v>
      </c>
      <c r="B289">
        <v>15416</v>
      </c>
      <c r="C289" t="s">
        <v>1236</v>
      </c>
      <c r="D289" t="s">
        <v>1237</v>
      </c>
      <c r="E289" t="s">
        <v>613</v>
      </c>
      <c r="F289" t="s">
        <v>1283</v>
      </c>
      <c r="G289" t="s">
        <v>1284</v>
      </c>
      <c r="H289" t="s">
        <v>213</v>
      </c>
      <c r="I289" t="s">
        <v>1125</v>
      </c>
      <c r="J289" t="s">
        <v>85</v>
      </c>
      <c r="K289" t="s">
        <v>291</v>
      </c>
      <c r="L289" t="s">
        <v>966</v>
      </c>
      <c r="M289" t="s">
        <v>1145</v>
      </c>
      <c r="N289" t="s">
        <v>72</v>
      </c>
      <c r="O289" t="s">
        <v>75</v>
      </c>
      <c r="P289" s="44">
        <v>708</v>
      </c>
      <c r="Q289" s="42">
        <v>3.718</v>
      </c>
      <c r="R289" s="48">
        <v>51391</v>
      </c>
      <c r="T289" s="44">
        <v>1352.788</v>
      </c>
      <c r="U289" s="45">
        <v>9.9999999999999995E-7</v>
      </c>
      <c r="V289" s="45">
        <v>0.17692056256681499</v>
      </c>
      <c r="W289" s="45">
        <v>0.16961274096828</v>
      </c>
    </row>
    <row r="290" spans="1:23" x14ac:dyDescent="0.25">
      <c r="A290">
        <v>969</v>
      </c>
      <c r="B290">
        <v>969</v>
      </c>
      <c r="C290" t="s">
        <v>1133</v>
      </c>
      <c r="D290" t="s">
        <v>1134</v>
      </c>
      <c r="E290" t="s">
        <v>210</v>
      </c>
      <c r="F290" t="s">
        <v>1135</v>
      </c>
      <c r="G290" t="s">
        <v>1136</v>
      </c>
      <c r="H290" t="s">
        <v>213</v>
      </c>
      <c r="I290" t="s">
        <v>1125</v>
      </c>
      <c r="J290" t="s">
        <v>71</v>
      </c>
      <c r="K290" t="s">
        <v>291</v>
      </c>
      <c r="L290" t="s">
        <v>117</v>
      </c>
      <c r="M290" t="s">
        <v>1126</v>
      </c>
      <c r="N290" t="s">
        <v>72</v>
      </c>
      <c r="O290" t="s">
        <v>81</v>
      </c>
      <c r="P290" s="44">
        <v>5044</v>
      </c>
      <c r="Q290" s="42">
        <v>1</v>
      </c>
      <c r="R290" s="48">
        <v>10700</v>
      </c>
      <c r="T290" s="44">
        <v>539.70799999999997</v>
      </c>
      <c r="U290" s="45">
        <v>5.31E-4</v>
      </c>
      <c r="V290" s="45">
        <v>2.7841025032313699E-2</v>
      </c>
      <c r="W290" s="45">
        <v>7.3670786186181801E-3</v>
      </c>
    </row>
    <row r="291" spans="1:23" x14ac:dyDescent="0.25">
      <c r="A291">
        <v>969</v>
      </c>
      <c r="B291">
        <v>969</v>
      </c>
      <c r="C291" t="s">
        <v>1121</v>
      </c>
      <c r="D291" t="s">
        <v>1122</v>
      </c>
      <c r="E291" t="s">
        <v>210</v>
      </c>
      <c r="F291" t="s">
        <v>1139</v>
      </c>
      <c r="G291" t="s">
        <v>1140</v>
      </c>
      <c r="H291" t="s">
        <v>213</v>
      </c>
      <c r="I291" t="s">
        <v>1125</v>
      </c>
      <c r="J291" t="s">
        <v>71</v>
      </c>
      <c r="K291" t="s">
        <v>291</v>
      </c>
      <c r="L291" t="s">
        <v>117</v>
      </c>
      <c r="M291" t="s">
        <v>1126</v>
      </c>
      <c r="N291" t="s">
        <v>72</v>
      </c>
      <c r="O291" t="s">
        <v>81</v>
      </c>
      <c r="P291" s="44">
        <v>4783</v>
      </c>
      <c r="Q291" s="42">
        <v>1</v>
      </c>
      <c r="R291" s="48">
        <v>3199</v>
      </c>
      <c r="T291" s="44">
        <v>153.00800000000001</v>
      </c>
      <c r="U291" s="45">
        <v>2.3900000000000001E-4</v>
      </c>
      <c r="V291" s="45">
        <v>7.89297970591229E-3</v>
      </c>
      <c r="W291" s="45">
        <v>2.0885797832918798E-3</v>
      </c>
    </row>
    <row r="292" spans="1:23" x14ac:dyDescent="0.25">
      <c r="A292">
        <v>969</v>
      </c>
      <c r="B292">
        <v>969</v>
      </c>
      <c r="C292" t="s">
        <v>1245</v>
      </c>
      <c r="D292" t="s">
        <v>1246</v>
      </c>
      <c r="E292" t="s">
        <v>210</v>
      </c>
      <c r="F292" t="s">
        <v>1263</v>
      </c>
      <c r="G292" t="s">
        <v>1264</v>
      </c>
      <c r="H292" t="s">
        <v>213</v>
      </c>
      <c r="I292" t="s">
        <v>1125</v>
      </c>
      <c r="J292" t="s">
        <v>71</v>
      </c>
      <c r="K292" t="s">
        <v>291</v>
      </c>
      <c r="L292" t="s">
        <v>117</v>
      </c>
      <c r="M292" t="s">
        <v>1126</v>
      </c>
      <c r="N292" t="s">
        <v>72</v>
      </c>
      <c r="O292" t="s">
        <v>81</v>
      </c>
      <c r="P292" s="44">
        <v>2440</v>
      </c>
      <c r="Q292" s="42">
        <v>1</v>
      </c>
      <c r="R292" s="48">
        <v>22550</v>
      </c>
      <c r="T292" s="44">
        <v>550.22</v>
      </c>
      <c r="U292" s="45">
        <v>8.2999999999999998E-5</v>
      </c>
      <c r="V292" s="45">
        <v>2.8383290211150599E-2</v>
      </c>
      <c r="W292" s="45">
        <v>7.5105686733124098E-3</v>
      </c>
    </row>
    <row r="293" spans="1:23" x14ac:dyDescent="0.25">
      <c r="A293">
        <v>969</v>
      </c>
      <c r="B293">
        <v>969</v>
      </c>
      <c r="C293" t="s">
        <v>1141</v>
      </c>
      <c r="D293" t="s">
        <v>1142</v>
      </c>
      <c r="E293" t="s">
        <v>613</v>
      </c>
      <c r="F293" t="s">
        <v>1143</v>
      </c>
      <c r="G293" t="s">
        <v>1144</v>
      </c>
      <c r="H293" t="s">
        <v>213</v>
      </c>
      <c r="I293" t="s">
        <v>1125</v>
      </c>
      <c r="J293" t="s">
        <v>85</v>
      </c>
      <c r="K293" t="s">
        <v>291</v>
      </c>
      <c r="L293" t="s">
        <v>966</v>
      </c>
      <c r="M293" t="s">
        <v>1145</v>
      </c>
      <c r="N293" t="s">
        <v>72</v>
      </c>
      <c r="O293" t="s">
        <v>75</v>
      </c>
      <c r="P293" s="44">
        <v>1107</v>
      </c>
      <c r="Q293" s="42">
        <v>3.718</v>
      </c>
      <c r="R293" s="48">
        <v>7885</v>
      </c>
      <c r="T293" s="44">
        <v>324.53300000000002</v>
      </c>
      <c r="U293" s="45">
        <v>5.0000000000000004E-6</v>
      </c>
      <c r="V293" s="45">
        <v>1.6741141577803102E-2</v>
      </c>
      <c r="W293" s="45">
        <v>4.4299125490511303E-3</v>
      </c>
    </row>
    <row r="294" spans="1:23" x14ac:dyDescent="0.25">
      <c r="A294">
        <v>969</v>
      </c>
      <c r="B294">
        <v>969</v>
      </c>
      <c r="C294" t="s">
        <v>1146</v>
      </c>
      <c r="D294" t="s">
        <v>1147</v>
      </c>
      <c r="E294" t="s">
        <v>613</v>
      </c>
      <c r="F294" t="s">
        <v>1148</v>
      </c>
      <c r="G294" t="s">
        <v>1149</v>
      </c>
      <c r="H294" t="s">
        <v>213</v>
      </c>
      <c r="I294" t="s">
        <v>1125</v>
      </c>
      <c r="J294" t="s">
        <v>85</v>
      </c>
      <c r="K294" t="s">
        <v>291</v>
      </c>
      <c r="L294" t="s">
        <v>966</v>
      </c>
      <c r="M294" t="s">
        <v>1145</v>
      </c>
      <c r="N294" t="s">
        <v>72</v>
      </c>
      <c r="O294" t="s">
        <v>75</v>
      </c>
      <c r="P294" s="44">
        <v>587</v>
      </c>
      <c r="Q294" s="42">
        <v>3.718</v>
      </c>
      <c r="R294" s="48">
        <v>11655</v>
      </c>
      <c r="T294" s="44">
        <v>254.36600000000001</v>
      </c>
      <c r="U294" s="45">
        <v>3.0000000000000001E-5</v>
      </c>
      <c r="V294" s="45">
        <v>1.31215799139982E-2</v>
      </c>
      <c r="W294" s="45">
        <v>3.47213188863227E-3</v>
      </c>
    </row>
    <row r="295" spans="1:23" x14ac:dyDescent="0.25">
      <c r="A295">
        <v>969</v>
      </c>
      <c r="B295">
        <v>969</v>
      </c>
      <c r="C295" t="s">
        <v>1141</v>
      </c>
      <c r="D295" t="s">
        <v>1142</v>
      </c>
      <c r="E295" t="s">
        <v>613</v>
      </c>
      <c r="F295" t="s">
        <v>1161</v>
      </c>
      <c r="G295" t="s">
        <v>1162</v>
      </c>
      <c r="H295" t="s">
        <v>213</v>
      </c>
      <c r="I295" t="s">
        <v>1125</v>
      </c>
      <c r="J295" t="s">
        <v>85</v>
      </c>
      <c r="K295" t="s">
        <v>291</v>
      </c>
      <c r="L295" t="s">
        <v>966</v>
      </c>
      <c r="M295" t="s">
        <v>1145</v>
      </c>
      <c r="N295" t="s">
        <v>72</v>
      </c>
      <c r="O295" t="s">
        <v>75</v>
      </c>
      <c r="P295" s="44">
        <v>510</v>
      </c>
      <c r="Q295" s="42">
        <v>3.718</v>
      </c>
      <c r="R295" s="48">
        <v>19746</v>
      </c>
      <c r="T295" s="44">
        <v>374.42</v>
      </c>
      <c r="U295" s="45">
        <v>5.0000000000000004E-6</v>
      </c>
      <c r="V295" s="45">
        <v>1.9314570690533099E-2</v>
      </c>
      <c r="W295" s="45">
        <v>5.1108736333114399E-3</v>
      </c>
    </row>
    <row r="296" spans="1:23" x14ac:dyDescent="0.25">
      <c r="A296">
        <v>969</v>
      </c>
      <c r="B296">
        <v>969</v>
      </c>
      <c r="C296" t="s">
        <v>1163</v>
      </c>
      <c r="D296" t="s">
        <v>1164</v>
      </c>
      <c r="E296" t="s">
        <v>613</v>
      </c>
      <c r="F296" t="s">
        <v>1165</v>
      </c>
      <c r="G296" t="s">
        <v>1166</v>
      </c>
      <c r="H296" t="s">
        <v>213</v>
      </c>
      <c r="I296" t="s">
        <v>1125</v>
      </c>
      <c r="J296" t="s">
        <v>85</v>
      </c>
      <c r="L296" t="s">
        <v>286</v>
      </c>
      <c r="M296" t="s">
        <v>1145</v>
      </c>
      <c r="N296" t="s">
        <v>72</v>
      </c>
      <c r="O296" t="s">
        <v>77</v>
      </c>
      <c r="P296" s="44">
        <v>3377</v>
      </c>
      <c r="Q296" s="42">
        <v>4.0218999999999996</v>
      </c>
      <c r="R296" s="48">
        <v>9495</v>
      </c>
      <c r="T296" s="44">
        <v>1289.607</v>
      </c>
      <c r="U296" s="45">
        <v>0</v>
      </c>
      <c r="V296" s="45">
        <v>6.6524813098308405E-2</v>
      </c>
      <c r="W296" s="45">
        <v>1.76032860720929E-2</v>
      </c>
    </row>
    <row r="297" spans="1:23" x14ac:dyDescent="0.25">
      <c r="A297">
        <v>969</v>
      </c>
      <c r="B297">
        <v>969</v>
      </c>
      <c r="C297" t="s">
        <v>1141</v>
      </c>
      <c r="D297" t="s">
        <v>1142</v>
      </c>
      <c r="E297" t="s">
        <v>613</v>
      </c>
      <c r="F297" t="s">
        <v>1167</v>
      </c>
      <c r="G297" t="s">
        <v>1168</v>
      </c>
      <c r="H297" t="s">
        <v>213</v>
      </c>
      <c r="I297" t="s">
        <v>1125</v>
      </c>
      <c r="J297" t="s">
        <v>85</v>
      </c>
      <c r="K297" t="s">
        <v>291</v>
      </c>
      <c r="L297" t="s">
        <v>966</v>
      </c>
      <c r="M297" t="s">
        <v>1145</v>
      </c>
      <c r="N297" t="s">
        <v>72</v>
      </c>
      <c r="O297" t="s">
        <v>75</v>
      </c>
      <c r="P297" s="44">
        <v>9714</v>
      </c>
      <c r="Q297" s="42">
        <v>3.718</v>
      </c>
      <c r="R297" s="48">
        <v>4981</v>
      </c>
      <c r="T297" s="44">
        <v>1798.97</v>
      </c>
      <c r="U297" s="45">
        <v>1.1E-5</v>
      </c>
      <c r="V297" s="45">
        <v>9.2800516102057404E-2</v>
      </c>
      <c r="W297" s="45">
        <v>2.4556161175053701E-2</v>
      </c>
    </row>
    <row r="298" spans="1:23" x14ac:dyDescent="0.25">
      <c r="A298">
        <v>969</v>
      </c>
      <c r="B298">
        <v>969</v>
      </c>
      <c r="C298" t="s">
        <v>1169</v>
      </c>
      <c r="D298" t="s">
        <v>1170</v>
      </c>
      <c r="E298" t="s">
        <v>613</v>
      </c>
      <c r="F298" t="s">
        <v>1171</v>
      </c>
      <c r="G298" t="s">
        <v>1172</v>
      </c>
      <c r="H298" t="s">
        <v>213</v>
      </c>
      <c r="I298" t="s">
        <v>1125</v>
      </c>
      <c r="J298" t="s">
        <v>85</v>
      </c>
      <c r="K298" t="s">
        <v>215</v>
      </c>
      <c r="L298" t="s">
        <v>936</v>
      </c>
      <c r="M298" t="s">
        <v>1145</v>
      </c>
      <c r="N298" t="s">
        <v>72</v>
      </c>
      <c r="O298" t="s">
        <v>75</v>
      </c>
      <c r="P298" s="44">
        <v>853</v>
      </c>
      <c r="Q298" s="42">
        <v>3.718</v>
      </c>
      <c r="R298" s="48">
        <v>11313</v>
      </c>
      <c r="T298" s="44">
        <v>358.78699999999998</v>
      </c>
      <c r="U298" s="45">
        <v>1.1900000000000001E-4</v>
      </c>
      <c r="V298" s="45">
        <v>1.8508131178056102E-2</v>
      </c>
      <c r="W298" s="45">
        <v>4.8974797915731201E-3</v>
      </c>
    </row>
    <row r="299" spans="1:23" x14ac:dyDescent="0.25">
      <c r="A299">
        <v>969</v>
      </c>
      <c r="B299">
        <v>969</v>
      </c>
      <c r="C299" t="s">
        <v>1173</v>
      </c>
      <c r="D299" t="s">
        <v>1174</v>
      </c>
      <c r="E299" t="s">
        <v>613</v>
      </c>
      <c r="F299" t="s">
        <v>1175</v>
      </c>
      <c r="G299" t="s">
        <v>1176</v>
      </c>
      <c r="H299" t="s">
        <v>213</v>
      </c>
      <c r="I299" t="s">
        <v>1125</v>
      </c>
      <c r="J299" t="s">
        <v>85</v>
      </c>
      <c r="K299" t="s">
        <v>984</v>
      </c>
      <c r="L299" t="s">
        <v>966</v>
      </c>
      <c r="M299" t="s">
        <v>1145</v>
      </c>
      <c r="N299" t="s">
        <v>72</v>
      </c>
      <c r="O299" t="s">
        <v>75</v>
      </c>
      <c r="P299" s="44">
        <v>1027</v>
      </c>
      <c r="Q299" s="42">
        <v>3.718</v>
      </c>
      <c r="R299" s="48">
        <v>3773</v>
      </c>
      <c r="T299" s="44">
        <v>144.06800000000001</v>
      </c>
      <c r="U299" s="45">
        <v>6.9999999999999999E-6</v>
      </c>
      <c r="V299" s="45">
        <v>7.4317826441092898E-3</v>
      </c>
      <c r="W299" s="45">
        <v>1.96654135227022E-3</v>
      </c>
    </row>
    <row r="300" spans="1:23" x14ac:dyDescent="0.25">
      <c r="A300">
        <v>969</v>
      </c>
      <c r="B300">
        <v>969</v>
      </c>
      <c r="C300" t="s">
        <v>1141</v>
      </c>
      <c r="D300" t="s">
        <v>1142</v>
      </c>
      <c r="E300" t="s">
        <v>613</v>
      </c>
      <c r="F300" t="s">
        <v>1177</v>
      </c>
      <c r="G300" t="s">
        <v>1178</v>
      </c>
      <c r="H300" t="s">
        <v>213</v>
      </c>
      <c r="I300" t="s">
        <v>1125</v>
      </c>
      <c r="J300" t="s">
        <v>85</v>
      </c>
      <c r="K300" t="s">
        <v>291</v>
      </c>
      <c r="L300" t="s">
        <v>966</v>
      </c>
      <c r="M300" t="s">
        <v>1145</v>
      </c>
      <c r="N300" t="s">
        <v>72</v>
      </c>
      <c r="O300" t="s">
        <v>75</v>
      </c>
      <c r="P300" s="44">
        <v>1548</v>
      </c>
      <c r="Q300" s="42">
        <v>3.718</v>
      </c>
      <c r="R300" s="48">
        <v>14601</v>
      </c>
      <c r="T300" s="44">
        <v>840.35500000000002</v>
      </c>
      <c r="U300" s="45">
        <v>5.0000000000000004E-6</v>
      </c>
      <c r="V300" s="45">
        <v>4.3350020576818797E-2</v>
      </c>
      <c r="W300" s="45">
        <v>1.14709501297984E-2</v>
      </c>
    </row>
    <row r="301" spans="1:23" x14ac:dyDescent="0.25">
      <c r="A301">
        <v>969</v>
      </c>
      <c r="B301">
        <v>969</v>
      </c>
      <c r="C301" t="s">
        <v>1179</v>
      </c>
      <c r="D301" t="s">
        <v>1180</v>
      </c>
      <c r="E301" t="s">
        <v>613</v>
      </c>
      <c r="F301" t="s">
        <v>1181</v>
      </c>
      <c r="G301" t="s">
        <v>1182</v>
      </c>
      <c r="H301" t="s">
        <v>213</v>
      </c>
      <c r="I301" t="s">
        <v>1125</v>
      </c>
      <c r="J301" t="s">
        <v>85</v>
      </c>
      <c r="L301" t="s">
        <v>286</v>
      </c>
      <c r="M301" t="s">
        <v>1145</v>
      </c>
      <c r="N301" t="s">
        <v>72</v>
      </c>
      <c r="O301" t="s">
        <v>75</v>
      </c>
      <c r="P301" s="44">
        <v>729</v>
      </c>
      <c r="Q301" s="42">
        <v>3.718</v>
      </c>
      <c r="R301" s="48">
        <v>8899</v>
      </c>
      <c r="T301" s="44">
        <v>241.2</v>
      </c>
      <c r="U301" s="45">
        <v>6.9999999999999999E-6</v>
      </c>
      <c r="V301" s="45">
        <v>1.24424093611627E-2</v>
      </c>
      <c r="W301" s="45">
        <v>3.29241498336812E-3</v>
      </c>
    </row>
    <row r="302" spans="1:23" x14ac:dyDescent="0.25">
      <c r="A302">
        <v>969</v>
      </c>
      <c r="B302">
        <v>969</v>
      </c>
      <c r="C302" t="s">
        <v>1141</v>
      </c>
      <c r="D302" t="s">
        <v>1142</v>
      </c>
      <c r="E302" t="s">
        <v>613</v>
      </c>
      <c r="F302" t="s">
        <v>1183</v>
      </c>
      <c r="G302" t="s">
        <v>1184</v>
      </c>
      <c r="H302" t="s">
        <v>213</v>
      </c>
      <c r="I302" t="s">
        <v>1125</v>
      </c>
      <c r="J302" t="s">
        <v>85</v>
      </c>
      <c r="K302" t="s">
        <v>291</v>
      </c>
      <c r="L302" t="s">
        <v>966</v>
      </c>
      <c r="M302" t="s">
        <v>1145</v>
      </c>
      <c r="N302" t="s">
        <v>72</v>
      </c>
      <c r="O302" t="s">
        <v>75</v>
      </c>
      <c r="P302" s="44">
        <v>905</v>
      </c>
      <c r="Q302" s="42">
        <v>3.718</v>
      </c>
      <c r="R302" s="48">
        <v>13107</v>
      </c>
      <c r="T302" s="44">
        <v>441.02300000000002</v>
      </c>
      <c r="U302" s="45">
        <v>6.9999999999999999E-6</v>
      </c>
      <c r="V302" s="45">
        <v>2.2750326263839001E-2</v>
      </c>
      <c r="W302" s="45">
        <v>6.0200169350944103E-3</v>
      </c>
    </row>
    <row r="303" spans="1:23" x14ac:dyDescent="0.25">
      <c r="A303">
        <v>969</v>
      </c>
      <c r="B303">
        <v>969</v>
      </c>
      <c r="C303" t="s">
        <v>1179</v>
      </c>
      <c r="D303" t="s">
        <v>1180</v>
      </c>
      <c r="E303" t="s">
        <v>613</v>
      </c>
      <c r="F303" t="s">
        <v>1185</v>
      </c>
      <c r="G303" t="s">
        <v>1186</v>
      </c>
      <c r="H303" t="s">
        <v>213</v>
      </c>
      <c r="I303" t="s">
        <v>1125</v>
      </c>
      <c r="J303" t="s">
        <v>85</v>
      </c>
      <c r="K303" t="s">
        <v>604</v>
      </c>
      <c r="L303" t="s">
        <v>1187</v>
      </c>
      <c r="M303" t="s">
        <v>1145</v>
      </c>
      <c r="N303" t="s">
        <v>72</v>
      </c>
      <c r="O303" t="s">
        <v>79</v>
      </c>
      <c r="P303" s="44">
        <v>30122</v>
      </c>
      <c r="Q303" s="42">
        <v>4.8108000000000004</v>
      </c>
      <c r="R303" s="48">
        <v>838.1</v>
      </c>
      <c r="T303" s="44">
        <v>1214.498</v>
      </c>
      <c r="U303" s="45">
        <v>4.8999999999999998E-5</v>
      </c>
      <c r="V303" s="45">
        <v>6.2650322706717804E-2</v>
      </c>
      <c r="W303" s="45">
        <v>1.65780481259757E-2</v>
      </c>
    </row>
    <row r="304" spans="1:23" x14ac:dyDescent="0.25">
      <c r="A304">
        <v>969</v>
      </c>
      <c r="B304">
        <v>969</v>
      </c>
      <c r="C304" t="s">
        <v>1179</v>
      </c>
      <c r="D304" t="s">
        <v>1180</v>
      </c>
      <c r="E304" t="s">
        <v>613</v>
      </c>
      <c r="F304" t="s">
        <v>1188</v>
      </c>
      <c r="G304" t="s">
        <v>1189</v>
      </c>
      <c r="H304" t="s">
        <v>213</v>
      </c>
      <c r="I304" t="s">
        <v>1125</v>
      </c>
      <c r="J304" t="s">
        <v>85</v>
      </c>
      <c r="K304" t="s">
        <v>1053</v>
      </c>
      <c r="L304" t="s">
        <v>966</v>
      </c>
      <c r="M304" t="s">
        <v>1145</v>
      </c>
      <c r="N304" t="s">
        <v>72</v>
      </c>
      <c r="O304" t="s">
        <v>75</v>
      </c>
      <c r="P304" s="44">
        <v>5702</v>
      </c>
      <c r="Q304" s="42">
        <v>3.718</v>
      </c>
      <c r="R304" s="48">
        <v>3584</v>
      </c>
      <c r="T304" s="44">
        <v>759.80899999999997</v>
      </c>
      <c r="U304" s="45">
        <v>3.3000000000000003E-5</v>
      </c>
      <c r="V304" s="45">
        <v>3.9195026698430203E-2</v>
      </c>
      <c r="W304" s="45">
        <v>1.03714875013054E-2</v>
      </c>
    </row>
    <row r="305" spans="1:23" x14ac:dyDescent="0.25">
      <c r="A305">
        <v>969</v>
      </c>
      <c r="B305">
        <v>969</v>
      </c>
      <c r="C305" t="s">
        <v>1179</v>
      </c>
      <c r="D305" t="s">
        <v>1180</v>
      </c>
      <c r="E305" t="s">
        <v>613</v>
      </c>
      <c r="F305" t="s">
        <v>1190</v>
      </c>
      <c r="G305" t="s">
        <v>1191</v>
      </c>
      <c r="H305" t="s">
        <v>213</v>
      </c>
      <c r="I305" t="s">
        <v>1192</v>
      </c>
      <c r="J305" t="s">
        <v>85</v>
      </c>
      <c r="K305" t="s">
        <v>1193</v>
      </c>
      <c r="L305" t="s">
        <v>1187</v>
      </c>
      <c r="M305" t="s">
        <v>1194</v>
      </c>
      <c r="N305" t="s">
        <v>72</v>
      </c>
      <c r="O305" t="s">
        <v>75</v>
      </c>
      <c r="P305" s="44">
        <v>16611</v>
      </c>
      <c r="Q305" s="42">
        <v>3.718</v>
      </c>
      <c r="R305" s="48">
        <v>630.95000000000005</v>
      </c>
      <c r="T305" s="44">
        <v>389.673</v>
      </c>
      <c r="U305" s="45">
        <v>0</v>
      </c>
      <c r="V305" s="45">
        <v>2.0101407768218602E-2</v>
      </c>
      <c r="W305" s="45">
        <v>5.3190804290247596E-3</v>
      </c>
    </row>
    <row r="306" spans="1:23" x14ac:dyDescent="0.25">
      <c r="A306">
        <v>969</v>
      </c>
      <c r="B306">
        <v>969</v>
      </c>
      <c r="C306" t="s">
        <v>1179</v>
      </c>
      <c r="D306" t="s">
        <v>1180</v>
      </c>
      <c r="E306" t="s">
        <v>613</v>
      </c>
      <c r="F306" t="s">
        <v>1195</v>
      </c>
      <c r="G306" t="s">
        <v>1196</v>
      </c>
      <c r="H306" t="s">
        <v>213</v>
      </c>
      <c r="I306" t="s">
        <v>1125</v>
      </c>
      <c r="J306" t="s">
        <v>85</v>
      </c>
      <c r="K306" t="s">
        <v>291</v>
      </c>
      <c r="L306" t="s">
        <v>936</v>
      </c>
      <c r="M306" t="s">
        <v>1145</v>
      </c>
      <c r="N306" t="s">
        <v>72</v>
      </c>
      <c r="O306" t="s">
        <v>75</v>
      </c>
      <c r="P306" s="44">
        <v>1396</v>
      </c>
      <c r="Q306" s="42">
        <v>3.718</v>
      </c>
      <c r="R306" s="48">
        <v>5509</v>
      </c>
      <c r="T306" s="44">
        <v>285.935</v>
      </c>
      <c r="U306" s="45">
        <v>0</v>
      </c>
      <c r="V306" s="45">
        <v>1.4750065243104E-2</v>
      </c>
      <c r="W306" s="45">
        <v>3.9030491926778099E-3</v>
      </c>
    </row>
    <row r="307" spans="1:23" x14ac:dyDescent="0.25">
      <c r="A307">
        <v>969</v>
      </c>
      <c r="B307">
        <v>969</v>
      </c>
      <c r="C307" t="s">
        <v>1179</v>
      </c>
      <c r="D307" t="s">
        <v>1180</v>
      </c>
      <c r="E307" t="s">
        <v>613</v>
      </c>
      <c r="F307" t="s">
        <v>1197</v>
      </c>
      <c r="G307" t="s">
        <v>1198</v>
      </c>
      <c r="H307" t="s">
        <v>213</v>
      </c>
      <c r="I307" t="s">
        <v>1125</v>
      </c>
      <c r="J307" t="s">
        <v>85</v>
      </c>
      <c r="K307" t="s">
        <v>1199</v>
      </c>
      <c r="L307" t="s">
        <v>1200</v>
      </c>
      <c r="M307" t="s">
        <v>1145</v>
      </c>
      <c r="N307" t="s">
        <v>72</v>
      </c>
      <c r="O307" t="s">
        <v>77</v>
      </c>
      <c r="P307" s="44">
        <v>699</v>
      </c>
      <c r="Q307" s="42">
        <v>4.0218999999999996</v>
      </c>
      <c r="R307" s="48">
        <v>9391</v>
      </c>
      <c r="T307" s="44">
        <v>264.01</v>
      </c>
      <c r="U307" s="45">
        <v>1.3999999999999999E-4</v>
      </c>
      <c r="V307" s="45">
        <v>1.3619044836326401E-2</v>
      </c>
      <c r="W307" s="45">
        <v>3.6037672428817298E-3</v>
      </c>
    </row>
    <row r="308" spans="1:23" x14ac:dyDescent="0.25">
      <c r="A308">
        <v>969</v>
      </c>
      <c r="B308">
        <v>969</v>
      </c>
      <c r="C308" t="s">
        <v>1203</v>
      </c>
      <c r="D308" t="s">
        <v>1151</v>
      </c>
      <c r="E308" t="s">
        <v>613</v>
      </c>
      <c r="F308" t="s">
        <v>1207</v>
      </c>
      <c r="G308" t="s">
        <v>1208</v>
      </c>
      <c r="H308" t="s">
        <v>213</v>
      </c>
      <c r="I308" t="s">
        <v>1125</v>
      </c>
      <c r="J308" t="s">
        <v>85</v>
      </c>
      <c r="K308" t="s">
        <v>990</v>
      </c>
      <c r="L308" t="s">
        <v>1206</v>
      </c>
      <c r="M308" t="s">
        <v>1145</v>
      </c>
      <c r="N308" t="s">
        <v>72</v>
      </c>
      <c r="O308" t="s">
        <v>77</v>
      </c>
      <c r="P308" s="44">
        <v>156</v>
      </c>
      <c r="Q308" s="42">
        <v>4.0218999999999996</v>
      </c>
      <c r="R308" s="48">
        <v>14313.1</v>
      </c>
      <c r="T308" s="44">
        <v>89.802999999999997</v>
      </c>
      <c r="U308" s="45">
        <v>4.8999999999999998E-5</v>
      </c>
      <c r="V308" s="45">
        <v>4.6325054321642101E-3</v>
      </c>
      <c r="W308" s="45">
        <v>1.2258180753157899E-3</v>
      </c>
    </row>
    <row r="309" spans="1:23" x14ac:dyDescent="0.25">
      <c r="A309">
        <v>969</v>
      </c>
      <c r="B309">
        <v>969</v>
      </c>
      <c r="C309" t="s">
        <v>1141</v>
      </c>
      <c r="D309" t="s">
        <v>1142</v>
      </c>
      <c r="E309" t="s">
        <v>613</v>
      </c>
      <c r="F309" t="s">
        <v>1209</v>
      </c>
      <c r="G309" t="s">
        <v>1210</v>
      </c>
      <c r="H309" t="s">
        <v>213</v>
      </c>
      <c r="I309" t="s">
        <v>1125</v>
      </c>
      <c r="J309" t="s">
        <v>85</v>
      </c>
      <c r="K309" t="s">
        <v>291</v>
      </c>
      <c r="L309" t="s">
        <v>966</v>
      </c>
      <c r="M309" t="s">
        <v>1145</v>
      </c>
      <c r="N309" t="s">
        <v>72</v>
      </c>
      <c r="O309" t="s">
        <v>75</v>
      </c>
      <c r="P309" s="44">
        <v>400</v>
      </c>
      <c r="Q309" s="42">
        <v>3.718</v>
      </c>
      <c r="R309" s="48">
        <v>8598</v>
      </c>
      <c r="T309" s="44">
        <v>127.869</v>
      </c>
      <c r="U309" s="45">
        <v>5.0000000000000004E-6</v>
      </c>
      <c r="V309" s="45">
        <v>6.5961903943694304E-3</v>
      </c>
      <c r="W309" s="45">
        <v>1.74543333667824E-3</v>
      </c>
    </row>
    <row r="310" spans="1:23" x14ac:dyDescent="0.25">
      <c r="A310">
        <v>969</v>
      </c>
      <c r="B310">
        <v>969</v>
      </c>
      <c r="C310" t="s">
        <v>1146</v>
      </c>
      <c r="D310" t="s">
        <v>1147</v>
      </c>
      <c r="E310" t="s">
        <v>613</v>
      </c>
      <c r="F310" t="s">
        <v>1217</v>
      </c>
      <c r="G310" t="s">
        <v>1218</v>
      </c>
      <c r="H310" t="s">
        <v>213</v>
      </c>
      <c r="I310" t="s">
        <v>1125</v>
      </c>
      <c r="J310" t="s">
        <v>85</v>
      </c>
      <c r="K310" t="s">
        <v>291</v>
      </c>
      <c r="L310" t="s">
        <v>936</v>
      </c>
      <c r="M310" t="s">
        <v>1145</v>
      </c>
      <c r="N310" t="s">
        <v>72</v>
      </c>
      <c r="O310" t="s">
        <v>75</v>
      </c>
      <c r="P310" s="44">
        <v>251</v>
      </c>
      <c r="Q310" s="42">
        <v>3.718</v>
      </c>
      <c r="R310" s="48">
        <v>46892</v>
      </c>
      <c r="S310" s="59">
        <v>0.13400000000000001</v>
      </c>
      <c r="T310" s="44">
        <v>438.10399999999998</v>
      </c>
      <c r="U310" s="45">
        <v>0</v>
      </c>
      <c r="V310" s="45">
        <v>2.25997346666264E-2</v>
      </c>
      <c r="W310" s="45">
        <v>5.9801685410542796E-3</v>
      </c>
    </row>
    <row r="311" spans="1:23" x14ac:dyDescent="0.25">
      <c r="A311">
        <v>969</v>
      </c>
      <c r="B311">
        <v>969</v>
      </c>
      <c r="C311" t="s">
        <v>1141</v>
      </c>
      <c r="D311" t="s">
        <v>1142</v>
      </c>
      <c r="E311" t="s">
        <v>613</v>
      </c>
      <c r="F311" t="s">
        <v>1219</v>
      </c>
      <c r="G311" t="s">
        <v>1220</v>
      </c>
      <c r="H311" t="s">
        <v>213</v>
      </c>
      <c r="I311" t="s">
        <v>1125</v>
      </c>
      <c r="J311" t="s">
        <v>85</v>
      </c>
      <c r="K311" t="s">
        <v>291</v>
      </c>
      <c r="L311" t="s">
        <v>966</v>
      </c>
      <c r="M311" t="s">
        <v>1145</v>
      </c>
      <c r="N311" t="s">
        <v>72</v>
      </c>
      <c r="O311" t="s">
        <v>75</v>
      </c>
      <c r="P311" s="44">
        <v>1268</v>
      </c>
      <c r="Q311" s="42">
        <v>3.718</v>
      </c>
      <c r="R311" s="48">
        <v>4185</v>
      </c>
      <c r="T311" s="44">
        <v>197.29900000000001</v>
      </c>
      <c r="U311" s="45">
        <v>2.0999999999999999E-5</v>
      </c>
      <c r="V311" s="45">
        <v>1.01777192437058E-2</v>
      </c>
      <c r="W311" s="45">
        <v>2.6931500452866898E-3</v>
      </c>
    </row>
    <row r="312" spans="1:23" x14ac:dyDescent="0.25">
      <c r="A312">
        <v>969</v>
      </c>
      <c r="B312">
        <v>969</v>
      </c>
      <c r="C312" t="s">
        <v>1146</v>
      </c>
      <c r="D312" t="s">
        <v>1147</v>
      </c>
      <c r="E312" t="s">
        <v>613</v>
      </c>
      <c r="F312" t="s">
        <v>1275</v>
      </c>
      <c r="G312" t="s">
        <v>1276</v>
      </c>
      <c r="H312" t="s">
        <v>213</v>
      </c>
      <c r="I312" t="s">
        <v>1125</v>
      </c>
      <c r="J312" t="s">
        <v>85</v>
      </c>
      <c r="K312" t="s">
        <v>291</v>
      </c>
      <c r="L312" t="s">
        <v>1187</v>
      </c>
      <c r="M312" t="s">
        <v>1145</v>
      </c>
      <c r="N312" t="s">
        <v>72</v>
      </c>
      <c r="O312" t="s">
        <v>75</v>
      </c>
      <c r="P312" s="44">
        <v>771</v>
      </c>
      <c r="Q312" s="42">
        <v>3.718</v>
      </c>
      <c r="R312" s="48">
        <v>109783</v>
      </c>
      <c r="T312" s="44">
        <v>3147.0149999999999</v>
      </c>
      <c r="U312" s="45">
        <v>1.5200000000000001E-4</v>
      </c>
      <c r="V312" s="45">
        <v>0.16233988093747401</v>
      </c>
      <c r="W312" s="45">
        <v>4.2957134818685003E-2</v>
      </c>
    </row>
    <row r="313" spans="1:23" x14ac:dyDescent="0.25">
      <c r="A313">
        <v>969</v>
      </c>
      <c r="B313">
        <v>969</v>
      </c>
      <c r="C313" t="s">
        <v>1141</v>
      </c>
      <c r="D313" t="s">
        <v>1142</v>
      </c>
      <c r="E313" t="s">
        <v>613</v>
      </c>
      <c r="F313" t="s">
        <v>1277</v>
      </c>
      <c r="G313" t="s">
        <v>1278</v>
      </c>
      <c r="H313" t="s">
        <v>213</v>
      </c>
      <c r="I313" t="s">
        <v>1125</v>
      </c>
      <c r="J313" t="s">
        <v>85</v>
      </c>
      <c r="K313" t="s">
        <v>291</v>
      </c>
      <c r="L313" t="s">
        <v>966</v>
      </c>
      <c r="M313" t="s">
        <v>1145</v>
      </c>
      <c r="N313" t="s">
        <v>72</v>
      </c>
      <c r="O313" t="s">
        <v>75</v>
      </c>
      <c r="P313" s="44">
        <v>600</v>
      </c>
      <c r="Q313" s="42">
        <v>3.718</v>
      </c>
      <c r="R313" s="48">
        <v>20648</v>
      </c>
      <c r="T313" s="44">
        <v>460.61599999999999</v>
      </c>
      <c r="U313" s="45">
        <v>1.9999999999999999E-6</v>
      </c>
      <c r="V313" s="45">
        <v>2.3761015223820701E-2</v>
      </c>
      <c r="W313" s="45">
        <v>6.2874576998834999E-3</v>
      </c>
    </row>
    <row r="314" spans="1:23" x14ac:dyDescent="0.25">
      <c r="A314">
        <v>969</v>
      </c>
      <c r="B314">
        <v>969</v>
      </c>
      <c r="C314" t="s">
        <v>1141</v>
      </c>
      <c r="D314" t="s">
        <v>1142</v>
      </c>
      <c r="E314" t="s">
        <v>613</v>
      </c>
      <c r="F314" t="s">
        <v>1223</v>
      </c>
      <c r="G314" t="s">
        <v>1224</v>
      </c>
      <c r="H314" t="s">
        <v>213</v>
      </c>
      <c r="I314" t="s">
        <v>1192</v>
      </c>
      <c r="J314" t="s">
        <v>85</v>
      </c>
      <c r="K314" t="s">
        <v>291</v>
      </c>
      <c r="L314" t="s">
        <v>1022</v>
      </c>
      <c r="M314" t="s">
        <v>1194</v>
      </c>
      <c r="N314" t="s">
        <v>72</v>
      </c>
      <c r="O314" t="s">
        <v>75</v>
      </c>
      <c r="P314" s="44">
        <v>17013</v>
      </c>
      <c r="Q314" s="42">
        <v>3.718</v>
      </c>
      <c r="R314" s="48">
        <v>1086.2</v>
      </c>
      <c r="T314" s="44">
        <v>687.06899999999996</v>
      </c>
      <c r="U314" s="45">
        <v>0</v>
      </c>
      <c r="V314" s="45">
        <v>3.5442671631272397E-2</v>
      </c>
      <c r="W314" s="45">
        <v>9.3785680684671403E-3</v>
      </c>
    </row>
    <row r="315" spans="1:23" x14ac:dyDescent="0.25">
      <c r="A315">
        <v>969</v>
      </c>
      <c r="B315">
        <v>969</v>
      </c>
      <c r="C315" t="s">
        <v>1141</v>
      </c>
      <c r="D315" t="s">
        <v>1142</v>
      </c>
      <c r="E315" t="s">
        <v>613</v>
      </c>
      <c r="F315" t="s">
        <v>1229</v>
      </c>
      <c r="G315" t="s">
        <v>1230</v>
      </c>
      <c r="H315" t="s">
        <v>213</v>
      </c>
      <c r="I315" t="s">
        <v>1125</v>
      </c>
      <c r="J315" t="s">
        <v>85</v>
      </c>
      <c r="K315" t="s">
        <v>291</v>
      </c>
      <c r="L315" t="s">
        <v>1022</v>
      </c>
      <c r="M315" t="s">
        <v>1145</v>
      </c>
      <c r="N315" t="s">
        <v>72</v>
      </c>
      <c r="O315" t="s">
        <v>75</v>
      </c>
      <c r="P315" s="44">
        <v>862</v>
      </c>
      <c r="Q315" s="42">
        <v>3.718</v>
      </c>
      <c r="R315" s="48">
        <v>12617</v>
      </c>
      <c r="T315" s="44">
        <v>404.36399999999998</v>
      </c>
      <c r="U315" s="45">
        <v>0</v>
      </c>
      <c r="V315" s="45">
        <v>2.0859270669156899E-2</v>
      </c>
      <c r="W315" s="45">
        <v>5.5196203001992702E-3</v>
      </c>
    </row>
    <row r="316" spans="1:23" x14ac:dyDescent="0.25">
      <c r="A316">
        <v>969</v>
      </c>
      <c r="B316">
        <v>969</v>
      </c>
      <c r="C316" t="s">
        <v>1231</v>
      </c>
      <c r="D316" t="s">
        <v>1232</v>
      </c>
      <c r="E316" t="s">
        <v>613</v>
      </c>
      <c r="F316" t="s">
        <v>1233</v>
      </c>
      <c r="G316" t="s">
        <v>1234</v>
      </c>
      <c r="H316" t="s">
        <v>213</v>
      </c>
      <c r="I316" t="s">
        <v>1125</v>
      </c>
      <c r="J316" t="s">
        <v>85</v>
      </c>
      <c r="K316" t="s">
        <v>291</v>
      </c>
      <c r="L316" t="s">
        <v>1235</v>
      </c>
      <c r="M316" t="s">
        <v>1145</v>
      </c>
      <c r="N316" t="s">
        <v>72</v>
      </c>
      <c r="O316" t="s">
        <v>75</v>
      </c>
      <c r="P316" s="44">
        <v>1107</v>
      </c>
      <c r="Q316" s="42">
        <v>3.718</v>
      </c>
      <c r="R316" s="48">
        <v>4389</v>
      </c>
      <c r="T316" s="44">
        <v>180.64400000000001</v>
      </c>
      <c r="U316" s="45">
        <v>0</v>
      </c>
      <c r="V316" s="45">
        <v>9.3185631433072794E-3</v>
      </c>
      <c r="W316" s="45">
        <v>2.4658067441706301E-3</v>
      </c>
    </row>
    <row r="317" spans="1:23" x14ac:dyDescent="0.25">
      <c r="A317">
        <v>969</v>
      </c>
      <c r="B317">
        <v>969</v>
      </c>
      <c r="C317" t="s">
        <v>1236</v>
      </c>
      <c r="D317" t="s">
        <v>1237</v>
      </c>
      <c r="E317" t="s">
        <v>613</v>
      </c>
      <c r="F317" t="s">
        <v>1283</v>
      </c>
      <c r="G317" t="s">
        <v>1284</v>
      </c>
      <c r="H317" t="s">
        <v>213</v>
      </c>
      <c r="I317" t="s">
        <v>1125</v>
      </c>
      <c r="J317" t="s">
        <v>85</v>
      </c>
      <c r="K317" t="s">
        <v>291</v>
      </c>
      <c r="L317" t="s">
        <v>966</v>
      </c>
      <c r="M317" t="s">
        <v>1145</v>
      </c>
      <c r="N317" t="s">
        <v>72</v>
      </c>
      <c r="O317" t="s">
        <v>75</v>
      </c>
      <c r="P317" s="44">
        <v>1640</v>
      </c>
      <c r="Q317" s="42">
        <v>3.718</v>
      </c>
      <c r="R317" s="48">
        <v>51391</v>
      </c>
      <c r="T317" s="44">
        <v>3133.5770000000002</v>
      </c>
      <c r="U317" s="45">
        <v>1.9999999999999999E-6</v>
      </c>
      <c r="V317" s="45">
        <v>0.16164663459919301</v>
      </c>
      <c r="W317" s="45">
        <v>4.2773693286979303E-2</v>
      </c>
    </row>
    <row r="318" spans="1:23" x14ac:dyDescent="0.25">
      <c r="A318">
        <v>969</v>
      </c>
      <c r="B318">
        <v>969</v>
      </c>
      <c r="C318" t="s">
        <v>1240</v>
      </c>
      <c r="D318" t="s">
        <v>1241</v>
      </c>
      <c r="E318" t="s">
        <v>613</v>
      </c>
      <c r="F318" t="s">
        <v>1242</v>
      </c>
      <c r="G318" t="s">
        <v>1243</v>
      </c>
      <c r="H318" t="s">
        <v>213</v>
      </c>
      <c r="I318" t="s">
        <v>1125</v>
      </c>
      <c r="J318" t="s">
        <v>85</v>
      </c>
      <c r="K318" t="s">
        <v>1244</v>
      </c>
      <c r="L318" t="s">
        <v>966</v>
      </c>
      <c r="M318" t="s">
        <v>1145</v>
      </c>
      <c r="N318" t="s">
        <v>72</v>
      </c>
      <c r="O318" t="s">
        <v>75</v>
      </c>
      <c r="P318" s="44">
        <v>1814</v>
      </c>
      <c r="Q318" s="42">
        <v>3.718</v>
      </c>
      <c r="R318" s="48">
        <v>4371</v>
      </c>
      <c r="T318" s="44">
        <v>294.8</v>
      </c>
      <c r="U318" s="45">
        <v>8.2000000000000001E-5</v>
      </c>
      <c r="V318" s="45">
        <v>1.52073604500503E-2</v>
      </c>
      <c r="W318" s="45">
        <v>4.0240551447783502E-3</v>
      </c>
    </row>
  </sheetData>
  <dataValidations count="8">
    <dataValidation type="list" allowBlank="1" showInputMessage="1" showErrorMessage="1" sqref="J2:J20" xr:uid="{00000000-0002-0000-0700-000000000000}">
      <formula1>israel_abroad</formula1>
      <formula2>0</formula2>
    </dataValidation>
    <dataValidation type="list" allowBlank="1" showInputMessage="1" showErrorMessage="1" sqref="E2:E20" xr:uid="{00000000-0002-0000-0700-000001000000}">
      <formula1>Issuer_Type_TFunds</formula1>
      <formula2>0</formula2>
    </dataValidation>
    <dataValidation type="list" allowBlank="1" showInputMessage="1" showErrorMessage="1" sqref="H2:H20" xr:uid="{00000000-0002-0000-0700-000002000000}">
      <formula1>Security_ID_Number_Type</formula1>
      <formula2>0</formula2>
    </dataValidation>
    <dataValidation type="list" allowBlank="1" showInputMessage="1" showErrorMessage="1" sqref="K2" xr:uid="{00000000-0002-0000-0700-000003000000}">
      <formula1>Country_list_funds</formula1>
      <formula2>0</formula2>
    </dataValidation>
    <dataValidation type="list" allowBlank="1" showInputMessage="1" showErrorMessage="1" sqref="N2:N20" xr:uid="{00000000-0002-0000-0700-000004000000}">
      <formula1>Holding_interest</formula1>
      <formula2>0</formula2>
    </dataValidation>
    <dataValidation type="list" allowBlank="1" showInputMessage="1" showErrorMessage="1" sqref="K3:K20" xr:uid="{00000000-0002-0000-0700-000005000000}">
      <formula1>Country_list</formula1>
      <formula2>0</formula2>
    </dataValidation>
    <dataValidation type="list" allowBlank="1" showInputMessage="1" showErrorMessage="1" sqref="M2:M20" xr:uid="{00000000-0002-0000-0700-000006000000}">
      <formula1>Fund_type</formula1>
      <formula2>0</formula2>
    </dataValidation>
    <dataValidation type="list" allowBlank="1" showInputMessage="1" showErrorMessage="1" sqref="L2:L20" xr:uid="{00000000-0002-0000-0700-000007000000}">
      <formula1>Stock_Exchange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69"/>
  <sheetViews>
    <sheetView rightToLeft="1" zoomScale="70" zoomScaleNormal="70" workbookViewId="0"/>
  </sheetViews>
  <sheetFormatPr defaultColWidth="9" defaultRowHeight="13.8" x14ac:dyDescent="0.25"/>
  <cols>
    <col min="1" max="24" width="11.59765625" customWidth="1"/>
  </cols>
  <sheetData>
    <row r="1" spans="1:23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1333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207</v>
      </c>
      <c r="M1" s="36" t="s">
        <v>95</v>
      </c>
      <c r="N1" s="36" t="s">
        <v>1120</v>
      </c>
      <c r="O1" s="36" t="s">
        <v>57</v>
      </c>
      <c r="P1" s="36" t="s">
        <v>60</v>
      </c>
      <c r="Q1" s="36" t="s">
        <v>101</v>
      </c>
      <c r="R1" s="37" t="s">
        <v>62</v>
      </c>
      <c r="S1" s="47" t="s">
        <v>102</v>
      </c>
      <c r="T1" s="36" t="s">
        <v>64</v>
      </c>
      <c r="U1" s="39" t="s">
        <v>104</v>
      </c>
      <c r="V1" s="39" t="s">
        <v>65</v>
      </c>
      <c r="W1" s="39" t="s">
        <v>66</v>
      </c>
    </row>
    <row r="2" spans="1:23" x14ac:dyDescent="0.25">
      <c r="A2" s="10">
        <v>1182</v>
      </c>
      <c r="B2" s="10">
        <v>1182</v>
      </c>
      <c r="C2" s="10" t="s">
        <v>1334</v>
      </c>
      <c r="D2" s="10" t="s">
        <v>1335</v>
      </c>
      <c r="E2" s="10" t="s">
        <v>613</v>
      </c>
      <c r="F2" s="10" t="s">
        <v>1336</v>
      </c>
      <c r="G2" s="10" t="s">
        <v>1337</v>
      </c>
      <c r="H2" s="10" t="s">
        <v>213</v>
      </c>
      <c r="I2" s="10" t="s">
        <v>753</v>
      </c>
      <c r="J2" s="10" t="s">
        <v>85</v>
      </c>
      <c r="K2" s="10" t="s">
        <v>604</v>
      </c>
      <c r="L2" t="s">
        <v>216</v>
      </c>
      <c r="M2" s="10" t="s">
        <v>1187</v>
      </c>
      <c r="N2" s="10" t="s">
        <v>1145</v>
      </c>
      <c r="O2" s="10" t="s">
        <v>72</v>
      </c>
      <c r="P2" s="10" t="s">
        <v>79</v>
      </c>
      <c r="Q2" s="52">
        <v>21182.34</v>
      </c>
      <c r="R2" s="55">
        <v>4.8108000000000004</v>
      </c>
      <c r="S2" s="56">
        <v>1082.53</v>
      </c>
      <c r="T2" s="52">
        <v>1103.1410000000001</v>
      </c>
      <c r="U2" s="54">
        <v>1.2400000000000001E-4</v>
      </c>
      <c r="V2" s="54">
        <v>4.7879976224363401E-2</v>
      </c>
      <c r="W2" s="54">
        <v>2.5478137044024399E-3</v>
      </c>
    </row>
    <row r="3" spans="1:23" x14ac:dyDescent="0.25">
      <c r="A3" s="10">
        <v>1182</v>
      </c>
      <c r="B3" s="10">
        <v>1182</v>
      </c>
      <c r="C3" s="10" t="s">
        <v>1338</v>
      </c>
      <c r="D3" s="10" t="s">
        <v>1339</v>
      </c>
      <c r="E3" s="10" t="s">
        <v>613</v>
      </c>
      <c r="F3" s="10" t="s">
        <v>1340</v>
      </c>
      <c r="G3" s="10" t="s">
        <v>1341</v>
      </c>
      <c r="H3" s="10" t="s">
        <v>213</v>
      </c>
      <c r="I3" s="10" t="s">
        <v>1342</v>
      </c>
      <c r="J3" s="10" t="s">
        <v>85</v>
      </c>
      <c r="K3" s="10" t="s">
        <v>1343</v>
      </c>
      <c r="L3" t="s">
        <v>216</v>
      </c>
      <c r="M3" s="10" t="s">
        <v>1022</v>
      </c>
      <c r="N3" s="10" t="s">
        <v>1194</v>
      </c>
      <c r="O3" s="10" t="s">
        <v>72</v>
      </c>
      <c r="P3" s="10" t="s">
        <v>75</v>
      </c>
      <c r="Q3" s="52">
        <v>387.13</v>
      </c>
      <c r="R3" s="55">
        <v>3.718</v>
      </c>
      <c r="S3" s="56">
        <v>139175.6</v>
      </c>
      <c r="T3" s="52">
        <v>2003.223</v>
      </c>
      <c r="U3" s="54">
        <v>5.4799999999999998E-4</v>
      </c>
      <c r="V3" s="54">
        <v>8.6946491856153496E-2</v>
      </c>
      <c r="W3" s="54">
        <v>4.6266410505881204E-3</v>
      </c>
    </row>
    <row r="4" spans="1:23" x14ac:dyDescent="0.25">
      <c r="A4" s="10">
        <v>1182</v>
      </c>
      <c r="B4" s="10">
        <v>1182</v>
      </c>
      <c r="C4" s="10" t="s">
        <v>1344</v>
      </c>
      <c r="D4" s="10" t="s">
        <v>1345</v>
      </c>
      <c r="E4" s="10" t="s">
        <v>613</v>
      </c>
      <c r="F4" s="10" t="s">
        <v>1346</v>
      </c>
      <c r="G4" s="10" t="s">
        <v>1347</v>
      </c>
      <c r="H4" s="10" t="s">
        <v>213</v>
      </c>
      <c r="I4" s="10" t="s">
        <v>753</v>
      </c>
      <c r="J4" s="10" t="s">
        <v>85</v>
      </c>
      <c r="K4" s="10" t="s">
        <v>1199</v>
      </c>
      <c r="L4" t="s">
        <v>216</v>
      </c>
      <c r="M4" s="10" t="s">
        <v>1348</v>
      </c>
      <c r="N4" s="10" t="s">
        <v>1145</v>
      </c>
      <c r="O4" s="10" t="s">
        <v>72</v>
      </c>
      <c r="P4" s="10" t="s">
        <v>77</v>
      </c>
      <c r="Q4" s="52">
        <v>5997.08</v>
      </c>
      <c r="R4" s="55">
        <v>4.0218999999999996</v>
      </c>
      <c r="S4" s="56">
        <v>4472</v>
      </c>
      <c r="T4" s="52">
        <v>1078.6310000000001</v>
      </c>
      <c r="U4" s="54">
        <v>2.2000000000000001E-4</v>
      </c>
      <c r="V4" s="54">
        <v>4.6816145447230499E-2</v>
      </c>
      <c r="W4" s="54">
        <v>2.4912045987411599E-3</v>
      </c>
    </row>
    <row r="5" spans="1:23" x14ac:dyDescent="0.25">
      <c r="A5" s="10">
        <v>1182</v>
      </c>
      <c r="B5" s="10">
        <v>1182</v>
      </c>
      <c r="C5" s="10" t="s">
        <v>1349</v>
      </c>
      <c r="D5" s="10" t="s">
        <v>1350</v>
      </c>
      <c r="E5" s="10" t="s">
        <v>613</v>
      </c>
      <c r="F5" s="10" t="s">
        <v>1351</v>
      </c>
      <c r="G5" s="10" t="s">
        <v>1352</v>
      </c>
      <c r="H5" s="10" t="s">
        <v>213</v>
      </c>
      <c r="I5" s="10" t="s">
        <v>1342</v>
      </c>
      <c r="J5" s="10" t="s">
        <v>85</v>
      </c>
      <c r="K5" s="10" t="s">
        <v>1353</v>
      </c>
      <c r="L5" t="s">
        <v>216</v>
      </c>
      <c r="M5" s="10" t="s">
        <v>286</v>
      </c>
      <c r="N5" s="10" t="s">
        <v>1194</v>
      </c>
      <c r="O5" s="10" t="s">
        <v>72</v>
      </c>
      <c r="P5" s="10" t="s">
        <v>75</v>
      </c>
      <c r="Q5" s="52">
        <v>6970.12</v>
      </c>
      <c r="R5" s="55">
        <v>3.718</v>
      </c>
      <c r="S5" s="56">
        <v>3562</v>
      </c>
      <c r="T5" s="52">
        <v>923.08900000000006</v>
      </c>
      <c r="U5" s="54">
        <v>1.6100000000000001E-4</v>
      </c>
      <c r="V5" s="54">
        <v>4.00651067364447E-2</v>
      </c>
      <c r="W5" s="54">
        <v>2.13196488513539E-3</v>
      </c>
    </row>
    <row r="6" spans="1:23" x14ac:dyDescent="0.25">
      <c r="A6" s="10">
        <v>1182</v>
      </c>
      <c r="B6" s="10">
        <v>1182</v>
      </c>
      <c r="C6" s="10" t="s">
        <v>1146</v>
      </c>
      <c r="D6" s="10" t="s">
        <v>1147</v>
      </c>
      <c r="E6" s="10" t="s">
        <v>613</v>
      </c>
      <c r="F6" s="10" t="s">
        <v>1354</v>
      </c>
      <c r="G6" s="10" t="s">
        <v>1355</v>
      </c>
      <c r="H6" s="10" t="s">
        <v>213</v>
      </c>
      <c r="I6" s="10" t="s">
        <v>1342</v>
      </c>
      <c r="J6" s="10" t="s">
        <v>85</v>
      </c>
      <c r="K6" s="10" t="s">
        <v>215</v>
      </c>
      <c r="L6" t="s">
        <v>216</v>
      </c>
      <c r="M6" s="10" t="s">
        <v>1348</v>
      </c>
      <c r="N6" s="10" t="s">
        <v>1194</v>
      </c>
      <c r="O6" s="10" t="s">
        <v>72</v>
      </c>
      <c r="P6" s="10" t="s">
        <v>75</v>
      </c>
      <c r="Q6" s="52">
        <v>5878.49</v>
      </c>
      <c r="R6" s="55">
        <v>3.718</v>
      </c>
      <c r="S6" s="56">
        <v>18652</v>
      </c>
      <c r="T6" s="52">
        <v>4076.623</v>
      </c>
      <c r="U6" s="54">
        <v>6.4499999999999996E-4</v>
      </c>
      <c r="V6" s="54">
        <v>0.17693890054688499</v>
      </c>
      <c r="W6" s="54">
        <v>9.4153629806078207E-3</v>
      </c>
    </row>
    <row r="7" spans="1:23" x14ac:dyDescent="0.25">
      <c r="A7" s="10">
        <v>1182</v>
      </c>
      <c r="B7" s="10">
        <v>1182</v>
      </c>
      <c r="C7" s="10" t="s">
        <v>1356</v>
      </c>
      <c r="D7" s="10" t="s">
        <v>1357</v>
      </c>
      <c r="E7" s="10" t="s">
        <v>613</v>
      </c>
      <c r="F7" s="10" t="s">
        <v>1358</v>
      </c>
      <c r="G7" s="10" t="s">
        <v>1359</v>
      </c>
      <c r="H7" s="10" t="s">
        <v>213</v>
      </c>
      <c r="I7" s="10" t="s">
        <v>753</v>
      </c>
      <c r="J7" s="10" t="s">
        <v>85</v>
      </c>
      <c r="K7" s="10" t="s">
        <v>215</v>
      </c>
      <c r="L7" t="s">
        <v>216</v>
      </c>
      <c r="M7" s="10" t="s">
        <v>1348</v>
      </c>
      <c r="N7" s="10" t="s">
        <v>1145</v>
      </c>
      <c r="O7" s="10" t="s">
        <v>72</v>
      </c>
      <c r="P7" s="10" t="s">
        <v>75</v>
      </c>
      <c r="Q7" s="52">
        <v>50522.63</v>
      </c>
      <c r="R7" s="55">
        <v>3.718</v>
      </c>
      <c r="S7" s="56">
        <v>868</v>
      </c>
      <c r="T7" s="52">
        <v>1630.4780000000001</v>
      </c>
      <c r="U7" s="54">
        <v>3.999E-3</v>
      </c>
      <c r="V7" s="54">
        <v>7.0768144539839095E-2</v>
      </c>
      <c r="W7" s="54">
        <v>3.7657505853561399E-3</v>
      </c>
    </row>
    <row r="8" spans="1:23" x14ac:dyDescent="0.25">
      <c r="A8" s="10">
        <v>1182</v>
      </c>
      <c r="B8" s="10">
        <v>1182</v>
      </c>
      <c r="C8" s="10" t="s">
        <v>1360</v>
      </c>
      <c r="D8" s="10" t="s">
        <v>1361</v>
      </c>
      <c r="E8" s="10" t="s">
        <v>613</v>
      </c>
      <c r="F8" s="10" t="s">
        <v>1362</v>
      </c>
      <c r="G8" s="10" t="s">
        <v>1363</v>
      </c>
      <c r="H8" s="10" t="s">
        <v>213</v>
      </c>
      <c r="I8" s="10" t="s">
        <v>753</v>
      </c>
      <c r="J8" s="10" t="s">
        <v>85</v>
      </c>
      <c r="K8" s="10" t="s">
        <v>1244</v>
      </c>
      <c r="L8" t="s">
        <v>216</v>
      </c>
      <c r="M8" s="10" t="s">
        <v>286</v>
      </c>
      <c r="N8" s="10" t="s">
        <v>1145</v>
      </c>
      <c r="O8" s="10" t="s">
        <v>72</v>
      </c>
      <c r="P8" s="10" t="s">
        <v>75</v>
      </c>
      <c r="Q8" s="52">
        <v>28772.31</v>
      </c>
      <c r="R8" s="55">
        <v>3.718</v>
      </c>
      <c r="S8" s="56">
        <v>1372.39</v>
      </c>
      <c r="T8" s="52">
        <v>1468.12</v>
      </c>
      <c r="U8" s="54">
        <v>1.2539999999999999E-3</v>
      </c>
      <c r="V8" s="54">
        <v>6.3721268035099907E-2</v>
      </c>
      <c r="W8" s="54">
        <v>3.3907686002383202E-3</v>
      </c>
    </row>
    <row r="9" spans="1:23" x14ac:dyDescent="0.25">
      <c r="A9" s="10">
        <v>1182</v>
      </c>
      <c r="B9" s="10">
        <v>1182</v>
      </c>
      <c r="C9" s="10" t="s">
        <v>980</v>
      </c>
      <c r="D9" s="10" t="s">
        <v>981</v>
      </c>
      <c r="E9" s="10" t="s">
        <v>613</v>
      </c>
      <c r="F9" s="10" t="s">
        <v>1364</v>
      </c>
      <c r="G9" s="10" t="s">
        <v>1365</v>
      </c>
      <c r="H9" s="10" t="s">
        <v>213</v>
      </c>
      <c r="I9" s="10" t="s">
        <v>1342</v>
      </c>
      <c r="J9" s="10" t="s">
        <v>85</v>
      </c>
      <c r="K9" s="10" t="s">
        <v>984</v>
      </c>
      <c r="L9" t="s">
        <v>216</v>
      </c>
      <c r="M9" s="10" t="s">
        <v>286</v>
      </c>
      <c r="N9" s="10" t="s">
        <v>1194</v>
      </c>
      <c r="O9" s="10" t="s">
        <v>72</v>
      </c>
      <c r="P9" s="10" t="s">
        <v>75</v>
      </c>
      <c r="Q9" s="52">
        <v>29128.48</v>
      </c>
      <c r="R9" s="55">
        <v>3.718</v>
      </c>
      <c r="S9" s="56">
        <v>1121.3499999999999</v>
      </c>
      <c r="T9" s="52">
        <v>1214.4190000000001</v>
      </c>
      <c r="U9" s="54">
        <v>0</v>
      </c>
      <c r="V9" s="54">
        <v>5.2709772747845399E-2</v>
      </c>
      <c r="W9" s="54">
        <v>2.8048192992745002E-3</v>
      </c>
    </row>
    <row r="10" spans="1:23" x14ac:dyDescent="0.25">
      <c r="A10" s="10">
        <v>1182</v>
      </c>
      <c r="B10" s="10">
        <v>1182</v>
      </c>
      <c r="C10" s="10" t="s">
        <v>1366</v>
      </c>
      <c r="D10" s="10" t="s">
        <v>1367</v>
      </c>
      <c r="E10" s="10" t="s">
        <v>613</v>
      </c>
      <c r="F10" s="10" t="s">
        <v>1366</v>
      </c>
      <c r="G10" s="10" t="s">
        <v>1368</v>
      </c>
      <c r="H10" s="10" t="s">
        <v>213</v>
      </c>
      <c r="I10" s="10" t="s">
        <v>753</v>
      </c>
      <c r="J10" s="10" t="s">
        <v>85</v>
      </c>
      <c r="K10" s="10" t="s">
        <v>291</v>
      </c>
      <c r="L10" t="s">
        <v>216</v>
      </c>
      <c r="M10" s="10" t="s">
        <v>1022</v>
      </c>
      <c r="N10" s="10" t="s">
        <v>1145</v>
      </c>
      <c r="O10" s="10" t="s">
        <v>72</v>
      </c>
      <c r="P10" s="10" t="s">
        <v>75</v>
      </c>
      <c r="Q10" s="52">
        <v>4000</v>
      </c>
      <c r="R10" s="55">
        <v>3.718</v>
      </c>
      <c r="S10" s="56">
        <v>12316</v>
      </c>
      <c r="T10" s="52">
        <v>1831.636</v>
      </c>
      <c r="U10" s="54">
        <v>0</v>
      </c>
      <c r="V10" s="54">
        <v>7.9499025550294103E-2</v>
      </c>
      <c r="W10" s="54">
        <v>4.2303426767495702E-3</v>
      </c>
    </row>
    <row r="11" spans="1:23" x14ac:dyDescent="0.25">
      <c r="A11" s="10">
        <v>1182</v>
      </c>
      <c r="B11" s="10">
        <v>1182</v>
      </c>
      <c r="C11" s="10" t="s">
        <v>1369</v>
      </c>
      <c r="D11" s="10" t="s">
        <v>1370</v>
      </c>
      <c r="E11" s="10" t="s">
        <v>613</v>
      </c>
      <c r="F11" s="10" t="s">
        <v>1371</v>
      </c>
      <c r="G11" s="10" t="s">
        <v>1372</v>
      </c>
      <c r="H11" s="10" t="s">
        <v>213</v>
      </c>
      <c r="I11" s="10" t="s">
        <v>1342</v>
      </c>
      <c r="J11" s="10" t="s">
        <v>85</v>
      </c>
      <c r="K11" s="10" t="s">
        <v>215</v>
      </c>
      <c r="L11" t="s">
        <v>216</v>
      </c>
      <c r="M11" s="10" t="s">
        <v>286</v>
      </c>
      <c r="N11" s="10" t="s">
        <v>1194</v>
      </c>
      <c r="O11" s="10" t="s">
        <v>72</v>
      </c>
      <c r="P11" s="10" t="s">
        <v>75</v>
      </c>
      <c r="Q11" s="52">
        <v>59547.05</v>
      </c>
      <c r="R11" s="55">
        <v>3.718</v>
      </c>
      <c r="S11" s="56">
        <v>1269.81</v>
      </c>
      <c r="T11" s="52">
        <v>2811.308</v>
      </c>
      <c r="U11" s="54">
        <v>0</v>
      </c>
      <c r="V11" s="54">
        <v>0.122020030114603</v>
      </c>
      <c r="W11" s="54">
        <v>6.4929920491354201E-3</v>
      </c>
    </row>
    <row r="12" spans="1:23" x14ac:dyDescent="0.25">
      <c r="A12" s="10">
        <v>1182</v>
      </c>
      <c r="B12" s="10">
        <v>1182</v>
      </c>
      <c r="C12" s="10" t="s">
        <v>1373</v>
      </c>
      <c r="D12" s="10" t="s">
        <v>1374</v>
      </c>
      <c r="E12" s="10" t="s">
        <v>613</v>
      </c>
      <c r="F12" s="10" t="s">
        <v>1375</v>
      </c>
      <c r="G12" s="10" t="s">
        <v>1376</v>
      </c>
      <c r="H12" s="10" t="s">
        <v>213</v>
      </c>
      <c r="I12" s="10" t="s">
        <v>1342</v>
      </c>
      <c r="J12" s="10" t="s">
        <v>85</v>
      </c>
      <c r="K12" s="10" t="s">
        <v>1193</v>
      </c>
      <c r="L12" t="s">
        <v>216</v>
      </c>
      <c r="M12" s="10" t="s">
        <v>1348</v>
      </c>
      <c r="N12" s="10" t="s">
        <v>1194</v>
      </c>
      <c r="O12" s="10" t="s">
        <v>72</v>
      </c>
      <c r="P12" s="10" t="s">
        <v>75</v>
      </c>
      <c r="Q12" s="52">
        <v>57288.42</v>
      </c>
      <c r="R12" s="55">
        <v>3.718</v>
      </c>
      <c r="S12" s="56">
        <v>1210.78</v>
      </c>
      <c r="T12" s="52">
        <v>2578.9409999999998</v>
      </c>
      <c r="U12" s="54">
        <v>2.32E-3</v>
      </c>
      <c r="V12" s="54">
        <v>0.11193456530962299</v>
      </c>
      <c r="W12" s="54">
        <v>5.9563191542913096E-3</v>
      </c>
    </row>
    <row r="13" spans="1:23" x14ac:dyDescent="0.25">
      <c r="A13" s="10">
        <v>1182</v>
      </c>
      <c r="B13" s="10">
        <v>1182</v>
      </c>
      <c r="C13" s="10" t="s">
        <v>1377</v>
      </c>
      <c r="D13" s="10" t="s">
        <v>1378</v>
      </c>
      <c r="E13" s="10" t="s">
        <v>613</v>
      </c>
      <c r="F13" s="10" t="s">
        <v>1379</v>
      </c>
      <c r="G13" s="10" t="s">
        <v>1380</v>
      </c>
      <c r="H13" s="10" t="s">
        <v>213</v>
      </c>
      <c r="I13" s="10" t="s">
        <v>1342</v>
      </c>
      <c r="J13" s="10" t="s">
        <v>85</v>
      </c>
      <c r="K13" s="10" t="s">
        <v>1353</v>
      </c>
      <c r="L13" t="s">
        <v>216</v>
      </c>
      <c r="M13" s="10" t="s">
        <v>286</v>
      </c>
      <c r="N13" s="10" t="s">
        <v>1194</v>
      </c>
      <c r="O13" s="10" t="s">
        <v>72</v>
      </c>
      <c r="P13" s="10" t="s">
        <v>75</v>
      </c>
      <c r="Q13" s="52">
        <v>2515.71</v>
      </c>
      <c r="R13" s="55">
        <v>3.718</v>
      </c>
      <c r="S13" s="56">
        <v>24805</v>
      </c>
      <c r="T13" s="52">
        <v>2320.1129999999998</v>
      </c>
      <c r="U13" s="54">
        <v>1.3450000000000001E-3</v>
      </c>
      <c r="V13" s="54">
        <v>0.100700572891618</v>
      </c>
      <c r="W13" s="54">
        <v>5.3585302225753698E-3</v>
      </c>
    </row>
    <row r="14" spans="1:23" x14ac:dyDescent="0.25">
      <c r="A14" s="10">
        <v>1182</v>
      </c>
      <c r="B14" s="10">
        <v>14769</v>
      </c>
      <c r="C14" s="10" t="s">
        <v>1334</v>
      </c>
      <c r="D14" s="10" t="s">
        <v>1335</v>
      </c>
      <c r="E14" s="10" t="s">
        <v>613</v>
      </c>
      <c r="F14" s="10" t="s">
        <v>1336</v>
      </c>
      <c r="G14" s="10" t="s">
        <v>1337</v>
      </c>
      <c r="H14" s="10" t="s">
        <v>213</v>
      </c>
      <c r="I14" s="10" t="s">
        <v>753</v>
      </c>
      <c r="J14" s="10" t="s">
        <v>85</v>
      </c>
      <c r="K14" s="10" t="s">
        <v>604</v>
      </c>
      <c r="L14" t="s">
        <v>216</v>
      </c>
      <c r="M14" s="10" t="s">
        <v>1187</v>
      </c>
      <c r="N14" s="10" t="s">
        <v>1145</v>
      </c>
      <c r="O14" s="10" t="s">
        <v>72</v>
      </c>
      <c r="P14" s="10" t="s">
        <v>79</v>
      </c>
      <c r="Q14" s="52">
        <v>2210.33</v>
      </c>
      <c r="R14" s="55">
        <v>4.8108000000000004</v>
      </c>
      <c r="S14" s="56">
        <v>1082.53</v>
      </c>
      <c r="T14" s="52">
        <v>115.11</v>
      </c>
      <c r="U14" s="54">
        <v>1.2999999999999999E-5</v>
      </c>
      <c r="V14" s="54">
        <v>0.32650786129195702</v>
      </c>
      <c r="W14" s="54">
        <v>4.9693243650501002E-3</v>
      </c>
    </row>
    <row r="15" spans="1:23" x14ac:dyDescent="0.25">
      <c r="A15" s="10">
        <v>1182</v>
      </c>
      <c r="B15" s="10">
        <v>14769</v>
      </c>
      <c r="C15" s="10" t="s">
        <v>1338</v>
      </c>
      <c r="D15" s="10" t="s">
        <v>1339</v>
      </c>
      <c r="E15" s="10" t="s">
        <v>613</v>
      </c>
      <c r="F15" s="10" t="s">
        <v>1340</v>
      </c>
      <c r="G15" s="10" t="s">
        <v>1341</v>
      </c>
      <c r="H15" s="10" t="s">
        <v>213</v>
      </c>
      <c r="I15" s="10" t="s">
        <v>1342</v>
      </c>
      <c r="J15" s="10" t="s">
        <v>85</v>
      </c>
      <c r="K15" s="10" t="s">
        <v>1343</v>
      </c>
      <c r="L15" t="s">
        <v>216</v>
      </c>
      <c r="M15" s="10" t="s">
        <v>1022</v>
      </c>
      <c r="N15" s="10" t="s">
        <v>1194</v>
      </c>
      <c r="O15" s="10" t="s">
        <v>72</v>
      </c>
      <c r="P15" s="10" t="s">
        <v>75</v>
      </c>
      <c r="Q15" s="52">
        <v>2.3199999999999998</v>
      </c>
      <c r="R15" s="55">
        <v>3.718</v>
      </c>
      <c r="S15" s="56">
        <v>139175.6</v>
      </c>
      <c r="T15" s="52">
        <v>12.005000000000001</v>
      </c>
      <c r="U15" s="54">
        <v>3.0000000000000001E-6</v>
      </c>
      <c r="V15" s="54">
        <v>3.4051774876277599E-2</v>
      </c>
      <c r="W15" s="54">
        <v>5.1825494766442805E-4</v>
      </c>
    </row>
    <row r="16" spans="1:23" x14ac:dyDescent="0.25">
      <c r="A16" s="10">
        <v>1182</v>
      </c>
      <c r="B16" s="10">
        <v>14769</v>
      </c>
      <c r="C16" s="10" t="s">
        <v>1146</v>
      </c>
      <c r="D16" s="10" t="s">
        <v>1147</v>
      </c>
      <c r="E16" s="10" t="s">
        <v>613</v>
      </c>
      <c r="F16" s="10" t="s">
        <v>1354</v>
      </c>
      <c r="G16" s="10" t="s">
        <v>1355</v>
      </c>
      <c r="H16" s="10" t="s">
        <v>213</v>
      </c>
      <c r="I16" s="10" t="s">
        <v>1342</v>
      </c>
      <c r="J16" s="10" t="s">
        <v>85</v>
      </c>
      <c r="K16" s="10" t="s">
        <v>215</v>
      </c>
      <c r="L16" t="s">
        <v>216</v>
      </c>
      <c r="M16" s="10" t="s">
        <v>1348</v>
      </c>
      <c r="N16" s="10" t="s">
        <v>1194</v>
      </c>
      <c r="O16" s="10" t="s">
        <v>72</v>
      </c>
      <c r="P16" s="10" t="s">
        <v>75</v>
      </c>
      <c r="Q16" s="52">
        <v>87.43</v>
      </c>
      <c r="R16" s="55">
        <v>3.718</v>
      </c>
      <c r="S16" s="56">
        <v>18652</v>
      </c>
      <c r="T16" s="52">
        <v>60.631</v>
      </c>
      <c r="U16" s="54">
        <v>1.0000000000000001E-5</v>
      </c>
      <c r="V16" s="54">
        <v>0.17197865634678999</v>
      </c>
      <c r="W16" s="54">
        <v>2.6174491599407499E-3</v>
      </c>
    </row>
    <row r="17" spans="1:23" x14ac:dyDescent="0.25">
      <c r="A17" s="10">
        <v>1182</v>
      </c>
      <c r="B17" s="10">
        <v>14769</v>
      </c>
      <c r="C17" s="10" t="s">
        <v>1356</v>
      </c>
      <c r="D17" s="10" t="s">
        <v>1357</v>
      </c>
      <c r="E17" s="10" t="s">
        <v>613</v>
      </c>
      <c r="F17" s="10" t="s">
        <v>1358</v>
      </c>
      <c r="G17" s="10" t="s">
        <v>1359</v>
      </c>
      <c r="H17" s="10" t="s">
        <v>213</v>
      </c>
      <c r="I17" s="10" t="s">
        <v>753</v>
      </c>
      <c r="J17" s="10" t="s">
        <v>85</v>
      </c>
      <c r="K17" s="10" t="s">
        <v>215</v>
      </c>
      <c r="L17" t="s">
        <v>216</v>
      </c>
      <c r="M17" s="10" t="s">
        <v>1348</v>
      </c>
      <c r="N17" s="10" t="s">
        <v>1145</v>
      </c>
      <c r="O17" s="10" t="s">
        <v>72</v>
      </c>
      <c r="P17" s="10" t="s">
        <v>75</v>
      </c>
      <c r="Q17" s="52">
        <v>2605.02</v>
      </c>
      <c r="R17" s="55">
        <v>3.718</v>
      </c>
      <c r="S17" s="56">
        <v>868</v>
      </c>
      <c r="T17" s="52">
        <v>84.07</v>
      </c>
      <c r="U17" s="54">
        <v>2.0599999999999999E-4</v>
      </c>
      <c r="V17" s="54">
        <v>0.23846214900381801</v>
      </c>
      <c r="W17" s="54">
        <v>3.6293024079052201E-3</v>
      </c>
    </row>
    <row r="18" spans="1:23" x14ac:dyDescent="0.25">
      <c r="A18" s="10">
        <v>1182</v>
      </c>
      <c r="B18" s="10">
        <v>14769</v>
      </c>
      <c r="C18" s="10" t="s">
        <v>1360</v>
      </c>
      <c r="D18" s="10" t="s">
        <v>1361</v>
      </c>
      <c r="E18" s="10" t="s">
        <v>613</v>
      </c>
      <c r="F18" s="10" t="s">
        <v>1362</v>
      </c>
      <c r="G18" s="10" t="s">
        <v>1363</v>
      </c>
      <c r="H18" s="10" t="s">
        <v>213</v>
      </c>
      <c r="I18" s="10" t="s">
        <v>753</v>
      </c>
      <c r="J18" s="10" t="s">
        <v>85</v>
      </c>
      <c r="K18" s="10" t="s">
        <v>1244</v>
      </c>
      <c r="L18" t="s">
        <v>216</v>
      </c>
      <c r="M18" s="10" t="s">
        <v>286</v>
      </c>
      <c r="N18" s="10" t="s">
        <v>1145</v>
      </c>
      <c r="O18" s="10" t="s">
        <v>72</v>
      </c>
      <c r="P18" s="10" t="s">
        <v>75</v>
      </c>
      <c r="Q18" s="52">
        <v>801.55</v>
      </c>
      <c r="R18" s="55">
        <v>3.718</v>
      </c>
      <c r="S18" s="56">
        <v>1372.39</v>
      </c>
      <c r="T18" s="52">
        <v>40.899000000000001</v>
      </c>
      <c r="U18" s="54">
        <v>3.4999999999999997E-5</v>
      </c>
      <c r="V18" s="54">
        <v>0.11601037474610799</v>
      </c>
      <c r="W18" s="54">
        <v>1.76563338947891E-3</v>
      </c>
    </row>
    <row r="19" spans="1:23" x14ac:dyDescent="0.25">
      <c r="A19" s="10">
        <v>1182</v>
      </c>
      <c r="B19" s="10">
        <v>14769</v>
      </c>
      <c r="C19" s="10" t="s">
        <v>980</v>
      </c>
      <c r="D19" s="10" t="s">
        <v>981</v>
      </c>
      <c r="E19" s="10" t="s">
        <v>613</v>
      </c>
      <c r="F19" s="10" t="s">
        <v>1364</v>
      </c>
      <c r="G19" s="10" t="s">
        <v>1365</v>
      </c>
      <c r="H19" s="10" t="s">
        <v>213</v>
      </c>
      <c r="I19" s="10" t="s">
        <v>1342</v>
      </c>
      <c r="J19" s="10" t="s">
        <v>85</v>
      </c>
      <c r="K19" s="10" t="s">
        <v>984</v>
      </c>
      <c r="L19" t="s">
        <v>216</v>
      </c>
      <c r="M19" s="10" t="s">
        <v>286</v>
      </c>
      <c r="N19" s="10" t="s">
        <v>1194</v>
      </c>
      <c r="O19" s="10" t="s">
        <v>72</v>
      </c>
      <c r="P19" s="10" t="s">
        <v>75</v>
      </c>
      <c r="Q19" s="52">
        <v>339.83</v>
      </c>
      <c r="R19" s="55">
        <v>3.718</v>
      </c>
      <c r="S19" s="56">
        <v>1121.3499999999999</v>
      </c>
      <c r="T19" s="52">
        <v>14.167999999999999</v>
      </c>
      <c r="U19" s="54">
        <v>0</v>
      </c>
      <c r="V19" s="54">
        <v>4.0187553575136002E-2</v>
      </c>
      <c r="W19" s="54">
        <v>6.1163914511114205E-4</v>
      </c>
    </row>
    <row r="20" spans="1:23" x14ac:dyDescent="0.25">
      <c r="A20">
        <v>1182</v>
      </c>
      <c r="B20">
        <v>14769</v>
      </c>
      <c r="C20" t="s">
        <v>1377</v>
      </c>
      <c r="D20" t="s">
        <v>1378</v>
      </c>
      <c r="E20" s="10" t="s">
        <v>613</v>
      </c>
      <c r="F20" t="s">
        <v>1379</v>
      </c>
      <c r="G20" t="s">
        <v>1380</v>
      </c>
      <c r="H20" s="10" t="s">
        <v>213</v>
      </c>
      <c r="I20" s="10" t="s">
        <v>1342</v>
      </c>
      <c r="J20" s="10" t="s">
        <v>85</v>
      </c>
      <c r="K20" s="10" t="s">
        <v>1353</v>
      </c>
      <c r="L20" t="s">
        <v>216</v>
      </c>
      <c r="M20" s="10" t="s">
        <v>286</v>
      </c>
      <c r="N20" s="10" t="s">
        <v>1194</v>
      </c>
      <c r="O20" s="10" t="s">
        <v>72</v>
      </c>
      <c r="P20" t="s">
        <v>75</v>
      </c>
      <c r="Q20" s="44">
        <v>27.83</v>
      </c>
      <c r="R20" s="42">
        <v>3.718</v>
      </c>
      <c r="S20" s="48">
        <v>24805</v>
      </c>
      <c r="T20" s="44">
        <v>25.666</v>
      </c>
      <c r="U20" s="45">
        <v>1.5E-5</v>
      </c>
      <c r="V20" s="45">
        <v>7.2801630159912895E-2</v>
      </c>
      <c r="W20" s="45">
        <v>1.1080128764358601E-3</v>
      </c>
    </row>
    <row r="21" spans="1:23" x14ac:dyDescent="0.25">
      <c r="A21">
        <v>12904</v>
      </c>
      <c r="B21">
        <v>12905</v>
      </c>
      <c r="C21" t="s">
        <v>1334</v>
      </c>
      <c r="D21" t="s">
        <v>1335</v>
      </c>
      <c r="E21" t="s">
        <v>613</v>
      </c>
      <c r="F21" t="s">
        <v>1336</v>
      </c>
      <c r="G21" t="s">
        <v>1337</v>
      </c>
      <c r="H21" t="s">
        <v>213</v>
      </c>
      <c r="I21" t="s">
        <v>753</v>
      </c>
      <c r="J21" t="s">
        <v>85</v>
      </c>
      <c r="K21" t="s">
        <v>604</v>
      </c>
      <c r="L21" t="s">
        <v>216</v>
      </c>
      <c r="M21" t="s">
        <v>1187</v>
      </c>
      <c r="N21" t="s">
        <v>1145</v>
      </c>
      <c r="O21" t="s">
        <v>72</v>
      </c>
      <c r="P21" t="s">
        <v>79</v>
      </c>
      <c r="Q21" s="44">
        <v>2210.33</v>
      </c>
      <c r="R21" s="42">
        <v>4.8108000000000004</v>
      </c>
      <c r="S21" s="48">
        <v>1082.53</v>
      </c>
      <c r="T21" s="44">
        <v>115.11</v>
      </c>
      <c r="U21" s="45">
        <v>1.2999999999999999E-5</v>
      </c>
      <c r="V21" s="45">
        <v>7.1819985346256804E-2</v>
      </c>
      <c r="W21" s="45">
        <v>2.6911194583901501E-3</v>
      </c>
    </row>
    <row r="22" spans="1:23" x14ac:dyDescent="0.25">
      <c r="A22">
        <v>12904</v>
      </c>
      <c r="B22">
        <v>12905</v>
      </c>
      <c r="C22" t="s">
        <v>1338</v>
      </c>
      <c r="D22" t="s">
        <v>1339</v>
      </c>
      <c r="E22" t="s">
        <v>613</v>
      </c>
      <c r="F22" t="s">
        <v>1340</v>
      </c>
      <c r="G22" t="s">
        <v>1341</v>
      </c>
      <c r="H22" t="s">
        <v>213</v>
      </c>
      <c r="I22" t="s">
        <v>1342</v>
      </c>
      <c r="J22" t="s">
        <v>85</v>
      </c>
      <c r="K22" t="s">
        <v>1343</v>
      </c>
      <c r="L22" t="s">
        <v>216</v>
      </c>
      <c r="M22" t="s">
        <v>1022</v>
      </c>
      <c r="N22" t="s">
        <v>1194</v>
      </c>
      <c r="O22" t="s">
        <v>72</v>
      </c>
      <c r="P22" t="s">
        <v>75</v>
      </c>
      <c r="Q22" s="44">
        <v>28.65</v>
      </c>
      <c r="R22" s="42">
        <v>3.718</v>
      </c>
      <c r="S22" s="48">
        <v>139175.6</v>
      </c>
      <c r="T22" s="44">
        <v>148.251</v>
      </c>
      <c r="U22" s="45">
        <v>4.1E-5</v>
      </c>
      <c r="V22" s="45">
        <v>9.2497088947086498E-2</v>
      </c>
      <c r="W22" s="45">
        <v>3.4658976148471601E-3</v>
      </c>
    </row>
    <row r="23" spans="1:23" x14ac:dyDescent="0.25">
      <c r="A23">
        <v>12904</v>
      </c>
      <c r="B23">
        <v>12905</v>
      </c>
      <c r="C23" t="s">
        <v>1146</v>
      </c>
      <c r="D23" t="s">
        <v>1147</v>
      </c>
      <c r="E23" t="s">
        <v>613</v>
      </c>
      <c r="F23" t="s">
        <v>1381</v>
      </c>
      <c r="G23" t="s">
        <v>1382</v>
      </c>
      <c r="H23" t="s">
        <v>213</v>
      </c>
      <c r="I23" t="s">
        <v>1342</v>
      </c>
      <c r="J23" t="s">
        <v>85</v>
      </c>
      <c r="K23" t="s">
        <v>215</v>
      </c>
      <c r="L23" t="s">
        <v>216</v>
      </c>
      <c r="M23" t="s">
        <v>286</v>
      </c>
      <c r="N23" t="s">
        <v>1194</v>
      </c>
      <c r="O23" t="s">
        <v>72</v>
      </c>
      <c r="P23" t="s">
        <v>75</v>
      </c>
      <c r="Q23" s="44">
        <v>2821.86</v>
      </c>
      <c r="R23" s="42">
        <v>3.718</v>
      </c>
      <c r="S23" s="48">
        <v>1312.73</v>
      </c>
      <c r="T23" s="44">
        <v>137.727</v>
      </c>
      <c r="U23" s="45">
        <v>0</v>
      </c>
      <c r="V23" s="45">
        <v>8.5931265991842198E-2</v>
      </c>
      <c r="W23" s="45">
        <v>3.2198739790859502E-3</v>
      </c>
    </row>
    <row r="24" spans="1:23" x14ac:dyDescent="0.25">
      <c r="A24">
        <v>12904</v>
      </c>
      <c r="B24">
        <v>12905</v>
      </c>
      <c r="C24" t="s">
        <v>1146</v>
      </c>
      <c r="D24" t="s">
        <v>1147</v>
      </c>
      <c r="E24" t="s">
        <v>613</v>
      </c>
      <c r="F24" t="s">
        <v>1354</v>
      </c>
      <c r="G24" t="s">
        <v>1355</v>
      </c>
      <c r="H24" t="s">
        <v>213</v>
      </c>
      <c r="I24" t="s">
        <v>1342</v>
      </c>
      <c r="J24" t="s">
        <v>85</v>
      </c>
      <c r="K24" t="s">
        <v>215</v>
      </c>
      <c r="L24" t="s">
        <v>216</v>
      </c>
      <c r="M24" t="s">
        <v>1348</v>
      </c>
      <c r="N24" t="s">
        <v>1194</v>
      </c>
      <c r="O24" t="s">
        <v>72</v>
      </c>
      <c r="P24" t="s">
        <v>75</v>
      </c>
      <c r="Q24" s="44">
        <v>459.68</v>
      </c>
      <c r="R24" s="42">
        <v>3.718</v>
      </c>
      <c r="S24" s="48">
        <v>18652</v>
      </c>
      <c r="T24" s="44">
        <v>318.77999999999997</v>
      </c>
      <c r="U24" s="45">
        <v>5.0000000000000002E-5</v>
      </c>
      <c r="V24" s="45">
        <v>0.19889384874621799</v>
      </c>
      <c r="W24" s="45">
        <v>7.4526206589229302E-3</v>
      </c>
    </row>
    <row r="25" spans="1:23" x14ac:dyDescent="0.25">
      <c r="A25">
        <v>12904</v>
      </c>
      <c r="B25">
        <v>12905</v>
      </c>
      <c r="C25" t="s">
        <v>1356</v>
      </c>
      <c r="D25" t="s">
        <v>1357</v>
      </c>
      <c r="E25" t="s">
        <v>613</v>
      </c>
      <c r="F25" t="s">
        <v>1358</v>
      </c>
      <c r="G25" t="s">
        <v>1359</v>
      </c>
      <c r="H25" t="s">
        <v>213</v>
      </c>
      <c r="I25" t="s">
        <v>753</v>
      </c>
      <c r="J25" t="s">
        <v>85</v>
      </c>
      <c r="K25" t="s">
        <v>215</v>
      </c>
      <c r="L25" t="s">
        <v>216</v>
      </c>
      <c r="M25" t="s">
        <v>1348</v>
      </c>
      <c r="N25" t="s">
        <v>1145</v>
      </c>
      <c r="O25" t="s">
        <v>72</v>
      </c>
      <c r="P25" t="s">
        <v>75</v>
      </c>
      <c r="Q25" s="44">
        <v>4059.24</v>
      </c>
      <c r="R25" s="42">
        <v>3.718</v>
      </c>
      <c r="S25" s="48">
        <v>868</v>
      </c>
      <c r="T25" s="44">
        <v>131.001</v>
      </c>
      <c r="U25" s="45">
        <v>3.21E-4</v>
      </c>
      <c r="V25" s="45">
        <v>8.1734383456478099E-2</v>
      </c>
      <c r="W25" s="45">
        <v>3.0626153525205998E-3</v>
      </c>
    </row>
    <row r="26" spans="1:23" x14ac:dyDescent="0.25">
      <c r="A26">
        <v>12904</v>
      </c>
      <c r="B26">
        <v>12905</v>
      </c>
      <c r="C26" t="s">
        <v>1360</v>
      </c>
      <c r="D26" t="s">
        <v>1361</v>
      </c>
      <c r="E26" t="s">
        <v>613</v>
      </c>
      <c r="F26" t="s">
        <v>1362</v>
      </c>
      <c r="G26" t="s">
        <v>1363</v>
      </c>
      <c r="H26" t="s">
        <v>213</v>
      </c>
      <c r="I26" t="s">
        <v>753</v>
      </c>
      <c r="J26" t="s">
        <v>85</v>
      </c>
      <c r="K26" t="s">
        <v>1244</v>
      </c>
      <c r="L26" t="s">
        <v>216</v>
      </c>
      <c r="M26" t="s">
        <v>286</v>
      </c>
      <c r="N26" t="s">
        <v>1145</v>
      </c>
      <c r="O26" t="s">
        <v>72</v>
      </c>
      <c r="P26" t="s">
        <v>75</v>
      </c>
      <c r="Q26" s="44">
        <v>837.01</v>
      </c>
      <c r="R26" s="42">
        <v>3.718</v>
      </c>
      <c r="S26" s="48">
        <v>1372.39</v>
      </c>
      <c r="T26" s="44">
        <v>42.709000000000003</v>
      </c>
      <c r="U26" s="45">
        <v>3.6000000000000001E-5</v>
      </c>
      <c r="V26" s="45">
        <v>2.6647012637116101E-2</v>
      </c>
      <c r="W26" s="45">
        <v>9.9847269349866391E-4</v>
      </c>
    </row>
    <row r="27" spans="1:23" x14ac:dyDescent="0.25">
      <c r="A27">
        <v>12904</v>
      </c>
      <c r="B27">
        <v>12905</v>
      </c>
      <c r="C27" t="s">
        <v>980</v>
      </c>
      <c r="D27" t="s">
        <v>981</v>
      </c>
      <c r="E27" t="s">
        <v>613</v>
      </c>
      <c r="F27" t="s">
        <v>1364</v>
      </c>
      <c r="G27" t="s">
        <v>1365</v>
      </c>
      <c r="H27" t="s">
        <v>213</v>
      </c>
      <c r="I27" t="s">
        <v>1342</v>
      </c>
      <c r="J27" t="s">
        <v>85</v>
      </c>
      <c r="K27" t="s">
        <v>984</v>
      </c>
      <c r="L27" t="s">
        <v>216</v>
      </c>
      <c r="M27" t="s">
        <v>286</v>
      </c>
      <c r="N27" t="s">
        <v>1194</v>
      </c>
      <c r="O27" t="s">
        <v>72</v>
      </c>
      <c r="P27" t="s">
        <v>75</v>
      </c>
      <c r="Q27" s="44">
        <v>2233.1799999999998</v>
      </c>
      <c r="R27" s="42">
        <v>3.718</v>
      </c>
      <c r="S27" s="48">
        <v>1121.3499999999999</v>
      </c>
      <c r="T27" s="44">
        <v>93.105000000000004</v>
      </c>
      <c r="U27" s="45">
        <v>0</v>
      </c>
      <c r="V27" s="45">
        <v>5.8090518575462498E-2</v>
      </c>
      <c r="W27" s="45">
        <v>2.1766716344025199E-3</v>
      </c>
    </row>
    <row r="28" spans="1:23" x14ac:dyDescent="0.25">
      <c r="A28">
        <v>12904</v>
      </c>
      <c r="B28">
        <v>12905</v>
      </c>
      <c r="C28" t="s">
        <v>1369</v>
      </c>
      <c r="D28" t="s">
        <v>1370</v>
      </c>
      <c r="E28" t="s">
        <v>613</v>
      </c>
      <c r="F28" t="s">
        <v>1371</v>
      </c>
      <c r="G28" t="s">
        <v>1372</v>
      </c>
      <c r="H28" t="s">
        <v>213</v>
      </c>
      <c r="I28" t="s">
        <v>1342</v>
      </c>
      <c r="J28" t="s">
        <v>85</v>
      </c>
      <c r="K28" t="s">
        <v>215</v>
      </c>
      <c r="L28" t="s">
        <v>216</v>
      </c>
      <c r="M28" t="s">
        <v>286</v>
      </c>
      <c r="N28" t="s">
        <v>1194</v>
      </c>
      <c r="O28" t="s">
        <v>72</v>
      </c>
      <c r="P28" t="s">
        <v>75</v>
      </c>
      <c r="Q28" s="44">
        <v>4425.79</v>
      </c>
      <c r="R28" s="42">
        <v>3.718</v>
      </c>
      <c r="S28" s="48">
        <v>1269.81</v>
      </c>
      <c r="T28" s="44">
        <v>208.94800000000001</v>
      </c>
      <c r="U28" s="45">
        <v>0</v>
      </c>
      <c r="V28" s="45">
        <v>0.13036766362443</v>
      </c>
      <c r="W28" s="45">
        <v>4.8849210234885102E-3</v>
      </c>
    </row>
    <row r="29" spans="1:23" x14ac:dyDescent="0.25">
      <c r="A29">
        <v>12904</v>
      </c>
      <c r="B29">
        <v>12905</v>
      </c>
      <c r="C29" t="s">
        <v>1373</v>
      </c>
      <c r="D29" t="s">
        <v>1374</v>
      </c>
      <c r="E29" t="s">
        <v>613</v>
      </c>
      <c r="F29" t="s">
        <v>1375</v>
      </c>
      <c r="G29" t="s">
        <v>1376</v>
      </c>
      <c r="H29" t="s">
        <v>213</v>
      </c>
      <c r="I29" t="s">
        <v>1342</v>
      </c>
      <c r="J29" t="s">
        <v>85</v>
      </c>
      <c r="K29" t="s">
        <v>1193</v>
      </c>
      <c r="L29" t="s">
        <v>216</v>
      </c>
      <c r="M29" t="s">
        <v>1348</v>
      </c>
      <c r="N29" t="s">
        <v>1194</v>
      </c>
      <c r="O29" t="s">
        <v>72</v>
      </c>
      <c r="P29" t="s">
        <v>75</v>
      </c>
      <c r="Q29" s="44">
        <v>4761.21</v>
      </c>
      <c r="R29" s="42">
        <v>3.718</v>
      </c>
      <c r="S29" s="48">
        <v>1210.78</v>
      </c>
      <c r="T29" s="44">
        <v>214.334</v>
      </c>
      <c r="U29" s="45">
        <v>1.93E-4</v>
      </c>
      <c r="V29" s="45">
        <v>0.13372817320488101</v>
      </c>
      <c r="W29" s="45">
        <v>5.0108404688693096E-3</v>
      </c>
    </row>
    <row r="30" spans="1:23" x14ac:dyDescent="0.25">
      <c r="A30">
        <v>12904</v>
      </c>
      <c r="B30">
        <v>12905</v>
      </c>
      <c r="C30" t="s">
        <v>1377</v>
      </c>
      <c r="D30" t="s">
        <v>1378</v>
      </c>
      <c r="E30" t="s">
        <v>613</v>
      </c>
      <c r="F30" t="s">
        <v>1379</v>
      </c>
      <c r="G30" t="s">
        <v>1380</v>
      </c>
      <c r="H30" t="s">
        <v>213</v>
      </c>
      <c r="I30" t="s">
        <v>1342</v>
      </c>
      <c r="J30" t="s">
        <v>85</v>
      </c>
      <c r="K30" t="s">
        <v>1353</v>
      </c>
      <c r="L30" t="s">
        <v>216</v>
      </c>
      <c r="M30" t="s">
        <v>286</v>
      </c>
      <c r="N30" t="s">
        <v>1194</v>
      </c>
      <c r="O30" t="s">
        <v>72</v>
      </c>
      <c r="P30" t="s">
        <v>75</v>
      </c>
      <c r="Q30" s="44">
        <v>209.05</v>
      </c>
      <c r="R30" s="42">
        <v>3.718</v>
      </c>
      <c r="S30" s="48">
        <v>24805</v>
      </c>
      <c r="T30" s="44">
        <v>192.79599999999999</v>
      </c>
      <c r="U30" s="45">
        <v>1.12E-4</v>
      </c>
      <c r="V30" s="45">
        <v>0.120290059470228</v>
      </c>
      <c r="W30" s="45">
        <v>4.5073097429713096E-3</v>
      </c>
    </row>
    <row r="31" spans="1:23" x14ac:dyDescent="0.25">
      <c r="A31">
        <v>12904</v>
      </c>
      <c r="B31">
        <v>13680</v>
      </c>
      <c r="C31" t="s">
        <v>1334</v>
      </c>
      <c r="D31" t="s">
        <v>1335</v>
      </c>
      <c r="E31" t="s">
        <v>613</v>
      </c>
      <c r="F31" t="s">
        <v>1336</v>
      </c>
      <c r="G31" t="s">
        <v>1337</v>
      </c>
      <c r="H31" t="s">
        <v>213</v>
      </c>
      <c r="I31" t="s">
        <v>753</v>
      </c>
      <c r="J31" t="s">
        <v>85</v>
      </c>
      <c r="K31" t="s">
        <v>604</v>
      </c>
      <c r="L31" t="s">
        <v>216</v>
      </c>
      <c r="M31" t="s">
        <v>1187</v>
      </c>
      <c r="N31" t="s">
        <v>1145</v>
      </c>
      <c r="O31" t="s">
        <v>72</v>
      </c>
      <c r="P31" t="s">
        <v>79</v>
      </c>
      <c r="Q31" s="44">
        <v>7101.12</v>
      </c>
      <c r="R31" s="42">
        <v>4.8108000000000004</v>
      </c>
      <c r="S31" s="48">
        <v>1082.53</v>
      </c>
      <c r="T31" s="44">
        <v>369.815</v>
      </c>
      <c r="U31" s="45">
        <v>4.1999999999999998E-5</v>
      </c>
      <c r="V31" s="45">
        <v>0.28415011172579002</v>
      </c>
      <c r="W31" s="45">
        <v>7.9537122876591204E-3</v>
      </c>
    </row>
    <row r="32" spans="1:23" x14ac:dyDescent="0.25">
      <c r="A32">
        <v>12904</v>
      </c>
      <c r="B32">
        <v>13680</v>
      </c>
      <c r="C32" t="s">
        <v>1338</v>
      </c>
      <c r="D32" t="s">
        <v>1339</v>
      </c>
      <c r="E32" t="s">
        <v>613</v>
      </c>
      <c r="F32" t="s">
        <v>1340</v>
      </c>
      <c r="G32" t="s">
        <v>1341</v>
      </c>
      <c r="H32" t="s">
        <v>213</v>
      </c>
      <c r="I32" t="s">
        <v>1342</v>
      </c>
      <c r="J32" t="s">
        <v>85</v>
      </c>
      <c r="K32" t="s">
        <v>1343</v>
      </c>
      <c r="L32" t="s">
        <v>216</v>
      </c>
      <c r="M32" t="s">
        <v>1022</v>
      </c>
      <c r="N32" t="s">
        <v>1194</v>
      </c>
      <c r="O32" t="s">
        <v>72</v>
      </c>
      <c r="P32" t="s">
        <v>75</v>
      </c>
      <c r="Q32" s="44">
        <v>13.16</v>
      </c>
      <c r="R32" s="42">
        <v>3.718</v>
      </c>
      <c r="S32" s="48">
        <v>139175.6</v>
      </c>
      <c r="T32" s="44">
        <v>68.096999999999994</v>
      </c>
      <c r="U32" s="45">
        <v>1.9000000000000001E-5</v>
      </c>
      <c r="V32" s="45">
        <v>5.2322936935069002E-2</v>
      </c>
      <c r="W32" s="45">
        <v>1.46458357485523E-3</v>
      </c>
    </row>
    <row r="33" spans="1:23" x14ac:dyDescent="0.25">
      <c r="A33">
        <v>12904</v>
      </c>
      <c r="B33">
        <v>13680</v>
      </c>
      <c r="C33" t="s">
        <v>1146</v>
      </c>
      <c r="D33" t="s">
        <v>1147</v>
      </c>
      <c r="E33" t="s">
        <v>613</v>
      </c>
      <c r="F33" t="s">
        <v>1354</v>
      </c>
      <c r="G33" t="s">
        <v>1355</v>
      </c>
      <c r="H33" t="s">
        <v>213</v>
      </c>
      <c r="I33" t="s">
        <v>1342</v>
      </c>
      <c r="J33" t="s">
        <v>85</v>
      </c>
      <c r="K33" t="s">
        <v>215</v>
      </c>
      <c r="L33" t="s">
        <v>216</v>
      </c>
      <c r="M33" t="s">
        <v>1348</v>
      </c>
      <c r="N33" t="s">
        <v>1194</v>
      </c>
      <c r="O33" t="s">
        <v>72</v>
      </c>
      <c r="P33" t="s">
        <v>75</v>
      </c>
      <c r="Q33" s="44">
        <v>232.12</v>
      </c>
      <c r="R33" s="42">
        <v>3.718</v>
      </c>
      <c r="S33" s="48">
        <v>18652</v>
      </c>
      <c r="T33" s="44">
        <v>160.971</v>
      </c>
      <c r="U33" s="45">
        <v>2.5000000000000001E-5</v>
      </c>
      <c r="V33" s="45">
        <v>0.12368330749557301</v>
      </c>
      <c r="W33" s="45">
        <v>3.4620484103669402E-3</v>
      </c>
    </row>
    <row r="34" spans="1:23" x14ac:dyDescent="0.25">
      <c r="A34">
        <v>12904</v>
      </c>
      <c r="B34">
        <v>13680</v>
      </c>
      <c r="C34" t="s">
        <v>1356</v>
      </c>
      <c r="D34" t="s">
        <v>1357</v>
      </c>
      <c r="E34" t="s">
        <v>613</v>
      </c>
      <c r="F34" t="s">
        <v>1358</v>
      </c>
      <c r="G34" t="s">
        <v>1359</v>
      </c>
      <c r="H34" t="s">
        <v>213</v>
      </c>
      <c r="I34" t="s">
        <v>753</v>
      </c>
      <c r="J34" t="s">
        <v>85</v>
      </c>
      <c r="K34" t="s">
        <v>215</v>
      </c>
      <c r="L34" t="s">
        <v>216</v>
      </c>
      <c r="M34" t="s">
        <v>1348</v>
      </c>
      <c r="N34" t="s">
        <v>1145</v>
      </c>
      <c r="O34" t="s">
        <v>72</v>
      </c>
      <c r="P34" t="s">
        <v>75</v>
      </c>
      <c r="Q34" s="44">
        <v>8079.27</v>
      </c>
      <c r="R34" s="42">
        <v>3.718</v>
      </c>
      <c r="S34" s="48">
        <v>868</v>
      </c>
      <c r="T34" s="44">
        <v>260.73599999999999</v>
      </c>
      <c r="U34" s="45">
        <v>6.4000000000000005E-4</v>
      </c>
      <c r="V34" s="45">
        <v>0.200338754283862</v>
      </c>
      <c r="W34" s="45">
        <v>5.6077289639765099E-3</v>
      </c>
    </row>
    <row r="35" spans="1:23" x14ac:dyDescent="0.25">
      <c r="A35">
        <v>12904</v>
      </c>
      <c r="B35">
        <v>13680</v>
      </c>
      <c r="C35" t="s">
        <v>1360</v>
      </c>
      <c r="D35" t="s">
        <v>1361</v>
      </c>
      <c r="E35" t="s">
        <v>613</v>
      </c>
      <c r="F35" t="s">
        <v>1362</v>
      </c>
      <c r="G35" t="s">
        <v>1363</v>
      </c>
      <c r="H35" t="s">
        <v>213</v>
      </c>
      <c r="I35" t="s">
        <v>753</v>
      </c>
      <c r="J35" t="s">
        <v>85</v>
      </c>
      <c r="K35" t="s">
        <v>1244</v>
      </c>
      <c r="L35" t="s">
        <v>216</v>
      </c>
      <c r="M35" t="s">
        <v>286</v>
      </c>
      <c r="N35" t="s">
        <v>1145</v>
      </c>
      <c r="O35" t="s">
        <v>72</v>
      </c>
      <c r="P35" t="s">
        <v>75</v>
      </c>
      <c r="Q35" s="44">
        <v>2875.47</v>
      </c>
      <c r="R35" s="42">
        <v>3.718</v>
      </c>
      <c r="S35" s="48">
        <v>1372.39</v>
      </c>
      <c r="T35" s="44">
        <v>146.72200000000001</v>
      </c>
      <c r="U35" s="45">
        <v>1.25E-4</v>
      </c>
      <c r="V35" s="45">
        <v>0.112735191687988</v>
      </c>
      <c r="W35" s="45">
        <v>3.1555971381973299E-3</v>
      </c>
    </row>
    <row r="36" spans="1:23" x14ac:dyDescent="0.25">
      <c r="A36">
        <v>12904</v>
      </c>
      <c r="B36">
        <v>13680</v>
      </c>
      <c r="C36" t="s">
        <v>980</v>
      </c>
      <c r="D36" t="s">
        <v>981</v>
      </c>
      <c r="E36" t="s">
        <v>613</v>
      </c>
      <c r="F36" t="s">
        <v>1364</v>
      </c>
      <c r="G36" t="s">
        <v>1365</v>
      </c>
      <c r="H36" t="s">
        <v>213</v>
      </c>
      <c r="I36" t="s">
        <v>1342</v>
      </c>
      <c r="J36" t="s">
        <v>85</v>
      </c>
      <c r="K36" t="s">
        <v>984</v>
      </c>
      <c r="L36" t="s">
        <v>216</v>
      </c>
      <c r="M36" t="s">
        <v>286</v>
      </c>
      <c r="N36" t="s">
        <v>1194</v>
      </c>
      <c r="O36" t="s">
        <v>72</v>
      </c>
      <c r="P36" t="s">
        <v>75</v>
      </c>
      <c r="Q36" s="44">
        <v>1941.9</v>
      </c>
      <c r="R36" s="42">
        <v>3.718</v>
      </c>
      <c r="S36" s="48">
        <v>1121.3499999999999</v>
      </c>
      <c r="T36" s="44">
        <v>80.960999999999999</v>
      </c>
      <c r="U36" s="45">
        <v>0</v>
      </c>
      <c r="V36" s="45">
        <v>6.2207274071013299E-2</v>
      </c>
      <c r="W36" s="45">
        <v>1.7412583692307899E-3</v>
      </c>
    </row>
    <row r="37" spans="1:23" x14ac:dyDescent="0.25">
      <c r="A37">
        <v>12904</v>
      </c>
      <c r="B37">
        <v>13680</v>
      </c>
      <c r="C37" t="s">
        <v>1377</v>
      </c>
      <c r="D37" t="s">
        <v>1378</v>
      </c>
      <c r="E37" t="s">
        <v>613</v>
      </c>
      <c r="F37" t="s">
        <v>1379</v>
      </c>
      <c r="G37" t="s">
        <v>1380</v>
      </c>
      <c r="H37" t="s">
        <v>213</v>
      </c>
      <c r="I37" t="s">
        <v>1342</v>
      </c>
      <c r="J37" t="s">
        <v>85</v>
      </c>
      <c r="K37" t="s">
        <v>1353</v>
      </c>
      <c r="L37" t="s">
        <v>216</v>
      </c>
      <c r="M37" t="s">
        <v>286</v>
      </c>
      <c r="N37" t="s">
        <v>1194</v>
      </c>
      <c r="O37" t="s">
        <v>72</v>
      </c>
      <c r="P37" t="s">
        <v>75</v>
      </c>
      <c r="Q37" s="44">
        <v>232.23</v>
      </c>
      <c r="R37" s="42">
        <v>3.718</v>
      </c>
      <c r="S37" s="48">
        <v>24805</v>
      </c>
      <c r="T37" s="44">
        <v>214.17400000000001</v>
      </c>
      <c r="U37" s="45">
        <v>1.2400000000000001E-4</v>
      </c>
      <c r="V37" s="45">
        <v>0.16456242380070499</v>
      </c>
      <c r="W37" s="45">
        <v>4.6063053233416596E-3</v>
      </c>
    </row>
    <row r="38" spans="1:23" x14ac:dyDescent="0.25">
      <c r="A38">
        <v>424</v>
      </c>
      <c r="B38">
        <v>7228</v>
      </c>
      <c r="C38" t="s">
        <v>1334</v>
      </c>
      <c r="D38" t="s">
        <v>1335</v>
      </c>
      <c r="E38" t="s">
        <v>613</v>
      </c>
      <c r="F38" t="s">
        <v>1336</v>
      </c>
      <c r="G38" t="s">
        <v>1337</v>
      </c>
      <c r="H38" t="s">
        <v>213</v>
      </c>
      <c r="I38" t="s">
        <v>753</v>
      </c>
      <c r="J38" t="s">
        <v>85</v>
      </c>
      <c r="K38" t="s">
        <v>604</v>
      </c>
      <c r="L38" t="s">
        <v>216</v>
      </c>
      <c r="M38" t="s">
        <v>1187</v>
      </c>
      <c r="N38" t="s">
        <v>1145</v>
      </c>
      <c r="O38" t="s">
        <v>72</v>
      </c>
      <c r="P38" t="s">
        <v>79</v>
      </c>
      <c r="Q38" s="44">
        <v>98543.95</v>
      </c>
      <c r="R38" s="42">
        <v>4.8108000000000004</v>
      </c>
      <c r="S38" s="48">
        <v>1082.53</v>
      </c>
      <c r="T38" s="44">
        <v>5132.0069999999996</v>
      </c>
      <c r="U38" s="45">
        <v>5.7600000000000001E-4</v>
      </c>
      <c r="V38" s="45">
        <v>3.8503239244992001E-2</v>
      </c>
      <c r="W38" s="45">
        <v>2.0910007379618999E-3</v>
      </c>
    </row>
    <row r="39" spans="1:23" x14ac:dyDescent="0.25">
      <c r="A39">
        <v>424</v>
      </c>
      <c r="B39">
        <v>7228</v>
      </c>
      <c r="C39" t="s">
        <v>1338</v>
      </c>
      <c r="D39" t="s">
        <v>1339</v>
      </c>
      <c r="E39" t="s">
        <v>613</v>
      </c>
      <c r="F39" t="s">
        <v>1340</v>
      </c>
      <c r="G39" t="s">
        <v>1341</v>
      </c>
      <c r="H39" t="s">
        <v>213</v>
      </c>
      <c r="I39" t="s">
        <v>1342</v>
      </c>
      <c r="J39" t="s">
        <v>85</v>
      </c>
      <c r="K39" t="s">
        <v>1343</v>
      </c>
      <c r="L39" t="s">
        <v>216</v>
      </c>
      <c r="M39" t="s">
        <v>1022</v>
      </c>
      <c r="N39" t="s">
        <v>1194</v>
      </c>
      <c r="O39" t="s">
        <v>72</v>
      </c>
      <c r="P39" t="s">
        <v>75</v>
      </c>
      <c r="Q39" s="44">
        <v>2322.77</v>
      </c>
      <c r="R39" s="42">
        <v>3.718</v>
      </c>
      <c r="S39" s="48">
        <v>139175.6</v>
      </c>
      <c r="T39" s="44">
        <v>12019.287</v>
      </c>
      <c r="U39" s="45">
        <v>3.287E-3</v>
      </c>
      <c r="V39" s="45">
        <v>9.0175540556998099E-2</v>
      </c>
      <c r="W39" s="45">
        <v>4.8971755506342597E-3</v>
      </c>
    </row>
    <row r="40" spans="1:23" x14ac:dyDescent="0.25">
      <c r="A40">
        <v>424</v>
      </c>
      <c r="B40">
        <v>7228</v>
      </c>
      <c r="C40" t="s">
        <v>1344</v>
      </c>
      <c r="D40" t="s">
        <v>1345</v>
      </c>
      <c r="E40" t="s">
        <v>613</v>
      </c>
      <c r="F40" t="s">
        <v>1346</v>
      </c>
      <c r="G40" t="s">
        <v>1347</v>
      </c>
      <c r="H40" t="s">
        <v>213</v>
      </c>
      <c r="I40" t="s">
        <v>753</v>
      </c>
      <c r="J40" t="s">
        <v>85</v>
      </c>
      <c r="K40" t="s">
        <v>1199</v>
      </c>
      <c r="L40" t="s">
        <v>216</v>
      </c>
      <c r="M40" t="s">
        <v>1348</v>
      </c>
      <c r="N40" t="s">
        <v>1145</v>
      </c>
      <c r="O40" t="s">
        <v>72</v>
      </c>
      <c r="P40" t="s">
        <v>77</v>
      </c>
      <c r="Q40" s="44">
        <v>54973.29</v>
      </c>
      <c r="R40" s="42">
        <v>4.0218999999999996</v>
      </c>
      <c r="S40" s="48">
        <v>4472</v>
      </c>
      <c r="T40" s="44">
        <v>9887.4609999999993</v>
      </c>
      <c r="U40" s="45">
        <v>2.0119999999999999E-3</v>
      </c>
      <c r="V40" s="45">
        <v>7.4181370141752995E-2</v>
      </c>
      <c r="W40" s="45">
        <v>4.0285779261963204E-3</v>
      </c>
    </row>
    <row r="41" spans="1:23" x14ac:dyDescent="0.25">
      <c r="A41">
        <v>424</v>
      </c>
      <c r="B41">
        <v>7228</v>
      </c>
      <c r="C41" t="s">
        <v>1349</v>
      </c>
      <c r="D41" t="s">
        <v>1350</v>
      </c>
      <c r="E41" t="s">
        <v>613</v>
      </c>
      <c r="F41" t="s">
        <v>1351</v>
      </c>
      <c r="G41" t="s">
        <v>1352</v>
      </c>
      <c r="H41" t="s">
        <v>213</v>
      </c>
      <c r="I41" t="s">
        <v>1342</v>
      </c>
      <c r="J41" t="s">
        <v>85</v>
      </c>
      <c r="K41" t="s">
        <v>1353</v>
      </c>
      <c r="L41" t="s">
        <v>216</v>
      </c>
      <c r="M41" t="s">
        <v>286</v>
      </c>
      <c r="N41" t="s">
        <v>1194</v>
      </c>
      <c r="O41" t="s">
        <v>72</v>
      </c>
      <c r="P41" t="s">
        <v>75</v>
      </c>
      <c r="Q41" s="44">
        <v>71123.75</v>
      </c>
      <c r="R41" s="42">
        <v>3.718</v>
      </c>
      <c r="S41" s="48">
        <v>3562</v>
      </c>
      <c r="T41" s="44">
        <v>9419.2849999999999</v>
      </c>
      <c r="U41" s="45">
        <v>1.6410000000000001E-3</v>
      </c>
      <c r="V41" s="45">
        <v>7.0668847021566797E-2</v>
      </c>
      <c r="W41" s="45">
        <v>3.83782284739154E-3</v>
      </c>
    </row>
    <row r="42" spans="1:23" x14ac:dyDescent="0.25">
      <c r="A42">
        <v>424</v>
      </c>
      <c r="B42">
        <v>7228</v>
      </c>
      <c r="C42" t="s">
        <v>1146</v>
      </c>
      <c r="D42" t="s">
        <v>1147</v>
      </c>
      <c r="E42" t="s">
        <v>613</v>
      </c>
      <c r="F42" t="s">
        <v>1354</v>
      </c>
      <c r="G42" t="s">
        <v>1355</v>
      </c>
      <c r="H42" t="s">
        <v>213</v>
      </c>
      <c r="I42" t="s">
        <v>1342</v>
      </c>
      <c r="J42" t="s">
        <v>85</v>
      </c>
      <c r="K42" t="s">
        <v>215</v>
      </c>
      <c r="L42" t="s">
        <v>216</v>
      </c>
      <c r="M42" t="s">
        <v>1348</v>
      </c>
      <c r="N42" t="s">
        <v>1194</v>
      </c>
      <c r="O42" t="s">
        <v>72</v>
      </c>
      <c r="P42" t="s">
        <v>75</v>
      </c>
      <c r="Q42" s="44">
        <v>34621.64</v>
      </c>
      <c r="R42" s="42">
        <v>3.718</v>
      </c>
      <c r="S42" s="48">
        <v>18652</v>
      </c>
      <c r="T42" s="44">
        <v>24009.462</v>
      </c>
      <c r="U42" s="45">
        <v>3.7989999999999999E-3</v>
      </c>
      <c r="V42" s="45">
        <v>0.18013267021969501</v>
      </c>
      <c r="W42" s="45">
        <v>9.7824898306295392E-3</v>
      </c>
    </row>
    <row r="43" spans="1:23" x14ac:dyDescent="0.25">
      <c r="A43">
        <v>424</v>
      </c>
      <c r="B43">
        <v>7228</v>
      </c>
      <c r="C43" t="s">
        <v>1356</v>
      </c>
      <c r="D43" t="s">
        <v>1357</v>
      </c>
      <c r="E43" t="s">
        <v>613</v>
      </c>
      <c r="F43" t="s">
        <v>1358</v>
      </c>
      <c r="G43" t="s">
        <v>1359</v>
      </c>
      <c r="H43" t="s">
        <v>213</v>
      </c>
      <c r="I43" t="s">
        <v>753</v>
      </c>
      <c r="J43" t="s">
        <v>85</v>
      </c>
      <c r="K43" t="s">
        <v>215</v>
      </c>
      <c r="L43" t="s">
        <v>216</v>
      </c>
      <c r="M43" t="s">
        <v>1348</v>
      </c>
      <c r="N43" t="s">
        <v>1145</v>
      </c>
      <c r="O43" t="s">
        <v>72</v>
      </c>
      <c r="P43" t="s">
        <v>75</v>
      </c>
      <c r="Q43" s="44">
        <v>349645.04</v>
      </c>
      <c r="R43" s="42">
        <v>3.718</v>
      </c>
      <c r="S43" s="48">
        <v>868</v>
      </c>
      <c r="T43" s="44">
        <v>11283.829</v>
      </c>
      <c r="U43" s="45">
        <v>2.7677E-2</v>
      </c>
      <c r="V43" s="45">
        <v>8.4657714732360403E-2</v>
      </c>
      <c r="W43" s="45">
        <v>4.5975182205626498E-3</v>
      </c>
    </row>
    <row r="44" spans="1:23" x14ac:dyDescent="0.25">
      <c r="A44">
        <v>424</v>
      </c>
      <c r="B44">
        <v>7228</v>
      </c>
      <c r="C44" t="s">
        <v>1360</v>
      </c>
      <c r="D44" t="s">
        <v>1361</v>
      </c>
      <c r="E44" t="s">
        <v>613</v>
      </c>
      <c r="F44" t="s">
        <v>1362</v>
      </c>
      <c r="G44" t="s">
        <v>1363</v>
      </c>
      <c r="H44" t="s">
        <v>213</v>
      </c>
      <c r="I44" t="s">
        <v>753</v>
      </c>
      <c r="J44" t="s">
        <v>85</v>
      </c>
      <c r="K44" t="s">
        <v>1244</v>
      </c>
      <c r="L44" t="s">
        <v>216</v>
      </c>
      <c r="M44" t="s">
        <v>286</v>
      </c>
      <c r="N44" t="s">
        <v>1145</v>
      </c>
      <c r="O44" t="s">
        <v>72</v>
      </c>
      <c r="P44" t="s">
        <v>75</v>
      </c>
      <c r="Q44" s="44">
        <v>262821.98</v>
      </c>
      <c r="R44" s="42">
        <v>3.718</v>
      </c>
      <c r="S44" s="48">
        <v>1372.39</v>
      </c>
      <c r="T44" s="44">
        <v>13410.611999999999</v>
      </c>
      <c r="U44" s="45">
        <v>1.1450999999999999E-2</v>
      </c>
      <c r="V44" s="45">
        <v>0.10061405941028601</v>
      </c>
      <c r="W44" s="45">
        <v>5.4640616374534001E-3</v>
      </c>
    </row>
    <row r="45" spans="1:23" x14ac:dyDescent="0.25">
      <c r="A45">
        <v>424</v>
      </c>
      <c r="B45">
        <v>7228</v>
      </c>
      <c r="C45" t="s">
        <v>980</v>
      </c>
      <c r="D45" t="s">
        <v>981</v>
      </c>
      <c r="E45" t="s">
        <v>613</v>
      </c>
      <c r="F45" t="s">
        <v>1364</v>
      </c>
      <c r="G45" t="s">
        <v>1365</v>
      </c>
      <c r="H45" t="s">
        <v>213</v>
      </c>
      <c r="I45" t="s">
        <v>1342</v>
      </c>
      <c r="J45" t="s">
        <v>85</v>
      </c>
      <c r="K45" t="s">
        <v>984</v>
      </c>
      <c r="L45" t="s">
        <v>216</v>
      </c>
      <c r="M45" t="s">
        <v>286</v>
      </c>
      <c r="N45" t="s">
        <v>1194</v>
      </c>
      <c r="O45" t="s">
        <v>72</v>
      </c>
      <c r="P45" t="s">
        <v>75</v>
      </c>
      <c r="Q45" s="44">
        <v>174770.86</v>
      </c>
      <c r="R45" s="42">
        <v>3.718</v>
      </c>
      <c r="S45" s="48">
        <v>1121.3499999999999</v>
      </c>
      <c r="T45" s="44">
        <v>7286.5110000000004</v>
      </c>
      <c r="U45" s="45">
        <v>0</v>
      </c>
      <c r="V45" s="45">
        <v>5.46675555043011E-2</v>
      </c>
      <c r="W45" s="45">
        <v>2.9688384962814501E-3</v>
      </c>
    </row>
    <row r="46" spans="1:23" x14ac:dyDescent="0.25">
      <c r="A46">
        <v>424</v>
      </c>
      <c r="B46">
        <v>7228</v>
      </c>
      <c r="C46" t="s">
        <v>1366</v>
      </c>
      <c r="D46" t="s">
        <v>1367</v>
      </c>
      <c r="E46" t="s">
        <v>613</v>
      </c>
      <c r="F46" t="s">
        <v>1366</v>
      </c>
      <c r="G46" t="s">
        <v>1368</v>
      </c>
      <c r="H46" t="s">
        <v>213</v>
      </c>
      <c r="I46" t="s">
        <v>753</v>
      </c>
      <c r="J46" t="s">
        <v>85</v>
      </c>
      <c r="K46" t="s">
        <v>291</v>
      </c>
      <c r="L46" t="s">
        <v>216</v>
      </c>
      <c r="M46" t="s">
        <v>1022</v>
      </c>
      <c r="N46" t="s">
        <v>1145</v>
      </c>
      <c r="O46" t="s">
        <v>72</v>
      </c>
      <c r="P46" t="s">
        <v>75</v>
      </c>
      <c r="Q46" s="44">
        <v>10000</v>
      </c>
      <c r="R46" s="42">
        <v>3.718</v>
      </c>
      <c r="S46" s="48">
        <v>12316</v>
      </c>
      <c r="T46" s="44">
        <v>4579.0889999999999</v>
      </c>
      <c r="U46" s="45">
        <v>0</v>
      </c>
      <c r="V46" s="45">
        <v>3.4354934440858402E-2</v>
      </c>
      <c r="W46" s="45">
        <v>1.86571817533018E-3</v>
      </c>
    </row>
    <row r="47" spans="1:23" x14ac:dyDescent="0.25">
      <c r="A47">
        <v>424</v>
      </c>
      <c r="B47">
        <v>7228</v>
      </c>
      <c r="C47" t="s">
        <v>1369</v>
      </c>
      <c r="D47" t="s">
        <v>1370</v>
      </c>
      <c r="E47" t="s">
        <v>613</v>
      </c>
      <c r="F47" t="s">
        <v>1371</v>
      </c>
      <c r="G47" t="s">
        <v>1372</v>
      </c>
      <c r="H47" t="s">
        <v>213</v>
      </c>
      <c r="I47" t="s">
        <v>1342</v>
      </c>
      <c r="J47" t="s">
        <v>85</v>
      </c>
      <c r="K47" t="s">
        <v>215</v>
      </c>
      <c r="L47" t="s">
        <v>216</v>
      </c>
      <c r="M47" t="s">
        <v>286</v>
      </c>
      <c r="N47" t="s">
        <v>1194</v>
      </c>
      <c r="O47" t="s">
        <v>72</v>
      </c>
      <c r="P47" t="s">
        <v>75</v>
      </c>
      <c r="Q47" s="44">
        <v>211763.91</v>
      </c>
      <c r="R47" s="42">
        <v>3.718</v>
      </c>
      <c r="S47" s="48">
        <v>1269.81</v>
      </c>
      <c r="T47" s="44">
        <v>9997.6990000000005</v>
      </c>
      <c r="U47" s="45">
        <v>0</v>
      </c>
      <c r="V47" s="45">
        <v>7.5008440122122003E-2</v>
      </c>
      <c r="W47" s="45">
        <v>4.0734937299886599E-3</v>
      </c>
    </row>
    <row r="48" spans="1:23" x14ac:dyDescent="0.25">
      <c r="A48">
        <v>424</v>
      </c>
      <c r="B48">
        <v>7228</v>
      </c>
      <c r="C48" t="s">
        <v>1373</v>
      </c>
      <c r="D48" t="s">
        <v>1374</v>
      </c>
      <c r="E48" t="s">
        <v>613</v>
      </c>
      <c r="F48" t="s">
        <v>1375</v>
      </c>
      <c r="G48" t="s">
        <v>1376</v>
      </c>
      <c r="H48" t="s">
        <v>213</v>
      </c>
      <c r="I48" t="s">
        <v>1342</v>
      </c>
      <c r="J48" t="s">
        <v>85</v>
      </c>
      <c r="K48" t="s">
        <v>1193</v>
      </c>
      <c r="L48" t="s">
        <v>216</v>
      </c>
      <c r="M48" t="s">
        <v>1348</v>
      </c>
      <c r="N48" t="s">
        <v>1194</v>
      </c>
      <c r="O48" t="s">
        <v>72</v>
      </c>
      <c r="P48" t="s">
        <v>75</v>
      </c>
      <c r="Q48" s="44">
        <v>338581.67</v>
      </c>
      <c r="R48" s="42">
        <v>3.718</v>
      </c>
      <c r="S48" s="48">
        <v>1210.78</v>
      </c>
      <c r="T48" s="44">
        <v>15241.862999999999</v>
      </c>
      <c r="U48" s="45">
        <v>1.3710999999999999E-2</v>
      </c>
      <c r="V48" s="45">
        <v>0.114353148128191</v>
      </c>
      <c r="W48" s="45">
        <v>6.21019222831788E-3</v>
      </c>
    </row>
    <row r="49" spans="1:23" x14ac:dyDescent="0.25">
      <c r="A49">
        <v>424</v>
      </c>
      <c r="B49">
        <v>7228</v>
      </c>
      <c r="C49" t="s">
        <v>1377</v>
      </c>
      <c r="D49" t="s">
        <v>1378</v>
      </c>
      <c r="E49" t="s">
        <v>613</v>
      </c>
      <c r="F49" t="s">
        <v>1379</v>
      </c>
      <c r="G49" t="s">
        <v>1380</v>
      </c>
      <c r="H49" t="s">
        <v>213</v>
      </c>
      <c r="I49" t="s">
        <v>1342</v>
      </c>
      <c r="J49" t="s">
        <v>85</v>
      </c>
      <c r="K49" t="s">
        <v>1353</v>
      </c>
      <c r="L49" t="s">
        <v>216</v>
      </c>
      <c r="M49" t="s">
        <v>286</v>
      </c>
      <c r="N49" t="s">
        <v>1194</v>
      </c>
      <c r="O49" t="s">
        <v>72</v>
      </c>
      <c r="P49" t="s">
        <v>75</v>
      </c>
      <c r="Q49" s="44">
        <v>11949.64</v>
      </c>
      <c r="R49" s="42">
        <v>3.718</v>
      </c>
      <c r="S49" s="48">
        <v>24805</v>
      </c>
      <c r="T49" s="44">
        <v>11020.554</v>
      </c>
      <c r="U49" s="45">
        <v>6.3899999999999998E-3</v>
      </c>
      <c r="V49" s="45">
        <v>8.2682480476876194E-2</v>
      </c>
      <c r="W49" s="45">
        <v>4.4902489007117999E-3</v>
      </c>
    </row>
    <row r="50" spans="1:23" x14ac:dyDescent="0.25">
      <c r="A50">
        <v>424</v>
      </c>
      <c r="B50">
        <v>7229</v>
      </c>
      <c r="C50" t="s">
        <v>1334</v>
      </c>
      <c r="D50" t="s">
        <v>1335</v>
      </c>
      <c r="E50" t="s">
        <v>613</v>
      </c>
      <c r="F50" t="s">
        <v>1336</v>
      </c>
      <c r="G50" t="s">
        <v>1337</v>
      </c>
      <c r="H50" t="s">
        <v>213</v>
      </c>
      <c r="I50" t="s">
        <v>753</v>
      </c>
      <c r="J50" t="s">
        <v>85</v>
      </c>
      <c r="K50" t="s">
        <v>604</v>
      </c>
      <c r="L50" t="s">
        <v>216</v>
      </c>
      <c r="M50" t="s">
        <v>1187</v>
      </c>
      <c r="N50" t="s">
        <v>1145</v>
      </c>
      <c r="O50" t="s">
        <v>72</v>
      </c>
      <c r="P50" t="s">
        <v>79</v>
      </c>
      <c r="Q50" s="44">
        <v>2947.11</v>
      </c>
      <c r="R50" s="42">
        <v>4.8108000000000004</v>
      </c>
      <c r="S50" s="48">
        <v>1082.53</v>
      </c>
      <c r="T50" s="44">
        <v>153.48099999999999</v>
      </c>
      <c r="U50" s="45">
        <v>1.7E-5</v>
      </c>
      <c r="V50" s="45">
        <v>2.3574508755238501E-2</v>
      </c>
      <c r="W50" s="45">
        <v>1.0215864912403801E-3</v>
      </c>
    </row>
    <row r="51" spans="1:23" x14ac:dyDescent="0.25">
      <c r="A51">
        <v>424</v>
      </c>
      <c r="B51">
        <v>7229</v>
      </c>
      <c r="C51" t="s">
        <v>1338</v>
      </c>
      <c r="D51" t="s">
        <v>1339</v>
      </c>
      <c r="E51" t="s">
        <v>613</v>
      </c>
      <c r="F51" t="s">
        <v>1340</v>
      </c>
      <c r="G51" t="s">
        <v>1341</v>
      </c>
      <c r="H51" t="s">
        <v>213</v>
      </c>
      <c r="I51" t="s">
        <v>1342</v>
      </c>
      <c r="J51" t="s">
        <v>85</v>
      </c>
      <c r="K51" t="s">
        <v>1343</v>
      </c>
      <c r="L51" t="s">
        <v>216</v>
      </c>
      <c r="M51" t="s">
        <v>1022</v>
      </c>
      <c r="N51" t="s">
        <v>1194</v>
      </c>
      <c r="O51" t="s">
        <v>72</v>
      </c>
      <c r="P51" t="s">
        <v>75</v>
      </c>
      <c r="Q51" s="44">
        <v>73.55</v>
      </c>
      <c r="R51" s="42">
        <v>3.718</v>
      </c>
      <c r="S51" s="48">
        <v>139175.6</v>
      </c>
      <c r="T51" s="44">
        <v>380.58800000000002</v>
      </c>
      <c r="U51" s="45">
        <v>1.0399999999999999E-4</v>
      </c>
      <c r="V51" s="45">
        <v>5.8458036939707698E-2</v>
      </c>
      <c r="W51" s="45">
        <v>2.53324221777331E-3</v>
      </c>
    </row>
    <row r="52" spans="1:23" x14ac:dyDescent="0.25">
      <c r="A52">
        <v>424</v>
      </c>
      <c r="B52">
        <v>7229</v>
      </c>
      <c r="C52" t="s">
        <v>1349</v>
      </c>
      <c r="D52" t="s">
        <v>1350</v>
      </c>
      <c r="E52" t="s">
        <v>613</v>
      </c>
      <c r="F52" t="s">
        <v>1351</v>
      </c>
      <c r="G52" t="s">
        <v>1352</v>
      </c>
      <c r="H52" t="s">
        <v>213</v>
      </c>
      <c r="I52" t="s">
        <v>1342</v>
      </c>
      <c r="J52" t="s">
        <v>85</v>
      </c>
      <c r="K52" t="s">
        <v>1353</v>
      </c>
      <c r="L52" t="s">
        <v>216</v>
      </c>
      <c r="M52" t="s">
        <v>286</v>
      </c>
      <c r="N52" t="s">
        <v>1194</v>
      </c>
      <c r="O52" t="s">
        <v>72</v>
      </c>
      <c r="P52" t="s">
        <v>75</v>
      </c>
      <c r="Q52" s="44">
        <v>6543.38</v>
      </c>
      <c r="R52" s="42">
        <v>3.718</v>
      </c>
      <c r="S52" s="48">
        <v>3562</v>
      </c>
      <c r="T52" s="44">
        <v>866.57399999999996</v>
      </c>
      <c r="U52" s="45">
        <v>1.5100000000000001E-4</v>
      </c>
      <c r="V52" s="45">
        <v>0.133105041568127</v>
      </c>
      <c r="W52" s="45">
        <v>5.7680231555948301E-3</v>
      </c>
    </row>
    <row r="53" spans="1:23" x14ac:dyDescent="0.25">
      <c r="A53">
        <v>424</v>
      </c>
      <c r="B53">
        <v>7229</v>
      </c>
      <c r="C53" t="s">
        <v>1146</v>
      </c>
      <c r="D53" t="s">
        <v>1147</v>
      </c>
      <c r="E53" t="s">
        <v>613</v>
      </c>
      <c r="F53" t="s">
        <v>1354</v>
      </c>
      <c r="G53" t="s">
        <v>1355</v>
      </c>
      <c r="H53" t="s">
        <v>213</v>
      </c>
      <c r="I53" t="s">
        <v>1342</v>
      </c>
      <c r="J53" t="s">
        <v>85</v>
      </c>
      <c r="K53" t="s">
        <v>215</v>
      </c>
      <c r="L53" t="s">
        <v>216</v>
      </c>
      <c r="M53" t="s">
        <v>1348</v>
      </c>
      <c r="N53" t="s">
        <v>1194</v>
      </c>
      <c r="O53" t="s">
        <v>72</v>
      </c>
      <c r="P53" t="s">
        <v>75</v>
      </c>
      <c r="Q53" s="44">
        <v>1569.27</v>
      </c>
      <c r="R53" s="42">
        <v>3.718</v>
      </c>
      <c r="S53" s="48">
        <v>18652</v>
      </c>
      <c r="T53" s="44">
        <v>1088.259</v>
      </c>
      <c r="U53" s="45">
        <v>1.7200000000000001E-4</v>
      </c>
      <c r="V53" s="45">
        <v>0.16715582953882899</v>
      </c>
      <c r="W53" s="45">
        <v>7.2435926093689096E-3</v>
      </c>
    </row>
    <row r="54" spans="1:23" x14ac:dyDescent="0.25">
      <c r="A54">
        <v>424</v>
      </c>
      <c r="B54">
        <v>7229</v>
      </c>
      <c r="C54" t="s">
        <v>1356</v>
      </c>
      <c r="D54" t="s">
        <v>1357</v>
      </c>
      <c r="E54" t="s">
        <v>613</v>
      </c>
      <c r="F54" t="s">
        <v>1358</v>
      </c>
      <c r="G54" t="s">
        <v>1359</v>
      </c>
      <c r="H54" t="s">
        <v>213</v>
      </c>
      <c r="I54" t="s">
        <v>753</v>
      </c>
      <c r="J54" t="s">
        <v>85</v>
      </c>
      <c r="K54" t="s">
        <v>215</v>
      </c>
      <c r="L54" t="s">
        <v>216</v>
      </c>
      <c r="M54" t="s">
        <v>1348</v>
      </c>
      <c r="N54" t="s">
        <v>1145</v>
      </c>
      <c r="O54" t="s">
        <v>72</v>
      </c>
      <c r="P54" t="s">
        <v>75</v>
      </c>
      <c r="Q54" s="44">
        <v>28821.46</v>
      </c>
      <c r="R54" s="42">
        <v>3.718</v>
      </c>
      <c r="S54" s="48">
        <v>868</v>
      </c>
      <c r="T54" s="44">
        <v>930.13300000000004</v>
      </c>
      <c r="U54" s="45">
        <v>2.281E-3</v>
      </c>
      <c r="V54" s="45">
        <v>0.14286773191129601</v>
      </c>
      <c r="W54" s="45">
        <v>6.1910831937187797E-3</v>
      </c>
    </row>
    <row r="55" spans="1:23" x14ac:dyDescent="0.25">
      <c r="A55">
        <v>424</v>
      </c>
      <c r="B55">
        <v>7229</v>
      </c>
      <c r="C55" t="s">
        <v>1360</v>
      </c>
      <c r="D55" t="s">
        <v>1361</v>
      </c>
      <c r="E55" t="s">
        <v>613</v>
      </c>
      <c r="F55" t="s">
        <v>1362</v>
      </c>
      <c r="G55" t="s">
        <v>1363</v>
      </c>
      <c r="H55" t="s">
        <v>213</v>
      </c>
      <c r="I55" t="s">
        <v>753</v>
      </c>
      <c r="J55" t="s">
        <v>85</v>
      </c>
      <c r="K55" t="s">
        <v>1244</v>
      </c>
      <c r="L55" t="s">
        <v>216</v>
      </c>
      <c r="M55" t="s">
        <v>286</v>
      </c>
      <c r="N55" t="s">
        <v>1145</v>
      </c>
      <c r="O55" t="s">
        <v>72</v>
      </c>
      <c r="P55" t="s">
        <v>75</v>
      </c>
      <c r="Q55" s="44">
        <v>1177.04</v>
      </c>
      <c r="R55" s="42">
        <v>3.718</v>
      </c>
      <c r="S55" s="48">
        <v>1372.39</v>
      </c>
      <c r="T55" s="44">
        <v>60.058999999999997</v>
      </c>
      <c r="U55" s="45">
        <v>5.1E-5</v>
      </c>
      <c r="V55" s="45">
        <v>9.2250178437431295E-3</v>
      </c>
      <c r="W55" s="45">
        <v>3.9976033895193399E-4</v>
      </c>
    </row>
    <row r="56" spans="1:23" x14ac:dyDescent="0.25">
      <c r="A56">
        <v>424</v>
      </c>
      <c r="B56">
        <v>7229</v>
      </c>
      <c r="C56" t="s">
        <v>980</v>
      </c>
      <c r="D56" t="s">
        <v>981</v>
      </c>
      <c r="E56" t="s">
        <v>613</v>
      </c>
      <c r="F56" t="s">
        <v>1364</v>
      </c>
      <c r="G56" t="s">
        <v>1365</v>
      </c>
      <c r="H56" t="s">
        <v>213</v>
      </c>
      <c r="I56" t="s">
        <v>1342</v>
      </c>
      <c r="J56" t="s">
        <v>85</v>
      </c>
      <c r="K56" t="s">
        <v>984</v>
      </c>
      <c r="L56" t="s">
        <v>216</v>
      </c>
      <c r="M56" t="s">
        <v>286</v>
      </c>
      <c r="N56" t="s">
        <v>1194</v>
      </c>
      <c r="O56" t="s">
        <v>72</v>
      </c>
      <c r="P56" t="s">
        <v>75</v>
      </c>
      <c r="Q56" s="44">
        <v>11165.92</v>
      </c>
      <c r="R56" s="42">
        <v>3.718</v>
      </c>
      <c r="S56" s="48">
        <v>1121.3499999999999</v>
      </c>
      <c r="T56" s="44">
        <v>465.52699999999999</v>
      </c>
      <c r="U56" s="45">
        <v>0</v>
      </c>
      <c r="V56" s="45">
        <v>7.1504627306111707E-2</v>
      </c>
      <c r="W56" s="45">
        <v>3.0986079954209E-3</v>
      </c>
    </row>
    <row r="57" spans="1:23" x14ac:dyDescent="0.25">
      <c r="A57">
        <v>424</v>
      </c>
      <c r="B57">
        <v>7229</v>
      </c>
      <c r="C57" t="s">
        <v>1369</v>
      </c>
      <c r="D57" t="s">
        <v>1370</v>
      </c>
      <c r="E57" t="s">
        <v>613</v>
      </c>
      <c r="F57" t="s">
        <v>1371</v>
      </c>
      <c r="G57" t="s">
        <v>1372</v>
      </c>
      <c r="H57" t="s">
        <v>213</v>
      </c>
      <c r="I57" t="s">
        <v>1342</v>
      </c>
      <c r="J57" t="s">
        <v>85</v>
      </c>
      <c r="K57" t="s">
        <v>215</v>
      </c>
      <c r="L57" t="s">
        <v>216</v>
      </c>
      <c r="M57" t="s">
        <v>286</v>
      </c>
      <c r="N57" t="s">
        <v>1194</v>
      </c>
      <c r="O57" t="s">
        <v>72</v>
      </c>
      <c r="P57" t="s">
        <v>75</v>
      </c>
      <c r="Q57" s="44">
        <v>26395.85</v>
      </c>
      <c r="R57" s="42">
        <v>3.718</v>
      </c>
      <c r="S57" s="48">
        <v>1269.81</v>
      </c>
      <c r="T57" s="44">
        <v>1246.1890000000001</v>
      </c>
      <c r="U57" s="45">
        <v>0</v>
      </c>
      <c r="V57" s="45">
        <v>0.191413622636016</v>
      </c>
      <c r="W57" s="45">
        <v>8.2947887972803103E-3</v>
      </c>
    </row>
    <row r="58" spans="1:23" x14ac:dyDescent="0.25">
      <c r="A58">
        <v>424</v>
      </c>
      <c r="B58">
        <v>7229</v>
      </c>
      <c r="C58" t="s">
        <v>1373</v>
      </c>
      <c r="D58" t="s">
        <v>1374</v>
      </c>
      <c r="E58" t="s">
        <v>613</v>
      </c>
      <c r="F58" t="s">
        <v>1375</v>
      </c>
      <c r="G58" t="s">
        <v>1376</v>
      </c>
      <c r="H58" t="s">
        <v>213</v>
      </c>
      <c r="I58" t="s">
        <v>1342</v>
      </c>
      <c r="J58" t="s">
        <v>85</v>
      </c>
      <c r="K58" t="s">
        <v>1193</v>
      </c>
      <c r="L58" t="s">
        <v>216</v>
      </c>
      <c r="M58" t="s">
        <v>1348</v>
      </c>
      <c r="N58" t="s">
        <v>1194</v>
      </c>
      <c r="O58" t="s">
        <v>72</v>
      </c>
      <c r="P58" t="s">
        <v>75</v>
      </c>
      <c r="Q58" s="44">
        <v>16000.21</v>
      </c>
      <c r="R58" s="42">
        <v>3.718</v>
      </c>
      <c r="S58" s="48">
        <v>1210.78</v>
      </c>
      <c r="T58" s="44">
        <v>720.27800000000002</v>
      </c>
      <c r="U58" s="45">
        <v>6.4800000000000003E-4</v>
      </c>
      <c r="V58" s="45">
        <v>0.110634192232826</v>
      </c>
      <c r="W58" s="45">
        <v>4.7942630503056303E-3</v>
      </c>
    </row>
    <row r="59" spans="1:23" x14ac:dyDescent="0.25">
      <c r="A59">
        <v>424</v>
      </c>
      <c r="B59">
        <v>7229</v>
      </c>
      <c r="C59" t="s">
        <v>1377</v>
      </c>
      <c r="D59" t="s">
        <v>1378</v>
      </c>
      <c r="E59" t="s">
        <v>613</v>
      </c>
      <c r="F59" t="s">
        <v>1379</v>
      </c>
      <c r="G59" t="s">
        <v>1380</v>
      </c>
      <c r="H59" t="s">
        <v>213</v>
      </c>
      <c r="I59" t="s">
        <v>1342</v>
      </c>
      <c r="J59" t="s">
        <v>85</v>
      </c>
      <c r="K59" t="s">
        <v>1353</v>
      </c>
      <c r="L59" t="s">
        <v>216</v>
      </c>
      <c r="M59" t="s">
        <v>286</v>
      </c>
      <c r="N59" t="s">
        <v>1194</v>
      </c>
      <c r="O59" t="s">
        <v>72</v>
      </c>
      <c r="P59" t="s">
        <v>75</v>
      </c>
      <c r="Q59" s="44">
        <v>649.89</v>
      </c>
      <c r="R59" s="42">
        <v>3.718</v>
      </c>
      <c r="S59" s="48">
        <v>24805</v>
      </c>
      <c r="T59" s="44">
        <v>599.36099999999999</v>
      </c>
      <c r="U59" s="45">
        <v>3.48E-4</v>
      </c>
      <c r="V59" s="45">
        <v>9.2061391268103601E-2</v>
      </c>
      <c r="W59" s="45">
        <v>3.9894224164222104E-3</v>
      </c>
    </row>
    <row r="60" spans="1:23" x14ac:dyDescent="0.25">
      <c r="A60">
        <v>969</v>
      </c>
      <c r="B60">
        <v>969</v>
      </c>
      <c r="C60" t="s">
        <v>1334</v>
      </c>
      <c r="D60" t="s">
        <v>1335</v>
      </c>
      <c r="E60" t="s">
        <v>613</v>
      </c>
      <c r="F60" t="s">
        <v>1336</v>
      </c>
      <c r="G60" t="s">
        <v>1337</v>
      </c>
      <c r="H60" t="s">
        <v>213</v>
      </c>
      <c r="I60" t="s">
        <v>753</v>
      </c>
      <c r="J60" t="s">
        <v>85</v>
      </c>
      <c r="K60" t="s">
        <v>604</v>
      </c>
      <c r="L60" t="s">
        <v>216</v>
      </c>
      <c r="M60" t="s">
        <v>1187</v>
      </c>
      <c r="N60" t="s">
        <v>1145</v>
      </c>
      <c r="O60" t="s">
        <v>72</v>
      </c>
      <c r="P60" t="s">
        <v>79</v>
      </c>
      <c r="Q60" s="44">
        <v>3131.3</v>
      </c>
      <c r="R60" s="42">
        <v>4.8108000000000004</v>
      </c>
      <c r="S60" s="48">
        <v>1082.53</v>
      </c>
      <c r="T60" s="44">
        <v>163.07300000000001</v>
      </c>
      <c r="U60" s="45">
        <v>1.8E-5</v>
      </c>
      <c r="V60" s="45">
        <v>3.8120069624652399E-2</v>
      </c>
      <c r="W60" s="45">
        <v>2.2259651974870301E-3</v>
      </c>
    </row>
    <row r="61" spans="1:23" x14ac:dyDescent="0.25">
      <c r="A61">
        <v>969</v>
      </c>
      <c r="B61">
        <v>969</v>
      </c>
      <c r="C61" t="s">
        <v>1338</v>
      </c>
      <c r="D61" t="s">
        <v>1339</v>
      </c>
      <c r="E61" t="s">
        <v>613</v>
      </c>
      <c r="F61" t="s">
        <v>1340</v>
      </c>
      <c r="G61" t="s">
        <v>1341</v>
      </c>
      <c r="H61" t="s">
        <v>213</v>
      </c>
      <c r="I61" t="s">
        <v>1342</v>
      </c>
      <c r="J61" t="s">
        <v>85</v>
      </c>
      <c r="K61" t="s">
        <v>1343</v>
      </c>
      <c r="L61" t="s">
        <v>216</v>
      </c>
      <c r="M61" t="s">
        <v>1022</v>
      </c>
      <c r="N61" t="s">
        <v>1194</v>
      </c>
      <c r="O61" t="s">
        <v>72</v>
      </c>
      <c r="P61" t="s">
        <v>75</v>
      </c>
      <c r="Q61" s="44">
        <v>75.099999999999994</v>
      </c>
      <c r="R61" s="42">
        <v>3.718</v>
      </c>
      <c r="S61" s="48">
        <v>139175.6</v>
      </c>
      <c r="T61" s="44">
        <v>388.60899999999998</v>
      </c>
      <c r="U61" s="45">
        <v>1.06E-4</v>
      </c>
      <c r="V61" s="45">
        <v>9.0841477424270206E-2</v>
      </c>
      <c r="W61" s="45">
        <v>5.3045539849685599E-3</v>
      </c>
    </row>
    <row r="62" spans="1:23" x14ac:dyDescent="0.25">
      <c r="A62">
        <v>969</v>
      </c>
      <c r="B62">
        <v>969</v>
      </c>
      <c r="C62" t="s">
        <v>1349</v>
      </c>
      <c r="D62" t="s">
        <v>1350</v>
      </c>
      <c r="E62" t="s">
        <v>613</v>
      </c>
      <c r="F62" t="s">
        <v>1351</v>
      </c>
      <c r="G62" t="s">
        <v>1352</v>
      </c>
      <c r="H62" t="s">
        <v>213</v>
      </c>
      <c r="I62" t="s">
        <v>1342</v>
      </c>
      <c r="J62" t="s">
        <v>85</v>
      </c>
      <c r="K62" t="s">
        <v>1353</v>
      </c>
      <c r="L62" t="s">
        <v>216</v>
      </c>
      <c r="M62" t="s">
        <v>286</v>
      </c>
      <c r="N62" t="s">
        <v>1194</v>
      </c>
      <c r="O62" t="s">
        <v>72</v>
      </c>
      <c r="P62" t="s">
        <v>75</v>
      </c>
      <c r="Q62" s="44">
        <v>3129.44</v>
      </c>
      <c r="R62" s="42">
        <v>3.718</v>
      </c>
      <c r="S62" s="48">
        <v>3562</v>
      </c>
      <c r="T62" s="44">
        <v>414.44799999999998</v>
      </c>
      <c r="U62" s="45">
        <v>7.2000000000000002E-5</v>
      </c>
      <c r="V62" s="45">
        <v>9.6881687334428201E-2</v>
      </c>
      <c r="W62" s="45">
        <v>5.6572631268435999E-3</v>
      </c>
    </row>
    <row r="63" spans="1:23" x14ac:dyDescent="0.25">
      <c r="A63">
        <v>969</v>
      </c>
      <c r="B63">
        <v>969</v>
      </c>
      <c r="C63" t="s">
        <v>1146</v>
      </c>
      <c r="D63" t="s">
        <v>1147</v>
      </c>
      <c r="E63" t="s">
        <v>613</v>
      </c>
      <c r="F63" t="s">
        <v>1354</v>
      </c>
      <c r="G63" t="s">
        <v>1355</v>
      </c>
      <c r="H63" t="s">
        <v>213</v>
      </c>
      <c r="I63" t="s">
        <v>1342</v>
      </c>
      <c r="J63" t="s">
        <v>85</v>
      </c>
      <c r="K63" t="s">
        <v>215</v>
      </c>
      <c r="L63" t="s">
        <v>216</v>
      </c>
      <c r="M63" t="s">
        <v>1348</v>
      </c>
      <c r="N63" t="s">
        <v>1194</v>
      </c>
      <c r="O63" t="s">
        <v>72</v>
      </c>
      <c r="P63" t="s">
        <v>75</v>
      </c>
      <c r="Q63" s="44">
        <v>1093.68</v>
      </c>
      <c r="R63" s="42">
        <v>3.718</v>
      </c>
      <c r="S63" s="48">
        <v>18652</v>
      </c>
      <c r="T63" s="44">
        <v>758.447</v>
      </c>
      <c r="U63" s="45">
        <v>1.2E-4</v>
      </c>
      <c r="V63" s="45">
        <v>0.177295138265367</v>
      </c>
      <c r="W63" s="45">
        <v>1.03528878973278E-2</v>
      </c>
    </row>
    <row r="64" spans="1:23" x14ac:dyDescent="0.25">
      <c r="A64">
        <v>969</v>
      </c>
      <c r="B64">
        <v>969</v>
      </c>
      <c r="C64" t="s">
        <v>1356</v>
      </c>
      <c r="D64" t="s">
        <v>1357</v>
      </c>
      <c r="E64" t="s">
        <v>613</v>
      </c>
      <c r="F64" t="s">
        <v>1358</v>
      </c>
      <c r="G64" t="s">
        <v>1359</v>
      </c>
      <c r="H64" t="s">
        <v>213</v>
      </c>
      <c r="I64" t="s">
        <v>753</v>
      </c>
      <c r="J64" t="s">
        <v>85</v>
      </c>
      <c r="K64" t="s">
        <v>215</v>
      </c>
      <c r="L64" t="s">
        <v>216</v>
      </c>
      <c r="M64" t="s">
        <v>1348</v>
      </c>
      <c r="N64" t="s">
        <v>1145</v>
      </c>
      <c r="O64" t="s">
        <v>72</v>
      </c>
      <c r="P64" t="s">
        <v>75</v>
      </c>
      <c r="Q64" s="44">
        <v>13191.1</v>
      </c>
      <c r="R64" s="42">
        <v>3.718</v>
      </c>
      <c r="S64" s="48">
        <v>868</v>
      </c>
      <c r="T64" s="44">
        <v>425.70600000000002</v>
      </c>
      <c r="U64" s="45">
        <v>1.044E-3</v>
      </c>
      <c r="V64" s="45">
        <v>9.9513473952845502E-2</v>
      </c>
      <c r="W64" s="45">
        <v>5.8109424217004102E-3</v>
      </c>
    </row>
    <row r="65" spans="1:23" x14ac:dyDescent="0.25">
      <c r="A65">
        <v>969</v>
      </c>
      <c r="B65">
        <v>969</v>
      </c>
      <c r="C65" t="s">
        <v>1360</v>
      </c>
      <c r="D65" t="s">
        <v>1361</v>
      </c>
      <c r="E65" t="s">
        <v>613</v>
      </c>
      <c r="F65" t="s">
        <v>1362</v>
      </c>
      <c r="G65" t="s">
        <v>1363</v>
      </c>
      <c r="H65" t="s">
        <v>213</v>
      </c>
      <c r="I65" t="s">
        <v>753</v>
      </c>
      <c r="J65" t="s">
        <v>85</v>
      </c>
      <c r="K65" t="s">
        <v>1244</v>
      </c>
      <c r="L65" t="s">
        <v>216</v>
      </c>
      <c r="M65" t="s">
        <v>286</v>
      </c>
      <c r="N65" t="s">
        <v>1145</v>
      </c>
      <c r="O65" t="s">
        <v>72</v>
      </c>
      <c r="P65" t="s">
        <v>75</v>
      </c>
      <c r="Q65" s="44">
        <v>10462.65</v>
      </c>
      <c r="R65" s="42">
        <v>3.718</v>
      </c>
      <c r="S65" s="48">
        <v>1372.39</v>
      </c>
      <c r="T65" s="44">
        <v>533.86199999999997</v>
      </c>
      <c r="U65" s="45">
        <v>4.5600000000000003E-4</v>
      </c>
      <c r="V65" s="45">
        <v>0.124795921394318</v>
      </c>
      <c r="W65" s="45">
        <v>7.2872736211485999E-3</v>
      </c>
    </row>
    <row r="66" spans="1:23" x14ac:dyDescent="0.25">
      <c r="A66">
        <v>969</v>
      </c>
      <c r="B66">
        <v>969</v>
      </c>
      <c r="C66" t="s">
        <v>980</v>
      </c>
      <c r="D66" t="s">
        <v>981</v>
      </c>
      <c r="E66" t="s">
        <v>613</v>
      </c>
      <c r="F66" t="s">
        <v>1364</v>
      </c>
      <c r="G66" t="s">
        <v>1365</v>
      </c>
      <c r="H66" t="s">
        <v>213</v>
      </c>
      <c r="I66" t="s">
        <v>1342</v>
      </c>
      <c r="J66" t="s">
        <v>85</v>
      </c>
      <c r="K66" t="s">
        <v>984</v>
      </c>
      <c r="L66" t="s">
        <v>216</v>
      </c>
      <c r="M66" t="s">
        <v>286</v>
      </c>
      <c r="N66" t="s">
        <v>1194</v>
      </c>
      <c r="O66" t="s">
        <v>72</v>
      </c>
      <c r="P66" t="s">
        <v>75</v>
      </c>
      <c r="Q66" s="44">
        <v>5825.7</v>
      </c>
      <c r="R66" s="42">
        <v>3.718</v>
      </c>
      <c r="S66" s="48">
        <v>1121.3499999999999</v>
      </c>
      <c r="T66" s="44">
        <v>242.88399999999999</v>
      </c>
      <c r="U66" s="45">
        <v>0</v>
      </c>
      <c r="V66" s="45">
        <v>5.6776740104876301E-2</v>
      </c>
      <c r="W66" s="45">
        <v>3.3153939314551602E-3</v>
      </c>
    </row>
    <row r="67" spans="1:23" x14ac:dyDescent="0.25">
      <c r="A67">
        <v>969</v>
      </c>
      <c r="B67">
        <v>969</v>
      </c>
      <c r="C67" t="s">
        <v>1369</v>
      </c>
      <c r="D67" t="s">
        <v>1370</v>
      </c>
      <c r="E67" t="s">
        <v>613</v>
      </c>
      <c r="F67" t="s">
        <v>1371</v>
      </c>
      <c r="G67" t="s">
        <v>1372</v>
      </c>
      <c r="H67" t="s">
        <v>213</v>
      </c>
      <c r="I67" t="s">
        <v>1342</v>
      </c>
      <c r="J67" t="s">
        <v>85</v>
      </c>
      <c r="K67" t="s">
        <v>215</v>
      </c>
      <c r="L67" t="s">
        <v>216</v>
      </c>
      <c r="M67" t="s">
        <v>286</v>
      </c>
      <c r="N67" t="s">
        <v>1194</v>
      </c>
      <c r="O67" t="s">
        <v>72</v>
      </c>
      <c r="P67" t="s">
        <v>75</v>
      </c>
      <c r="Q67" s="44">
        <v>11740</v>
      </c>
      <c r="R67" s="42">
        <v>3.718</v>
      </c>
      <c r="S67" s="48">
        <v>1269.81</v>
      </c>
      <c r="T67" s="44">
        <v>554.26300000000003</v>
      </c>
      <c r="U67" s="45">
        <v>0</v>
      </c>
      <c r="V67" s="45">
        <v>0.12956508652715901</v>
      </c>
      <c r="W67" s="45">
        <v>7.5657619794150897E-3</v>
      </c>
    </row>
    <row r="68" spans="1:23" x14ac:dyDescent="0.25">
      <c r="A68">
        <v>969</v>
      </c>
      <c r="B68">
        <v>969</v>
      </c>
      <c r="C68" t="s">
        <v>1373</v>
      </c>
      <c r="D68" t="s">
        <v>1374</v>
      </c>
      <c r="E68" t="s">
        <v>613</v>
      </c>
      <c r="F68" t="s">
        <v>1375</v>
      </c>
      <c r="G68" t="s">
        <v>1376</v>
      </c>
      <c r="H68" t="s">
        <v>213</v>
      </c>
      <c r="I68" t="s">
        <v>1342</v>
      </c>
      <c r="J68" t="s">
        <v>85</v>
      </c>
      <c r="K68" t="s">
        <v>1193</v>
      </c>
      <c r="L68" t="s">
        <v>216</v>
      </c>
      <c r="M68" t="s">
        <v>1348</v>
      </c>
      <c r="N68" t="s">
        <v>1194</v>
      </c>
      <c r="O68" t="s">
        <v>72</v>
      </c>
      <c r="P68" t="s">
        <v>75</v>
      </c>
      <c r="Q68" s="44">
        <v>10000.65</v>
      </c>
      <c r="R68" s="42">
        <v>3.718</v>
      </c>
      <c r="S68" s="48">
        <v>1210.78</v>
      </c>
      <c r="T68" s="44">
        <v>450.197</v>
      </c>
      <c r="U68" s="45">
        <v>4.0499999999999998E-4</v>
      </c>
      <c r="V68" s="45">
        <v>0.10523849201625</v>
      </c>
      <c r="W68" s="45">
        <v>6.1452464009324097E-3</v>
      </c>
    </row>
    <row r="69" spans="1:23" x14ac:dyDescent="0.25">
      <c r="A69">
        <v>969</v>
      </c>
      <c r="B69">
        <v>969</v>
      </c>
      <c r="C69" t="s">
        <v>1377</v>
      </c>
      <c r="D69" t="s">
        <v>1378</v>
      </c>
      <c r="E69" t="s">
        <v>613</v>
      </c>
      <c r="F69" t="s">
        <v>1379</v>
      </c>
      <c r="G69" t="s">
        <v>1380</v>
      </c>
      <c r="H69" t="s">
        <v>213</v>
      </c>
      <c r="I69" t="s">
        <v>1342</v>
      </c>
      <c r="J69" t="s">
        <v>85</v>
      </c>
      <c r="K69" t="s">
        <v>1353</v>
      </c>
      <c r="L69" t="s">
        <v>216</v>
      </c>
      <c r="M69" t="s">
        <v>286</v>
      </c>
      <c r="N69" t="s">
        <v>1194</v>
      </c>
      <c r="O69" t="s">
        <v>72</v>
      </c>
      <c r="P69" t="s">
        <v>75</v>
      </c>
      <c r="Q69" s="44">
        <v>375.59</v>
      </c>
      <c r="R69" s="42">
        <v>3.718</v>
      </c>
      <c r="S69" s="48">
        <v>24805</v>
      </c>
      <c r="T69" s="44">
        <v>346.38799999999998</v>
      </c>
      <c r="U69" s="45">
        <v>2.0100000000000001E-4</v>
      </c>
      <c r="V69" s="45">
        <v>8.0971913355834396E-2</v>
      </c>
      <c r="W69" s="45">
        <v>4.7282353594511797E-3</v>
      </c>
    </row>
  </sheetData>
  <dataValidations count="8">
    <dataValidation type="list" allowBlank="1" showInputMessage="1" showErrorMessage="1" sqref="J2:J20" xr:uid="{00000000-0002-0000-0800-000000000000}">
      <formula1>israel_abroad</formula1>
      <formula2>0</formula2>
    </dataValidation>
    <dataValidation type="list" allowBlank="1" showInputMessage="1" showErrorMessage="1" sqref="O2:O20" xr:uid="{00000000-0002-0000-0800-000001000000}">
      <formula1>Holding_interest</formula1>
      <formula2>0</formula2>
    </dataValidation>
    <dataValidation type="list" allowBlank="1" showInputMessage="1" showErrorMessage="1" sqref="N2:N20" xr:uid="{00000000-0002-0000-0800-000002000000}">
      <formula1>Fund_type</formula1>
      <formula2>0</formula2>
    </dataValidation>
    <dataValidation type="list" allowBlank="1" showInputMessage="1" showErrorMessage="1" sqref="E2:E20" xr:uid="{00000000-0002-0000-0800-000003000000}">
      <formula1>Issuer_Type_TFunds</formula1>
      <formula2>0</formula2>
    </dataValidation>
    <dataValidation type="list" allowBlank="1" showInputMessage="1" showErrorMessage="1" sqref="H2:H20" xr:uid="{00000000-0002-0000-0800-000004000000}">
      <formula1>Security_ID_Number_Type</formula1>
      <formula2>0</formula2>
    </dataValidation>
    <dataValidation type="list" allowBlank="1" showInputMessage="1" showErrorMessage="1" sqref="L2:L20" xr:uid="{00000000-0002-0000-0800-000005000000}">
      <formula1>tradeable_status_funds</formula1>
      <formula2>0</formula2>
    </dataValidation>
    <dataValidation type="list" allowBlank="1" showInputMessage="1" showErrorMessage="1" sqref="K2:K20" xr:uid="{00000000-0002-0000-0800-000006000000}">
      <formula1>Country_list_funds</formula1>
      <formula2>0</formula2>
    </dataValidation>
    <dataValidation type="list" allowBlank="1" showInputMessage="1" showErrorMessage="1" sqref="M2:M20" xr:uid="{00000000-0002-0000-0800-000007000000}">
      <formula1>Stock_Exchange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0"/>
  <sheetViews>
    <sheetView rightToLeft="1" zoomScale="70" zoomScaleNormal="70" workbookViewId="0"/>
  </sheetViews>
  <sheetFormatPr defaultColWidth="9" defaultRowHeight="13.8" x14ac:dyDescent="0.25"/>
  <cols>
    <col min="1" max="27" width="11.59765625" customWidth="1"/>
  </cols>
  <sheetData>
    <row r="1" spans="1:25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56</v>
      </c>
      <c r="J1" s="36" t="s">
        <v>94</v>
      </c>
      <c r="K1" s="36" t="s">
        <v>207</v>
      </c>
      <c r="L1" s="36" t="s">
        <v>95</v>
      </c>
      <c r="M1" s="36" t="s">
        <v>1383</v>
      </c>
      <c r="N1" s="36" t="s">
        <v>201</v>
      </c>
      <c r="O1" s="60" t="s">
        <v>1384</v>
      </c>
      <c r="P1" s="36" t="s">
        <v>57</v>
      </c>
      <c r="Q1" s="36" t="s">
        <v>60</v>
      </c>
      <c r="R1" s="47" t="s">
        <v>1385</v>
      </c>
      <c r="S1" s="36" t="s">
        <v>1386</v>
      </c>
      <c r="T1" s="36" t="s">
        <v>101</v>
      </c>
      <c r="U1" s="37" t="s">
        <v>62</v>
      </c>
      <c r="V1" s="47" t="s">
        <v>102</v>
      </c>
      <c r="W1" s="36" t="s">
        <v>64</v>
      </c>
      <c r="X1" s="39" t="s">
        <v>65</v>
      </c>
      <c r="Y1" s="39" t="s">
        <v>66</v>
      </c>
    </row>
    <row r="2" spans="1:25" x14ac:dyDescent="0.25">
      <c r="A2" s="10">
        <v>1182</v>
      </c>
      <c r="B2" s="10">
        <v>1182</v>
      </c>
      <c r="C2" s="10" t="s">
        <v>331</v>
      </c>
      <c r="D2" s="10" t="s">
        <v>332</v>
      </c>
      <c r="E2" s="10" t="s">
        <v>210</v>
      </c>
      <c r="F2" s="10" t="s">
        <v>1387</v>
      </c>
      <c r="G2" s="10" t="s">
        <v>1388</v>
      </c>
      <c r="H2" s="10" t="s">
        <v>213</v>
      </c>
      <c r="I2" s="10" t="s">
        <v>71</v>
      </c>
      <c r="J2" s="10" t="s">
        <v>71</v>
      </c>
      <c r="K2" s="10" t="s">
        <v>216</v>
      </c>
      <c r="L2" s="10" t="s">
        <v>109</v>
      </c>
      <c r="M2" s="10" t="s">
        <v>795</v>
      </c>
      <c r="N2" s="10" t="s">
        <v>258</v>
      </c>
      <c r="O2" s="61" t="s">
        <v>708</v>
      </c>
      <c r="P2" s="10" t="s">
        <v>72</v>
      </c>
      <c r="Q2" s="10" t="s">
        <v>81</v>
      </c>
      <c r="R2" s="56">
        <v>58000</v>
      </c>
      <c r="S2" s="52">
        <v>1</v>
      </c>
      <c r="T2" s="52">
        <v>1003</v>
      </c>
      <c r="U2" s="55">
        <v>1</v>
      </c>
      <c r="V2" s="56">
        <v>3573</v>
      </c>
      <c r="W2" s="52">
        <v>35.837000000000003</v>
      </c>
      <c r="X2" s="54">
        <v>1</v>
      </c>
      <c r="Y2" s="54">
        <v>8.2769520800613606E-5</v>
      </c>
    </row>
    <row r="3" spans="1:25" x14ac:dyDescent="0.25">
      <c r="A3" s="10">
        <v>1182</v>
      </c>
      <c r="B3" s="10">
        <v>14769</v>
      </c>
      <c r="C3" s="10" t="s">
        <v>331</v>
      </c>
      <c r="D3" s="10" t="s">
        <v>332</v>
      </c>
      <c r="E3" s="10" t="s">
        <v>210</v>
      </c>
      <c r="F3" s="10" t="s">
        <v>1387</v>
      </c>
      <c r="G3" s="10" t="s">
        <v>1388</v>
      </c>
      <c r="H3" s="10" t="s">
        <v>213</v>
      </c>
      <c r="I3" s="10" t="s">
        <v>71</v>
      </c>
      <c r="J3" s="10" t="s">
        <v>71</v>
      </c>
      <c r="K3" s="10" t="s">
        <v>216</v>
      </c>
      <c r="L3" s="10" t="s">
        <v>109</v>
      </c>
      <c r="M3" s="10" t="s">
        <v>795</v>
      </c>
      <c r="N3" s="10" t="s">
        <v>258</v>
      </c>
      <c r="O3" s="61" t="s">
        <v>708</v>
      </c>
      <c r="P3" s="10" t="s">
        <v>72</v>
      </c>
      <c r="Q3" s="10" t="s">
        <v>81</v>
      </c>
      <c r="R3" s="56">
        <v>58000</v>
      </c>
      <c r="S3" s="52">
        <v>1</v>
      </c>
      <c r="T3" s="52">
        <v>51</v>
      </c>
      <c r="U3" s="55">
        <v>1</v>
      </c>
      <c r="V3" s="56">
        <v>3573</v>
      </c>
      <c r="W3" s="52">
        <v>1.8220000000000001</v>
      </c>
      <c r="X3" s="54">
        <v>1</v>
      </c>
      <c r="Y3" s="54">
        <v>7.8665838577684594E-5</v>
      </c>
    </row>
    <row r="4" spans="1:25" x14ac:dyDescent="0.25">
      <c r="A4" s="10">
        <v>12904</v>
      </c>
      <c r="B4" s="10">
        <v>12905</v>
      </c>
      <c r="C4" s="10" t="s">
        <v>331</v>
      </c>
      <c r="D4" s="10" t="s">
        <v>332</v>
      </c>
      <c r="E4" s="10" t="s">
        <v>210</v>
      </c>
      <c r="F4" s="10" t="s">
        <v>1387</v>
      </c>
      <c r="G4" s="10" t="s">
        <v>1388</v>
      </c>
      <c r="H4" s="10" t="s">
        <v>213</v>
      </c>
      <c r="I4" s="10" t="s">
        <v>71</v>
      </c>
      <c r="J4" s="10" t="s">
        <v>71</v>
      </c>
      <c r="K4" s="10" t="s">
        <v>216</v>
      </c>
      <c r="L4" s="10" t="s">
        <v>109</v>
      </c>
      <c r="M4" s="10" t="s">
        <v>795</v>
      </c>
      <c r="N4" s="10" t="s">
        <v>258</v>
      </c>
      <c r="O4" s="61" t="s">
        <v>708</v>
      </c>
      <c r="P4" s="10" t="s">
        <v>72</v>
      </c>
      <c r="Q4" s="10" t="s">
        <v>81</v>
      </c>
      <c r="R4" s="56">
        <v>58000</v>
      </c>
      <c r="S4" s="52">
        <v>1</v>
      </c>
      <c r="T4" s="52">
        <v>85</v>
      </c>
      <c r="U4" s="55">
        <v>1</v>
      </c>
      <c r="V4" s="56">
        <v>3573</v>
      </c>
      <c r="W4" s="52">
        <v>3.0369999999999999</v>
      </c>
      <c r="X4" s="54">
        <v>1</v>
      </c>
      <c r="Y4" s="54">
        <v>7.1001995897032301E-5</v>
      </c>
    </row>
    <row r="5" spans="1:25" x14ac:dyDescent="0.25">
      <c r="A5" s="10">
        <v>12904</v>
      </c>
      <c r="B5" s="10">
        <v>13680</v>
      </c>
      <c r="C5" s="10" t="s">
        <v>331</v>
      </c>
      <c r="D5" s="10" t="s">
        <v>332</v>
      </c>
      <c r="E5" s="10" t="s">
        <v>210</v>
      </c>
      <c r="F5" s="10" t="s">
        <v>1387</v>
      </c>
      <c r="G5" s="10" t="s">
        <v>1388</v>
      </c>
      <c r="H5" s="10" t="s">
        <v>213</v>
      </c>
      <c r="I5" s="10" t="s">
        <v>71</v>
      </c>
      <c r="J5" s="10" t="s">
        <v>71</v>
      </c>
      <c r="K5" s="10" t="s">
        <v>216</v>
      </c>
      <c r="L5" s="10" t="s">
        <v>109</v>
      </c>
      <c r="M5" s="10" t="s">
        <v>795</v>
      </c>
      <c r="N5" s="10" t="s">
        <v>258</v>
      </c>
      <c r="O5" s="61" t="s">
        <v>708</v>
      </c>
      <c r="P5" s="10" t="s">
        <v>72</v>
      </c>
      <c r="Q5" s="10" t="s">
        <v>81</v>
      </c>
      <c r="R5" s="56">
        <v>58000</v>
      </c>
      <c r="S5" s="52">
        <v>1</v>
      </c>
      <c r="T5" s="52">
        <v>85</v>
      </c>
      <c r="U5" s="55">
        <v>1</v>
      </c>
      <c r="V5" s="56">
        <v>3573</v>
      </c>
      <c r="W5" s="52">
        <v>3.0369999999999999</v>
      </c>
      <c r="X5" s="54">
        <v>1</v>
      </c>
      <c r="Y5" s="54">
        <v>6.5318728810224397E-5</v>
      </c>
    </row>
    <row r="6" spans="1:25" x14ac:dyDescent="0.25">
      <c r="A6" s="10">
        <v>424</v>
      </c>
      <c r="B6" s="10">
        <v>7228</v>
      </c>
      <c r="C6" s="10" t="s">
        <v>331</v>
      </c>
      <c r="D6" s="10" t="s">
        <v>332</v>
      </c>
      <c r="E6" s="10" t="s">
        <v>210</v>
      </c>
      <c r="F6" s="10" t="s">
        <v>1387</v>
      </c>
      <c r="G6" s="10" t="s">
        <v>1388</v>
      </c>
      <c r="H6" s="10" t="s">
        <v>213</v>
      </c>
      <c r="I6" s="10" t="s">
        <v>71</v>
      </c>
      <c r="J6" s="10" t="s">
        <v>71</v>
      </c>
      <c r="K6" s="10" t="s">
        <v>216</v>
      </c>
      <c r="L6" s="10" t="s">
        <v>109</v>
      </c>
      <c r="M6" s="10" t="s">
        <v>795</v>
      </c>
      <c r="N6" s="10" t="s">
        <v>258</v>
      </c>
      <c r="O6" s="61" t="s">
        <v>708</v>
      </c>
      <c r="P6" s="10" t="s">
        <v>72</v>
      </c>
      <c r="Q6" s="10" t="s">
        <v>81</v>
      </c>
      <c r="R6" s="56">
        <v>58000</v>
      </c>
      <c r="S6" s="52">
        <v>1</v>
      </c>
      <c r="T6" s="52">
        <v>5763</v>
      </c>
      <c r="U6" s="55">
        <v>1</v>
      </c>
      <c r="V6" s="56">
        <v>3573</v>
      </c>
      <c r="W6" s="52">
        <v>205.91200000000001</v>
      </c>
      <c r="X6" s="54">
        <v>1</v>
      </c>
      <c r="Y6" s="54">
        <v>8.3897421308231805E-5</v>
      </c>
    </row>
    <row r="7" spans="1:25" x14ac:dyDescent="0.25">
      <c r="A7" s="10">
        <v>424</v>
      </c>
      <c r="B7" s="10">
        <v>7229</v>
      </c>
      <c r="C7" s="10" t="s">
        <v>331</v>
      </c>
      <c r="D7" s="10" t="s">
        <v>332</v>
      </c>
      <c r="E7" s="10" t="s">
        <v>210</v>
      </c>
      <c r="F7" s="10" t="s">
        <v>1387</v>
      </c>
      <c r="G7" s="10" t="s">
        <v>1388</v>
      </c>
      <c r="H7" s="10" t="s">
        <v>213</v>
      </c>
      <c r="I7" s="10" t="s">
        <v>71</v>
      </c>
      <c r="J7" s="10" t="s">
        <v>71</v>
      </c>
      <c r="K7" s="10" t="s">
        <v>216</v>
      </c>
      <c r="L7" s="10" t="s">
        <v>109</v>
      </c>
      <c r="M7" s="10" t="s">
        <v>795</v>
      </c>
      <c r="N7" s="10" t="s">
        <v>258</v>
      </c>
      <c r="O7" s="61" t="s">
        <v>708</v>
      </c>
      <c r="P7" s="10" t="s">
        <v>72</v>
      </c>
      <c r="Q7" s="10" t="s">
        <v>81</v>
      </c>
      <c r="R7" s="56">
        <v>58000</v>
      </c>
      <c r="S7" s="52">
        <v>1</v>
      </c>
      <c r="T7" s="52">
        <v>340</v>
      </c>
      <c r="U7" s="55">
        <v>1</v>
      </c>
      <c r="V7" s="56">
        <v>3573</v>
      </c>
      <c r="W7" s="52">
        <v>12.148</v>
      </c>
      <c r="X7" s="54">
        <v>1</v>
      </c>
      <c r="Y7" s="54">
        <v>8.0859953198556903E-5</v>
      </c>
    </row>
    <row r="8" spans="1:25" x14ac:dyDescent="0.25">
      <c r="A8" s="10">
        <v>969</v>
      </c>
      <c r="B8" s="10">
        <v>969</v>
      </c>
      <c r="C8" s="10" t="s">
        <v>331</v>
      </c>
      <c r="D8" s="10" t="s">
        <v>332</v>
      </c>
      <c r="E8" s="10" t="s">
        <v>210</v>
      </c>
      <c r="F8" s="10" t="s">
        <v>1387</v>
      </c>
      <c r="G8" s="10" t="s">
        <v>1388</v>
      </c>
      <c r="H8" s="10" t="s">
        <v>213</v>
      </c>
      <c r="I8" s="10" t="s">
        <v>71</v>
      </c>
      <c r="J8" s="10" t="s">
        <v>71</v>
      </c>
      <c r="K8" s="10" t="s">
        <v>216</v>
      </c>
      <c r="L8" s="10" t="s">
        <v>109</v>
      </c>
      <c r="M8" s="10" t="s">
        <v>795</v>
      </c>
      <c r="N8" s="10" t="s">
        <v>258</v>
      </c>
      <c r="O8" s="61" t="s">
        <v>708</v>
      </c>
      <c r="P8" s="10" t="s">
        <v>72</v>
      </c>
      <c r="Q8" s="10" t="s">
        <v>81</v>
      </c>
      <c r="R8" s="56">
        <v>58000</v>
      </c>
      <c r="S8" s="52">
        <v>1</v>
      </c>
      <c r="T8" s="52">
        <v>170</v>
      </c>
      <c r="U8" s="55">
        <v>1</v>
      </c>
      <c r="V8" s="56">
        <v>3573</v>
      </c>
      <c r="W8" s="52">
        <v>6.0739999999999998</v>
      </c>
      <c r="X8" s="54">
        <v>1</v>
      </c>
      <c r="Y8" s="54">
        <v>8.2912189994123998E-5</v>
      </c>
    </row>
    <row r="9" spans="1:2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5">
      <c r="E20" s="10"/>
      <c r="H20" s="10"/>
      <c r="I20" s="10"/>
      <c r="J20" s="10"/>
      <c r="K20" s="10"/>
      <c r="L20" s="10"/>
      <c r="N20" s="10"/>
      <c r="P20" s="10"/>
    </row>
  </sheetData>
  <dataValidations count="8">
    <dataValidation type="list" allowBlank="1" showInputMessage="1" showErrorMessage="1" sqref="P2:P20" xr:uid="{00000000-0002-0000-0900-000000000000}">
      <formula1>Holding_interest</formula1>
      <formula2>0</formula2>
    </dataValidation>
    <dataValidation type="list" allowBlank="1" showInputMessage="1" showErrorMessage="1" sqref="E2:E20" xr:uid="{00000000-0002-0000-0900-000001000000}">
      <formula1>Issuer_Type_TFunds</formula1>
      <formula2>0</formula2>
    </dataValidation>
    <dataValidation type="list" allowBlank="1" showInputMessage="1" showErrorMessage="1" sqref="H2:H20" xr:uid="{00000000-0002-0000-0900-000002000000}">
      <formula1>Security_ID_Number_Type</formula1>
      <formula2>0</formula2>
    </dataValidation>
    <dataValidation type="list" allowBlank="1" showInputMessage="1" showErrorMessage="1" sqref="L2:L20" xr:uid="{00000000-0002-0000-0900-000003000000}">
      <formula1>Stock_Exchange</formula1>
      <formula2>0</formula2>
    </dataValidation>
    <dataValidation type="list" allowBlank="1" showInputMessage="1" showErrorMessage="1" sqref="I2:I20" xr:uid="{00000000-0002-0000-0900-000004000000}">
      <formula1>israel_abroad</formula1>
      <formula2>0</formula2>
    </dataValidation>
    <dataValidation type="list" allowBlank="1" showInputMessage="1" showErrorMessage="1" sqref="N2:N20" xr:uid="{00000000-0002-0000-0900-000005000000}">
      <formula1>Industry_sectors</formula1>
      <formula2>0</formula2>
    </dataValidation>
    <dataValidation type="list" allowBlank="1" showInputMessage="1" showErrorMessage="1" sqref="J2:J20" xr:uid="{00000000-0002-0000-0900-000006000000}">
      <formula1>Country_list</formula1>
      <formula2>0</formula2>
    </dataValidation>
    <dataValidation type="list" allowBlank="1" showInputMessage="1" showErrorMessage="1" sqref="K2:K20" xr:uid="{00000000-0002-0000-0900-000007000000}">
      <formula1>tradeable_status_warrants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0"/>
  <sheetViews>
    <sheetView rightToLeft="1" topLeftCell="G1" zoomScale="70" zoomScaleNormal="70" workbookViewId="0"/>
  </sheetViews>
  <sheetFormatPr defaultColWidth="9" defaultRowHeight="13.8" x14ac:dyDescent="0.25"/>
  <cols>
    <col min="1" max="25" width="11.59765625" customWidth="1"/>
  </cols>
  <sheetData>
    <row r="1" spans="1:24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95</v>
      </c>
      <c r="M1" s="36" t="s">
        <v>201</v>
      </c>
      <c r="N1" s="36" t="s">
        <v>1389</v>
      </c>
      <c r="O1" s="36" t="s">
        <v>1384</v>
      </c>
      <c r="P1" s="36" t="s">
        <v>57</v>
      </c>
      <c r="Q1" s="36" t="s">
        <v>60</v>
      </c>
      <c r="R1" s="36" t="s">
        <v>1385</v>
      </c>
      <c r="S1" s="36" t="s">
        <v>101</v>
      </c>
      <c r="T1" s="36" t="s">
        <v>62</v>
      </c>
      <c r="U1" s="36" t="s">
        <v>102</v>
      </c>
      <c r="V1" s="36" t="s">
        <v>64</v>
      </c>
      <c r="W1" s="36" t="s">
        <v>65</v>
      </c>
      <c r="X1" s="36" t="s">
        <v>66</v>
      </c>
    </row>
    <row r="2" spans="1:2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5">
      <c r="E20" s="10"/>
      <c r="H20" s="10"/>
      <c r="I20" s="10"/>
      <c r="J20" s="10"/>
      <c r="K20" s="10"/>
      <c r="L20" s="10"/>
      <c r="M20" s="10"/>
      <c r="P20" s="10"/>
    </row>
  </sheetData>
  <dataValidations count="8">
    <dataValidation type="list" allowBlank="1" showInputMessage="1" showErrorMessage="1" sqref="J2:J20" xr:uid="{00000000-0002-0000-0A00-000000000000}">
      <formula1>israel_abroad</formula1>
      <formula2>0</formula2>
    </dataValidation>
    <dataValidation type="list" allowBlank="1" showInputMessage="1" showErrorMessage="1" sqref="P2:P20" xr:uid="{00000000-0002-0000-0A00-000001000000}">
      <formula1>Holding_interest</formula1>
      <formula2>0</formula2>
    </dataValidation>
    <dataValidation type="list" allowBlank="1" showInputMessage="1" showErrorMessage="1" sqref="N2:N19" xr:uid="{00000000-0002-0000-0A00-000002000000}">
      <formula1>Underlying_Asset</formula1>
      <formula2>0</formula2>
    </dataValidation>
    <dataValidation type="list" allowBlank="1" showInputMessage="1" showErrorMessage="1" sqref="K2:K20" xr:uid="{00000000-0002-0000-0A00-000003000000}">
      <formula1>Country_list</formula1>
      <formula2>0</formula2>
    </dataValidation>
    <dataValidation type="list" allowBlank="1" showInputMessage="1" showErrorMessage="1" sqref="E2:E20" xr:uid="{00000000-0002-0000-0A00-000004000000}">
      <formula1>Issuer_Type_TFunds</formula1>
      <formula2>0</formula2>
    </dataValidation>
    <dataValidation type="list" allowBlank="1" showInputMessage="1" showErrorMessage="1" sqref="H2:H20" xr:uid="{00000000-0002-0000-0A00-000005000000}">
      <formula1>Security_ID_Number_Type</formula1>
      <formula2>0</formula2>
    </dataValidation>
    <dataValidation type="list" allowBlank="1" showInputMessage="1" showErrorMessage="1" sqref="M2:M20" xr:uid="{00000000-0002-0000-0A00-000006000000}">
      <formula1>Industry_Sector</formula1>
      <formula2>0</formula2>
    </dataValidation>
    <dataValidation type="list" allowBlank="1" showInputMessage="1" showErrorMessage="1" sqref="L2:L20" xr:uid="{00000000-0002-0000-0A00-000007000000}">
      <formula1>Stock_Exchange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0"/>
  <sheetViews>
    <sheetView rightToLeft="1" zoomScale="70" zoomScaleNormal="70" workbookViewId="0"/>
  </sheetViews>
  <sheetFormatPr defaultColWidth="9" defaultRowHeight="13.8" x14ac:dyDescent="0.25"/>
  <cols>
    <col min="1" max="20" width="11.59765625" customWidth="1"/>
  </cols>
  <sheetData>
    <row r="1" spans="1:20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56</v>
      </c>
      <c r="J1" s="36" t="s">
        <v>94</v>
      </c>
      <c r="K1" s="36" t="s">
        <v>95</v>
      </c>
      <c r="L1" s="36" t="s">
        <v>1389</v>
      </c>
      <c r="M1" s="36" t="s">
        <v>57</v>
      </c>
      <c r="N1" s="36" t="s">
        <v>60</v>
      </c>
      <c r="O1" s="36" t="s">
        <v>101</v>
      </c>
      <c r="P1" s="37" t="s">
        <v>62</v>
      </c>
      <c r="Q1" s="47" t="s">
        <v>102</v>
      </c>
      <c r="R1" s="36" t="s">
        <v>64</v>
      </c>
      <c r="S1" s="39" t="s">
        <v>65</v>
      </c>
      <c r="T1" s="39" t="s">
        <v>66</v>
      </c>
    </row>
    <row r="2" spans="1:20" x14ac:dyDescent="0.25">
      <c r="A2" s="10">
        <v>1182</v>
      </c>
      <c r="B2" s="10">
        <v>1182</v>
      </c>
      <c r="C2" t="s">
        <v>1390</v>
      </c>
      <c r="D2" t="s">
        <v>1391</v>
      </c>
      <c r="E2" s="10" t="s">
        <v>111</v>
      </c>
      <c r="F2" s="10" t="s">
        <v>1392</v>
      </c>
      <c r="G2" s="10" t="s">
        <v>1393</v>
      </c>
      <c r="H2" s="10" t="s">
        <v>286</v>
      </c>
      <c r="I2" s="10" t="s">
        <v>85</v>
      </c>
      <c r="J2" s="10"/>
      <c r="K2" s="10" t="s">
        <v>286</v>
      </c>
      <c r="L2" s="10" t="s">
        <v>286</v>
      </c>
      <c r="M2" s="10" t="s">
        <v>72</v>
      </c>
      <c r="N2" s="10" t="s">
        <v>75</v>
      </c>
      <c r="O2" s="52">
        <v>35</v>
      </c>
      <c r="P2" s="55">
        <v>3.718</v>
      </c>
      <c r="Q2" s="56">
        <v>5653.25</v>
      </c>
      <c r="R2" s="52">
        <v>-255.70500000000001</v>
      </c>
      <c r="S2" s="54">
        <v>1</v>
      </c>
      <c r="T2" s="54">
        <v>-5.9057692756060199E-4</v>
      </c>
    </row>
    <row r="3" spans="1:20" x14ac:dyDescent="0.25">
      <c r="A3" s="10">
        <v>1182</v>
      </c>
      <c r="B3" s="10">
        <v>14769</v>
      </c>
      <c r="C3" t="s">
        <v>1390</v>
      </c>
      <c r="D3" t="s">
        <v>1391</v>
      </c>
      <c r="E3" s="10" t="s">
        <v>111</v>
      </c>
      <c r="F3" s="10" t="s">
        <v>1392</v>
      </c>
      <c r="G3" s="10" t="s">
        <v>1393</v>
      </c>
      <c r="H3" s="10" t="s">
        <v>286</v>
      </c>
      <c r="I3" s="10" t="s">
        <v>85</v>
      </c>
      <c r="J3" s="10"/>
      <c r="K3" s="10" t="s">
        <v>286</v>
      </c>
      <c r="L3" s="10" t="s">
        <v>286</v>
      </c>
      <c r="M3" s="10" t="s">
        <v>72</v>
      </c>
      <c r="N3" s="10" t="s">
        <v>75</v>
      </c>
      <c r="O3" s="52">
        <v>1</v>
      </c>
      <c r="P3" s="55">
        <v>3.718</v>
      </c>
      <c r="Q3" s="56">
        <v>5653.25</v>
      </c>
      <c r="R3" s="52">
        <v>-7.306</v>
      </c>
      <c r="S3" s="54">
        <v>1</v>
      </c>
      <c r="T3" s="54">
        <v>-3.1539508738717898E-4</v>
      </c>
    </row>
    <row r="4" spans="1:20" x14ac:dyDescent="0.25">
      <c r="A4" s="10">
        <v>12904</v>
      </c>
      <c r="B4" s="10">
        <v>13680</v>
      </c>
      <c r="C4" t="s">
        <v>1390</v>
      </c>
      <c r="D4" t="s">
        <v>1391</v>
      </c>
      <c r="E4" s="10" t="s">
        <v>111</v>
      </c>
      <c r="F4" s="10" t="s">
        <v>1394</v>
      </c>
      <c r="G4" s="10" t="s">
        <v>1395</v>
      </c>
      <c r="H4" s="10" t="s">
        <v>286</v>
      </c>
      <c r="I4" s="10" t="s">
        <v>85</v>
      </c>
      <c r="J4" s="10"/>
      <c r="K4" s="10" t="s">
        <v>286</v>
      </c>
      <c r="L4" s="10" t="s">
        <v>286</v>
      </c>
      <c r="M4" s="10" t="s">
        <v>72</v>
      </c>
      <c r="N4" s="10" t="s">
        <v>75</v>
      </c>
      <c r="O4" s="52">
        <v>1</v>
      </c>
      <c r="P4" s="55">
        <v>3.718</v>
      </c>
      <c r="Q4" s="56">
        <v>19439.5</v>
      </c>
      <c r="R4" s="52">
        <v>-35.953000000000003</v>
      </c>
      <c r="S4" s="54">
        <v>0.71102941176471002</v>
      </c>
      <c r="T4" s="54">
        <v>-7.7325305017623405E-4</v>
      </c>
    </row>
    <row r="5" spans="1:20" x14ac:dyDescent="0.25">
      <c r="A5" s="10">
        <v>12904</v>
      </c>
      <c r="B5" s="10">
        <v>13680</v>
      </c>
      <c r="C5" t="s">
        <v>1390</v>
      </c>
      <c r="D5" t="s">
        <v>1391</v>
      </c>
      <c r="E5" s="10" t="s">
        <v>111</v>
      </c>
      <c r="F5" s="10" t="s">
        <v>1392</v>
      </c>
      <c r="G5" s="10" t="s">
        <v>1393</v>
      </c>
      <c r="H5" s="10" t="s">
        <v>286</v>
      </c>
      <c r="I5" s="10" t="s">
        <v>85</v>
      </c>
      <c r="J5" s="10"/>
      <c r="K5" s="10" t="s">
        <v>286</v>
      </c>
      <c r="L5" s="10" t="s">
        <v>286</v>
      </c>
      <c r="M5" s="10" t="s">
        <v>72</v>
      </c>
      <c r="N5" s="10" t="s">
        <v>75</v>
      </c>
      <c r="O5" s="52">
        <v>2</v>
      </c>
      <c r="P5" s="55">
        <v>3.718</v>
      </c>
      <c r="Q5" s="56">
        <v>5653.25</v>
      </c>
      <c r="R5" s="52">
        <v>-14.612</v>
      </c>
      <c r="S5" s="54">
        <v>0.28897058823528998</v>
      </c>
      <c r="T5" s="54">
        <v>-3.1425899557316897E-4</v>
      </c>
    </row>
    <row r="6" spans="1:20" x14ac:dyDescent="0.25">
      <c r="A6" s="10">
        <v>424</v>
      </c>
      <c r="B6" s="10">
        <v>7228</v>
      </c>
      <c r="C6" t="s">
        <v>1390</v>
      </c>
      <c r="D6" t="s">
        <v>1391</v>
      </c>
      <c r="E6" s="10" t="s">
        <v>111</v>
      </c>
      <c r="F6" s="10" t="s">
        <v>1394</v>
      </c>
      <c r="G6" s="10" t="s">
        <v>1395</v>
      </c>
      <c r="H6" s="10" t="s">
        <v>286</v>
      </c>
      <c r="I6" s="10" t="s">
        <v>85</v>
      </c>
      <c r="J6" s="10"/>
      <c r="K6" s="10" t="s">
        <v>286</v>
      </c>
      <c r="L6" s="10" t="s">
        <v>286</v>
      </c>
      <c r="M6" s="10" t="s">
        <v>72</v>
      </c>
      <c r="N6" s="10" t="s">
        <v>75</v>
      </c>
      <c r="O6" s="52">
        <v>9</v>
      </c>
      <c r="P6" s="55">
        <v>3.718</v>
      </c>
      <c r="Q6" s="56">
        <v>19439.5</v>
      </c>
      <c r="R6" s="52">
        <v>-323.57799999999997</v>
      </c>
      <c r="S6" s="54">
        <v>0.14700144417137601</v>
      </c>
      <c r="T6" s="54">
        <v>-1.3183943877799999E-4</v>
      </c>
    </row>
    <row r="7" spans="1:20" x14ac:dyDescent="0.25">
      <c r="A7" s="10">
        <v>424</v>
      </c>
      <c r="B7" s="10">
        <v>7228</v>
      </c>
      <c r="C7" t="s">
        <v>1390</v>
      </c>
      <c r="D7" t="s">
        <v>1391</v>
      </c>
      <c r="E7" s="10" t="s">
        <v>111</v>
      </c>
      <c r="F7" s="10" t="s">
        <v>1392</v>
      </c>
      <c r="G7" s="10" t="s">
        <v>1393</v>
      </c>
      <c r="H7" s="10" t="s">
        <v>286</v>
      </c>
      <c r="I7" s="10" t="s">
        <v>85</v>
      </c>
      <c r="J7" s="10"/>
      <c r="K7" s="10" t="s">
        <v>286</v>
      </c>
      <c r="L7" s="10" t="s">
        <v>286</v>
      </c>
      <c r="M7" s="10" t="s">
        <v>72</v>
      </c>
      <c r="N7" s="10" t="s">
        <v>75</v>
      </c>
      <c r="O7" s="52">
        <v>257</v>
      </c>
      <c r="P7" s="55">
        <v>3.718</v>
      </c>
      <c r="Q7" s="56">
        <v>5653.25</v>
      </c>
      <c r="R7" s="52">
        <v>-1877.6089999999999</v>
      </c>
      <c r="S7" s="54">
        <v>0.85299855582862405</v>
      </c>
      <c r="T7" s="54">
        <v>-7.6501868068577599E-4</v>
      </c>
    </row>
    <row r="8" spans="1:20" x14ac:dyDescent="0.25">
      <c r="A8" s="10">
        <v>969</v>
      </c>
      <c r="B8" s="10">
        <v>969</v>
      </c>
      <c r="C8" t="s">
        <v>1390</v>
      </c>
      <c r="D8" t="s">
        <v>1391</v>
      </c>
      <c r="E8" s="10" t="s">
        <v>111</v>
      </c>
      <c r="F8" s="10" t="s">
        <v>1392</v>
      </c>
      <c r="G8" s="10" t="s">
        <v>1393</v>
      </c>
      <c r="H8" s="10" t="s">
        <v>286</v>
      </c>
      <c r="I8" s="10" t="s">
        <v>85</v>
      </c>
      <c r="J8" s="10"/>
      <c r="K8" s="10" t="s">
        <v>286</v>
      </c>
      <c r="L8" s="10" t="s">
        <v>286</v>
      </c>
      <c r="M8" s="10" t="s">
        <v>72</v>
      </c>
      <c r="N8" s="10" t="s">
        <v>75</v>
      </c>
      <c r="O8" s="52">
        <v>1</v>
      </c>
      <c r="P8" s="55">
        <v>3.718</v>
      </c>
      <c r="Q8" s="56">
        <v>5653.25</v>
      </c>
      <c r="R8" s="52">
        <v>-7.306</v>
      </c>
      <c r="S8" s="54">
        <v>1</v>
      </c>
      <c r="T8" s="54">
        <v>-9.9725997516070001E-5</v>
      </c>
    </row>
    <row r="9" spans="1:20" x14ac:dyDescent="0.25">
      <c r="A9" s="10"/>
      <c r="B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10"/>
      <c r="B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10"/>
      <c r="B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10"/>
      <c r="B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10"/>
      <c r="B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10"/>
      <c r="B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10"/>
      <c r="B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5">
      <c r="A16" s="10"/>
      <c r="B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10"/>
      <c r="B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10"/>
      <c r="B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10"/>
      <c r="B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E20" s="10"/>
      <c r="H20" s="10"/>
      <c r="J20" s="10"/>
      <c r="K20" s="10"/>
      <c r="L20" s="10"/>
      <c r="M20" s="10"/>
    </row>
  </sheetData>
  <dataValidations count="7">
    <dataValidation type="list" allowBlank="1" showInputMessage="1" showErrorMessage="1" sqref="I2:I19" xr:uid="{00000000-0002-0000-0B00-000000000000}">
      <formula1>israel_abroad</formula1>
      <formula2>0</formula2>
    </dataValidation>
    <dataValidation type="list" allowBlank="1" showInputMessage="1" showErrorMessage="1" sqref="M2:M20" xr:uid="{00000000-0002-0000-0B00-000001000000}">
      <formula1>Holding_interest</formula1>
      <formula2>0</formula2>
    </dataValidation>
    <dataValidation type="list" allowBlank="1" showInputMessage="1" showErrorMessage="1" sqref="L2:L20" xr:uid="{00000000-0002-0000-0B00-000002000000}">
      <formula1>Underlying_Asset</formula1>
      <formula2>0</formula2>
    </dataValidation>
    <dataValidation type="list" allowBlank="1" showInputMessage="1" showErrorMessage="1" sqref="J2:J20" xr:uid="{00000000-0002-0000-0B00-000003000000}">
      <formula1>Country_list</formula1>
      <formula2>0</formula2>
    </dataValidation>
    <dataValidation type="list" allowBlank="1" showInputMessage="1" showErrorMessage="1" sqref="E2:E20" xr:uid="{00000000-0002-0000-0B00-000004000000}">
      <formula1>Issuer_Type_TFunds</formula1>
      <formula2>0</formula2>
    </dataValidation>
    <dataValidation type="list" allowBlank="1" showInputMessage="1" showErrorMessage="1" sqref="H2:H20" xr:uid="{00000000-0002-0000-0B00-000005000000}">
      <formula1>Security_ID_Number_Type</formula1>
      <formula2>0</formula2>
    </dataValidation>
    <dataValidation type="list" allowBlank="1" showInputMessage="1" showErrorMessage="1" sqref="K2:K20" xr:uid="{00000000-0002-0000-0B00-000006000000}">
      <formula1>Stock_Exchange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1"/>
  <sheetViews>
    <sheetView rightToLeft="1" zoomScale="70" zoomScaleNormal="70" workbookViewId="0">
      <selection activeCell="A2" sqref="A2"/>
    </sheetView>
  </sheetViews>
  <sheetFormatPr defaultColWidth="9" defaultRowHeight="13.8" x14ac:dyDescent="0.25"/>
  <cols>
    <col min="1" max="16" width="11.59765625" customWidth="1"/>
    <col min="17" max="17" width="11.59765625" style="35" customWidth="1"/>
    <col min="18" max="28" width="11.59765625" customWidth="1"/>
  </cols>
  <sheetData>
    <row r="1" spans="1:28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207</v>
      </c>
      <c r="M1" s="36" t="s">
        <v>95</v>
      </c>
      <c r="N1" s="36" t="s">
        <v>1389</v>
      </c>
      <c r="O1" s="36" t="s">
        <v>57</v>
      </c>
      <c r="P1" s="36" t="s">
        <v>97</v>
      </c>
      <c r="Q1" s="38" t="s">
        <v>63</v>
      </c>
      <c r="R1" s="39" t="s">
        <v>99</v>
      </c>
      <c r="S1" s="36" t="s">
        <v>96</v>
      </c>
      <c r="T1" s="36" t="s">
        <v>59</v>
      </c>
      <c r="U1" s="36" t="s">
        <v>202</v>
      </c>
      <c r="V1" s="36" t="s">
        <v>60</v>
      </c>
      <c r="W1" s="36" t="s">
        <v>101</v>
      </c>
      <c r="X1" s="37" t="s">
        <v>62</v>
      </c>
      <c r="Y1" s="47" t="s">
        <v>102</v>
      </c>
      <c r="Z1" s="36" t="s">
        <v>64</v>
      </c>
      <c r="AA1" s="39" t="s">
        <v>65</v>
      </c>
      <c r="AB1" s="39" t="s">
        <v>66</v>
      </c>
    </row>
    <row r="2" spans="1:28" x14ac:dyDescent="0.25">
      <c r="A2" s="10">
        <v>1182</v>
      </c>
      <c r="B2" s="10">
        <v>1182</v>
      </c>
      <c r="C2" s="10" t="s">
        <v>1396</v>
      </c>
      <c r="D2" s="10" t="s">
        <v>1397</v>
      </c>
      <c r="E2" s="10" t="s">
        <v>210</v>
      </c>
      <c r="F2" s="10" t="s">
        <v>1398</v>
      </c>
      <c r="G2" s="10" t="s">
        <v>1399</v>
      </c>
      <c r="H2" s="10" t="s">
        <v>213</v>
      </c>
      <c r="I2" s="10" t="s">
        <v>1400</v>
      </c>
      <c r="J2" s="10" t="s">
        <v>71</v>
      </c>
      <c r="K2" s="10" t="s">
        <v>71</v>
      </c>
      <c r="L2" s="10" t="s">
        <v>216</v>
      </c>
      <c r="M2" s="10" t="s">
        <v>109</v>
      </c>
      <c r="N2" s="10" t="s">
        <v>1401</v>
      </c>
      <c r="O2" s="10" t="s">
        <v>72</v>
      </c>
      <c r="P2" s="52">
        <v>9.31</v>
      </c>
      <c r="Q2" s="53">
        <v>7.2999999999999995E-2</v>
      </c>
      <c r="R2" s="54">
        <v>5.8229999999999997E-2</v>
      </c>
      <c r="S2" s="10" t="s">
        <v>73</v>
      </c>
      <c r="T2" s="10" t="s">
        <v>74</v>
      </c>
      <c r="U2" s="10" t="s">
        <v>220</v>
      </c>
      <c r="V2" s="10" t="s">
        <v>81</v>
      </c>
      <c r="W2" s="52">
        <v>664281.75</v>
      </c>
      <c r="X2" s="55">
        <v>1</v>
      </c>
      <c r="Y2" s="56">
        <v>115.99</v>
      </c>
      <c r="Z2" s="52">
        <v>770.5</v>
      </c>
      <c r="AA2" s="54">
        <v>1</v>
      </c>
      <c r="AB2" s="54">
        <v>1.7795465837509999E-3</v>
      </c>
    </row>
    <row r="3" spans="1:28" x14ac:dyDescent="0.25">
      <c r="A3" s="10">
        <v>1182</v>
      </c>
      <c r="B3" s="10">
        <v>14769</v>
      </c>
      <c r="C3" s="10" t="s">
        <v>1396</v>
      </c>
      <c r="D3" s="10" t="s">
        <v>1397</v>
      </c>
      <c r="E3" s="10" t="s">
        <v>210</v>
      </c>
      <c r="F3" s="10" t="s">
        <v>1398</v>
      </c>
      <c r="G3" s="10" t="s">
        <v>1399</v>
      </c>
      <c r="H3" s="10" t="s">
        <v>213</v>
      </c>
      <c r="I3" s="10" t="s">
        <v>1400</v>
      </c>
      <c r="J3" s="10" t="s">
        <v>71</v>
      </c>
      <c r="K3" s="10" t="s">
        <v>71</v>
      </c>
      <c r="L3" s="10" t="s">
        <v>216</v>
      </c>
      <c r="M3" s="10" t="s">
        <v>109</v>
      </c>
      <c r="N3" s="10" t="s">
        <v>1401</v>
      </c>
      <c r="O3" s="10" t="s">
        <v>72</v>
      </c>
      <c r="P3" s="52">
        <v>9.31</v>
      </c>
      <c r="Q3" s="53">
        <v>7.2999999999999995E-2</v>
      </c>
      <c r="R3" s="54">
        <v>5.8229999999999997E-2</v>
      </c>
      <c r="S3" s="10" t="s">
        <v>73</v>
      </c>
      <c r="T3" s="10" t="s">
        <v>74</v>
      </c>
      <c r="U3" s="10" t="s">
        <v>220</v>
      </c>
      <c r="V3" s="10" t="s">
        <v>81</v>
      </c>
      <c r="W3" s="52">
        <v>10014.290000000001</v>
      </c>
      <c r="X3" s="55">
        <v>1</v>
      </c>
      <c r="Y3" s="56">
        <v>115.99</v>
      </c>
      <c r="Z3" s="52">
        <v>11.616</v>
      </c>
      <c r="AA3" s="54">
        <v>1</v>
      </c>
      <c r="AB3" s="54">
        <v>5.0144545181216396E-4</v>
      </c>
    </row>
    <row r="4" spans="1:28" x14ac:dyDescent="0.25">
      <c r="A4" s="10">
        <v>12904</v>
      </c>
      <c r="B4" s="10">
        <v>12905</v>
      </c>
      <c r="C4" s="10" t="s">
        <v>1396</v>
      </c>
      <c r="D4" s="10" t="s">
        <v>1397</v>
      </c>
      <c r="E4" s="10" t="s">
        <v>210</v>
      </c>
      <c r="F4" s="10" t="s">
        <v>1398</v>
      </c>
      <c r="G4" s="10" t="s">
        <v>1399</v>
      </c>
      <c r="H4" s="10" t="s">
        <v>213</v>
      </c>
      <c r="I4" s="10" t="s">
        <v>1400</v>
      </c>
      <c r="J4" s="10" t="s">
        <v>71</v>
      </c>
      <c r="K4" s="10" t="s">
        <v>71</v>
      </c>
      <c r="L4" s="10" t="s">
        <v>216</v>
      </c>
      <c r="M4" s="10" t="s">
        <v>109</v>
      </c>
      <c r="N4" s="10" t="s">
        <v>1401</v>
      </c>
      <c r="O4" s="10" t="s">
        <v>72</v>
      </c>
      <c r="P4" s="52">
        <v>9.31</v>
      </c>
      <c r="Q4" s="53">
        <v>7.2999999999999995E-2</v>
      </c>
      <c r="R4" s="54">
        <v>5.8229999999999997E-2</v>
      </c>
      <c r="S4" s="10" t="s">
        <v>73</v>
      </c>
      <c r="T4" s="10" t="s">
        <v>74</v>
      </c>
      <c r="U4" s="10" t="s">
        <v>220</v>
      </c>
      <c r="V4" s="10" t="s">
        <v>81</v>
      </c>
      <c r="W4" s="52">
        <v>79279.86</v>
      </c>
      <c r="X4" s="55">
        <v>1</v>
      </c>
      <c r="Y4" s="56">
        <v>115.99</v>
      </c>
      <c r="Z4" s="52">
        <v>91.956999999999994</v>
      </c>
      <c r="AA4" s="54">
        <v>1</v>
      </c>
      <c r="AB4" s="54">
        <v>2.1498196996156899E-3</v>
      </c>
    </row>
    <row r="5" spans="1:28" x14ac:dyDescent="0.25">
      <c r="A5" s="10">
        <v>12904</v>
      </c>
      <c r="B5" s="10">
        <v>13680</v>
      </c>
      <c r="C5" s="10" t="s">
        <v>1396</v>
      </c>
      <c r="D5" s="10" t="s">
        <v>1397</v>
      </c>
      <c r="E5" s="10" t="s">
        <v>210</v>
      </c>
      <c r="F5" s="10" t="s">
        <v>1398</v>
      </c>
      <c r="G5" s="10" t="s">
        <v>1399</v>
      </c>
      <c r="H5" s="10" t="s">
        <v>213</v>
      </c>
      <c r="I5" s="10" t="s">
        <v>1400</v>
      </c>
      <c r="J5" s="10" t="s">
        <v>71</v>
      </c>
      <c r="K5" s="10" t="s">
        <v>71</v>
      </c>
      <c r="L5" s="10" t="s">
        <v>216</v>
      </c>
      <c r="M5" s="10" t="s">
        <v>109</v>
      </c>
      <c r="N5" s="10" t="s">
        <v>1401</v>
      </c>
      <c r="O5" s="10" t="s">
        <v>72</v>
      </c>
      <c r="P5" s="52">
        <v>9.31</v>
      </c>
      <c r="Q5" s="53">
        <v>7.2999999999999995E-2</v>
      </c>
      <c r="R5" s="54">
        <v>5.8229999999999997E-2</v>
      </c>
      <c r="S5" s="10" t="s">
        <v>73</v>
      </c>
      <c r="T5" s="10" t="s">
        <v>74</v>
      </c>
      <c r="U5" s="10" t="s">
        <v>220</v>
      </c>
      <c r="V5" s="10" t="s">
        <v>81</v>
      </c>
      <c r="W5" s="52">
        <v>25870.27</v>
      </c>
      <c r="X5" s="55">
        <v>1</v>
      </c>
      <c r="Y5" s="56">
        <v>115.99</v>
      </c>
      <c r="Z5" s="52">
        <v>30.007000000000001</v>
      </c>
      <c r="AA5" s="54">
        <v>1</v>
      </c>
      <c r="AB5" s="54">
        <v>6.45367798726597E-4</v>
      </c>
    </row>
    <row r="6" spans="1:28" x14ac:dyDescent="0.25">
      <c r="A6" s="10">
        <v>424</v>
      </c>
      <c r="B6" s="10">
        <v>7228</v>
      </c>
      <c r="C6" s="10" t="s">
        <v>1396</v>
      </c>
      <c r="D6" s="10" t="s">
        <v>1397</v>
      </c>
      <c r="E6" s="10" t="s">
        <v>210</v>
      </c>
      <c r="F6" s="10" t="s">
        <v>1398</v>
      </c>
      <c r="G6" s="10" t="s">
        <v>1399</v>
      </c>
      <c r="H6" s="10" t="s">
        <v>213</v>
      </c>
      <c r="I6" s="10" t="s">
        <v>1400</v>
      </c>
      <c r="J6" s="10" t="s">
        <v>71</v>
      </c>
      <c r="K6" s="10" t="s">
        <v>71</v>
      </c>
      <c r="L6" s="10" t="s">
        <v>216</v>
      </c>
      <c r="M6" s="10" t="s">
        <v>109</v>
      </c>
      <c r="N6" s="10" t="s">
        <v>1401</v>
      </c>
      <c r="O6" s="10" t="s">
        <v>72</v>
      </c>
      <c r="P6" s="52">
        <v>9.31</v>
      </c>
      <c r="Q6" s="53">
        <v>7.2999999999999995E-2</v>
      </c>
      <c r="R6" s="54">
        <v>5.8229999999999997E-2</v>
      </c>
      <c r="S6" s="10" t="s">
        <v>73</v>
      </c>
      <c r="T6" s="10" t="s">
        <v>74</v>
      </c>
      <c r="U6" s="10" t="s">
        <v>220</v>
      </c>
      <c r="V6" s="10" t="s">
        <v>81</v>
      </c>
      <c r="W6" s="52">
        <v>3862180.79</v>
      </c>
      <c r="X6" s="55">
        <v>1</v>
      </c>
      <c r="Y6" s="56">
        <v>115.99</v>
      </c>
      <c r="Z6" s="52">
        <v>4479.7430000000004</v>
      </c>
      <c r="AA6" s="54">
        <v>1</v>
      </c>
      <c r="AB6" s="54">
        <v>1.8252406167870499E-3</v>
      </c>
    </row>
    <row r="7" spans="1:28" x14ac:dyDescent="0.25">
      <c r="A7" s="10">
        <v>424</v>
      </c>
      <c r="B7" s="10">
        <v>7229</v>
      </c>
      <c r="C7" s="10" t="s">
        <v>1396</v>
      </c>
      <c r="D7" s="10" t="s">
        <v>1397</v>
      </c>
      <c r="E7" s="10" t="s">
        <v>210</v>
      </c>
      <c r="F7" s="10" t="s">
        <v>1398</v>
      </c>
      <c r="G7" s="10" t="s">
        <v>1399</v>
      </c>
      <c r="H7" s="10" t="s">
        <v>213</v>
      </c>
      <c r="I7" s="10" t="s">
        <v>1400</v>
      </c>
      <c r="J7" s="10" t="s">
        <v>71</v>
      </c>
      <c r="K7" s="10" t="s">
        <v>71</v>
      </c>
      <c r="L7" s="10" t="s">
        <v>216</v>
      </c>
      <c r="M7" s="10" t="s">
        <v>109</v>
      </c>
      <c r="N7" s="10" t="s">
        <v>1401</v>
      </c>
      <c r="O7" s="10" t="s">
        <v>72</v>
      </c>
      <c r="P7" s="52">
        <v>9.31</v>
      </c>
      <c r="Q7" s="53">
        <v>7.2999999999999995E-2</v>
      </c>
      <c r="R7" s="54">
        <v>5.8229999999999997E-2</v>
      </c>
      <c r="S7" s="10" t="s">
        <v>73</v>
      </c>
      <c r="T7" s="10" t="s">
        <v>74</v>
      </c>
      <c r="U7" s="10" t="s">
        <v>220</v>
      </c>
      <c r="V7" s="10" t="s">
        <v>81</v>
      </c>
      <c r="W7" s="52">
        <v>237839.58</v>
      </c>
      <c r="X7" s="55">
        <v>1</v>
      </c>
      <c r="Y7" s="56">
        <v>115.99</v>
      </c>
      <c r="Z7" s="52">
        <v>275.87</v>
      </c>
      <c r="AA7" s="54">
        <v>1</v>
      </c>
      <c r="AB7" s="54">
        <v>1.8362264127232001E-3</v>
      </c>
    </row>
    <row r="8" spans="1:28" x14ac:dyDescent="0.25">
      <c r="A8" s="10">
        <v>969</v>
      </c>
      <c r="B8" s="10">
        <v>969</v>
      </c>
      <c r="C8" s="10" t="s">
        <v>1396</v>
      </c>
      <c r="D8" s="10" t="s">
        <v>1397</v>
      </c>
      <c r="E8" s="10" t="s">
        <v>210</v>
      </c>
      <c r="F8" s="10" t="s">
        <v>1398</v>
      </c>
      <c r="G8" s="10" t="s">
        <v>1399</v>
      </c>
      <c r="H8" s="10" t="s">
        <v>213</v>
      </c>
      <c r="I8" s="10" t="s">
        <v>1400</v>
      </c>
      <c r="J8" s="10" t="s">
        <v>71</v>
      </c>
      <c r="K8" s="10" t="s">
        <v>71</v>
      </c>
      <c r="L8" s="10" t="s">
        <v>216</v>
      </c>
      <c r="M8" s="10" t="s">
        <v>109</v>
      </c>
      <c r="N8" s="10" t="s">
        <v>1401</v>
      </c>
      <c r="O8" s="10" t="s">
        <v>72</v>
      </c>
      <c r="P8" s="52">
        <v>9.31</v>
      </c>
      <c r="Q8" s="53">
        <v>7.2999999999999995E-2</v>
      </c>
      <c r="R8" s="54">
        <v>5.8229999999999997E-2</v>
      </c>
      <c r="S8" s="10" t="s">
        <v>73</v>
      </c>
      <c r="T8" s="10" t="s">
        <v>74</v>
      </c>
      <c r="U8" s="10" t="s">
        <v>220</v>
      </c>
      <c r="V8" s="10" t="s">
        <v>81</v>
      </c>
      <c r="W8" s="52">
        <v>117668</v>
      </c>
      <c r="X8" s="55">
        <v>1</v>
      </c>
      <c r="Y8" s="56">
        <v>115.99</v>
      </c>
      <c r="Z8" s="52">
        <v>136.483</v>
      </c>
      <c r="AA8" s="54">
        <v>1</v>
      </c>
      <c r="AB8" s="54">
        <v>1.86301078556954E-3</v>
      </c>
    </row>
    <row r="9" spans="1:28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51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5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5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5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5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5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5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51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51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51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51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5">
      <c r="E20" s="10"/>
      <c r="H20" s="10"/>
      <c r="I20" s="10"/>
      <c r="J20" s="10"/>
      <c r="K20" s="10"/>
      <c r="L20" s="10"/>
      <c r="M20" s="10"/>
      <c r="N20" s="10"/>
      <c r="O20" s="10"/>
      <c r="T20" s="10"/>
      <c r="U20" s="10"/>
    </row>
    <row r="21" spans="1:28" x14ac:dyDescent="0.25">
      <c r="N21" s="10"/>
    </row>
  </sheetData>
  <dataValidations count="10">
    <dataValidation type="list" allowBlank="1" showInputMessage="1" showErrorMessage="1" sqref="J2:J20" xr:uid="{00000000-0002-0000-0C00-000000000000}">
      <formula1>israel_abroad</formula1>
      <formula2>0</formula2>
    </dataValidation>
    <dataValidation type="list" allowBlank="1" showInputMessage="1" showErrorMessage="1" sqref="O2:O20" xr:uid="{00000000-0002-0000-0C00-000001000000}">
      <formula1>Holding_interest</formula1>
      <formula2>0</formula2>
    </dataValidation>
    <dataValidation type="list" allowBlank="1" showInputMessage="1" showErrorMessage="1" sqref="U2:U20" xr:uid="{00000000-0002-0000-0C00-000002000000}">
      <formula1>What_is_rated</formula1>
      <formula2>0</formula2>
    </dataValidation>
    <dataValidation type="list" allowBlank="1" showInputMessage="1" showErrorMessage="1" sqref="T2:T20" xr:uid="{00000000-0002-0000-0C00-000003000000}">
      <formula1>Rating_Agency</formula1>
      <formula2>0</formula2>
    </dataValidation>
    <dataValidation type="list" allowBlank="1" showInputMessage="1" showErrorMessage="1" sqref="K2:K20" xr:uid="{00000000-0002-0000-0C00-000004000000}">
      <formula1>Country_list</formula1>
      <formula2>0</formula2>
    </dataValidation>
    <dataValidation type="list" allowBlank="1" showInputMessage="1" showErrorMessage="1" sqref="E2:E20" xr:uid="{00000000-0002-0000-0C00-000005000000}">
      <formula1>Issuer_Type_TFunds</formula1>
      <formula2>0</formula2>
    </dataValidation>
    <dataValidation type="list" allowBlank="1" showInputMessage="1" showErrorMessage="1" sqref="N2:N21" xr:uid="{00000000-0002-0000-0C00-000006000000}">
      <formula1>Underlying_Asset_Structured</formula1>
      <formula2>0</formula2>
    </dataValidation>
    <dataValidation type="list" allowBlank="1" showInputMessage="1" showErrorMessage="1" sqref="H2:H20" xr:uid="{00000000-0002-0000-0C00-000007000000}">
      <formula1>Security_ID_Number_Type</formula1>
      <formula2>0</formula2>
    </dataValidation>
    <dataValidation type="list" allowBlank="1" showInputMessage="1" showErrorMessage="1" sqref="L2:L20" xr:uid="{00000000-0002-0000-0C00-000008000000}">
      <formula1>Tradeable_Status</formula1>
      <formula2>0</formula2>
    </dataValidation>
    <dataValidation type="list" allowBlank="1" showInputMessage="1" showErrorMessage="1" sqref="M2:M20" xr:uid="{00000000-0002-0000-0C00-000009000000}">
      <formula1>Stock_Exchange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0"/>
  <sheetViews>
    <sheetView rightToLeft="1" zoomScale="70" zoomScaleNormal="70" workbookViewId="0">
      <selection activeCell="A2" sqref="A2"/>
    </sheetView>
  </sheetViews>
  <sheetFormatPr defaultColWidth="8.59765625" defaultRowHeight="13.8" x14ac:dyDescent="0.25"/>
  <cols>
    <col min="1" max="15" width="11.59765625" customWidth="1"/>
    <col min="16" max="16" width="11.59765625" style="35" customWidth="1"/>
    <col min="17" max="25" width="11.59765625" customWidth="1"/>
  </cols>
  <sheetData>
    <row r="1" spans="1:27" ht="66.75" customHeight="1" x14ac:dyDescent="0.25">
      <c r="A1" s="36" t="s">
        <v>50</v>
      </c>
      <c r="B1" s="36" t="s">
        <v>51</v>
      </c>
      <c r="C1" s="36" t="s">
        <v>91</v>
      </c>
      <c r="D1" s="36" t="s">
        <v>92</v>
      </c>
      <c r="E1" s="36" t="s">
        <v>93</v>
      </c>
      <c r="F1" s="36" t="s">
        <v>200</v>
      </c>
      <c r="G1" s="36" t="s">
        <v>55</v>
      </c>
      <c r="H1" s="36" t="s">
        <v>56</v>
      </c>
      <c r="I1" s="36" t="s">
        <v>94</v>
      </c>
      <c r="J1" s="36" t="s">
        <v>1402</v>
      </c>
      <c r="K1" s="36" t="s">
        <v>96</v>
      </c>
      <c r="L1" s="36" t="s">
        <v>59</v>
      </c>
      <c r="M1" s="36" t="s">
        <v>60</v>
      </c>
      <c r="N1" s="36" t="s">
        <v>97</v>
      </c>
      <c r="O1" s="36" t="s">
        <v>98</v>
      </c>
      <c r="P1" s="50" t="s">
        <v>63</v>
      </c>
      <c r="Q1" s="36" t="s">
        <v>99</v>
      </c>
      <c r="R1" s="36" t="s">
        <v>101</v>
      </c>
      <c r="S1" s="36" t="s">
        <v>62</v>
      </c>
      <c r="T1" s="36" t="s">
        <v>102</v>
      </c>
      <c r="U1" s="36" t="s">
        <v>64</v>
      </c>
      <c r="V1" s="36" t="s">
        <v>103</v>
      </c>
      <c r="W1" s="36" t="s">
        <v>18</v>
      </c>
      <c r="X1" s="36" t="s">
        <v>65</v>
      </c>
      <c r="Y1" s="36" t="s">
        <v>66</v>
      </c>
    </row>
    <row r="2" spans="1:27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51"/>
      <c r="Q2" s="10"/>
      <c r="R2" s="10"/>
      <c r="S2" s="10"/>
      <c r="T2" s="10"/>
      <c r="U2" s="10"/>
      <c r="V2" s="10"/>
      <c r="W2" s="10"/>
      <c r="X2" s="10"/>
      <c r="Y2" s="10"/>
    </row>
    <row r="3" spans="1:27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51"/>
      <c r="Q3" s="10"/>
      <c r="R3" s="10"/>
      <c r="S3" s="10"/>
      <c r="T3" s="10"/>
      <c r="U3" s="10"/>
      <c r="V3" s="10"/>
      <c r="W3" s="10"/>
      <c r="X3" s="10"/>
      <c r="Y3" s="10"/>
    </row>
    <row r="4" spans="1:27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51"/>
      <c r="Q4" s="10"/>
      <c r="R4" s="10"/>
      <c r="S4" s="10"/>
      <c r="T4" s="10"/>
      <c r="U4" s="10"/>
      <c r="V4" s="10"/>
      <c r="W4" s="10"/>
      <c r="X4" s="10"/>
      <c r="Y4" s="10"/>
    </row>
    <row r="5" spans="1:27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N5" s="10"/>
      <c r="O5" s="10"/>
      <c r="P5" s="51"/>
      <c r="Q5" s="10"/>
      <c r="R5" s="10"/>
      <c r="T5" s="10"/>
      <c r="U5" s="10"/>
      <c r="V5" s="10"/>
      <c r="W5" s="10"/>
      <c r="X5" s="10"/>
      <c r="Y5" s="10"/>
      <c r="Z5" s="10"/>
      <c r="AA5" s="10"/>
    </row>
    <row r="6" spans="1:27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51"/>
      <c r="Q6" s="10"/>
      <c r="R6" s="10"/>
      <c r="S6" s="10"/>
      <c r="T6" s="10"/>
      <c r="U6" s="10"/>
      <c r="V6" s="10"/>
      <c r="W6" s="10"/>
      <c r="X6" s="10"/>
      <c r="Y6" s="10"/>
    </row>
    <row r="7" spans="1:27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51"/>
      <c r="Q7" s="10"/>
      <c r="R7" s="10"/>
      <c r="S7" s="10"/>
      <c r="T7" s="10"/>
      <c r="U7" s="10"/>
      <c r="V7" s="10"/>
      <c r="W7" s="10"/>
      <c r="X7" s="10"/>
      <c r="Y7" s="10"/>
    </row>
    <row r="8" spans="1:27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51"/>
      <c r="Q8" s="10"/>
      <c r="R8" s="10"/>
      <c r="S8" s="10"/>
      <c r="T8" s="10"/>
      <c r="U8" s="10"/>
      <c r="V8" s="10"/>
      <c r="W8" s="10"/>
      <c r="X8" s="10"/>
      <c r="Y8" s="10"/>
    </row>
    <row r="9" spans="1:2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51"/>
      <c r="Q9" s="10"/>
      <c r="R9" s="10"/>
      <c r="S9" s="10"/>
      <c r="T9" s="10"/>
      <c r="U9" s="10"/>
      <c r="V9" s="10"/>
      <c r="W9" s="10"/>
      <c r="X9" s="10"/>
      <c r="Y9" s="10"/>
    </row>
    <row r="10" spans="1:2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51"/>
      <c r="Q10" s="10"/>
      <c r="R10" s="10"/>
      <c r="S10" s="10"/>
      <c r="T10" s="10"/>
      <c r="U10" s="10"/>
      <c r="V10" s="10"/>
      <c r="W10" s="10"/>
      <c r="X10" s="10"/>
      <c r="Y10" s="10"/>
    </row>
    <row r="11" spans="1:2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51"/>
      <c r="Q11" s="10"/>
      <c r="R11" s="10"/>
      <c r="S11" s="10"/>
      <c r="T11" s="10"/>
      <c r="U11" s="10"/>
      <c r="V11" s="10"/>
      <c r="W11" s="10"/>
      <c r="X11" s="10"/>
      <c r="Y11" s="10"/>
    </row>
    <row r="12" spans="1:2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51"/>
      <c r="Q12" s="10"/>
      <c r="R12" s="10"/>
      <c r="S12" s="10"/>
      <c r="T12" s="10"/>
      <c r="U12" s="10"/>
      <c r="V12" s="10"/>
      <c r="W12" s="10"/>
      <c r="X12" s="10"/>
      <c r="Y12" s="10"/>
    </row>
    <row r="13" spans="1:2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51"/>
      <c r="Q13" s="10"/>
      <c r="R13" s="10"/>
      <c r="S13" s="10"/>
      <c r="T13" s="10"/>
      <c r="U13" s="10"/>
      <c r="V13" s="10"/>
      <c r="W13" s="10"/>
      <c r="X13" s="10"/>
      <c r="Y13" s="10"/>
    </row>
    <row r="14" spans="1:2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51"/>
      <c r="Q14" s="10"/>
      <c r="R14" s="10"/>
      <c r="S14" s="10"/>
      <c r="T14" s="10"/>
      <c r="U14" s="10"/>
      <c r="V14" s="10"/>
      <c r="W14" s="10"/>
      <c r="X14" s="10"/>
      <c r="Y14" s="10"/>
    </row>
    <row r="15" spans="1:2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51"/>
      <c r="Q15" s="10"/>
      <c r="R15" s="10"/>
      <c r="S15" s="10"/>
      <c r="T15" s="10"/>
      <c r="U15" s="10"/>
      <c r="V15" s="10"/>
      <c r="W15" s="10"/>
      <c r="X15" s="10"/>
      <c r="Y15" s="10"/>
    </row>
    <row r="16" spans="1:27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51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51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51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51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5">
      <c r="F20" s="10"/>
      <c r="G20" s="10"/>
      <c r="H20" s="10"/>
      <c r="I20" s="10"/>
      <c r="L20" s="10"/>
      <c r="W20" s="10"/>
    </row>
  </sheetData>
  <dataValidations count="9">
    <dataValidation type="list" allowBlank="1" showInputMessage="1" showErrorMessage="1" sqref="W2:W4 W6:W20" xr:uid="{00000000-0002-0000-0D00-000000000000}">
      <formula1>In_the_books</formula1>
      <formula2>0</formula2>
    </dataValidation>
    <dataValidation type="list" allowBlank="1" showInputMessage="1" showErrorMessage="1" sqref="Y5" xr:uid="{00000000-0002-0000-0D00-000001000000}">
      <formula1>info_provider</formula1>
      <formula2>0</formula2>
    </dataValidation>
    <dataValidation type="list" allowBlank="1" showInputMessage="1" showErrorMessage="1" sqref="H2:H6 K5 H7:H20" xr:uid="{00000000-0002-0000-0D00-000002000000}">
      <formula1>israel_abroad</formula1>
      <formula2>0</formula2>
    </dataValidation>
    <dataValidation type="list" allowBlank="1" showInputMessage="1" showErrorMessage="1" sqref="L2:L6 O5 L7:L20" xr:uid="{00000000-0002-0000-0D00-000003000000}">
      <formula1>Rating_Agency</formula1>
      <formula2>0</formula2>
    </dataValidation>
    <dataValidation type="list" allowBlank="1" showInputMessage="1" showErrorMessage="1" sqref="P5" xr:uid="{00000000-0002-0000-0D00-000004000000}">
      <formula1>currency</formula1>
      <formula2>0</formula2>
    </dataValidation>
    <dataValidation type="list" allowBlank="1" showInputMessage="1" showErrorMessage="1" sqref="Q5" xr:uid="{00000000-0002-0000-0D00-000005000000}">
      <formula1>currency_abbreviation</formula1>
      <formula2>0</formula2>
    </dataValidation>
    <dataValidation type="list" allowBlank="1" showInputMessage="1" showErrorMessage="1" sqref="J5" xr:uid="{00000000-0002-0000-0D00-000006000000}">
      <formula1>$C$742:$C$748</formula1>
      <formula2>0</formula2>
    </dataValidation>
    <dataValidation type="list" allowBlank="1" showInputMessage="1" showErrorMessage="1" sqref="I2:I20" xr:uid="{00000000-0002-0000-0D00-000007000000}">
      <formula1>Country_list</formula1>
      <formula2>0</formula2>
    </dataValidation>
    <dataValidation type="list" allowBlank="1" showInputMessage="1" showErrorMessage="1" sqref="F2:F20" xr:uid="{00000000-0002-0000-0D00-000008000000}">
      <formula1>Type_of_Security_ID_Fund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0"/>
  <sheetViews>
    <sheetView rightToLeft="1" zoomScale="70" zoomScaleNormal="70" workbookViewId="0"/>
  </sheetViews>
  <sheetFormatPr defaultColWidth="9" defaultRowHeight="13.8" x14ac:dyDescent="0.25"/>
  <cols>
    <col min="1" max="9" width="11.59765625" customWidth="1"/>
    <col min="10" max="10" width="11.59765625" style="35" customWidth="1"/>
    <col min="11" max="19" width="11.59765625" customWidth="1"/>
  </cols>
  <sheetData>
    <row r="1" spans="1:18" ht="66.75" customHeight="1" x14ac:dyDescent="0.25">
      <c r="A1" s="36" t="s">
        <v>50</v>
      </c>
      <c r="B1" s="36" t="s">
        <v>51</v>
      </c>
      <c r="C1" s="36" t="s">
        <v>55</v>
      </c>
      <c r="D1" s="36" t="s">
        <v>92</v>
      </c>
      <c r="E1" s="36" t="s">
        <v>93</v>
      </c>
      <c r="F1" s="36" t="s">
        <v>1402</v>
      </c>
      <c r="G1" s="36" t="s">
        <v>97</v>
      </c>
      <c r="H1" s="36" t="s">
        <v>1403</v>
      </c>
      <c r="I1" s="36" t="s">
        <v>98</v>
      </c>
      <c r="J1" s="50" t="s">
        <v>63</v>
      </c>
      <c r="K1" s="36" t="s">
        <v>99</v>
      </c>
      <c r="L1" s="36" t="s">
        <v>101</v>
      </c>
      <c r="M1" s="36" t="s">
        <v>102</v>
      </c>
      <c r="N1" s="36" t="s">
        <v>64</v>
      </c>
      <c r="O1" s="36" t="s">
        <v>103</v>
      </c>
      <c r="P1" s="36" t="s">
        <v>18</v>
      </c>
      <c r="Q1" s="36" t="s">
        <v>65</v>
      </c>
      <c r="R1" s="36" t="s">
        <v>66</v>
      </c>
    </row>
    <row r="2" spans="1:18" x14ac:dyDescent="0.25">
      <c r="A2" s="10"/>
      <c r="B2" s="10"/>
      <c r="C2" s="10"/>
      <c r="D2" s="10"/>
      <c r="E2" s="10"/>
      <c r="F2" s="10"/>
      <c r="G2" s="10"/>
      <c r="H2" s="10"/>
      <c r="I2" s="10"/>
      <c r="J2" s="51"/>
      <c r="K2" s="10"/>
      <c r="L2" s="10"/>
      <c r="M2" s="10"/>
      <c r="N2" s="10"/>
      <c r="O2" s="10"/>
      <c r="P2" s="10"/>
      <c r="Q2" s="10"/>
      <c r="R2" s="10"/>
    </row>
    <row r="3" spans="1:18" x14ac:dyDescent="0.25">
      <c r="A3" s="10"/>
      <c r="B3" s="10"/>
      <c r="C3" s="10"/>
      <c r="D3" s="10"/>
      <c r="E3" s="10"/>
      <c r="F3" s="10"/>
      <c r="G3" s="10"/>
      <c r="H3" s="10"/>
      <c r="I3" s="10"/>
      <c r="J3" s="51"/>
      <c r="K3" s="10"/>
      <c r="L3" s="10"/>
      <c r="M3" s="10"/>
      <c r="N3" s="10"/>
      <c r="O3" s="10"/>
      <c r="P3" s="10"/>
      <c r="Q3" s="10"/>
      <c r="R3" s="10"/>
    </row>
    <row r="4" spans="1:18" x14ac:dyDescent="0.25">
      <c r="A4" s="10"/>
      <c r="B4" s="10"/>
      <c r="C4" s="10"/>
      <c r="D4" s="10"/>
      <c r="E4" s="10"/>
      <c r="F4" s="10"/>
      <c r="G4" s="10"/>
      <c r="H4" s="10"/>
      <c r="I4" s="10"/>
      <c r="J4" s="51"/>
      <c r="K4" s="10"/>
      <c r="L4" s="10"/>
      <c r="M4" s="10"/>
      <c r="N4" s="10"/>
      <c r="O4" s="10"/>
      <c r="P4" s="10"/>
      <c r="Q4" s="10"/>
      <c r="R4" s="10"/>
    </row>
    <row r="5" spans="1:18" x14ac:dyDescent="0.25">
      <c r="A5" s="10"/>
      <c r="B5" s="10"/>
      <c r="C5" s="10"/>
      <c r="D5" s="10"/>
      <c r="E5" s="10"/>
      <c r="F5" s="10"/>
      <c r="G5" s="10"/>
      <c r="H5" s="10"/>
      <c r="I5" s="10"/>
      <c r="J5" s="51"/>
      <c r="K5" s="10"/>
      <c r="L5" s="10"/>
      <c r="M5" s="10"/>
      <c r="N5" s="10"/>
      <c r="O5" s="10"/>
      <c r="P5" s="10"/>
      <c r="Q5" s="10"/>
      <c r="R5" s="10"/>
    </row>
    <row r="6" spans="1:18" x14ac:dyDescent="0.25">
      <c r="A6" s="10"/>
      <c r="B6" s="10"/>
      <c r="C6" s="10"/>
      <c r="D6" s="10"/>
      <c r="E6" s="10"/>
      <c r="F6" s="10"/>
      <c r="G6" s="10"/>
      <c r="H6" s="10"/>
      <c r="I6" s="10"/>
      <c r="J6" s="51"/>
      <c r="K6" s="10"/>
      <c r="L6" s="10"/>
      <c r="M6" s="10"/>
      <c r="N6" s="10"/>
      <c r="O6" s="10"/>
      <c r="P6" s="10"/>
      <c r="Q6" s="10"/>
      <c r="R6" s="10"/>
    </row>
    <row r="7" spans="1:18" x14ac:dyDescent="0.25">
      <c r="A7" s="10"/>
      <c r="B7" s="10"/>
      <c r="C7" s="10"/>
      <c r="D7" s="10"/>
      <c r="E7" s="10"/>
      <c r="F7" s="10"/>
      <c r="G7" s="10"/>
      <c r="H7" s="10"/>
      <c r="I7" s="10"/>
      <c r="J7" s="51"/>
      <c r="K7" s="10"/>
      <c r="L7" s="10"/>
      <c r="M7" s="10"/>
      <c r="N7" s="10"/>
      <c r="O7" s="10"/>
      <c r="P7" s="10"/>
      <c r="Q7" s="10"/>
      <c r="R7" s="10"/>
    </row>
    <row r="8" spans="1:18" x14ac:dyDescent="0.25">
      <c r="A8" s="10"/>
      <c r="B8" s="10"/>
      <c r="C8" s="10"/>
      <c r="D8" s="10"/>
      <c r="E8" s="10"/>
      <c r="F8" s="10"/>
      <c r="G8" s="10"/>
      <c r="H8" s="10"/>
      <c r="I8" s="10"/>
      <c r="J8" s="51"/>
      <c r="K8" s="10"/>
      <c r="L8" s="10"/>
      <c r="M8" s="10"/>
      <c r="N8" s="10"/>
      <c r="O8" s="10"/>
      <c r="P8" s="10"/>
      <c r="Q8" s="10"/>
      <c r="R8" s="10"/>
    </row>
    <row r="9" spans="1:18" x14ac:dyDescent="0.25">
      <c r="A9" s="10"/>
      <c r="B9" s="10"/>
      <c r="C9" s="10"/>
      <c r="D9" s="10"/>
      <c r="E9" s="10"/>
      <c r="F9" s="10"/>
      <c r="G9" s="10"/>
      <c r="H9" s="10"/>
      <c r="I9" s="10"/>
      <c r="J9" s="51"/>
      <c r="K9" s="10"/>
      <c r="L9" s="10"/>
      <c r="M9" s="10"/>
      <c r="N9" s="10"/>
      <c r="O9" s="10"/>
      <c r="P9" s="10"/>
      <c r="Q9" s="10"/>
      <c r="R9" s="10"/>
    </row>
    <row r="10" spans="1:1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51"/>
      <c r="K10" s="10"/>
      <c r="L10" s="10"/>
      <c r="M10" s="10"/>
      <c r="N10" s="10"/>
      <c r="O10" s="10"/>
      <c r="P10" s="10"/>
      <c r="Q10" s="10"/>
      <c r="R10" s="10"/>
    </row>
    <row r="11" spans="1:1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51"/>
      <c r="K11" s="10"/>
      <c r="L11" s="10"/>
      <c r="M11" s="10"/>
      <c r="N11" s="10"/>
      <c r="O11" s="10"/>
      <c r="P11" s="10"/>
      <c r="Q11" s="10"/>
      <c r="R11" s="10"/>
    </row>
    <row r="12" spans="1:1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51"/>
      <c r="K12" s="10"/>
      <c r="L12" s="10"/>
      <c r="M12" s="10"/>
      <c r="N12" s="10"/>
      <c r="O12" s="10"/>
      <c r="P12" s="10"/>
      <c r="Q12" s="10"/>
      <c r="R12" s="10"/>
    </row>
    <row r="13" spans="1:1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51"/>
      <c r="K13" s="10"/>
      <c r="L13" s="10"/>
      <c r="M13" s="10"/>
      <c r="N13" s="10"/>
      <c r="O13" s="10"/>
      <c r="P13" s="10"/>
      <c r="Q13" s="10"/>
      <c r="R13" s="10"/>
    </row>
    <row r="14" spans="1:1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51"/>
      <c r="K14" s="10"/>
      <c r="L14" s="10"/>
      <c r="M14" s="10"/>
      <c r="N14" s="10"/>
      <c r="O14" s="10"/>
      <c r="P14" s="10"/>
      <c r="Q14" s="10"/>
      <c r="R14" s="10"/>
    </row>
    <row r="15" spans="1:1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51"/>
      <c r="K15" s="10"/>
      <c r="L15" s="10"/>
      <c r="M15" s="10"/>
      <c r="N15" s="10"/>
      <c r="O15" s="10"/>
      <c r="P15" s="10"/>
      <c r="Q15" s="10"/>
      <c r="R15" s="10"/>
    </row>
    <row r="16" spans="1:1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51"/>
      <c r="K16" s="10"/>
      <c r="L16" s="10"/>
      <c r="M16" s="10"/>
      <c r="N16" s="10"/>
      <c r="O16" s="10"/>
      <c r="P16" s="10"/>
      <c r="Q16" s="10"/>
      <c r="R16" s="10"/>
    </row>
    <row r="17" spans="1:1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51"/>
      <c r="K17" s="10"/>
      <c r="L17" s="10"/>
      <c r="M17" s="10"/>
      <c r="N17" s="10"/>
      <c r="O17" s="10"/>
      <c r="P17" s="10"/>
      <c r="Q17" s="10"/>
      <c r="R17" s="10"/>
    </row>
    <row r="18" spans="1:1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51"/>
      <c r="K18" s="10"/>
      <c r="L18" s="10"/>
      <c r="M18" s="10"/>
      <c r="N18" s="10"/>
      <c r="O18" s="10"/>
      <c r="P18" s="10"/>
      <c r="Q18" s="10"/>
      <c r="R18" s="10"/>
    </row>
    <row r="19" spans="1:1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51"/>
      <c r="K19" s="10"/>
      <c r="L19" s="10"/>
      <c r="M19" s="10"/>
      <c r="N19" s="10"/>
      <c r="O19" s="10"/>
      <c r="P19" s="10"/>
      <c r="Q19" s="10"/>
      <c r="R19" s="10"/>
    </row>
    <row r="20" spans="1:18" x14ac:dyDescent="0.25">
      <c r="C20" s="10"/>
      <c r="H20" s="10"/>
      <c r="P20" s="10"/>
    </row>
  </sheetData>
  <dataValidations count="2">
    <dataValidation type="list" allowBlank="1" showInputMessage="1" showErrorMessage="1" sqref="P2:P4 P6:P20" xr:uid="{00000000-0002-0000-0E00-000000000000}">
      <formula1>In_the_books</formula1>
      <formula2>0</formula2>
    </dataValidation>
    <dataValidation type="list" allowBlank="1" showInputMessage="1" showErrorMessage="1" sqref="H2:H20" xr:uid="{00000000-0002-0000-0E00-000001000000}">
      <formula1>Linked_Type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"/>
  <sheetViews>
    <sheetView rightToLeft="1" zoomScale="70" zoomScaleNormal="70" workbookViewId="0"/>
  </sheetViews>
  <sheetFormatPr defaultColWidth="9" defaultRowHeight="13.8" x14ac:dyDescent="0.25"/>
  <cols>
    <col min="1" max="8" width="11.59765625" customWidth="1"/>
  </cols>
  <sheetData>
    <row r="1" spans="1:7" ht="66.75" customHeight="1" x14ac:dyDescent="0.25">
      <c r="A1" s="36" t="s">
        <v>1404</v>
      </c>
      <c r="B1" s="36" t="s">
        <v>51</v>
      </c>
      <c r="C1" s="36" t="s">
        <v>55</v>
      </c>
      <c r="D1" s="36" t="s">
        <v>1405</v>
      </c>
      <c r="E1" s="36" t="s">
        <v>1406</v>
      </c>
      <c r="F1" s="36" t="s">
        <v>1407</v>
      </c>
      <c r="G1" s="36" t="s">
        <v>66</v>
      </c>
    </row>
    <row r="2" spans="1:7" x14ac:dyDescent="0.25">
      <c r="A2" s="10"/>
      <c r="B2" s="10"/>
      <c r="C2" s="10"/>
      <c r="D2" s="62"/>
      <c r="G2" s="10"/>
    </row>
    <row r="3" spans="1:7" x14ac:dyDescent="0.25">
      <c r="A3" s="10"/>
      <c r="B3" s="10"/>
      <c r="C3" s="10"/>
      <c r="G3" s="10"/>
    </row>
    <row r="4" spans="1:7" x14ac:dyDescent="0.25">
      <c r="A4" s="10"/>
      <c r="B4" s="10"/>
      <c r="C4" s="10"/>
      <c r="G4" s="10"/>
    </row>
    <row r="5" spans="1:7" x14ac:dyDescent="0.25">
      <c r="A5" s="10"/>
      <c r="B5" s="10"/>
      <c r="C5" s="10"/>
      <c r="G5" s="10"/>
    </row>
    <row r="6" spans="1:7" x14ac:dyDescent="0.25">
      <c r="A6" s="10"/>
      <c r="B6" s="10"/>
      <c r="C6" s="10"/>
      <c r="G6" s="10"/>
    </row>
    <row r="7" spans="1:7" x14ac:dyDescent="0.25">
      <c r="A7" s="10"/>
      <c r="B7" s="10"/>
      <c r="C7" s="10"/>
      <c r="G7" s="10"/>
    </row>
    <row r="8" spans="1:7" x14ac:dyDescent="0.25">
      <c r="A8" s="10"/>
      <c r="B8" s="10"/>
      <c r="C8" s="10"/>
      <c r="G8" s="10"/>
    </row>
    <row r="9" spans="1:7" x14ac:dyDescent="0.25">
      <c r="A9" s="10"/>
      <c r="B9" s="10"/>
      <c r="C9" s="10"/>
      <c r="G9" s="10"/>
    </row>
    <row r="10" spans="1:7" x14ac:dyDescent="0.25">
      <c r="A10" s="10"/>
      <c r="B10" s="10"/>
      <c r="C10" s="10"/>
      <c r="G10" s="10"/>
    </row>
    <row r="11" spans="1:7" x14ac:dyDescent="0.25">
      <c r="A11" s="10"/>
      <c r="B11" s="10"/>
      <c r="C11" s="10"/>
      <c r="G11" s="10"/>
    </row>
    <row r="12" spans="1:7" x14ac:dyDescent="0.25">
      <c r="A12" s="10"/>
      <c r="B12" s="10"/>
      <c r="C12" s="10"/>
      <c r="G12" s="10"/>
    </row>
    <row r="13" spans="1:7" x14ac:dyDescent="0.25">
      <c r="A13" s="10"/>
      <c r="B13" s="10"/>
      <c r="C13" s="10"/>
      <c r="G13" s="10"/>
    </row>
    <row r="14" spans="1:7" x14ac:dyDescent="0.25">
      <c r="A14" s="10"/>
      <c r="B14" s="10"/>
      <c r="C14" s="10"/>
      <c r="G14" s="10"/>
    </row>
    <row r="15" spans="1:7" x14ac:dyDescent="0.25">
      <c r="A15" s="10"/>
      <c r="B15" s="10"/>
      <c r="C15" s="10"/>
      <c r="G15" s="10"/>
    </row>
    <row r="16" spans="1:7" x14ac:dyDescent="0.25">
      <c r="A16" s="10"/>
      <c r="B16" s="10"/>
      <c r="C16" s="10"/>
      <c r="G16" s="10"/>
    </row>
    <row r="17" spans="1:7" x14ac:dyDescent="0.25">
      <c r="A17" s="10"/>
      <c r="B17" s="10"/>
      <c r="C17" s="10"/>
      <c r="G17" s="10"/>
    </row>
    <row r="18" spans="1:7" x14ac:dyDescent="0.25">
      <c r="A18" s="10"/>
      <c r="B18" s="10"/>
      <c r="C18" s="10"/>
      <c r="G18" s="10"/>
    </row>
    <row r="19" spans="1:7" x14ac:dyDescent="0.25">
      <c r="A19" s="10"/>
      <c r="B19" s="10"/>
      <c r="C19" s="10"/>
      <c r="G19" s="10"/>
    </row>
    <row r="20" spans="1:7" x14ac:dyDescent="0.25">
      <c r="C20" s="10"/>
    </row>
  </sheetData>
  <dataValidations count="1">
    <dataValidation type="list" allowBlank="1" showInputMessage="1" showErrorMessage="1" sqref="C2:C20" xr:uid="{00000000-0002-0000-0F00-000000000000}">
      <formula1>Capsule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0"/>
  <sheetViews>
    <sheetView rightToLeft="1" zoomScale="70" zoomScaleNormal="70" workbookViewId="0"/>
  </sheetViews>
  <sheetFormatPr defaultColWidth="8.59765625" defaultRowHeight="13.8" x14ac:dyDescent="0.25"/>
  <cols>
    <col min="1" max="40" width="11.59765625" customWidth="1"/>
  </cols>
  <sheetData>
    <row r="1" spans="1:40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201</v>
      </c>
      <c r="M1" s="36" t="s">
        <v>57</v>
      </c>
      <c r="N1" s="36" t="s">
        <v>1402</v>
      </c>
      <c r="O1" s="36" t="s">
        <v>96</v>
      </c>
      <c r="P1" s="36" t="s">
        <v>59</v>
      </c>
      <c r="Q1" s="36" t="s">
        <v>202</v>
      </c>
      <c r="R1" s="36" t="s">
        <v>60</v>
      </c>
      <c r="S1" s="36" t="s">
        <v>97</v>
      </c>
      <c r="T1" s="36" t="s">
        <v>1403</v>
      </c>
      <c r="U1" s="36" t="s">
        <v>203</v>
      </c>
      <c r="V1" s="36" t="s">
        <v>98</v>
      </c>
      <c r="W1" s="36" t="s">
        <v>63</v>
      </c>
      <c r="X1" s="36" t="s">
        <v>99</v>
      </c>
      <c r="Y1" s="36" t="s">
        <v>204</v>
      </c>
      <c r="Z1" s="36" t="s">
        <v>205</v>
      </c>
      <c r="AA1" s="36" t="s">
        <v>1408</v>
      </c>
      <c r="AB1" s="36" t="s">
        <v>1409</v>
      </c>
      <c r="AC1" s="36" t="s">
        <v>1410</v>
      </c>
      <c r="AD1" s="36" t="s">
        <v>1411</v>
      </c>
      <c r="AE1" s="36" t="s">
        <v>1412</v>
      </c>
      <c r="AF1" s="36" t="s">
        <v>101</v>
      </c>
      <c r="AG1" s="36" t="s">
        <v>62</v>
      </c>
      <c r="AH1" s="36" t="s">
        <v>102</v>
      </c>
      <c r="AI1" s="36" t="s">
        <v>64</v>
      </c>
      <c r="AJ1" s="36" t="s">
        <v>103</v>
      </c>
      <c r="AK1" s="36" t="s">
        <v>206</v>
      </c>
      <c r="AL1" s="36" t="s">
        <v>18</v>
      </c>
      <c r="AM1" s="36" t="s">
        <v>65</v>
      </c>
      <c r="AN1" s="36" t="s">
        <v>66</v>
      </c>
    </row>
    <row r="2" spans="1:4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K2" s="10"/>
      <c r="AL2" s="10"/>
    </row>
    <row r="3" spans="1:4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F3" s="10"/>
      <c r="AG3" s="10"/>
      <c r="AH3" s="10"/>
      <c r="AI3" s="10"/>
      <c r="AK3" s="10"/>
      <c r="AL3" s="10"/>
    </row>
    <row r="4" spans="1:40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D4" s="10"/>
      <c r="AE4" s="10"/>
      <c r="AF4" s="10"/>
      <c r="AG4" s="10"/>
      <c r="AH4" s="10"/>
      <c r="AI4" s="10"/>
      <c r="AK4" s="10"/>
      <c r="AL4" s="10"/>
    </row>
    <row r="5" spans="1:40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D5" s="10"/>
      <c r="AE5" s="10"/>
      <c r="AF5" s="10"/>
      <c r="AG5" s="10"/>
      <c r="AH5" s="10"/>
      <c r="AI5" s="10"/>
      <c r="AK5" s="10"/>
      <c r="AL5" s="10"/>
    </row>
    <row r="6" spans="1:4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D6" s="10"/>
      <c r="AE6" s="10"/>
      <c r="AF6" s="10"/>
      <c r="AG6" s="10"/>
      <c r="AH6" s="10"/>
      <c r="AI6" s="10"/>
      <c r="AK6" s="10"/>
      <c r="AL6" s="10"/>
    </row>
    <row r="7" spans="1:4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D7" s="10"/>
      <c r="AE7" s="10"/>
      <c r="AF7" s="10"/>
      <c r="AG7" s="10"/>
      <c r="AH7" s="10"/>
      <c r="AI7" s="10"/>
      <c r="AK7" s="10"/>
      <c r="AL7" s="10"/>
    </row>
    <row r="8" spans="1:4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D8" s="10"/>
      <c r="AE8" s="10"/>
      <c r="AF8" s="10"/>
      <c r="AG8" s="10"/>
      <c r="AH8" s="10"/>
      <c r="AI8" s="10"/>
      <c r="AK8" s="10"/>
      <c r="AL8" s="10"/>
    </row>
    <row r="9" spans="1:4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D9" s="10"/>
      <c r="AE9" s="10"/>
      <c r="AF9" s="10"/>
      <c r="AG9" s="10"/>
      <c r="AH9" s="10"/>
      <c r="AL9" s="10"/>
    </row>
    <row r="10" spans="1:4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D10" s="10"/>
      <c r="AE10" s="10"/>
      <c r="AF10" s="10"/>
      <c r="AG10" s="10"/>
      <c r="AH10" s="10"/>
      <c r="AL10" s="10"/>
    </row>
    <row r="11" spans="1:4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D11" s="10"/>
      <c r="AE11" s="10"/>
      <c r="AF11" s="10"/>
      <c r="AG11" s="10"/>
      <c r="AH11" s="10"/>
      <c r="AI11" s="10"/>
      <c r="AK11" s="10"/>
      <c r="AL11" s="10"/>
    </row>
    <row r="12" spans="1:4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D12" s="10"/>
      <c r="AE12" s="10"/>
      <c r="AF12" s="10"/>
      <c r="AG12" s="10"/>
      <c r="AH12" s="10"/>
      <c r="AI12" s="10"/>
      <c r="AK12" s="10"/>
      <c r="AL12" s="10"/>
    </row>
    <row r="13" spans="1:4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D13" s="10"/>
      <c r="AE13" s="10"/>
      <c r="AF13" s="10"/>
      <c r="AG13" s="10"/>
      <c r="AH13" s="10"/>
      <c r="AI13" s="10"/>
      <c r="AK13" s="10"/>
      <c r="AL13" s="10"/>
    </row>
    <row r="14" spans="1:4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K14" s="10"/>
      <c r="AL14" s="10"/>
    </row>
    <row r="15" spans="1:4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K15" s="10"/>
      <c r="AL15" s="10"/>
    </row>
    <row r="16" spans="1:4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D16" s="10"/>
      <c r="AE16" s="10"/>
      <c r="AF16" s="10"/>
      <c r="AG16" s="10"/>
      <c r="AH16" s="10"/>
      <c r="AI16" s="10"/>
      <c r="AK16" s="10"/>
      <c r="AL16" s="10"/>
    </row>
    <row r="17" spans="1:3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K17" s="10"/>
      <c r="AL17" s="10"/>
    </row>
    <row r="18" spans="1:3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K18" s="10"/>
      <c r="AL18" s="10"/>
    </row>
    <row r="19" spans="1:3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D19" s="10"/>
      <c r="AE19" s="10"/>
      <c r="AF19" s="10"/>
      <c r="AG19" s="10"/>
      <c r="AH19" s="10"/>
      <c r="AI19" s="10"/>
      <c r="AK19" s="10"/>
      <c r="AL19" s="10"/>
    </row>
    <row r="20" spans="1:38" x14ac:dyDescent="0.25">
      <c r="E20" s="10"/>
      <c r="H20" s="10"/>
      <c r="I20" s="10"/>
      <c r="J20" s="10"/>
      <c r="K20" s="10"/>
      <c r="L20" s="10"/>
      <c r="M20" s="10"/>
      <c r="P20" s="10"/>
      <c r="Q20" s="10"/>
      <c r="T20" s="10"/>
      <c r="U20" s="10"/>
      <c r="Y20" s="10"/>
      <c r="Z20" s="10"/>
      <c r="AA20" s="10"/>
      <c r="AB20" s="10"/>
      <c r="AL20" s="10"/>
    </row>
  </sheetData>
  <dataValidations count="16">
    <dataValidation type="list" allowBlank="1" showInputMessage="1" showErrorMessage="1" sqref="J2:J20" xr:uid="{00000000-0002-0000-1000-000000000000}">
      <formula1>israel_abroad</formula1>
      <formula2>0</formula2>
    </dataValidation>
    <dataValidation type="list" allowBlank="1" showInputMessage="1" showErrorMessage="1" sqref="Q2:Q20" xr:uid="{00000000-0002-0000-1000-000001000000}">
      <formula1>What_is_rated</formula1>
      <formula2>0</formula2>
    </dataValidation>
    <dataValidation type="list" allowBlank="1" showInputMessage="1" showErrorMessage="1" sqref="P2:P20" xr:uid="{00000000-0002-0000-1000-000002000000}">
      <formula1>Rating_Agency</formula1>
      <formula2>0</formula2>
    </dataValidation>
    <dataValidation type="list" allowBlank="1" showInputMessage="1" showErrorMessage="1" sqref="M2:M20" xr:uid="{00000000-0002-0000-1000-000003000000}">
      <formula1>Holding_interest</formula1>
      <formula2>0</formula2>
    </dataValidation>
    <dataValidation type="list" allowBlank="1" showInputMessage="1" showErrorMessage="1" sqref="K2:K20" xr:uid="{00000000-0002-0000-1000-000004000000}">
      <formula1>Country_list</formula1>
      <formula2>0</formula2>
    </dataValidation>
    <dataValidation type="list" allowBlank="1" showInputMessage="1" showErrorMessage="1" sqref="AA2:AA4 AF3 AA5:AA20" xr:uid="{00000000-0002-0000-1000-000005000000}">
      <formula1>Valuation</formula1>
      <formula2>0</formula2>
    </dataValidation>
    <dataValidation type="list" allowBlank="1" showInputMessage="1" showErrorMessage="1" sqref="AB2:AB20" xr:uid="{00000000-0002-0000-1000-000006000000}">
      <formula1>Dependence_Independence</formula1>
      <formula2>0</formula2>
    </dataValidation>
    <dataValidation type="list" allowBlank="1" showInputMessage="1" showErrorMessage="1" sqref="U2:U20" xr:uid="{00000000-0002-0000-1000-000007000000}">
      <formula1>Underlying_Interest_Rates</formula1>
      <formula2>0</formula2>
    </dataValidation>
    <dataValidation type="list" allowBlank="1" showInputMessage="1" showErrorMessage="1" sqref="T2:T20" xr:uid="{00000000-0002-0000-1000-000008000000}">
      <formula1>Linked_Type</formula1>
      <formula2>0</formula2>
    </dataValidation>
    <dataValidation type="list" allowBlank="1" showInputMessage="1" showErrorMessage="1" sqref="Z2:Z20" xr:uid="{00000000-0002-0000-1000-000009000000}">
      <formula1>Yes_No_Bad_Debt</formula1>
      <formula2>0</formula2>
    </dataValidation>
    <dataValidation type="list" allowBlank="1" showInputMessage="1" showErrorMessage="1" sqref="E3:E20" xr:uid="{00000000-0002-0000-1000-00000A000000}">
      <formula1>Issuer_Number_Type_2</formula1>
      <formula2>0</formula2>
    </dataValidation>
    <dataValidation type="list" allowBlank="1" showInputMessage="1" showErrorMessage="1" sqref="H2:H20" xr:uid="{00000000-0002-0000-1000-00000B000000}">
      <formula1>Type_of_Security_ID_Fund</formula1>
      <formula2>0</formula2>
    </dataValidation>
    <dataValidation type="list" allowBlank="1" showInputMessage="1" showErrorMessage="1" sqref="E2" xr:uid="{00000000-0002-0000-1000-00000C000000}">
      <formula1>Issuer_Number_Type_3</formula1>
      <formula2>0</formula2>
    </dataValidation>
    <dataValidation type="list" allowBlank="1" showInputMessage="1" showErrorMessage="1" sqref="Y2:Y20" xr:uid="{00000000-0002-0000-1000-00000D000000}">
      <formula1>Subordination_Risk</formula1>
      <formula2>0</formula2>
    </dataValidation>
    <dataValidation type="list" allowBlank="1" showInputMessage="1" showErrorMessage="1" sqref="AL2:AL20" xr:uid="{00000000-0002-0000-1000-00000E000000}">
      <formula1>In_the_books</formula1>
      <formula2>0</formula2>
    </dataValidation>
    <dataValidation type="list" allowBlank="1" showInputMessage="1" showErrorMessage="1" sqref="L2:L20" xr:uid="{00000000-0002-0000-1000-00000F000000}">
      <formula1>Industry_Sector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33"/>
  <sheetViews>
    <sheetView rightToLeft="1" zoomScale="70" zoomScaleNormal="70" workbookViewId="0">
      <selection activeCell="A5" sqref="A5"/>
    </sheetView>
  </sheetViews>
  <sheetFormatPr defaultColWidth="9" defaultRowHeight="13.8" x14ac:dyDescent="0.25"/>
  <cols>
    <col min="1" max="38" width="11.59765625" customWidth="1"/>
  </cols>
  <sheetData>
    <row r="1" spans="1:38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207</v>
      </c>
      <c r="M1" s="36" t="s">
        <v>201</v>
      </c>
      <c r="N1" s="36" t="s">
        <v>57</v>
      </c>
      <c r="O1" s="60" t="s">
        <v>1402</v>
      </c>
      <c r="P1" s="36" t="s">
        <v>96</v>
      </c>
      <c r="Q1" s="36" t="s">
        <v>59</v>
      </c>
      <c r="R1" s="36" t="s">
        <v>202</v>
      </c>
      <c r="S1" s="36" t="s">
        <v>60</v>
      </c>
      <c r="T1" s="36" t="s">
        <v>97</v>
      </c>
      <c r="U1" s="36" t="s">
        <v>98</v>
      </c>
      <c r="V1" s="39" t="s">
        <v>99</v>
      </c>
      <c r="W1" s="39" t="s">
        <v>63</v>
      </c>
      <c r="X1" s="36" t="s">
        <v>204</v>
      </c>
      <c r="Y1" s="36" t="s">
        <v>205</v>
      </c>
      <c r="Z1" s="36" t="s">
        <v>1408</v>
      </c>
      <c r="AA1" s="36" t="s">
        <v>1409</v>
      </c>
      <c r="AB1" s="60" t="s">
        <v>1411</v>
      </c>
      <c r="AC1" s="60" t="s">
        <v>1412</v>
      </c>
      <c r="AD1" s="36" t="s">
        <v>101</v>
      </c>
      <c r="AE1" s="37" t="s">
        <v>62</v>
      </c>
      <c r="AF1" s="47" t="s">
        <v>102</v>
      </c>
      <c r="AG1" s="36" t="s">
        <v>64</v>
      </c>
      <c r="AH1" s="36" t="s">
        <v>103</v>
      </c>
      <c r="AI1" s="36" t="s">
        <v>206</v>
      </c>
      <c r="AJ1" s="36" t="s">
        <v>18</v>
      </c>
      <c r="AK1" s="39" t="s">
        <v>65</v>
      </c>
      <c r="AL1" s="39" t="s">
        <v>66</v>
      </c>
    </row>
    <row r="2" spans="1:38" x14ac:dyDescent="0.25">
      <c r="A2">
        <v>1182</v>
      </c>
      <c r="B2" s="10">
        <v>1182</v>
      </c>
      <c r="C2" s="10" t="s">
        <v>1413</v>
      </c>
      <c r="D2" s="10" t="s">
        <v>1414</v>
      </c>
      <c r="E2" s="10" t="s">
        <v>210</v>
      </c>
      <c r="F2" s="10" t="s">
        <v>1415</v>
      </c>
      <c r="G2" s="10" t="s">
        <v>1416</v>
      </c>
      <c r="H2" s="10" t="s">
        <v>213</v>
      </c>
      <c r="I2" s="10" t="s">
        <v>214</v>
      </c>
      <c r="J2" s="10" t="s">
        <v>71</v>
      </c>
      <c r="K2" s="10" t="s">
        <v>71</v>
      </c>
      <c r="L2" s="10" t="s">
        <v>286</v>
      </c>
      <c r="M2" s="10" t="s">
        <v>245</v>
      </c>
      <c r="N2" s="10" t="s">
        <v>72</v>
      </c>
      <c r="O2" s="10"/>
      <c r="P2" s="10" t="s">
        <v>527</v>
      </c>
      <c r="Q2" s="10" t="s">
        <v>528</v>
      </c>
      <c r="R2" s="10" t="s">
        <v>528</v>
      </c>
      <c r="S2" s="10" t="s">
        <v>81</v>
      </c>
      <c r="T2" s="52">
        <v>0.01</v>
      </c>
      <c r="U2" s="10" t="s">
        <v>1417</v>
      </c>
      <c r="V2" s="54">
        <v>0</v>
      </c>
      <c r="W2" s="45">
        <v>5.1499999999999997E-2</v>
      </c>
      <c r="X2" s="10" t="s">
        <v>222</v>
      </c>
      <c r="Y2" s="10" t="s">
        <v>72</v>
      </c>
      <c r="Z2" s="10" t="s">
        <v>286</v>
      </c>
      <c r="AA2" s="10"/>
      <c r="AB2" s="63" t="s">
        <v>1418</v>
      </c>
      <c r="AC2" s="10"/>
      <c r="AD2" s="52">
        <v>13377</v>
      </c>
      <c r="AE2" s="55">
        <v>1</v>
      </c>
      <c r="AF2" s="56">
        <v>0</v>
      </c>
      <c r="AG2" s="52">
        <v>0</v>
      </c>
      <c r="AH2" s="10"/>
      <c r="AI2" s="10"/>
      <c r="AJ2" s="10" t="s">
        <v>16</v>
      </c>
      <c r="AK2" s="45">
        <v>2.9337778138365899E-8</v>
      </c>
      <c r="AL2" s="45">
        <v>3.0895499333229197E-11</v>
      </c>
    </row>
    <row r="3" spans="1:38" x14ac:dyDescent="0.25">
      <c r="A3" s="10">
        <v>1182</v>
      </c>
      <c r="B3" s="10">
        <v>1182</v>
      </c>
      <c r="C3" s="10" t="s">
        <v>1419</v>
      </c>
      <c r="D3" s="10" t="s">
        <v>1420</v>
      </c>
      <c r="E3" s="10" t="s">
        <v>210</v>
      </c>
      <c r="F3" s="10" t="s">
        <v>1421</v>
      </c>
      <c r="G3" s="10" t="s">
        <v>1422</v>
      </c>
      <c r="H3" s="10" t="s">
        <v>213</v>
      </c>
      <c r="I3" s="10" t="s">
        <v>1423</v>
      </c>
      <c r="J3" s="10" t="s">
        <v>71</v>
      </c>
      <c r="K3" s="10" t="s">
        <v>71</v>
      </c>
      <c r="L3" s="10" t="s">
        <v>286</v>
      </c>
      <c r="M3" s="10" t="s">
        <v>245</v>
      </c>
      <c r="N3" s="10" t="s">
        <v>72</v>
      </c>
      <c r="O3" s="10" t="s">
        <v>1424</v>
      </c>
      <c r="P3" s="10" t="s">
        <v>527</v>
      </c>
      <c r="Q3" s="10" t="s">
        <v>528</v>
      </c>
      <c r="R3" s="10" t="s">
        <v>528</v>
      </c>
      <c r="S3" s="10" t="s">
        <v>81</v>
      </c>
      <c r="T3" s="52">
        <v>0.01</v>
      </c>
      <c r="U3" s="10" t="s">
        <v>1425</v>
      </c>
      <c r="V3" s="54">
        <v>0</v>
      </c>
      <c r="W3" s="45">
        <v>5.7000000000000002E-2</v>
      </c>
      <c r="X3" s="10" t="s">
        <v>1426</v>
      </c>
      <c r="Y3" s="10" t="s">
        <v>373</v>
      </c>
      <c r="Z3" s="10" t="s">
        <v>1427</v>
      </c>
      <c r="AA3" s="10"/>
      <c r="AB3" s="63" t="s">
        <v>1428</v>
      </c>
      <c r="AC3" s="10"/>
      <c r="AD3" s="52">
        <v>1380.01</v>
      </c>
      <c r="AE3" s="55">
        <v>1</v>
      </c>
      <c r="AF3" s="56">
        <v>0.01</v>
      </c>
      <c r="AG3" s="52">
        <v>0</v>
      </c>
      <c r="AH3" s="10"/>
      <c r="AI3" s="10"/>
      <c r="AJ3" s="10" t="s">
        <v>16</v>
      </c>
      <c r="AK3" s="45">
        <v>3.0265700238264403E-7</v>
      </c>
      <c r="AL3" s="45">
        <v>3.1872690464864801E-10</v>
      </c>
    </row>
    <row r="4" spans="1:38" x14ac:dyDescent="0.25">
      <c r="A4" s="10">
        <v>1182</v>
      </c>
      <c r="B4" s="10">
        <v>1182</v>
      </c>
      <c r="C4" s="10" t="s">
        <v>1429</v>
      </c>
      <c r="D4" s="10" t="s">
        <v>1430</v>
      </c>
      <c r="E4" s="10" t="s">
        <v>210</v>
      </c>
      <c r="F4" s="10" t="s">
        <v>1431</v>
      </c>
      <c r="G4" s="10" t="s">
        <v>1432</v>
      </c>
      <c r="H4" s="10" t="s">
        <v>213</v>
      </c>
      <c r="I4" s="10" t="s">
        <v>1423</v>
      </c>
      <c r="J4" s="10" t="s">
        <v>71</v>
      </c>
      <c r="K4" s="10" t="s">
        <v>71</v>
      </c>
      <c r="L4" s="10" t="s">
        <v>286</v>
      </c>
      <c r="M4" s="10" t="s">
        <v>245</v>
      </c>
      <c r="N4" s="10" t="s">
        <v>72</v>
      </c>
      <c r="O4" t="s">
        <v>1424</v>
      </c>
      <c r="P4" s="10" t="s">
        <v>1433</v>
      </c>
      <c r="Q4" s="10" t="s">
        <v>219</v>
      </c>
      <c r="R4" s="10" t="s">
        <v>220</v>
      </c>
      <c r="S4" s="10" t="s">
        <v>81</v>
      </c>
      <c r="T4" s="52">
        <v>2.92</v>
      </c>
      <c r="U4" s="10" t="s">
        <v>1434</v>
      </c>
      <c r="V4" s="54">
        <v>1E-4</v>
      </c>
      <c r="W4" s="45">
        <v>6.5000000000000002E-2</v>
      </c>
      <c r="X4" s="10" t="s">
        <v>1426</v>
      </c>
      <c r="Y4" s="10" t="s">
        <v>373</v>
      </c>
      <c r="Z4" s="10" t="s">
        <v>1427</v>
      </c>
      <c r="AA4" s="10"/>
      <c r="AB4" s="63" t="s">
        <v>1435</v>
      </c>
      <c r="AD4" s="44">
        <v>39.99</v>
      </c>
      <c r="AE4" s="55">
        <v>1</v>
      </c>
      <c r="AF4" s="56">
        <v>73</v>
      </c>
      <c r="AG4" s="52">
        <v>2.9000000000000001E-2</v>
      </c>
      <c r="AH4" s="10"/>
      <c r="AI4" s="10"/>
      <c r="AJ4" s="10" t="s">
        <v>16</v>
      </c>
      <c r="AK4" s="45">
        <v>6.4023993112048605E-5</v>
      </c>
      <c r="AL4" s="45">
        <v>6.7423416564637901E-8</v>
      </c>
    </row>
    <row r="5" spans="1:38" x14ac:dyDescent="0.25">
      <c r="A5" s="10">
        <v>1182</v>
      </c>
      <c r="B5" s="10">
        <v>1182</v>
      </c>
      <c r="C5" s="10" t="s">
        <v>1413</v>
      </c>
      <c r="D5" s="10" t="s">
        <v>1414</v>
      </c>
      <c r="E5" s="10" t="s">
        <v>210</v>
      </c>
      <c r="F5" s="10" t="s">
        <v>1436</v>
      </c>
      <c r="G5" s="10" t="s">
        <v>1437</v>
      </c>
      <c r="H5" s="10" t="s">
        <v>213</v>
      </c>
      <c r="I5" s="10" t="s">
        <v>214</v>
      </c>
      <c r="J5" s="10" t="s">
        <v>71</v>
      </c>
      <c r="K5" s="10" t="s">
        <v>71</v>
      </c>
      <c r="L5" s="10" t="s">
        <v>286</v>
      </c>
      <c r="M5" s="10" t="s">
        <v>245</v>
      </c>
      <c r="N5" s="10" t="s">
        <v>72</v>
      </c>
      <c r="O5" s="10" t="s">
        <v>1438</v>
      </c>
      <c r="P5" s="10" t="s">
        <v>527</v>
      </c>
      <c r="Q5" s="10" t="s">
        <v>528</v>
      </c>
      <c r="R5" s="10" t="s">
        <v>528</v>
      </c>
      <c r="S5" s="10" t="s">
        <v>81</v>
      </c>
      <c r="T5" s="52">
        <v>0.01</v>
      </c>
      <c r="U5" s="10" t="s">
        <v>1439</v>
      </c>
      <c r="V5" s="54">
        <v>0</v>
      </c>
      <c r="W5" s="45">
        <v>4.9000000000000002E-2</v>
      </c>
      <c r="X5" s="10" t="s">
        <v>222</v>
      </c>
      <c r="Y5" s="10" t="s">
        <v>72</v>
      </c>
      <c r="Z5" s="10" t="s">
        <v>286</v>
      </c>
      <c r="AA5" s="10"/>
      <c r="AB5" s="63" t="s">
        <v>1440</v>
      </c>
      <c r="AC5" s="10"/>
      <c r="AD5" s="52">
        <v>3992.61</v>
      </c>
      <c r="AE5" s="55">
        <v>1</v>
      </c>
      <c r="AF5" s="56">
        <v>6.4</v>
      </c>
      <c r="AG5" s="44">
        <v>0.25600000000000001</v>
      </c>
      <c r="AJ5" s="10" t="s">
        <v>16</v>
      </c>
      <c r="AK5" s="45">
        <v>5.6040933003463796E-4</v>
      </c>
      <c r="AL5" s="45">
        <v>5.9016487208956E-7</v>
      </c>
    </row>
    <row r="6" spans="1:38" x14ac:dyDescent="0.25">
      <c r="A6" s="10">
        <v>1182</v>
      </c>
      <c r="B6" s="10">
        <v>1182</v>
      </c>
      <c r="C6" s="10" t="s">
        <v>1441</v>
      </c>
      <c r="D6" s="10" t="s">
        <v>1442</v>
      </c>
      <c r="E6" s="10" t="s">
        <v>210</v>
      </c>
      <c r="F6" s="10" t="s">
        <v>1443</v>
      </c>
      <c r="G6" s="10" t="s">
        <v>1444</v>
      </c>
      <c r="H6" s="10" t="s">
        <v>213</v>
      </c>
      <c r="I6" s="10" t="s">
        <v>1423</v>
      </c>
      <c r="J6" s="10" t="s">
        <v>71</v>
      </c>
      <c r="K6" s="10" t="s">
        <v>71</v>
      </c>
      <c r="L6" s="10" t="s">
        <v>286</v>
      </c>
      <c r="M6" s="10" t="s">
        <v>245</v>
      </c>
      <c r="N6" s="10" t="s">
        <v>72</v>
      </c>
      <c r="O6" s="10" t="s">
        <v>1445</v>
      </c>
      <c r="P6" s="10" t="s">
        <v>527</v>
      </c>
      <c r="Q6" s="10" t="s">
        <v>528</v>
      </c>
      <c r="R6" s="10" t="s">
        <v>528</v>
      </c>
      <c r="S6" s="10" t="s">
        <v>81</v>
      </c>
      <c r="T6" s="52">
        <v>0.01</v>
      </c>
      <c r="U6" s="10" t="s">
        <v>1446</v>
      </c>
      <c r="V6" s="54">
        <v>1E-4</v>
      </c>
      <c r="W6" s="45">
        <v>5.5E-2</v>
      </c>
      <c r="X6" s="10" t="s">
        <v>1426</v>
      </c>
      <c r="Y6" s="10" t="s">
        <v>373</v>
      </c>
      <c r="Z6" s="10" t="s">
        <v>1427</v>
      </c>
      <c r="AA6" s="10"/>
      <c r="AB6" s="63" t="s">
        <v>1447</v>
      </c>
      <c r="AC6" s="10"/>
      <c r="AD6" s="52">
        <v>1000</v>
      </c>
      <c r="AE6" s="55">
        <v>1</v>
      </c>
      <c r="AF6" s="56">
        <v>1</v>
      </c>
      <c r="AG6" s="44">
        <v>0.01</v>
      </c>
      <c r="AJ6" s="10" t="s">
        <v>16</v>
      </c>
      <c r="AK6" s="45">
        <v>2.19315079153516E-5</v>
      </c>
      <c r="AL6" s="45">
        <v>2.30959851485604E-8</v>
      </c>
    </row>
    <row r="7" spans="1:38" x14ac:dyDescent="0.25">
      <c r="A7" s="10">
        <v>1182</v>
      </c>
      <c r="B7" s="10">
        <v>1182</v>
      </c>
      <c r="C7" s="10" t="s">
        <v>1448</v>
      </c>
      <c r="D7" s="10" t="s">
        <v>1449</v>
      </c>
      <c r="E7" s="10" t="s">
        <v>210</v>
      </c>
      <c r="F7" s="10" t="s">
        <v>1450</v>
      </c>
      <c r="G7" s="10" t="s">
        <v>1451</v>
      </c>
      <c r="H7" s="10" t="s">
        <v>213</v>
      </c>
      <c r="I7" s="10" t="s">
        <v>239</v>
      </c>
      <c r="J7" s="10" t="s">
        <v>71</v>
      </c>
      <c r="K7" s="10" t="s">
        <v>71</v>
      </c>
      <c r="L7" s="10" t="s">
        <v>286</v>
      </c>
      <c r="M7" s="10" t="s">
        <v>429</v>
      </c>
      <c r="N7" s="10" t="s">
        <v>72</v>
      </c>
      <c r="O7" s="10" t="s">
        <v>1452</v>
      </c>
      <c r="P7" s="10" t="s">
        <v>527</v>
      </c>
      <c r="Q7" s="10" t="s">
        <v>528</v>
      </c>
      <c r="R7" s="10" t="s">
        <v>528</v>
      </c>
      <c r="S7" s="10" t="s">
        <v>81</v>
      </c>
      <c r="T7" s="52">
        <v>1.609</v>
      </c>
      <c r="U7" s="10" t="s">
        <v>1453</v>
      </c>
      <c r="V7" s="54">
        <v>8.8469999999999993E-2</v>
      </c>
      <c r="W7" s="45">
        <v>0</v>
      </c>
      <c r="X7" s="10" t="s">
        <v>222</v>
      </c>
      <c r="Y7" s="10" t="s">
        <v>72</v>
      </c>
      <c r="Z7" s="10" t="s">
        <v>1454</v>
      </c>
      <c r="AA7" s="10"/>
      <c r="AB7" s="63" t="s">
        <v>1455</v>
      </c>
      <c r="AC7" s="10"/>
      <c r="AD7" s="52">
        <v>450000</v>
      </c>
      <c r="AE7" s="55">
        <v>1</v>
      </c>
      <c r="AF7" s="56">
        <v>101.26</v>
      </c>
      <c r="AG7" s="52">
        <v>455.67</v>
      </c>
      <c r="AH7" s="10"/>
      <c r="AI7" s="10"/>
      <c r="AJ7" s="10" t="s">
        <v>16</v>
      </c>
      <c r="AK7" s="45">
        <v>0.99935302117882896</v>
      </c>
      <c r="AL7" s="45">
        <v>1.0524147552644499E-3</v>
      </c>
    </row>
    <row r="8" spans="1:38" x14ac:dyDescent="0.25">
      <c r="A8" s="10">
        <v>1182</v>
      </c>
      <c r="B8" s="10">
        <v>1182</v>
      </c>
      <c r="C8" s="10" t="s">
        <v>1456</v>
      </c>
      <c r="D8" s="10" t="s">
        <v>1457</v>
      </c>
      <c r="E8" s="10" t="s">
        <v>210</v>
      </c>
      <c r="F8" s="10" t="s">
        <v>1458</v>
      </c>
      <c r="G8" s="10" t="s">
        <v>1459</v>
      </c>
      <c r="H8" s="10" t="s">
        <v>213</v>
      </c>
      <c r="I8" s="10" t="s">
        <v>214</v>
      </c>
      <c r="J8" s="10" t="s">
        <v>71</v>
      </c>
      <c r="K8" s="10" t="s">
        <v>71</v>
      </c>
      <c r="L8" s="10" t="s">
        <v>286</v>
      </c>
      <c r="M8" s="10" t="s">
        <v>272</v>
      </c>
      <c r="N8" s="10" t="s">
        <v>72</v>
      </c>
      <c r="O8" s="10"/>
      <c r="P8" s="10" t="s">
        <v>1460</v>
      </c>
      <c r="Q8" s="10" t="s">
        <v>74</v>
      </c>
      <c r="R8" s="10" t="s">
        <v>220</v>
      </c>
      <c r="S8" s="10" t="s">
        <v>81</v>
      </c>
      <c r="T8" s="52">
        <v>0.01</v>
      </c>
      <c r="U8" s="10" t="s">
        <v>1461</v>
      </c>
      <c r="V8" s="54">
        <v>0</v>
      </c>
      <c r="W8" s="45">
        <v>5.5E-2</v>
      </c>
      <c r="X8" s="10" t="s">
        <v>222</v>
      </c>
      <c r="Y8" s="10" t="s">
        <v>72</v>
      </c>
      <c r="Z8" s="10" t="s">
        <v>286</v>
      </c>
      <c r="AA8" s="10"/>
      <c r="AB8" s="63" t="s">
        <v>1462</v>
      </c>
      <c r="AC8" s="10"/>
      <c r="AD8" s="52">
        <v>1285.8</v>
      </c>
      <c r="AE8" s="55">
        <v>1</v>
      </c>
      <c r="AF8" s="56">
        <v>0.01</v>
      </c>
      <c r="AG8" s="52">
        <v>0</v>
      </c>
      <c r="AH8" s="10"/>
      <c r="AI8" s="10"/>
      <c r="AJ8" s="10" t="s">
        <v>16</v>
      </c>
      <c r="AK8" s="45">
        <v>2.8199532877559202E-7</v>
      </c>
      <c r="AL8" s="45">
        <v>2.9696817704018902E-10</v>
      </c>
    </row>
    <row r="9" spans="1:38" x14ac:dyDescent="0.25">
      <c r="A9" s="10">
        <v>12904</v>
      </c>
      <c r="B9" s="10">
        <v>12905</v>
      </c>
      <c r="C9" s="10" t="s">
        <v>1448</v>
      </c>
      <c r="D9" s="10" t="s">
        <v>1449</v>
      </c>
      <c r="E9" s="10" t="s">
        <v>210</v>
      </c>
      <c r="F9" s="10" t="s">
        <v>1450</v>
      </c>
      <c r="G9" s="10" t="s">
        <v>1451</v>
      </c>
      <c r="H9" s="10" t="s">
        <v>213</v>
      </c>
      <c r="I9" s="10" t="s">
        <v>239</v>
      </c>
      <c r="J9" s="10" t="s">
        <v>71</v>
      </c>
      <c r="K9" s="10" t="s">
        <v>71</v>
      </c>
      <c r="L9" s="10" t="s">
        <v>286</v>
      </c>
      <c r="M9" s="10" t="s">
        <v>429</v>
      </c>
      <c r="N9" s="10" t="s">
        <v>72</v>
      </c>
      <c r="O9" s="10" t="s">
        <v>1452</v>
      </c>
      <c r="P9" s="10" t="s">
        <v>527</v>
      </c>
      <c r="Q9" s="10" t="s">
        <v>528</v>
      </c>
      <c r="R9" s="10" t="s">
        <v>528</v>
      </c>
      <c r="S9" s="10" t="s">
        <v>81</v>
      </c>
      <c r="T9" s="52">
        <v>1.609</v>
      </c>
      <c r="U9" s="10" t="s">
        <v>1453</v>
      </c>
      <c r="V9" s="54">
        <v>8.8469999999999993E-2</v>
      </c>
      <c r="W9" s="45">
        <v>0</v>
      </c>
      <c r="X9" s="10" t="s">
        <v>222</v>
      </c>
      <c r="Y9" s="10" t="s">
        <v>72</v>
      </c>
      <c r="Z9" s="10" t="s">
        <v>1454</v>
      </c>
      <c r="AA9" s="10"/>
      <c r="AB9" s="63" t="s">
        <v>1455</v>
      </c>
      <c r="AC9" s="10"/>
      <c r="AD9" s="52">
        <v>25000</v>
      </c>
      <c r="AE9" s="55">
        <v>1</v>
      </c>
      <c r="AF9" s="56">
        <v>101.26</v>
      </c>
      <c r="AG9" s="52">
        <v>25.315000000000001</v>
      </c>
      <c r="AH9" s="10"/>
      <c r="AI9" s="10"/>
      <c r="AJ9" s="10" t="s">
        <v>16</v>
      </c>
      <c r="AK9" s="45">
        <v>1</v>
      </c>
      <c r="AL9" s="45">
        <v>5.9182941543055702E-4</v>
      </c>
    </row>
    <row r="10" spans="1:38" x14ac:dyDescent="0.25">
      <c r="A10" s="10">
        <v>424</v>
      </c>
      <c r="B10" s="10">
        <v>7228</v>
      </c>
      <c r="C10" s="10" t="s">
        <v>1413</v>
      </c>
      <c r="D10" s="10" t="s">
        <v>1414</v>
      </c>
      <c r="E10" s="10" t="s">
        <v>210</v>
      </c>
      <c r="F10" s="10" t="s">
        <v>1415</v>
      </c>
      <c r="G10" s="10" t="s">
        <v>1416</v>
      </c>
      <c r="H10" s="10" t="s">
        <v>213</v>
      </c>
      <c r="I10" s="10" t="s">
        <v>214</v>
      </c>
      <c r="J10" s="10" t="s">
        <v>71</v>
      </c>
      <c r="K10" s="10" t="s">
        <v>71</v>
      </c>
      <c r="L10" s="10" t="s">
        <v>286</v>
      </c>
      <c r="M10" s="10" t="s">
        <v>245</v>
      </c>
      <c r="N10" s="10" t="s">
        <v>72</v>
      </c>
      <c r="O10" s="10" t="s">
        <v>1438</v>
      </c>
      <c r="P10" s="10" t="s">
        <v>527</v>
      </c>
      <c r="Q10" s="10" t="s">
        <v>528</v>
      </c>
      <c r="R10" s="10" t="s">
        <v>528</v>
      </c>
      <c r="S10" s="10" t="s">
        <v>81</v>
      </c>
      <c r="T10" s="52">
        <v>0.01</v>
      </c>
      <c r="U10" s="10" t="s">
        <v>1417</v>
      </c>
      <c r="V10" s="54">
        <v>0</v>
      </c>
      <c r="W10" s="45">
        <v>5.1499999999999997E-2</v>
      </c>
      <c r="X10" s="10" t="s">
        <v>222</v>
      </c>
      <c r="Y10" s="10" t="s">
        <v>72</v>
      </c>
      <c r="Z10" s="10" t="s">
        <v>286</v>
      </c>
      <c r="AA10" s="10"/>
      <c r="AB10" s="63" t="s">
        <v>1418</v>
      </c>
      <c r="AC10" s="10"/>
      <c r="AD10" s="52">
        <v>70023.45</v>
      </c>
      <c r="AE10" s="55">
        <v>1</v>
      </c>
      <c r="AF10" s="56">
        <v>0</v>
      </c>
      <c r="AG10" s="52">
        <v>0</v>
      </c>
      <c r="AH10" s="10"/>
      <c r="AI10" s="10"/>
      <c r="AJ10" s="10" t="s">
        <v>16</v>
      </c>
      <c r="AK10" s="45">
        <v>1.6207219271038901E-8</v>
      </c>
      <c r="AL10" s="45">
        <v>2.8530572144467599E-11</v>
      </c>
    </row>
    <row r="11" spans="1:38" x14ac:dyDescent="0.25">
      <c r="A11" s="10">
        <v>424</v>
      </c>
      <c r="B11" s="10">
        <v>7228</v>
      </c>
      <c r="C11" s="10" t="s">
        <v>1463</v>
      </c>
      <c r="D11" s="10" t="s">
        <v>1464</v>
      </c>
      <c r="E11" s="10" t="s">
        <v>210</v>
      </c>
      <c r="F11" s="10" t="s">
        <v>1465</v>
      </c>
      <c r="G11" s="10" t="s">
        <v>1466</v>
      </c>
      <c r="H11" s="10" t="s">
        <v>213</v>
      </c>
      <c r="I11" s="10" t="s">
        <v>1423</v>
      </c>
      <c r="J11" s="10" t="s">
        <v>71</v>
      </c>
      <c r="K11" s="10" t="s">
        <v>71</v>
      </c>
      <c r="L11" s="10" t="s">
        <v>286</v>
      </c>
      <c r="M11" s="10" t="s">
        <v>272</v>
      </c>
      <c r="N11" s="10" t="s">
        <v>72</v>
      </c>
      <c r="O11" s="10" t="s">
        <v>1467</v>
      </c>
      <c r="P11" s="10" t="s">
        <v>527</v>
      </c>
      <c r="Q11" s="10" t="s">
        <v>528</v>
      </c>
      <c r="R11" s="10" t="s">
        <v>528</v>
      </c>
      <c r="S11" s="10" t="s">
        <v>81</v>
      </c>
      <c r="T11" s="52">
        <v>0.01</v>
      </c>
      <c r="U11" s="10" t="s">
        <v>1468</v>
      </c>
      <c r="V11" s="54">
        <v>6.7999999999999996E-3</v>
      </c>
      <c r="W11" s="45">
        <v>7.9000000000000001E-2</v>
      </c>
      <c r="X11" s="10" t="s">
        <v>1426</v>
      </c>
      <c r="Y11" s="10" t="s">
        <v>373</v>
      </c>
      <c r="Z11" s="10" t="s">
        <v>1427</v>
      </c>
      <c r="AA11" s="10"/>
      <c r="AB11" s="63" t="s">
        <v>1469</v>
      </c>
      <c r="AC11" s="10"/>
      <c r="AD11" s="52">
        <v>10168.469999999999</v>
      </c>
      <c r="AE11" s="55">
        <v>1</v>
      </c>
      <c r="AF11" s="56">
        <v>0</v>
      </c>
      <c r="AG11" s="52">
        <v>0</v>
      </c>
      <c r="AH11" s="10"/>
      <c r="AI11" s="10"/>
      <c r="AJ11" s="10" t="s">
        <v>16</v>
      </c>
      <c r="AK11" s="45">
        <v>2.3535347507296598E-9</v>
      </c>
      <c r="AL11" s="45">
        <v>4.1430730267339699E-12</v>
      </c>
    </row>
    <row r="12" spans="1:38" x14ac:dyDescent="0.25">
      <c r="A12" s="10">
        <v>424</v>
      </c>
      <c r="B12" s="10">
        <v>7228</v>
      </c>
      <c r="C12" s="10" t="s">
        <v>1429</v>
      </c>
      <c r="D12" s="10" t="s">
        <v>1430</v>
      </c>
      <c r="E12" s="10" t="s">
        <v>210</v>
      </c>
      <c r="F12" s="10" t="s">
        <v>1431</v>
      </c>
      <c r="G12" s="10" t="s">
        <v>1432</v>
      </c>
      <c r="H12" s="10" t="s">
        <v>213</v>
      </c>
      <c r="I12" s="10" t="s">
        <v>1423</v>
      </c>
      <c r="J12" s="10" t="s">
        <v>71</v>
      </c>
      <c r="K12" s="10" t="s">
        <v>71</v>
      </c>
      <c r="L12" s="10" t="s">
        <v>286</v>
      </c>
      <c r="M12" s="10" t="s">
        <v>245</v>
      </c>
      <c r="N12" s="10" t="s">
        <v>72</v>
      </c>
      <c r="O12" s="10" t="s">
        <v>1424</v>
      </c>
      <c r="P12" s="10" t="s">
        <v>1433</v>
      </c>
      <c r="Q12" s="10" t="s">
        <v>219</v>
      </c>
      <c r="R12" s="10" t="s">
        <v>220</v>
      </c>
      <c r="S12" s="10" t="s">
        <v>81</v>
      </c>
      <c r="T12" s="52">
        <v>2.92</v>
      </c>
      <c r="U12" s="10" t="s">
        <v>1434</v>
      </c>
      <c r="V12" s="54">
        <v>1E-4</v>
      </c>
      <c r="W12" s="45">
        <v>6.5000000000000002E-2</v>
      </c>
      <c r="X12" s="10" t="s">
        <v>1426</v>
      </c>
      <c r="Y12" s="10" t="s">
        <v>373</v>
      </c>
      <c r="Z12" s="10" t="s">
        <v>1427</v>
      </c>
      <c r="AA12" s="10"/>
      <c r="AB12" s="63" t="s">
        <v>1435</v>
      </c>
      <c r="AC12" s="10"/>
      <c r="AD12" s="52">
        <v>363.29</v>
      </c>
      <c r="AE12" s="55">
        <v>1</v>
      </c>
      <c r="AF12" s="56">
        <v>73</v>
      </c>
      <c r="AG12" s="52">
        <v>0.26500000000000001</v>
      </c>
      <c r="AH12" s="10"/>
      <c r="AI12" s="10"/>
      <c r="AJ12" s="10" t="s">
        <v>16</v>
      </c>
      <c r="AK12" s="45">
        <v>6.1382038487853302E-5</v>
      </c>
      <c r="AL12" s="45">
        <v>1.08054605059954E-7</v>
      </c>
    </row>
    <row r="13" spans="1:38" x14ac:dyDescent="0.25">
      <c r="A13" s="10">
        <v>424</v>
      </c>
      <c r="B13" s="10">
        <v>7228</v>
      </c>
      <c r="C13" s="10" t="s">
        <v>1470</v>
      </c>
      <c r="D13" s="10" t="s">
        <v>1471</v>
      </c>
      <c r="E13" s="10" t="s">
        <v>210</v>
      </c>
      <c r="F13" s="10" t="s">
        <v>1472</v>
      </c>
      <c r="G13" s="10" t="s">
        <v>1473</v>
      </c>
      <c r="H13" s="10" t="s">
        <v>213</v>
      </c>
      <c r="I13" s="10" t="s">
        <v>1423</v>
      </c>
      <c r="J13" s="10" t="s">
        <v>71</v>
      </c>
      <c r="K13" s="10" t="s">
        <v>71</v>
      </c>
      <c r="L13" s="10" t="s">
        <v>286</v>
      </c>
      <c r="M13" s="10" t="s">
        <v>272</v>
      </c>
      <c r="N13" s="10" t="s">
        <v>72</v>
      </c>
      <c r="O13" s="10" t="s">
        <v>1474</v>
      </c>
      <c r="P13" s="10" t="s">
        <v>527</v>
      </c>
      <c r="Q13" s="10" t="s">
        <v>528</v>
      </c>
      <c r="R13" s="10" t="s">
        <v>528</v>
      </c>
      <c r="S13" s="10" t="s">
        <v>81</v>
      </c>
      <c r="T13" s="52">
        <v>0.01</v>
      </c>
      <c r="U13" s="10" t="s">
        <v>1475</v>
      </c>
      <c r="V13" s="54">
        <v>8.9999999999999993E-3</v>
      </c>
      <c r="W13" s="45">
        <v>4.4999999999999998E-2</v>
      </c>
      <c r="X13" s="10" t="s">
        <v>222</v>
      </c>
      <c r="Y13" s="10" t="s">
        <v>72</v>
      </c>
      <c r="Z13" s="10" t="s">
        <v>286</v>
      </c>
      <c r="AA13" s="10"/>
      <c r="AB13" s="63" t="s">
        <v>1462</v>
      </c>
      <c r="AC13" s="10"/>
      <c r="AD13" s="52">
        <v>1792.17</v>
      </c>
      <c r="AE13" s="55">
        <v>1</v>
      </c>
      <c r="AF13" s="56">
        <v>0.82</v>
      </c>
      <c r="AG13" s="52">
        <v>1.4999999999999999E-2</v>
      </c>
      <c r="AH13" s="10"/>
      <c r="AI13" s="10"/>
      <c r="AJ13" s="10" t="s">
        <v>16</v>
      </c>
      <c r="AK13" s="45">
        <v>3.4014027546488698E-6</v>
      </c>
      <c r="AL13" s="45">
        <v>5.9876999910349304E-9</v>
      </c>
    </row>
    <row r="14" spans="1:38" x14ac:dyDescent="0.25">
      <c r="A14" s="10">
        <v>424</v>
      </c>
      <c r="B14" s="10">
        <v>7228</v>
      </c>
      <c r="C14" s="10" t="s">
        <v>1476</v>
      </c>
      <c r="D14" s="10" t="s">
        <v>1477</v>
      </c>
      <c r="E14" s="10" t="s">
        <v>210</v>
      </c>
      <c r="F14" s="10" t="s">
        <v>1478</v>
      </c>
      <c r="G14" s="10" t="s">
        <v>1479</v>
      </c>
      <c r="H14" s="10" t="s">
        <v>213</v>
      </c>
      <c r="I14" s="10" t="s">
        <v>214</v>
      </c>
      <c r="J14" s="10" t="s">
        <v>71</v>
      </c>
      <c r="K14" s="10" t="s">
        <v>71</v>
      </c>
      <c r="L14" s="10" t="s">
        <v>286</v>
      </c>
      <c r="M14" s="10" t="s">
        <v>429</v>
      </c>
      <c r="N14" s="10" t="s">
        <v>72</v>
      </c>
      <c r="O14" s="10" t="s">
        <v>1424</v>
      </c>
      <c r="P14" s="10" t="s">
        <v>560</v>
      </c>
      <c r="Q14" s="10" t="s">
        <v>74</v>
      </c>
      <c r="R14" s="10" t="s">
        <v>220</v>
      </c>
      <c r="S14" s="10" t="s">
        <v>81</v>
      </c>
      <c r="T14" s="52">
        <v>0.31</v>
      </c>
      <c r="U14" s="10" t="s">
        <v>1480</v>
      </c>
      <c r="V14" s="54">
        <v>2.87E-2</v>
      </c>
      <c r="W14" s="45">
        <v>7.7499999999999999E-2</v>
      </c>
      <c r="X14" s="10" t="s">
        <v>222</v>
      </c>
      <c r="Y14" s="10" t="s">
        <v>72</v>
      </c>
      <c r="Z14" s="10" t="s">
        <v>1454</v>
      </c>
      <c r="AA14" s="10" t="s">
        <v>1481</v>
      </c>
      <c r="AB14" s="63" t="s">
        <v>1455</v>
      </c>
      <c r="AC14" s="10"/>
      <c r="AD14" s="52">
        <v>123400.43</v>
      </c>
      <c r="AE14" s="55">
        <v>1</v>
      </c>
      <c r="AF14" s="56">
        <v>146.02000000000001</v>
      </c>
      <c r="AG14" s="52">
        <v>180.18899999999999</v>
      </c>
      <c r="AH14" s="10"/>
      <c r="AI14" s="10"/>
      <c r="AJ14" s="10" t="s">
        <v>16</v>
      </c>
      <c r="AK14" s="45">
        <v>4.1705566109712301E-2</v>
      </c>
      <c r="AL14" s="45">
        <v>7.3416891745596897E-5</v>
      </c>
    </row>
    <row r="15" spans="1:38" x14ac:dyDescent="0.25">
      <c r="A15" s="10">
        <v>424</v>
      </c>
      <c r="B15" s="10">
        <v>7228</v>
      </c>
      <c r="C15" s="10" t="s">
        <v>1441</v>
      </c>
      <c r="D15" s="10" t="s">
        <v>1442</v>
      </c>
      <c r="E15" s="10" t="s">
        <v>210</v>
      </c>
      <c r="F15" s="10" t="s">
        <v>1443</v>
      </c>
      <c r="G15" s="10" t="s">
        <v>1444</v>
      </c>
      <c r="H15" s="10" t="s">
        <v>213</v>
      </c>
      <c r="I15" s="10" t="s">
        <v>1423</v>
      </c>
      <c r="J15" s="10" t="s">
        <v>71</v>
      </c>
      <c r="K15" s="10" t="s">
        <v>71</v>
      </c>
      <c r="L15" s="10" t="s">
        <v>286</v>
      </c>
      <c r="M15" s="10" t="s">
        <v>245</v>
      </c>
      <c r="N15" s="10" t="s">
        <v>72</v>
      </c>
      <c r="O15" s="10" t="s">
        <v>1445</v>
      </c>
      <c r="P15" s="10" t="s">
        <v>527</v>
      </c>
      <c r="Q15" s="10" t="s">
        <v>528</v>
      </c>
      <c r="R15" s="10" t="s">
        <v>528</v>
      </c>
      <c r="S15" s="10" t="s">
        <v>81</v>
      </c>
      <c r="T15" s="52">
        <v>0.01</v>
      </c>
      <c r="U15" s="10" t="s">
        <v>1446</v>
      </c>
      <c r="V15" s="54">
        <v>1E-4</v>
      </c>
      <c r="W15" s="45">
        <v>5.5E-2</v>
      </c>
      <c r="X15" s="10" t="s">
        <v>1426</v>
      </c>
      <c r="Y15" s="10" t="s">
        <v>373</v>
      </c>
      <c r="Z15" s="10" t="s">
        <v>1427</v>
      </c>
      <c r="AA15" s="10"/>
      <c r="AB15" s="63" t="s">
        <v>1447</v>
      </c>
      <c r="AC15" s="10"/>
      <c r="AD15" s="52">
        <v>22175.01</v>
      </c>
      <c r="AE15" s="55">
        <v>1</v>
      </c>
      <c r="AF15" s="56">
        <v>1</v>
      </c>
      <c r="AG15" s="52">
        <v>0.222</v>
      </c>
      <c r="AH15" s="10"/>
      <c r="AI15" s="10"/>
      <c r="AJ15" s="10" t="s">
        <v>16</v>
      </c>
      <c r="AK15" s="45">
        <v>5.1324984616936098E-5</v>
      </c>
      <c r="AL15" s="45">
        <v>9.0350550081335804E-8</v>
      </c>
    </row>
    <row r="16" spans="1:38" x14ac:dyDescent="0.25">
      <c r="A16" s="10">
        <v>424</v>
      </c>
      <c r="B16" s="10">
        <v>7228</v>
      </c>
      <c r="C16" s="10" t="s">
        <v>1482</v>
      </c>
      <c r="D16" s="10" t="s">
        <v>1483</v>
      </c>
      <c r="E16" s="10" t="s">
        <v>210</v>
      </c>
      <c r="F16" s="10" t="s">
        <v>1484</v>
      </c>
      <c r="G16" s="10" t="s">
        <v>1485</v>
      </c>
      <c r="H16" s="10" t="s">
        <v>213</v>
      </c>
      <c r="I16" s="10" t="s">
        <v>214</v>
      </c>
      <c r="J16" s="10" t="s">
        <v>71</v>
      </c>
      <c r="K16" s="10" t="s">
        <v>71</v>
      </c>
      <c r="L16" s="10" t="s">
        <v>286</v>
      </c>
      <c r="M16" s="10" t="s">
        <v>245</v>
      </c>
      <c r="N16" s="10" t="s">
        <v>72</v>
      </c>
      <c r="O16" s="10" t="s">
        <v>1445</v>
      </c>
      <c r="P16" s="10" t="s">
        <v>527</v>
      </c>
      <c r="Q16" s="10" t="s">
        <v>528</v>
      </c>
      <c r="R16" s="10" t="s">
        <v>528</v>
      </c>
      <c r="S16" s="10" t="s">
        <v>81</v>
      </c>
      <c r="T16" s="52">
        <v>0.01</v>
      </c>
      <c r="U16" s="10" t="s">
        <v>1486</v>
      </c>
      <c r="V16" s="54">
        <v>1E-4</v>
      </c>
      <c r="W16" s="45">
        <v>5.7500000000000002E-2</v>
      </c>
      <c r="X16" s="10" t="s">
        <v>1426</v>
      </c>
      <c r="Y16" s="10" t="s">
        <v>373</v>
      </c>
      <c r="Z16" s="10" t="s">
        <v>1427</v>
      </c>
      <c r="AA16" s="10"/>
      <c r="AB16" s="63" t="s">
        <v>1487</v>
      </c>
      <c r="AC16" s="10"/>
      <c r="AD16" s="52">
        <v>683.67</v>
      </c>
      <c r="AE16" s="55">
        <v>1</v>
      </c>
      <c r="AF16" s="56">
        <v>43.1</v>
      </c>
      <c r="AG16" s="52">
        <v>0.29499999999999998</v>
      </c>
      <c r="AH16" s="10"/>
      <c r="AI16" s="10"/>
      <c r="AJ16" s="10" t="s">
        <v>16</v>
      </c>
      <c r="AK16" s="45">
        <v>6.8200694441396698E-5</v>
      </c>
      <c r="AL16" s="45">
        <v>1.20057907560989E-7</v>
      </c>
    </row>
    <row r="17" spans="1:38" x14ac:dyDescent="0.25">
      <c r="A17" s="10">
        <v>424</v>
      </c>
      <c r="B17" s="10">
        <v>7228</v>
      </c>
      <c r="C17" s="10" t="s">
        <v>1482</v>
      </c>
      <c r="D17" s="10" t="s">
        <v>1483</v>
      </c>
      <c r="E17" s="10" t="s">
        <v>210</v>
      </c>
      <c r="F17" s="10" t="s">
        <v>1488</v>
      </c>
      <c r="G17" s="10" t="s">
        <v>1489</v>
      </c>
      <c r="H17" s="10" t="s">
        <v>213</v>
      </c>
      <c r="I17" s="10" t="s">
        <v>1423</v>
      </c>
      <c r="J17" s="10" t="s">
        <v>71</v>
      </c>
      <c r="K17" s="10" t="s">
        <v>71</v>
      </c>
      <c r="L17" s="10" t="s">
        <v>286</v>
      </c>
      <c r="M17" s="10" t="s">
        <v>245</v>
      </c>
      <c r="N17" s="10" t="s">
        <v>72</v>
      </c>
      <c r="O17" s="10" t="s">
        <v>1445</v>
      </c>
      <c r="P17" s="10" t="s">
        <v>527</v>
      </c>
      <c r="Q17" s="10" t="s">
        <v>528</v>
      </c>
      <c r="R17" s="10" t="s">
        <v>528</v>
      </c>
      <c r="S17" s="10" t="s">
        <v>81</v>
      </c>
      <c r="T17" s="52">
        <v>0.01</v>
      </c>
      <c r="U17" s="10" t="s">
        <v>1490</v>
      </c>
      <c r="V17" s="54">
        <v>1E-4</v>
      </c>
      <c r="W17" s="45">
        <v>7.4999999999999997E-2</v>
      </c>
      <c r="X17" s="10" t="s">
        <v>1426</v>
      </c>
      <c r="Y17" s="10" t="s">
        <v>373</v>
      </c>
      <c r="Z17" s="10" t="s">
        <v>1427</v>
      </c>
      <c r="AA17" s="10"/>
      <c r="AB17" s="63" t="s">
        <v>1487</v>
      </c>
      <c r="AC17" s="10"/>
      <c r="AD17" s="52">
        <v>6593.35</v>
      </c>
      <c r="AE17" s="55">
        <v>1</v>
      </c>
      <c r="AF17" s="56">
        <v>31.9</v>
      </c>
      <c r="AG17" s="52">
        <v>2.1030000000000002</v>
      </c>
      <c r="AH17" s="10"/>
      <c r="AI17" s="10"/>
      <c r="AJ17" s="10" t="s">
        <v>16</v>
      </c>
      <c r="AK17" s="45">
        <v>4.86812607328611E-4</v>
      </c>
      <c r="AL17" s="45">
        <v>8.5696639145519801E-7</v>
      </c>
    </row>
    <row r="18" spans="1:38" x14ac:dyDescent="0.25">
      <c r="A18" s="10">
        <v>424</v>
      </c>
      <c r="B18" s="10">
        <v>7228</v>
      </c>
      <c r="C18" s="10" t="s">
        <v>1482</v>
      </c>
      <c r="D18" s="10" t="s">
        <v>1483</v>
      </c>
      <c r="E18" s="10" t="s">
        <v>210</v>
      </c>
      <c r="F18" s="10" t="s">
        <v>1491</v>
      </c>
      <c r="G18" s="10" t="s">
        <v>1492</v>
      </c>
      <c r="H18" s="10" t="s">
        <v>213</v>
      </c>
      <c r="I18" s="10" t="s">
        <v>214</v>
      </c>
      <c r="J18" s="10" t="s">
        <v>71</v>
      </c>
      <c r="K18" s="10" t="s">
        <v>71</v>
      </c>
      <c r="L18" s="10" t="s">
        <v>286</v>
      </c>
      <c r="M18" s="10" t="s">
        <v>245</v>
      </c>
      <c r="N18" s="10" t="s">
        <v>72</v>
      </c>
      <c r="O18" s="10" t="s">
        <v>1445</v>
      </c>
      <c r="P18" s="10" t="s">
        <v>527</v>
      </c>
      <c r="Q18" s="10" t="s">
        <v>528</v>
      </c>
      <c r="R18" s="10" t="s">
        <v>528</v>
      </c>
      <c r="S18" s="10" t="s">
        <v>81</v>
      </c>
      <c r="T18" s="52">
        <v>0.01</v>
      </c>
      <c r="U18" s="10" t="s">
        <v>1493</v>
      </c>
      <c r="V18" s="54">
        <v>1E-4</v>
      </c>
      <c r="W18" s="45">
        <v>7.4999999999999997E-2</v>
      </c>
      <c r="X18" s="10" t="s">
        <v>1426</v>
      </c>
      <c r="Y18" s="10" t="s">
        <v>373</v>
      </c>
      <c r="Z18" s="10" t="s">
        <v>1427</v>
      </c>
      <c r="AA18" s="10"/>
      <c r="AB18" s="63" t="s">
        <v>1487</v>
      </c>
      <c r="AC18" s="10"/>
      <c r="AD18" s="52">
        <v>6692.34</v>
      </c>
      <c r="AE18" s="55">
        <v>1</v>
      </c>
      <c r="AF18" s="56">
        <v>33.6</v>
      </c>
      <c r="AG18" s="52">
        <v>2.2490000000000001</v>
      </c>
      <c r="AH18" s="10"/>
      <c r="AI18" s="10"/>
      <c r="AJ18" s="10" t="s">
        <v>16</v>
      </c>
      <c r="AK18" s="45">
        <v>5.2045391265771203E-4</v>
      </c>
      <c r="AL18" s="45">
        <v>9.1618726535557795E-7</v>
      </c>
    </row>
    <row r="19" spans="1:38" x14ac:dyDescent="0.25">
      <c r="A19" s="10">
        <v>424</v>
      </c>
      <c r="B19" s="10">
        <v>7228</v>
      </c>
      <c r="C19" s="10" t="s">
        <v>1494</v>
      </c>
      <c r="D19" s="10" t="s">
        <v>1495</v>
      </c>
      <c r="E19" s="10" t="s">
        <v>210</v>
      </c>
      <c r="F19" s="10" t="s">
        <v>1496</v>
      </c>
      <c r="G19" s="10" t="s">
        <v>1497</v>
      </c>
      <c r="H19" s="10" t="s">
        <v>111</v>
      </c>
      <c r="I19" s="10" t="s">
        <v>214</v>
      </c>
      <c r="J19" s="10" t="s">
        <v>71</v>
      </c>
      <c r="K19" s="10" t="s">
        <v>71</v>
      </c>
      <c r="L19" s="10" t="s">
        <v>286</v>
      </c>
      <c r="M19" s="10" t="s">
        <v>245</v>
      </c>
      <c r="N19" s="10" t="s">
        <v>72</v>
      </c>
      <c r="O19" s="10" t="s">
        <v>1498</v>
      </c>
      <c r="P19" s="10" t="s">
        <v>527</v>
      </c>
      <c r="Q19" s="10" t="s">
        <v>528</v>
      </c>
      <c r="R19" s="10" t="s">
        <v>528</v>
      </c>
      <c r="S19" s="10" t="s">
        <v>81</v>
      </c>
      <c r="T19" s="52">
        <v>0.01</v>
      </c>
      <c r="U19" s="10" t="s">
        <v>1499</v>
      </c>
      <c r="V19" s="54">
        <v>0</v>
      </c>
      <c r="W19" s="45">
        <v>0.06</v>
      </c>
      <c r="X19" s="10" t="s">
        <v>222</v>
      </c>
      <c r="Y19" s="10" t="s">
        <v>72</v>
      </c>
      <c r="Z19" s="10" t="s">
        <v>286</v>
      </c>
      <c r="AA19" s="10"/>
      <c r="AB19" s="63" t="s">
        <v>1500</v>
      </c>
      <c r="AC19" s="10"/>
      <c r="AD19" s="52">
        <v>2301.19</v>
      </c>
      <c r="AE19" s="55">
        <v>1</v>
      </c>
      <c r="AF19" s="56">
        <v>0</v>
      </c>
      <c r="AG19" s="52">
        <v>0</v>
      </c>
      <c r="AH19" s="10"/>
      <c r="AI19" s="10"/>
      <c r="AJ19" s="10" t="s">
        <v>16</v>
      </c>
      <c r="AK19" s="45">
        <v>5.3262001392850397E-10</v>
      </c>
      <c r="AL19" s="45">
        <v>9.3760400713086097E-13</v>
      </c>
    </row>
    <row r="20" spans="1:38" x14ac:dyDescent="0.25">
      <c r="A20">
        <v>424</v>
      </c>
      <c r="B20">
        <v>7228</v>
      </c>
      <c r="C20" t="s">
        <v>1494</v>
      </c>
      <c r="D20" t="s">
        <v>1495</v>
      </c>
      <c r="E20" s="10" t="s">
        <v>210</v>
      </c>
      <c r="F20" t="s">
        <v>1501</v>
      </c>
      <c r="G20" t="s">
        <v>1502</v>
      </c>
      <c r="H20" s="10" t="s">
        <v>213</v>
      </c>
      <c r="I20" s="10" t="s">
        <v>214</v>
      </c>
      <c r="J20" s="10" t="s">
        <v>71</v>
      </c>
      <c r="K20" s="10" t="s">
        <v>71</v>
      </c>
      <c r="L20" s="10" t="s">
        <v>286</v>
      </c>
      <c r="M20" s="10" t="s">
        <v>245</v>
      </c>
      <c r="N20" s="10" t="s">
        <v>72</v>
      </c>
      <c r="O20" t="s">
        <v>1503</v>
      </c>
      <c r="P20" t="s">
        <v>527</v>
      </c>
      <c r="Q20" s="10" t="s">
        <v>528</v>
      </c>
      <c r="R20" s="10" t="s">
        <v>528</v>
      </c>
      <c r="S20" t="s">
        <v>81</v>
      </c>
      <c r="T20" s="44">
        <v>0.01</v>
      </c>
      <c r="U20" t="s">
        <v>1499</v>
      </c>
      <c r="V20" s="45">
        <v>0</v>
      </c>
      <c r="W20" s="45">
        <v>0.06</v>
      </c>
      <c r="X20" s="10" t="s">
        <v>222</v>
      </c>
      <c r="Y20" s="10" t="s">
        <v>72</v>
      </c>
      <c r="Z20" t="s">
        <v>286</v>
      </c>
      <c r="AA20" s="10"/>
      <c r="AB20" s="63" t="s">
        <v>1500</v>
      </c>
      <c r="AD20" s="44">
        <v>13807.08</v>
      </c>
      <c r="AE20" s="42">
        <v>1</v>
      </c>
      <c r="AF20" s="48">
        <v>0</v>
      </c>
      <c r="AG20" s="44">
        <v>0</v>
      </c>
      <c r="AJ20" s="10" t="s">
        <v>16</v>
      </c>
      <c r="AK20" s="45">
        <v>3.1957061963210199E-9</v>
      </c>
      <c r="AL20" s="45">
        <v>5.6255995961986498E-12</v>
      </c>
    </row>
    <row r="21" spans="1:38" x14ac:dyDescent="0.25">
      <c r="A21">
        <v>424</v>
      </c>
      <c r="B21">
        <v>7228</v>
      </c>
      <c r="C21" t="s">
        <v>1504</v>
      </c>
      <c r="D21" t="s">
        <v>1505</v>
      </c>
      <c r="E21" t="s">
        <v>210</v>
      </c>
      <c r="F21" t="s">
        <v>1506</v>
      </c>
      <c r="G21" t="s">
        <v>1507</v>
      </c>
      <c r="H21" t="s">
        <v>213</v>
      </c>
      <c r="I21" t="s">
        <v>603</v>
      </c>
      <c r="J21" t="s">
        <v>71</v>
      </c>
      <c r="K21" t="s">
        <v>71</v>
      </c>
      <c r="L21" t="s">
        <v>1508</v>
      </c>
      <c r="M21" t="s">
        <v>1509</v>
      </c>
      <c r="N21" t="s">
        <v>72</v>
      </c>
      <c r="O21" t="s">
        <v>1424</v>
      </c>
      <c r="P21" t="s">
        <v>560</v>
      </c>
      <c r="Q21" t="s">
        <v>74</v>
      </c>
      <c r="R21" t="s">
        <v>220</v>
      </c>
      <c r="S21" t="s">
        <v>75</v>
      </c>
      <c r="T21" s="44">
        <v>1.23</v>
      </c>
      <c r="U21" t="s">
        <v>1510</v>
      </c>
      <c r="V21" s="45">
        <v>5.0099999999999999E-2</v>
      </c>
      <c r="W21" s="45">
        <v>7.9699999999999993E-2</v>
      </c>
      <c r="X21" t="s">
        <v>222</v>
      </c>
      <c r="Y21" t="s">
        <v>72</v>
      </c>
      <c r="Z21" t="s">
        <v>1454</v>
      </c>
      <c r="AA21" t="s">
        <v>1481</v>
      </c>
      <c r="AB21" s="63" t="s">
        <v>1455</v>
      </c>
      <c r="AD21" s="44">
        <v>53814.32</v>
      </c>
      <c r="AE21" s="42">
        <v>3.718</v>
      </c>
      <c r="AF21" s="48">
        <v>105.63</v>
      </c>
      <c r="AG21" s="44">
        <v>211.346</v>
      </c>
      <c r="AJ21" t="s">
        <v>16</v>
      </c>
      <c r="AK21" s="45">
        <v>4.8916967451220601E-2</v>
      </c>
      <c r="AL21" s="45">
        <v>8.6111568284234506E-5</v>
      </c>
    </row>
    <row r="22" spans="1:38" x14ac:dyDescent="0.25">
      <c r="A22">
        <v>424</v>
      </c>
      <c r="B22">
        <v>7228</v>
      </c>
      <c r="C22" t="s">
        <v>1511</v>
      </c>
      <c r="D22" t="s">
        <v>1512</v>
      </c>
      <c r="E22" t="s">
        <v>210</v>
      </c>
      <c r="F22" t="s">
        <v>1513</v>
      </c>
      <c r="G22" t="s">
        <v>1514</v>
      </c>
      <c r="H22" t="s">
        <v>213</v>
      </c>
      <c r="I22" t="s">
        <v>214</v>
      </c>
      <c r="J22" t="s">
        <v>71</v>
      </c>
      <c r="K22" t="s">
        <v>71</v>
      </c>
      <c r="L22" t="s">
        <v>286</v>
      </c>
      <c r="M22" t="s">
        <v>258</v>
      </c>
      <c r="N22" t="s">
        <v>72</v>
      </c>
      <c r="O22" t="s">
        <v>1445</v>
      </c>
      <c r="P22" t="s">
        <v>527</v>
      </c>
      <c r="Q22" t="s">
        <v>528</v>
      </c>
      <c r="R22" t="s">
        <v>528</v>
      </c>
      <c r="S22" t="s">
        <v>81</v>
      </c>
      <c r="T22" s="44">
        <v>7.36</v>
      </c>
      <c r="U22" t="s">
        <v>1515</v>
      </c>
      <c r="V22" s="45">
        <v>1E-4</v>
      </c>
      <c r="W22" s="45">
        <v>7.0000000000000007E-2</v>
      </c>
      <c r="X22" t="s">
        <v>1426</v>
      </c>
      <c r="Y22" t="s">
        <v>373</v>
      </c>
      <c r="Z22" t="s">
        <v>1427</v>
      </c>
      <c r="AB22" s="63" t="s">
        <v>1447</v>
      </c>
      <c r="AD22" s="44">
        <v>120350</v>
      </c>
      <c r="AE22" s="42">
        <v>1</v>
      </c>
      <c r="AF22" s="48">
        <v>0</v>
      </c>
      <c r="AG22" s="44">
        <v>0</v>
      </c>
      <c r="AJ22" t="s">
        <v>16</v>
      </c>
      <c r="AK22" s="45">
        <v>2.7855508965489799E-10</v>
      </c>
      <c r="AL22" s="45">
        <v>4.9035778122710105E-13</v>
      </c>
    </row>
    <row r="23" spans="1:38" x14ac:dyDescent="0.25">
      <c r="A23">
        <v>424</v>
      </c>
      <c r="B23">
        <v>7228</v>
      </c>
      <c r="C23" t="s">
        <v>1448</v>
      </c>
      <c r="D23" t="s">
        <v>1449</v>
      </c>
      <c r="E23" t="s">
        <v>210</v>
      </c>
      <c r="F23" t="s">
        <v>1450</v>
      </c>
      <c r="G23" t="s">
        <v>1451</v>
      </c>
      <c r="H23" t="s">
        <v>213</v>
      </c>
      <c r="I23" t="s">
        <v>239</v>
      </c>
      <c r="J23" t="s">
        <v>71</v>
      </c>
      <c r="K23" t="s">
        <v>71</v>
      </c>
      <c r="L23" t="s">
        <v>286</v>
      </c>
      <c r="M23" t="s">
        <v>429</v>
      </c>
      <c r="N23" t="s">
        <v>72</v>
      </c>
      <c r="O23" t="s">
        <v>1452</v>
      </c>
      <c r="P23" t="s">
        <v>527</v>
      </c>
      <c r="Q23" t="s">
        <v>528</v>
      </c>
      <c r="R23" t="s">
        <v>528</v>
      </c>
      <c r="S23" t="s">
        <v>81</v>
      </c>
      <c r="T23" s="44">
        <v>1.609</v>
      </c>
      <c r="U23" t="s">
        <v>1453</v>
      </c>
      <c r="V23" s="45">
        <v>8.8469999999999993E-2</v>
      </c>
      <c r="W23" s="45">
        <v>0</v>
      </c>
      <c r="X23" t="s">
        <v>222</v>
      </c>
      <c r="Y23" t="s">
        <v>72</v>
      </c>
      <c r="Z23" t="s">
        <v>1454</v>
      </c>
      <c r="AB23" s="63" t="s">
        <v>1455</v>
      </c>
      <c r="AD23" s="44">
        <v>3875000</v>
      </c>
      <c r="AE23" s="42">
        <v>1</v>
      </c>
      <c r="AF23" s="48">
        <v>101.26</v>
      </c>
      <c r="AG23" s="44">
        <v>3923.8249999999998</v>
      </c>
      <c r="AJ23" t="s">
        <v>16</v>
      </c>
      <c r="AK23" s="45">
        <v>0.90818564575415905</v>
      </c>
      <c r="AL23" s="45">
        <v>1.5987354556904301E-3</v>
      </c>
    </row>
    <row r="24" spans="1:38" x14ac:dyDescent="0.25">
      <c r="A24">
        <v>424</v>
      </c>
      <c r="B24">
        <v>7228</v>
      </c>
      <c r="C24" t="s">
        <v>1456</v>
      </c>
      <c r="D24" t="s">
        <v>1457</v>
      </c>
      <c r="E24" t="s">
        <v>210</v>
      </c>
      <c r="F24" t="s">
        <v>1458</v>
      </c>
      <c r="G24" t="s">
        <v>1459</v>
      </c>
      <c r="H24" t="s">
        <v>213</v>
      </c>
      <c r="I24" t="s">
        <v>214</v>
      </c>
      <c r="J24" t="s">
        <v>71</v>
      </c>
      <c r="K24" t="s">
        <v>71</v>
      </c>
      <c r="L24" t="s">
        <v>286</v>
      </c>
      <c r="M24" t="s">
        <v>272</v>
      </c>
      <c r="N24" t="s">
        <v>72</v>
      </c>
      <c r="O24" t="s">
        <v>1516</v>
      </c>
      <c r="P24" t="s">
        <v>1460</v>
      </c>
      <c r="Q24" t="s">
        <v>74</v>
      </c>
      <c r="R24" t="s">
        <v>220</v>
      </c>
      <c r="S24" t="s">
        <v>81</v>
      </c>
      <c r="T24" s="44">
        <v>0.01</v>
      </c>
      <c r="U24" t="s">
        <v>1461</v>
      </c>
      <c r="V24" s="45">
        <v>0</v>
      </c>
      <c r="W24" s="45">
        <v>5.5E-2</v>
      </c>
      <c r="X24" t="s">
        <v>222</v>
      </c>
      <c r="Y24" t="s">
        <v>72</v>
      </c>
      <c r="Z24" t="s">
        <v>286</v>
      </c>
      <c r="AB24" s="63" t="s">
        <v>1462</v>
      </c>
      <c r="AD24" s="44">
        <v>9612.14</v>
      </c>
      <c r="AE24" s="42">
        <v>1</v>
      </c>
      <c r="AF24" s="48">
        <v>0.01</v>
      </c>
      <c r="AG24" s="44">
        <v>1E-3</v>
      </c>
      <c r="AJ24" t="s">
        <v>16</v>
      </c>
      <c r="AK24" s="45">
        <v>2.2247698541549101E-7</v>
      </c>
      <c r="AL24" s="45">
        <v>3.9164002021140502E-10</v>
      </c>
    </row>
    <row r="25" spans="1:38" x14ac:dyDescent="0.25">
      <c r="A25">
        <v>424</v>
      </c>
      <c r="B25">
        <v>7229</v>
      </c>
      <c r="C25" t="s">
        <v>1517</v>
      </c>
      <c r="D25" t="s">
        <v>1518</v>
      </c>
      <c r="E25" t="s">
        <v>540</v>
      </c>
      <c r="F25" t="s">
        <v>1519</v>
      </c>
      <c r="G25" t="s">
        <v>1520</v>
      </c>
      <c r="H25" t="s">
        <v>111</v>
      </c>
      <c r="I25" t="s">
        <v>214</v>
      </c>
      <c r="J25" t="s">
        <v>71</v>
      </c>
      <c r="K25" t="s">
        <v>71</v>
      </c>
      <c r="L25" t="s">
        <v>286</v>
      </c>
      <c r="M25" t="s">
        <v>272</v>
      </c>
      <c r="N25" t="s">
        <v>72</v>
      </c>
      <c r="O25" t="s">
        <v>1521</v>
      </c>
      <c r="P25" t="s">
        <v>1433</v>
      </c>
      <c r="Q25" t="s">
        <v>219</v>
      </c>
      <c r="R25" t="s">
        <v>220</v>
      </c>
      <c r="S25" t="s">
        <v>81</v>
      </c>
      <c r="T25" s="44">
        <v>0.01</v>
      </c>
      <c r="U25" t="s">
        <v>1522</v>
      </c>
      <c r="V25" s="45">
        <v>1E-4</v>
      </c>
      <c r="W25" s="45">
        <v>6.6000000000000003E-2</v>
      </c>
      <c r="X25" t="s">
        <v>222</v>
      </c>
      <c r="Y25" t="s">
        <v>72</v>
      </c>
      <c r="Z25" t="s">
        <v>286</v>
      </c>
      <c r="AB25" s="63" t="s">
        <v>1523</v>
      </c>
      <c r="AD25" s="44">
        <v>750</v>
      </c>
      <c r="AE25" s="42">
        <v>1</v>
      </c>
      <c r="AF25" s="48">
        <v>0</v>
      </c>
      <c r="AG25" s="44">
        <v>0</v>
      </c>
      <c r="AJ25" t="s">
        <v>16</v>
      </c>
      <c r="AK25" s="45">
        <v>1.13948859738759E-10</v>
      </c>
      <c r="AL25" s="45">
        <v>4.9920947052993601E-13</v>
      </c>
    </row>
    <row r="26" spans="1:38" x14ac:dyDescent="0.25">
      <c r="A26">
        <v>424</v>
      </c>
      <c r="B26">
        <v>7229</v>
      </c>
      <c r="C26" t="s">
        <v>1448</v>
      </c>
      <c r="D26" t="s">
        <v>1449</v>
      </c>
      <c r="E26" t="s">
        <v>210</v>
      </c>
      <c r="F26" t="s">
        <v>1450</v>
      </c>
      <c r="G26" t="s">
        <v>1451</v>
      </c>
      <c r="H26" t="s">
        <v>213</v>
      </c>
      <c r="I26" t="s">
        <v>239</v>
      </c>
      <c r="J26" t="s">
        <v>71</v>
      </c>
      <c r="K26" t="s">
        <v>71</v>
      </c>
      <c r="L26" t="s">
        <v>286</v>
      </c>
      <c r="M26" t="s">
        <v>429</v>
      </c>
      <c r="N26" t="s">
        <v>72</v>
      </c>
      <c r="O26" t="s">
        <v>1452</v>
      </c>
      <c r="P26" t="s">
        <v>527</v>
      </c>
      <c r="Q26" t="s">
        <v>528</v>
      </c>
      <c r="R26" t="s">
        <v>528</v>
      </c>
      <c r="S26" t="s">
        <v>81</v>
      </c>
      <c r="T26" s="44">
        <v>1.609</v>
      </c>
      <c r="U26" t="s">
        <v>1453</v>
      </c>
      <c r="V26" s="45">
        <v>8.8469999999999993E-2</v>
      </c>
      <c r="W26" s="45">
        <v>0</v>
      </c>
      <c r="X26" t="s">
        <v>222</v>
      </c>
      <c r="Y26" t="s">
        <v>72</v>
      </c>
      <c r="Z26" t="s">
        <v>1454</v>
      </c>
      <c r="AB26" s="63" t="s">
        <v>1455</v>
      </c>
      <c r="AD26" s="44">
        <v>650000</v>
      </c>
      <c r="AE26" s="42">
        <v>1</v>
      </c>
      <c r="AF26" s="48">
        <v>101.26</v>
      </c>
      <c r="AG26" s="44">
        <v>658.19</v>
      </c>
      <c r="AJ26" t="s">
        <v>16</v>
      </c>
      <c r="AK26" s="45">
        <v>0.99999999988605104</v>
      </c>
      <c r="AL26" s="45">
        <v>4.3809957521079796E-3</v>
      </c>
    </row>
    <row r="27" spans="1:38" x14ac:dyDescent="0.25">
      <c r="A27">
        <v>969</v>
      </c>
      <c r="B27">
        <v>969</v>
      </c>
      <c r="C27" t="s">
        <v>1413</v>
      </c>
      <c r="D27" t="s">
        <v>1414</v>
      </c>
      <c r="E27" t="s">
        <v>210</v>
      </c>
      <c r="F27" t="s">
        <v>1415</v>
      </c>
      <c r="G27" t="s">
        <v>1416</v>
      </c>
      <c r="H27" t="s">
        <v>213</v>
      </c>
      <c r="I27" t="s">
        <v>214</v>
      </c>
      <c r="J27" t="s">
        <v>71</v>
      </c>
      <c r="K27" t="s">
        <v>71</v>
      </c>
      <c r="L27" t="s">
        <v>286</v>
      </c>
      <c r="M27" t="s">
        <v>245</v>
      </c>
      <c r="N27" t="s">
        <v>72</v>
      </c>
      <c r="O27" t="s">
        <v>1438</v>
      </c>
      <c r="P27" t="s">
        <v>527</v>
      </c>
      <c r="Q27" t="s">
        <v>528</v>
      </c>
      <c r="R27" t="s">
        <v>528</v>
      </c>
      <c r="S27" t="s">
        <v>81</v>
      </c>
      <c r="T27" s="44">
        <v>0.01</v>
      </c>
      <c r="U27" t="s">
        <v>1417</v>
      </c>
      <c r="V27" s="45">
        <v>0</v>
      </c>
      <c r="W27" s="45">
        <v>5.1499999999999997E-2</v>
      </c>
      <c r="X27" t="s">
        <v>222</v>
      </c>
      <c r="Y27" t="s">
        <v>72</v>
      </c>
      <c r="Z27" t="s">
        <v>286</v>
      </c>
      <c r="AB27" s="63" t="s">
        <v>1418</v>
      </c>
      <c r="AD27" s="44">
        <v>5145</v>
      </c>
      <c r="AE27" s="42">
        <v>1</v>
      </c>
      <c r="AF27" s="48">
        <v>0</v>
      </c>
      <c r="AG27" s="44">
        <v>0</v>
      </c>
      <c r="AJ27" t="s">
        <v>16</v>
      </c>
      <c r="AK27" s="45">
        <v>1.5676464574673001E-4</v>
      </c>
      <c r="AL27" s="45">
        <v>7.0229864098346694E-11</v>
      </c>
    </row>
    <row r="28" spans="1:38" x14ac:dyDescent="0.25">
      <c r="A28">
        <v>969</v>
      </c>
      <c r="B28">
        <v>969</v>
      </c>
      <c r="C28" t="s">
        <v>1419</v>
      </c>
      <c r="D28" t="s">
        <v>1420</v>
      </c>
      <c r="E28" t="s">
        <v>210</v>
      </c>
      <c r="F28" t="s">
        <v>1421</v>
      </c>
      <c r="G28" t="s">
        <v>1422</v>
      </c>
      <c r="H28" t="s">
        <v>213</v>
      </c>
      <c r="I28" t="s">
        <v>1423</v>
      </c>
      <c r="J28" t="s">
        <v>71</v>
      </c>
      <c r="K28" t="s">
        <v>71</v>
      </c>
      <c r="L28" t="s">
        <v>286</v>
      </c>
      <c r="M28" t="s">
        <v>245</v>
      </c>
      <c r="N28" t="s">
        <v>72</v>
      </c>
      <c r="O28" t="s">
        <v>1424</v>
      </c>
      <c r="P28" t="s">
        <v>527</v>
      </c>
      <c r="Q28" t="s">
        <v>528</v>
      </c>
      <c r="R28" t="s">
        <v>528</v>
      </c>
      <c r="S28" t="s">
        <v>81</v>
      </c>
      <c r="T28" s="44">
        <v>0.01</v>
      </c>
      <c r="U28" t="s">
        <v>1425</v>
      </c>
      <c r="V28" s="45">
        <v>0</v>
      </c>
      <c r="W28" s="45">
        <v>5.7000000000000002E-2</v>
      </c>
      <c r="X28" t="s">
        <v>1426</v>
      </c>
      <c r="Y28" t="s">
        <v>373</v>
      </c>
      <c r="Z28" t="s">
        <v>1427</v>
      </c>
      <c r="AB28" s="63" t="s">
        <v>1428</v>
      </c>
      <c r="AD28" s="44">
        <v>1200.01</v>
      </c>
      <c r="AE28" s="42">
        <v>1</v>
      </c>
      <c r="AF28" s="48">
        <v>0.01</v>
      </c>
      <c r="AG28" s="44">
        <v>0</v>
      </c>
      <c r="AJ28" t="s">
        <v>16</v>
      </c>
      <c r="AK28" s="45">
        <v>3.6563487374642002E-3</v>
      </c>
      <c r="AL28" s="45">
        <v>1.6380279731128701E-9</v>
      </c>
    </row>
    <row r="29" spans="1:38" x14ac:dyDescent="0.25">
      <c r="A29">
        <v>969</v>
      </c>
      <c r="B29">
        <v>969</v>
      </c>
      <c r="C29" t="s">
        <v>1419</v>
      </c>
      <c r="D29" t="s">
        <v>1420</v>
      </c>
      <c r="E29" t="s">
        <v>210</v>
      </c>
      <c r="F29" t="s">
        <v>1524</v>
      </c>
      <c r="G29" t="s">
        <v>1525</v>
      </c>
      <c r="H29" t="s">
        <v>213</v>
      </c>
      <c r="I29" t="s">
        <v>214</v>
      </c>
      <c r="J29" t="s">
        <v>71</v>
      </c>
      <c r="K29" t="s">
        <v>71</v>
      </c>
      <c r="L29" t="s">
        <v>286</v>
      </c>
      <c r="M29" t="s">
        <v>245</v>
      </c>
      <c r="N29" t="s">
        <v>72</v>
      </c>
      <c r="O29" t="s">
        <v>1526</v>
      </c>
      <c r="P29" t="s">
        <v>1433</v>
      </c>
      <c r="Q29" t="s">
        <v>74</v>
      </c>
      <c r="R29" t="s">
        <v>220</v>
      </c>
      <c r="S29" t="s">
        <v>81</v>
      </c>
      <c r="T29" s="44">
        <v>0.01</v>
      </c>
      <c r="U29" t="s">
        <v>1527</v>
      </c>
      <c r="V29" s="45">
        <v>4.4999999999999997E-3</v>
      </c>
      <c r="W29" s="45">
        <v>5.8999999999999997E-2</v>
      </c>
      <c r="X29" t="s">
        <v>1426</v>
      </c>
      <c r="Y29" t="s">
        <v>373</v>
      </c>
      <c r="Z29" t="s">
        <v>1427</v>
      </c>
      <c r="AB29" s="63" t="s">
        <v>1528</v>
      </c>
      <c r="AD29" s="44">
        <v>1300</v>
      </c>
      <c r="AE29" s="42">
        <v>1</v>
      </c>
      <c r="AF29" s="48">
        <v>0.01</v>
      </c>
      <c r="AG29" s="44">
        <v>0</v>
      </c>
      <c r="AJ29" t="s">
        <v>16</v>
      </c>
      <c r="AK29" s="45">
        <v>3.9610114571574E-3</v>
      </c>
      <c r="AL29" s="45">
        <v>1.7745155165762999E-9</v>
      </c>
    </row>
    <row r="30" spans="1:38" x14ac:dyDescent="0.25">
      <c r="A30">
        <v>969</v>
      </c>
      <c r="B30">
        <v>969</v>
      </c>
      <c r="C30" t="s">
        <v>1517</v>
      </c>
      <c r="D30" t="s">
        <v>1518</v>
      </c>
      <c r="E30" t="s">
        <v>540</v>
      </c>
      <c r="F30" t="s">
        <v>1519</v>
      </c>
      <c r="G30" t="s">
        <v>1520</v>
      </c>
      <c r="H30" t="s">
        <v>111</v>
      </c>
      <c r="I30" t="s">
        <v>214</v>
      </c>
      <c r="J30" t="s">
        <v>71</v>
      </c>
      <c r="K30" t="s">
        <v>71</v>
      </c>
      <c r="L30" t="s">
        <v>286</v>
      </c>
      <c r="M30" t="s">
        <v>272</v>
      </c>
      <c r="N30" t="s">
        <v>72</v>
      </c>
      <c r="O30" t="s">
        <v>1521</v>
      </c>
      <c r="P30" t="s">
        <v>1433</v>
      </c>
      <c r="Q30" t="s">
        <v>219</v>
      </c>
      <c r="R30" t="s">
        <v>220</v>
      </c>
      <c r="S30" t="s">
        <v>81</v>
      </c>
      <c r="T30" s="44">
        <v>0.01</v>
      </c>
      <c r="U30" t="s">
        <v>1522</v>
      </c>
      <c r="V30" s="45">
        <v>1E-4</v>
      </c>
      <c r="W30" s="45">
        <v>6.6000000000000003E-2</v>
      </c>
      <c r="X30" t="s">
        <v>222</v>
      </c>
      <c r="Y30" t="s">
        <v>72</v>
      </c>
      <c r="Z30" t="s">
        <v>286</v>
      </c>
      <c r="AB30" s="63" t="s">
        <v>1523</v>
      </c>
      <c r="AD30" s="44">
        <v>4500</v>
      </c>
      <c r="AE30" s="42">
        <v>1</v>
      </c>
      <c r="AF30" s="48">
        <v>0</v>
      </c>
      <c r="AG30" s="44">
        <v>0</v>
      </c>
      <c r="AJ30" t="s">
        <v>16</v>
      </c>
      <c r="AK30" s="45">
        <v>1.37111935055449E-5</v>
      </c>
      <c r="AL30" s="45">
        <v>6.14255371122566E-12</v>
      </c>
    </row>
    <row r="31" spans="1:38" x14ac:dyDescent="0.25">
      <c r="A31">
        <v>969</v>
      </c>
      <c r="B31">
        <v>969</v>
      </c>
      <c r="C31" t="s">
        <v>1413</v>
      </c>
      <c r="D31" t="s">
        <v>1414</v>
      </c>
      <c r="E31" t="s">
        <v>210</v>
      </c>
      <c r="F31" t="s">
        <v>1529</v>
      </c>
      <c r="G31" t="s">
        <v>1530</v>
      </c>
      <c r="H31" t="s">
        <v>213</v>
      </c>
      <c r="I31" t="s">
        <v>214</v>
      </c>
      <c r="J31" t="s">
        <v>71</v>
      </c>
      <c r="K31" t="s">
        <v>71</v>
      </c>
      <c r="L31" t="s">
        <v>286</v>
      </c>
      <c r="M31" t="s">
        <v>258</v>
      </c>
      <c r="N31" t="s">
        <v>72</v>
      </c>
      <c r="O31" t="s">
        <v>1531</v>
      </c>
      <c r="P31" t="s">
        <v>527</v>
      </c>
      <c r="Q31" t="s">
        <v>528</v>
      </c>
      <c r="R31" t="s">
        <v>528</v>
      </c>
      <c r="S31" t="s">
        <v>81</v>
      </c>
      <c r="T31" s="44">
        <v>2.27</v>
      </c>
      <c r="U31" t="s">
        <v>1532</v>
      </c>
      <c r="V31" s="45">
        <v>0.24740000000000001</v>
      </c>
      <c r="W31" s="45">
        <v>0.04</v>
      </c>
      <c r="X31" t="s">
        <v>222</v>
      </c>
      <c r="Y31" t="s">
        <v>72</v>
      </c>
      <c r="Z31" t="s">
        <v>286</v>
      </c>
      <c r="AB31" s="63" t="s">
        <v>1533</v>
      </c>
      <c r="AD31" s="44">
        <v>1401.95</v>
      </c>
      <c r="AE31" s="42">
        <v>1</v>
      </c>
      <c r="AF31" s="48">
        <v>0</v>
      </c>
      <c r="AG31" s="44">
        <v>0</v>
      </c>
      <c r="AJ31" t="s">
        <v>16</v>
      </c>
      <c r="AK31" s="45">
        <v>4.2716461633552498E-7</v>
      </c>
      <c r="AL31" s="45">
        <v>1.91367848343396E-13</v>
      </c>
    </row>
    <row r="32" spans="1:38" x14ac:dyDescent="0.25">
      <c r="A32">
        <v>969</v>
      </c>
      <c r="B32">
        <v>969</v>
      </c>
      <c r="C32" t="s">
        <v>1441</v>
      </c>
      <c r="D32" t="s">
        <v>1442</v>
      </c>
      <c r="E32" t="s">
        <v>210</v>
      </c>
      <c r="F32" t="s">
        <v>1443</v>
      </c>
      <c r="G32" t="s">
        <v>1444</v>
      </c>
      <c r="H32" t="s">
        <v>213</v>
      </c>
      <c r="I32" t="s">
        <v>1423</v>
      </c>
      <c r="J32" t="s">
        <v>71</v>
      </c>
      <c r="K32" t="s">
        <v>71</v>
      </c>
      <c r="L32" t="s">
        <v>286</v>
      </c>
      <c r="M32" t="s">
        <v>245</v>
      </c>
      <c r="N32" t="s">
        <v>72</v>
      </c>
      <c r="O32" t="s">
        <v>1445</v>
      </c>
      <c r="P32" t="s">
        <v>527</v>
      </c>
      <c r="Q32" t="s">
        <v>528</v>
      </c>
      <c r="R32" t="s">
        <v>528</v>
      </c>
      <c r="S32" t="s">
        <v>81</v>
      </c>
      <c r="T32" s="44">
        <v>0.01</v>
      </c>
      <c r="U32" t="s">
        <v>1446</v>
      </c>
      <c r="V32" s="45">
        <v>1E-4</v>
      </c>
      <c r="W32" s="45">
        <v>5.5E-2</v>
      </c>
      <c r="X32" t="s">
        <v>1426</v>
      </c>
      <c r="Y32" t="s">
        <v>373</v>
      </c>
      <c r="Z32" t="s">
        <v>1427</v>
      </c>
      <c r="AB32" s="63" t="s">
        <v>1447</v>
      </c>
      <c r="AD32" s="44">
        <v>3250</v>
      </c>
      <c r="AE32" s="42">
        <v>1</v>
      </c>
      <c r="AF32" s="48">
        <v>1</v>
      </c>
      <c r="AG32" s="44">
        <v>3.3000000000000002E-2</v>
      </c>
      <c r="AJ32" t="s">
        <v>16</v>
      </c>
      <c r="AK32" s="45">
        <v>0.990252864289351</v>
      </c>
      <c r="AL32" s="45">
        <v>4.4362887914407598E-7</v>
      </c>
    </row>
    <row r="33" spans="1:38" x14ac:dyDescent="0.25">
      <c r="A33">
        <v>969</v>
      </c>
      <c r="B33">
        <v>969</v>
      </c>
      <c r="C33" t="s">
        <v>1456</v>
      </c>
      <c r="D33" t="s">
        <v>1457</v>
      </c>
      <c r="E33" t="s">
        <v>210</v>
      </c>
      <c r="F33" t="s">
        <v>1458</v>
      </c>
      <c r="G33" t="s">
        <v>1459</v>
      </c>
      <c r="H33" t="s">
        <v>213</v>
      </c>
      <c r="I33" t="s">
        <v>214</v>
      </c>
      <c r="J33" t="s">
        <v>71</v>
      </c>
      <c r="K33" t="s">
        <v>71</v>
      </c>
      <c r="L33" t="s">
        <v>286</v>
      </c>
      <c r="M33" t="s">
        <v>272</v>
      </c>
      <c r="N33" t="s">
        <v>72</v>
      </c>
      <c r="P33" t="s">
        <v>1460</v>
      </c>
      <c r="Q33" t="s">
        <v>74</v>
      </c>
      <c r="R33" t="s">
        <v>220</v>
      </c>
      <c r="S33" t="s">
        <v>81</v>
      </c>
      <c r="T33" s="44">
        <v>0.01</v>
      </c>
      <c r="U33" t="s">
        <v>1461</v>
      </c>
      <c r="V33" s="45">
        <v>0</v>
      </c>
      <c r="W33" s="45">
        <v>5.5E-2</v>
      </c>
      <c r="X33" t="s">
        <v>222</v>
      </c>
      <c r="Y33" t="s">
        <v>72</v>
      </c>
      <c r="Z33" t="s">
        <v>286</v>
      </c>
      <c r="AB33" s="63" t="s">
        <v>1462</v>
      </c>
      <c r="AD33" s="44">
        <v>642.9</v>
      </c>
      <c r="AE33" s="42">
        <v>1</v>
      </c>
      <c r="AF33" s="48">
        <v>0.01</v>
      </c>
      <c r="AG33" s="44">
        <v>0</v>
      </c>
      <c r="AJ33" t="s">
        <v>16</v>
      </c>
      <c r="AK33" s="45">
        <v>1.95887251215884E-3</v>
      </c>
      <c r="AL33" s="45">
        <v>8.7756617354377296E-10</v>
      </c>
    </row>
  </sheetData>
  <dataValidations count="16">
    <dataValidation type="list" allowBlank="1" showInputMessage="1" showErrorMessage="1" sqref="J2:J20" xr:uid="{00000000-0002-0000-1100-000000000000}">
      <formula1>israel_abroad</formula1>
      <formula2>0</formula2>
    </dataValidation>
    <dataValidation type="list" allowBlank="1" showInputMessage="1" showErrorMessage="1" sqref="N2:N20" xr:uid="{00000000-0002-0000-1100-000001000000}">
      <formula1>Holding_interest</formula1>
      <formula2>0</formula2>
    </dataValidation>
    <dataValidation type="list" allowBlank="1" showInputMessage="1" showErrorMessage="1" sqref="K2:K20" xr:uid="{00000000-0002-0000-1100-000002000000}">
      <formula1>Country_list</formula1>
      <formula2>0</formula2>
    </dataValidation>
    <dataValidation type="list" allowBlank="1" showInputMessage="1" showErrorMessage="1" sqref="E3:E20" xr:uid="{00000000-0002-0000-1100-000003000000}">
      <formula1>Issuer_Number_Type_2</formula1>
      <formula2>0</formula2>
    </dataValidation>
    <dataValidation type="list" allowBlank="1" showInputMessage="1" showErrorMessage="1" sqref="E2" xr:uid="{00000000-0002-0000-1100-000004000000}">
      <formula1>Issuer_Number_Type_3</formula1>
      <formula2>0</formula2>
    </dataValidation>
    <dataValidation type="list" allowBlank="1" showInputMessage="1" showErrorMessage="1" sqref="M2:M20" xr:uid="{00000000-0002-0000-1100-000005000000}">
      <formula1>Industry_Sector</formula1>
      <formula2>0</formula2>
    </dataValidation>
    <dataValidation type="list" allowBlank="1" showInputMessage="1" showErrorMessage="1" sqref="Q2:Q20" xr:uid="{00000000-0002-0000-1100-000006000000}">
      <formula1>Rating_Agency</formula1>
      <formula2>0</formula2>
    </dataValidation>
    <dataValidation type="list" allowBlank="1" showInputMessage="1" showErrorMessage="1" sqref="R2:R5 P4 R6:R20" xr:uid="{00000000-0002-0000-1100-000007000000}">
      <formula1>What_is_rated</formula1>
      <formula2>0</formula2>
    </dataValidation>
    <dataValidation type="list" allowBlank="1" showInputMessage="1" showErrorMessage="1" sqref="X2:X5 V4 X6:X20" xr:uid="{00000000-0002-0000-1100-000008000000}">
      <formula1>Subordination_Risk</formula1>
      <formula2>0</formula2>
    </dataValidation>
    <dataValidation type="list" allowBlank="1" showInputMessage="1" showErrorMessage="1" sqref="Z2:Z19" xr:uid="{00000000-0002-0000-1100-000009000000}">
      <formula1>Valuation</formula1>
      <formula2>0</formula2>
    </dataValidation>
    <dataValidation type="list" allowBlank="1" showInputMessage="1" showErrorMessage="1" sqref="AA2:AA20" xr:uid="{00000000-0002-0000-1100-00000A000000}">
      <formula1>Dependence_Independence</formula1>
      <formula2>0</formula2>
    </dataValidation>
    <dataValidation type="list" allowBlank="1" showInputMessage="1" showErrorMessage="1" sqref="AE4" xr:uid="{00000000-0002-0000-1100-00000B000000}">
      <formula1>info_provider</formula1>
      <formula2>0</formula2>
    </dataValidation>
    <dataValidation type="list" allowBlank="1" showInputMessage="1" showErrorMessage="1" sqref="Y2:Y20" xr:uid="{00000000-0002-0000-1100-00000C000000}">
      <formula1>Yes_No_Bad_Debt</formula1>
      <formula2>0</formula2>
    </dataValidation>
    <dataValidation type="list" allowBlank="1" showInputMessage="1" showErrorMessage="1" sqref="H2:H20" xr:uid="{00000000-0002-0000-1100-00000D000000}">
      <formula1>Type_of_Security_ID_Fund</formula1>
      <formula2>0</formula2>
    </dataValidation>
    <dataValidation type="list" allowBlank="1" showInputMessage="1" showErrorMessage="1" sqref="AJ2:AJ20" xr:uid="{00000000-0002-0000-1100-00000E000000}">
      <formula1>In_the_books</formula1>
      <formula2>0</formula2>
    </dataValidation>
    <dataValidation type="list" allowBlank="1" showInputMessage="1" showErrorMessage="1" sqref="L2:L20" xr:uid="{00000000-0002-0000-1100-00000F000000}">
      <formula1>tradeable_status_bonds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64"/>
  <sheetViews>
    <sheetView rightToLeft="1" zoomScale="70" zoomScaleNormal="70" workbookViewId="0"/>
  </sheetViews>
  <sheetFormatPr defaultColWidth="9" defaultRowHeight="13.8" x14ac:dyDescent="0.25"/>
  <cols>
    <col min="1" max="26" width="11.59765625" customWidth="1"/>
  </cols>
  <sheetData>
    <row r="1" spans="1:26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207</v>
      </c>
      <c r="M1" s="36" t="s">
        <v>201</v>
      </c>
      <c r="N1" s="36" t="s">
        <v>57</v>
      </c>
      <c r="O1" s="60" t="s">
        <v>1402</v>
      </c>
      <c r="P1" s="36" t="s">
        <v>60</v>
      </c>
      <c r="Q1" s="36" t="s">
        <v>1408</v>
      </c>
      <c r="R1" s="36" t="s">
        <v>1409</v>
      </c>
      <c r="S1" s="60" t="s">
        <v>1411</v>
      </c>
      <c r="T1" s="60" t="s">
        <v>1412</v>
      </c>
      <c r="U1" s="36" t="s">
        <v>101</v>
      </c>
      <c r="V1" s="37" t="s">
        <v>62</v>
      </c>
      <c r="W1" s="47" t="s">
        <v>102</v>
      </c>
      <c r="X1" s="36" t="s">
        <v>64</v>
      </c>
      <c r="Y1" s="39" t="s">
        <v>65</v>
      </c>
      <c r="Z1" s="39" t="s">
        <v>66</v>
      </c>
    </row>
    <row r="2" spans="1:26" x14ac:dyDescent="0.25">
      <c r="A2" s="10">
        <v>1182</v>
      </c>
      <c r="B2" s="10">
        <v>1182</v>
      </c>
      <c r="C2" s="10" t="s">
        <v>1534</v>
      </c>
      <c r="D2" s="10" t="s">
        <v>1535</v>
      </c>
      <c r="E2" s="10" t="s">
        <v>111</v>
      </c>
      <c r="F2" s="10" t="s">
        <v>1534</v>
      </c>
      <c r="G2" s="10" t="s">
        <v>1536</v>
      </c>
      <c r="H2" s="10" t="s">
        <v>111</v>
      </c>
      <c r="I2" s="10" t="s">
        <v>1537</v>
      </c>
      <c r="J2" s="10" t="s">
        <v>71</v>
      </c>
      <c r="K2" s="10" t="s">
        <v>71</v>
      </c>
      <c r="L2" s="10" t="s">
        <v>286</v>
      </c>
      <c r="M2" s="10" t="s">
        <v>1010</v>
      </c>
      <c r="N2" s="10" t="s">
        <v>72</v>
      </c>
      <c r="O2" s="61" t="s">
        <v>1538</v>
      </c>
      <c r="P2" s="10" t="s">
        <v>75</v>
      </c>
      <c r="Q2" s="10" t="s">
        <v>286</v>
      </c>
      <c r="R2" s="10"/>
      <c r="S2" s="61" t="s">
        <v>1455</v>
      </c>
      <c r="T2" s="10"/>
      <c r="U2" s="52">
        <v>5306</v>
      </c>
      <c r="V2" s="55">
        <v>3.718</v>
      </c>
      <c r="W2" s="56">
        <v>5368</v>
      </c>
      <c r="X2" s="52">
        <v>1058.9829999999999</v>
      </c>
      <c r="Y2" s="54">
        <v>0.11349485076804</v>
      </c>
      <c r="Z2" s="54">
        <v>2.4458264080774702E-3</v>
      </c>
    </row>
    <row r="3" spans="1:26" x14ac:dyDescent="0.25">
      <c r="A3" s="10">
        <v>1182</v>
      </c>
      <c r="B3" s="10">
        <v>1182</v>
      </c>
      <c r="C3" s="10" t="s">
        <v>1539</v>
      </c>
      <c r="D3" s="10" t="s">
        <v>1540</v>
      </c>
      <c r="E3" s="10" t="s">
        <v>210</v>
      </c>
      <c r="F3" s="10" t="s">
        <v>1539</v>
      </c>
      <c r="G3" s="10" t="s">
        <v>1541</v>
      </c>
      <c r="H3" s="10" t="s">
        <v>111</v>
      </c>
      <c r="I3" s="10" t="s">
        <v>1537</v>
      </c>
      <c r="J3" s="10" t="s">
        <v>71</v>
      </c>
      <c r="K3" s="10" t="s">
        <v>215</v>
      </c>
      <c r="L3" s="10" t="s">
        <v>286</v>
      </c>
      <c r="M3" s="10" t="s">
        <v>616</v>
      </c>
      <c r="N3" s="10" t="s">
        <v>72</v>
      </c>
      <c r="O3" s="61" t="s">
        <v>1542</v>
      </c>
      <c r="P3" s="10" t="s">
        <v>75</v>
      </c>
      <c r="Q3" s="10" t="s">
        <v>286</v>
      </c>
      <c r="R3" s="10"/>
      <c r="S3" s="61" t="s">
        <v>1455</v>
      </c>
      <c r="T3" s="10"/>
      <c r="U3" s="52">
        <v>332.99</v>
      </c>
      <c r="V3" s="55">
        <v>3.718</v>
      </c>
      <c r="W3" s="56">
        <v>90093.3</v>
      </c>
      <c r="X3" s="52">
        <v>1115.4059999999999</v>
      </c>
      <c r="Y3" s="54">
        <v>0.119541882766873</v>
      </c>
      <c r="Z3" s="54">
        <v>2.57614060694331E-3</v>
      </c>
    </row>
    <row r="4" spans="1:26" x14ac:dyDescent="0.25">
      <c r="A4" s="10">
        <v>1182</v>
      </c>
      <c r="B4" s="10">
        <v>1182</v>
      </c>
      <c r="C4" s="10" t="s">
        <v>1543</v>
      </c>
      <c r="D4" s="10" t="s">
        <v>1544</v>
      </c>
      <c r="E4" s="10" t="s">
        <v>111</v>
      </c>
      <c r="F4" s="10" t="s">
        <v>1543</v>
      </c>
      <c r="G4" s="10" t="s">
        <v>1545</v>
      </c>
      <c r="H4" s="10" t="s">
        <v>111</v>
      </c>
      <c r="I4" s="10" t="s">
        <v>1537</v>
      </c>
      <c r="J4" s="10" t="s">
        <v>71</v>
      </c>
      <c r="K4" s="10" t="s">
        <v>71</v>
      </c>
      <c r="L4" s="10" t="s">
        <v>286</v>
      </c>
      <c r="M4" s="10" t="s">
        <v>1116</v>
      </c>
      <c r="N4" s="10" t="s">
        <v>72</v>
      </c>
      <c r="O4" s="63" t="s">
        <v>1546</v>
      </c>
      <c r="P4" s="10" t="s">
        <v>75</v>
      </c>
      <c r="Q4" s="10" t="s">
        <v>286</v>
      </c>
      <c r="R4" s="10"/>
      <c r="S4" s="61" t="s">
        <v>1455</v>
      </c>
      <c r="T4" s="10"/>
      <c r="U4" s="52">
        <v>26572</v>
      </c>
      <c r="V4" s="55">
        <v>3.718</v>
      </c>
      <c r="W4" s="56">
        <v>0</v>
      </c>
      <c r="X4" s="52">
        <v>0</v>
      </c>
      <c r="Y4" s="54">
        <v>1.0588163747534499E-8</v>
      </c>
      <c r="Z4" s="54">
        <v>2.2817608315725399E-10</v>
      </c>
    </row>
    <row r="5" spans="1:26" x14ac:dyDescent="0.25">
      <c r="A5" s="10">
        <v>1182</v>
      </c>
      <c r="B5" s="10">
        <v>1182</v>
      </c>
      <c r="C5" s="10" t="s">
        <v>1547</v>
      </c>
      <c r="D5" s="10" t="s">
        <v>1548</v>
      </c>
      <c r="E5" s="10" t="s">
        <v>111</v>
      </c>
      <c r="F5" s="10" t="s">
        <v>1549</v>
      </c>
      <c r="G5" s="10" t="s">
        <v>1550</v>
      </c>
      <c r="H5" s="10" t="s">
        <v>111</v>
      </c>
      <c r="I5" s="10" t="s">
        <v>1537</v>
      </c>
      <c r="J5" s="10" t="s">
        <v>71</v>
      </c>
      <c r="K5" s="10" t="s">
        <v>71</v>
      </c>
      <c r="L5" s="10" t="s">
        <v>286</v>
      </c>
      <c r="M5" s="10" t="s">
        <v>1551</v>
      </c>
      <c r="N5" s="10" t="s">
        <v>72</v>
      </c>
      <c r="O5" s="61" t="s">
        <v>1552</v>
      </c>
      <c r="P5" s="10" t="s">
        <v>75</v>
      </c>
      <c r="Q5" s="10" t="s">
        <v>286</v>
      </c>
      <c r="R5" s="10"/>
      <c r="S5" s="61" t="s">
        <v>1455</v>
      </c>
      <c r="T5" s="10"/>
      <c r="U5" s="52">
        <v>84143</v>
      </c>
      <c r="V5" s="55">
        <v>3.718</v>
      </c>
      <c r="W5" s="56">
        <v>0</v>
      </c>
      <c r="X5" s="52">
        <v>0</v>
      </c>
      <c r="Y5" s="54">
        <v>3.35285210826732E-8</v>
      </c>
      <c r="Z5" s="54">
        <v>7.22543284852507E-10</v>
      </c>
    </row>
    <row r="6" spans="1:26" x14ac:dyDescent="0.25">
      <c r="A6" s="10">
        <v>1182</v>
      </c>
      <c r="B6" s="10">
        <v>1182</v>
      </c>
      <c r="C6" s="10" t="s">
        <v>1547</v>
      </c>
      <c r="D6" s="10" t="s">
        <v>1548</v>
      </c>
      <c r="E6" s="10" t="s">
        <v>111</v>
      </c>
      <c r="F6" s="10" t="s">
        <v>1547</v>
      </c>
      <c r="G6" s="10" t="s">
        <v>1553</v>
      </c>
      <c r="H6" s="10" t="s">
        <v>111</v>
      </c>
      <c r="I6" s="10" t="s">
        <v>1537</v>
      </c>
      <c r="J6" s="10" t="s">
        <v>71</v>
      </c>
      <c r="K6" s="10" t="s">
        <v>291</v>
      </c>
      <c r="L6" s="10" t="s">
        <v>286</v>
      </c>
      <c r="M6" s="10" t="s">
        <v>1010</v>
      </c>
      <c r="N6" s="10" t="s">
        <v>72</v>
      </c>
      <c r="O6" s="61" t="s">
        <v>1554</v>
      </c>
      <c r="P6" s="10" t="s">
        <v>75</v>
      </c>
      <c r="Q6" s="10" t="s">
        <v>1555</v>
      </c>
      <c r="R6" s="10"/>
      <c r="S6" s="61" t="s">
        <v>1455</v>
      </c>
      <c r="T6" s="10"/>
      <c r="U6" s="52">
        <v>50000</v>
      </c>
      <c r="V6" s="55">
        <v>3.718</v>
      </c>
      <c r="W6" s="56">
        <v>0</v>
      </c>
      <c r="X6" s="52">
        <v>0</v>
      </c>
      <c r="Y6" s="54">
        <v>1.9923535577928801E-8</v>
      </c>
      <c r="Z6" s="54">
        <v>4.29354363911738E-10</v>
      </c>
    </row>
    <row r="7" spans="1:26" x14ac:dyDescent="0.25">
      <c r="A7" s="10">
        <v>1182</v>
      </c>
      <c r="B7" s="10">
        <v>1182</v>
      </c>
      <c r="C7" s="10" t="s">
        <v>1556</v>
      </c>
      <c r="D7" s="10" t="s">
        <v>1557</v>
      </c>
      <c r="E7" s="10" t="s">
        <v>210</v>
      </c>
      <c r="F7" s="10" t="s">
        <v>1558</v>
      </c>
      <c r="G7" s="10" t="s">
        <v>1559</v>
      </c>
      <c r="H7" s="10" t="s">
        <v>111</v>
      </c>
      <c r="I7" s="10" t="s">
        <v>1537</v>
      </c>
      <c r="J7" s="10" t="s">
        <v>71</v>
      </c>
      <c r="K7" s="10" t="s">
        <v>291</v>
      </c>
      <c r="L7" s="10" t="s">
        <v>286</v>
      </c>
      <c r="M7" s="10" t="s">
        <v>365</v>
      </c>
      <c r="N7" s="10" t="s">
        <v>72</v>
      </c>
      <c r="O7" s="61" t="s">
        <v>1560</v>
      </c>
      <c r="P7" s="10" t="s">
        <v>75</v>
      </c>
      <c r="Q7" s="10" t="s">
        <v>286</v>
      </c>
      <c r="R7" s="10"/>
      <c r="S7" s="61" t="s">
        <v>1455</v>
      </c>
      <c r="T7" s="10"/>
      <c r="U7" s="52">
        <v>244820</v>
      </c>
      <c r="V7" s="55">
        <v>3.718</v>
      </c>
      <c r="W7" s="56">
        <v>276.279</v>
      </c>
      <c r="X7" s="52">
        <v>2514.806</v>
      </c>
      <c r="Y7" s="54">
        <v>0.2695203045565</v>
      </c>
      <c r="Z7" s="54">
        <v>5.8081919482377304E-3</v>
      </c>
    </row>
    <row r="8" spans="1:26" x14ac:dyDescent="0.25">
      <c r="A8" s="10">
        <v>1182</v>
      </c>
      <c r="B8" s="10">
        <v>1182</v>
      </c>
      <c r="C8" s="10" t="s">
        <v>1558</v>
      </c>
      <c r="D8" s="10" t="s">
        <v>1561</v>
      </c>
      <c r="E8" s="10" t="s">
        <v>111</v>
      </c>
      <c r="F8" s="10" t="s">
        <v>1562</v>
      </c>
      <c r="G8" s="10" t="s">
        <v>1563</v>
      </c>
      <c r="H8" s="10" t="s">
        <v>111</v>
      </c>
      <c r="I8" s="10" t="s">
        <v>1537</v>
      </c>
      <c r="J8" s="10" t="s">
        <v>71</v>
      </c>
      <c r="K8" s="10" t="s">
        <v>291</v>
      </c>
      <c r="L8" s="10" t="s">
        <v>286</v>
      </c>
      <c r="M8" s="10" t="s">
        <v>365</v>
      </c>
      <c r="N8" s="10" t="s">
        <v>72</v>
      </c>
      <c r="O8" s="61" t="s">
        <v>1564</v>
      </c>
      <c r="P8" s="10" t="s">
        <v>75</v>
      </c>
      <c r="Q8" s="10" t="s">
        <v>286</v>
      </c>
      <c r="R8" s="10"/>
      <c r="S8" s="61" t="s">
        <v>1455</v>
      </c>
      <c r="T8" s="10"/>
      <c r="U8" s="52">
        <v>597000</v>
      </c>
      <c r="V8" s="55">
        <v>3.718</v>
      </c>
      <c r="W8" s="56">
        <v>100</v>
      </c>
      <c r="X8" s="52">
        <v>2219.6460000000002</v>
      </c>
      <c r="Y8" s="54">
        <v>0.23788701480047</v>
      </c>
      <c r="Z8" s="54">
        <v>5.1264911051061499E-3</v>
      </c>
    </row>
    <row r="9" spans="1:26" x14ac:dyDescent="0.25">
      <c r="A9" s="10">
        <v>1182</v>
      </c>
      <c r="B9" s="10">
        <v>1182</v>
      </c>
      <c r="C9" s="10" t="s">
        <v>1558</v>
      </c>
      <c r="D9" s="10" t="s">
        <v>1561</v>
      </c>
      <c r="E9" s="10" t="s">
        <v>111</v>
      </c>
      <c r="F9" s="10" t="s">
        <v>1565</v>
      </c>
      <c r="G9" s="10" t="s">
        <v>1566</v>
      </c>
      <c r="H9" s="10" t="s">
        <v>111</v>
      </c>
      <c r="I9" s="10" t="s">
        <v>1537</v>
      </c>
      <c r="J9" s="10" t="s">
        <v>71</v>
      </c>
      <c r="K9" s="10"/>
      <c r="L9" s="10" t="s">
        <v>286</v>
      </c>
      <c r="M9" s="10" t="s">
        <v>365</v>
      </c>
      <c r="N9" s="10" t="s">
        <v>72</v>
      </c>
      <c r="O9" s="61" t="s">
        <v>1567</v>
      </c>
      <c r="P9" s="10" t="s">
        <v>81</v>
      </c>
      <c r="Q9" s="10" t="s">
        <v>286</v>
      </c>
      <c r="R9" s="10"/>
      <c r="S9" s="61" t="s">
        <v>1455</v>
      </c>
      <c r="T9" s="10"/>
      <c r="U9" s="52">
        <v>1050000</v>
      </c>
      <c r="V9" s="55">
        <v>1</v>
      </c>
      <c r="W9" s="56">
        <v>100</v>
      </c>
      <c r="X9" s="52">
        <v>1050</v>
      </c>
      <c r="Y9" s="54">
        <v>0.112532072925364</v>
      </c>
      <c r="Z9" s="54">
        <v>2.4250784405988402E-3</v>
      </c>
    </row>
    <row r="10" spans="1:26" x14ac:dyDescent="0.25">
      <c r="A10" s="10">
        <v>1182</v>
      </c>
      <c r="B10" s="10">
        <v>1182</v>
      </c>
      <c r="C10" s="10" t="s">
        <v>1568</v>
      </c>
      <c r="D10" s="10" t="s">
        <v>1569</v>
      </c>
      <c r="E10" s="10" t="s">
        <v>111</v>
      </c>
      <c r="F10" s="10" t="s">
        <v>1570</v>
      </c>
      <c r="G10" s="10" t="s">
        <v>1571</v>
      </c>
      <c r="H10" s="10" t="s">
        <v>111</v>
      </c>
      <c r="I10" s="10" t="s">
        <v>1537</v>
      </c>
      <c r="J10" s="10" t="s">
        <v>85</v>
      </c>
      <c r="K10" s="10" t="s">
        <v>291</v>
      </c>
      <c r="L10" s="10" t="s">
        <v>286</v>
      </c>
      <c r="M10" s="10" t="s">
        <v>1572</v>
      </c>
      <c r="N10" s="10" t="s">
        <v>72</v>
      </c>
      <c r="O10" s="61" t="s">
        <v>1573</v>
      </c>
      <c r="P10" s="10" t="s">
        <v>75</v>
      </c>
      <c r="Q10" s="10" t="s">
        <v>1574</v>
      </c>
      <c r="R10" s="10"/>
      <c r="S10" s="61" t="s">
        <v>1455</v>
      </c>
      <c r="T10" s="10"/>
      <c r="U10" s="52">
        <v>9829</v>
      </c>
      <c r="V10" s="55">
        <v>3.718</v>
      </c>
      <c r="W10" s="56">
        <v>995.12</v>
      </c>
      <c r="X10" s="52">
        <v>363.65899999999999</v>
      </c>
      <c r="Y10" s="54">
        <v>3.8974557690245597E-2</v>
      </c>
      <c r="Z10" s="54">
        <v>8.3990596751183405E-4</v>
      </c>
    </row>
    <row r="11" spans="1:26" x14ac:dyDescent="0.25">
      <c r="A11" s="10">
        <v>1182</v>
      </c>
      <c r="B11" s="10">
        <v>1182</v>
      </c>
      <c r="C11" s="10" t="s">
        <v>1575</v>
      </c>
      <c r="D11" s="10" t="s">
        <v>1576</v>
      </c>
      <c r="E11" s="10" t="s">
        <v>111</v>
      </c>
      <c r="F11" s="10" t="s">
        <v>1575</v>
      </c>
      <c r="G11" s="10" t="s">
        <v>1577</v>
      </c>
      <c r="H11" s="10" t="s">
        <v>111</v>
      </c>
      <c r="I11" s="10" t="s">
        <v>1537</v>
      </c>
      <c r="J11" s="10" t="s">
        <v>71</v>
      </c>
      <c r="K11" s="10" t="s">
        <v>291</v>
      </c>
      <c r="L11" s="10" t="s">
        <v>286</v>
      </c>
      <c r="M11" s="10" t="s">
        <v>616</v>
      </c>
      <c r="N11" s="10" t="s">
        <v>72</v>
      </c>
      <c r="O11" s="61" t="s">
        <v>1578</v>
      </c>
      <c r="P11" s="10" t="s">
        <v>75</v>
      </c>
      <c r="Q11" s="10" t="s">
        <v>1574</v>
      </c>
      <c r="R11" s="10"/>
      <c r="S11" s="61" t="s">
        <v>1455</v>
      </c>
      <c r="T11" s="10"/>
      <c r="U11" s="52">
        <v>70788</v>
      </c>
      <c r="V11" s="55">
        <v>3.718</v>
      </c>
      <c r="W11" s="56">
        <v>10.595000000000001</v>
      </c>
      <c r="X11" s="52">
        <v>27.885000000000002</v>
      </c>
      <c r="Y11" s="54">
        <v>2.9885257941232E-3</v>
      </c>
      <c r="Z11" s="54">
        <v>6.4403056693965603E-5</v>
      </c>
    </row>
    <row r="12" spans="1:26" x14ac:dyDescent="0.25">
      <c r="A12" s="10">
        <v>1182</v>
      </c>
      <c r="B12" s="10">
        <v>1182</v>
      </c>
      <c r="C12" s="10" t="s">
        <v>1579</v>
      </c>
      <c r="D12" s="10" t="s">
        <v>1580</v>
      </c>
      <c r="E12" s="10" t="s">
        <v>111</v>
      </c>
      <c r="F12" s="10" t="s">
        <v>1581</v>
      </c>
      <c r="G12" s="10" t="s">
        <v>1582</v>
      </c>
      <c r="H12" s="10" t="s">
        <v>111</v>
      </c>
      <c r="I12" s="10" t="s">
        <v>1537</v>
      </c>
      <c r="J12" s="10" t="s">
        <v>71</v>
      </c>
      <c r="K12" s="10" t="s">
        <v>291</v>
      </c>
      <c r="L12" s="10" t="s">
        <v>286</v>
      </c>
      <c r="M12" s="10" t="s">
        <v>1572</v>
      </c>
      <c r="N12" s="10" t="s">
        <v>72</v>
      </c>
      <c r="O12" s="61" t="s">
        <v>1583</v>
      </c>
      <c r="P12" s="10" t="s">
        <v>75</v>
      </c>
      <c r="Q12" s="10" t="s">
        <v>1574</v>
      </c>
      <c r="R12" s="10"/>
      <c r="S12" s="61" t="s">
        <v>1455</v>
      </c>
      <c r="T12" s="10"/>
      <c r="U12" s="52">
        <v>562517</v>
      </c>
      <c r="V12" s="55">
        <v>3.718</v>
      </c>
      <c r="W12" s="56">
        <v>0.32500000000000001</v>
      </c>
      <c r="X12" s="52">
        <v>6.7969999999999997</v>
      </c>
      <c r="Y12" s="54">
        <v>7.2847628507483498E-4</v>
      </c>
      <c r="Z12" s="54">
        <v>1.5698743367094999E-5</v>
      </c>
    </row>
    <row r="13" spans="1:26" x14ac:dyDescent="0.25">
      <c r="A13" s="10">
        <v>1182</v>
      </c>
      <c r="B13" s="10">
        <v>1182</v>
      </c>
      <c r="C13" s="10" t="s">
        <v>1584</v>
      </c>
      <c r="D13" s="10" t="s">
        <v>1585</v>
      </c>
      <c r="E13" s="10" t="s">
        <v>210</v>
      </c>
      <c r="F13" s="10" t="s">
        <v>1584</v>
      </c>
      <c r="G13" s="10" t="s">
        <v>1586</v>
      </c>
      <c r="H13" s="10" t="s">
        <v>111</v>
      </c>
      <c r="I13" s="10" t="s">
        <v>1537</v>
      </c>
      <c r="J13" s="10" t="s">
        <v>71</v>
      </c>
      <c r="K13" s="10" t="s">
        <v>291</v>
      </c>
      <c r="L13" s="10" t="s">
        <v>286</v>
      </c>
      <c r="M13" s="10" t="s">
        <v>616</v>
      </c>
      <c r="N13" s="10" t="s">
        <v>72</v>
      </c>
      <c r="O13" s="61" t="s">
        <v>1587</v>
      </c>
      <c r="P13" s="10" t="s">
        <v>75</v>
      </c>
      <c r="Q13" s="10" t="s">
        <v>1574</v>
      </c>
      <c r="R13" s="10"/>
      <c r="S13" s="61" t="s">
        <v>1455</v>
      </c>
      <c r="T13" s="10"/>
      <c r="U13" s="52">
        <v>3605</v>
      </c>
      <c r="V13" s="55">
        <v>3.718</v>
      </c>
      <c r="W13" s="56">
        <v>1387.07</v>
      </c>
      <c r="X13" s="52">
        <v>185.91399999999999</v>
      </c>
      <c r="Y13" s="54">
        <v>1.9925079054230001E-2</v>
      </c>
      <c r="Z13" s="54">
        <v>4.2938762599430998E-4</v>
      </c>
    </row>
    <row r="14" spans="1:26" x14ac:dyDescent="0.25">
      <c r="A14" s="10">
        <v>1182</v>
      </c>
      <c r="B14" s="10">
        <v>1182</v>
      </c>
      <c r="C14" s="10" t="s">
        <v>1588</v>
      </c>
      <c r="D14" s="10" t="s">
        <v>1589</v>
      </c>
      <c r="E14" s="10" t="s">
        <v>111</v>
      </c>
      <c r="F14" s="10" t="s">
        <v>1590</v>
      </c>
      <c r="G14" s="10" t="s">
        <v>1591</v>
      </c>
      <c r="H14" s="10" t="s">
        <v>111</v>
      </c>
      <c r="I14" s="10" t="s">
        <v>1537</v>
      </c>
      <c r="J14" s="10" t="s">
        <v>71</v>
      </c>
      <c r="K14" s="10" t="s">
        <v>291</v>
      </c>
      <c r="L14" s="10" t="s">
        <v>286</v>
      </c>
      <c r="M14" s="10" t="s">
        <v>1010</v>
      </c>
      <c r="N14" s="10" t="s">
        <v>72</v>
      </c>
      <c r="O14" s="61" t="s">
        <v>1592</v>
      </c>
      <c r="P14" s="10" t="s">
        <v>75</v>
      </c>
      <c r="Q14" s="10" t="s">
        <v>1574</v>
      </c>
      <c r="R14" s="10"/>
      <c r="S14" s="61" t="s">
        <v>1455</v>
      </c>
      <c r="T14" s="10"/>
      <c r="U14" s="52">
        <v>8020</v>
      </c>
      <c r="V14" s="55">
        <v>3.718</v>
      </c>
      <c r="W14" s="56">
        <v>0</v>
      </c>
      <c r="X14" s="52">
        <v>0</v>
      </c>
      <c r="Y14" s="54">
        <v>3.19573510669978E-9</v>
      </c>
      <c r="Z14" s="54">
        <v>6.8868439971442696E-11</v>
      </c>
    </row>
    <row r="15" spans="1:26" x14ac:dyDescent="0.25">
      <c r="A15" s="10">
        <v>1182</v>
      </c>
      <c r="B15" s="10">
        <v>1182</v>
      </c>
      <c r="C15" s="10" t="s">
        <v>1593</v>
      </c>
      <c r="D15" s="10" t="s">
        <v>1594</v>
      </c>
      <c r="E15" s="10" t="s">
        <v>210</v>
      </c>
      <c r="F15" s="10" t="s">
        <v>1593</v>
      </c>
      <c r="G15" s="10" t="s">
        <v>1595</v>
      </c>
      <c r="H15" s="10" t="s">
        <v>111</v>
      </c>
      <c r="I15" s="10" t="s">
        <v>1537</v>
      </c>
      <c r="J15" s="10" t="s">
        <v>71</v>
      </c>
      <c r="K15" s="10" t="s">
        <v>291</v>
      </c>
      <c r="L15" s="10" t="s">
        <v>286</v>
      </c>
      <c r="M15" s="10" t="s">
        <v>1010</v>
      </c>
      <c r="N15" s="10" t="s">
        <v>72</v>
      </c>
      <c r="O15" s="61" t="s">
        <v>1592</v>
      </c>
      <c r="P15" s="10" t="s">
        <v>75</v>
      </c>
      <c r="Q15" s="10" t="s">
        <v>1574</v>
      </c>
      <c r="R15" s="10"/>
      <c r="S15" s="61" t="s">
        <v>1455</v>
      </c>
      <c r="T15" s="10"/>
      <c r="U15" s="52">
        <v>13988</v>
      </c>
      <c r="V15" s="55">
        <v>3.718</v>
      </c>
      <c r="W15" s="56">
        <v>830.053</v>
      </c>
      <c r="X15" s="52">
        <v>431.68900000000002</v>
      </c>
      <c r="Y15" s="54">
        <v>4.62655519710247E-2</v>
      </c>
      <c r="Z15" s="54">
        <v>9.9702768917934201E-4</v>
      </c>
    </row>
    <row r="16" spans="1:26" x14ac:dyDescent="0.25">
      <c r="A16" s="10">
        <v>1182</v>
      </c>
      <c r="B16" s="10">
        <v>1182</v>
      </c>
      <c r="C16" s="10" t="s">
        <v>661</v>
      </c>
      <c r="D16" s="10" t="s">
        <v>662</v>
      </c>
      <c r="E16" s="10" t="s">
        <v>210</v>
      </c>
      <c r="F16" s="10" t="s">
        <v>1596</v>
      </c>
      <c r="G16" s="10" t="s">
        <v>1597</v>
      </c>
      <c r="H16" s="10" t="s">
        <v>111</v>
      </c>
      <c r="I16" s="10" t="s">
        <v>1537</v>
      </c>
      <c r="J16" s="10" t="s">
        <v>71</v>
      </c>
      <c r="K16" s="10" t="s">
        <v>71</v>
      </c>
      <c r="L16" s="10" t="s">
        <v>286</v>
      </c>
      <c r="M16" s="10" t="s">
        <v>429</v>
      </c>
      <c r="N16" s="10" t="s">
        <v>72</v>
      </c>
      <c r="O16" s="61" t="s">
        <v>1598</v>
      </c>
      <c r="P16" s="10" t="s">
        <v>81</v>
      </c>
      <c r="Q16" s="10" t="s">
        <v>286</v>
      </c>
      <c r="R16" s="10"/>
      <c r="S16" s="61" t="s">
        <v>1455</v>
      </c>
      <c r="T16" s="10"/>
      <c r="U16" s="52">
        <v>127</v>
      </c>
      <c r="V16" s="55">
        <v>1</v>
      </c>
      <c r="W16" s="56">
        <v>135281.44399999999</v>
      </c>
      <c r="X16" s="52">
        <v>171.80699999999999</v>
      </c>
      <c r="Y16" s="54">
        <v>1.84131872992498E-2</v>
      </c>
      <c r="Z16" s="54">
        <v>3.96806193837156E-4</v>
      </c>
    </row>
    <row r="17" spans="1:26" x14ac:dyDescent="0.25">
      <c r="A17" s="10">
        <v>1182</v>
      </c>
      <c r="B17" s="10">
        <v>1182</v>
      </c>
      <c r="C17" s="10" t="s">
        <v>1599</v>
      </c>
      <c r="D17" s="10" t="s">
        <v>1600</v>
      </c>
      <c r="E17" s="10" t="s">
        <v>210</v>
      </c>
      <c r="F17" s="10" t="s">
        <v>1599</v>
      </c>
      <c r="G17" s="10" t="s">
        <v>1601</v>
      </c>
      <c r="H17" s="10" t="s">
        <v>111</v>
      </c>
      <c r="I17" s="10" t="s">
        <v>1537</v>
      </c>
      <c r="J17" s="10" t="s">
        <v>71</v>
      </c>
      <c r="K17" s="10" t="s">
        <v>71</v>
      </c>
      <c r="L17" s="10" t="s">
        <v>286</v>
      </c>
      <c r="M17" s="10" t="s">
        <v>1108</v>
      </c>
      <c r="N17" s="10" t="s">
        <v>72</v>
      </c>
      <c r="O17" s="61" t="s">
        <v>1602</v>
      </c>
      <c r="P17" s="10" t="s">
        <v>75</v>
      </c>
      <c r="Q17" s="10" t="s">
        <v>286</v>
      </c>
      <c r="R17" s="10"/>
      <c r="S17" s="61" t="s">
        <v>1455</v>
      </c>
      <c r="T17" s="10"/>
      <c r="U17" s="52">
        <v>41131.24</v>
      </c>
      <c r="V17" s="55">
        <v>3.718</v>
      </c>
      <c r="W17" s="56">
        <v>0</v>
      </c>
      <c r="X17" s="52">
        <v>0</v>
      </c>
      <c r="Y17" s="54">
        <v>1.6389594470086599E-8</v>
      </c>
      <c r="Z17" s="54">
        <v>3.5319754774201998E-10</v>
      </c>
    </row>
    <row r="18" spans="1:26" x14ac:dyDescent="0.25">
      <c r="A18" s="10">
        <v>1182</v>
      </c>
      <c r="B18" s="10">
        <v>1182</v>
      </c>
      <c r="C18" s="10" t="s">
        <v>1603</v>
      </c>
      <c r="D18" s="10" t="s">
        <v>1604</v>
      </c>
      <c r="E18" s="10" t="s">
        <v>111</v>
      </c>
      <c r="F18" s="10" t="s">
        <v>1605</v>
      </c>
      <c r="G18" s="10" t="s">
        <v>1606</v>
      </c>
      <c r="H18" s="10" t="s">
        <v>213</v>
      </c>
      <c r="I18" s="10" t="s">
        <v>1537</v>
      </c>
      <c r="J18" s="10" t="s">
        <v>85</v>
      </c>
      <c r="K18" s="10" t="s">
        <v>215</v>
      </c>
      <c r="L18" s="10" t="s">
        <v>286</v>
      </c>
      <c r="M18" s="10" t="s">
        <v>957</v>
      </c>
      <c r="N18" s="10" t="s">
        <v>72</v>
      </c>
      <c r="O18" s="10"/>
      <c r="P18" s="10" t="s">
        <v>75</v>
      </c>
      <c r="Q18" s="10" t="s">
        <v>286</v>
      </c>
      <c r="R18" s="10"/>
      <c r="S18" s="61" t="s">
        <v>1607</v>
      </c>
      <c r="T18" s="10"/>
      <c r="U18" s="52">
        <v>14.84</v>
      </c>
      <c r="V18" s="55">
        <v>3.718</v>
      </c>
      <c r="W18" s="56">
        <v>0</v>
      </c>
      <c r="X18" s="52">
        <v>0</v>
      </c>
      <c r="Y18" s="54">
        <v>5.9133053595292601E-12</v>
      </c>
      <c r="Z18" s="54">
        <v>1.2743237520900399E-13</v>
      </c>
    </row>
    <row r="19" spans="1:26" x14ac:dyDescent="0.25">
      <c r="A19">
        <v>1182</v>
      </c>
      <c r="B19" s="10">
        <v>1182</v>
      </c>
      <c r="C19" s="10" t="s">
        <v>1608</v>
      </c>
      <c r="D19" s="10" t="s">
        <v>1609</v>
      </c>
      <c r="E19" s="10" t="s">
        <v>111</v>
      </c>
      <c r="F19" s="10" t="s">
        <v>1608</v>
      </c>
      <c r="G19" s="10" t="s">
        <v>1610</v>
      </c>
      <c r="H19" s="10" t="s">
        <v>213</v>
      </c>
      <c r="I19" s="10" t="s">
        <v>1537</v>
      </c>
      <c r="J19" s="10" t="s">
        <v>85</v>
      </c>
      <c r="K19" s="10" t="s">
        <v>291</v>
      </c>
      <c r="L19" s="10" t="s">
        <v>286</v>
      </c>
      <c r="M19" s="10" t="s">
        <v>706</v>
      </c>
      <c r="N19" s="10" t="s">
        <v>72</v>
      </c>
      <c r="O19" s="10"/>
      <c r="P19" s="10" t="s">
        <v>75</v>
      </c>
      <c r="Q19" s="10" t="s">
        <v>286</v>
      </c>
      <c r="R19" s="10"/>
      <c r="S19" s="61" t="s">
        <v>1607</v>
      </c>
      <c r="T19" s="10"/>
      <c r="U19" s="52">
        <v>43.79</v>
      </c>
      <c r="V19" s="55">
        <v>3.718</v>
      </c>
      <c r="W19" s="56">
        <v>0</v>
      </c>
      <c r="X19" s="52">
        <v>0</v>
      </c>
      <c r="Y19" s="54">
        <v>1.7449032459150001E-11</v>
      </c>
      <c r="Z19" s="54">
        <v>3.7602855191389998E-13</v>
      </c>
    </row>
    <row r="20" spans="1:26" x14ac:dyDescent="0.25">
      <c r="A20">
        <v>1182</v>
      </c>
      <c r="B20">
        <v>1182</v>
      </c>
      <c r="C20" t="s">
        <v>1611</v>
      </c>
      <c r="D20" t="s">
        <v>1612</v>
      </c>
      <c r="E20" s="10" t="s">
        <v>111</v>
      </c>
      <c r="F20" t="s">
        <v>1613</v>
      </c>
      <c r="G20" t="s">
        <v>1614</v>
      </c>
      <c r="H20" t="s">
        <v>111</v>
      </c>
      <c r="I20" s="10" t="s">
        <v>1537</v>
      </c>
      <c r="J20" s="10" t="s">
        <v>85</v>
      </c>
      <c r="K20" s="10" t="s">
        <v>291</v>
      </c>
      <c r="L20" s="10" t="s">
        <v>286</v>
      </c>
      <c r="M20" s="10" t="s">
        <v>616</v>
      </c>
      <c r="N20" s="10" t="s">
        <v>72</v>
      </c>
      <c r="O20" t="s">
        <v>1615</v>
      </c>
      <c r="P20" t="s">
        <v>75</v>
      </c>
      <c r="Q20" t="s">
        <v>1574</v>
      </c>
      <c r="R20" s="10"/>
      <c r="S20" s="63" t="s">
        <v>1455</v>
      </c>
      <c r="U20" s="44">
        <v>12316</v>
      </c>
      <c r="V20" s="42">
        <v>3.718</v>
      </c>
      <c r="W20" s="48">
        <v>402</v>
      </c>
      <c r="X20" s="44">
        <v>184.07900000000001</v>
      </c>
      <c r="Y20" s="45">
        <v>1.97284124398928E-2</v>
      </c>
      <c r="Z20" s="45">
        <v>4.2514943901333203E-4</v>
      </c>
    </row>
    <row r="21" spans="1:26" x14ac:dyDescent="0.25">
      <c r="A21">
        <v>1182</v>
      </c>
      <c r="B21">
        <v>14769</v>
      </c>
      <c r="C21" t="s">
        <v>1558</v>
      </c>
      <c r="D21" t="s">
        <v>1561</v>
      </c>
      <c r="E21" t="s">
        <v>111</v>
      </c>
      <c r="F21" t="s">
        <v>1565</v>
      </c>
      <c r="G21" t="s">
        <v>1566</v>
      </c>
      <c r="H21" t="s">
        <v>111</v>
      </c>
      <c r="I21" t="s">
        <v>1537</v>
      </c>
      <c r="J21" t="s">
        <v>71</v>
      </c>
      <c r="L21" t="s">
        <v>286</v>
      </c>
      <c r="M21" t="s">
        <v>365</v>
      </c>
      <c r="N21" t="s">
        <v>72</v>
      </c>
      <c r="O21" t="s">
        <v>1567</v>
      </c>
      <c r="P21" t="s">
        <v>81</v>
      </c>
      <c r="Q21" t="s">
        <v>286</v>
      </c>
      <c r="S21" s="63" t="s">
        <v>1455</v>
      </c>
      <c r="U21" s="44">
        <v>400000</v>
      </c>
      <c r="V21" s="42">
        <v>1</v>
      </c>
      <c r="W21" s="48">
        <v>100</v>
      </c>
      <c r="X21" s="44">
        <v>400</v>
      </c>
      <c r="Y21" s="45">
        <v>1</v>
      </c>
      <c r="Z21" s="45">
        <v>1.7268037202259799E-2</v>
      </c>
    </row>
    <row r="22" spans="1:26" x14ac:dyDescent="0.25">
      <c r="A22">
        <v>12904</v>
      </c>
      <c r="B22">
        <v>12905</v>
      </c>
      <c r="C22" t="s">
        <v>1539</v>
      </c>
      <c r="D22" t="s">
        <v>1540</v>
      </c>
      <c r="E22" t="s">
        <v>210</v>
      </c>
      <c r="F22" t="s">
        <v>1539</v>
      </c>
      <c r="G22" t="s">
        <v>1541</v>
      </c>
      <c r="H22" t="s">
        <v>111</v>
      </c>
      <c r="I22" t="s">
        <v>1537</v>
      </c>
      <c r="J22" t="s">
        <v>71</v>
      </c>
      <c r="K22" t="s">
        <v>215</v>
      </c>
      <c r="L22" t="s">
        <v>286</v>
      </c>
      <c r="M22" t="s">
        <v>616</v>
      </c>
      <c r="N22" t="s">
        <v>72</v>
      </c>
      <c r="O22" t="s">
        <v>1542</v>
      </c>
      <c r="P22" t="s">
        <v>75</v>
      </c>
      <c r="Q22" t="s">
        <v>286</v>
      </c>
      <c r="S22" s="63" t="s">
        <v>1455</v>
      </c>
      <c r="U22" s="44">
        <v>16.649999999999999</v>
      </c>
      <c r="V22" s="42">
        <v>3.718</v>
      </c>
      <c r="W22" s="48">
        <v>90093.3</v>
      </c>
      <c r="X22" s="44">
        <v>55.771999999999998</v>
      </c>
      <c r="Y22" s="45">
        <v>5.1884361214119101E-2</v>
      </c>
      <c r="Z22" s="45">
        <v>1.3038713219030299E-3</v>
      </c>
    </row>
    <row r="23" spans="1:26" x14ac:dyDescent="0.25">
      <c r="A23">
        <v>12904</v>
      </c>
      <c r="B23">
        <v>12905</v>
      </c>
      <c r="C23" t="s">
        <v>1558</v>
      </c>
      <c r="D23" t="s">
        <v>1561</v>
      </c>
      <c r="E23" t="s">
        <v>111</v>
      </c>
      <c r="F23" t="s">
        <v>1562</v>
      </c>
      <c r="G23" t="s">
        <v>1563</v>
      </c>
      <c r="H23" t="s">
        <v>111</v>
      </c>
      <c r="I23" t="s">
        <v>1537</v>
      </c>
      <c r="J23" t="s">
        <v>71</v>
      </c>
      <c r="K23" t="s">
        <v>291</v>
      </c>
      <c r="L23" t="s">
        <v>286</v>
      </c>
      <c r="M23" t="s">
        <v>365</v>
      </c>
      <c r="N23" t="s">
        <v>72</v>
      </c>
      <c r="O23" t="s">
        <v>1564</v>
      </c>
      <c r="P23" t="s">
        <v>75</v>
      </c>
      <c r="Q23" t="s">
        <v>286</v>
      </c>
      <c r="S23" s="63" t="s">
        <v>1455</v>
      </c>
      <c r="U23" s="44">
        <v>127000</v>
      </c>
      <c r="V23" s="42">
        <v>3.718</v>
      </c>
      <c r="W23" s="48">
        <v>100</v>
      </c>
      <c r="X23" s="44">
        <v>472.18599999999998</v>
      </c>
      <c r="Y23" s="45">
        <v>0.43927194035363998</v>
      </c>
      <c r="Z23" s="45">
        <v>1.1039050537408401E-2</v>
      </c>
    </row>
    <row r="24" spans="1:26" x14ac:dyDescent="0.25">
      <c r="A24">
        <v>12904</v>
      </c>
      <c r="B24">
        <v>12905</v>
      </c>
      <c r="C24" t="s">
        <v>1558</v>
      </c>
      <c r="D24" t="s">
        <v>1561</v>
      </c>
      <c r="E24" t="s">
        <v>111</v>
      </c>
      <c r="F24" t="s">
        <v>1565</v>
      </c>
      <c r="G24" t="s">
        <v>1566</v>
      </c>
      <c r="H24" t="s">
        <v>111</v>
      </c>
      <c r="I24" t="s">
        <v>1537</v>
      </c>
      <c r="J24" t="s">
        <v>71</v>
      </c>
      <c r="L24" t="s">
        <v>286</v>
      </c>
      <c r="M24" t="s">
        <v>365</v>
      </c>
      <c r="N24" t="s">
        <v>72</v>
      </c>
      <c r="O24" t="s">
        <v>1567</v>
      </c>
      <c r="P24" t="s">
        <v>81</v>
      </c>
      <c r="Q24" t="s">
        <v>286</v>
      </c>
      <c r="S24" s="63" t="s">
        <v>1455</v>
      </c>
      <c r="U24" s="44">
        <v>200000</v>
      </c>
      <c r="V24" s="42">
        <v>1</v>
      </c>
      <c r="W24" s="48">
        <v>100</v>
      </c>
      <c r="X24" s="44">
        <v>200</v>
      </c>
      <c r="Y24" s="45">
        <v>0.18605885831161501</v>
      </c>
      <c r="Z24" s="45">
        <v>4.6757212358724603E-3</v>
      </c>
    </row>
    <row r="25" spans="1:26" x14ac:dyDescent="0.25">
      <c r="A25">
        <v>12904</v>
      </c>
      <c r="B25">
        <v>12905</v>
      </c>
      <c r="C25" t="s">
        <v>1568</v>
      </c>
      <c r="D25" t="s">
        <v>1569</v>
      </c>
      <c r="E25" t="s">
        <v>111</v>
      </c>
      <c r="F25" t="s">
        <v>1616</v>
      </c>
      <c r="G25" t="s">
        <v>1617</v>
      </c>
      <c r="H25" t="s">
        <v>111</v>
      </c>
      <c r="I25" t="s">
        <v>1537</v>
      </c>
      <c r="J25" t="s">
        <v>71</v>
      </c>
      <c r="L25" t="s">
        <v>286</v>
      </c>
      <c r="M25" t="s">
        <v>1551</v>
      </c>
      <c r="N25" t="s">
        <v>72</v>
      </c>
      <c r="O25" t="s">
        <v>1618</v>
      </c>
      <c r="P25" t="s">
        <v>75</v>
      </c>
      <c r="Q25" t="s">
        <v>286</v>
      </c>
      <c r="S25" s="63" t="s">
        <v>1455</v>
      </c>
      <c r="U25" s="44">
        <v>9656</v>
      </c>
      <c r="V25" s="42">
        <v>3.718</v>
      </c>
      <c r="W25" s="48">
        <v>966.46500000000003</v>
      </c>
      <c r="X25" s="44">
        <v>346.971</v>
      </c>
      <c r="Y25" s="45">
        <v>0.32278484012062603</v>
      </c>
      <c r="Z25" s="45">
        <v>8.1116908126028994E-3</v>
      </c>
    </row>
    <row r="26" spans="1:26" x14ac:dyDescent="0.25">
      <c r="A26">
        <v>12904</v>
      </c>
      <c r="B26">
        <v>13680</v>
      </c>
      <c r="C26" t="s">
        <v>1539</v>
      </c>
      <c r="D26" t="s">
        <v>1540</v>
      </c>
      <c r="E26" t="s">
        <v>210</v>
      </c>
      <c r="F26" t="s">
        <v>1539</v>
      </c>
      <c r="G26" t="s">
        <v>1541</v>
      </c>
      <c r="H26" t="s">
        <v>111</v>
      </c>
      <c r="I26" t="s">
        <v>1537</v>
      </c>
      <c r="J26" t="s">
        <v>71</v>
      </c>
      <c r="K26" t="s">
        <v>215</v>
      </c>
      <c r="L26" t="s">
        <v>286</v>
      </c>
      <c r="M26" t="s">
        <v>616</v>
      </c>
      <c r="N26" t="s">
        <v>72</v>
      </c>
      <c r="O26" t="s">
        <v>1542</v>
      </c>
      <c r="P26" t="s">
        <v>75</v>
      </c>
      <c r="Q26" t="s">
        <v>286</v>
      </c>
      <c r="S26" s="63" t="s">
        <v>1455</v>
      </c>
      <c r="U26" s="44">
        <v>11.1</v>
      </c>
      <c r="V26" s="42">
        <v>3.718</v>
      </c>
      <c r="W26" s="48">
        <v>90093.3</v>
      </c>
      <c r="X26" s="44">
        <v>37.180999999999997</v>
      </c>
      <c r="Y26" s="45">
        <v>3.4001566198194201E-2</v>
      </c>
      <c r="Z26" s="45">
        <v>7.9966970132617403E-4</v>
      </c>
    </row>
    <row r="27" spans="1:26" x14ac:dyDescent="0.25">
      <c r="A27">
        <v>12904</v>
      </c>
      <c r="B27">
        <v>13680</v>
      </c>
      <c r="C27" t="s">
        <v>1558</v>
      </c>
      <c r="D27" t="s">
        <v>1561</v>
      </c>
      <c r="E27" t="s">
        <v>111</v>
      </c>
      <c r="F27" t="s">
        <v>1562</v>
      </c>
      <c r="G27" t="s">
        <v>1563</v>
      </c>
      <c r="H27" t="s">
        <v>111</v>
      </c>
      <c r="I27" t="s">
        <v>1537</v>
      </c>
      <c r="J27" t="s">
        <v>71</v>
      </c>
      <c r="K27" t="s">
        <v>291</v>
      </c>
      <c r="L27" t="s">
        <v>286</v>
      </c>
      <c r="M27" t="s">
        <v>365</v>
      </c>
      <c r="N27" t="s">
        <v>72</v>
      </c>
      <c r="O27" t="s">
        <v>1564</v>
      </c>
      <c r="P27" t="s">
        <v>75</v>
      </c>
      <c r="Q27" t="s">
        <v>286</v>
      </c>
      <c r="S27" s="63" t="s">
        <v>1455</v>
      </c>
      <c r="U27" s="44">
        <v>137000</v>
      </c>
      <c r="V27" s="42">
        <v>3.718</v>
      </c>
      <c r="W27" s="48">
        <v>100</v>
      </c>
      <c r="X27" s="44">
        <v>509.36599999999999</v>
      </c>
      <c r="Y27" s="45">
        <v>0.46580486028808898</v>
      </c>
      <c r="Z27" s="45">
        <v>1.09550845785051E-2</v>
      </c>
    </row>
    <row r="28" spans="1:26" x14ac:dyDescent="0.25">
      <c r="A28">
        <v>12904</v>
      </c>
      <c r="B28">
        <v>13680</v>
      </c>
      <c r="C28" t="s">
        <v>1558</v>
      </c>
      <c r="D28" t="s">
        <v>1561</v>
      </c>
      <c r="E28" t="s">
        <v>111</v>
      </c>
      <c r="F28" t="s">
        <v>1565</v>
      </c>
      <c r="G28" t="s">
        <v>1566</v>
      </c>
      <c r="H28" t="s">
        <v>111</v>
      </c>
      <c r="I28" t="s">
        <v>1537</v>
      </c>
      <c r="J28" t="s">
        <v>71</v>
      </c>
      <c r="L28" t="s">
        <v>286</v>
      </c>
      <c r="M28" t="s">
        <v>365</v>
      </c>
      <c r="N28" t="s">
        <v>72</v>
      </c>
      <c r="O28" t="s">
        <v>1567</v>
      </c>
      <c r="P28" t="s">
        <v>81</v>
      </c>
      <c r="Q28" t="s">
        <v>286</v>
      </c>
      <c r="S28" s="63" t="s">
        <v>1455</v>
      </c>
      <c r="U28" s="44">
        <v>200000</v>
      </c>
      <c r="V28" s="42">
        <v>1</v>
      </c>
      <c r="W28" s="48">
        <v>100</v>
      </c>
      <c r="X28" s="44">
        <v>200</v>
      </c>
      <c r="Y28" s="45">
        <v>0.18289593741556701</v>
      </c>
      <c r="Z28" s="45">
        <v>4.30145890322678E-3</v>
      </c>
    </row>
    <row r="29" spans="1:26" x14ac:dyDescent="0.25">
      <c r="A29">
        <v>12904</v>
      </c>
      <c r="B29">
        <v>13680</v>
      </c>
      <c r="C29" t="s">
        <v>1568</v>
      </c>
      <c r="D29" t="s">
        <v>1569</v>
      </c>
      <c r="E29" t="s">
        <v>111</v>
      </c>
      <c r="F29" t="s">
        <v>1616</v>
      </c>
      <c r="G29" t="s">
        <v>1617</v>
      </c>
      <c r="H29" t="s">
        <v>111</v>
      </c>
      <c r="I29" t="s">
        <v>1537</v>
      </c>
      <c r="J29" t="s">
        <v>71</v>
      </c>
      <c r="L29" t="s">
        <v>286</v>
      </c>
      <c r="M29" t="s">
        <v>1551</v>
      </c>
      <c r="N29" t="s">
        <v>72</v>
      </c>
      <c r="O29" t="s">
        <v>1618</v>
      </c>
      <c r="P29" t="s">
        <v>75</v>
      </c>
      <c r="Q29" t="s">
        <v>286</v>
      </c>
      <c r="S29" s="63" t="s">
        <v>1455</v>
      </c>
      <c r="U29" s="44">
        <v>9656</v>
      </c>
      <c r="V29" s="42">
        <v>3.718</v>
      </c>
      <c r="W29" s="48">
        <v>966.46500000000003</v>
      </c>
      <c r="X29" s="44">
        <v>346.971</v>
      </c>
      <c r="Y29" s="45">
        <v>0.31729763609814998</v>
      </c>
      <c r="Z29" s="45">
        <v>7.4624005379959196E-3</v>
      </c>
    </row>
    <row r="30" spans="1:26" x14ac:dyDescent="0.25">
      <c r="A30">
        <v>424</v>
      </c>
      <c r="B30">
        <v>7228</v>
      </c>
      <c r="C30" t="s">
        <v>1534</v>
      </c>
      <c r="D30" t="s">
        <v>1535</v>
      </c>
      <c r="E30" t="s">
        <v>111</v>
      </c>
      <c r="F30" t="s">
        <v>1534</v>
      </c>
      <c r="G30" t="s">
        <v>1536</v>
      </c>
      <c r="H30" t="s">
        <v>111</v>
      </c>
      <c r="I30" t="s">
        <v>1537</v>
      </c>
      <c r="J30" t="s">
        <v>71</v>
      </c>
      <c r="K30" t="s">
        <v>71</v>
      </c>
      <c r="L30" t="s">
        <v>286</v>
      </c>
      <c r="M30" t="s">
        <v>1010</v>
      </c>
      <c r="N30" t="s">
        <v>72</v>
      </c>
      <c r="O30" t="s">
        <v>1538</v>
      </c>
      <c r="P30" t="s">
        <v>75</v>
      </c>
      <c r="Q30" t="s">
        <v>286</v>
      </c>
      <c r="S30" s="63" t="s">
        <v>1455</v>
      </c>
      <c r="U30" s="44">
        <v>82545</v>
      </c>
      <c r="V30" s="42">
        <v>3.718</v>
      </c>
      <c r="W30" s="48">
        <v>5368</v>
      </c>
      <c r="X30" s="44">
        <v>16474.516</v>
      </c>
      <c r="Y30" s="45">
        <v>0.25338363008979597</v>
      </c>
      <c r="Z30" s="45">
        <v>6.712428012416E-3</v>
      </c>
    </row>
    <row r="31" spans="1:26" x14ac:dyDescent="0.25">
      <c r="A31">
        <v>424</v>
      </c>
      <c r="B31">
        <v>7228</v>
      </c>
      <c r="C31" t="s">
        <v>1539</v>
      </c>
      <c r="D31" t="s">
        <v>1540</v>
      </c>
      <c r="E31" t="s">
        <v>210</v>
      </c>
      <c r="F31" t="s">
        <v>1539</v>
      </c>
      <c r="G31" t="s">
        <v>1541</v>
      </c>
      <c r="H31" t="s">
        <v>111</v>
      </c>
      <c r="I31" t="s">
        <v>1537</v>
      </c>
      <c r="J31" t="s">
        <v>71</v>
      </c>
      <c r="K31" t="s">
        <v>215</v>
      </c>
      <c r="L31" t="s">
        <v>286</v>
      </c>
      <c r="M31" t="s">
        <v>616</v>
      </c>
      <c r="N31" t="s">
        <v>72</v>
      </c>
      <c r="O31" t="s">
        <v>1542</v>
      </c>
      <c r="P31" t="s">
        <v>75</v>
      </c>
      <c r="Q31" t="s">
        <v>286</v>
      </c>
      <c r="S31" s="63" t="s">
        <v>1455</v>
      </c>
      <c r="U31" s="44">
        <v>2219.02</v>
      </c>
      <c r="V31" s="42">
        <v>3.718</v>
      </c>
      <c r="W31" s="48">
        <v>90093.3</v>
      </c>
      <c r="X31" s="44">
        <v>7432.982</v>
      </c>
      <c r="Y31" s="45">
        <v>0.11432178217936</v>
      </c>
      <c r="Z31" s="45">
        <v>3.0285174020835701E-3</v>
      </c>
    </row>
    <row r="32" spans="1:26" x14ac:dyDescent="0.25">
      <c r="A32">
        <v>424</v>
      </c>
      <c r="B32">
        <v>7228</v>
      </c>
      <c r="C32" t="s">
        <v>1543</v>
      </c>
      <c r="D32" t="s">
        <v>1544</v>
      </c>
      <c r="E32" t="s">
        <v>111</v>
      </c>
      <c r="F32" t="s">
        <v>1543</v>
      </c>
      <c r="G32" t="s">
        <v>1545</v>
      </c>
      <c r="H32" t="s">
        <v>111</v>
      </c>
      <c r="I32" t="s">
        <v>1537</v>
      </c>
      <c r="J32" t="s">
        <v>71</v>
      </c>
      <c r="K32" t="s">
        <v>71</v>
      </c>
      <c r="L32" t="s">
        <v>286</v>
      </c>
      <c r="M32" t="s">
        <v>1116</v>
      </c>
      <c r="N32" t="s">
        <v>72</v>
      </c>
      <c r="O32" t="s">
        <v>1546</v>
      </c>
      <c r="P32" t="s">
        <v>75</v>
      </c>
      <c r="Q32" t="s">
        <v>286</v>
      </c>
      <c r="S32" s="63" t="s">
        <v>1455</v>
      </c>
      <c r="U32" s="44">
        <v>239148</v>
      </c>
      <c r="V32" s="42">
        <v>3.718</v>
      </c>
      <c r="W32" s="48">
        <v>0</v>
      </c>
      <c r="X32" s="44">
        <v>1E-3</v>
      </c>
      <c r="Y32" s="45">
        <v>1.3675462656623101E-8</v>
      </c>
      <c r="Z32" s="45">
        <v>3.62278962482836E-10</v>
      </c>
    </row>
    <row r="33" spans="1:26" x14ac:dyDescent="0.25">
      <c r="A33">
        <v>424</v>
      </c>
      <c r="B33">
        <v>7228</v>
      </c>
      <c r="C33" t="s">
        <v>1547</v>
      </c>
      <c r="D33" t="s">
        <v>1548</v>
      </c>
      <c r="E33" t="s">
        <v>111</v>
      </c>
      <c r="F33" t="s">
        <v>1549</v>
      </c>
      <c r="G33" t="s">
        <v>1550</v>
      </c>
      <c r="H33" t="s">
        <v>111</v>
      </c>
      <c r="I33" t="s">
        <v>1537</v>
      </c>
      <c r="J33" t="s">
        <v>71</v>
      </c>
      <c r="K33" t="s">
        <v>71</v>
      </c>
      <c r="L33" t="s">
        <v>286</v>
      </c>
      <c r="M33" t="s">
        <v>1551</v>
      </c>
      <c r="N33" t="s">
        <v>72</v>
      </c>
      <c r="O33" t="s">
        <v>1552</v>
      </c>
      <c r="P33" t="s">
        <v>75</v>
      </c>
      <c r="Q33" t="s">
        <v>286</v>
      </c>
      <c r="S33" s="63" t="s">
        <v>1455</v>
      </c>
      <c r="U33" s="44">
        <v>437561</v>
      </c>
      <c r="V33" s="42">
        <v>3.718</v>
      </c>
      <c r="W33" s="48">
        <v>0</v>
      </c>
      <c r="X33" s="44">
        <v>2E-3</v>
      </c>
      <c r="Y33" s="45">
        <v>2.5021531083239999E-8</v>
      </c>
      <c r="Z33" s="45">
        <v>6.6284955384511796E-10</v>
      </c>
    </row>
    <row r="34" spans="1:26" x14ac:dyDescent="0.25">
      <c r="A34">
        <v>424</v>
      </c>
      <c r="B34">
        <v>7228</v>
      </c>
      <c r="C34" t="s">
        <v>1547</v>
      </c>
      <c r="D34" t="s">
        <v>1548</v>
      </c>
      <c r="E34" t="s">
        <v>111</v>
      </c>
      <c r="F34" t="s">
        <v>1547</v>
      </c>
      <c r="G34" t="s">
        <v>1553</v>
      </c>
      <c r="H34" t="s">
        <v>111</v>
      </c>
      <c r="I34" t="s">
        <v>1537</v>
      </c>
      <c r="J34" t="s">
        <v>71</v>
      </c>
      <c r="K34" t="s">
        <v>291</v>
      </c>
      <c r="L34" t="s">
        <v>286</v>
      </c>
      <c r="M34" t="s">
        <v>1010</v>
      </c>
      <c r="N34" t="s">
        <v>72</v>
      </c>
      <c r="O34" t="s">
        <v>1554</v>
      </c>
      <c r="P34" t="s">
        <v>75</v>
      </c>
      <c r="Q34" t="s">
        <v>1555</v>
      </c>
      <c r="S34" s="63" t="s">
        <v>1455</v>
      </c>
      <c r="U34" s="44">
        <v>260000</v>
      </c>
      <c r="V34" s="42">
        <v>3.718</v>
      </c>
      <c r="W34" s="48">
        <v>0</v>
      </c>
      <c r="X34" s="44">
        <v>1E-3</v>
      </c>
      <c r="Y34" s="45">
        <v>1.4867865467083199E-8</v>
      </c>
      <c r="Z34" s="45">
        <v>3.9386710424313598E-10</v>
      </c>
    </row>
    <row r="35" spans="1:26" x14ac:dyDescent="0.25">
      <c r="A35">
        <v>424</v>
      </c>
      <c r="B35">
        <v>7228</v>
      </c>
      <c r="C35" t="s">
        <v>1619</v>
      </c>
      <c r="D35" t="s">
        <v>1620</v>
      </c>
      <c r="E35" t="s">
        <v>111</v>
      </c>
      <c r="F35" t="s">
        <v>1619</v>
      </c>
      <c r="G35" t="s">
        <v>1621</v>
      </c>
      <c r="H35" t="s">
        <v>111</v>
      </c>
      <c r="I35" t="s">
        <v>1537</v>
      </c>
      <c r="J35" t="s">
        <v>71</v>
      </c>
      <c r="K35" t="s">
        <v>71</v>
      </c>
      <c r="L35" t="s">
        <v>286</v>
      </c>
      <c r="M35" t="s">
        <v>1116</v>
      </c>
      <c r="N35" t="s">
        <v>72</v>
      </c>
      <c r="P35" t="s">
        <v>75</v>
      </c>
      <c r="Q35" t="s">
        <v>286</v>
      </c>
      <c r="S35" s="63" t="s">
        <v>1455</v>
      </c>
      <c r="U35" s="44">
        <v>2939</v>
      </c>
      <c r="V35" s="42">
        <v>3.718</v>
      </c>
      <c r="W35" s="48">
        <v>28138.591</v>
      </c>
      <c r="X35" s="44">
        <v>3074.761</v>
      </c>
      <c r="Y35" s="45">
        <v>4.7290860224299902E-2</v>
      </c>
      <c r="Z35" s="45">
        <v>1.25279006693663E-3</v>
      </c>
    </row>
    <row r="36" spans="1:26" x14ac:dyDescent="0.25">
      <c r="A36">
        <v>424</v>
      </c>
      <c r="B36">
        <v>7228</v>
      </c>
      <c r="C36" t="s">
        <v>1556</v>
      </c>
      <c r="D36" t="s">
        <v>1557</v>
      </c>
      <c r="E36" t="s">
        <v>210</v>
      </c>
      <c r="F36" t="s">
        <v>1558</v>
      </c>
      <c r="G36" t="s">
        <v>1559</v>
      </c>
      <c r="H36" t="s">
        <v>111</v>
      </c>
      <c r="I36" t="s">
        <v>1537</v>
      </c>
      <c r="J36" t="s">
        <v>71</v>
      </c>
      <c r="K36" t="s">
        <v>291</v>
      </c>
      <c r="L36" t="s">
        <v>286</v>
      </c>
      <c r="M36" t="s">
        <v>365</v>
      </c>
      <c r="N36" t="s">
        <v>72</v>
      </c>
      <c r="O36" t="s">
        <v>1560</v>
      </c>
      <c r="P36" t="s">
        <v>75</v>
      </c>
      <c r="Q36" t="s">
        <v>286</v>
      </c>
      <c r="S36" s="63" t="s">
        <v>1455</v>
      </c>
      <c r="U36" s="44">
        <v>2325794</v>
      </c>
      <c r="V36" s="42">
        <v>3.718</v>
      </c>
      <c r="W36" s="48">
        <v>276.279</v>
      </c>
      <c r="X36" s="44">
        <v>23890.697</v>
      </c>
      <c r="Y36" s="45">
        <v>0.36744700368870298</v>
      </c>
      <c r="Z36" s="45">
        <v>9.7340998696888795E-3</v>
      </c>
    </row>
    <row r="37" spans="1:26" x14ac:dyDescent="0.25">
      <c r="A37">
        <v>424</v>
      </c>
      <c r="B37">
        <v>7228</v>
      </c>
      <c r="C37" t="s">
        <v>1558</v>
      </c>
      <c r="D37" t="s">
        <v>1561</v>
      </c>
      <c r="E37" t="s">
        <v>111</v>
      </c>
      <c r="F37" t="s">
        <v>1562</v>
      </c>
      <c r="G37" t="s">
        <v>1563</v>
      </c>
      <c r="H37" t="s">
        <v>111</v>
      </c>
      <c r="I37" t="s">
        <v>1537</v>
      </c>
      <c r="J37" t="s">
        <v>71</v>
      </c>
      <c r="K37" t="s">
        <v>291</v>
      </c>
      <c r="L37" t="s">
        <v>286</v>
      </c>
      <c r="M37" t="s">
        <v>365</v>
      </c>
      <c r="N37" t="s">
        <v>72</v>
      </c>
      <c r="O37" t="s">
        <v>1564</v>
      </c>
      <c r="P37" t="s">
        <v>75</v>
      </c>
      <c r="Q37" t="s">
        <v>286</v>
      </c>
      <c r="S37" s="63" t="s">
        <v>1455</v>
      </c>
      <c r="U37" s="44">
        <v>150000</v>
      </c>
      <c r="V37" s="42">
        <v>3.718</v>
      </c>
      <c r="W37" s="48">
        <v>100</v>
      </c>
      <c r="X37" s="44">
        <v>557.70000000000005</v>
      </c>
      <c r="Y37" s="45">
        <v>8.5776146925479902E-3</v>
      </c>
      <c r="Z37" s="45">
        <v>2.2723102167873199E-4</v>
      </c>
    </row>
    <row r="38" spans="1:26" x14ac:dyDescent="0.25">
      <c r="A38">
        <v>424</v>
      </c>
      <c r="B38">
        <v>7228</v>
      </c>
      <c r="C38" t="s">
        <v>1558</v>
      </c>
      <c r="D38" t="s">
        <v>1561</v>
      </c>
      <c r="E38" t="s">
        <v>111</v>
      </c>
      <c r="F38" t="s">
        <v>1565</v>
      </c>
      <c r="G38" t="s">
        <v>1566</v>
      </c>
      <c r="H38" t="s">
        <v>111</v>
      </c>
      <c r="I38" t="s">
        <v>1537</v>
      </c>
      <c r="J38" t="s">
        <v>71</v>
      </c>
      <c r="L38" t="s">
        <v>286</v>
      </c>
      <c r="M38" t="s">
        <v>365</v>
      </c>
      <c r="N38" t="s">
        <v>72</v>
      </c>
      <c r="O38" t="s">
        <v>1567</v>
      </c>
      <c r="P38" t="s">
        <v>81</v>
      </c>
      <c r="Q38" t="s">
        <v>286</v>
      </c>
      <c r="S38" s="63" t="s">
        <v>1455</v>
      </c>
      <c r="U38" s="44">
        <v>5450000</v>
      </c>
      <c r="V38" s="42">
        <v>1</v>
      </c>
      <c r="W38" s="48">
        <v>100</v>
      </c>
      <c r="X38" s="44">
        <v>5450</v>
      </c>
      <c r="Y38" s="45">
        <v>8.3822843956224802E-2</v>
      </c>
      <c r="Z38" s="45">
        <v>2.2205649419922702E-3</v>
      </c>
    </row>
    <row r="39" spans="1:26" x14ac:dyDescent="0.25">
      <c r="A39">
        <v>424</v>
      </c>
      <c r="B39">
        <v>7228</v>
      </c>
      <c r="C39" t="s">
        <v>1568</v>
      </c>
      <c r="D39" t="s">
        <v>1569</v>
      </c>
      <c r="E39" t="s">
        <v>111</v>
      </c>
      <c r="F39" t="s">
        <v>1570</v>
      </c>
      <c r="G39" t="s">
        <v>1571</v>
      </c>
      <c r="H39" t="s">
        <v>111</v>
      </c>
      <c r="I39" t="s">
        <v>1537</v>
      </c>
      <c r="J39" t="s">
        <v>85</v>
      </c>
      <c r="K39" t="s">
        <v>291</v>
      </c>
      <c r="L39" t="s">
        <v>286</v>
      </c>
      <c r="M39" t="s">
        <v>1572</v>
      </c>
      <c r="N39" t="s">
        <v>72</v>
      </c>
      <c r="O39" t="s">
        <v>1573</v>
      </c>
      <c r="P39" t="s">
        <v>75</v>
      </c>
      <c r="Q39" t="s">
        <v>1574</v>
      </c>
      <c r="S39" s="63" t="s">
        <v>1455</v>
      </c>
      <c r="U39" s="44">
        <v>47505</v>
      </c>
      <c r="V39" s="42">
        <v>3.718</v>
      </c>
      <c r="W39" s="48">
        <v>995.12</v>
      </c>
      <c r="X39" s="44">
        <v>1757.617</v>
      </c>
      <c r="Y39" s="45">
        <v>2.7032739039330799E-2</v>
      </c>
      <c r="Z39" s="45">
        <v>7.1612879930573999E-4</v>
      </c>
    </row>
    <row r="40" spans="1:26" x14ac:dyDescent="0.25">
      <c r="A40">
        <v>424</v>
      </c>
      <c r="B40">
        <v>7228</v>
      </c>
      <c r="C40" t="s">
        <v>1575</v>
      </c>
      <c r="D40" t="s">
        <v>1576</v>
      </c>
      <c r="E40" t="s">
        <v>111</v>
      </c>
      <c r="F40" t="s">
        <v>1575</v>
      </c>
      <c r="G40" t="s">
        <v>1577</v>
      </c>
      <c r="H40" t="s">
        <v>111</v>
      </c>
      <c r="I40" t="s">
        <v>1537</v>
      </c>
      <c r="J40" t="s">
        <v>71</v>
      </c>
      <c r="K40" t="s">
        <v>291</v>
      </c>
      <c r="L40" t="s">
        <v>286</v>
      </c>
      <c r="M40" t="s">
        <v>616</v>
      </c>
      <c r="N40" t="s">
        <v>72</v>
      </c>
      <c r="O40" t="s">
        <v>1578</v>
      </c>
      <c r="P40" t="s">
        <v>75</v>
      </c>
      <c r="Q40" t="s">
        <v>1574</v>
      </c>
      <c r="S40" s="63" t="s">
        <v>1455</v>
      </c>
      <c r="U40" s="44">
        <v>342143</v>
      </c>
      <c r="V40" s="42">
        <v>3.718</v>
      </c>
      <c r="W40" s="48">
        <v>10.595000000000001</v>
      </c>
      <c r="X40" s="44">
        <v>134.77799999999999</v>
      </c>
      <c r="Y40" s="45">
        <v>2.0729264585104801E-3</v>
      </c>
      <c r="Z40" s="45">
        <v>5.49142406036766E-5</v>
      </c>
    </row>
    <row r="41" spans="1:26" x14ac:dyDescent="0.25">
      <c r="A41">
        <v>424</v>
      </c>
      <c r="B41">
        <v>7228</v>
      </c>
      <c r="C41" t="s">
        <v>1579</v>
      </c>
      <c r="D41" t="s">
        <v>1580</v>
      </c>
      <c r="E41" t="s">
        <v>111</v>
      </c>
      <c r="F41" t="s">
        <v>1581</v>
      </c>
      <c r="G41" t="s">
        <v>1582</v>
      </c>
      <c r="H41" t="s">
        <v>111</v>
      </c>
      <c r="I41" t="s">
        <v>1537</v>
      </c>
      <c r="J41" t="s">
        <v>71</v>
      </c>
      <c r="K41" t="s">
        <v>291</v>
      </c>
      <c r="L41" t="s">
        <v>286</v>
      </c>
      <c r="M41" t="s">
        <v>1572</v>
      </c>
      <c r="N41" t="s">
        <v>72</v>
      </c>
      <c r="O41" t="s">
        <v>1583</v>
      </c>
      <c r="P41" t="s">
        <v>75</v>
      </c>
      <c r="Q41" t="s">
        <v>1574</v>
      </c>
      <c r="S41" s="63" t="s">
        <v>1455</v>
      </c>
      <c r="U41" s="44">
        <v>2925086</v>
      </c>
      <c r="V41" s="42">
        <v>3.718</v>
      </c>
      <c r="W41" s="48">
        <v>0.32500000000000001</v>
      </c>
      <c r="X41" s="44">
        <v>35.344999999999999</v>
      </c>
      <c r="Y41" s="45">
        <v>5.4362231409560598E-4</v>
      </c>
      <c r="Z41" s="45">
        <v>1.44011894060267E-5</v>
      </c>
    </row>
    <row r="42" spans="1:26" x14ac:dyDescent="0.25">
      <c r="A42">
        <v>424</v>
      </c>
      <c r="B42">
        <v>7228</v>
      </c>
      <c r="C42" t="s">
        <v>1584</v>
      </c>
      <c r="D42" t="s">
        <v>1585</v>
      </c>
      <c r="E42" t="s">
        <v>210</v>
      </c>
      <c r="F42" t="s">
        <v>1584</v>
      </c>
      <c r="G42" t="s">
        <v>1586</v>
      </c>
      <c r="H42" t="s">
        <v>111</v>
      </c>
      <c r="I42" t="s">
        <v>1537</v>
      </c>
      <c r="J42" t="s">
        <v>71</v>
      </c>
      <c r="K42" t="s">
        <v>291</v>
      </c>
      <c r="L42" t="s">
        <v>286</v>
      </c>
      <c r="M42" t="s">
        <v>616</v>
      </c>
      <c r="N42" t="s">
        <v>72</v>
      </c>
      <c r="O42" t="s">
        <v>1587</v>
      </c>
      <c r="P42" t="s">
        <v>75</v>
      </c>
      <c r="Q42" t="s">
        <v>1574</v>
      </c>
      <c r="S42" s="63" t="s">
        <v>1455</v>
      </c>
      <c r="U42" s="44">
        <v>21628</v>
      </c>
      <c r="V42" s="42">
        <v>3.718</v>
      </c>
      <c r="W42" s="48">
        <v>1387.07</v>
      </c>
      <c r="X42" s="44">
        <v>1115.383</v>
      </c>
      <c r="Y42" s="45">
        <v>1.71549720337816E-2</v>
      </c>
      <c r="Z42" s="45">
        <v>4.54455225820864E-4</v>
      </c>
    </row>
    <row r="43" spans="1:26" x14ac:dyDescent="0.25">
      <c r="A43">
        <v>424</v>
      </c>
      <c r="B43">
        <v>7228</v>
      </c>
      <c r="C43" t="s">
        <v>1588</v>
      </c>
      <c r="D43" t="s">
        <v>1589</v>
      </c>
      <c r="E43" t="s">
        <v>111</v>
      </c>
      <c r="F43" t="s">
        <v>1590</v>
      </c>
      <c r="G43" t="s">
        <v>1591</v>
      </c>
      <c r="H43" t="s">
        <v>111</v>
      </c>
      <c r="I43" t="s">
        <v>1537</v>
      </c>
      <c r="J43" t="s">
        <v>71</v>
      </c>
      <c r="K43" t="s">
        <v>291</v>
      </c>
      <c r="L43" t="s">
        <v>286</v>
      </c>
      <c r="M43" t="s">
        <v>1010</v>
      </c>
      <c r="N43" t="s">
        <v>72</v>
      </c>
      <c r="O43" t="s">
        <v>1592</v>
      </c>
      <c r="P43" t="s">
        <v>75</v>
      </c>
      <c r="Q43" t="s">
        <v>1574</v>
      </c>
      <c r="S43" s="63" t="s">
        <v>1455</v>
      </c>
      <c r="U43" s="44">
        <v>41703</v>
      </c>
      <c r="V43" s="42">
        <v>3.718</v>
      </c>
      <c r="W43" s="48">
        <v>0</v>
      </c>
      <c r="X43" s="44">
        <v>0</v>
      </c>
      <c r="Y43" s="45">
        <v>2.3847484368221902E-9</v>
      </c>
      <c r="Z43" s="45">
        <v>6.31747686471211E-11</v>
      </c>
    </row>
    <row r="44" spans="1:26" x14ac:dyDescent="0.25">
      <c r="A44">
        <v>424</v>
      </c>
      <c r="B44">
        <v>7228</v>
      </c>
      <c r="C44" t="s">
        <v>1593</v>
      </c>
      <c r="D44" t="s">
        <v>1594</v>
      </c>
      <c r="E44" t="s">
        <v>210</v>
      </c>
      <c r="F44" t="s">
        <v>1593</v>
      </c>
      <c r="G44" t="s">
        <v>1595</v>
      </c>
      <c r="H44" t="s">
        <v>111</v>
      </c>
      <c r="I44" t="s">
        <v>1537</v>
      </c>
      <c r="J44" t="s">
        <v>71</v>
      </c>
      <c r="K44" t="s">
        <v>291</v>
      </c>
      <c r="L44" t="s">
        <v>286</v>
      </c>
      <c r="M44" t="s">
        <v>1010</v>
      </c>
      <c r="N44" t="s">
        <v>72</v>
      </c>
      <c r="O44" t="s">
        <v>1592</v>
      </c>
      <c r="P44" t="s">
        <v>75</v>
      </c>
      <c r="Q44" t="s">
        <v>1574</v>
      </c>
      <c r="S44" s="63" t="s">
        <v>1455</v>
      </c>
      <c r="U44" s="44">
        <v>72735</v>
      </c>
      <c r="V44" s="42">
        <v>3.718</v>
      </c>
      <c r="W44" s="48">
        <v>830.053</v>
      </c>
      <c r="X44" s="44">
        <v>2244.701</v>
      </c>
      <c r="Y44" s="45">
        <v>3.4524264627329597E-2</v>
      </c>
      <c r="Z44" s="45">
        <v>9.1458805334197605E-4</v>
      </c>
    </row>
    <row r="45" spans="1:26" x14ac:dyDescent="0.25">
      <c r="A45">
        <v>424</v>
      </c>
      <c r="B45">
        <v>7228</v>
      </c>
      <c r="C45" t="s">
        <v>1622</v>
      </c>
      <c r="D45" t="s">
        <v>1623</v>
      </c>
      <c r="E45" t="s">
        <v>210</v>
      </c>
      <c r="F45" t="s">
        <v>1624</v>
      </c>
      <c r="G45" t="s">
        <v>1625</v>
      </c>
      <c r="H45" t="s">
        <v>111</v>
      </c>
      <c r="I45" t="s">
        <v>1537</v>
      </c>
      <c r="J45" t="s">
        <v>71</v>
      </c>
      <c r="K45" t="s">
        <v>71</v>
      </c>
      <c r="L45" t="s">
        <v>286</v>
      </c>
      <c r="M45" t="s">
        <v>1626</v>
      </c>
      <c r="N45" t="s">
        <v>72</v>
      </c>
      <c r="P45" t="s">
        <v>75</v>
      </c>
      <c r="Q45" t="s">
        <v>286</v>
      </c>
      <c r="S45" s="63" t="s">
        <v>1627</v>
      </c>
      <c r="U45" s="44">
        <v>198592</v>
      </c>
      <c r="V45" s="42">
        <v>3.718</v>
      </c>
      <c r="W45" s="48">
        <v>0</v>
      </c>
      <c r="X45" s="44">
        <v>1E-3</v>
      </c>
      <c r="Y45" s="45">
        <v>9.7664217669289502E-9</v>
      </c>
      <c r="Z45" s="45">
        <v>2.5872390819474398E-10</v>
      </c>
    </row>
    <row r="46" spans="1:26" x14ac:dyDescent="0.25">
      <c r="A46">
        <v>424</v>
      </c>
      <c r="B46">
        <v>7228</v>
      </c>
      <c r="C46" t="s">
        <v>1628</v>
      </c>
      <c r="D46" t="s">
        <v>1629</v>
      </c>
      <c r="E46" t="s">
        <v>210</v>
      </c>
      <c r="F46" t="s">
        <v>1630</v>
      </c>
      <c r="G46" t="s">
        <v>1631</v>
      </c>
      <c r="H46" t="s">
        <v>111</v>
      </c>
      <c r="I46" t="s">
        <v>1537</v>
      </c>
      <c r="J46" t="s">
        <v>71</v>
      </c>
      <c r="K46" t="s">
        <v>71</v>
      </c>
      <c r="L46" t="s">
        <v>286</v>
      </c>
      <c r="M46" t="s">
        <v>25</v>
      </c>
      <c r="N46" t="s">
        <v>72</v>
      </c>
      <c r="O46" t="s">
        <v>1632</v>
      </c>
      <c r="P46" t="s">
        <v>81</v>
      </c>
      <c r="Q46" t="s">
        <v>286</v>
      </c>
      <c r="S46" s="63" t="s">
        <v>1455</v>
      </c>
      <c r="U46" s="44">
        <v>200000</v>
      </c>
      <c r="V46" s="42">
        <v>1</v>
      </c>
      <c r="W46" s="48">
        <v>21.5</v>
      </c>
      <c r="X46" s="44">
        <v>43</v>
      </c>
      <c r="Y46" s="45">
        <v>6.6135454864544305E-4</v>
      </c>
      <c r="Z46" s="45">
        <v>1.75200536707647E-5</v>
      </c>
    </row>
    <row r="47" spans="1:26" x14ac:dyDescent="0.25">
      <c r="A47">
        <v>424</v>
      </c>
      <c r="B47">
        <v>7228</v>
      </c>
      <c r="C47" t="s">
        <v>1628</v>
      </c>
      <c r="D47" t="s">
        <v>1629</v>
      </c>
      <c r="E47" t="s">
        <v>210</v>
      </c>
      <c r="F47" t="s">
        <v>1633</v>
      </c>
      <c r="G47" t="s">
        <v>1634</v>
      </c>
      <c r="H47" t="s">
        <v>111</v>
      </c>
      <c r="I47" t="s">
        <v>1537</v>
      </c>
      <c r="J47" t="s">
        <v>71</v>
      </c>
      <c r="K47" t="s">
        <v>71</v>
      </c>
      <c r="L47" t="s">
        <v>286</v>
      </c>
      <c r="M47" t="s">
        <v>25</v>
      </c>
      <c r="N47" t="s">
        <v>72</v>
      </c>
      <c r="P47" t="s">
        <v>75</v>
      </c>
      <c r="Q47" t="s">
        <v>286</v>
      </c>
      <c r="S47" s="63" t="s">
        <v>1455</v>
      </c>
      <c r="U47" s="44">
        <v>68145</v>
      </c>
      <c r="V47" s="42">
        <v>3.718</v>
      </c>
      <c r="W47" s="48">
        <v>362.46199999999999</v>
      </c>
      <c r="X47" s="44">
        <v>918.346</v>
      </c>
      <c r="Y47" s="45">
        <v>1.4124472335545601E-2</v>
      </c>
      <c r="Z47" s="45">
        <v>3.7417375278786503E-4</v>
      </c>
    </row>
    <row r="48" spans="1:26" x14ac:dyDescent="0.25">
      <c r="A48">
        <v>424</v>
      </c>
      <c r="B48">
        <v>7228</v>
      </c>
      <c r="C48" t="s">
        <v>661</v>
      </c>
      <c r="D48" t="s">
        <v>662</v>
      </c>
      <c r="E48" t="s">
        <v>210</v>
      </c>
      <c r="F48" t="s">
        <v>1596</v>
      </c>
      <c r="G48" t="s">
        <v>1597</v>
      </c>
      <c r="H48" t="s">
        <v>111</v>
      </c>
      <c r="I48" t="s">
        <v>1537</v>
      </c>
      <c r="J48" t="s">
        <v>71</v>
      </c>
      <c r="K48" t="s">
        <v>71</v>
      </c>
      <c r="L48" t="s">
        <v>286</v>
      </c>
      <c r="M48" t="s">
        <v>429</v>
      </c>
      <c r="N48" t="s">
        <v>72</v>
      </c>
      <c r="O48" t="s">
        <v>1598</v>
      </c>
      <c r="P48" t="s">
        <v>81</v>
      </c>
      <c r="Q48" t="s">
        <v>286</v>
      </c>
      <c r="S48" s="63" t="s">
        <v>1455</v>
      </c>
      <c r="U48" s="44">
        <v>688</v>
      </c>
      <c r="V48" s="42">
        <v>1</v>
      </c>
      <c r="W48" s="48">
        <v>135281.44399999999</v>
      </c>
      <c r="X48" s="44">
        <v>930.73599999999999</v>
      </c>
      <c r="Y48" s="45">
        <v>1.43150397232941E-2</v>
      </c>
      <c r="Z48" s="45">
        <v>3.79222105245847E-4</v>
      </c>
    </row>
    <row r="49" spans="1:26" x14ac:dyDescent="0.25">
      <c r="A49">
        <v>424</v>
      </c>
      <c r="B49">
        <v>7228</v>
      </c>
      <c r="C49" t="s">
        <v>1599</v>
      </c>
      <c r="D49" t="s">
        <v>1600</v>
      </c>
      <c r="E49" t="s">
        <v>210</v>
      </c>
      <c r="F49" t="s">
        <v>1599</v>
      </c>
      <c r="G49" t="s">
        <v>1601</v>
      </c>
      <c r="H49" t="s">
        <v>111</v>
      </c>
      <c r="I49" t="s">
        <v>1537</v>
      </c>
      <c r="J49" t="s">
        <v>71</v>
      </c>
      <c r="K49" t="s">
        <v>71</v>
      </c>
      <c r="L49" t="s">
        <v>286</v>
      </c>
      <c r="M49" t="s">
        <v>1108</v>
      </c>
      <c r="N49" t="s">
        <v>72</v>
      </c>
      <c r="O49" t="s">
        <v>1602</v>
      </c>
      <c r="P49" t="s">
        <v>75</v>
      </c>
      <c r="Q49" t="s">
        <v>286</v>
      </c>
      <c r="S49" s="63" t="s">
        <v>1455</v>
      </c>
      <c r="U49" s="44">
        <v>256208.76</v>
      </c>
      <c r="V49" s="42">
        <v>3.718</v>
      </c>
      <c r="W49" s="48">
        <v>0</v>
      </c>
      <c r="X49" s="44">
        <v>1E-3</v>
      </c>
      <c r="Y49" s="45">
        <v>1.4651066827570001E-8</v>
      </c>
      <c r="Z49" s="45">
        <v>3.8812385531894002E-10</v>
      </c>
    </row>
    <row r="50" spans="1:26" x14ac:dyDescent="0.25">
      <c r="A50">
        <v>424</v>
      </c>
      <c r="B50">
        <v>7228</v>
      </c>
      <c r="C50" t="s">
        <v>1603</v>
      </c>
      <c r="D50" t="s">
        <v>1604</v>
      </c>
      <c r="E50" t="s">
        <v>111</v>
      </c>
      <c r="F50" t="s">
        <v>1605</v>
      </c>
      <c r="G50" t="s">
        <v>1606</v>
      </c>
      <c r="H50" t="s">
        <v>213</v>
      </c>
      <c r="I50" t="s">
        <v>1537</v>
      </c>
      <c r="J50" t="s">
        <v>85</v>
      </c>
      <c r="K50" t="s">
        <v>215</v>
      </c>
      <c r="L50" t="s">
        <v>286</v>
      </c>
      <c r="M50" t="s">
        <v>957</v>
      </c>
      <c r="N50" t="s">
        <v>72</v>
      </c>
      <c r="P50" t="s">
        <v>75</v>
      </c>
      <c r="Q50" t="s">
        <v>286</v>
      </c>
      <c r="S50" s="63" t="s">
        <v>1607</v>
      </c>
      <c r="U50" s="44">
        <v>118.77</v>
      </c>
      <c r="V50" s="42">
        <v>3.718</v>
      </c>
      <c r="W50" s="48">
        <v>0</v>
      </c>
      <c r="X50" s="44">
        <v>0</v>
      </c>
      <c r="Y50" s="45">
        <v>6.7917553135595003E-12</v>
      </c>
      <c r="Z50" s="45">
        <v>1.7992152296522001E-13</v>
      </c>
    </row>
    <row r="51" spans="1:26" x14ac:dyDescent="0.25">
      <c r="A51">
        <v>424</v>
      </c>
      <c r="B51">
        <v>7228</v>
      </c>
      <c r="C51" t="s">
        <v>1608</v>
      </c>
      <c r="D51" t="s">
        <v>1609</v>
      </c>
      <c r="E51" t="s">
        <v>111</v>
      </c>
      <c r="F51" t="s">
        <v>1608</v>
      </c>
      <c r="G51" t="s">
        <v>1610</v>
      </c>
      <c r="H51" t="s">
        <v>213</v>
      </c>
      <c r="I51" t="s">
        <v>1537</v>
      </c>
      <c r="J51" t="s">
        <v>85</v>
      </c>
      <c r="K51" t="s">
        <v>291</v>
      </c>
      <c r="L51" t="s">
        <v>286</v>
      </c>
      <c r="M51" t="s">
        <v>706</v>
      </c>
      <c r="N51" t="s">
        <v>72</v>
      </c>
      <c r="P51" t="s">
        <v>75</v>
      </c>
      <c r="Q51" t="s">
        <v>286</v>
      </c>
      <c r="S51" s="63" t="s">
        <v>1607</v>
      </c>
      <c r="U51" s="44">
        <v>403.95</v>
      </c>
      <c r="V51" s="42">
        <v>3.718</v>
      </c>
      <c r="W51" s="48">
        <v>0</v>
      </c>
      <c r="X51" s="44">
        <v>0</v>
      </c>
      <c r="Y51" s="45">
        <v>2.3099516367031801E-11</v>
      </c>
      <c r="Z51" s="45">
        <v>6.1193314138082497E-13</v>
      </c>
    </row>
    <row r="52" spans="1:26" x14ac:dyDescent="0.25">
      <c r="A52">
        <v>424</v>
      </c>
      <c r="B52">
        <v>7228</v>
      </c>
      <c r="C52" t="s">
        <v>1635</v>
      </c>
      <c r="D52" t="s">
        <v>1636</v>
      </c>
      <c r="E52" t="s">
        <v>111</v>
      </c>
      <c r="F52" t="s">
        <v>1635</v>
      </c>
      <c r="G52" t="s">
        <v>1637</v>
      </c>
      <c r="H52" t="s">
        <v>213</v>
      </c>
      <c r="I52" t="s">
        <v>1537</v>
      </c>
      <c r="J52" t="s">
        <v>85</v>
      </c>
      <c r="K52" t="s">
        <v>291</v>
      </c>
      <c r="L52" t="s">
        <v>286</v>
      </c>
      <c r="M52" t="s">
        <v>680</v>
      </c>
      <c r="N52" t="s">
        <v>72</v>
      </c>
      <c r="O52" t="s">
        <v>1638</v>
      </c>
      <c r="P52" t="s">
        <v>75</v>
      </c>
      <c r="Q52" t="s">
        <v>286</v>
      </c>
      <c r="S52" s="63" t="s">
        <v>1455</v>
      </c>
      <c r="U52" s="44">
        <v>475</v>
      </c>
      <c r="V52" s="42">
        <v>3.718</v>
      </c>
      <c r="W52" s="48">
        <v>0</v>
      </c>
      <c r="X52" s="44">
        <v>0</v>
      </c>
      <c r="Y52" s="45">
        <v>2.7162446526401999E-11</v>
      </c>
      <c r="Z52" s="45">
        <v>7.1956490198265198E-13</v>
      </c>
    </row>
    <row r="53" spans="1:26" x14ac:dyDescent="0.25">
      <c r="A53">
        <v>424</v>
      </c>
      <c r="B53">
        <v>7228</v>
      </c>
      <c r="C53" t="s">
        <v>1639</v>
      </c>
      <c r="D53" t="s">
        <v>1640</v>
      </c>
      <c r="E53" t="s">
        <v>210</v>
      </c>
      <c r="F53" t="s">
        <v>1641</v>
      </c>
      <c r="G53" t="s">
        <v>1642</v>
      </c>
      <c r="H53" t="s">
        <v>213</v>
      </c>
      <c r="I53" t="s">
        <v>1537</v>
      </c>
      <c r="J53" t="s">
        <v>85</v>
      </c>
      <c r="K53" t="s">
        <v>1193</v>
      </c>
      <c r="L53" t="s">
        <v>286</v>
      </c>
      <c r="M53" t="s">
        <v>1643</v>
      </c>
      <c r="N53" t="s">
        <v>72</v>
      </c>
      <c r="O53" t="s">
        <v>1644</v>
      </c>
      <c r="P53" t="s">
        <v>77</v>
      </c>
      <c r="Q53" t="s">
        <v>286</v>
      </c>
      <c r="S53" s="63" t="s">
        <v>1455</v>
      </c>
      <c r="U53" s="44">
        <v>30775.59</v>
      </c>
      <c r="V53" s="42">
        <v>4.0218999999999996</v>
      </c>
      <c r="W53" s="48">
        <v>0</v>
      </c>
      <c r="X53" s="44">
        <v>0</v>
      </c>
      <c r="Y53" s="45">
        <v>1.90372207113693E-9</v>
      </c>
      <c r="Z53" s="45">
        <v>5.0431818952256502E-11</v>
      </c>
    </row>
    <row r="54" spans="1:26" x14ac:dyDescent="0.25">
      <c r="A54">
        <v>424</v>
      </c>
      <c r="B54">
        <v>7228</v>
      </c>
      <c r="C54" t="s">
        <v>1611</v>
      </c>
      <c r="D54" t="s">
        <v>1612</v>
      </c>
      <c r="E54" t="s">
        <v>111</v>
      </c>
      <c r="F54" t="s">
        <v>1613</v>
      </c>
      <c r="G54" t="s">
        <v>1614</v>
      </c>
      <c r="H54" t="s">
        <v>111</v>
      </c>
      <c r="I54" t="s">
        <v>1537</v>
      </c>
      <c r="J54" t="s">
        <v>85</v>
      </c>
      <c r="K54" t="s">
        <v>291</v>
      </c>
      <c r="L54" t="s">
        <v>286</v>
      </c>
      <c r="M54" t="s">
        <v>616</v>
      </c>
      <c r="N54" t="s">
        <v>72</v>
      </c>
      <c r="O54" t="s">
        <v>1615</v>
      </c>
      <c r="P54" t="s">
        <v>75</v>
      </c>
      <c r="Q54" t="s">
        <v>1574</v>
      </c>
      <c r="S54" s="63" t="s">
        <v>1455</v>
      </c>
      <c r="U54" s="44">
        <v>64043</v>
      </c>
      <c r="V54" s="42">
        <v>3.718</v>
      </c>
      <c r="W54" s="48">
        <v>402</v>
      </c>
      <c r="X54" s="44">
        <v>957.21</v>
      </c>
      <c r="Y54" s="45">
        <v>1.472220956383E-2</v>
      </c>
      <c r="Z54" s="45">
        <v>3.9000850941274399E-4</v>
      </c>
    </row>
    <row r="55" spans="1:26" x14ac:dyDescent="0.25">
      <c r="A55">
        <v>424</v>
      </c>
      <c r="B55">
        <v>7228</v>
      </c>
      <c r="C55" t="s">
        <v>1645</v>
      </c>
      <c r="D55" t="s">
        <v>1646</v>
      </c>
      <c r="E55" t="s">
        <v>613</v>
      </c>
      <c r="F55" t="s">
        <v>1647</v>
      </c>
      <c r="G55" t="s">
        <v>1648</v>
      </c>
      <c r="H55" t="s">
        <v>213</v>
      </c>
      <c r="I55" t="s">
        <v>1537</v>
      </c>
      <c r="J55" t="s">
        <v>85</v>
      </c>
      <c r="K55" t="s">
        <v>71</v>
      </c>
      <c r="L55" t="s">
        <v>286</v>
      </c>
      <c r="M55" t="s">
        <v>429</v>
      </c>
      <c r="N55" t="s">
        <v>72</v>
      </c>
      <c r="O55" t="s">
        <v>1649</v>
      </c>
      <c r="P55" t="s">
        <v>75</v>
      </c>
      <c r="Q55" t="s">
        <v>286</v>
      </c>
      <c r="S55" s="63" t="s">
        <v>1455</v>
      </c>
      <c r="U55" s="44">
        <v>12</v>
      </c>
      <c r="V55" s="42">
        <v>3.718</v>
      </c>
      <c r="W55" s="48">
        <v>666</v>
      </c>
      <c r="X55" s="44">
        <v>0.29699999999999999</v>
      </c>
      <c r="Y55" s="45">
        <v>4.5701531081895698E-6</v>
      </c>
      <c r="Z55" s="45">
        <v>1.21068688350428E-7</v>
      </c>
    </row>
    <row r="56" spans="1:26" x14ac:dyDescent="0.25">
      <c r="A56">
        <v>424</v>
      </c>
      <c r="B56">
        <v>7228</v>
      </c>
      <c r="C56" t="s">
        <v>1639</v>
      </c>
      <c r="D56" t="s">
        <v>1640</v>
      </c>
      <c r="E56" t="s">
        <v>210</v>
      </c>
      <c r="F56" t="s">
        <v>1650</v>
      </c>
      <c r="G56" t="s">
        <v>1651</v>
      </c>
      <c r="H56" t="s">
        <v>111</v>
      </c>
      <c r="I56" t="s">
        <v>1537</v>
      </c>
      <c r="J56" t="s">
        <v>85</v>
      </c>
      <c r="K56" t="s">
        <v>71</v>
      </c>
      <c r="L56" t="s">
        <v>286</v>
      </c>
      <c r="M56" t="s">
        <v>245</v>
      </c>
      <c r="N56" t="s">
        <v>72</v>
      </c>
      <c r="O56" t="s">
        <v>1644</v>
      </c>
      <c r="P56" t="s">
        <v>77</v>
      </c>
      <c r="Q56" t="s">
        <v>286</v>
      </c>
      <c r="S56" s="63" t="s">
        <v>1455</v>
      </c>
      <c r="U56" s="44">
        <v>44698.99</v>
      </c>
      <c r="V56" s="42">
        <v>4.0218999999999996</v>
      </c>
      <c r="W56" s="48">
        <v>0</v>
      </c>
      <c r="X56" s="44">
        <v>0</v>
      </c>
      <c r="Y56" s="45">
        <v>2.7649982931449501E-9</v>
      </c>
      <c r="Z56" s="45">
        <v>7.3248031021622204E-11</v>
      </c>
    </row>
    <row r="57" spans="1:26" x14ac:dyDescent="0.25">
      <c r="A57">
        <v>424</v>
      </c>
      <c r="B57">
        <v>7228</v>
      </c>
      <c r="C57" t="s">
        <v>1639</v>
      </c>
      <c r="D57" t="s">
        <v>1640</v>
      </c>
      <c r="E57" t="s">
        <v>210</v>
      </c>
      <c r="F57" t="s">
        <v>1652</v>
      </c>
      <c r="G57" t="s">
        <v>1653</v>
      </c>
      <c r="H57" t="s">
        <v>111</v>
      </c>
      <c r="I57" t="s">
        <v>1537</v>
      </c>
      <c r="J57" t="s">
        <v>85</v>
      </c>
      <c r="K57" t="s">
        <v>71</v>
      </c>
      <c r="L57" t="s">
        <v>286</v>
      </c>
      <c r="M57" t="s">
        <v>245</v>
      </c>
      <c r="N57" t="s">
        <v>72</v>
      </c>
      <c r="P57" t="s">
        <v>77</v>
      </c>
      <c r="Q57" t="s">
        <v>286</v>
      </c>
      <c r="S57" s="63" t="s">
        <v>1455</v>
      </c>
      <c r="U57" s="44">
        <v>150000</v>
      </c>
      <c r="V57" s="42">
        <v>4.0218999999999996</v>
      </c>
      <c r="W57" s="48">
        <v>0</v>
      </c>
      <c r="X57" s="44">
        <v>1E-3</v>
      </c>
      <c r="Y57" s="45">
        <v>9.2787274158038604E-9</v>
      </c>
      <c r="Z57" s="45">
        <v>2.4580431578528599E-10</v>
      </c>
    </row>
    <row r="58" spans="1:26" x14ac:dyDescent="0.25">
      <c r="A58">
        <v>424</v>
      </c>
      <c r="B58">
        <v>7229</v>
      </c>
      <c r="C58" t="s">
        <v>1539</v>
      </c>
      <c r="D58" t="s">
        <v>1540</v>
      </c>
      <c r="E58" t="s">
        <v>210</v>
      </c>
      <c r="F58" t="s">
        <v>1539</v>
      </c>
      <c r="G58" t="s">
        <v>1541</v>
      </c>
      <c r="H58" t="s">
        <v>111</v>
      </c>
      <c r="I58" t="s">
        <v>1537</v>
      </c>
      <c r="J58" t="s">
        <v>71</v>
      </c>
      <c r="K58" t="s">
        <v>215</v>
      </c>
      <c r="L58" t="s">
        <v>286</v>
      </c>
      <c r="M58" t="s">
        <v>616</v>
      </c>
      <c r="N58" t="s">
        <v>72</v>
      </c>
      <c r="O58" t="s">
        <v>1542</v>
      </c>
      <c r="P58" t="s">
        <v>75</v>
      </c>
      <c r="Q58" t="s">
        <v>286</v>
      </c>
      <c r="S58" s="63" t="s">
        <v>1455</v>
      </c>
      <c r="U58" s="44">
        <v>194.24</v>
      </c>
      <c r="V58" s="42">
        <v>3.718</v>
      </c>
      <c r="W58" s="48">
        <v>90093.3</v>
      </c>
      <c r="X58" s="44">
        <v>650.64</v>
      </c>
      <c r="Y58" s="45">
        <v>0.19593334820688699</v>
      </c>
      <c r="Z58" s="45">
        <v>4.3307399085216998E-3</v>
      </c>
    </row>
    <row r="59" spans="1:26" x14ac:dyDescent="0.25">
      <c r="A59">
        <v>424</v>
      </c>
      <c r="B59">
        <v>7229</v>
      </c>
      <c r="C59" t="s">
        <v>1556</v>
      </c>
      <c r="D59" t="s">
        <v>1557</v>
      </c>
      <c r="E59" t="s">
        <v>210</v>
      </c>
      <c r="F59" t="s">
        <v>1558</v>
      </c>
      <c r="G59" t="s">
        <v>1559</v>
      </c>
      <c r="H59" t="s">
        <v>111</v>
      </c>
      <c r="I59" t="s">
        <v>1537</v>
      </c>
      <c r="J59" t="s">
        <v>71</v>
      </c>
      <c r="K59" t="s">
        <v>291</v>
      </c>
      <c r="L59" t="s">
        <v>286</v>
      </c>
      <c r="M59" t="s">
        <v>365</v>
      </c>
      <c r="N59" t="s">
        <v>72</v>
      </c>
      <c r="O59" t="s">
        <v>1560</v>
      </c>
      <c r="P59" t="s">
        <v>75</v>
      </c>
      <c r="Q59" t="s">
        <v>286</v>
      </c>
      <c r="S59" s="63" t="s">
        <v>1455</v>
      </c>
      <c r="U59" s="44">
        <v>204017</v>
      </c>
      <c r="V59" s="42">
        <v>3.718</v>
      </c>
      <c r="W59" s="48">
        <v>276.279</v>
      </c>
      <c r="X59" s="44">
        <v>2095.6750000000002</v>
      </c>
      <c r="Y59" s="45">
        <v>0.63109064530338599</v>
      </c>
      <c r="Z59" s="45">
        <v>1.3949077421084101E-2</v>
      </c>
    </row>
    <row r="60" spans="1:26" x14ac:dyDescent="0.25">
      <c r="A60">
        <v>424</v>
      </c>
      <c r="B60">
        <v>7229</v>
      </c>
      <c r="C60" t="s">
        <v>1558</v>
      </c>
      <c r="D60" t="s">
        <v>1561</v>
      </c>
      <c r="E60" t="s">
        <v>111</v>
      </c>
      <c r="F60" t="s">
        <v>1565</v>
      </c>
      <c r="G60" t="s">
        <v>1566</v>
      </c>
      <c r="H60" t="s">
        <v>111</v>
      </c>
      <c r="I60" t="s">
        <v>1537</v>
      </c>
      <c r="J60" t="s">
        <v>71</v>
      </c>
      <c r="L60" t="s">
        <v>286</v>
      </c>
      <c r="M60" t="s">
        <v>365</v>
      </c>
      <c r="N60" t="s">
        <v>72</v>
      </c>
      <c r="O60" t="s">
        <v>1567</v>
      </c>
      <c r="P60" t="s">
        <v>81</v>
      </c>
      <c r="Q60" t="s">
        <v>286</v>
      </c>
      <c r="S60" s="63" t="s">
        <v>1455</v>
      </c>
      <c r="U60" s="44">
        <v>500000</v>
      </c>
      <c r="V60" s="42">
        <v>1</v>
      </c>
      <c r="W60" s="48">
        <v>100</v>
      </c>
      <c r="X60" s="44">
        <v>500</v>
      </c>
      <c r="Y60" s="45">
        <v>0.15056977958131501</v>
      </c>
      <c r="Z60" s="45">
        <v>3.3280631368662402E-3</v>
      </c>
    </row>
    <row r="61" spans="1:26" x14ac:dyDescent="0.25">
      <c r="A61">
        <v>424</v>
      </c>
      <c r="B61">
        <v>7229</v>
      </c>
      <c r="C61" t="s">
        <v>661</v>
      </c>
      <c r="D61" t="s">
        <v>662</v>
      </c>
      <c r="E61" t="s">
        <v>210</v>
      </c>
      <c r="F61" t="s">
        <v>1596</v>
      </c>
      <c r="G61" t="s">
        <v>1597</v>
      </c>
      <c r="H61" t="s">
        <v>111</v>
      </c>
      <c r="I61" t="s">
        <v>1537</v>
      </c>
      <c r="J61" t="s">
        <v>71</v>
      </c>
      <c r="K61" t="s">
        <v>71</v>
      </c>
      <c r="L61" t="s">
        <v>286</v>
      </c>
      <c r="M61" t="s">
        <v>429</v>
      </c>
      <c r="N61" t="s">
        <v>72</v>
      </c>
      <c r="O61" t="s">
        <v>1598</v>
      </c>
      <c r="P61" t="s">
        <v>81</v>
      </c>
      <c r="Q61" t="s">
        <v>286</v>
      </c>
      <c r="S61" s="63" t="s">
        <v>1455</v>
      </c>
      <c r="U61" s="44">
        <v>55</v>
      </c>
      <c r="V61" s="42">
        <v>1</v>
      </c>
      <c r="W61" s="48">
        <v>135281.44399999999</v>
      </c>
      <c r="X61" s="44">
        <v>74.405000000000001</v>
      </c>
      <c r="Y61" s="45">
        <v>2.2406226908411601E-2</v>
      </c>
      <c r="Z61" s="45">
        <v>4.9524770520019098E-4</v>
      </c>
    </row>
    <row r="62" spans="1:26" x14ac:dyDescent="0.25">
      <c r="A62">
        <v>969</v>
      </c>
      <c r="B62">
        <v>969</v>
      </c>
      <c r="C62" t="s">
        <v>1556</v>
      </c>
      <c r="D62" t="s">
        <v>1557</v>
      </c>
      <c r="E62" t="s">
        <v>210</v>
      </c>
      <c r="F62" t="s">
        <v>1558</v>
      </c>
      <c r="G62" t="s">
        <v>1559</v>
      </c>
      <c r="H62" t="s">
        <v>111</v>
      </c>
      <c r="I62" t="s">
        <v>1537</v>
      </c>
      <c r="J62" t="s">
        <v>71</v>
      </c>
      <c r="K62" t="s">
        <v>291</v>
      </c>
      <c r="L62" t="s">
        <v>286</v>
      </c>
      <c r="M62" t="s">
        <v>365</v>
      </c>
      <c r="N62" t="s">
        <v>72</v>
      </c>
      <c r="O62" t="s">
        <v>1560</v>
      </c>
      <c r="P62" t="s">
        <v>75</v>
      </c>
      <c r="Q62" t="s">
        <v>286</v>
      </c>
      <c r="S62" s="63" t="s">
        <v>1455</v>
      </c>
      <c r="U62" s="44">
        <v>81607</v>
      </c>
      <c r="V62" s="42">
        <v>3.718</v>
      </c>
      <c r="W62" s="48">
        <v>276.279</v>
      </c>
      <c r="X62" s="44">
        <v>838.27200000000005</v>
      </c>
      <c r="Y62" s="45">
        <v>0.76928347882836401</v>
      </c>
      <c r="Z62" s="45">
        <v>1.1442513591184599E-2</v>
      </c>
    </row>
    <row r="63" spans="1:26" x14ac:dyDescent="0.25">
      <c r="A63">
        <v>969</v>
      </c>
      <c r="B63">
        <v>969</v>
      </c>
      <c r="C63" t="s">
        <v>1558</v>
      </c>
      <c r="D63" t="s">
        <v>1561</v>
      </c>
      <c r="E63" t="s">
        <v>111</v>
      </c>
      <c r="F63" t="s">
        <v>1565</v>
      </c>
      <c r="G63" t="s">
        <v>1566</v>
      </c>
      <c r="H63" t="s">
        <v>111</v>
      </c>
      <c r="I63" t="s">
        <v>1537</v>
      </c>
      <c r="J63" t="s">
        <v>71</v>
      </c>
      <c r="L63" t="s">
        <v>286</v>
      </c>
      <c r="M63" t="s">
        <v>365</v>
      </c>
      <c r="N63" t="s">
        <v>72</v>
      </c>
      <c r="O63" t="s">
        <v>1567</v>
      </c>
      <c r="P63" t="s">
        <v>81</v>
      </c>
      <c r="Q63" t="s">
        <v>286</v>
      </c>
      <c r="S63" s="63" t="s">
        <v>1455</v>
      </c>
      <c r="U63" s="44">
        <v>200000</v>
      </c>
      <c r="V63" s="42">
        <v>1</v>
      </c>
      <c r="W63" s="48">
        <v>100</v>
      </c>
      <c r="X63" s="44">
        <v>200</v>
      </c>
      <c r="Y63" s="45">
        <v>0.18354028986165</v>
      </c>
      <c r="Z63" s="45">
        <v>2.7300238716558502E-3</v>
      </c>
    </row>
    <row r="64" spans="1:26" x14ac:dyDescent="0.25">
      <c r="A64">
        <v>969</v>
      </c>
      <c r="B64">
        <v>969</v>
      </c>
      <c r="C64" t="s">
        <v>661</v>
      </c>
      <c r="D64" t="s">
        <v>662</v>
      </c>
      <c r="E64" t="s">
        <v>210</v>
      </c>
      <c r="F64" t="s">
        <v>1596</v>
      </c>
      <c r="G64" t="s">
        <v>1597</v>
      </c>
      <c r="H64" t="s">
        <v>111</v>
      </c>
      <c r="I64" t="s">
        <v>1537</v>
      </c>
      <c r="J64" t="s">
        <v>71</v>
      </c>
      <c r="K64" t="s">
        <v>71</v>
      </c>
      <c r="L64" t="s">
        <v>286</v>
      </c>
      <c r="M64" t="s">
        <v>429</v>
      </c>
      <c r="N64" t="s">
        <v>72</v>
      </c>
      <c r="O64" t="s">
        <v>1598</v>
      </c>
      <c r="P64" t="s">
        <v>81</v>
      </c>
      <c r="Q64" t="s">
        <v>286</v>
      </c>
      <c r="S64" s="63" t="s">
        <v>1455</v>
      </c>
      <c r="U64" s="44">
        <v>38</v>
      </c>
      <c r="V64" s="42">
        <v>1</v>
      </c>
      <c r="W64" s="48">
        <v>135281.44399999999</v>
      </c>
      <c r="X64" s="44">
        <v>51.406999999999996</v>
      </c>
      <c r="Y64" s="45">
        <v>4.7176231309986202E-2</v>
      </c>
      <c r="Z64" s="45">
        <v>7.0171098535423595E-4</v>
      </c>
    </row>
  </sheetData>
  <dataValidations count="11">
    <dataValidation type="list" allowBlank="1" showInputMessage="1" showErrorMessage="1" sqref="J2:J20" xr:uid="{00000000-0002-0000-1200-000000000000}">
      <formula1>israel_abroad</formula1>
      <formula2>0</formula2>
    </dataValidation>
    <dataValidation type="list" allowBlank="1" showInputMessage="1" showErrorMessage="1" sqref="N2:N20" xr:uid="{00000000-0002-0000-1200-000001000000}">
      <formula1>Holding_interest</formula1>
      <formula2>0</formula2>
    </dataValidation>
    <dataValidation type="list" allowBlank="1" showInputMessage="1" showErrorMessage="1" sqref="Q2:Q19" xr:uid="{00000000-0002-0000-1200-000002000000}">
      <formula1>Valuation</formula1>
      <formula2>0</formula2>
    </dataValidation>
    <dataValidation type="list" allowBlank="1" showInputMessage="1" showErrorMessage="1" sqref="R2:R20" xr:uid="{00000000-0002-0000-1200-000003000000}">
      <formula1>Dependence_Independence</formula1>
      <formula2>0</formula2>
    </dataValidation>
    <dataValidation type="list" allowBlank="1" showInputMessage="1" showErrorMessage="1" sqref="K2:K20" xr:uid="{00000000-0002-0000-1200-000004000000}">
      <formula1>Country_list</formula1>
      <formula2>0</formula2>
    </dataValidation>
    <dataValidation type="list" allowBlank="1" showInputMessage="1" showErrorMessage="1" sqref="E3:E20" xr:uid="{00000000-0002-0000-1200-000005000000}">
      <formula1>Issuer_Number_Type_2</formula1>
      <formula2>0</formula2>
    </dataValidation>
    <dataValidation type="list" allowBlank="1" showInputMessage="1" showErrorMessage="1" sqref="H2" xr:uid="{00000000-0002-0000-1200-000006000000}">
      <formula1>Type_of_Security_ID</formula1>
      <formula2>0</formula2>
    </dataValidation>
    <dataValidation type="list" allowBlank="1" showInputMessage="1" showErrorMessage="1" sqref="H3:H19" xr:uid="{00000000-0002-0000-1200-000007000000}">
      <formula1>type_of_security_id_traded</formula1>
      <formula2>0</formula2>
    </dataValidation>
    <dataValidation type="list" allowBlank="1" showInputMessage="1" showErrorMessage="1" sqref="E2" xr:uid="{00000000-0002-0000-1200-000008000000}">
      <formula1>Issuer_Number_Type_3</formula1>
      <formula2>0</formula2>
    </dataValidation>
    <dataValidation type="list" allowBlank="1" showInputMessage="1" showErrorMessage="1" sqref="M2:M20" xr:uid="{00000000-0002-0000-1200-000009000000}">
      <formula1>Industry_Sector</formula1>
      <formula2>0</formula2>
    </dataValidation>
    <dataValidation type="list" allowBlank="1" showInputMessage="1" showErrorMessage="1" sqref="L2:L20" xr:uid="{00000000-0002-0000-1200-00000A000000}">
      <formula1>tradeable_status_stock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66"/>
  <sheetViews>
    <sheetView rightToLeft="1" zoomScale="70" zoomScaleNormal="70" workbookViewId="0">
      <selection activeCell="G96" sqref="G96"/>
    </sheetView>
  </sheetViews>
  <sheetFormatPr defaultColWidth="9" defaultRowHeight="13.8" x14ac:dyDescent="0.25"/>
  <cols>
    <col min="1" max="23" width="11.59765625" customWidth="1"/>
    <col min="24" max="24" width="16.5" customWidth="1"/>
    <col min="25" max="26" width="11.59765625" customWidth="1"/>
  </cols>
  <sheetData>
    <row r="1" spans="1:26" ht="66.75" customHeight="1" x14ac:dyDescent="0.25">
      <c r="A1" s="36" t="s">
        <v>50</v>
      </c>
      <c r="B1" s="36" t="s">
        <v>51</v>
      </c>
      <c r="C1" s="36" t="s">
        <v>1654</v>
      </c>
      <c r="D1" s="36" t="s">
        <v>1655</v>
      </c>
      <c r="E1" s="36" t="s">
        <v>1656</v>
      </c>
      <c r="F1" s="36" t="s">
        <v>1657</v>
      </c>
      <c r="G1" s="36" t="s">
        <v>1658</v>
      </c>
      <c r="H1" s="36" t="s">
        <v>1659</v>
      </c>
      <c r="I1" s="36" t="s">
        <v>55</v>
      </c>
      <c r="J1" s="36" t="s">
        <v>1660</v>
      </c>
      <c r="K1" s="36" t="s">
        <v>56</v>
      </c>
      <c r="L1" s="36" t="s">
        <v>1661</v>
      </c>
      <c r="M1" s="36" t="s">
        <v>1662</v>
      </c>
      <c r="N1" s="36" t="s">
        <v>94</v>
      </c>
      <c r="O1" s="36" t="s">
        <v>57</v>
      </c>
      <c r="P1" s="64" t="s">
        <v>1402</v>
      </c>
      <c r="Q1" s="36" t="s">
        <v>60</v>
      </c>
      <c r="R1" s="36" t="s">
        <v>1408</v>
      </c>
      <c r="S1" s="36" t="s">
        <v>1409</v>
      </c>
      <c r="T1" s="60" t="s">
        <v>1411</v>
      </c>
      <c r="U1" s="37" t="s">
        <v>62</v>
      </c>
      <c r="V1" s="65" t="s">
        <v>1663</v>
      </c>
      <c r="W1" s="36" t="s">
        <v>64</v>
      </c>
      <c r="X1" s="39" t="s">
        <v>1664</v>
      </c>
      <c r="Y1" s="39" t="s">
        <v>65</v>
      </c>
      <c r="Z1" s="39" t="s">
        <v>66</v>
      </c>
    </row>
    <row r="2" spans="1:26" x14ac:dyDescent="0.25">
      <c r="A2" s="10">
        <v>1182</v>
      </c>
      <c r="B2" s="10">
        <v>1182</v>
      </c>
      <c r="C2" s="10" t="s">
        <v>1665</v>
      </c>
      <c r="D2" s="10" t="s">
        <v>1666</v>
      </c>
      <c r="E2" s="10" t="s">
        <v>286</v>
      </c>
      <c r="F2" s="10" t="s">
        <v>1667</v>
      </c>
      <c r="G2" s="10">
        <v>50007566</v>
      </c>
      <c r="H2" s="10" t="s">
        <v>111</v>
      </c>
      <c r="I2" t="s">
        <v>1668</v>
      </c>
      <c r="J2" s="10" t="s">
        <v>1669</v>
      </c>
      <c r="K2" s="10" t="s">
        <v>71</v>
      </c>
      <c r="L2" s="10" t="s">
        <v>71</v>
      </c>
      <c r="M2" s="10" t="s">
        <v>71</v>
      </c>
      <c r="N2" s="10" t="s">
        <v>71</v>
      </c>
      <c r="O2" s="10" t="s">
        <v>72</v>
      </c>
      <c r="P2" s="63" t="s">
        <v>1670</v>
      </c>
      <c r="Q2" s="10" t="s">
        <v>81</v>
      </c>
      <c r="R2" s="10" t="s">
        <v>1555</v>
      </c>
      <c r="S2" s="10" t="s">
        <v>1671</v>
      </c>
      <c r="T2" s="61" t="s">
        <v>1455</v>
      </c>
      <c r="U2" s="55">
        <v>1</v>
      </c>
      <c r="V2" s="52">
        <v>1736.4690000000001</v>
      </c>
      <c r="W2" s="52">
        <v>1736.4690000000001</v>
      </c>
      <c r="X2" s="54">
        <v>9.2100000000000005E-4</v>
      </c>
      <c r="Y2" s="54">
        <v>2.1922840048981099E-2</v>
      </c>
      <c r="Z2" s="54">
        <v>4.0105452553098504E-3</v>
      </c>
    </row>
    <row r="3" spans="1:26" x14ac:dyDescent="0.25">
      <c r="A3" s="10">
        <v>1182</v>
      </c>
      <c r="B3" s="10">
        <v>1182</v>
      </c>
      <c r="C3" s="10" t="s">
        <v>1672</v>
      </c>
      <c r="D3" t="s">
        <v>1673</v>
      </c>
      <c r="E3" s="10" t="s">
        <v>420</v>
      </c>
      <c r="F3" s="10" t="s">
        <v>1674</v>
      </c>
      <c r="G3" s="10">
        <v>62018312</v>
      </c>
      <c r="H3" s="10" t="s">
        <v>111</v>
      </c>
      <c r="I3" t="s">
        <v>1668</v>
      </c>
      <c r="J3" s="10" t="s">
        <v>1675</v>
      </c>
      <c r="K3" s="10" t="s">
        <v>71</v>
      </c>
      <c r="L3" s="10" t="s">
        <v>71</v>
      </c>
      <c r="M3" s="10" t="s">
        <v>71</v>
      </c>
      <c r="N3" s="10" t="s">
        <v>71</v>
      </c>
      <c r="O3" s="10" t="s">
        <v>72</v>
      </c>
      <c r="P3" s="63" t="s">
        <v>1676</v>
      </c>
      <c r="Q3" s="10" t="s">
        <v>75</v>
      </c>
      <c r="R3" s="10" t="s">
        <v>1555</v>
      </c>
      <c r="S3" s="10" t="s">
        <v>1671</v>
      </c>
      <c r="T3" s="61" t="s">
        <v>1455</v>
      </c>
      <c r="U3" s="55">
        <v>3.718</v>
      </c>
      <c r="V3" s="52">
        <v>382.495</v>
      </c>
      <c r="W3" s="52">
        <v>1422.117</v>
      </c>
      <c r="X3" s="54">
        <v>2.1100000000000001E-4</v>
      </c>
      <c r="Y3" s="54">
        <v>1.7954166924521699E-2</v>
      </c>
      <c r="Z3" s="54">
        <v>3.2845196521665201E-3</v>
      </c>
    </row>
    <row r="4" spans="1:26" x14ac:dyDescent="0.25">
      <c r="A4" s="10">
        <v>1182</v>
      </c>
      <c r="B4" s="10">
        <v>1182</v>
      </c>
      <c r="C4" s="10" t="s">
        <v>1677</v>
      </c>
      <c r="D4" t="s">
        <v>1678</v>
      </c>
      <c r="E4" s="10" t="s">
        <v>111</v>
      </c>
      <c r="F4" s="10" t="s">
        <v>1679</v>
      </c>
      <c r="G4" s="10">
        <v>60390093</v>
      </c>
      <c r="H4" s="10" t="s">
        <v>111</v>
      </c>
      <c r="I4" t="s">
        <v>1668</v>
      </c>
      <c r="J4" s="10" t="s">
        <v>1680</v>
      </c>
      <c r="K4" s="10" t="s">
        <v>85</v>
      </c>
      <c r="L4" s="10" t="s">
        <v>1681</v>
      </c>
      <c r="M4" s="10" t="s">
        <v>71</v>
      </c>
      <c r="N4" s="10" t="s">
        <v>71</v>
      </c>
      <c r="O4" s="10" t="s">
        <v>72</v>
      </c>
      <c r="P4" s="63" t="s">
        <v>1682</v>
      </c>
      <c r="Q4" s="10" t="s">
        <v>75</v>
      </c>
      <c r="R4" s="10" t="s">
        <v>1555</v>
      </c>
      <c r="S4" s="10" t="s">
        <v>1671</v>
      </c>
      <c r="T4" s="61" t="s">
        <v>1455</v>
      </c>
      <c r="U4" s="55">
        <v>3.718</v>
      </c>
      <c r="V4" s="52">
        <v>51.704999999999998</v>
      </c>
      <c r="W4" s="52">
        <v>192.24</v>
      </c>
      <c r="X4" s="54">
        <v>1.6670000000000001E-3</v>
      </c>
      <c r="Y4" s="54">
        <v>2.42702077189207E-3</v>
      </c>
      <c r="Z4" s="54">
        <v>4.4399706513858302E-4</v>
      </c>
    </row>
    <row r="5" spans="1:26" x14ac:dyDescent="0.25">
      <c r="A5" s="10">
        <v>1182</v>
      </c>
      <c r="B5" s="10">
        <v>1182</v>
      </c>
      <c r="C5" s="10" t="s">
        <v>1677</v>
      </c>
      <c r="D5" t="s">
        <v>1678</v>
      </c>
      <c r="E5" s="10" t="s">
        <v>111</v>
      </c>
      <c r="F5" s="10" t="s">
        <v>1683</v>
      </c>
      <c r="G5" s="10">
        <v>62019724</v>
      </c>
      <c r="H5" s="10" t="s">
        <v>111</v>
      </c>
      <c r="I5" t="s">
        <v>1668</v>
      </c>
      <c r="J5" s="10" t="s">
        <v>1680</v>
      </c>
      <c r="K5" s="10" t="s">
        <v>85</v>
      </c>
      <c r="L5" s="10" t="s">
        <v>1681</v>
      </c>
      <c r="M5" s="10" t="s">
        <v>71</v>
      </c>
      <c r="N5" s="10" t="s">
        <v>71</v>
      </c>
      <c r="O5" s="10" t="s">
        <v>72</v>
      </c>
      <c r="P5" s="63" t="s">
        <v>1684</v>
      </c>
      <c r="Q5" s="10" t="s">
        <v>75</v>
      </c>
      <c r="R5" s="10" t="s">
        <v>1555</v>
      </c>
      <c r="S5" s="10" t="s">
        <v>1671</v>
      </c>
      <c r="T5" s="61" t="s">
        <v>1455</v>
      </c>
      <c r="U5" s="55">
        <v>3.718</v>
      </c>
      <c r="V5" s="52">
        <v>68.912000000000006</v>
      </c>
      <c r="W5" s="52">
        <v>256.21499999999997</v>
      </c>
      <c r="X5" s="54">
        <v>0</v>
      </c>
      <c r="Y5" s="54">
        <v>3.2347072070203898E-3</v>
      </c>
      <c r="Z5" s="54">
        <v>5.9175451777449602E-4</v>
      </c>
    </row>
    <row r="6" spans="1:26" x14ac:dyDescent="0.25">
      <c r="A6" s="10">
        <v>1182</v>
      </c>
      <c r="B6" s="10">
        <v>1182</v>
      </c>
      <c r="C6" s="10" t="s">
        <v>1677</v>
      </c>
      <c r="D6" t="s">
        <v>1678</v>
      </c>
      <c r="E6" s="10" t="s">
        <v>111</v>
      </c>
      <c r="F6" s="10" t="s">
        <v>1685</v>
      </c>
      <c r="G6" s="10">
        <v>62000563</v>
      </c>
      <c r="H6" s="10" t="s">
        <v>111</v>
      </c>
      <c r="I6" t="s">
        <v>1668</v>
      </c>
      <c r="J6" s="10" t="s">
        <v>1680</v>
      </c>
      <c r="K6" s="10" t="s">
        <v>85</v>
      </c>
      <c r="L6" s="10" t="s">
        <v>1681</v>
      </c>
      <c r="M6" s="10" t="s">
        <v>71</v>
      </c>
      <c r="N6" s="10" t="s">
        <v>71</v>
      </c>
      <c r="O6" s="10" t="s">
        <v>72</v>
      </c>
      <c r="P6" s="63" t="s">
        <v>1686</v>
      </c>
      <c r="Q6" s="10" t="s">
        <v>75</v>
      </c>
      <c r="R6" s="10" t="s">
        <v>1555</v>
      </c>
      <c r="S6" s="10" t="s">
        <v>1671</v>
      </c>
      <c r="T6" s="61" t="s">
        <v>1455</v>
      </c>
      <c r="U6" s="55">
        <v>3.718</v>
      </c>
      <c r="V6" s="52">
        <v>64.007000000000005</v>
      </c>
      <c r="W6" s="52">
        <v>237.97800000000001</v>
      </c>
      <c r="X6" s="54">
        <v>1.2409999999999999E-3</v>
      </c>
      <c r="Y6" s="54">
        <v>3.0044584606257101E-3</v>
      </c>
      <c r="Z6" s="54">
        <v>5.4963301274453297E-4</v>
      </c>
    </row>
    <row r="7" spans="1:26" x14ac:dyDescent="0.25">
      <c r="A7" s="10">
        <v>1182</v>
      </c>
      <c r="B7" s="10">
        <v>1182</v>
      </c>
      <c r="C7" s="10" t="s">
        <v>1687</v>
      </c>
      <c r="D7" t="s">
        <v>1688</v>
      </c>
      <c r="E7" s="10" t="s">
        <v>111</v>
      </c>
      <c r="F7" s="10" t="s">
        <v>1689</v>
      </c>
      <c r="G7" s="10">
        <v>77419109</v>
      </c>
      <c r="H7" s="10" t="s">
        <v>111</v>
      </c>
      <c r="I7" t="s">
        <v>1690</v>
      </c>
      <c r="J7" s="10" t="s">
        <v>1675</v>
      </c>
      <c r="K7" s="10" t="s">
        <v>71</v>
      </c>
      <c r="L7" s="10" t="s">
        <v>1681</v>
      </c>
      <c r="M7" s="10" t="s">
        <v>71</v>
      </c>
      <c r="N7" s="10" t="s">
        <v>71</v>
      </c>
      <c r="O7" s="10" t="s">
        <v>72</v>
      </c>
      <c r="P7" s="63" t="s">
        <v>1691</v>
      </c>
      <c r="Q7" s="10" t="s">
        <v>75</v>
      </c>
      <c r="R7" s="10" t="s">
        <v>286</v>
      </c>
      <c r="S7" s="10" t="s">
        <v>1671</v>
      </c>
      <c r="T7" s="61" t="s">
        <v>1455</v>
      </c>
      <c r="U7" s="55">
        <v>3.718</v>
      </c>
      <c r="V7" s="52">
        <v>455.78399999999999</v>
      </c>
      <c r="W7" s="52">
        <v>1694.606</v>
      </c>
      <c r="X7" s="54">
        <v>0</v>
      </c>
      <c r="Y7" s="54">
        <v>2.1394326778474599E-2</v>
      </c>
      <c r="Z7" s="54">
        <v>3.9138594981423403E-3</v>
      </c>
    </row>
    <row r="8" spans="1:26" x14ac:dyDescent="0.25">
      <c r="A8" s="10">
        <v>1182</v>
      </c>
      <c r="B8" s="10">
        <v>1182</v>
      </c>
      <c r="C8" s="10" t="s">
        <v>1692</v>
      </c>
      <c r="D8" t="s">
        <v>1693</v>
      </c>
      <c r="E8" s="10" t="s">
        <v>540</v>
      </c>
      <c r="F8" s="10" t="s">
        <v>1694</v>
      </c>
      <c r="G8" s="10">
        <v>60415775</v>
      </c>
      <c r="H8" s="10" t="s">
        <v>111</v>
      </c>
      <c r="I8" t="s">
        <v>1668</v>
      </c>
      <c r="J8" s="10" t="s">
        <v>1695</v>
      </c>
      <c r="K8" s="10" t="s">
        <v>85</v>
      </c>
      <c r="L8" s="10" t="s">
        <v>1681</v>
      </c>
      <c r="M8" s="10" t="s">
        <v>71</v>
      </c>
      <c r="N8" s="10" t="s">
        <v>71</v>
      </c>
      <c r="O8" s="10" t="s">
        <v>72</v>
      </c>
      <c r="P8" s="63" t="s">
        <v>1696</v>
      </c>
      <c r="Q8" s="10" t="s">
        <v>75</v>
      </c>
      <c r="R8" s="10" t="s">
        <v>1555</v>
      </c>
      <c r="S8" s="10" t="s">
        <v>1671</v>
      </c>
      <c r="T8" s="61" t="s">
        <v>1455</v>
      </c>
      <c r="U8" s="55">
        <v>3.718</v>
      </c>
      <c r="V8" s="52">
        <v>107.04900000000001</v>
      </c>
      <c r="W8" s="52">
        <v>398.00799999999998</v>
      </c>
      <c r="X8" s="54">
        <v>5.0000000000000001E-4</v>
      </c>
      <c r="Y8" s="54">
        <v>5.0248359277263099E-3</v>
      </c>
      <c r="Z8" s="54">
        <v>9.1923910604775204E-4</v>
      </c>
    </row>
    <row r="9" spans="1:26" x14ac:dyDescent="0.25">
      <c r="A9" s="10">
        <v>1182</v>
      </c>
      <c r="B9" s="10">
        <v>1182</v>
      </c>
      <c r="C9" s="10" t="s">
        <v>1697</v>
      </c>
      <c r="D9" t="s">
        <v>1698</v>
      </c>
      <c r="E9" s="10" t="s">
        <v>111</v>
      </c>
      <c r="F9" s="10" t="s">
        <v>1699</v>
      </c>
      <c r="G9" s="10">
        <v>62017538</v>
      </c>
      <c r="H9" s="10" t="s">
        <v>111</v>
      </c>
      <c r="I9" t="s">
        <v>1668</v>
      </c>
      <c r="J9" s="10" t="s">
        <v>1695</v>
      </c>
      <c r="K9" s="10" t="s">
        <v>71</v>
      </c>
      <c r="L9" s="10" t="s">
        <v>71</v>
      </c>
      <c r="M9" s="10" t="s">
        <v>71</v>
      </c>
      <c r="N9" s="10" t="s">
        <v>71</v>
      </c>
      <c r="O9" s="10" t="s">
        <v>72</v>
      </c>
      <c r="P9" s="63" t="s">
        <v>1700</v>
      </c>
      <c r="Q9" s="10" t="s">
        <v>75</v>
      </c>
      <c r="R9" s="10" t="s">
        <v>286</v>
      </c>
      <c r="S9" s="10" t="s">
        <v>1671</v>
      </c>
      <c r="T9" s="61" t="s">
        <v>1455</v>
      </c>
      <c r="U9" s="55">
        <v>3.718</v>
      </c>
      <c r="V9" s="52">
        <v>470.61700000000002</v>
      </c>
      <c r="W9" s="52">
        <v>1749.7550000000001</v>
      </c>
      <c r="X9" s="54">
        <v>1.72E-3</v>
      </c>
      <c r="Y9" s="54">
        <v>2.20905812931665E-2</v>
      </c>
      <c r="Z9" s="54">
        <v>4.0412316923537899E-3</v>
      </c>
    </row>
    <row r="10" spans="1:26" x14ac:dyDescent="0.25">
      <c r="A10" s="10">
        <v>1182</v>
      </c>
      <c r="B10" s="10">
        <v>1182</v>
      </c>
      <c r="C10" s="10" t="s">
        <v>1701</v>
      </c>
      <c r="D10" t="s">
        <v>1702</v>
      </c>
      <c r="E10" s="10" t="s">
        <v>111</v>
      </c>
      <c r="F10" s="10" t="s">
        <v>1703</v>
      </c>
      <c r="G10" s="10">
        <v>62001189</v>
      </c>
      <c r="H10" s="10" t="s">
        <v>111</v>
      </c>
      <c r="I10" t="s">
        <v>1668</v>
      </c>
      <c r="J10" s="10" t="s">
        <v>1704</v>
      </c>
      <c r="K10" s="10" t="s">
        <v>71</v>
      </c>
      <c r="L10" s="10" t="s">
        <v>1681</v>
      </c>
      <c r="M10" s="10" t="s">
        <v>71</v>
      </c>
      <c r="N10" s="10" t="s">
        <v>71</v>
      </c>
      <c r="O10" s="10" t="s">
        <v>72</v>
      </c>
      <c r="P10" s="63" t="s">
        <v>1705</v>
      </c>
      <c r="Q10" s="10" t="s">
        <v>75</v>
      </c>
      <c r="R10" s="10" t="s">
        <v>1555</v>
      </c>
      <c r="S10" s="10" t="s">
        <v>1671</v>
      </c>
      <c r="T10" s="61" t="s">
        <v>1455</v>
      </c>
      <c r="U10" s="55">
        <v>3.718</v>
      </c>
      <c r="V10" s="52">
        <v>118.304</v>
      </c>
      <c r="W10" s="52">
        <v>439.85399999999998</v>
      </c>
      <c r="X10" s="54">
        <v>1.4170000000000001E-3</v>
      </c>
      <c r="Y10" s="54">
        <v>5.5531401897404298E-3</v>
      </c>
      <c r="Z10" s="54">
        <v>1.0158866273838E-3</v>
      </c>
    </row>
    <row r="11" spans="1:26" x14ac:dyDescent="0.25">
      <c r="A11" s="10">
        <v>1182</v>
      </c>
      <c r="B11" s="10">
        <v>1182</v>
      </c>
      <c r="C11" s="10" t="s">
        <v>1706</v>
      </c>
      <c r="D11" t="s">
        <v>1707</v>
      </c>
      <c r="E11" s="10" t="s">
        <v>111</v>
      </c>
      <c r="F11" s="10" t="s">
        <v>1706</v>
      </c>
      <c r="G11" s="10">
        <v>60401809</v>
      </c>
      <c r="H11" s="10" t="s">
        <v>111</v>
      </c>
      <c r="I11" t="s">
        <v>1668</v>
      </c>
      <c r="J11" s="10" t="s">
        <v>1708</v>
      </c>
      <c r="K11" s="10" t="s">
        <v>85</v>
      </c>
      <c r="L11" s="10" t="s">
        <v>1681</v>
      </c>
      <c r="M11" s="10" t="s">
        <v>71</v>
      </c>
      <c r="N11" s="10" t="s">
        <v>291</v>
      </c>
      <c r="O11" s="10" t="s">
        <v>72</v>
      </c>
      <c r="P11" s="63" t="s">
        <v>1709</v>
      </c>
      <c r="Q11" s="10" t="s">
        <v>75</v>
      </c>
      <c r="R11" s="10" t="s">
        <v>1555</v>
      </c>
      <c r="S11" s="10" t="s">
        <v>1671</v>
      </c>
      <c r="T11" s="61" t="s">
        <v>1455</v>
      </c>
      <c r="U11" s="55">
        <v>3.718</v>
      </c>
      <c r="V11" s="52">
        <v>195.47200000000001</v>
      </c>
      <c r="W11" s="52">
        <v>726.76599999999996</v>
      </c>
      <c r="X11" s="54">
        <v>9.8999999999999999E-4</v>
      </c>
      <c r="Y11" s="54">
        <v>9.1753860311753407E-3</v>
      </c>
      <c r="Z11" s="54">
        <v>1.67853712524244E-3</v>
      </c>
    </row>
    <row r="12" spans="1:26" x14ac:dyDescent="0.25">
      <c r="A12" s="10">
        <v>1182</v>
      </c>
      <c r="B12" s="10">
        <v>1182</v>
      </c>
      <c r="C12" s="10" t="s">
        <v>1710</v>
      </c>
      <c r="D12" t="s">
        <v>1711</v>
      </c>
      <c r="E12" s="10" t="s">
        <v>540</v>
      </c>
      <c r="F12" s="10" t="s">
        <v>1712</v>
      </c>
      <c r="G12" s="10">
        <v>50000983</v>
      </c>
      <c r="H12" s="10" t="s">
        <v>111</v>
      </c>
      <c r="I12" t="s">
        <v>1668</v>
      </c>
      <c r="J12" s="10" t="s">
        <v>1713</v>
      </c>
      <c r="K12" s="10" t="s">
        <v>85</v>
      </c>
      <c r="L12" s="10" t="s">
        <v>1681</v>
      </c>
      <c r="M12" s="10" t="s">
        <v>71</v>
      </c>
      <c r="N12" s="10" t="s">
        <v>215</v>
      </c>
      <c r="O12" s="10" t="s">
        <v>72</v>
      </c>
      <c r="P12" s="63" t="s">
        <v>1714</v>
      </c>
      <c r="Q12" s="10" t="s">
        <v>81</v>
      </c>
      <c r="R12" s="10" t="s">
        <v>1555</v>
      </c>
      <c r="S12" s="10" t="s">
        <v>1671</v>
      </c>
      <c r="T12" s="61" t="s">
        <v>1455</v>
      </c>
      <c r="U12" s="55">
        <v>1</v>
      </c>
      <c r="V12" s="52">
        <v>388.03399999999999</v>
      </c>
      <c r="W12" s="52">
        <v>388.03399999999999</v>
      </c>
      <c r="X12" s="54">
        <v>3.6499999999999998E-4</v>
      </c>
      <c r="Y12" s="54">
        <v>4.8989097902820697E-3</v>
      </c>
      <c r="Z12" s="54">
        <v>8.9620228819394497E-4</v>
      </c>
    </row>
    <row r="13" spans="1:26" x14ac:dyDescent="0.25">
      <c r="A13" s="10">
        <v>1182</v>
      </c>
      <c r="B13" s="10">
        <v>1182</v>
      </c>
      <c r="C13" s="10" t="s">
        <v>1710</v>
      </c>
      <c r="D13" t="s">
        <v>1711</v>
      </c>
      <c r="E13" s="10" t="s">
        <v>540</v>
      </c>
      <c r="F13" s="10" t="s">
        <v>1715</v>
      </c>
      <c r="G13" s="10">
        <v>50007897</v>
      </c>
      <c r="H13" s="10" t="s">
        <v>111</v>
      </c>
      <c r="I13" t="s">
        <v>1668</v>
      </c>
      <c r="J13" s="10" t="s">
        <v>1713</v>
      </c>
      <c r="K13" s="10" t="s">
        <v>85</v>
      </c>
      <c r="L13" s="10" t="s">
        <v>1681</v>
      </c>
      <c r="M13" s="10" t="s">
        <v>71</v>
      </c>
      <c r="N13" s="10" t="s">
        <v>215</v>
      </c>
      <c r="O13" s="10" t="s">
        <v>72</v>
      </c>
      <c r="P13" s="63" t="s">
        <v>1716</v>
      </c>
      <c r="Q13" s="10" t="s">
        <v>81</v>
      </c>
      <c r="R13" s="10" t="s">
        <v>286</v>
      </c>
      <c r="S13" s="10" t="s">
        <v>1671</v>
      </c>
      <c r="T13" s="61" t="s">
        <v>1455</v>
      </c>
      <c r="U13" s="55">
        <v>1</v>
      </c>
      <c r="V13" s="52">
        <v>406.37400000000002</v>
      </c>
      <c r="W13" s="52">
        <v>406.37400000000002</v>
      </c>
      <c r="X13" s="54">
        <v>1.03E-4</v>
      </c>
      <c r="Y13" s="54">
        <v>5.1304555298668803E-3</v>
      </c>
      <c r="Z13" s="54">
        <v>9.3856106402792996E-4</v>
      </c>
    </row>
    <row r="14" spans="1:26" x14ac:dyDescent="0.25">
      <c r="A14" s="10">
        <v>1182</v>
      </c>
      <c r="B14" s="10">
        <v>1182</v>
      </c>
      <c r="C14" s="10" t="s">
        <v>1677</v>
      </c>
      <c r="D14" t="s">
        <v>1678</v>
      </c>
      <c r="E14" s="10" t="s">
        <v>111</v>
      </c>
      <c r="F14" s="10" t="s">
        <v>1717</v>
      </c>
      <c r="G14" s="10">
        <v>62013347</v>
      </c>
      <c r="H14" s="10" t="s">
        <v>111</v>
      </c>
      <c r="I14" t="s">
        <v>1668</v>
      </c>
      <c r="J14" s="10" t="s">
        <v>1680</v>
      </c>
      <c r="K14" s="10" t="s">
        <v>85</v>
      </c>
      <c r="L14" s="10" t="s">
        <v>1681</v>
      </c>
      <c r="M14" s="10" t="s">
        <v>71</v>
      </c>
      <c r="N14" s="10" t="s">
        <v>71</v>
      </c>
      <c r="O14" s="10" t="s">
        <v>72</v>
      </c>
      <c r="P14" s="63" t="s">
        <v>1718</v>
      </c>
      <c r="Q14" s="10" t="s">
        <v>75</v>
      </c>
      <c r="R14" s="10" t="s">
        <v>1555</v>
      </c>
      <c r="S14" s="10" t="s">
        <v>1671</v>
      </c>
      <c r="T14" s="61" t="s">
        <v>1455</v>
      </c>
      <c r="U14" s="55">
        <v>3.718</v>
      </c>
      <c r="V14" s="52">
        <v>129.38499999999999</v>
      </c>
      <c r="W14" s="52">
        <v>481.053</v>
      </c>
      <c r="X14" s="54">
        <v>9.7439999999999992E-3</v>
      </c>
      <c r="Y14" s="54">
        <v>6.0732719038700299E-3</v>
      </c>
      <c r="Z14" s="54">
        <v>1.1110390699313E-3</v>
      </c>
    </row>
    <row r="15" spans="1:26" x14ac:dyDescent="0.25">
      <c r="A15" s="10">
        <v>1182</v>
      </c>
      <c r="B15" s="10">
        <v>1182</v>
      </c>
      <c r="C15" s="10" t="s">
        <v>1719</v>
      </c>
      <c r="D15" t="s">
        <v>1720</v>
      </c>
      <c r="E15" s="10" t="s">
        <v>1721</v>
      </c>
      <c r="F15" s="10" t="s">
        <v>1722</v>
      </c>
      <c r="G15" s="10">
        <v>60364742</v>
      </c>
      <c r="H15" s="10" t="s">
        <v>111</v>
      </c>
      <c r="I15" t="s">
        <v>1668</v>
      </c>
      <c r="J15" s="10" t="s">
        <v>1708</v>
      </c>
      <c r="K15" s="10" t="s">
        <v>71</v>
      </c>
      <c r="L15" s="10" t="s">
        <v>1681</v>
      </c>
      <c r="M15" s="10" t="s">
        <v>71</v>
      </c>
      <c r="N15" s="10" t="s">
        <v>71</v>
      </c>
      <c r="O15" s="10" t="s">
        <v>72</v>
      </c>
      <c r="P15" s="63" t="s">
        <v>1424</v>
      </c>
      <c r="Q15" s="10" t="s">
        <v>75</v>
      </c>
      <c r="R15" s="10" t="s">
        <v>1555</v>
      </c>
      <c r="S15" s="10" t="s">
        <v>1671</v>
      </c>
      <c r="T15" s="61" t="s">
        <v>1455</v>
      </c>
      <c r="U15" s="55">
        <v>3.718</v>
      </c>
      <c r="V15" s="52">
        <v>97.727999999999994</v>
      </c>
      <c r="W15" s="52">
        <v>363.35399999999998</v>
      </c>
      <c r="X15" s="54">
        <v>2.2729999999999998E-3</v>
      </c>
      <c r="Y15" s="54">
        <v>4.5873308062588901E-3</v>
      </c>
      <c r="Z15" s="54">
        <v>8.3920230036223697E-4</v>
      </c>
    </row>
    <row r="16" spans="1:26" x14ac:dyDescent="0.25">
      <c r="A16" s="10">
        <v>1182</v>
      </c>
      <c r="B16" s="10">
        <v>1182</v>
      </c>
      <c r="C16" s="10" t="s">
        <v>1719</v>
      </c>
      <c r="D16" t="s">
        <v>1720</v>
      </c>
      <c r="E16" s="10" t="s">
        <v>1721</v>
      </c>
      <c r="F16" s="10" t="s">
        <v>1723</v>
      </c>
      <c r="G16" s="10">
        <v>62002785</v>
      </c>
      <c r="H16" s="10" t="s">
        <v>111</v>
      </c>
      <c r="I16" t="s">
        <v>1668</v>
      </c>
      <c r="J16" s="10" t="s">
        <v>1708</v>
      </c>
      <c r="K16" s="10" t="s">
        <v>71</v>
      </c>
      <c r="L16" s="10" t="s">
        <v>1681</v>
      </c>
      <c r="M16" s="10" t="s">
        <v>71</v>
      </c>
      <c r="N16" s="10" t="s">
        <v>71</v>
      </c>
      <c r="O16" s="10" t="s">
        <v>72</v>
      </c>
      <c r="P16" s="63" t="s">
        <v>1724</v>
      </c>
      <c r="Q16" s="10" t="s">
        <v>75</v>
      </c>
      <c r="R16" s="10" t="s">
        <v>1555</v>
      </c>
      <c r="S16" s="10" t="s">
        <v>1671</v>
      </c>
      <c r="T16" s="61" t="s">
        <v>1455</v>
      </c>
      <c r="U16" s="55">
        <v>3.718</v>
      </c>
      <c r="V16" s="52">
        <v>103.937</v>
      </c>
      <c r="W16" s="52">
        <v>386.43700000000001</v>
      </c>
      <c r="X16" s="54">
        <v>8.3000000000000001E-4</v>
      </c>
      <c r="Y16" s="54">
        <v>4.8787485008971697E-3</v>
      </c>
      <c r="Z16" s="54">
        <v>8.9251399948213296E-4</v>
      </c>
    </row>
    <row r="17" spans="1:26" x14ac:dyDescent="0.25">
      <c r="A17" s="10">
        <v>1182</v>
      </c>
      <c r="B17" s="10">
        <v>1182</v>
      </c>
      <c r="C17" s="10" t="s">
        <v>1719</v>
      </c>
      <c r="D17" t="s">
        <v>1720</v>
      </c>
      <c r="E17" s="10" t="s">
        <v>1721</v>
      </c>
      <c r="F17" s="10" t="s">
        <v>1725</v>
      </c>
      <c r="G17" s="10">
        <v>62017827</v>
      </c>
      <c r="H17" s="10" t="s">
        <v>111</v>
      </c>
      <c r="I17" t="s">
        <v>1668</v>
      </c>
      <c r="J17" s="10" t="s">
        <v>1708</v>
      </c>
      <c r="K17" s="10" t="s">
        <v>71</v>
      </c>
      <c r="L17" s="10" t="s">
        <v>1681</v>
      </c>
      <c r="M17" s="10" t="s">
        <v>71</v>
      </c>
      <c r="N17" s="10" t="s">
        <v>71</v>
      </c>
      <c r="O17" s="10" t="s">
        <v>72</v>
      </c>
      <c r="P17" s="63" t="s">
        <v>1726</v>
      </c>
      <c r="Q17" s="10" t="s">
        <v>75</v>
      </c>
      <c r="R17" s="10" t="s">
        <v>1555</v>
      </c>
      <c r="S17" s="10" t="s">
        <v>1671</v>
      </c>
      <c r="T17" s="61" t="s">
        <v>1455</v>
      </c>
      <c r="U17" s="55">
        <v>3.718</v>
      </c>
      <c r="V17" s="52">
        <v>43.204000000000001</v>
      </c>
      <c r="W17" s="52">
        <v>160.63399999999999</v>
      </c>
      <c r="X17" s="54">
        <v>2.1800000000000001E-4</v>
      </c>
      <c r="Y17" s="54">
        <v>2.0279928930081199E-3</v>
      </c>
      <c r="Z17" s="54">
        <v>3.7099925268276599E-4</v>
      </c>
    </row>
    <row r="18" spans="1:26" x14ac:dyDescent="0.25">
      <c r="A18" s="10">
        <v>1182</v>
      </c>
      <c r="B18" s="10">
        <v>1182</v>
      </c>
      <c r="C18" s="10" t="s">
        <v>1719</v>
      </c>
      <c r="D18" t="s">
        <v>1720</v>
      </c>
      <c r="E18" s="10" t="s">
        <v>1721</v>
      </c>
      <c r="F18" s="10" t="s">
        <v>1727</v>
      </c>
      <c r="G18" s="10">
        <v>62018247</v>
      </c>
      <c r="H18" s="10" t="s">
        <v>111</v>
      </c>
      <c r="I18" t="s">
        <v>1668</v>
      </c>
      <c r="J18" s="10" t="s">
        <v>1708</v>
      </c>
      <c r="K18" s="10" t="s">
        <v>71</v>
      </c>
      <c r="L18" s="10" t="s">
        <v>1681</v>
      </c>
      <c r="M18" s="10" t="s">
        <v>71</v>
      </c>
      <c r="N18" s="10" t="s">
        <v>71</v>
      </c>
      <c r="O18" s="10" t="s">
        <v>72</v>
      </c>
      <c r="P18" s="63" t="s">
        <v>1728</v>
      </c>
      <c r="Q18" s="10" t="s">
        <v>75</v>
      </c>
      <c r="R18" s="10" t="s">
        <v>1555</v>
      </c>
      <c r="S18" s="10" t="s">
        <v>1671</v>
      </c>
      <c r="T18" s="61" t="s">
        <v>1455</v>
      </c>
      <c r="U18" s="55">
        <v>3.718</v>
      </c>
      <c r="V18" s="52">
        <v>193.035</v>
      </c>
      <c r="W18" s="52">
        <v>717.70299999999997</v>
      </c>
      <c r="X18" s="54">
        <v>1.4170000000000001E-3</v>
      </c>
      <c r="Y18" s="54">
        <v>9.0609733442723796E-3</v>
      </c>
      <c r="Z18" s="54">
        <v>1.657606567998E-3</v>
      </c>
    </row>
    <row r="19" spans="1:26" x14ac:dyDescent="0.25">
      <c r="A19" s="10">
        <v>1182</v>
      </c>
      <c r="B19" s="10">
        <v>1182</v>
      </c>
      <c r="C19" s="10" t="s">
        <v>1729</v>
      </c>
      <c r="D19" t="s">
        <v>1730</v>
      </c>
      <c r="E19" s="10" t="s">
        <v>111</v>
      </c>
      <c r="F19" s="10" t="s">
        <v>1731</v>
      </c>
      <c r="G19" s="10">
        <v>62013487</v>
      </c>
      <c r="H19" s="10" t="s">
        <v>111</v>
      </c>
      <c r="I19" t="s">
        <v>1668</v>
      </c>
      <c r="J19" s="10" t="s">
        <v>1680</v>
      </c>
      <c r="K19" s="10" t="s">
        <v>71</v>
      </c>
      <c r="L19" s="10" t="s">
        <v>71</v>
      </c>
      <c r="M19" s="10" t="s">
        <v>71</v>
      </c>
      <c r="N19" s="10" t="s">
        <v>71</v>
      </c>
      <c r="O19" s="10" t="s">
        <v>72</v>
      </c>
      <c r="P19" s="63" t="s">
        <v>1732</v>
      </c>
      <c r="Q19" s="10" t="s">
        <v>75</v>
      </c>
      <c r="R19" s="10" t="s">
        <v>1555</v>
      </c>
      <c r="S19" s="10" t="s">
        <v>1671</v>
      </c>
      <c r="T19" s="61" t="s">
        <v>1455</v>
      </c>
      <c r="U19" s="55">
        <v>3.718</v>
      </c>
      <c r="V19" s="52">
        <v>56.454000000000001</v>
      </c>
      <c r="W19" s="52">
        <v>209.89699999999999</v>
      </c>
      <c r="X19" s="54">
        <v>8.8889999999999993E-3</v>
      </c>
      <c r="Y19" s="54">
        <v>2.6499425068086399E-3</v>
      </c>
      <c r="Z19" s="54">
        <v>4.8477817307339399E-4</v>
      </c>
    </row>
    <row r="20" spans="1:26" x14ac:dyDescent="0.25">
      <c r="A20">
        <v>1182</v>
      </c>
      <c r="B20">
        <v>1182</v>
      </c>
      <c r="C20" t="s">
        <v>1733</v>
      </c>
      <c r="D20" t="s">
        <v>1734</v>
      </c>
      <c r="E20" s="10" t="s">
        <v>111</v>
      </c>
      <c r="F20" t="s">
        <v>1735</v>
      </c>
      <c r="G20">
        <v>62017694</v>
      </c>
      <c r="H20" s="10" t="s">
        <v>111</v>
      </c>
      <c r="I20" t="s">
        <v>1668</v>
      </c>
      <c r="J20" s="10" t="s">
        <v>1675</v>
      </c>
      <c r="K20" s="10" t="s">
        <v>71</v>
      </c>
      <c r="L20" s="10" t="s">
        <v>71</v>
      </c>
      <c r="M20" s="10" t="s">
        <v>71</v>
      </c>
      <c r="N20" s="10" t="s">
        <v>71</v>
      </c>
      <c r="O20" s="10" t="s">
        <v>72</v>
      </c>
      <c r="P20" s="63" t="s">
        <v>1736</v>
      </c>
      <c r="Q20" t="s">
        <v>75</v>
      </c>
      <c r="R20" s="10" t="s">
        <v>1555</v>
      </c>
      <c r="S20" s="10" t="s">
        <v>1671</v>
      </c>
      <c r="T20" s="63" t="s">
        <v>1455</v>
      </c>
      <c r="U20" s="42">
        <v>3.718</v>
      </c>
      <c r="V20" s="44">
        <v>183.119</v>
      </c>
      <c r="W20" s="44">
        <v>680.83799999999997</v>
      </c>
      <c r="X20" s="45">
        <v>4.8799999999999999E-4</v>
      </c>
      <c r="Y20" s="45">
        <v>8.59554914276346E-3</v>
      </c>
      <c r="Z20" s="45">
        <v>1.5724622701379801E-3</v>
      </c>
    </row>
    <row r="21" spans="1:26" x14ac:dyDescent="0.25">
      <c r="A21">
        <v>1182</v>
      </c>
      <c r="B21">
        <v>1182</v>
      </c>
      <c r="C21" t="s">
        <v>1737</v>
      </c>
      <c r="D21" t="s">
        <v>1738</v>
      </c>
      <c r="E21" t="s">
        <v>111</v>
      </c>
      <c r="F21" t="s">
        <v>1737</v>
      </c>
      <c r="G21">
        <v>62020375</v>
      </c>
      <c r="H21" t="s">
        <v>111</v>
      </c>
      <c r="I21" t="s">
        <v>1668</v>
      </c>
      <c r="J21" t="s">
        <v>1739</v>
      </c>
      <c r="K21" t="s">
        <v>71</v>
      </c>
      <c r="L21" t="s">
        <v>71</v>
      </c>
      <c r="M21" t="s">
        <v>71</v>
      </c>
      <c r="N21" t="s">
        <v>71</v>
      </c>
      <c r="O21" t="s">
        <v>72</v>
      </c>
      <c r="P21" s="63" t="s">
        <v>1740</v>
      </c>
      <c r="Q21" t="s">
        <v>75</v>
      </c>
      <c r="R21" t="s">
        <v>286</v>
      </c>
      <c r="S21" t="s">
        <v>1671</v>
      </c>
      <c r="T21" s="63" t="s">
        <v>1455</v>
      </c>
      <c r="U21" s="42">
        <v>3.718</v>
      </c>
      <c r="V21" s="44">
        <v>216.90899999999999</v>
      </c>
      <c r="W21" s="44">
        <v>806.46900000000005</v>
      </c>
      <c r="X21" s="45">
        <v>3.0200000000000002E-4</v>
      </c>
      <c r="Y21" s="45">
        <v>1.0181633571426501E-2</v>
      </c>
      <c r="Z21" s="45">
        <v>1.8626191734262001E-3</v>
      </c>
    </row>
    <row r="22" spans="1:26" x14ac:dyDescent="0.25">
      <c r="A22">
        <v>1182</v>
      </c>
      <c r="B22">
        <v>1182</v>
      </c>
      <c r="C22" t="s">
        <v>1741</v>
      </c>
      <c r="D22" t="s">
        <v>1742</v>
      </c>
      <c r="E22" t="s">
        <v>613</v>
      </c>
      <c r="F22" t="s">
        <v>1743</v>
      </c>
      <c r="G22">
        <v>62013024</v>
      </c>
      <c r="H22" t="s">
        <v>111</v>
      </c>
      <c r="I22" t="s">
        <v>1668</v>
      </c>
      <c r="J22" t="s">
        <v>1675</v>
      </c>
      <c r="K22" t="s">
        <v>71</v>
      </c>
      <c r="L22" t="s">
        <v>1681</v>
      </c>
      <c r="M22" t="s">
        <v>71</v>
      </c>
      <c r="N22" t="s">
        <v>71</v>
      </c>
      <c r="O22" t="s">
        <v>72</v>
      </c>
      <c r="P22" s="63" t="s">
        <v>1744</v>
      </c>
      <c r="Q22" t="s">
        <v>75</v>
      </c>
      <c r="R22" t="s">
        <v>286</v>
      </c>
      <c r="S22" t="s">
        <v>1671</v>
      </c>
      <c r="T22" s="63" t="s">
        <v>1455</v>
      </c>
      <c r="U22" s="42">
        <v>3.718</v>
      </c>
      <c r="V22" s="44">
        <v>205.596</v>
      </c>
      <c r="W22" s="44">
        <v>764.40499999999997</v>
      </c>
      <c r="X22" s="45">
        <v>0</v>
      </c>
      <c r="Y22" s="45">
        <v>9.6505792762144205E-3</v>
      </c>
      <c r="Z22" s="45">
        <v>1.7654685634132599E-3</v>
      </c>
    </row>
    <row r="23" spans="1:26" x14ac:dyDescent="0.25">
      <c r="A23">
        <v>1182</v>
      </c>
      <c r="B23">
        <v>1182</v>
      </c>
      <c r="C23" t="s">
        <v>1745</v>
      </c>
      <c r="D23" t="s">
        <v>1746</v>
      </c>
      <c r="E23" t="s">
        <v>286</v>
      </c>
      <c r="F23" t="s">
        <v>1747</v>
      </c>
      <c r="G23">
        <v>60406600</v>
      </c>
      <c r="H23" t="s">
        <v>111</v>
      </c>
      <c r="I23" t="s">
        <v>1668</v>
      </c>
      <c r="J23" t="s">
        <v>1748</v>
      </c>
      <c r="K23" t="s">
        <v>85</v>
      </c>
      <c r="L23" t="s">
        <v>1681</v>
      </c>
      <c r="M23" t="s">
        <v>71</v>
      </c>
      <c r="N23" t="s">
        <v>71</v>
      </c>
      <c r="O23" t="s">
        <v>72</v>
      </c>
      <c r="P23" s="63" t="s">
        <v>1749</v>
      </c>
      <c r="Q23" t="s">
        <v>75</v>
      </c>
      <c r="R23" t="s">
        <v>1555</v>
      </c>
      <c r="S23" t="s">
        <v>1671</v>
      </c>
      <c r="T23" s="63" t="s">
        <v>1455</v>
      </c>
      <c r="U23" s="42">
        <v>3.718</v>
      </c>
      <c r="V23" s="44">
        <v>206.83</v>
      </c>
      <c r="W23" s="44">
        <v>768.99199999999996</v>
      </c>
      <c r="X23" s="45">
        <v>0</v>
      </c>
      <c r="Y23" s="45">
        <v>9.7084920344568202E-3</v>
      </c>
      <c r="Z23" s="45">
        <v>1.7760630729417701E-3</v>
      </c>
    </row>
    <row r="24" spans="1:26" x14ac:dyDescent="0.25">
      <c r="A24">
        <v>1182</v>
      </c>
      <c r="B24">
        <v>1182</v>
      </c>
      <c r="C24" t="s">
        <v>1750</v>
      </c>
      <c r="D24" t="s">
        <v>1751</v>
      </c>
      <c r="E24" t="s">
        <v>286</v>
      </c>
      <c r="F24" t="s">
        <v>1752</v>
      </c>
      <c r="G24">
        <v>62009048</v>
      </c>
      <c r="H24" t="s">
        <v>111</v>
      </c>
      <c r="I24" t="s">
        <v>1668</v>
      </c>
      <c r="J24" t="s">
        <v>1748</v>
      </c>
      <c r="K24" t="s">
        <v>85</v>
      </c>
      <c r="L24" t="s">
        <v>1681</v>
      </c>
      <c r="M24" t="s">
        <v>71</v>
      </c>
      <c r="N24" t="s">
        <v>291</v>
      </c>
      <c r="O24" t="s">
        <v>72</v>
      </c>
      <c r="P24" s="63" t="s">
        <v>1753</v>
      </c>
      <c r="Q24" t="s">
        <v>75</v>
      </c>
      <c r="R24" t="s">
        <v>1555</v>
      </c>
      <c r="S24" t="s">
        <v>1671</v>
      </c>
      <c r="T24" s="63" t="s">
        <v>1455</v>
      </c>
      <c r="U24" s="42">
        <v>3.718</v>
      </c>
      <c r="V24" s="44">
        <v>298.59500000000003</v>
      </c>
      <c r="W24" s="44">
        <v>1110.1769999999999</v>
      </c>
      <c r="X24" s="45">
        <v>1.9400000000000001E-3</v>
      </c>
      <c r="Y24" s="45">
        <v>1.40159400007585E-2</v>
      </c>
      <c r="Z24" s="45">
        <v>2.5640638504481599E-3</v>
      </c>
    </row>
    <row r="25" spans="1:26" x14ac:dyDescent="0.25">
      <c r="A25">
        <v>1182</v>
      </c>
      <c r="B25">
        <v>1182</v>
      </c>
      <c r="C25" t="s">
        <v>1754</v>
      </c>
      <c r="D25" t="s">
        <v>1755</v>
      </c>
      <c r="E25" t="s">
        <v>286</v>
      </c>
      <c r="F25" t="s">
        <v>1756</v>
      </c>
      <c r="G25">
        <v>62015334</v>
      </c>
      <c r="H25" t="s">
        <v>111</v>
      </c>
      <c r="I25" t="s">
        <v>1668</v>
      </c>
      <c r="J25" t="s">
        <v>1748</v>
      </c>
      <c r="K25" t="s">
        <v>85</v>
      </c>
      <c r="L25" t="s">
        <v>1681</v>
      </c>
      <c r="M25" t="s">
        <v>71</v>
      </c>
      <c r="N25" t="s">
        <v>71</v>
      </c>
      <c r="O25" t="s">
        <v>72</v>
      </c>
      <c r="P25" s="63" t="s">
        <v>1757</v>
      </c>
      <c r="Q25" t="s">
        <v>75</v>
      </c>
      <c r="R25" t="s">
        <v>1555</v>
      </c>
      <c r="S25" t="s">
        <v>1671</v>
      </c>
      <c r="T25" s="63" t="s">
        <v>1455</v>
      </c>
      <c r="U25" s="42">
        <v>3.718</v>
      </c>
      <c r="V25" s="44">
        <v>280.07299999999998</v>
      </c>
      <c r="W25" s="44">
        <v>1041.3119999999999</v>
      </c>
      <c r="X25" s="45">
        <v>2.1250000000000002E-3</v>
      </c>
      <c r="Y25" s="45">
        <v>1.3146517258589599E-2</v>
      </c>
      <c r="Z25" s="45">
        <v>2.4050124115983901E-3</v>
      </c>
    </row>
    <row r="26" spans="1:26" x14ac:dyDescent="0.25">
      <c r="A26">
        <v>1182</v>
      </c>
      <c r="B26">
        <v>1182</v>
      </c>
      <c r="C26" t="s">
        <v>1758</v>
      </c>
      <c r="D26" t="s">
        <v>1759</v>
      </c>
      <c r="E26" t="s">
        <v>286</v>
      </c>
      <c r="F26" t="s">
        <v>1760</v>
      </c>
      <c r="G26">
        <v>62017835</v>
      </c>
      <c r="H26" t="s">
        <v>111</v>
      </c>
      <c r="I26" t="s">
        <v>1668</v>
      </c>
      <c r="J26" t="s">
        <v>1748</v>
      </c>
      <c r="K26" t="s">
        <v>71</v>
      </c>
      <c r="L26" t="s">
        <v>291</v>
      </c>
      <c r="M26" t="s">
        <v>71</v>
      </c>
      <c r="N26" t="s">
        <v>71</v>
      </c>
      <c r="O26" t="s">
        <v>72</v>
      </c>
      <c r="P26" s="63" t="s">
        <v>1726</v>
      </c>
      <c r="Q26" t="s">
        <v>75</v>
      </c>
      <c r="R26" t="s">
        <v>286</v>
      </c>
      <c r="S26" t="s">
        <v>1671</v>
      </c>
      <c r="T26" s="63" t="s">
        <v>1455</v>
      </c>
      <c r="U26" s="42">
        <v>3.718</v>
      </c>
      <c r="V26" s="44">
        <v>181.85300000000001</v>
      </c>
      <c r="W26" s="44">
        <v>676.13099999999997</v>
      </c>
      <c r="X26" s="45">
        <v>5.5099999999999995E-4</v>
      </c>
      <c r="Y26" s="45">
        <v>8.5361254553315297E-3</v>
      </c>
      <c r="Z26" s="45">
        <v>1.5615913525401401E-3</v>
      </c>
    </row>
    <row r="27" spans="1:26" x14ac:dyDescent="0.25">
      <c r="A27">
        <v>1182</v>
      </c>
      <c r="B27">
        <v>1182</v>
      </c>
      <c r="C27" t="s">
        <v>1761</v>
      </c>
      <c r="D27" t="s">
        <v>1762</v>
      </c>
      <c r="E27" t="s">
        <v>286</v>
      </c>
      <c r="F27" t="s">
        <v>1763</v>
      </c>
      <c r="G27">
        <v>62020011</v>
      </c>
      <c r="H27" t="s">
        <v>111</v>
      </c>
      <c r="I27" t="s">
        <v>1668</v>
      </c>
      <c r="J27" t="s">
        <v>1748</v>
      </c>
      <c r="K27" t="s">
        <v>85</v>
      </c>
      <c r="L27" t="s">
        <v>291</v>
      </c>
      <c r="M27" t="s">
        <v>71</v>
      </c>
      <c r="N27" t="s">
        <v>71</v>
      </c>
      <c r="O27" t="s">
        <v>72</v>
      </c>
      <c r="P27" s="63" t="s">
        <v>1764</v>
      </c>
      <c r="Q27" t="s">
        <v>75</v>
      </c>
      <c r="R27" t="s">
        <v>1555</v>
      </c>
      <c r="S27" t="s">
        <v>1671</v>
      </c>
      <c r="T27" s="63" t="s">
        <v>1455</v>
      </c>
      <c r="U27" s="42">
        <v>3.718</v>
      </c>
      <c r="V27" s="44">
        <v>102.197</v>
      </c>
      <c r="W27" s="44">
        <v>379.96699999999998</v>
      </c>
      <c r="X27" s="45">
        <v>1.554E-3</v>
      </c>
      <c r="Y27" s="45">
        <v>4.7970681497717096E-3</v>
      </c>
      <c r="Z27" s="45">
        <v>8.7757146722233705E-4</v>
      </c>
    </row>
    <row r="28" spans="1:26" x14ac:dyDescent="0.25">
      <c r="A28">
        <v>1182</v>
      </c>
      <c r="B28">
        <v>1182</v>
      </c>
      <c r="C28" t="s">
        <v>1765</v>
      </c>
      <c r="D28" t="s">
        <v>1766</v>
      </c>
      <c r="E28" t="s">
        <v>286</v>
      </c>
      <c r="F28" t="s">
        <v>1767</v>
      </c>
      <c r="G28">
        <v>62020748</v>
      </c>
      <c r="H28" t="s">
        <v>111</v>
      </c>
      <c r="I28" t="s">
        <v>1668</v>
      </c>
      <c r="J28" t="s">
        <v>1748</v>
      </c>
      <c r="K28" t="s">
        <v>85</v>
      </c>
      <c r="L28" t="s">
        <v>291</v>
      </c>
      <c r="M28" t="s">
        <v>71</v>
      </c>
      <c r="N28" t="s">
        <v>291</v>
      </c>
      <c r="O28" t="s">
        <v>72</v>
      </c>
      <c r="P28" s="63" t="s">
        <v>1768</v>
      </c>
      <c r="Q28" t="s">
        <v>75</v>
      </c>
      <c r="R28" t="s">
        <v>286</v>
      </c>
      <c r="S28" t="s">
        <v>1671</v>
      </c>
      <c r="T28" s="63" t="s">
        <v>1455</v>
      </c>
      <c r="U28" s="42">
        <v>3.718</v>
      </c>
      <c r="V28" s="44">
        <v>69.942999999999998</v>
      </c>
      <c r="W28" s="44">
        <v>260.05</v>
      </c>
      <c r="X28" s="45">
        <v>1.8799999999999999E-4</v>
      </c>
      <c r="Y28" s="45">
        <v>3.2831155344583401E-3</v>
      </c>
      <c r="Z28" s="45">
        <v>6.0061029501366596E-4</v>
      </c>
    </row>
    <row r="29" spans="1:26" x14ac:dyDescent="0.25">
      <c r="A29">
        <v>1182</v>
      </c>
      <c r="B29">
        <v>1182</v>
      </c>
      <c r="C29" t="s">
        <v>1769</v>
      </c>
      <c r="E29" t="s">
        <v>286</v>
      </c>
      <c r="F29" t="s">
        <v>1770</v>
      </c>
      <c r="G29">
        <v>62015151</v>
      </c>
      <c r="H29" t="s">
        <v>111</v>
      </c>
      <c r="I29" t="s">
        <v>1668</v>
      </c>
      <c r="J29" t="s">
        <v>1708</v>
      </c>
      <c r="K29" t="s">
        <v>85</v>
      </c>
      <c r="L29" t="s">
        <v>291</v>
      </c>
      <c r="M29" t="s">
        <v>71</v>
      </c>
      <c r="N29" t="s">
        <v>71</v>
      </c>
      <c r="O29" t="s">
        <v>72</v>
      </c>
      <c r="P29" s="63" t="s">
        <v>1771</v>
      </c>
      <c r="Q29" t="s">
        <v>75</v>
      </c>
      <c r="R29" t="s">
        <v>1555</v>
      </c>
      <c r="S29" t="s">
        <v>1671</v>
      </c>
      <c r="T29" s="63" t="s">
        <v>1455</v>
      </c>
      <c r="U29" s="42">
        <v>3.718</v>
      </c>
      <c r="V29" s="44">
        <v>211.685</v>
      </c>
      <c r="W29" s="44">
        <v>787.04399999999998</v>
      </c>
      <c r="X29" s="45">
        <v>1.7160000000000001E-3</v>
      </c>
      <c r="Y29" s="45">
        <v>9.9363959805880402E-3</v>
      </c>
      <c r="Z29" s="45">
        <v>1.81775562225476E-3</v>
      </c>
    </row>
    <row r="30" spans="1:26" x14ac:dyDescent="0.25">
      <c r="A30">
        <v>1182</v>
      </c>
      <c r="B30">
        <v>1182</v>
      </c>
      <c r="C30" t="s">
        <v>1769</v>
      </c>
      <c r="E30" t="s">
        <v>286</v>
      </c>
      <c r="F30" t="s">
        <v>1772</v>
      </c>
      <c r="G30">
        <v>62007349</v>
      </c>
      <c r="H30" t="s">
        <v>111</v>
      </c>
      <c r="I30" t="s">
        <v>1668</v>
      </c>
      <c r="J30" t="s">
        <v>1704</v>
      </c>
      <c r="K30" t="s">
        <v>85</v>
      </c>
      <c r="L30" t="s">
        <v>1681</v>
      </c>
      <c r="M30" t="s">
        <v>71</v>
      </c>
      <c r="N30" t="s">
        <v>71</v>
      </c>
      <c r="O30" t="s">
        <v>72</v>
      </c>
      <c r="P30" s="63" t="s">
        <v>1773</v>
      </c>
      <c r="Q30" t="s">
        <v>75</v>
      </c>
      <c r="R30" t="s">
        <v>1555</v>
      </c>
      <c r="S30" t="s">
        <v>1671</v>
      </c>
      <c r="T30" s="63" t="s">
        <v>1455</v>
      </c>
      <c r="U30" s="42">
        <v>3.718</v>
      </c>
      <c r="V30" s="44">
        <v>118.21</v>
      </c>
      <c r="W30" s="44">
        <v>439.505</v>
      </c>
      <c r="X30" s="45">
        <v>4.1899999999999999E-4</v>
      </c>
      <c r="Y30" s="45">
        <v>5.5487377460844197E-3</v>
      </c>
      <c r="Z30" s="45">
        <v>1.0150812481775999E-3</v>
      </c>
    </row>
    <row r="31" spans="1:26" x14ac:dyDescent="0.25">
      <c r="A31">
        <v>1182</v>
      </c>
      <c r="B31">
        <v>1182</v>
      </c>
      <c r="C31" t="s">
        <v>1774</v>
      </c>
      <c r="D31" t="s">
        <v>1775</v>
      </c>
      <c r="E31" t="s">
        <v>286</v>
      </c>
      <c r="F31" t="s">
        <v>1776</v>
      </c>
      <c r="G31">
        <v>62020755</v>
      </c>
      <c r="H31" t="s">
        <v>111</v>
      </c>
      <c r="I31" t="s">
        <v>1668</v>
      </c>
      <c r="J31" t="s">
        <v>1704</v>
      </c>
      <c r="K31" t="s">
        <v>85</v>
      </c>
      <c r="L31" t="s">
        <v>291</v>
      </c>
      <c r="M31" t="s">
        <v>71</v>
      </c>
      <c r="N31" t="s">
        <v>71</v>
      </c>
      <c r="O31" t="s">
        <v>72</v>
      </c>
      <c r="P31" s="63" t="s">
        <v>1768</v>
      </c>
      <c r="Q31" t="s">
        <v>75</v>
      </c>
      <c r="R31" t="s">
        <v>286</v>
      </c>
      <c r="S31" t="s">
        <v>1671</v>
      </c>
      <c r="T31" s="63" t="s">
        <v>1455</v>
      </c>
      <c r="U31" s="42">
        <v>3.718</v>
      </c>
      <c r="V31" s="44">
        <v>189.565</v>
      </c>
      <c r="W31" s="44">
        <v>704.80200000000002</v>
      </c>
      <c r="X31" s="45">
        <v>3.77E-4</v>
      </c>
      <c r="Y31" s="45">
        <v>8.8980937493259808E-3</v>
      </c>
      <c r="Z31" s="45">
        <v>1.6278095168294599E-3</v>
      </c>
    </row>
    <row r="32" spans="1:26" x14ac:dyDescent="0.25">
      <c r="A32">
        <v>1182</v>
      </c>
      <c r="B32">
        <v>1182</v>
      </c>
      <c r="C32" t="s">
        <v>1777</v>
      </c>
      <c r="D32" t="s">
        <v>1778</v>
      </c>
      <c r="E32" t="s">
        <v>210</v>
      </c>
      <c r="F32" t="s">
        <v>1779</v>
      </c>
      <c r="G32">
        <v>50006410</v>
      </c>
      <c r="H32" t="s">
        <v>111</v>
      </c>
      <c r="I32" t="s">
        <v>1690</v>
      </c>
      <c r="J32" t="s">
        <v>1675</v>
      </c>
      <c r="K32" t="s">
        <v>71</v>
      </c>
      <c r="L32" t="s">
        <v>1681</v>
      </c>
      <c r="M32" t="s">
        <v>71</v>
      </c>
      <c r="N32" t="s">
        <v>71</v>
      </c>
      <c r="O32" t="s">
        <v>72</v>
      </c>
      <c r="P32" s="63" t="s">
        <v>1780</v>
      </c>
      <c r="Q32" t="s">
        <v>81</v>
      </c>
      <c r="R32" t="s">
        <v>286</v>
      </c>
      <c r="S32" t="s">
        <v>1671</v>
      </c>
      <c r="T32" s="63" t="s">
        <v>1455</v>
      </c>
      <c r="U32" s="42">
        <v>1</v>
      </c>
      <c r="V32" s="44">
        <v>1197.1469999999999</v>
      </c>
      <c r="W32" s="44">
        <v>1197.1469999999999</v>
      </c>
      <c r="X32" s="45">
        <v>0</v>
      </c>
      <c r="Y32" s="45">
        <v>1.5113925108946E-2</v>
      </c>
      <c r="Z32" s="45">
        <v>2.76492828937139E-3</v>
      </c>
    </row>
    <row r="33" spans="1:26" x14ac:dyDescent="0.25">
      <c r="A33">
        <v>1182</v>
      </c>
      <c r="B33">
        <v>1182</v>
      </c>
      <c r="C33" t="s">
        <v>1781</v>
      </c>
      <c r="D33" t="s">
        <v>1782</v>
      </c>
      <c r="E33" t="s">
        <v>210</v>
      </c>
      <c r="F33" t="s">
        <v>1783</v>
      </c>
      <c r="G33">
        <v>50007004</v>
      </c>
      <c r="H33" t="s">
        <v>111</v>
      </c>
      <c r="I33" t="s">
        <v>1668</v>
      </c>
      <c r="J33" t="s">
        <v>1784</v>
      </c>
      <c r="K33" t="s">
        <v>71</v>
      </c>
      <c r="L33" t="s">
        <v>71</v>
      </c>
      <c r="M33" t="s">
        <v>71</v>
      </c>
      <c r="N33" t="s">
        <v>71</v>
      </c>
      <c r="O33" t="s">
        <v>72</v>
      </c>
      <c r="P33" s="63" t="s">
        <v>1785</v>
      </c>
      <c r="Q33" t="s">
        <v>81</v>
      </c>
      <c r="R33" t="s">
        <v>1555</v>
      </c>
      <c r="S33" t="s">
        <v>1671</v>
      </c>
      <c r="T33" s="63" t="s">
        <v>1455</v>
      </c>
      <c r="U33" s="42">
        <v>1</v>
      </c>
      <c r="V33" s="44">
        <v>976.024</v>
      </c>
      <c r="W33" s="44">
        <v>976.024</v>
      </c>
      <c r="X33" s="45">
        <v>0</v>
      </c>
      <c r="Y33" s="45">
        <v>1.23222666608565E-2</v>
      </c>
      <c r="Z33" s="45">
        <v>2.2542247254893301E-3</v>
      </c>
    </row>
    <row r="34" spans="1:26" x14ac:dyDescent="0.25">
      <c r="A34">
        <v>1182</v>
      </c>
      <c r="B34">
        <v>1182</v>
      </c>
      <c r="C34" t="s">
        <v>1786</v>
      </c>
      <c r="D34" t="s">
        <v>1787</v>
      </c>
      <c r="E34" t="s">
        <v>210</v>
      </c>
      <c r="F34" t="s">
        <v>1786</v>
      </c>
      <c r="G34">
        <v>50007350</v>
      </c>
      <c r="H34" t="s">
        <v>111</v>
      </c>
      <c r="I34" t="s">
        <v>1668</v>
      </c>
      <c r="J34" t="s">
        <v>1788</v>
      </c>
      <c r="K34" t="s">
        <v>71</v>
      </c>
      <c r="L34" t="s">
        <v>71</v>
      </c>
      <c r="M34" t="s">
        <v>71</v>
      </c>
      <c r="N34" t="s">
        <v>71</v>
      </c>
      <c r="O34" t="s">
        <v>72</v>
      </c>
      <c r="P34" s="63" t="s">
        <v>1789</v>
      </c>
      <c r="Q34" t="s">
        <v>81</v>
      </c>
      <c r="R34" t="s">
        <v>286</v>
      </c>
      <c r="S34" t="s">
        <v>1671</v>
      </c>
      <c r="T34" s="63" t="s">
        <v>1455</v>
      </c>
      <c r="U34" s="42">
        <v>1</v>
      </c>
      <c r="V34" s="44">
        <v>1634.425</v>
      </c>
      <c r="W34" s="44">
        <v>1634.425</v>
      </c>
      <c r="X34" s="45">
        <v>2.1789999999999999E-3</v>
      </c>
      <c r="Y34" s="45">
        <v>2.0634549643090701E-2</v>
      </c>
      <c r="Z34" s="45">
        <v>3.7748665310541802E-3</v>
      </c>
    </row>
    <row r="35" spans="1:26" x14ac:dyDescent="0.25">
      <c r="A35">
        <v>1182</v>
      </c>
      <c r="B35">
        <v>1182</v>
      </c>
      <c r="C35" t="s">
        <v>1790</v>
      </c>
      <c r="D35" t="s">
        <v>1791</v>
      </c>
      <c r="E35" t="s">
        <v>111</v>
      </c>
      <c r="F35" t="s">
        <v>1792</v>
      </c>
      <c r="G35">
        <v>50008325</v>
      </c>
      <c r="H35" t="s">
        <v>111</v>
      </c>
      <c r="I35" t="s">
        <v>1668</v>
      </c>
      <c r="J35" t="s">
        <v>1675</v>
      </c>
      <c r="K35" t="s">
        <v>71</v>
      </c>
      <c r="L35" t="s">
        <v>71</v>
      </c>
      <c r="M35" t="s">
        <v>71</v>
      </c>
      <c r="N35" t="s">
        <v>71</v>
      </c>
      <c r="O35" t="s">
        <v>72</v>
      </c>
      <c r="P35" s="63" t="s">
        <v>1793</v>
      </c>
      <c r="Q35" t="s">
        <v>81</v>
      </c>
      <c r="R35" t="s">
        <v>286</v>
      </c>
      <c r="S35" t="s">
        <v>1481</v>
      </c>
      <c r="T35" s="63" t="s">
        <v>1455</v>
      </c>
      <c r="U35" s="42">
        <v>1</v>
      </c>
      <c r="V35" s="44">
        <v>69.650999999999996</v>
      </c>
      <c r="W35" s="44">
        <v>69.650999999999996</v>
      </c>
      <c r="X35" s="45">
        <v>0</v>
      </c>
      <c r="Y35" s="45">
        <v>8.7934082992434501E-4</v>
      </c>
      <c r="Z35" s="45">
        <v>1.6086584518127799E-4</v>
      </c>
    </row>
    <row r="36" spans="1:26" x14ac:dyDescent="0.25">
      <c r="A36">
        <v>1182</v>
      </c>
      <c r="B36">
        <v>1182</v>
      </c>
      <c r="C36" t="s">
        <v>1672</v>
      </c>
      <c r="D36" t="s">
        <v>1673</v>
      </c>
      <c r="E36" t="s">
        <v>420</v>
      </c>
      <c r="F36" t="s">
        <v>1794</v>
      </c>
      <c r="G36">
        <v>60400892</v>
      </c>
      <c r="H36" t="s">
        <v>111</v>
      </c>
      <c r="I36" t="s">
        <v>1668</v>
      </c>
      <c r="J36" t="s">
        <v>1675</v>
      </c>
      <c r="K36" t="s">
        <v>71</v>
      </c>
      <c r="L36" t="s">
        <v>71</v>
      </c>
      <c r="M36" t="s">
        <v>71</v>
      </c>
      <c r="N36" t="s">
        <v>71</v>
      </c>
      <c r="O36" t="s">
        <v>72</v>
      </c>
      <c r="P36" s="63" t="s">
        <v>1795</v>
      </c>
      <c r="Q36" t="s">
        <v>75</v>
      </c>
      <c r="R36" t="s">
        <v>1555</v>
      </c>
      <c r="S36" t="s">
        <v>1671</v>
      </c>
      <c r="T36" s="63" t="s">
        <v>1455</v>
      </c>
      <c r="U36" s="42">
        <v>3.718</v>
      </c>
      <c r="V36" s="44">
        <v>683.29499999999996</v>
      </c>
      <c r="W36" s="44">
        <v>2540.491</v>
      </c>
      <c r="X36" s="45">
        <v>0</v>
      </c>
      <c r="Y36" s="45">
        <v>3.2073584047516902E-2</v>
      </c>
      <c r="Z36" s="45">
        <v>5.8675135171881703E-3</v>
      </c>
    </row>
    <row r="37" spans="1:26" x14ac:dyDescent="0.25">
      <c r="A37">
        <v>1182</v>
      </c>
      <c r="B37">
        <v>1182</v>
      </c>
      <c r="C37" t="s">
        <v>1781</v>
      </c>
      <c r="D37" t="s">
        <v>1782</v>
      </c>
      <c r="E37" t="s">
        <v>210</v>
      </c>
      <c r="F37" t="s">
        <v>1781</v>
      </c>
      <c r="G37">
        <v>18952</v>
      </c>
      <c r="H37" t="s">
        <v>111</v>
      </c>
      <c r="I37" t="s">
        <v>1668</v>
      </c>
      <c r="J37" t="s">
        <v>1784</v>
      </c>
      <c r="K37" t="s">
        <v>71</v>
      </c>
      <c r="L37" t="s">
        <v>71</v>
      </c>
      <c r="M37" t="s">
        <v>71</v>
      </c>
      <c r="N37" t="s">
        <v>71</v>
      </c>
      <c r="O37" t="s">
        <v>72</v>
      </c>
      <c r="P37" s="63" t="s">
        <v>1796</v>
      </c>
      <c r="Q37" t="s">
        <v>81</v>
      </c>
      <c r="R37" t="s">
        <v>1555</v>
      </c>
      <c r="S37" t="s">
        <v>1671</v>
      </c>
      <c r="T37" s="63" t="s">
        <v>1455</v>
      </c>
      <c r="U37" s="42">
        <v>1</v>
      </c>
      <c r="V37" s="44">
        <v>122.438</v>
      </c>
      <c r="W37" s="44">
        <v>122.438</v>
      </c>
      <c r="X37" s="45">
        <v>3.1100000000000002E-4</v>
      </c>
      <c r="Y37" s="45">
        <v>1.54577492976841E-3</v>
      </c>
      <c r="Z37" s="45">
        <v>2.82782718685564E-4</v>
      </c>
    </row>
    <row r="38" spans="1:26" x14ac:dyDescent="0.25">
      <c r="A38">
        <v>1182</v>
      </c>
      <c r="B38">
        <v>1182</v>
      </c>
      <c r="C38" t="s">
        <v>1797</v>
      </c>
      <c r="D38" t="s">
        <v>1798</v>
      </c>
      <c r="E38" t="s">
        <v>286</v>
      </c>
      <c r="F38" t="s">
        <v>1799</v>
      </c>
      <c r="G38">
        <v>50007160</v>
      </c>
      <c r="H38" t="s">
        <v>111</v>
      </c>
      <c r="I38" t="s">
        <v>1668</v>
      </c>
      <c r="J38" t="s">
        <v>1675</v>
      </c>
      <c r="K38" t="s">
        <v>71</v>
      </c>
      <c r="L38" t="s">
        <v>71</v>
      </c>
      <c r="M38" t="s">
        <v>71</v>
      </c>
      <c r="N38" t="s">
        <v>71</v>
      </c>
      <c r="O38" t="s">
        <v>72</v>
      </c>
      <c r="P38" s="63" t="s">
        <v>1800</v>
      </c>
      <c r="Q38" t="s">
        <v>81</v>
      </c>
      <c r="R38" t="s">
        <v>286</v>
      </c>
      <c r="S38" t="s">
        <v>1671</v>
      </c>
      <c r="T38" s="63" t="s">
        <v>1455</v>
      </c>
      <c r="U38" s="42">
        <v>1</v>
      </c>
      <c r="V38" s="44">
        <v>307.07100000000003</v>
      </c>
      <c r="W38" s="44">
        <v>307.07100000000003</v>
      </c>
      <c r="X38" s="45">
        <v>3.1350000000000002E-3</v>
      </c>
      <c r="Y38" s="45">
        <v>3.87676294842902E-3</v>
      </c>
      <c r="Z38" s="45">
        <v>7.0921163562955697E-4</v>
      </c>
    </row>
    <row r="39" spans="1:26" x14ac:dyDescent="0.25">
      <c r="A39">
        <v>1182</v>
      </c>
      <c r="B39">
        <v>1182</v>
      </c>
      <c r="C39" t="s">
        <v>1801</v>
      </c>
      <c r="D39" t="s">
        <v>1802</v>
      </c>
      <c r="E39" t="s">
        <v>613</v>
      </c>
      <c r="F39" t="s">
        <v>1803</v>
      </c>
      <c r="G39">
        <v>62022124</v>
      </c>
      <c r="H39" t="s">
        <v>111</v>
      </c>
      <c r="I39" t="s">
        <v>1668</v>
      </c>
      <c r="J39" t="s">
        <v>1675</v>
      </c>
      <c r="K39" t="s">
        <v>85</v>
      </c>
      <c r="O39" t="s">
        <v>72</v>
      </c>
      <c r="P39" s="63" t="s">
        <v>1804</v>
      </c>
      <c r="Q39" t="s">
        <v>77</v>
      </c>
      <c r="R39" t="s">
        <v>286</v>
      </c>
      <c r="T39" s="63" t="s">
        <v>1455</v>
      </c>
      <c r="U39" s="42">
        <v>4.0218999999999996</v>
      </c>
      <c r="V39" s="44">
        <v>121.767</v>
      </c>
      <c r="W39" s="44">
        <v>489.73399999999998</v>
      </c>
      <c r="X39" s="45">
        <v>8.1000000000000004E-5</v>
      </c>
      <c r="Y39" s="45">
        <v>6.1828751181205602E-3</v>
      </c>
      <c r="Z39" s="45">
        <v>1.1310897864396101E-3</v>
      </c>
    </row>
    <row r="40" spans="1:26" x14ac:dyDescent="0.25">
      <c r="A40">
        <v>1182</v>
      </c>
      <c r="B40">
        <v>1182</v>
      </c>
      <c r="C40" t="s">
        <v>1805</v>
      </c>
      <c r="D40" t="s">
        <v>1806</v>
      </c>
      <c r="E40" t="s">
        <v>111</v>
      </c>
      <c r="F40" t="s">
        <v>1807</v>
      </c>
      <c r="G40">
        <v>62020672</v>
      </c>
      <c r="H40" t="s">
        <v>111</v>
      </c>
      <c r="I40" t="s">
        <v>1668</v>
      </c>
      <c r="J40" t="s">
        <v>1675</v>
      </c>
      <c r="K40" t="s">
        <v>85</v>
      </c>
      <c r="L40" t="s">
        <v>291</v>
      </c>
      <c r="M40" t="s">
        <v>291</v>
      </c>
      <c r="N40" t="s">
        <v>291</v>
      </c>
      <c r="O40" t="s">
        <v>72</v>
      </c>
      <c r="P40" s="63" t="s">
        <v>1808</v>
      </c>
      <c r="Q40" t="s">
        <v>75</v>
      </c>
      <c r="R40" t="s">
        <v>286</v>
      </c>
      <c r="S40" t="s">
        <v>1671</v>
      </c>
      <c r="T40" s="63" t="s">
        <v>1455</v>
      </c>
      <c r="U40" s="42">
        <v>3.718</v>
      </c>
      <c r="V40" s="44">
        <v>93.224000000000004</v>
      </c>
      <c r="W40" s="44">
        <v>346.60700000000003</v>
      </c>
      <c r="X40" s="45">
        <v>2.3499999999999999E-4</v>
      </c>
      <c r="Y40" s="45">
        <v>4.37589797258949E-3</v>
      </c>
      <c r="Z40" s="45">
        <v>8.0052296201031897E-4</v>
      </c>
    </row>
    <row r="41" spans="1:26" x14ac:dyDescent="0.25">
      <c r="A41">
        <v>1182</v>
      </c>
      <c r="B41">
        <v>1182</v>
      </c>
      <c r="C41" t="s">
        <v>1809</v>
      </c>
      <c r="D41" t="s">
        <v>1810</v>
      </c>
      <c r="E41" t="s">
        <v>613</v>
      </c>
      <c r="F41" t="s">
        <v>1809</v>
      </c>
      <c r="G41">
        <v>62021365</v>
      </c>
      <c r="H41" t="s">
        <v>111</v>
      </c>
      <c r="I41" t="s">
        <v>1668</v>
      </c>
      <c r="J41" t="s">
        <v>1811</v>
      </c>
      <c r="K41" t="s">
        <v>85</v>
      </c>
      <c r="L41" t="s">
        <v>1353</v>
      </c>
      <c r="M41" t="s">
        <v>1353</v>
      </c>
      <c r="N41" t="s">
        <v>1199</v>
      </c>
      <c r="O41" t="s">
        <v>72</v>
      </c>
      <c r="P41" s="63" t="s">
        <v>1812</v>
      </c>
      <c r="Q41" t="s">
        <v>75</v>
      </c>
      <c r="R41" t="s">
        <v>1555</v>
      </c>
      <c r="S41" t="s">
        <v>1671</v>
      </c>
      <c r="T41" s="63" t="s">
        <v>1455</v>
      </c>
      <c r="U41" s="42">
        <v>3.718</v>
      </c>
      <c r="V41" s="44">
        <v>110.41200000000001</v>
      </c>
      <c r="W41" s="44">
        <v>410.512</v>
      </c>
      <c r="X41" s="45">
        <v>0</v>
      </c>
      <c r="Y41" s="45">
        <v>5.1826980072525201E-3</v>
      </c>
      <c r="Z41" s="45">
        <v>9.48118257317507E-4</v>
      </c>
    </row>
    <row r="42" spans="1:26" x14ac:dyDescent="0.25">
      <c r="A42">
        <v>1182</v>
      </c>
      <c r="B42">
        <v>1182</v>
      </c>
      <c r="C42" t="s">
        <v>1813</v>
      </c>
      <c r="D42" t="s">
        <v>1814</v>
      </c>
      <c r="E42" t="s">
        <v>540</v>
      </c>
      <c r="F42" t="s">
        <v>1813</v>
      </c>
      <c r="G42">
        <v>62020896</v>
      </c>
      <c r="H42" t="s">
        <v>111</v>
      </c>
      <c r="I42" t="s">
        <v>1668</v>
      </c>
      <c r="J42" t="s">
        <v>1704</v>
      </c>
      <c r="K42" t="s">
        <v>85</v>
      </c>
      <c r="L42" t="s">
        <v>604</v>
      </c>
      <c r="M42" t="s">
        <v>1815</v>
      </c>
      <c r="N42" t="s">
        <v>215</v>
      </c>
      <c r="O42" t="s">
        <v>72</v>
      </c>
      <c r="P42" s="63" t="s">
        <v>1816</v>
      </c>
      <c r="Q42" t="s">
        <v>75</v>
      </c>
      <c r="R42" t="s">
        <v>1555</v>
      </c>
      <c r="S42" t="s">
        <v>1671</v>
      </c>
      <c r="T42" s="63" t="s">
        <v>1455</v>
      </c>
      <c r="U42" s="42">
        <v>3.718</v>
      </c>
      <c r="V42" s="44">
        <v>54.034999999999997</v>
      </c>
      <c r="W42" s="44">
        <v>200.90199999999999</v>
      </c>
      <c r="X42" s="45">
        <v>3.9999999999999998E-6</v>
      </c>
      <c r="Y42" s="45">
        <v>2.5363820943021401E-3</v>
      </c>
      <c r="Z42" s="45">
        <v>4.6400353016438201E-4</v>
      </c>
    </row>
    <row r="43" spans="1:26" x14ac:dyDescent="0.25">
      <c r="A43">
        <v>1182</v>
      </c>
      <c r="B43">
        <v>1182</v>
      </c>
      <c r="C43" t="s">
        <v>1817</v>
      </c>
      <c r="D43" t="s">
        <v>1818</v>
      </c>
      <c r="E43" t="s">
        <v>613</v>
      </c>
      <c r="F43" t="s">
        <v>1817</v>
      </c>
      <c r="G43">
        <v>62019815</v>
      </c>
      <c r="H43" t="s">
        <v>111</v>
      </c>
      <c r="I43" t="s">
        <v>1668</v>
      </c>
      <c r="J43" t="s">
        <v>1704</v>
      </c>
      <c r="K43" t="s">
        <v>85</v>
      </c>
      <c r="L43" t="s">
        <v>604</v>
      </c>
      <c r="M43" t="s">
        <v>1815</v>
      </c>
      <c r="N43" t="s">
        <v>215</v>
      </c>
      <c r="O43" t="s">
        <v>72</v>
      </c>
      <c r="P43" s="63" t="s">
        <v>1819</v>
      </c>
      <c r="Q43" t="s">
        <v>75</v>
      </c>
      <c r="R43" t="s">
        <v>1555</v>
      </c>
      <c r="S43" t="s">
        <v>1671</v>
      </c>
      <c r="T43" s="63" t="s">
        <v>1455</v>
      </c>
      <c r="U43" s="42">
        <v>3.718</v>
      </c>
      <c r="V43" s="44">
        <v>301.76499999999999</v>
      </c>
      <c r="W43" s="44">
        <v>1121.9639999999999</v>
      </c>
      <c r="X43" s="45">
        <v>1.1400000000000001E-4</v>
      </c>
      <c r="Y43" s="45">
        <v>1.41647450865519E-2</v>
      </c>
      <c r="Z43" s="45">
        <v>2.59128612317658E-3</v>
      </c>
    </row>
    <row r="44" spans="1:26" x14ac:dyDescent="0.25">
      <c r="A44">
        <v>1182</v>
      </c>
      <c r="B44">
        <v>1182</v>
      </c>
      <c r="C44" t="s">
        <v>1820</v>
      </c>
      <c r="D44" t="s">
        <v>1821</v>
      </c>
      <c r="E44" t="s">
        <v>540</v>
      </c>
      <c r="F44" t="s">
        <v>1822</v>
      </c>
      <c r="G44">
        <v>62019757</v>
      </c>
      <c r="H44" t="s">
        <v>111</v>
      </c>
      <c r="I44" t="s">
        <v>1668</v>
      </c>
      <c r="J44" t="s">
        <v>1680</v>
      </c>
      <c r="K44" t="s">
        <v>85</v>
      </c>
      <c r="L44" t="s">
        <v>1681</v>
      </c>
      <c r="M44" t="s">
        <v>1681</v>
      </c>
      <c r="N44" t="s">
        <v>984</v>
      </c>
      <c r="O44" t="s">
        <v>72</v>
      </c>
      <c r="P44" s="63" t="s">
        <v>1823</v>
      </c>
      <c r="Q44" t="s">
        <v>75</v>
      </c>
      <c r="R44" t="s">
        <v>1555</v>
      </c>
      <c r="S44" t="s">
        <v>1671</v>
      </c>
      <c r="T44" s="63" t="s">
        <v>1455</v>
      </c>
      <c r="U44" s="42">
        <v>3.718</v>
      </c>
      <c r="V44" s="44">
        <v>83.412000000000006</v>
      </c>
      <c r="W44" s="44">
        <v>310.125</v>
      </c>
      <c r="X44" s="45">
        <v>0</v>
      </c>
      <c r="Y44" s="45">
        <v>3.91530925012969E-3</v>
      </c>
      <c r="Z44" s="45">
        <v>7.1626326247397796E-4</v>
      </c>
    </row>
    <row r="45" spans="1:26" x14ac:dyDescent="0.25">
      <c r="A45">
        <v>1182</v>
      </c>
      <c r="B45">
        <v>1182</v>
      </c>
      <c r="C45" t="s">
        <v>1824</v>
      </c>
      <c r="D45" t="s">
        <v>1825</v>
      </c>
      <c r="E45" t="s">
        <v>540</v>
      </c>
      <c r="F45" t="s">
        <v>1826</v>
      </c>
      <c r="G45">
        <v>62013909</v>
      </c>
      <c r="H45" t="s">
        <v>111</v>
      </c>
      <c r="I45" t="s">
        <v>1668</v>
      </c>
      <c r="J45" t="s">
        <v>1827</v>
      </c>
      <c r="K45" t="s">
        <v>85</v>
      </c>
      <c r="L45" t="s">
        <v>1681</v>
      </c>
      <c r="M45" t="s">
        <v>291</v>
      </c>
      <c r="N45" t="s">
        <v>291</v>
      </c>
      <c r="O45" t="s">
        <v>72</v>
      </c>
      <c r="P45" s="63" t="s">
        <v>1828</v>
      </c>
      <c r="Q45" t="s">
        <v>75</v>
      </c>
      <c r="R45" t="s">
        <v>1555</v>
      </c>
      <c r="S45" t="s">
        <v>1671</v>
      </c>
      <c r="T45" s="63" t="s">
        <v>1455</v>
      </c>
      <c r="U45" s="42">
        <v>3.718</v>
      </c>
      <c r="V45" s="44">
        <v>197.83699999999999</v>
      </c>
      <c r="W45" s="44">
        <v>735.55700000000002</v>
      </c>
      <c r="X45" s="45">
        <v>4.6670000000000001E-3</v>
      </c>
      <c r="Y45" s="45">
        <v>9.28637783133336E-3</v>
      </c>
      <c r="Z45" s="45">
        <v>1.69884186844667E-3</v>
      </c>
    </row>
    <row r="46" spans="1:26" x14ac:dyDescent="0.25">
      <c r="A46">
        <v>1182</v>
      </c>
      <c r="B46">
        <v>1182</v>
      </c>
      <c r="C46" t="s">
        <v>1829</v>
      </c>
      <c r="D46" t="s">
        <v>1830</v>
      </c>
      <c r="E46" t="s">
        <v>540</v>
      </c>
      <c r="F46" t="s">
        <v>1831</v>
      </c>
      <c r="G46">
        <v>62011226</v>
      </c>
      <c r="H46" t="s">
        <v>111</v>
      </c>
      <c r="I46" t="s">
        <v>1668</v>
      </c>
      <c r="J46" t="s">
        <v>1832</v>
      </c>
      <c r="K46" t="s">
        <v>85</v>
      </c>
      <c r="L46" t="s">
        <v>1681</v>
      </c>
      <c r="M46" t="s">
        <v>291</v>
      </c>
      <c r="N46" t="s">
        <v>291</v>
      </c>
      <c r="O46" t="s">
        <v>72</v>
      </c>
      <c r="P46" s="63" t="s">
        <v>1833</v>
      </c>
      <c r="Q46" t="s">
        <v>75</v>
      </c>
      <c r="R46" t="s">
        <v>1555</v>
      </c>
      <c r="S46" t="s">
        <v>1671</v>
      </c>
      <c r="T46" s="63" t="s">
        <v>1455</v>
      </c>
      <c r="U46" s="42">
        <v>3.718</v>
      </c>
      <c r="V46" s="44">
        <v>8.3650000000000002</v>
      </c>
      <c r="W46" s="44">
        <v>31.102</v>
      </c>
      <c r="X46" s="45">
        <v>0</v>
      </c>
      <c r="Y46" s="45">
        <v>3.92665165240719E-4</v>
      </c>
      <c r="Z46" s="45">
        <v>7.1833823166301698E-5</v>
      </c>
    </row>
    <row r="47" spans="1:26" x14ac:dyDescent="0.25">
      <c r="A47">
        <v>1182</v>
      </c>
      <c r="B47">
        <v>1182</v>
      </c>
      <c r="C47" t="s">
        <v>1834</v>
      </c>
      <c r="D47" t="s">
        <v>1835</v>
      </c>
      <c r="E47" t="s">
        <v>540</v>
      </c>
      <c r="F47" t="s">
        <v>1836</v>
      </c>
      <c r="G47">
        <v>60419041</v>
      </c>
      <c r="H47" t="s">
        <v>111</v>
      </c>
      <c r="I47" t="s">
        <v>1668</v>
      </c>
      <c r="J47" t="s">
        <v>1704</v>
      </c>
      <c r="K47" t="s">
        <v>85</v>
      </c>
      <c r="L47" t="s">
        <v>1681</v>
      </c>
      <c r="M47" t="s">
        <v>291</v>
      </c>
      <c r="N47" t="s">
        <v>215</v>
      </c>
      <c r="O47" t="s">
        <v>72</v>
      </c>
      <c r="P47" s="63" t="s">
        <v>1837</v>
      </c>
      <c r="Q47" t="s">
        <v>75</v>
      </c>
      <c r="R47" t="s">
        <v>1555</v>
      </c>
      <c r="S47" t="s">
        <v>1671</v>
      </c>
      <c r="T47" s="63" t="s">
        <v>1455</v>
      </c>
      <c r="U47" s="42">
        <v>3.718</v>
      </c>
      <c r="V47" s="44">
        <v>44.235999999999997</v>
      </c>
      <c r="W47" s="44">
        <v>164.471</v>
      </c>
      <c r="X47" s="45">
        <v>2.5000000000000001E-5</v>
      </c>
      <c r="Y47" s="45">
        <v>2.07643715856793E-3</v>
      </c>
      <c r="Z47" s="45">
        <v>3.7986160441063401E-4</v>
      </c>
    </row>
    <row r="48" spans="1:26" x14ac:dyDescent="0.25">
      <c r="A48">
        <v>1182</v>
      </c>
      <c r="B48">
        <v>1182</v>
      </c>
      <c r="C48" t="s">
        <v>1838</v>
      </c>
      <c r="D48" t="s">
        <v>1839</v>
      </c>
      <c r="E48" t="s">
        <v>540</v>
      </c>
      <c r="F48" t="s">
        <v>1840</v>
      </c>
      <c r="G48">
        <v>62016654</v>
      </c>
      <c r="H48" t="s">
        <v>111</v>
      </c>
      <c r="I48" t="s">
        <v>1668</v>
      </c>
      <c r="J48" t="s">
        <v>1704</v>
      </c>
      <c r="K48" t="s">
        <v>85</v>
      </c>
      <c r="L48" t="s">
        <v>1681</v>
      </c>
      <c r="M48" t="s">
        <v>291</v>
      </c>
      <c r="N48" t="s">
        <v>215</v>
      </c>
      <c r="O48" t="s">
        <v>72</v>
      </c>
      <c r="P48" s="63" t="s">
        <v>1841</v>
      </c>
      <c r="Q48" t="s">
        <v>75</v>
      </c>
      <c r="R48" t="s">
        <v>1555</v>
      </c>
      <c r="S48" t="s">
        <v>1671</v>
      </c>
      <c r="T48" s="63" t="s">
        <v>1455</v>
      </c>
      <c r="U48" s="42">
        <v>3.718</v>
      </c>
      <c r="V48" s="44">
        <v>403.35899999999998</v>
      </c>
      <c r="W48" s="44">
        <v>1499.6890000000001</v>
      </c>
      <c r="X48" s="45">
        <v>6.3E-5</v>
      </c>
      <c r="Y48" s="45">
        <v>1.8933504254943601E-2</v>
      </c>
      <c r="Z48" s="45">
        <v>3.4636787700132901E-3</v>
      </c>
    </row>
    <row r="49" spans="1:26" x14ac:dyDescent="0.25">
      <c r="A49">
        <v>1182</v>
      </c>
      <c r="B49">
        <v>1182</v>
      </c>
      <c r="C49" t="s">
        <v>1842</v>
      </c>
      <c r="D49" t="s">
        <v>1843</v>
      </c>
      <c r="E49" t="s">
        <v>613</v>
      </c>
      <c r="F49" t="s">
        <v>1844</v>
      </c>
      <c r="G49">
        <v>62021241</v>
      </c>
      <c r="H49" t="s">
        <v>111</v>
      </c>
      <c r="I49" t="s">
        <v>1668</v>
      </c>
      <c r="J49" t="s">
        <v>1704</v>
      </c>
      <c r="K49" t="s">
        <v>85</v>
      </c>
      <c r="L49" t="s">
        <v>1681</v>
      </c>
      <c r="M49" t="s">
        <v>291</v>
      </c>
      <c r="N49" t="s">
        <v>215</v>
      </c>
      <c r="O49" t="s">
        <v>72</v>
      </c>
      <c r="P49" s="63" t="s">
        <v>1845</v>
      </c>
      <c r="Q49" t="s">
        <v>75</v>
      </c>
      <c r="R49" t="s">
        <v>286</v>
      </c>
      <c r="S49" t="s">
        <v>1671</v>
      </c>
      <c r="T49" s="63" t="s">
        <v>1455</v>
      </c>
      <c r="U49" s="42">
        <v>3.718</v>
      </c>
      <c r="V49" s="44">
        <v>142.65100000000001</v>
      </c>
      <c r="W49" s="44">
        <v>530.37699999999995</v>
      </c>
      <c r="X49" s="45">
        <v>0</v>
      </c>
      <c r="Y49" s="45">
        <v>6.6959885182792198E-3</v>
      </c>
      <c r="Z49" s="45">
        <v>1.22495830474492E-3</v>
      </c>
    </row>
    <row r="50" spans="1:26" x14ac:dyDescent="0.25">
      <c r="A50">
        <v>1182</v>
      </c>
      <c r="B50">
        <v>1182</v>
      </c>
      <c r="C50" t="s">
        <v>1846</v>
      </c>
      <c r="D50" t="s">
        <v>1847</v>
      </c>
      <c r="E50" t="s">
        <v>613</v>
      </c>
      <c r="F50" t="s">
        <v>1848</v>
      </c>
      <c r="G50">
        <v>62018064</v>
      </c>
      <c r="H50" t="s">
        <v>111</v>
      </c>
      <c r="I50" t="s">
        <v>1668</v>
      </c>
      <c r="J50" t="s">
        <v>1695</v>
      </c>
      <c r="K50" t="s">
        <v>85</v>
      </c>
      <c r="L50" t="s">
        <v>1681</v>
      </c>
      <c r="M50" t="s">
        <v>291</v>
      </c>
      <c r="N50" t="s">
        <v>1343</v>
      </c>
      <c r="O50" t="s">
        <v>72</v>
      </c>
      <c r="P50" s="63" t="s">
        <v>1615</v>
      </c>
      <c r="Q50" t="s">
        <v>75</v>
      </c>
      <c r="R50" t="s">
        <v>286</v>
      </c>
      <c r="S50" t="s">
        <v>1671</v>
      </c>
      <c r="T50" s="63" t="s">
        <v>1455</v>
      </c>
      <c r="U50" s="42">
        <v>3.718</v>
      </c>
      <c r="V50" s="44">
        <v>1.6479999999999999</v>
      </c>
      <c r="W50" s="44">
        <v>6.1260000000000003</v>
      </c>
      <c r="X50" s="45">
        <v>1.75E-4</v>
      </c>
      <c r="Y50" s="45">
        <v>7.7345360501940405E-5</v>
      </c>
      <c r="Z50" s="45">
        <v>1.4149492852578799E-5</v>
      </c>
    </row>
    <row r="51" spans="1:26" x14ac:dyDescent="0.25">
      <c r="A51">
        <v>1182</v>
      </c>
      <c r="B51">
        <v>1182</v>
      </c>
      <c r="C51" t="s">
        <v>1846</v>
      </c>
      <c r="D51" t="s">
        <v>1847</v>
      </c>
      <c r="E51" t="s">
        <v>613</v>
      </c>
      <c r="F51" t="s">
        <v>1849</v>
      </c>
      <c r="G51">
        <v>62021340</v>
      </c>
      <c r="H51" t="s">
        <v>111</v>
      </c>
      <c r="I51" t="s">
        <v>1668</v>
      </c>
      <c r="J51" t="s">
        <v>1850</v>
      </c>
      <c r="K51" t="s">
        <v>85</v>
      </c>
      <c r="L51" t="s">
        <v>1681</v>
      </c>
      <c r="M51" t="s">
        <v>291</v>
      </c>
      <c r="N51" t="s">
        <v>1343</v>
      </c>
      <c r="O51" t="s">
        <v>72</v>
      </c>
      <c r="P51" s="63" t="s">
        <v>1851</v>
      </c>
      <c r="Q51" t="s">
        <v>75</v>
      </c>
      <c r="R51" t="s">
        <v>1555</v>
      </c>
      <c r="S51" t="s">
        <v>1671</v>
      </c>
      <c r="T51" s="63" t="s">
        <v>1455</v>
      </c>
      <c r="U51" s="42">
        <v>3.718</v>
      </c>
      <c r="V51" s="44">
        <v>123.221</v>
      </c>
      <c r="W51" s="44">
        <v>458.13499999999999</v>
      </c>
      <c r="X51" s="45">
        <v>3.6999999999999998E-5</v>
      </c>
      <c r="Y51" s="45">
        <v>5.7839398695499096E-3</v>
      </c>
      <c r="Z51" s="45">
        <v>1.05810891969259E-3</v>
      </c>
    </row>
    <row r="52" spans="1:26" x14ac:dyDescent="0.25">
      <c r="A52">
        <v>1182</v>
      </c>
      <c r="B52">
        <v>1182</v>
      </c>
      <c r="C52" t="s">
        <v>1852</v>
      </c>
      <c r="D52" t="s">
        <v>1853</v>
      </c>
      <c r="E52" t="s">
        <v>540</v>
      </c>
      <c r="F52" t="s">
        <v>1854</v>
      </c>
      <c r="G52">
        <v>62018908</v>
      </c>
      <c r="H52" t="s">
        <v>111</v>
      </c>
      <c r="I52" t="s">
        <v>1668</v>
      </c>
      <c r="J52" t="s">
        <v>1695</v>
      </c>
      <c r="K52" t="s">
        <v>85</v>
      </c>
      <c r="L52" t="s">
        <v>1353</v>
      </c>
      <c r="M52" t="s">
        <v>1353</v>
      </c>
      <c r="N52" t="s">
        <v>215</v>
      </c>
      <c r="O52" t="s">
        <v>72</v>
      </c>
      <c r="P52" s="63" t="s">
        <v>1855</v>
      </c>
      <c r="Q52" t="s">
        <v>75</v>
      </c>
      <c r="R52" t="s">
        <v>1555</v>
      </c>
      <c r="S52" t="s">
        <v>1671</v>
      </c>
      <c r="T52" s="63" t="s">
        <v>1455</v>
      </c>
      <c r="U52" s="42">
        <v>3.718</v>
      </c>
      <c r="V52" s="44">
        <v>581.94899999999996</v>
      </c>
      <c r="W52" s="44">
        <v>2163.6869999999999</v>
      </c>
      <c r="X52" s="45">
        <v>3.1999999999999999E-5</v>
      </c>
      <c r="Y52" s="45">
        <v>2.7316447958510001E-2</v>
      </c>
      <c r="Z52" s="45">
        <v>4.9972471863659199E-3</v>
      </c>
    </row>
    <row r="53" spans="1:26" x14ac:dyDescent="0.25">
      <c r="A53">
        <v>1182</v>
      </c>
      <c r="B53">
        <v>1182</v>
      </c>
      <c r="C53" t="s">
        <v>1856</v>
      </c>
      <c r="D53" t="s">
        <v>1857</v>
      </c>
      <c r="E53" t="s">
        <v>540</v>
      </c>
      <c r="F53" t="s">
        <v>1858</v>
      </c>
      <c r="G53">
        <v>62019559</v>
      </c>
      <c r="H53" t="s">
        <v>111</v>
      </c>
      <c r="I53" t="s">
        <v>1668</v>
      </c>
      <c r="J53" t="s">
        <v>1827</v>
      </c>
      <c r="K53" t="s">
        <v>85</v>
      </c>
      <c r="L53" t="s">
        <v>291</v>
      </c>
      <c r="M53" t="s">
        <v>291</v>
      </c>
      <c r="N53" t="s">
        <v>291</v>
      </c>
      <c r="O53" t="s">
        <v>72</v>
      </c>
      <c r="P53" s="63" t="s">
        <v>1859</v>
      </c>
      <c r="Q53" t="s">
        <v>75</v>
      </c>
      <c r="R53" t="s">
        <v>1555</v>
      </c>
      <c r="S53" t="s">
        <v>1671</v>
      </c>
      <c r="T53" s="63" t="s">
        <v>1455</v>
      </c>
      <c r="U53" s="42">
        <v>3.718</v>
      </c>
      <c r="V53" s="44">
        <v>694.93700000000001</v>
      </c>
      <c r="W53" s="44">
        <v>2583.7759999999998</v>
      </c>
      <c r="X53" s="45">
        <v>1.1900000000000001E-3</v>
      </c>
      <c r="Y53" s="45">
        <v>3.2620056283630301E-2</v>
      </c>
      <c r="Z53" s="45">
        <v>5.9674846718746196E-3</v>
      </c>
    </row>
    <row r="54" spans="1:26" x14ac:dyDescent="0.25">
      <c r="A54">
        <v>1182</v>
      </c>
      <c r="B54">
        <v>1182</v>
      </c>
      <c r="C54" t="s">
        <v>1860</v>
      </c>
      <c r="D54" t="s">
        <v>1861</v>
      </c>
      <c r="E54" t="s">
        <v>613</v>
      </c>
      <c r="F54" t="s">
        <v>1862</v>
      </c>
      <c r="G54">
        <v>62020946</v>
      </c>
      <c r="H54" t="s">
        <v>111</v>
      </c>
      <c r="I54" t="s">
        <v>1668</v>
      </c>
      <c r="J54" t="s">
        <v>1827</v>
      </c>
      <c r="K54" t="s">
        <v>85</v>
      </c>
      <c r="L54" t="s">
        <v>291</v>
      </c>
      <c r="M54" t="s">
        <v>291</v>
      </c>
      <c r="N54" t="s">
        <v>291</v>
      </c>
      <c r="O54" t="s">
        <v>72</v>
      </c>
      <c r="P54" s="63" t="s">
        <v>1863</v>
      </c>
      <c r="Q54" t="s">
        <v>75</v>
      </c>
      <c r="R54" t="s">
        <v>1555</v>
      </c>
      <c r="S54" t="s">
        <v>1671</v>
      </c>
      <c r="T54" s="63" t="s">
        <v>1455</v>
      </c>
      <c r="U54" s="42">
        <v>3.718</v>
      </c>
      <c r="V54" s="44">
        <v>350.63600000000002</v>
      </c>
      <c r="W54" s="44">
        <v>1303.664</v>
      </c>
      <c r="X54" s="45">
        <v>4.2700000000000002E-4</v>
      </c>
      <c r="Y54" s="45">
        <v>1.6458697680583501E-2</v>
      </c>
      <c r="Z54" s="45">
        <v>3.01093981181108E-3</v>
      </c>
    </row>
    <row r="55" spans="1:26" x14ac:dyDescent="0.25">
      <c r="A55">
        <v>1182</v>
      </c>
      <c r="B55">
        <v>1182</v>
      </c>
      <c r="C55" t="s">
        <v>1864</v>
      </c>
      <c r="D55" t="s">
        <v>1865</v>
      </c>
      <c r="E55" t="s">
        <v>420</v>
      </c>
      <c r="F55" t="s">
        <v>1866</v>
      </c>
      <c r="G55">
        <v>62021431</v>
      </c>
      <c r="H55" t="s">
        <v>111</v>
      </c>
      <c r="I55" t="s">
        <v>1668</v>
      </c>
      <c r="J55" t="s">
        <v>1739</v>
      </c>
      <c r="K55" t="s">
        <v>71</v>
      </c>
      <c r="L55" t="s">
        <v>1681</v>
      </c>
      <c r="M55" t="s">
        <v>71</v>
      </c>
      <c r="N55" t="s">
        <v>71</v>
      </c>
      <c r="O55" t="s">
        <v>72</v>
      </c>
      <c r="P55" s="63" t="s">
        <v>1867</v>
      </c>
      <c r="Q55" t="s">
        <v>75</v>
      </c>
      <c r="R55" t="s">
        <v>1555</v>
      </c>
      <c r="S55" t="s">
        <v>1671</v>
      </c>
      <c r="T55" s="63" t="s">
        <v>1455</v>
      </c>
      <c r="U55" s="42">
        <v>3.718</v>
      </c>
      <c r="V55" s="44">
        <v>58.362000000000002</v>
      </c>
      <c r="W55" s="44">
        <v>216.989</v>
      </c>
      <c r="X55" s="45">
        <v>5.7000000000000003E-5</v>
      </c>
      <c r="Y55" s="45">
        <v>2.7394817418808699E-3</v>
      </c>
      <c r="Z55" s="45">
        <v>5.0115840271429196E-4</v>
      </c>
    </row>
    <row r="56" spans="1:26" x14ac:dyDescent="0.25">
      <c r="A56">
        <v>1182</v>
      </c>
      <c r="B56">
        <v>1182</v>
      </c>
      <c r="C56" t="s">
        <v>1868</v>
      </c>
      <c r="D56" t="s">
        <v>1869</v>
      </c>
      <c r="E56" t="s">
        <v>613</v>
      </c>
      <c r="F56" t="s">
        <v>1870</v>
      </c>
      <c r="G56">
        <v>62021662</v>
      </c>
      <c r="H56" t="s">
        <v>111</v>
      </c>
      <c r="I56" t="s">
        <v>1668</v>
      </c>
      <c r="J56" t="s">
        <v>1675</v>
      </c>
      <c r="K56" t="s">
        <v>85</v>
      </c>
      <c r="L56" t="s">
        <v>1681</v>
      </c>
      <c r="M56" t="s">
        <v>291</v>
      </c>
      <c r="N56" t="s">
        <v>215</v>
      </c>
      <c r="O56" t="s">
        <v>72</v>
      </c>
      <c r="P56" s="63" t="s">
        <v>1871</v>
      </c>
      <c r="Q56" t="s">
        <v>75</v>
      </c>
      <c r="R56" t="s">
        <v>286</v>
      </c>
      <c r="S56" t="s">
        <v>1671</v>
      </c>
      <c r="T56" s="63" t="s">
        <v>1455</v>
      </c>
      <c r="U56" s="42">
        <v>3.718</v>
      </c>
      <c r="V56" s="44">
        <v>332.17099999999999</v>
      </c>
      <c r="W56" s="44">
        <v>1235.01</v>
      </c>
      <c r="X56" s="45">
        <v>0</v>
      </c>
      <c r="Y56" s="45">
        <v>1.55919463286048E-2</v>
      </c>
      <c r="Z56" s="45">
        <v>2.8523770747548799E-3</v>
      </c>
    </row>
    <row r="57" spans="1:26" x14ac:dyDescent="0.25">
      <c r="A57">
        <v>1182</v>
      </c>
      <c r="B57">
        <v>1182</v>
      </c>
      <c r="C57" t="s">
        <v>1872</v>
      </c>
      <c r="D57" t="s">
        <v>1873</v>
      </c>
      <c r="E57" t="s">
        <v>613</v>
      </c>
      <c r="F57" t="s">
        <v>1874</v>
      </c>
      <c r="G57">
        <v>62003800</v>
      </c>
      <c r="H57" t="s">
        <v>111</v>
      </c>
      <c r="I57" t="s">
        <v>1668</v>
      </c>
      <c r="J57" t="s">
        <v>1875</v>
      </c>
      <c r="K57" t="s">
        <v>85</v>
      </c>
      <c r="L57" t="s">
        <v>1681</v>
      </c>
      <c r="M57" t="s">
        <v>291</v>
      </c>
      <c r="N57" t="s">
        <v>215</v>
      </c>
      <c r="O57" t="s">
        <v>72</v>
      </c>
      <c r="P57" s="63" t="s">
        <v>1876</v>
      </c>
      <c r="Q57" t="s">
        <v>75</v>
      </c>
      <c r="R57" t="s">
        <v>286</v>
      </c>
      <c r="S57" t="s">
        <v>1671</v>
      </c>
      <c r="T57" s="63" t="s">
        <v>1455</v>
      </c>
      <c r="U57" s="42">
        <v>3.718</v>
      </c>
      <c r="V57" s="44">
        <v>468.31</v>
      </c>
      <c r="W57" s="44">
        <v>1741.1780000000001</v>
      </c>
      <c r="X57" s="45">
        <v>1.2600000000000001E-3</v>
      </c>
      <c r="Y57" s="45">
        <v>2.1982289974430601E-2</v>
      </c>
      <c r="Z57" s="45">
        <v>4.0214209728677598E-3</v>
      </c>
    </row>
    <row r="58" spans="1:26" x14ac:dyDescent="0.25">
      <c r="A58">
        <v>1182</v>
      </c>
      <c r="B58">
        <v>1182</v>
      </c>
      <c r="C58" t="s">
        <v>1872</v>
      </c>
      <c r="D58" t="s">
        <v>1873</v>
      </c>
      <c r="E58" t="s">
        <v>613</v>
      </c>
      <c r="F58" t="s">
        <v>1877</v>
      </c>
      <c r="G58">
        <v>620101031</v>
      </c>
      <c r="H58" t="s">
        <v>111</v>
      </c>
      <c r="I58" t="s">
        <v>1668</v>
      </c>
      <c r="J58" t="s">
        <v>1675</v>
      </c>
      <c r="K58" t="s">
        <v>85</v>
      </c>
      <c r="L58" t="s">
        <v>1681</v>
      </c>
      <c r="M58" t="s">
        <v>291</v>
      </c>
      <c r="N58" t="s">
        <v>291</v>
      </c>
      <c r="O58" t="s">
        <v>72</v>
      </c>
      <c r="P58" s="63" t="s">
        <v>1732</v>
      </c>
      <c r="Q58" t="s">
        <v>75</v>
      </c>
      <c r="R58" t="s">
        <v>286</v>
      </c>
      <c r="S58" t="s">
        <v>1671</v>
      </c>
      <c r="T58" s="63" t="s">
        <v>1878</v>
      </c>
      <c r="U58" s="42">
        <v>3.718</v>
      </c>
      <c r="V58" s="44">
        <v>308.41500000000002</v>
      </c>
      <c r="W58" s="44">
        <v>1146.6880000000001</v>
      </c>
      <c r="X58" s="45">
        <v>0</v>
      </c>
      <c r="Y58" s="45">
        <v>1.44768890758517E-2</v>
      </c>
      <c r="Z58" s="45">
        <v>2.6483894725812499E-3</v>
      </c>
    </row>
    <row r="59" spans="1:26" x14ac:dyDescent="0.25">
      <c r="A59">
        <v>1182</v>
      </c>
      <c r="B59">
        <v>1182</v>
      </c>
      <c r="C59" t="s">
        <v>1872</v>
      </c>
      <c r="D59" t="s">
        <v>1873</v>
      </c>
      <c r="E59" t="s">
        <v>613</v>
      </c>
      <c r="F59" t="s">
        <v>1879</v>
      </c>
      <c r="G59">
        <v>62014857</v>
      </c>
      <c r="H59" t="s">
        <v>111</v>
      </c>
      <c r="I59" t="s">
        <v>1668</v>
      </c>
      <c r="J59" t="s">
        <v>1875</v>
      </c>
      <c r="K59" t="s">
        <v>85</v>
      </c>
      <c r="L59" t="s">
        <v>1681</v>
      </c>
      <c r="M59" t="s">
        <v>291</v>
      </c>
      <c r="N59" t="s">
        <v>215</v>
      </c>
      <c r="O59" t="s">
        <v>72</v>
      </c>
      <c r="P59" s="63" t="s">
        <v>1880</v>
      </c>
      <c r="Q59" t="s">
        <v>75</v>
      </c>
      <c r="R59" t="s">
        <v>1555</v>
      </c>
      <c r="S59" t="s">
        <v>1671</v>
      </c>
      <c r="T59" s="63" t="s">
        <v>1455</v>
      </c>
      <c r="U59" s="42">
        <v>3.718</v>
      </c>
      <c r="V59" s="44">
        <v>306.96199999999999</v>
      </c>
      <c r="W59" s="44">
        <v>1141.2840000000001</v>
      </c>
      <c r="X59" s="45">
        <v>3.6000000000000002E-4</v>
      </c>
      <c r="Y59" s="45">
        <v>1.4408665131041E-2</v>
      </c>
      <c r="Z59" s="45">
        <v>2.6359086435669399E-3</v>
      </c>
    </row>
    <row r="60" spans="1:26" x14ac:dyDescent="0.25">
      <c r="A60">
        <v>1182</v>
      </c>
      <c r="B60">
        <v>1182</v>
      </c>
      <c r="C60" t="s">
        <v>1872</v>
      </c>
      <c r="D60" t="s">
        <v>1873</v>
      </c>
      <c r="E60" t="s">
        <v>613</v>
      </c>
      <c r="F60" t="s">
        <v>1881</v>
      </c>
      <c r="G60">
        <v>62019476</v>
      </c>
      <c r="H60" t="s">
        <v>111</v>
      </c>
      <c r="I60" t="s">
        <v>1668</v>
      </c>
      <c r="J60" t="s">
        <v>1875</v>
      </c>
      <c r="K60" t="s">
        <v>85</v>
      </c>
      <c r="L60" t="s">
        <v>1681</v>
      </c>
      <c r="M60" t="s">
        <v>291</v>
      </c>
      <c r="N60" t="s">
        <v>215</v>
      </c>
      <c r="O60" t="s">
        <v>72</v>
      </c>
      <c r="P60" s="63" t="s">
        <v>1785</v>
      </c>
      <c r="Q60" t="s">
        <v>75</v>
      </c>
      <c r="R60" t="s">
        <v>286</v>
      </c>
      <c r="S60" t="s">
        <v>1671</v>
      </c>
      <c r="T60" s="63" t="s">
        <v>1455</v>
      </c>
      <c r="U60" s="42">
        <v>3.718</v>
      </c>
      <c r="V60" s="44">
        <v>292.976</v>
      </c>
      <c r="W60" s="44">
        <v>1089.2850000000001</v>
      </c>
      <c r="X60" s="45">
        <v>2.7700000000000001E-4</v>
      </c>
      <c r="Y60" s="45">
        <v>1.37521742345207E-2</v>
      </c>
      <c r="Z60" s="45">
        <v>2.5158107710143499E-3</v>
      </c>
    </row>
    <row r="61" spans="1:26" x14ac:dyDescent="0.25">
      <c r="A61">
        <v>1182</v>
      </c>
      <c r="B61">
        <v>1182</v>
      </c>
      <c r="C61" t="s">
        <v>1882</v>
      </c>
      <c r="D61" t="s">
        <v>1883</v>
      </c>
      <c r="E61" t="s">
        <v>111</v>
      </c>
      <c r="F61" t="s">
        <v>1884</v>
      </c>
      <c r="G61">
        <v>62022074</v>
      </c>
      <c r="H61" t="s">
        <v>111</v>
      </c>
      <c r="I61" t="s">
        <v>1668</v>
      </c>
      <c r="J61" t="s">
        <v>1675</v>
      </c>
      <c r="K61" t="s">
        <v>85</v>
      </c>
      <c r="L61" t="s">
        <v>1681</v>
      </c>
      <c r="M61" t="s">
        <v>291</v>
      </c>
      <c r="N61" t="s">
        <v>215</v>
      </c>
      <c r="O61" t="s">
        <v>72</v>
      </c>
      <c r="P61" s="63" t="s">
        <v>1885</v>
      </c>
      <c r="Q61" t="s">
        <v>75</v>
      </c>
      <c r="R61" t="s">
        <v>286</v>
      </c>
      <c r="S61" t="s">
        <v>1481</v>
      </c>
      <c r="T61" s="63" t="s">
        <v>1455</v>
      </c>
      <c r="U61" s="42">
        <v>3.718</v>
      </c>
      <c r="V61" s="44">
        <v>16</v>
      </c>
      <c r="W61" s="44">
        <v>59.488</v>
      </c>
      <c r="X61" s="45">
        <v>1.2999999999999999E-5</v>
      </c>
      <c r="Y61" s="45">
        <v>7.5103340380219298E-4</v>
      </c>
      <c r="Z61" s="45">
        <v>1.37393396451756E-4</v>
      </c>
    </row>
    <row r="62" spans="1:26" x14ac:dyDescent="0.25">
      <c r="A62">
        <v>1182</v>
      </c>
      <c r="B62">
        <v>1182</v>
      </c>
      <c r="C62" t="s">
        <v>1872</v>
      </c>
      <c r="D62" t="s">
        <v>1873</v>
      </c>
      <c r="E62" t="s">
        <v>613</v>
      </c>
      <c r="F62" t="s">
        <v>1886</v>
      </c>
      <c r="G62">
        <v>62020458</v>
      </c>
      <c r="H62" t="s">
        <v>111</v>
      </c>
      <c r="I62" t="s">
        <v>1668</v>
      </c>
      <c r="J62" t="s">
        <v>1788</v>
      </c>
      <c r="K62" t="s">
        <v>85</v>
      </c>
      <c r="L62" t="s">
        <v>1681</v>
      </c>
      <c r="M62" t="s">
        <v>291</v>
      </c>
      <c r="N62" t="s">
        <v>215</v>
      </c>
      <c r="O62" t="s">
        <v>72</v>
      </c>
      <c r="P62" s="63" t="s">
        <v>1887</v>
      </c>
      <c r="Q62" t="s">
        <v>75</v>
      </c>
      <c r="R62" t="s">
        <v>286</v>
      </c>
      <c r="S62" t="s">
        <v>1671</v>
      </c>
      <c r="T62" s="63" t="s">
        <v>1455</v>
      </c>
      <c r="U62" s="42">
        <v>3.718</v>
      </c>
      <c r="V62" s="44">
        <v>148.51300000000001</v>
      </c>
      <c r="W62" s="44">
        <v>552.17200000000003</v>
      </c>
      <c r="X62" s="45">
        <v>7.4999999999999993E-5</v>
      </c>
      <c r="Y62" s="45">
        <v>6.97114591726889E-3</v>
      </c>
      <c r="Z62" s="45">
        <v>1.2752953595478499E-3</v>
      </c>
    </row>
    <row r="63" spans="1:26" x14ac:dyDescent="0.25">
      <c r="A63">
        <v>1182</v>
      </c>
      <c r="B63">
        <v>1182</v>
      </c>
      <c r="C63" t="s">
        <v>1872</v>
      </c>
      <c r="D63" t="s">
        <v>1873</v>
      </c>
      <c r="E63" t="s">
        <v>613</v>
      </c>
      <c r="F63" t="s">
        <v>1888</v>
      </c>
      <c r="G63">
        <v>62017678</v>
      </c>
      <c r="H63" t="s">
        <v>111</v>
      </c>
      <c r="I63" t="s">
        <v>1668</v>
      </c>
      <c r="J63" t="s">
        <v>1788</v>
      </c>
      <c r="K63" t="s">
        <v>85</v>
      </c>
      <c r="L63" t="s">
        <v>1681</v>
      </c>
      <c r="M63" t="s">
        <v>291</v>
      </c>
      <c r="N63" t="s">
        <v>215</v>
      </c>
      <c r="O63" t="s">
        <v>72</v>
      </c>
      <c r="P63" s="63" t="s">
        <v>1889</v>
      </c>
      <c r="Q63" t="s">
        <v>75</v>
      </c>
      <c r="R63" t="s">
        <v>286</v>
      </c>
      <c r="S63" t="s">
        <v>1671</v>
      </c>
      <c r="T63" s="63" t="s">
        <v>1455</v>
      </c>
      <c r="U63" s="42">
        <v>3.718</v>
      </c>
      <c r="V63" s="44">
        <v>498.80799999999999</v>
      </c>
      <c r="W63" s="44">
        <v>1854.569</v>
      </c>
      <c r="X63" s="45">
        <v>9.7000000000000005E-4</v>
      </c>
      <c r="Y63" s="45">
        <v>2.3413857745815898E-2</v>
      </c>
      <c r="Z63" s="45">
        <v>4.2833107335172203E-3</v>
      </c>
    </row>
    <row r="64" spans="1:26" x14ac:dyDescent="0.25">
      <c r="A64">
        <v>1182</v>
      </c>
      <c r="B64">
        <v>1182</v>
      </c>
      <c r="C64" t="s">
        <v>1872</v>
      </c>
      <c r="D64" t="s">
        <v>1873</v>
      </c>
      <c r="E64" t="s">
        <v>613</v>
      </c>
      <c r="F64" t="s">
        <v>1890</v>
      </c>
      <c r="G64">
        <v>62019237</v>
      </c>
      <c r="H64" t="s">
        <v>111</v>
      </c>
      <c r="I64" t="s">
        <v>1668</v>
      </c>
      <c r="J64" t="s">
        <v>1832</v>
      </c>
      <c r="K64" t="s">
        <v>85</v>
      </c>
      <c r="L64" t="s">
        <v>1681</v>
      </c>
      <c r="M64" t="s">
        <v>291</v>
      </c>
      <c r="N64" t="s">
        <v>291</v>
      </c>
      <c r="O64" t="s">
        <v>72</v>
      </c>
      <c r="P64" s="63" t="s">
        <v>1891</v>
      </c>
      <c r="Q64" t="s">
        <v>75</v>
      </c>
      <c r="R64" t="s">
        <v>1555</v>
      </c>
      <c r="S64" t="s">
        <v>1671</v>
      </c>
      <c r="T64" s="63" t="s">
        <v>1455</v>
      </c>
      <c r="U64" s="42">
        <v>3.718</v>
      </c>
      <c r="V64" s="44">
        <v>415.85199999999998</v>
      </c>
      <c r="W64" s="44">
        <v>1546.1389999999999</v>
      </c>
      <c r="X64" s="45">
        <v>5.9999999999999995E-4</v>
      </c>
      <c r="Y64" s="45">
        <v>1.9519939276915199E-2</v>
      </c>
      <c r="Z64" s="45">
        <v>3.57096068192164E-3</v>
      </c>
    </row>
    <row r="65" spans="1:26" x14ac:dyDescent="0.25">
      <c r="A65">
        <v>1182</v>
      </c>
      <c r="B65">
        <v>1182</v>
      </c>
      <c r="C65" t="s">
        <v>1882</v>
      </c>
      <c r="D65" t="s">
        <v>1883</v>
      </c>
      <c r="E65" t="s">
        <v>111</v>
      </c>
      <c r="F65" t="s">
        <v>1892</v>
      </c>
      <c r="G65">
        <v>62021845</v>
      </c>
      <c r="H65" t="s">
        <v>111</v>
      </c>
      <c r="I65" t="s">
        <v>1668</v>
      </c>
      <c r="J65" t="s">
        <v>1675</v>
      </c>
      <c r="K65" t="s">
        <v>85</v>
      </c>
      <c r="L65" t="s">
        <v>291</v>
      </c>
      <c r="M65" t="s">
        <v>291</v>
      </c>
      <c r="N65" t="s">
        <v>291</v>
      </c>
      <c r="O65" t="s">
        <v>72</v>
      </c>
      <c r="P65" s="63" t="s">
        <v>1893</v>
      </c>
      <c r="Q65" t="s">
        <v>75</v>
      </c>
      <c r="R65" t="s">
        <v>286</v>
      </c>
      <c r="T65" s="63" t="s">
        <v>1455</v>
      </c>
      <c r="U65" s="42">
        <v>3.718</v>
      </c>
      <c r="V65" s="44">
        <v>41.554000000000002</v>
      </c>
      <c r="W65" s="44">
        <v>154.499</v>
      </c>
      <c r="X65" s="45">
        <v>0</v>
      </c>
      <c r="Y65" s="45">
        <v>1.9505464046848701E-3</v>
      </c>
      <c r="Z65" s="45">
        <v>3.56831259594678E-4</v>
      </c>
    </row>
    <row r="66" spans="1:26" x14ac:dyDescent="0.25">
      <c r="A66">
        <v>1182</v>
      </c>
      <c r="B66">
        <v>1182</v>
      </c>
      <c r="C66" t="s">
        <v>1894</v>
      </c>
      <c r="D66" t="s">
        <v>1895</v>
      </c>
      <c r="E66" t="s">
        <v>613</v>
      </c>
      <c r="F66" t="s">
        <v>1896</v>
      </c>
      <c r="G66">
        <v>62020565</v>
      </c>
      <c r="H66" t="s">
        <v>111</v>
      </c>
      <c r="I66" t="s">
        <v>1668</v>
      </c>
      <c r="J66" t="s">
        <v>1675</v>
      </c>
      <c r="K66" t="s">
        <v>85</v>
      </c>
      <c r="L66" t="s">
        <v>604</v>
      </c>
      <c r="M66" t="s">
        <v>604</v>
      </c>
      <c r="N66" t="s">
        <v>1199</v>
      </c>
      <c r="O66" t="s">
        <v>72</v>
      </c>
      <c r="P66" s="63" t="s">
        <v>1670</v>
      </c>
      <c r="Q66" t="s">
        <v>77</v>
      </c>
      <c r="R66" t="s">
        <v>286</v>
      </c>
      <c r="S66" t="s">
        <v>1671</v>
      </c>
      <c r="T66" s="63" t="s">
        <v>1455</v>
      </c>
      <c r="U66" s="42">
        <v>4.0218999999999996</v>
      </c>
      <c r="V66" s="44">
        <v>152.53299999999999</v>
      </c>
      <c r="W66" s="44">
        <v>613.47400000000005</v>
      </c>
      <c r="X66" s="45">
        <v>1.3899999999999999E-4</v>
      </c>
      <c r="Y66" s="45">
        <v>7.7450834218132101E-3</v>
      </c>
      <c r="Z66" s="45">
        <v>1.4168788122310601E-3</v>
      </c>
    </row>
    <row r="67" spans="1:26" x14ac:dyDescent="0.25">
      <c r="A67">
        <v>1182</v>
      </c>
      <c r="B67">
        <v>1182</v>
      </c>
      <c r="C67" t="s">
        <v>1897</v>
      </c>
      <c r="D67" t="s">
        <v>1898</v>
      </c>
      <c r="E67" t="s">
        <v>540</v>
      </c>
      <c r="F67" t="s">
        <v>1899</v>
      </c>
      <c r="G67">
        <v>62017702</v>
      </c>
      <c r="H67" t="s">
        <v>111</v>
      </c>
      <c r="I67" t="s">
        <v>1668</v>
      </c>
      <c r="J67" t="s">
        <v>1900</v>
      </c>
      <c r="K67" t="s">
        <v>85</v>
      </c>
      <c r="L67" t="s">
        <v>291</v>
      </c>
      <c r="M67" t="s">
        <v>291</v>
      </c>
      <c r="N67" t="s">
        <v>291</v>
      </c>
      <c r="O67" t="s">
        <v>72</v>
      </c>
      <c r="P67" s="63" t="s">
        <v>1901</v>
      </c>
      <c r="Q67" t="s">
        <v>75</v>
      </c>
      <c r="R67" t="s">
        <v>1555</v>
      </c>
      <c r="S67" t="s">
        <v>1671</v>
      </c>
      <c r="T67" s="63" t="s">
        <v>1455</v>
      </c>
      <c r="U67" s="42">
        <v>3.718</v>
      </c>
      <c r="V67" s="44">
        <v>406.334</v>
      </c>
      <c r="W67" s="44">
        <v>1510.748</v>
      </c>
      <c r="X67" s="45">
        <v>0</v>
      </c>
      <c r="Y67" s="45">
        <v>1.9073129648421099E-2</v>
      </c>
      <c r="Z67" s="45">
        <v>3.4892217178284801E-3</v>
      </c>
    </row>
    <row r="68" spans="1:26" x14ac:dyDescent="0.25">
      <c r="A68">
        <v>1182</v>
      </c>
      <c r="B68">
        <v>1182</v>
      </c>
      <c r="C68" t="s">
        <v>1902</v>
      </c>
      <c r="D68" t="s">
        <v>1903</v>
      </c>
      <c r="E68" t="s">
        <v>540</v>
      </c>
      <c r="F68" t="s">
        <v>1904</v>
      </c>
      <c r="G68">
        <v>62022231</v>
      </c>
      <c r="H68" t="s">
        <v>111</v>
      </c>
      <c r="I68" t="s">
        <v>1668</v>
      </c>
      <c r="J68" t="s">
        <v>1675</v>
      </c>
      <c r="K68" t="s">
        <v>85</v>
      </c>
      <c r="O68" t="s">
        <v>72</v>
      </c>
      <c r="P68" s="63" t="s">
        <v>1905</v>
      </c>
      <c r="Q68" t="s">
        <v>75</v>
      </c>
      <c r="R68" t="s">
        <v>286</v>
      </c>
      <c r="T68" s="63" t="s">
        <v>1455</v>
      </c>
      <c r="U68" s="42">
        <v>3.718</v>
      </c>
      <c r="V68" s="44">
        <v>28.584</v>
      </c>
      <c r="W68" s="44">
        <v>106.27500000000001</v>
      </c>
      <c r="X68" s="45">
        <v>8661.8181820000009</v>
      </c>
      <c r="Y68" s="45">
        <v>1.3417211758926201E-3</v>
      </c>
      <c r="Z68" s="45">
        <v>2.4545330276106201E-4</v>
      </c>
    </row>
    <row r="69" spans="1:26" x14ac:dyDescent="0.25">
      <c r="A69">
        <v>1182</v>
      </c>
      <c r="B69">
        <v>1182</v>
      </c>
      <c r="C69" t="s">
        <v>1906</v>
      </c>
      <c r="D69" t="s">
        <v>1907</v>
      </c>
      <c r="E69" t="s">
        <v>613</v>
      </c>
      <c r="F69" t="s">
        <v>1908</v>
      </c>
      <c r="G69">
        <v>77847846</v>
      </c>
      <c r="H69" t="s">
        <v>111</v>
      </c>
      <c r="I69" t="s">
        <v>1668</v>
      </c>
      <c r="J69" t="s">
        <v>1675</v>
      </c>
      <c r="K69" t="s">
        <v>85</v>
      </c>
      <c r="L69" t="s">
        <v>1353</v>
      </c>
      <c r="M69" t="s">
        <v>1353</v>
      </c>
      <c r="N69" t="s">
        <v>291</v>
      </c>
      <c r="O69" t="s">
        <v>72</v>
      </c>
      <c r="P69" s="63" t="s">
        <v>1909</v>
      </c>
      <c r="Q69" t="s">
        <v>75</v>
      </c>
      <c r="R69" t="s">
        <v>1555</v>
      </c>
      <c r="S69" t="s">
        <v>1671</v>
      </c>
      <c r="T69" s="63" t="s">
        <v>1455</v>
      </c>
      <c r="U69" s="42">
        <v>3.718</v>
      </c>
      <c r="V69" s="44">
        <v>816.73699999999997</v>
      </c>
      <c r="W69" s="44">
        <v>3036.627</v>
      </c>
      <c r="X69" s="45">
        <v>0</v>
      </c>
      <c r="Y69" s="45">
        <v>3.8337281462848399E-2</v>
      </c>
      <c r="Z69" s="45">
        <v>7.0133888642521401E-3</v>
      </c>
    </row>
    <row r="70" spans="1:26" x14ac:dyDescent="0.25">
      <c r="A70">
        <v>1182</v>
      </c>
      <c r="B70">
        <v>1182</v>
      </c>
      <c r="C70" t="s">
        <v>1910</v>
      </c>
      <c r="D70" t="s">
        <v>1911</v>
      </c>
      <c r="E70" t="s">
        <v>540</v>
      </c>
      <c r="F70" t="s">
        <v>1912</v>
      </c>
      <c r="G70">
        <v>62019013</v>
      </c>
      <c r="H70" t="s">
        <v>111</v>
      </c>
      <c r="I70" t="s">
        <v>1668</v>
      </c>
      <c r="J70" t="s">
        <v>1695</v>
      </c>
      <c r="K70" t="s">
        <v>85</v>
      </c>
      <c r="L70" t="s">
        <v>291</v>
      </c>
      <c r="M70" t="s">
        <v>291</v>
      </c>
      <c r="N70" t="s">
        <v>291</v>
      </c>
      <c r="O70" t="s">
        <v>72</v>
      </c>
      <c r="P70" s="63" t="s">
        <v>1913</v>
      </c>
      <c r="Q70" t="s">
        <v>75</v>
      </c>
      <c r="R70" t="s">
        <v>1555</v>
      </c>
      <c r="S70" t="s">
        <v>1671</v>
      </c>
      <c r="T70" s="63" t="s">
        <v>1455</v>
      </c>
      <c r="U70" s="42">
        <v>3.718</v>
      </c>
      <c r="V70" s="44">
        <v>367.41399999999999</v>
      </c>
      <c r="W70" s="44">
        <v>1366.046</v>
      </c>
      <c r="X70" s="45">
        <v>4.8999999999999998E-5</v>
      </c>
      <c r="Y70" s="45">
        <v>1.7246273672543999E-2</v>
      </c>
      <c r="Z70" s="45">
        <v>3.1550182774978102E-3</v>
      </c>
    </row>
    <row r="71" spans="1:26" x14ac:dyDescent="0.25">
      <c r="A71">
        <v>1182</v>
      </c>
      <c r="B71">
        <v>1182</v>
      </c>
      <c r="C71" t="s">
        <v>1914</v>
      </c>
      <c r="D71" t="s">
        <v>1915</v>
      </c>
      <c r="E71" t="s">
        <v>540</v>
      </c>
      <c r="F71" t="s">
        <v>1916</v>
      </c>
      <c r="G71">
        <v>62006705</v>
      </c>
      <c r="H71" t="s">
        <v>111</v>
      </c>
      <c r="I71" t="s">
        <v>1668</v>
      </c>
      <c r="J71" t="s">
        <v>1695</v>
      </c>
      <c r="K71" t="s">
        <v>85</v>
      </c>
      <c r="L71" t="s">
        <v>291</v>
      </c>
      <c r="M71" t="s">
        <v>291</v>
      </c>
      <c r="N71" t="s">
        <v>215</v>
      </c>
      <c r="O71" t="s">
        <v>72</v>
      </c>
      <c r="P71" s="63" t="s">
        <v>1917</v>
      </c>
      <c r="Q71" t="s">
        <v>75</v>
      </c>
      <c r="R71" t="s">
        <v>1555</v>
      </c>
      <c r="S71" t="s">
        <v>1671</v>
      </c>
      <c r="T71" s="63" t="s">
        <v>1455</v>
      </c>
      <c r="U71" s="42">
        <v>3.718</v>
      </c>
      <c r="V71" s="44">
        <v>234.95099999999999</v>
      </c>
      <c r="W71" s="44">
        <v>873.54600000000005</v>
      </c>
      <c r="X71" s="45">
        <v>4.9200000000000003E-4</v>
      </c>
      <c r="Y71" s="45">
        <v>1.10284831602464E-2</v>
      </c>
      <c r="Z71" s="45">
        <v>2.01754109927225E-3</v>
      </c>
    </row>
    <row r="72" spans="1:26" x14ac:dyDescent="0.25">
      <c r="A72">
        <v>1182</v>
      </c>
      <c r="B72">
        <v>1182</v>
      </c>
      <c r="C72" t="s">
        <v>1918</v>
      </c>
      <c r="D72" t="s">
        <v>1919</v>
      </c>
      <c r="E72" t="s">
        <v>540</v>
      </c>
      <c r="F72" t="s">
        <v>1920</v>
      </c>
      <c r="G72">
        <v>62017652</v>
      </c>
      <c r="H72" t="s">
        <v>111</v>
      </c>
      <c r="I72" t="s">
        <v>1668</v>
      </c>
      <c r="J72" t="s">
        <v>1921</v>
      </c>
      <c r="K72" t="s">
        <v>85</v>
      </c>
      <c r="L72" t="s">
        <v>1681</v>
      </c>
      <c r="M72" t="s">
        <v>291</v>
      </c>
      <c r="N72" t="s">
        <v>215</v>
      </c>
      <c r="O72" t="s">
        <v>72</v>
      </c>
      <c r="P72" s="63" t="s">
        <v>1922</v>
      </c>
      <c r="Q72" t="s">
        <v>75</v>
      </c>
      <c r="R72" t="s">
        <v>286</v>
      </c>
      <c r="S72" t="s">
        <v>1671</v>
      </c>
      <c r="T72" s="63" t="s">
        <v>1455</v>
      </c>
      <c r="U72" s="42">
        <v>3.718</v>
      </c>
      <c r="V72" s="44">
        <v>364.06099999999998</v>
      </c>
      <c r="W72" s="44">
        <v>1353.578</v>
      </c>
      <c r="X72" s="45">
        <v>1.11E-4</v>
      </c>
      <c r="Y72" s="45">
        <v>1.7088865674668701E-2</v>
      </c>
      <c r="Z72" s="45">
        <v>3.12622219552961E-3</v>
      </c>
    </row>
    <row r="73" spans="1:26" x14ac:dyDescent="0.25">
      <c r="A73">
        <v>1182</v>
      </c>
      <c r="B73">
        <v>1182</v>
      </c>
      <c r="C73" t="s">
        <v>1923</v>
      </c>
      <c r="D73" t="s">
        <v>1924</v>
      </c>
      <c r="E73" t="s">
        <v>540</v>
      </c>
      <c r="F73" t="s">
        <v>1925</v>
      </c>
      <c r="G73">
        <v>62021142</v>
      </c>
      <c r="H73" t="s">
        <v>111</v>
      </c>
      <c r="I73" t="s">
        <v>1668</v>
      </c>
      <c r="J73" t="s">
        <v>1921</v>
      </c>
      <c r="K73" t="s">
        <v>85</v>
      </c>
      <c r="L73" t="s">
        <v>1681</v>
      </c>
      <c r="M73" t="s">
        <v>291</v>
      </c>
      <c r="N73" t="s">
        <v>215</v>
      </c>
      <c r="O73" t="s">
        <v>72</v>
      </c>
      <c r="P73" s="63" t="s">
        <v>1926</v>
      </c>
      <c r="Q73" t="s">
        <v>75</v>
      </c>
      <c r="R73" t="s">
        <v>1555</v>
      </c>
      <c r="S73" t="s">
        <v>1671</v>
      </c>
      <c r="T73" s="63" t="s">
        <v>1455</v>
      </c>
      <c r="U73" s="42">
        <v>3.718</v>
      </c>
      <c r="V73" s="44">
        <v>249.833</v>
      </c>
      <c r="W73" s="44">
        <v>928.87900000000002</v>
      </c>
      <c r="X73" s="45">
        <v>6.0999999999999999E-5</v>
      </c>
      <c r="Y73" s="45">
        <v>1.1727059196746799E-2</v>
      </c>
      <c r="Z73" s="45">
        <v>2.1453379906603998E-3</v>
      </c>
    </row>
    <row r="74" spans="1:26" x14ac:dyDescent="0.25">
      <c r="A74">
        <v>1182</v>
      </c>
      <c r="B74">
        <v>1182</v>
      </c>
      <c r="C74" t="s">
        <v>1927</v>
      </c>
      <c r="D74" t="s">
        <v>1928</v>
      </c>
      <c r="E74" t="s">
        <v>540</v>
      </c>
      <c r="F74" t="s">
        <v>1929</v>
      </c>
      <c r="G74">
        <v>62020953</v>
      </c>
      <c r="H74" t="s">
        <v>111</v>
      </c>
      <c r="I74" t="s">
        <v>1668</v>
      </c>
      <c r="J74" t="s">
        <v>1675</v>
      </c>
      <c r="K74" t="s">
        <v>85</v>
      </c>
      <c r="L74" t="s">
        <v>1681</v>
      </c>
      <c r="M74" t="s">
        <v>71</v>
      </c>
      <c r="N74" t="s">
        <v>215</v>
      </c>
      <c r="O74" t="s">
        <v>72</v>
      </c>
      <c r="P74" s="63" t="s">
        <v>1930</v>
      </c>
      <c r="Q74" t="s">
        <v>75</v>
      </c>
      <c r="R74" t="s">
        <v>286</v>
      </c>
      <c r="S74" t="s">
        <v>1671</v>
      </c>
      <c r="T74" s="63" t="s">
        <v>1455</v>
      </c>
      <c r="U74" s="42">
        <v>3.718</v>
      </c>
      <c r="V74" s="44">
        <v>227.048</v>
      </c>
      <c r="W74" s="44">
        <v>844.16600000000005</v>
      </c>
      <c r="X74" s="45">
        <v>1.1000000000000001E-3</v>
      </c>
      <c r="Y74" s="45">
        <v>1.06575589965839E-2</v>
      </c>
      <c r="Z74" s="45">
        <v>1.94968455598986E-3</v>
      </c>
    </row>
    <row r="75" spans="1:26" x14ac:dyDescent="0.25">
      <c r="A75">
        <v>1182</v>
      </c>
      <c r="B75">
        <v>1182</v>
      </c>
      <c r="C75" t="s">
        <v>1931</v>
      </c>
      <c r="D75" t="s">
        <v>1932</v>
      </c>
      <c r="E75" t="s">
        <v>111</v>
      </c>
      <c r="F75" t="s">
        <v>1933</v>
      </c>
      <c r="G75">
        <v>62021951</v>
      </c>
      <c r="H75" t="s">
        <v>111</v>
      </c>
      <c r="I75" t="s">
        <v>1668</v>
      </c>
      <c r="J75" t="s">
        <v>1675</v>
      </c>
      <c r="K75" t="s">
        <v>85</v>
      </c>
      <c r="L75" t="s">
        <v>291</v>
      </c>
      <c r="M75" t="s">
        <v>291</v>
      </c>
      <c r="N75" t="s">
        <v>215</v>
      </c>
      <c r="O75" t="s">
        <v>72</v>
      </c>
      <c r="P75" s="63" t="s">
        <v>1934</v>
      </c>
      <c r="Q75" t="s">
        <v>75</v>
      </c>
      <c r="R75" t="s">
        <v>286</v>
      </c>
      <c r="S75" t="s">
        <v>1481</v>
      </c>
      <c r="T75" s="63" t="s">
        <v>1455</v>
      </c>
      <c r="U75" s="42">
        <v>3.718</v>
      </c>
      <c r="V75" s="44">
        <v>85.771000000000001</v>
      </c>
      <c r="W75" s="44">
        <v>318.89600000000002</v>
      </c>
      <c r="X75" s="45">
        <v>0</v>
      </c>
      <c r="Y75" s="45">
        <v>4.0260451072099699E-3</v>
      </c>
      <c r="Z75" s="45">
        <v>7.36521183674596E-4</v>
      </c>
    </row>
    <row r="76" spans="1:26" x14ac:dyDescent="0.25">
      <c r="A76">
        <v>1182</v>
      </c>
      <c r="B76">
        <v>1182</v>
      </c>
      <c r="C76" t="s">
        <v>1935</v>
      </c>
      <c r="D76" t="s">
        <v>1936</v>
      </c>
      <c r="E76" t="s">
        <v>540</v>
      </c>
      <c r="F76" t="s">
        <v>1937</v>
      </c>
      <c r="G76">
        <v>62020425</v>
      </c>
      <c r="H76" t="s">
        <v>111</v>
      </c>
      <c r="I76" t="s">
        <v>1668</v>
      </c>
      <c r="J76" t="s">
        <v>1739</v>
      </c>
      <c r="K76" t="s">
        <v>85</v>
      </c>
      <c r="L76" t="s">
        <v>291</v>
      </c>
      <c r="M76" t="s">
        <v>291</v>
      </c>
      <c r="N76" t="s">
        <v>291</v>
      </c>
      <c r="O76" t="s">
        <v>72</v>
      </c>
      <c r="P76" s="63" t="s">
        <v>1938</v>
      </c>
      <c r="Q76" t="s">
        <v>75</v>
      </c>
      <c r="R76" t="s">
        <v>1555</v>
      </c>
      <c r="S76" t="s">
        <v>1671</v>
      </c>
      <c r="T76" s="63" t="s">
        <v>1455</v>
      </c>
      <c r="U76" s="42">
        <v>3.718</v>
      </c>
      <c r="V76" s="44">
        <v>1006.24</v>
      </c>
      <c r="W76" s="44">
        <v>3741.1990000000001</v>
      </c>
      <c r="X76" s="45">
        <v>2.4600000000000002E-4</v>
      </c>
      <c r="Y76" s="45">
        <v>4.7232480161138499E-2</v>
      </c>
      <c r="Z76" s="45">
        <v>8.6406687629678094E-3</v>
      </c>
    </row>
    <row r="77" spans="1:26" x14ac:dyDescent="0.25">
      <c r="A77">
        <v>1182</v>
      </c>
      <c r="B77">
        <v>1182</v>
      </c>
      <c r="C77" t="s">
        <v>1939</v>
      </c>
      <c r="D77" t="s">
        <v>1940</v>
      </c>
      <c r="E77" t="s">
        <v>540</v>
      </c>
      <c r="F77" t="s">
        <v>1941</v>
      </c>
      <c r="G77">
        <v>62021332</v>
      </c>
      <c r="H77" t="s">
        <v>111</v>
      </c>
      <c r="I77" t="s">
        <v>1668</v>
      </c>
      <c r="J77" t="s">
        <v>1832</v>
      </c>
      <c r="K77" t="s">
        <v>85</v>
      </c>
      <c r="L77" t="s">
        <v>1681</v>
      </c>
      <c r="M77" t="s">
        <v>291</v>
      </c>
      <c r="N77" t="s">
        <v>291</v>
      </c>
      <c r="O77" t="s">
        <v>72</v>
      </c>
      <c r="P77" s="63" t="s">
        <v>1942</v>
      </c>
      <c r="Q77" t="s">
        <v>75</v>
      </c>
      <c r="R77" t="s">
        <v>1555</v>
      </c>
      <c r="S77" t="s">
        <v>1671</v>
      </c>
      <c r="T77" s="63" t="s">
        <v>1455</v>
      </c>
      <c r="U77" s="42">
        <v>3.718</v>
      </c>
      <c r="V77" s="44">
        <v>350.78199999999998</v>
      </c>
      <c r="W77" s="44">
        <v>1304.2080000000001</v>
      </c>
      <c r="X77" s="45">
        <v>0</v>
      </c>
      <c r="Y77" s="45">
        <v>1.6465567666690099E-2</v>
      </c>
      <c r="Z77" s="45">
        <v>3.0121966010830102E-3</v>
      </c>
    </row>
    <row r="78" spans="1:26" x14ac:dyDescent="0.25">
      <c r="A78">
        <v>1182</v>
      </c>
      <c r="B78">
        <v>1182</v>
      </c>
      <c r="C78" t="s">
        <v>1943</v>
      </c>
      <c r="D78" t="s">
        <v>1944</v>
      </c>
      <c r="E78" t="s">
        <v>540</v>
      </c>
      <c r="F78" t="s">
        <v>1945</v>
      </c>
      <c r="G78">
        <v>62021324</v>
      </c>
      <c r="H78" t="s">
        <v>111</v>
      </c>
      <c r="I78" t="s">
        <v>1668</v>
      </c>
      <c r="J78" t="s">
        <v>1832</v>
      </c>
      <c r="K78" t="s">
        <v>85</v>
      </c>
      <c r="L78" t="s">
        <v>1681</v>
      </c>
      <c r="M78" t="s">
        <v>291</v>
      </c>
      <c r="N78" t="s">
        <v>291</v>
      </c>
      <c r="O78" t="s">
        <v>72</v>
      </c>
      <c r="P78" s="63" t="s">
        <v>1942</v>
      </c>
      <c r="Q78" t="s">
        <v>75</v>
      </c>
      <c r="R78" t="s">
        <v>1555</v>
      </c>
      <c r="S78" t="s">
        <v>1671</v>
      </c>
      <c r="T78" s="63" t="s">
        <v>1455</v>
      </c>
      <c r="U78" s="42">
        <v>3.718</v>
      </c>
      <c r="V78" s="44">
        <v>135.46700000000001</v>
      </c>
      <c r="W78" s="44">
        <v>503.66399999999999</v>
      </c>
      <c r="X78" s="45">
        <v>0</v>
      </c>
      <c r="Y78" s="45">
        <v>6.35874170732262E-3</v>
      </c>
      <c r="Z78" s="45">
        <v>1.16326266702059E-3</v>
      </c>
    </row>
    <row r="79" spans="1:26" x14ac:dyDescent="0.25">
      <c r="A79">
        <v>1182</v>
      </c>
      <c r="B79">
        <v>1182</v>
      </c>
      <c r="C79" t="s">
        <v>1946</v>
      </c>
      <c r="E79" t="s">
        <v>613</v>
      </c>
      <c r="F79" t="s">
        <v>1947</v>
      </c>
      <c r="G79">
        <v>62021894</v>
      </c>
      <c r="H79" t="s">
        <v>111</v>
      </c>
      <c r="I79" t="s">
        <v>1668</v>
      </c>
      <c r="J79" t="s">
        <v>1675</v>
      </c>
      <c r="K79" t="s">
        <v>85</v>
      </c>
      <c r="L79" t="s">
        <v>1353</v>
      </c>
      <c r="M79" t="s">
        <v>604</v>
      </c>
      <c r="N79" t="s">
        <v>215</v>
      </c>
      <c r="O79" t="s">
        <v>72</v>
      </c>
      <c r="P79" s="63" t="s">
        <v>1948</v>
      </c>
      <c r="Q79" t="s">
        <v>75</v>
      </c>
      <c r="R79" t="s">
        <v>286</v>
      </c>
      <c r="T79" s="63" t="s">
        <v>1455</v>
      </c>
      <c r="U79" s="42">
        <v>3.718</v>
      </c>
      <c r="V79" s="44">
        <v>34.799999999999997</v>
      </c>
      <c r="W79" s="44">
        <v>129.387</v>
      </c>
      <c r="X79" s="45">
        <v>2.0999999999999999E-5</v>
      </c>
      <c r="Y79" s="45">
        <v>1.63350601936272E-3</v>
      </c>
      <c r="Z79" s="45">
        <v>2.9883216776832301E-4</v>
      </c>
    </row>
    <row r="80" spans="1:26" x14ac:dyDescent="0.25">
      <c r="A80">
        <v>1182</v>
      </c>
      <c r="B80">
        <v>1182</v>
      </c>
      <c r="C80" t="s">
        <v>1949</v>
      </c>
      <c r="D80" t="s">
        <v>1950</v>
      </c>
      <c r="E80" t="s">
        <v>613</v>
      </c>
      <c r="F80" t="s">
        <v>1951</v>
      </c>
      <c r="G80">
        <v>62021571</v>
      </c>
      <c r="H80" t="s">
        <v>111</v>
      </c>
      <c r="I80" t="s">
        <v>1668</v>
      </c>
      <c r="J80" t="s">
        <v>1675</v>
      </c>
      <c r="K80" t="s">
        <v>85</v>
      </c>
      <c r="L80" t="s">
        <v>1353</v>
      </c>
      <c r="M80" t="s">
        <v>604</v>
      </c>
      <c r="N80" t="s">
        <v>1199</v>
      </c>
      <c r="O80" t="s">
        <v>72</v>
      </c>
      <c r="P80" s="63" t="s">
        <v>1952</v>
      </c>
      <c r="Q80" t="s">
        <v>77</v>
      </c>
      <c r="R80" t="s">
        <v>286</v>
      </c>
      <c r="S80" t="s">
        <v>1671</v>
      </c>
      <c r="T80" s="63" t="s">
        <v>1455</v>
      </c>
      <c r="U80" s="42">
        <v>4.0218999999999996</v>
      </c>
      <c r="V80" s="44">
        <v>172.03399999999999</v>
      </c>
      <c r="W80" s="44">
        <v>691.90300000000002</v>
      </c>
      <c r="X80" s="45">
        <v>6.6500000000000001E-4</v>
      </c>
      <c r="Y80" s="45">
        <v>8.7352456049653408E-3</v>
      </c>
      <c r="Z80" s="45">
        <v>1.59801821920368E-3</v>
      </c>
    </row>
    <row r="81" spans="1:26" x14ac:dyDescent="0.25">
      <c r="A81">
        <v>1182</v>
      </c>
      <c r="B81">
        <v>1182</v>
      </c>
      <c r="C81" t="s">
        <v>1953</v>
      </c>
      <c r="D81" t="s">
        <v>1954</v>
      </c>
      <c r="E81" t="s">
        <v>540</v>
      </c>
      <c r="F81" t="s">
        <v>1955</v>
      </c>
      <c r="G81">
        <v>62019849</v>
      </c>
      <c r="H81" t="s">
        <v>111</v>
      </c>
      <c r="I81" t="s">
        <v>1668</v>
      </c>
      <c r="J81" t="s">
        <v>1675</v>
      </c>
      <c r="K81" t="s">
        <v>85</v>
      </c>
      <c r="L81" t="s">
        <v>1353</v>
      </c>
      <c r="M81" t="s">
        <v>604</v>
      </c>
      <c r="N81" t="s">
        <v>291</v>
      </c>
      <c r="O81" t="s">
        <v>72</v>
      </c>
      <c r="P81" s="63" t="s">
        <v>1956</v>
      </c>
      <c r="Q81" t="s">
        <v>75</v>
      </c>
      <c r="R81" t="s">
        <v>1555</v>
      </c>
      <c r="S81" t="s">
        <v>1671</v>
      </c>
      <c r="T81" s="63" t="s">
        <v>1455</v>
      </c>
      <c r="U81" s="42">
        <v>3.718</v>
      </c>
      <c r="V81" s="44">
        <v>212.858</v>
      </c>
      <c r="W81" s="44">
        <v>791.40599999999995</v>
      </c>
      <c r="X81" s="45">
        <v>7.3899999999999997E-4</v>
      </c>
      <c r="Y81" s="45">
        <v>9.9914670521102592E-3</v>
      </c>
      <c r="Z81" s="45">
        <v>1.8278302760908901E-3</v>
      </c>
    </row>
    <row r="82" spans="1:26" x14ac:dyDescent="0.25">
      <c r="A82">
        <v>1182</v>
      </c>
      <c r="B82">
        <v>1182</v>
      </c>
      <c r="C82" t="s">
        <v>1957</v>
      </c>
      <c r="D82" t="s">
        <v>1958</v>
      </c>
      <c r="E82" t="s">
        <v>540</v>
      </c>
      <c r="F82" t="s">
        <v>1959</v>
      </c>
      <c r="G82">
        <v>62021944</v>
      </c>
      <c r="H82" t="s">
        <v>111</v>
      </c>
      <c r="I82" t="s">
        <v>1668</v>
      </c>
      <c r="J82" t="s">
        <v>1675</v>
      </c>
      <c r="K82" t="s">
        <v>85</v>
      </c>
      <c r="L82" t="s">
        <v>1353</v>
      </c>
      <c r="M82" t="s">
        <v>604</v>
      </c>
      <c r="N82" t="s">
        <v>215</v>
      </c>
      <c r="O82" t="s">
        <v>72</v>
      </c>
      <c r="P82" s="63" t="s">
        <v>1960</v>
      </c>
      <c r="Q82" t="s">
        <v>75</v>
      </c>
      <c r="R82" t="s">
        <v>286</v>
      </c>
      <c r="T82" s="63" t="s">
        <v>1455</v>
      </c>
      <c r="U82" s="42">
        <v>3.718</v>
      </c>
      <c r="V82" s="44">
        <v>52.439</v>
      </c>
      <c r="W82" s="44">
        <v>194.96700000000001</v>
      </c>
      <c r="X82" s="45">
        <v>0</v>
      </c>
      <c r="Y82" s="45">
        <v>2.4614554299488599E-3</v>
      </c>
      <c r="Z82" s="45">
        <v>4.5029651147762202E-4</v>
      </c>
    </row>
    <row r="83" spans="1:26" x14ac:dyDescent="0.25">
      <c r="A83">
        <v>1182</v>
      </c>
      <c r="B83">
        <v>1182</v>
      </c>
      <c r="C83" t="s">
        <v>1961</v>
      </c>
      <c r="D83" t="s">
        <v>1962</v>
      </c>
      <c r="E83" t="s">
        <v>540</v>
      </c>
      <c r="F83" t="s">
        <v>1963</v>
      </c>
      <c r="G83">
        <v>62009204</v>
      </c>
      <c r="H83" t="s">
        <v>111</v>
      </c>
      <c r="I83" t="s">
        <v>1668</v>
      </c>
      <c r="J83" t="s">
        <v>1680</v>
      </c>
      <c r="K83" t="s">
        <v>85</v>
      </c>
      <c r="L83" t="s">
        <v>1353</v>
      </c>
      <c r="M83" t="s">
        <v>604</v>
      </c>
      <c r="N83" t="s">
        <v>215</v>
      </c>
      <c r="O83" t="s">
        <v>72</v>
      </c>
      <c r="P83" s="63" t="s">
        <v>1964</v>
      </c>
      <c r="Q83" t="s">
        <v>75</v>
      </c>
      <c r="R83" t="s">
        <v>286</v>
      </c>
      <c r="S83" t="s">
        <v>1671</v>
      </c>
      <c r="T83" s="63" t="s">
        <v>1455</v>
      </c>
      <c r="U83" s="42">
        <v>3.718</v>
      </c>
      <c r="V83" s="44">
        <v>364.36099999999999</v>
      </c>
      <c r="W83" s="44">
        <v>1354.693</v>
      </c>
      <c r="X83" s="45">
        <v>3.6499999999999998E-4</v>
      </c>
      <c r="Y83" s="45">
        <v>1.7102942096070099E-2</v>
      </c>
      <c r="Z83" s="45">
        <v>3.12879732379479E-3</v>
      </c>
    </row>
    <row r="84" spans="1:26" x14ac:dyDescent="0.25">
      <c r="A84">
        <v>1182</v>
      </c>
      <c r="B84">
        <v>1182</v>
      </c>
      <c r="C84" t="s">
        <v>1965</v>
      </c>
      <c r="D84" t="s">
        <v>1966</v>
      </c>
      <c r="E84" t="s">
        <v>540</v>
      </c>
      <c r="F84" t="s">
        <v>1967</v>
      </c>
      <c r="G84">
        <v>62019807</v>
      </c>
      <c r="H84" t="s">
        <v>111</v>
      </c>
      <c r="I84" t="s">
        <v>1668</v>
      </c>
      <c r="J84" t="s">
        <v>1680</v>
      </c>
      <c r="K84" t="s">
        <v>85</v>
      </c>
      <c r="L84" t="s">
        <v>1353</v>
      </c>
      <c r="M84" t="s">
        <v>604</v>
      </c>
      <c r="N84" t="s">
        <v>215</v>
      </c>
      <c r="O84" t="s">
        <v>72</v>
      </c>
      <c r="P84" s="63" t="s">
        <v>1819</v>
      </c>
      <c r="Q84" t="s">
        <v>75</v>
      </c>
      <c r="R84" t="s">
        <v>1555</v>
      </c>
      <c r="S84" t="s">
        <v>1671</v>
      </c>
      <c r="T84" s="63" t="s">
        <v>1455</v>
      </c>
      <c r="U84" s="42">
        <v>3.718</v>
      </c>
      <c r="V84" s="44">
        <v>250.23400000000001</v>
      </c>
      <c r="W84" s="44">
        <v>930.36900000000003</v>
      </c>
      <c r="X84" s="45">
        <v>1.36E-4</v>
      </c>
      <c r="Y84" s="45">
        <v>1.1745869844587101E-2</v>
      </c>
      <c r="Z84" s="45">
        <v>2.1487791941849801E-3</v>
      </c>
    </row>
    <row r="85" spans="1:26" x14ac:dyDescent="0.25">
      <c r="A85">
        <v>1182</v>
      </c>
      <c r="B85">
        <v>1182</v>
      </c>
      <c r="C85" t="s">
        <v>1968</v>
      </c>
      <c r="D85" t="s">
        <v>1962</v>
      </c>
      <c r="E85" t="s">
        <v>540</v>
      </c>
      <c r="F85" t="s">
        <v>1969</v>
      </c>
      <c r="G85">
        <v>62020615</v>
      </c>
      <c r="H85" t="s">
        <v>111</v>
      </c>
      <c r="I85" t="s">
        <v>1668</v>
      </c>
      <c r="J85" t="s">
        <v>1695</v>
      </c>
      <c r="K85" t="s">
        <v>85</v>
      </c>
      <c r="L85" t="s">
        <v>1353</v>
      </c>
      <c r="M85" t="s">
        <v>604</v>
      </c>
      <c r="N85" t="s">
        <v>215</v>
      </c>
      <c r="O85" t="s">
        <v>72</v>
      </c>
      <c r="P85" s="63" t="s">
        <v>1970</v>
      </c>
      <c r="Q85" t="s">
        <v>75</v>
      </c>
      <c r="R85" t="s">
        <v>1555</v>
      </c>
      <c r="S85" t="s">
        <v>1671</v>
      </c>
      <c r="T85" s="63" t="s">
        <v>1455</v>
      </c>
      <c r="U85" s="42">
        <v>3.718</v>
      </c>
      <c r="V85" s="44">
        <v>349.42899999999997</v>
      </c>
      <c r="W85" s="44">
        <v>1299.1780000000001</v>
      </c>
      <c r="X85" s="45">
        <v>0</v>
      </c>
      <c r="Y85" s="45">
        <v>1.6402063998177899E-2</v>
      </c>
      <c r="Z85" s="45">
        <v>3.0005792953015798E-3</v>
      </c>
    </row>
    <row r="86" spans="1:26" x14ac:dyDescent="0.25">
      <c r="A86">
        <v>1182</v>
      </c>
      <c r="B86">
        <v>1182</v>
      </c>
      <c r="C86" t="s">
        <v>1971</v>
      </c>
      <c r="D86" t="s">
        <v>1972</v>
      </c>
      <c r="E86" t="s">
        <v>540</v>
      </c>
      <c r="F86" t="s">
        <v>1973</v>
      </c>
      <c r="G86">
        <v>62020813</v>
      </c>
      <c r="H86" t="s">
        <v>111</v>
      </c>
      <c r="I86" t="s">
        <v>1668</v>
      </c>
      <c r="J86" t="s">
        <v>1704</v>
      </c>
      <c r="K86" t="s">
        <v>85</v>
      </c>
      <c r="L86" t="s">
        <v>1353</v>
      </c>
      <c r="M86" t="s">
        <v>604</v>
      </c>
      <c r="N86" t="s">
        <v>215</v>
      </c>
      <c r="O86" t="s">
        <v>72</v>
      </c>
      <c r="P86" s="63" t="s">
        <v>1974</v>
      </c>
      <c r="Q86" t="s">
        <v>75</v>
      </c>
      <c r="R86" t="s">
        <v>286</v>
      </c>
      <c r="S86" t="s">
        <v>1671</v>
      </c>
      <c r="T86" s="63" t="s">
        <v>1455</v>
      </c>
      <c r="U86" s="42">
        <v>3.718</v>
      </c>
      <c r="V86" s="44">
        <v>191.732</v>
      </c>
      <c r="W86" s="44">
        <v>712.85799999999995</v>
      </c>
      <c r="X86" s="45">
        <v>7.4999999999999993E-5</v>
      </c>
      <c r="Y86" s="45">
        <v>8.9998013523720308E-3</v>
      </c>
      <c r="Z86" s="45">
        <v>1.64641581710415E-3</v>
      </c>
    </row>
    <row r="87" spans="1:26" x14ac:dyDescent="0.25">
      <c r="A87">
        <v>1182</v>
      </c>
      <c r="B87">
        <v>1182</v>
      </c>
      <c r="C87" t="s">
        <v>1975</v>
      </c>
      <c r="D87" t="s">
        <v>1976</v>
      </c>
      <c r="E87" t="s">
        <v>540</v>
      </c>
      <c r="F87" t="s">
        <v>1977</v>
      </c>
      <c r="G87">
        <v>62010137</v>
      </c>
      <c r="H87" t="s">
        <v>111</v>
      </c>
      <c r="I87" t="s">
        <v>1668</v>
      </c>
      <c r="J87" t="s">
        <v>1704</v>
      </c>
      <c r="K87" t="s">
        <v>85</v>
      </c>
      <c r="L87" t="s">
        <v>1353</v>
      </c>
      <c r="M87" t="s">
        <v>604</v>
      </c>
      <c r="N87" t="s">
        <v>215</v>
      </c>
      <c r="O87" t="s">
        <v>72</v>
      </c>
      <c r="P87" s="63" t="s">
        <v>1978</v>
      </c>
      <c r="Q87" t="s">
        <v>75</v>
      </c>
      <c r="R87" t="s">
        <v>1555</v>
      </c>
      <c r="S87" t="s">
        <v>1671</v>
      </c>
      <c r="T87" s="63" t="s">
        <v>1455</v>
      </c>
      <c r="U87" s="42">
        <v>3.718</v>
      </c>
      <c r="V87" s="44">
        <v>245.14</v>
      </c>
      <c r="W87" s="44">
        <v>911.43100000000004</v>
      </c>
      <c r="X87" s="45">
        <v>1.0900000000000001E-4</v>
      </c>
      <c r="Y87" s="45">
        <v>1.1506780235864E-2</v>
      </c>
      <c r="Z87" s="45">
        <v>2.10504034950446E-3</v>
      </c>
    </row>
    <row r="88" spans="1:26" x14ac:dyDescent="0.25">
      <c r="A88">
        <v>1182</v>
      </c>
      <c r="B88">
        <v>1182</v>
      </c>
      <c r="C88" t="s">
        <v>1979</v>
      </c>
      <c r="D88" t="s">
        <v>1980</v>
      </c>
      <c r="E88" t="s">
        <v>111</v>
      </c>
      <c r="F88" t="s">
        <v>1981</v>
      </c>
      <c r="G88">
        <v>62006366</v>
      </c>
      <c r="H88" t="s">
        <v>111</v>
      </c>
      <c r="I88" t="s">
        <v>1668</v>
      </c>
      <c r="J88" t="s">
        <v>1982</v>
      </c>
      <c r="K88" t="s">
        <v>85</v>
      </c>
      <c r="L88" t="s">
        <v>71</v>
      </c>
      <c r="M88" t="s">
        <v>71</v>
      </c>
      <c r="N88" t="s">
        <v>291</v>
      </c>
      <c r="O88" t="s">
        <v>72</v>
      </c>
      <c r="P88" s="63" t="s">
        <v>1983</v>
      </c>
      <c r="Q88" t="s">
        <v>75</v>
      </c>
      <c r="R88" t="s">
        <v>1555</v>
      </c>
      <c r="S88" t="s">
        <v>1671</v>
      </c>
      <c r="T88" s="63" t="s">
        <v>1455</v>
      </c>
      <c r="U88" s="42">
        <v>3.718</v>
      </c>
      <c r="V88" s="44">
        <v>50.774999999999999</v>
      </c>
      <c r="W88" s="44">
        <v>188.78100000000001</v>
      </c>
      <c r="X88" s="45">
        <v>4.6000000000000001E-4</v>
      </c>
      <c r="Y88" s="45">
        <v>2.3833568163451201E-3</v>
      </c>
      <c r="Z88" s="45">
        <v>4.3600921915897298E-4</v>
      </c>
    </row>
    <row r="89" spans="1:26" x14ac:dyDescent="0.25">
      <c r="A89">
        <v>1182</v>
      </c>
      <c r="B89">
        <v>1182</v>
      </c>
      <c r="C89" t="s">
        <v>1984</v>
      </c>
      <c r="D89" t="s">
        <v>1985</v>
      </c>
      <c r="E89" t="s">
        <v>540</v>
      </c>
      <c r="F89" t="s">
        <v>1986</v>
      </c>
      <c r="G89">
        <v>62018387</v>
      </c>
      <c r="H89" t="s">
        <v>111</v>
      </c>
      <c r="I89" t="s">
        <v>1668</v>
      </c>
      <c r="J89" t="s">
        <v>1708</v>
      </c>
      <c r="K89" t="s">
        <v>85</v>
      </c>
      <c r="L89" t="s">
        <v>1681</v>
      </c>
      <c r="M89" t="s">
        <v>984</v>
      </c>
      <c r="N89" t="s">
        <v>291</v>
      </c>
      <c r="O89" t="s">
        <v>72</v>
      </c>
      <c r="P89" s="63" t="s">
        <v>1987</v>
      </c>
      <c r="Q89" t="s">
        <v>75</v>
      </c>
      <c r="R89" t="s">
        <v>1555</v>
      </c>
      <c r="S89" t="s">
        <v>1671</v>
      </c>
      <c r="T89" s="63" t="s">
        <v>1455</v>
      </c>
      <c r="U89" s="42">
        <v>3.718</v>
      </c>
      <c r="V89" s="44">
        <v>167.495</v>
      </c>
      <c r="W89" s="44">
        <v>622.74599999999998</v>
      </c>
      <c r="X89" s="45">
        <v>7.7000000000000001E-5</v>
      </c>
      <c r="Y89" s="45">
        <v>7.86213581397089E-3</v>
      </c>
      <c r="Z89" s="45">
        <v>1.4382922748546001E-3</v>
      </c>
    </row>
    <row r="90" spans="1:26" x14ac:dyDescent="0.25">
      <c r="A90">
        <v>1182</v>
      </c>
      <c r="B90">
        <v>1182</v>
      </c>
      <c r="C90" t="s">
        <v>1988</v>
      </c>
      <c r="D90" t="s">
        <v>1989</v>
      </c>
      <c r="E90" t="s">
        <v>613</v>
      </c>
      <c r="F90" t="s">
        <v>1990</v>
      </c>
      <c r="G90">
        <v>62018551</v>
      </c>
      <c r="H90" t="s">
        <v>111</v>
      </c>
      <c r="I90" t="s">
        <v>1668</v>
      </c>
      <c r="J90" t="s">
        <v>1708</v>
      </c>
      <c r="K90" t="s">
        <v>85</v>
      </c>
      <c r="L90" t="s">
        <v>1353</v>
      </c>
      <c r="M90" t="s">
        <v>1991</v>
      </c>
      <c r="N90" t="s">
        <v>984</v>
      </c>
      <c r="O90" t="s">
        <v>72</v>
      </c>
      <c r="P90" s="63" t="s">
        <v>1992</v>
      </c>
      <c r="Q90" t="s">
        <v>75</v>
      </c>
      <c r="R90" t="s">
        <v>1555</v>
      </c>
      <c r="S90" t="s">
        <v>1671</v>
      </c>
      <c r="T90" s="63" t="s">
        <v>1455</v>
      </c>
      <c r="U90" s="42">
        <v>3.718</v>
      </c>
      <c r="V90" s="44">
        <v>384.72399999999999</v>
      </c>
      <c r="W90" s="44">
        <v>1430.404</v>
      </c>
      <c r="X90" s="45">
        <v>1.531E-3</v>
      </c>
      <c r="Y90" s="45">
        <v>1.8058790214889299E-2</v>
      </c>
      <c r="Z90" s="45">
        <v>3.3036593457391101E-3</v>
      </c>
    </row>
    <row r="91" spans="1:26" x14ac:dyDescent="0.25">
      <c r="A91">
        <v>1182</v>
      </c>
      <c r="B91">
        <v>1182</v>
      </c>
      <c r="C91" t="s">
        <v>1993</v>
      </c>
      <c r="D91" t="s">
        <v>1994</v>
      </c>
      <c r="E91" t="s">
        <v>613</v>
      </c>
      <c r="F91" t="s">
        <v>1995</v>
      </c>
      <c r="G91">
        <v>62022306</v>
      </c>
      <c r="H91" t="s">
        <v>111</v>
      </c>
      <c r="I91" t="s">
        <v>1668</v>
      </c>
      <c r="J91" t="s">
        <v>1675</v>
      </c>
      <c r="K91" t="s">
        <v>85</v>
      </c>
      <c r="O91" t="s">
        <v>72</v>
      </c>
      <c r="P91" s="63" t="s">
        <v>1996</v>
      </c>
      <c r="Q91" t="s">
        <v>75</v>
      </c>
      <c r="R91" t="s">
        <v>286</v>
      </c>
      <c r="T91" s="63" t="s">
        <v>1455</v>
      </c>
      <c r="U91" s="42">
        <v>3.718</v>
      </c>
      <c r="V91" s="44">
        <v>48.79</v>
      </c>
      <c r="W91" s="44">
        <v>181.40199999999999</v>
      </c>
      <c r="X91" s="45">
        <v>0</v>
      </c>
      <c r="Y91" s="45">
        <v>2.2901923430327402E-3</v>
      </c>
      <c r="Z91" s="45">
        <v>4.1896579159340198E-4</v>
      </c>
    </row>
    <row r="92" spans="1:26" x14ac:dyDescent="0.25">
      <c r="A92">
        <v>1182</v>
      </c>
      <c r="B92">
        <v>1182</v>
      </c>
      <c r="C92" t="s">
        <v>1997</v>
      </c>
      <c r="D92" t="s">
        <v>1998</v>
      </c>
      <c r="E92" t="s">
        <v>613</v>
      </c>
      <c r="F92" t="s">
        <v>1999</v>
      </c>
      <c r="G92">
        <v>62020169</v>
      </c>
      <c r="H92" t="s">
        <v>111</v>
      </c>
      <c r="I92" t="s">
        <v>1668</v>
      </c>
      <c r="J92" t="s">
        <v>1704</v>
      </c>
      <c r="K92" t="s">
        <v>85</v>
      </c>
      <c r="L92" t="s">
        <v>1353</v>
      </c>
      <c r="M92" t="s">
        <v>1991</v>
      </c>
      <c r="N92" t="s">
        <v>215</v>
      </c>
      <c r="O92" t="s">
        <v>72</v>
      </c>
      <c r="P92" s="63" t="s">
        <v>2000</v>
      </c>
      <c r="Q92" t="s">
        <v>75</v>
      </c>
      <c r="R92" t="s">
        <v>1555</v>
      </c>
      <c r="S92" t="s">
        <v>1671</v>
      </c>
      <c r="T92" s="63" t="s">
        <v>1455</v>
      </c>
      <c r="U92" s="42">
        <v>3.718</v>
      </c>
      <c r="V92" s="44">
        <v>494.363</v>
      </c>
      <c r="W92" s="44">
        <v>1838.0409999999999</v>
      </c>
      <c r="X92" s="45">
        <v>1.3500000000000001E-3</v>
      </c>
      <c r="Y92" s="45">
        <v>2.3205188137105402E-2</v>
      </c>
      <c r="Z92" s="45">
        <v>4.2451368971314404E-3</v>
      </c>
    </row>
    <row r="93" spans="1:26" x14ac:dyDescent="0.25">
      <c r="A93">
        <v>1182</v>
      </c>
      <c r="B93">
        <v>1182</v>
      </c>
      <c r="C93" t="s">
        <v>2001</v>
      </c>
      <c r="D93" t="s">
        <v>2002</v>
      </c>
      <c r="E93" t="s">
        <v>613</v>
      </c>
      <c r="F93" t="s">
        <v>2003</v>
      </c>
      <c r="G93">
        <v>62022033</v>
      </c>
      <c r="H93" t="s">
        <v>111</v>
      </c>
      <c r="I93" t="s">
        <v>1668</v>
      </c>
      <c r="J93" t="s">
        <v>1675</v>
      </c>
      <c r="K93" t="s">
        <v>85</v>
      </c>
      <c r="L93" t="s">
        <v>1353</v>
      </c>
      <c r="M93" t="s">
        <v>990</v>
      </c>
      <c r="N93" t="s">
        <v>291</v>
      </c>
      <c r="O93" t="s">
        <v>72</v>
      </c>
      <c r="P93" s="63" t="s">
        <v>2004</v>
      </c>
      <c r="Q93" t="s">
        <v>75</v>
      </c>
      <c r="R93" t="s">
        <v>286</v>
      </c>
      <c r="S93" t="s">
        <v>1481</v>
      </c>
      <c r="T93" s="63" t="s">
        <v>1455</v>
      </c>
      <c r="U93" s="42">
        <v>3.718</v>
      </c>
      <c r="V93" s="44">
        <v>100.238</v>
      </c>
      <c r="W93" s="44">
        <v>372.68599999999998</v>
      </c>
      <c r="X93" s="45">
        <v>0</v>
      </c>
      <c r="Y93" s="45">
        <v>4.7051413657911703E-3</v>
      </c>
      <c r="Z93" s="45">
        <v>8.6075446146462804E-4</v>
      </c>
    </row>
    <row r="94" spans="1:26" x14ac:dyDescent="0.25">
      <c r="A94">
        <v>1182</v>
      </c>
      <c r="B94">
        <v>1182</v>
      </c>
      <c r="C94" t="s">
        <v>2001</v>
      </c>
      <c r="D94" t="s">
        <v>2002</v>
      </c>
      <c r="E94" t="s">
        <v>613</v>
      </c>
      <c r="F94" t="s">
        <v>2005</v>
      </c>
      <c r="G94">
        <v>62021852</v>
      </c>
      <c r="H94" t="s">
        <v>111</v>
      </c>
      <c r="I94" t="s">
        <v>1668</v>
      </c>
      <c r="J94" t="s">
        <v>1675</v>
      </c>
      <c r="K94" t="s">
        <v>85</v>
      </c>
      <c r="L94" t="s">
        <v>1353</v>
      </c>
      <c r="M94" t="s">
        <v>990</v>
      </c>
      <c r="N94" t="s">
        <v>1199</v>
      </c>
      <c r="O94" t="s">
        <v>72</v>
      </c>
      <c r="P94" s="63" t="s">
        <v>1893</v>
      </c>
      <c r="Q94" t="s">
        <v>77</v>
      </c>
      <c r="R94" t="s">
        <v>286</v>
      </c>
      <c r="T94" s="63" t="s">
        <v>1455</v>
      </c>
      <c r="U94" s="42">
        <v>4.0218999999999996</v>
      </c>
      <c r="V94" s="44">
        <v>114.444</v>
      </c>
      <c r="W94" s="44">
        <v>460.28399999999999</v>
      </c>
      <c r="X94" s="45">
        <v>0</v>
      </c>
      <c r="Y94" s="45">
        <v>5.8110665892119303E-3</v>
      </c>
      <c r="Z94" s="45">
        <v>1.0630714581497201E-3</v>
      </c>
    </row>
    <row r="95" spans="1:26" x14ac:dyDescent="0.25">
      <c r="A95">
        <v>1182</v>
      </c>
      <c r="B95">
        <v>1182</v>
      </c>
      <c r="C95" t="s">
        <v>2006</v>
      </c>
      <c r="D95" t="s">
        <v>2007</v>
      </c>
      <c r="E95" t="s">
        <v>286</v>
      </c>
      <c r="F95" t="s">
        <v>2008</v>
      </c>
      <c r="G95">
        <v>62020995</v>
      </c>
      <c r="H95" t="s">
        <v>111</v>
      </c>
      <c r="I95" t="s">
        <v>1668</v>
      </c>
      <c r="J95" t="s">
        <v>1748</v>
      </c>
      <c r="K95" t="s">
        <v>85</v>
      </c>
      <c r="L95" t="s">
        <v>291</v>
      </c>
      <c r="M95" t="s">
        <v>71</v>
      </c>
      <c r="N95" t="s">
        <v>291</v>
      </c>
      <c r="O95" t="s">
        <v>72</v>
      </c>
      <c r="P95" s="63" t="s">
        <v>2009</v>
      </c>
      <c r="Q95" t="s">
        <v>75</v>
      </c>
      <c r="R95" t="s">
        <v>1555</v>
      </c>
      <c r="S95" t="s">
        <v>1671</v>
      </c>
      <c r="T95" s="63" t="s">
        <v>1455</v>
      </c>
      <c r="U95" s="42">
        <v>3.718</v>
      </c>
      <c r="V95" s="44">
        <v>72.132000000000005</v>
      </c>
      <c r="W95" s="44">
        <v>268.185</v>
      </c>
      <c r="X95" s="45">
        <v>3.8999999999999999E-5</v>
      </c>
      <c r="Y95" s="45">
        <v>3.3858282122754698E-3</v>
      </c>
      <c r="Z95" s="45">
        <v>6.19400462791168E-4</v>
      </c>
    </row>
    <row r="96" spans="1:26" x14ac:dyDescent="0.25">
      <c r="A96">
        <v>424</v>
      </c>
      <c r="B96">
        <v>7228</v>
      </c>
      <c r="C96" t="s">
        <v>2010</v>
      </c>
      <c r="D96" t="s">
        <v>2011</v>
      </c>
      <c r="E96" t="s">
        <v>210</v>
      </c>
      <c r="F96" t="s">
        <v>2012</v>
      </c>
      <c r="G96">
        <v>9840847</v>
      </c>
      <c r="H96" t="s">
        <v>111</v>
      </c>
      <c r="I96" t="s">
        <v>1668</v>
      </c>
      <c r="J96" t="s">
        <v>1748</v>
      </c>
      <c r="K96" t="s">
        <v>71</v>
      </c>
      <c r="L96" t="s">
        <v>71</v>
      </c>
      <c r="M96" t="s">
        <v>71</v>
      </c>
      <c r="N96" t="s">
        <v>71</v>
      </c>
      <c r="O96" t="s">
        <v>72</v>
      </c>
      <c r="P96" s="63" t="s">
        <v>1424</v>
      </c>
      <c r="Q96" t="s">
        <v>75</v>
      </c>
      <c r="R96" t="s">
        <v>1555</v>
      </c>
      <c r="S96" t="s">
        <v>1671</v>
      </c>
      <c r="T96" s="63" t="s">
        <v>1455</v>
      </c>
      <c r="U96" s="42">
        <v>3.718</v>
      </c>
      <c r="V96" s="44">
        <v>16.652000000000001</v>
      </c>
      <c r="W96" s="44">
        <v>61.912999999999997</v>
      </c>
      <c r="X96" s="45">
        <v>6.3160000000000004E-3</v>
      </c>
      <c r="Y96" s="45">
        <v>1.2865411653738301E-4</v>
      </c>
      <c r="Z96" s="45">
        <v>2.5225915533051399E-5</v>
      </c>
    </row>
    <row r="97" spans="1:26" x14ac:dyDescent="0.25">
      <c r="A97">
        <v>424</v>
      </c>
      <c r="B97">
        <v>7228</v>
      </c>
      <c r="C97" t="s">
        <v>2013</v>
      </c>
      <c r="D97" t="s">
        <v>2014</v>
      </c>
      <c r="E97" t="s">
        <v>210</v>
      </c>
      <c r="F97" t="s">
        <v>2015</v>
      </c>
      <c r="G97">
        <v>9840848</v>
      </c>
      <c r="H97" t="s">
        <v>111</v>
      </c>
      <c r="I97" t="s">
        <v>1668</v>
      </c>
      <c r="J97" t="s">
        <v>1708</v>
      </c>
      <c r="K97" t="s">
        <v>71</v>
      </c>
      <c r="L97" t="s">
        <v>71</v>
      </c>
      <c r="M97" t="s">
        <v>71</v>
      </c>
      <c r="N97" t="s">
        <v>71</v>
      </c>
      <c r="O97" t="s">
        <v>72</v>
      </c>
      <c r="P97" s="63" t="s">
        <v>1424</v>
      </c>
      <c r="Q97" t="s">
        <v>75</v>
      </c>
      <c r="R97" t="s">
        <v>1555</v>
      </c>
      <c r="S97" t="s">
        <v>1671</v>
      </c>
      <c r="T97" s="63" t="s">
        <v>1455</v>
      </c>
      <c r="U97" s="42">
        <v>3.718</v>
      </c>
      <c r="V97" s="44">
        <v>0.93200000000000005</v>
      </c>
      <c r="W97" s="44">
        <v>3.4649999999999999</v>
      </c>
      <c r="X97" s="45">
        <v>8.0649999999999993E-3</v>
      </c>
      <c r="Y97" s="45">
        <v>7.2006056038880702E-6</v>
      </c>
      <c r="Z97" s="45">
        <v>1.4118620813638599E-6</v>
      </c>
    </row>
    <row r="98" spans="1:26" x14ac:dyDescent="0.25">
      <c r="A98">
        <v>424</v>
      </c>
      <c r="B98">
        <v>7228</v>
      </c>
      <c r="C98" t="s">
        <v>1665</v>
      </c>
      <c r="D98" t="s">
        <v>1666</v>
      </c>
      <c r="E98" t="s">
        <v>286</v>
      </c>
      <c r="F98" t="s">
        <v>1667</v>
      </c>
      <c r="G98">
        <v>50007566</v>
      </c>
      <c r="H98" t="s">
        <v>111</v>
      </c>
      <c r="I98" t="s">
        <v>1668</v>
      </c>
      <c r="J98" t="s">
        <v>1669</v>
      </c>
      <c r="K98" t="s">
        <v>71</v>
      </c>
      <c r="L98" t="s">
        <v>71</v>
      </c>
      <c r="M98" t="s">
        <v>71</v>
      </c>
      <c r="N98" t="s">
        <v>71</v>
      </c>
      <c r="O98" t="s">
        <v>72</v>
      </c>
      <c r="P98" s="63" t="s">
        <v>1670</v>
      </c>
      <c r="Q98" t="s">
        <v>81</v>
      </c>
      <c r="R98" t="s">
        <v>1555</v>
      </c>
      <c r="S98" t="s">
        <v>1671</v>
      </c>
      <c r="T98" s="63" t="s">
        <v>1455</v>
      </c>
      <c r="U98" s="42">
        <v>1</v>
      </c>
      <c r="V98" s="44">
        <v>2209.9989999999998</v>
      </c>
      <c r="W98" s="44">
        <v>2209.9989999999998</v>
      </c>
      <c r="X98" s="45">
        <v>1.1720000000000001E-3</v>
      </c>
      <c r="Y98" s="45">
        <v>4.5923597265949603E-3</v>
      </c>
      <c r="Z98" s="45">
        <v>9.0044906201513001E-4</v>
      </c>
    </row>
    <row r="99" spans="1:26" x14ac:dyDescent="0.25">
      <c r="A99">
        <v>424</v>
      </c>
      <c r="B99">
        <v>7228</v>
      </c>
      <c r="C99" t="s">
        <v>1672</v>
      </c>
      <c r="D99" t="s">
        <v>1673</v>
      </c>
      <c r="E99" t="s">
        <v>420</v>
      </c>
      <c r="F99" t="s">
        <v>1674</v>
      </c>
      <c r="G99">
        <v>62018312</v>
      </c>
      <c r="H99" t="s">
        <v>111</v>
      </c>
      <c r="I99" t="s">
        <v>1668</v>
      </c>
      <c r="J99" t="s">
        <v>1675</v>
      </c>
      <c r="K99" t="s">
        <v>71</v>
      </c>
      <c r="L99" t="s">
        <v>71</v>
      </c>
      <c r="M99" t="s">
        <v>71</v>
      </c>
      <c r="N99" t="s">
        <v>71</v>
      </c>
      <c r="O99" t="s">
        <v>72</v>
      </c>
      <c r="P99" s="63" t="s">
        <v>1676</v>
      </c>
      <c r="Q99" t="s">
        <v>75</v>
      </c>
      <c r="R99" t="s">
        <v>1555</v>
      </c>
      <c r="S99" t="s">
        <v>1671</v>
      </c>
      <c r="T99" s="63" t="s">
        <v>1455</v>
      </c>
      <c r="U99" s="42">
        <v>3.718</v>
      </c>
      <c r="V99" s="44">
        <v>1529.981</v>
      </c>
      <c r="W99" s="44">
        <v>5688.4690000000001</v>
      </c>
      <c r="X99" s="45">
        <v>8.4400000000000002E-4</v>
      </c>
      <c r="Y99" s="45">
        <v>1.18205882792246E-2</v>
      </c>
      <c r="Z99" s="45">
        <v>2.3177273258570999E-3</v>
      </c>
    </row>
    <row r="100" spans="1:26" x14ac:dyDescent="0.25">
      <c r="A100">
        <v>424</v>
      </c>
      <c r="B100">
        <v>7228</v>
      </c>
      <c r="C100" t="s">
        <v>1672</v>
      </c>
      <c r="D100" t="s">
        <v>1673</v>
      </c>
      <c r="E100" t="s">
        <v>420</v>
      </c>
      <c r="F100" t="s">
        <v>2016</v>
      </c>
      <c r="G100">
        <v>60305448</v>
      </c>
      <c r="H100" t="s">
        <v>111</v>
      </c>
      <c r="I100" t="s">
        <v>1668</v>
      </c>
      <c r="J100" t="s">
        <v>1675</v>
      </c>
      <c r="K100" t="s">
        <v>71</v>
      </c>
      <c r="L100" t="s">
        <v>71</v>
      </c>
      <c r="M100" t="s">
        <v>71</v>
      </c>
      <c r="N100" t="s">
        <v>71</v>
      </c>
      <c r="O100" t="s">
        <v>72</v>
      </c>
      <c r="P100" s="63" t="s">
        <v>1424</v>
      </c>
      <c r="Q100" t="s">
        <v>75</v>
      </c>
      <c r="R100" t="s">
        <v>286</v>
      </c>
      <c r="S100" t="s">
        <v>1671</v>
      </c>
      <c r="T100" s="63" t="s">
        <v>1455</v>
      </c>
      <c r="U100" s="42">
        <v>3.718</v>
      </c>
      <c r="V100" s="44">
        <v>768.13599999999997</v>
      </c>
      <c r="W100" s="44">
        <v>2855.9279999999999</v>
      </c>
      <c r="X100" s="45">
        <v>3.2325E-2</v>
      </c>
      <c r="Y100" s="45">
        <v>5.9345931307776597E-3</v>
      </c>
      <c r="Z100" s="45">
        <v>1.1636280988842299E-3</v>
      </c>
    </row>
    <row r="101" spans="1:26" x14ac:dyDescent="0.25">
      <c r="A101">
        <v>424</v>
      </c>
      <c r="B101">
        <v>7228</v>
      </c>
      <c r="C101" t="s">
        <v>1677</v>
      </c>
      <c r="D101" t="s">
        <v>1678</v>
      </c>
      <c r="E101" t="s">
        <v>111</v>
      </c>
      <c r="F101" t="s">
        <v>1679</v>
      </c>
      <c r="G101">
        <v>60390093</v>
      </c>
      <c r="H101" t="s">
        <v>111</v>
      </c>
      <c r="I101" t="s">
        <v>1668</v>
      </c>
      <c r="J101" t="s">
        <v>1680</v>
      </c>
      <c r="K101" t="s">
        <v>85</v>
      </c>
      <c r="L101" t="s">
        <v>1681</v>
      </c>
      <c r="M101" t="s">
        <v>71</v>
      </c>
      <c r="N101" t="s">
        <v>71</v>
      </c>
      <c r="O101" t="s">
        <v>72</v>
      </c>
      <c r="P101" s="63" t="s">
        <v>1682</v>
      </c>
      <c r="Q101" t="s">
        <v>75</v>
      </c>
      <c r="R101" t="s">
        <v>1555</v>
      </c>
      <c r="S101" t="s">
        <v>1671</v>
      </c>
      <c r="T101" s="63" t="s">
        <v>1455</v>
      </c>
      <c r="U101" s="42">
        <v>3.718</v>
      </c>
      <c r="V101" s="44">
        <v>465.34699999999998</v>
      </c>
      <c r="W101" s="44">
        <v>1730.1590000000001</v>
      </c>
      <c r="X101" s="45">
        <v>1.5006E-2</v>
      </c>
      <c r="Y101" s="45">
        <v>3.5952561972439701E-3</v>
      </c>
      <c r="Z101" s="45">
        <v>7.0494152532619004E-4</v>
      </c>
    </row>
    <row r="102" spans="1:26" x14ac:dyDescent="0.25">
      <c r="A102">
        <v>424</v>
      </c>
      <c r="B102">
        <v>7228</v>
      </c>
      <c r="C102" t="s">
        <v>1677</v>
      </c>
      <c r="D102" t="s">
        <v>1678</v>
      </c>
      <c r="E102" t="s">
        <v>111</v>
      </c>
      <c r="F102" t="s">
        <v>1683</v>
      </c>
      <c r="G102">
        <v>62019724</v>
      </c>
      <c r="H102" t="s">
        <v>111</v>
      </c>
      <c r="I102" t="s">
        <v>1668</v>
      </c>
      <c r="J102" t="s">
        <v>1680</v>
      </c>
      <c r="K102" t="s">
        <v>85</v>
      </c>
      <c r="L102" t="s">
        <v>1681</v>
      </c>
      <c r="M102" t="s">
        <v>71</v>
      </c>
      <c r="N102" t="s">
        <v>71</v>
      </c>
      <c r="O102" t="s">
        <v>72</v>
      </c>
      <c r="P102" s="63" t="s">
        <v>1684</v>
      </c>
      <c r="Q102" t="s">
        <v>75</v>
      </c>
      <c r="R102" t="s">
        <v>1555</v>
      </c>
      <c r="S102" t="s">
        <v>1671</v>
      </c>
      <c r="T102" s="63" t="s">
        <v>1455</v>
      </c>
      <c r="U102" s="42">
        <v>3.718</v>
      </c>
      <c r="V102" s="44">
        <v>620.20899999999995</v>
      </c>
      <c r="W102" s="44">
        <v>2305.9380000000001</v>
      </c>
      <c r="X102" s="45">
        <v>0</v>
      </c>
      <c r="Y102" s="45">
        <v>4.7917188295193399E-3</v>
      </c>
      <c r="Z102" s="45">
        <v>9.3953849052676197E-4</v>
      </c>
    </row>
    <row r="103" spans="1:26" x14ac:dyDescent="0.25">
      <c r="A103">
        <v>424</v>
      </c>
      <c r="B103">
        <v>7228</v>
      </c>
      <c r="C103" t="s">
        <v>1677</v>
      </c>
      <c r="D103" t="s">
        <v>1678</v>
      </c>
      <c r="E103" t="s">
        <v>111</v>
      </c>
      <c r="F103" t="s">
        <v>1685</v>
      </c>
      <c r="G103">
        <v>62000563</v>
      </c>
      <c r="H103" t="s">
        <v>111</v>
      </c>
      <c r="I103" t="s">
        <v>1668</v>
      </c>
      <c r="J103" t="s">
        <v>1680</v>
      </c>
      <c r="K103" t="s">
        <v>85</v>
      </c>
      <c r="L103" t="s">
        <v>1681</v>
      </c>
      <c r="M103" t="s">
        <v>71</v>
      </c>
      <c r="N103" t="s">
        <v>71</v>
      </c>
      <c r="O103" t="s">
        <v>72</v>
      </c>
      <c r="P103" s="63" t="s">
        <v>1686</v>
      </c>
      <c r="Q103" t="s">
        <v>75</v>
      </c>
      <c r="R103" t="s">
        <v>1555</v>
      </c>
      <c r="S103" t="s">
        <v>1671</v>
      </c>
      <c r="T103" s="63" t="s">
        <v>1455</v>
      </c>
      <c r="U103" s="42">
        <v>3.718</v>
      </c>
      <c r="V103" s="44">
        <v>576.06200000000001</v>
      </c>
      <c r="W103" s="44">
        <v>2141.8000000000002</v>
      </c>
      <c r="X103" s="45">
        <v>1.1166000000000001E-2</v>
      </c>
      <c r="Y103" s="45">
        <v>4.4506408948060804E-3</v>
      </c>
      <c r="Z103" s="45">
        <v>8.7266147638346203E-4</v>
      </c>
    </row>
    <row r="104" spans="1:26" x14ac:dyDescent="0.25">
      <c r="A104">
        <v>424</v>
      </c>
      <c r="B104">
        <v>7228</v>
      </c>
      <c r="C104" t="s">
        <v>1687</v>
      </c>
      <c r="D104" t="s">
        <v>1688</v>
      </c>
      <c r="E104" t="s">
        <v>111</v>
      </c>
      <c r="F104" t="s">
        <v>1689</v>
      </c>
      <c r="G104">
        <v>77419109</v>
      </c>
      <c r="H104" t="s">
        <v>111</v>
      </c>
      <c r="I104" t="s">
        <v>1690</v>
      </c>
      <c r="J104" t="s">
        <v>1675</v>
      </c>
      <c r="K104" t="s">
        <v>71</v>
      </c>
      <c r="L104" t="s">
        <v>1681</v>
      </c>
      <c r="M104" t="s">
        <v>71</v>
      </c>
      <c r="N104" t="s">
        <v>71</v>
      </c>
      <c r="O104" t="s">
        <v>72</v>
      </c>
      <c r="P104" s="63" t="s">
        <v>1691</v>
      </c>
      <c r="Q104" t="s">
        <v>75</v>
      </c>
      <c r="R104" t="s">
        <v>286</v>
      </c>
      <c r="S104" t="s">
        <v>1671</v>
      </c>
      <c r="T104" s="63" t="s">
        <v>1455</v>
      </c>
      <c r="U104" s="42">
        <v>3.718</v>
      </c>
      <c r="V104" s="44">
        <v>1994.104</v>
      </c>
      <c r="W104" s="44">
        <v>7414.0780000000004</v>
      </c>
      <c r="X104" s="45">
        <v>0</v>
      </c>
      <c r="Y104" s="45">
        <v>1.54063896766088E-2</v>
      </c>
      <c r="Z104" s="45">
        <v>3.0208149969183601E-3</v>
      </c>
    </row>
    <row r="105" spans="1:26" x14ac:dyDescent="0.25">
      <c r="A105">
        <v>424</v>
      </c>
      <c r="B105">
        <v>7228</v>
      </c>
      <c r="C105" t="s">
        <v>1692</v>
      </c>
      <c r="D105" t="s">
        <v>1693</v>
      </c>
      <c r="E105" t="s">
        <v>540</v>
      </c>
      <c r="F105" t="s">
        <v>1694</v>
      </c>
      <c r="G105">
        <v>60415775</v>
      </c>
      <c r="H105" t="s">
        <v>111</v>
      </c>
      <c r="I105" t="s">
        <v>1668</v>
      </c>
      <c r="J105" t="s">
        <v>1695</v>
      </c>
      <c r="K105" t="s">
        <v>85</v>
      </c>
      <c r="L105" t="s">
        <v>1681</v>
      </c>
      <c r="M105" t="s">
        <v>71</v>
      </c>
      <c r="N105" t="s">
        <v>71</v>
      </c>
      <c r="O105" t="s">
        <v>72</v>
      </c>
      <c r="P105" s="63" t="s">
        <v>1696</v>
      </c>
      <c r="Q105" t="s">
        <v>75</v>
      </c>
      <c r="R105" t="s">
        <v>1555</v>
      </c>
      <c r="S105" t="s">
        <v>1671</v>
      </c>
      <c r="T105" s="63" t="s">
        <v>1455</v>
      </c>
      <c r="U105" s="42">
        <v>3.718</v>
      </c>
      <c r="V105" s="44">
        <v>1070.49</v>
      </c>
      <c r="W105" s="44">
        <v>3980.0819999999999</v>
      </c>
      <c r="X105" s="45">
        <v>5.0000000000000001E-3</v>
      </c>
      <c r="Y105" s="45">
        <v>8.2705754215731207E-3</v>
      </c>
      <c r="Z105" s="45">
        <v>1.62165690931244E-3</v>
      </c>
    </row>
    <row r="106" spans="1:26" x14ac:dyDescent="0.25">
      <c r="A106">
        <v>424</v>
      </c>
      <c r="B106">
        <v>7228</v>
      </c>
      <c r="C106" t="s">
        <v>2017</v>
      </c>
      <c r="D106" t="s">
        <v>2018</v>
      </c>
      <c r="E106" t="s">
        <v>111</v>
      </c>
      <c r="F106" t="s">
        <v>2019</v>
      </c>
      <c r="G106">
        <v>60283439</v>
      </c>
      <c r="H106" t="s">
        <v>111</v>
      </c>
      <c r="I106" t="s">
        <v>1668</v>
      </c>
      <c r="J106" t="s">
        <v>1695</v>
      </c>
      <c r="K106" t="s">
        <v>85</v>
      </c>
      <c r="L106" t="s">
        <v>1353</v>
      </c>
      <c r="M106" t="s">
        <v>1353</v>
      </c>
      <c r="N106" t="s">
        <v>1199</v>
      </c>
      <c r="O106" t="s">
        <v>72</v>
      </c>
      <c r="P106" s="63" t="s">
        <v>1424</v>
      </c>
      <c r="Q106" t="s">
        <v>75</v>
      </c>
      <c r="R106" t="s">
        <v>1555</v>
      </c>
      <c r="S106" t="s">
        <v>1671</v>
      </c>
      <c r="T106" s="63" t="s">
        <v>1455</v>
      </c>
      <c r="U106" s="42">
        <v>3.718</v>
      </c>
      <c r="V106" s="44">
        <v>18.152000000000001</v>
      </c>
      <c r="W106" s="44">
        <v>67.488</v>
      </c>
      <c r="X106" s="45">
        <v>1.277E-2</v>
      </c>
      <c r="Y106" s="45">
        <v>1.40239133808814E-4</v>
      </c>
      <c r="Z106" s="45">
        <v>2.7497453164364999E-5</v>
      </c>
    </row>
    <row r="107" spans="1:26" x14ac:dyDescent="0.25">
      <c r="A107">
        <v>424</v>
      </c>
      <c r="B107">
        <v>7228</v>
      </c>
      <c r="C107" t="s">
        <v>1697</v>
      </c>
      <c r="D107" t="s">
        <v>1698</v>
      </c>
      <c r="E107" t="s">
        <v>111</v>
      </c>
      <c r="F107" t="s">
        <v>1699</v>
      </c>
      <c r="G107">
        <v>62017538</v>
      </c>
      <c r="H107" t="s">
        <v>111</v>
      </c>
      <c r="I107" t="s">
        <v>1668</v>
      </c>
      <c r="J107" t="s">
        <v>1695</v>
      </c>
      <c r="K107" t="s">
        <v>71</v>
      </c>
      <c r="L107" t="s">
        <v>71</v>
      </c>
      <c r="M107" t="s">
        <v>71</v>
      </c>
      <c r="N107" t="s">
        <v>71</v>
      </c>
      <c r="O107" t="s">
        <v>72</v>
      </c>
      <c r="P107" s="63" t="s">
        <v>1700</v>
      </c>
      <c r="Q107" t="s">
        <v>75</v>
      </c>
      <c r="R107" t="s">
        <v>286</v>
      </c>
      <c r="S107" t="s">
        <v>1671</v>
      </c>
      <c r="T107" s="63" t="s">
        <v>1455</v>
      </c>
      <c r="U107" s="42">
        <v>3.718</v>
      </c>
      <c r="V107" s="44">
        <v>3608.0659999999998</v>
      </c>
      <c r="W107" s="44">
        <v>13414.789000000001</v>
      </c>
      <c r="X107" s="45">
        <v>1.3187000000000001E-2</v>
      </c>
      <c r="Y107" s="45">
        <v>2.7875814523072501E-2</v>
      </c>
      <c r="Z107" s="45">
        <v>5.4657632534417097E-3</v>
      </c>
    </row>
    <row r="108" spans="1:26" x14ac:dyDescent="0.25">
      <c r="A108">
        <v>424</v>
      </c>
      <c r="B108">
        <v>7228</v>
      </c>
      <c r="C108" t="s">
        <v>1701</v>
      </c>
      <c r="D108" t="s">
        <v>1702</v>
      </c>
      <c r="E108" t="s">
        <v>111</v>
      </c>
      <c r="F108" t="s">
        <v>1703</v>
      </c>
      <c r="G108">
        <v>62001189</v>
      </c>
      <c r="H108" t="s">
        <v>111</v>
      </c>
      <c r="I108" t="s">
        <v>1668</v>
      </c>
      <c r="J108" t="s">
        <v>1704</v>
      </c>
      <c r="K108" t="s">
        <v>71</v>
      </c>
      <c r="L108" t="s">
        <v>1681</v>
      </c>
      <c r="M108" t="s">
        <v>71</v>
      </c>
      <c r="N108" t="s">
        <v>71</v>
      </c>
      <c r="O108" t="s">
        <v>72</v>
      </c>
      <c r="P108" s="63" t="s">
        <v>1705</v>
      </c>
      <c r="Q108" t="s">
        <v>75</v>
      </c>
      <c r="R108" t="s">
        <v>1555</v>
      </c>
      <c r="S108" t="s">
        <v>1671</v>
      </c>
      <c r="T108" s="63" t="s">
        <v>1455</v>
      </c>
      <c r="U108" s="42">
        <v>3.718</v>
      </c>
      <c r="V108" s="44">
        <v>575.74599999999998</v>
      </c>
      <c r="W108" s="44">
        <v>2140.6239999999998</v>
      </c>
      <c r="X108" s="45">
        <v>6.8989999999999998E-3</v>
      </c>
      <c r="Y108" s="45">
        <v>4.4481976806510599E-3</v>
      </c>
      <c r="Z108" s="45">
        <v>8.7218242203555298E-4</v>
      </c>
    </row>
    <row r="109" spans="1:26" x14ac:dyDescent="0.25">
      <c r="A109">
        <v>424</v>
      </c>
      <c r="B109">
        <v>7228</v>
      </c>
      <c r="C109" t="s">
        <v>2020</v>
      </c>
      <c r="D109" t="s">
        <v>2021</v>
      </c>
      <c r="E109" t="s">
        <v>111</v>
      </c>
      <c r="F109" t="s">
        <v>2022</v>
      </c>
      <c r="G109">
        <v>9840793</v>
      </c>
      <c r="H109" t="s">
        <v>111</v>
      </c>
      <c r="I109" t="s">
        <v>1668</v>
      </c>
      <c r="J109" t="s">
        <v>1982</v>
      </c>
      <c r="K109" t="s">
        <v>85</v>
      </c>
      <c r="L109" t="s">
        <v>1681</v>
      </c>
      <c r="M109" t="s">
        <v>71</v>
      </c>
      <c r="N109" t="s">
        <v>71</v>
      </c>
      <c r="O109" t="s">
        <v>72</v>
      </c>
      <c r="P109" s="63" t="s">
        <v>1424</v>
      </c>
      <c r="Q109" t="s">
        <v>75</v>
      </c>
      <c r="R109" t="s">
        <v>1555</v>
      </c>
      <c r="S109" t="s">
        <v>1671</v>
      </c>
      <c r="T109" s="63" t="s">
        <v>1455</v>
      </c>
      <c r="U109" s="42">
        <v>3.718</v>
      </c>
      <c r="V109" s="44">
        <v>28.67</v>
      </c>
      <c r="W109" s="44">
        <v>106.595</v>
      </c>
      <c r="X109" s="45">
        <v>1.8182E-2</v>
      </c>
      <c r="Y109" s="45">
        <v>2.2150360800801599E-4</v>
      </c>
      <c r="Z109" s="45">
        <v>4.3431422610194999E-5</v>
      </c>
    </row>
    <row r="110" spans="1:26" x14ac:dyDescent="0.25">
      <c r="A110">
        <v>424</v>
      </c>
      <c r="B110">
        <v>7228</v>
      </c>
      <c r="C110" t="s">
        <v>2023</v>
      </c>
      <c r="D110" t="s">
        <v>2024</v>
      </c>
      <c r="E110" t="s">
        <v>111</v>
      </c>
      <c r="F110" t="s">
        <v>2025</v>
      </c>
      <c r="G110">
        <v>60345527</v>
      </c>
      <c r="H110" t="s">
        <v>111</v>
      </c>
      <c r="I110" t="s">
        <v>1668</v>
      </c>
      <c r="J110" t="s">
        <v>1982</v>
      </c>
      <c r="K110" t="s">
        <v>85</v>
      </c>
      <c r="L110" t="s">
        <v>1681</v>
      </c>
      <c r="M110" t="s">
        <v>71</v>
      </c>
      <c r="N110" t="s">
        <v>291</v>
      </c>
      <c r="O110" t="s">
        <v>72</v>
      </c>
      <c r="P110" s="63" t="s">
        <v>1424</v>
      </c>
      <c r="Q110" t="s">
        <v>75</v>
      </c>
      <c r="R110" t="s">
        <v>1555</v>
      </c>
      <c r="S110" t="s">
        <v>1671</v>
      </c>
      <c r="T110" s="63" t="s">
        <v>1455</v>
      </c>
      <c r="U110" s="42">
        <v>3.718</v>
      </c>
      <c r="V110" s="44">
        <v>1195.6110000000001</v>
      </c>
      <c r="W110" s="44">
        <v>4445.2809999999999</v>
      </c>
      <c r="X110" s="45">
        <v>3.63E-3</v>
      </c>
      <c r="Y110" s="45">
        <v>9.2372550241813199E-3</v>
      </c>
      <c r="Z110" s="45">
        <v>1.8111990604633701E-3</v>
      </c>
    </row>
    <row r="111" spans="1:26" x14ac:dyDescent="0.25">
      <c r="A111">
        <v>424</v>
      </c>
      <c r="B111">
        <v>7228</v>
      </c>
      <c r="C111" t="s">
        <v>1706</v>
      </c>
      <c r="D111" t="s">
        <v>1707</v>
      </c>
      <c r="E111" t="s">
        <v>111</v>
      </c>
      <c r="F111" t="s">
        <v>1706</v>
      </c>
      <c r="G111">
        <v>60401809</v>
      </c>
      <c r="H111" t="s">
        <v>111</v>
      </c>
      <c r="I111" t="s">
        <v>1668</v>
      </c>
      <c r="J111" t="s">
        <v>1708</v>
      </c>
      <c r="K111" t="s">
        <v>85</v>
      </c>
      <c r="L111" t="s">
        <v>1681</v>
      </c>
      <c r="M111" t="s">
        <v>71</v>
      </c>
      <c r="N111" t="s">
        <v>291</v>
      </c>
      <c r="O111" t="s">
        <v>72</v>
      </c>
      <c r="P111" s="63" t="s">
        <v>1709</v>
      </c>
      <c r="Q111" t="s">
        <v>75</v>
      </c>
      <c r="R111" t="s">
        <v>1555</v>
      </c>
      <c r="S111" t="s">
        <v>1671</v>
      </c>
      <c r="T111" s="63" t="s">
        <v>1455</v>
      </c>
      <c r="U111" s="42">
        <v>3.718</v>
      </c>
      <c r="V111" s="44">
        <v>1563.778</v>
      </c>
      <c r="W111" s="44">
        <v>5814.1260000000002</v>
      </c>
      <c r="X111" s="45">
        <v>7.92E-3</v>
      </c>
      <c r="Y111" s="45">
        <v>1.2081703487934E-2</v>
      </c>
      <c r="Z111" s="45">
        <v>2.3689256114353698E-3</v>
      </c>
    </row>
    <row r="112" spans="1:26" x14ac:dyDescent="0.25">
      <c r="A112">
        <v>424</v>
      </c>
      <c r="B112">
        <v>7228</v>
      </c>
      <c r="C112" t="s">
        <v>2026</v>
      </c>
      <c r="D112" t="s">
        <v>2027</v>
      </c>
      <c r="E112" t="s">
        <v>111</v>
      </c>
      <c r="F112" t="s">
        <v>2026</v>
      </c>
      <c r="G112">
        <v>62011408</v>
      </c>
      <c r="H112" t="s">
        <v>111</v>
      </c>
      <c r="I112" t="s">
        <v>1668</v>
      </c>
      <c r="J112" t="s">
        <v>1982</v>
      </c>
      <c r="K112" t="s">
        <v>85</v>
      </c>
      <c r="L112" t="s">
        <v>291</v>
      </c>
      <c r="M112" t="s">
        <v>71</v>
      </c>
      <c r="N112" t="s">
        <v>71</v>
      </c>
      <c r="O112" t="s">
        <v>72</v>
      </c>
      <c r="P112" s="63" t="s">
        <v>2028</v>
      </c>
      <c r="Q112" t="s">
        <v>75</v>
      </c>
      <c r="R112" t="s">
        <v>1555</v>
      </c>
      <c r="S112" t="s">
        <v>1671</v>
      </c>
      <c r="T112" s="63" t="s">
        <v>1455</v>
      </c>
      <c r="U112" s="42">
        <v>3.718</v>
      </c>
      <c r="V112" s="44">
        <v>1536.596</v>
      </c>
      <c r="W112" s="44">
        <v>5713.0640000000003</v>
      </c>
      <c r="X112" s="45">
        <v>0</v>
      </c>
      <c r="Y112" s="45">
        <v>1.1871697176514999E-2</v>
      </c>
      <c r="Z112" s="45">
        <v>2.32774852658302E-3</v>
      </c>
    </row>
    <row r="113" spans="1:26" x14ac:dyDescent="0.25">
      <c r="A113">
        <v>424</v>
      </c>
      <c r="B113">
        <v>7228</v>
      </c>
      <c r="C113" t="s">
        <v>1710</v>
      </c>
      <c r="D113" t="s">
        <v>1711</v>
      </c>
      <c r="E113" t="s">
        <v>540</v>
      </c>
      <c r="F113" t="s">
        <v>1712</v>
      </c>
      <c r="G113">
        <v>50000983</v>
      </c>
      <c r="H113" t="s">
        <v>111</v>
      </c>
      <c r="I113" t="s">
        <v>1668</v>
      </c>
      <c r="J113" t="s">
        <v>1713</v>
      </c>
      <c r="K113" t="s">
        <v>85</v>
      </c>
      <c r="L113" t="s">
        <v>1681</v>
      </c>
      <c r="M113" t="s">
        <v>71</v>
      </c>
      <c r="N113" t="s">
        <v>215</v>
      </c>
      <c r="O113" t="s">
        <v>72</v>
      </c>
      <c r="P113" s="63" t="s">
        <v>1714</v>
      </c>
      <c r="Q113" t="s">
        <v>81</v>
      </c>
      <c r="R113" t="s">
        <v>1555</v>
      </c>
      <c r="S113" t="s">
        <v>1671</v>
      </c>
      <c r="T113" s="63" t="s">
        <v>1455</v>
      </c>
      <c r="U113" s="42">
        <v>1</v>
      </c>
      <c r="V113" s="44">
        <v>1940.1690000000001</v>
      </c>
      <c r="W113" s="44">
        <v>1940.1690000000001</v>
      </c>
      <c r="X113" s="45">
        <v>1.8259999999999999E-3</v>
      </c>
      <c r="Y113" s="45">
        <v>4.03165431536231E-3</v>
      </c>
      <c r="Z113" s="45">
        <v>7.9050848861288105E-4</v>
      </c>
    </row>
    <row r="114" spans="1:26" x14ac:dyDescent="0.25">
      <c r="A114">
        <v>424</v>
      </c>
      <c r="B114">
        <v>7228</v>
      </c>
      <c r="C114" t="s">
        <v>1710</v>
      </c>
      <c r="D114" t="s">
        <v>1711</v>
      </c>
      <c r="E114" t="s">
        <v>540</v>
      </c>
      <c r="F114" t="s">
        <v>1715</v>
      </c>
      <c r="G114">
        <v>50007897</v>
      </c>
      <c r="H114" t="s">
        <v>111</v>
      </c>
      <c r="I114" t="s">
        <v>1668</v>
      </c>
      <c r="J114" t="s">
        <v>1713</v>
      </c>
      <c r="K114" t="s">
        <v>85</v>
      </c>
      <c r="L114" t="s">
        <v>1681</v>
      </c>
      <c r="M114" t="s">
        <v>71</v>
      </c>
      <c r="N114" t="s">
        <v>215</v>
      </c>
      <c r="O114" t="s">
        <v>72</v>
      </c>
      <c r="P114" s="63" t="s">
        <v>1716</v>
      </c>
      <c r="Q114" t="s">
        <v>81</v>
      </c>
      <c r="R114" t="s">
        <v>286</v>
      </c>
      <c r="S114" t="s">
        <v>1671</v>
      </c>
      <c r="T114" s="63" t="s">
        <v>1455</v>
      </c>
      <c r="U114" s="42">
        <v>1</v>
      </c>
      <c r="V114" s="44">
        <v>3352.5859999999998</v>
      </c>
      <c r="W114" s="44">
        <v>3352.5859999999998</v>
      </c>
      <c r="X114" s="45">
        <v>8.4900000000000004E-4</v>
      </c>
      <c r="Y114" s="45">
        <v>6.9666455808921196E-3</v>
      </c>
      <c r="Z114" s="45">
        <v>1.3659882614111801E-3</v>
      </c>
    </row>
    <row r="115" spans="1:26" x14ac:dyDescent="0.25">
      <c r="A115">
        <v>424</v>
      </c>
      <c r="B115">
        <v>7228</v>
      </c>
      <c r="C115" t="s">
        <v>1677</v>
      </c>
      <c r="D115" t="s">
        <v>1678</v>
      </c>
      <c r="E115" t="s">
        <v>111</v>
      </c>
      <c r="F115" t="s">
        <v>1717</v>
      </c>
      <c r="G115">
        <v>62013347</v>
      </c>
      <c r="H115" t="s">
        <v>111</v>
      </c>
      <c r="I115" t="s">
        <v>1668</v>
      </c>
      <c r="J115" t="s">
        <v>1680</v>
      </c>
      <c r="K115" t="s">
        <v>85</v>
      </c>
      <c r="L115" t="s">
        <v>1681</v>
      </c>
      <c r="M115" t="s">
        <v>71</v>
      </c>
      <c r="N115" t="s">
        <v>71</v>
      </c>
      <c r="O115" t="s">
        <v>72</v>
      </c>
      <c r="P115" s="63" t="s">
        <v>1718</v>
      </c>
      <c r="Q115" t="s">
        <v>75</v>
      </c>
      <c r="R115" t="s">
        <v>1555</v>
      </c>
      <c r="S115" t="s">
        <v>1671</v>
      </c>
      <c r="T115" s="63" t="s">
        <v>1455</v>
      </c>
      <c r="U115" s="42">
        <v>3.718</v>
      </c>
      <c r="V115" s="44">
        <v>517.53899999999999</v>
      </c>
      <c r="W115" s="44">
        <v>1924.2090000000001</v>
      </c>
      <c r="X115" s="45">
        <v>3.8977999999999999E-2</v>
      </c>
      <c r="Y115" s="45">
        <v>3.99848987117028E-3</v>
      </c>
      <c r="Z115" s="45">
        <v>7.8400575484574499E-4</v>
      </c>
    </row>
    <row r="116" spans="1:26" x14ac:dyDescent="0.25">
      <c r="A116">
        <v>424</v>
      </c>
      <c r="B116">
        <v>7228</v>
      </c>
      <c r="C116" t="s">
        <v>1719</v>
      </c>
      <c r="D116" t="s">
        <v>1720</v>
      </c>
      <c r="E116" t="s">
        <v>1721</v>
      </c>
      <c r="F116" t="s">
        <v>1722</v>
      </c>
      <c r="G116">
        <v>60364742</v>
      </c>
      <c r="H116" t="s">
        <v>111</v>
      </c>
      <c r="I116" t="s">
        <v>1668</v>
      </c>
      <c r="J116" t="s">
        <v>1708</v>
      </c>
      <c r="K116" t="s">
        <v>71</v>
      </c>
      <c r="L116" t="s">
        <v>1681</v>
      </c>
      <c r="M116" t="s">
        <v>71</v>
      </c>
      <c r="N116" t="s">
        <v>71</v>
      </c>
      <c r="O116" t="s">
        <v>72</v>
      </c>
      <c r="P116" s="63" t="s">
        <v>1424</v>
      </c>
      <c r="Q116" t="s">
        <v>75</v>
      </c>
      <c r="R116" t="s">
        <v>1555</v>
      </c>
      <c r="S116" t="s">
        <v>1671</v>
      </c>
      <c r="T116" s="63" t="s">
        <v>1455</v>
      </c>
      <c r="U116" s="42">
        <v>3.718</v>
      </c>
      <c r="V116" s="44">
        <v>488.642</v>
      </c>
      <c r="W116" s="44">
        <v>1816.771</v>
      </c>
      <c r="X116" s="45">
        <v>1.1364000000000001E-2</v>
      </c>
      <c r="Y116" s="45">
        <v>3.7752342526771198E-3</v>
      </c>
      <c r="Z116" s="45">
        <v>7.4023080596759305E-4</v>
      </c>
    </row>
    <row r="117" spans="1:26" x14ac:dyDescent="0.25">
      <c r="A117">
        <v>424</v>
      </c>
      <c r="B117">
        <v>7228</v>
      </c>
      <c r="C117" t="s">
        <v>1719</v>
      </c>
      <c r="D117" t="s">
        <v>1720</v>
      </c>
      <c r="E117" t="s">
        <v>1721</v>
      </c>
      <c r="F117" t="s">
        <v>1723</v>
      </c>
      <c r="G117">
        <v>62002785</v>
      </c>
      <c r="H117" t="s">
        <v>111</v>
      </c>
      <c r="I117" t="s">
        <v>1668</v>
      </c>
      <c r="J117" t="s">
        <v>1708</v>
      </c>
      <c r="K117" t="s">
        <v>71</v>
      </c>
      <c r="L117" t="s">
        <v>1681</v>
      </c>
      <c r="M117" t="s">
        <v>71</v>
      </c>
      <c r="N117" t="s">
        <v>71</v>
      </c>
      <c r="O117" t="s">
        <v>72</v>
      </c>
      <c r="P117" s="63" t="s">
        <v>1724</v>
      </c>
      <c r="Q117" t="s">
        <v>75</v>
      </c>
      <c r="R117" t="s">
        <v>1555</v>
      </c>
      <c r="S117" t="s">
        <v>1671</v>
      </c>
      <c r="T117" s="63" t="s">
        <v>1455</v>
      </c>
      <c r="U117" s="42">
        <v>3.718</v>
      </c>
      <c r="V117" s="44">
        <v>831.49400000000003</v>
      </c>
      <c r="W117" s="44">
        <v>3091.4949999999999</v>
      </c>
      <c r="X117" s="45">
        <v>6.6429999999999996E-3</v>
      </c>
      <c r="Y117" s="45">
        <v>6.4240994961703903E-3</v>
      </c>
      <c r="Z117" s="45">
        <v>1.2596082863716601E-3</v>
      </c>
    </row>
    <row r="118" spans="1:26" x14ac:dyDescent="0.25">
      <c r="A118">
        <v>424</v>
      </c>
      <c r="B118">
        <v>7228</v>
      </c>
      <c r="C118" t="s">
        <v>1719</v>
      </c>
      <c r="D118" t="s">
        <v>1720</v>
      </c>
      <c r="E118" t="s">
        <v>1721</v>
      </c>
      <c r="F118" t="s">
        <v>1725</v>
      </c>
      <c r="G118">
        <v>62017827</v>
      </c>
      <c r="H118" t="s">
        <v>111</v>
      </c>
      <c r="I118" t="s">
        <v>1668</v>
      </c>
      <c r="J118" t="s">
        <v>1708</v>
      </c>
      <c r="K118" t="s">
        <v>71</v>
      </c>
      <c r="L118" t="s">
        <v>1681</v>
      </c>
      <c r="M118" t="s">
        <v>71</v>
      </c>
      <c r="N118" t="s">
        <v>71</v>
      </c>
      <c r="O118" t="s">
        <v>72</v>
      </c>
      <c r="P118" s="63" t="s">
        <v>1726</v>
      </c>
      <c r="Q118" t="s">
        <v>75</v>
      </c>
      <c r="R118" t="s">
        <v>1555</v>
      </c>
      <c r="S118" t="s">
        <v>1671</v>
      </c>
      <c r="T118" s="63" t="s">
        <v>1455</v>
      </c>
      <c r="U118" s="42">
        <v>3.718</v>
      </c>
      <c r="V118" s="44">
        <v>345.62900000000002</v>
      </c>
      <c r="W118" s="44">
        <v>1285.05</v>
      </c>
      <c r="X118" s="45">
        <v>1.74E-3</v>
      </c>
      <c r="Y118" s="45">
        <v>2.6703217965854402E-3</v>
      </c>
      <c r="Z118" s="45">
        <v>5.2358458399702598E-4</v>
      </c>
    </row>
    <row r="119" spans="1:26" x14ac:dyDescent="0.25">
      <c r="A119">
        <v>424</v>
      </c>
      <c r="B119">
        <v>7228</v>
      </c>
      <c r="C119" t="s">
        <v>1719</v>
      </c>
      <c r="D119" t="s">
        <v>1720</v>
      </c>
      <c r="E119" t="s">
        <v>1721</v>
      </c>
      <c r="F119" t="s">
        <v>1727</v>
      </c>
      <c r="G119">
        <v>62018247</v>
      </c>
      <c r="H119" t="s">
        <v>111</v>
      </c>
      <c r="I119" t="s">
        <v>1668</v>
      </c>
      <c r="J119" t="s">
        <v>1708</v>
      </c>
      <c r="K119" t="s">
        <v>71</v>
      </c>
      <c r="L119" t="s">
        <v>1681</v>
      </c>
      <c r="M119" t="s">
        <v>71</v>
      </c>
      <c r="N119" t="s">
        <v>71</v>
      </c>
      <c r="O119" t="s">
        <v>72</v>
      </c>
      <c r="P119" s="63" t="s">
        <v>1728</v>
      </c>
      <c r="Q119" t="s">
        <v>75</v>
      </c>
      <c r="R119" t="s">
        <v>1555</v>
      </c>
      <c r="S119" t="s">
        <v>1671</v>
      </c>
      <c r="T119" s="63" t="s">
        <v>1455</v>
      </c>
      <c r="U119" s="42">
        <v>3.718</v>
      </c>
      <c r="V119" s="44">
        <v>926.56700000000001</v>
      </c>
      <c r="W119" s="44">
        <v>3444.9760000000001</v>
      </c>
      <c r="X119" s="45">
        <v>6.7999999999999996E-3</v>
      </c>
      <c r="Y119" s="45">
        <v>7.1586302452421096E-3</v>
      </c>
      <c r="Z119" s="45">
        <v>1.40363174346118E-3</v>
      </c>
    </row>
    <row r="120" spans="1:26" x14ac:dyDescent="0.25">
      <c r="A120">
        <v>424</v>
      </c>
      <c r="B120">
        <v>7228</v>
      </c>
      <c r="C120" t="s">
        <v>1729</v>
      </c>
      <c r="D120" t="s">
        <v>1730</v>
      </c>
      <c r="E120" t="s">
        <v>111</v>
      </c>
      <c r="F120" t="s">
        <v>1731</v>
      </c>
      <c r="G120">
        <v>62013487</v>
      </c>
      <c r="H120" t="s">
        <v>111</v>
      </c>
      <c r="I120" t="s">
        <v>1668</v>
      </c>
      <c r="J120" t="s">
        <v>1680</v>
      </c>
      <c r="K120" t="s">
        <v>71</v>
      </c>
      <c r="L120" t="s">
        <v>71</v>
      </c>
      <c r="M120" t="s">
        <v>71</v>
      </c>
      <c r="N120" t="s">
        <v>71</v>
      </c>
      <c r="O120" t="s">
        <v>72</v>
      </c>
      <c r="P120" s="63" t="s">
        <v>1732</v>
      </c>
      <c r="Q120" t="s">
        <v>75</v>
      </c>
      <c r="R120" t="s">
        <v>1555</v>
      </c>
      <c r="S120" t="s">
        <v>1671</v>
      </c>
      <c r="T120" s="63" t="s">
        <v>1455</v>
      </c>
      <c r="U120" s="42">
        <v>3.718</v>
      </c>
      <c r="V120" s="44">
        <v>606.88400000000001</v>
      </c>
      <c r="W120" s="44">
        <v>2256.3939999999998</v>
      </c>
      <c r="X120" s="45">
        <v>9.5556000000000002E-2</v>
      </c>
      <c r="Y120" s="45">
        <v>4.6887681322678896E-3</v>
      </c>
      <c r="Z120" s="45">
        <v>9.1935238484409498E-4</v>
      </c>
    </row>
    <row r="121" spans="1:26" x14ac:dyDescent="0.25">
      <c r="A121">
        <v>424</v>
      </c>
      <c r="B121">
        <v>7228</v>
      </c>
      <c r="C121" t="s">
        <v>1733</v>
      </c>
      <c r="D121" t="s">
        <v>1734</v>
      </c>
      <c r="E121" t="s">
        <v>111</v>
      </c>
      <c r="F121" t="s">
        <v>1735</v>
      </c>
      <c r="G121">
        <v>62017694</v>
      </c>
      <c r="H121" t="s">
        <v>111</v>
      </c>
      <c r="I121" t="s">
        <v>1668</v>
      </c>
      <c r="J121" t="s">
        <v>1675</v>
      </c>
      <c r="K121" t="s">
        <v>71</v>
      </c>
      <c r="L121" t="s">
        <v>71</v>
      </c>
      <c r="M121" t="s">
        <v>71</v>
      </c>
      <c r="N121" t="s">
        <v>71</v>
      </c>
      <c r="O121" t="s">
        <v>72</v>
      </c>
      <c r="P121" s="63" t="s">
        <v>1736</v>
      </c>
      <c r="Q121" t="s">
        <v>75</v>
      </c>
      <c r="R121" t="s">
        <v>1555</v>
      </c>
      <c r="S121" t="s">
        <v>1671</v>
      </c>
      <c r="T121" s="63" t="s">
        <v>1455</v>
      </c>
      <c r="U121" s="42">
        <v>3.718</v>
      </c>
      <c r="V121" s="44">
        <v>1831.194</v>
      </c>
      <c r="W121" s="44">
        <v>6808.3789999999999</v>
      </c>
      <c r="X121" s="45">
        <v>4.8780000000000004E-3</v>
      </c>
      <c r="Y121" s="45">
        <v>1.4147752980908E-2</v>
      </c>
      <c r="Z121" s="45">
        <v>2.7740272234130902E-3</v>
      </c>
    </row>
    <row r="122" spans="1:26" x14ac:dyDescent="0.25">
      <c r="A122">
        <v>424</v>
      </c>
      <c r="B122">
        <v>7228</v>
      </c>
      <c r="C122" t="s">
        <v>1737</v>
      </c>
      <c r="D122" t="s">
        <v>1738</v>
      </c>
      <c r="E122" t="s">
        <v>111</v>
      </c>
      <c r="F122" t="s">
        <v>1737</v>
      </c>
      <c r="G122">
        <v>62020375</v>
      </c>
      <c r="H122" t="s">
        <v>111</v>
      </c>
      <c r="I122" t="s">
        <v>1668</v>
      </c>
      <c r="J122" t="s">
        <v>1739</v>
      </c>
      <c r="K122" t="s">
        <v>71</v>
      </c>
      <c r="L122" t="s">
        <v>71</v>
      </c>
      <c r="M122" t="s">
        <v>71</v>
      </c>
      <c r="N122" t="s">
        <v>71</v>
      </c>
      <c r="O122" t="s">
        <v>72</v>
      </c>
      <c r="P122" s="63" t="s">
        <v>1740</v>
      </c>
      <c r="Q122" t="s">
        <v>75</v>
      </c>
      <c r="R122" t="s">
        <v>286</v>
      </c>
      <c r="S122" t="s">
        <v>1671</v>
      </c>
      <c r="T122" s="63" t="s">
        <v>1455</v>
      </c>
      <c r="U122" s="42">
        <v>3.718</v>
      </c>
      <c r="V122" s="44">
        <v>1205.0509999999999</v>
      </c>
      <c r="W122" s="44">
        <v>4480.3810000000003</v>
      </c>
      <c r="X122" s="45">
        <v>1.678E-3</v>
      </c>
      <c r="Y122" s="45">
        <v>9.3101918378556796E-3</v>
      </c>
      <c r="Z122" s="45">
        <v>1.82550018001181E-3</v>
      </c>
    </row>
    <row r="123" spans="1:26" x14ac:dyDescent="0.25">
      <c r="A123">
        <v>424</v>
      </c>
      <c r="B123">
        <v>7228</v>
      </c>
      <c r="C123" t="s">
        <v>2029</v>
      </c>
      <c r="D123" t="s">
        <v>2030</v>
      </c>
      <c r="E123" t="s">
        <v>613</v>
      </c>
      <c r="F123" t="s">
        <v>2031</v>
      </c>
      <c r="G123">
        <v>60346871</v>
      </c>
      <c r="H123" t="s">
        <v>111</v>
      </c>
      <c r="I123" t="s">
        <v>1668</v>
      </c>
      <c r="J123" t="s">
        <v>1675</v>
      </c>
      <c r="K123" t="s">
        <v>71</v>
      </c>
      <c r="L123" t="s">
        <v>71</v>
      </c>
      <c r="M123" t="s">
        <v>71</v>
      </c>
      <c r="N123" t="s">
        <v>71</v>
      </c>
      <c r="O123" t="s">
        <v>72</v>
      </c>
      <c r="P123" s="63" t="s">
        <v>1424</v>
      </c>
      <c r="Q123" t="s">
        <v>75</v>
      </c>
      <c r="R123" t="s">
        <v>1555</v>
      </c>
      <c r="S123" t="s">
        <v>1671</v>
      </c>
      <c r="T123" s="63" t="s">
        <v>1455</v>
      </c>
      <c r="U123" s="42">
        <v>3.718</v>
      </c>
      <c r="V123" s="44">
        <v>581.02</v>
      </c>
      <c r="W123" s="44">
        <v>2160.232</v>
      </c>
      <c r="X123" s="45">
        <v>2.1749999999999999E-3</v>
      </c>
      <c r="Y123" s="45">
        <v>4.4889433207604698E-3</v>
      </c>
      <c r="Z123" s="45">
        <v>8.80171642306182E-4</v>
      </c>
    </row>
    <row r="124" spans="1:26" x14ac:dyDescent="0.25">
      <c r="A124">
        <v>424</v>
      </c>
      <c r="B124">
        <v>7228</v>
      </c>
      <c r="C124" t="s">
        <v>1741</v>
      </c>
      <c r="D124" t="s">
        <v>1742</v>
      </c>
      <c r="E124" t="s">
        <v>613</v>
      </c>
      <c r="F124" t="s">
        <v>1743</v>
      </c>
      <c r="G124">
        <v>62013024</v>
      </c>
      <c r="H124" t="s">
        <v>111</v>
      </c>
      <c r="I124" t="s">
        <v>1668</v>
      </c>
      <c r="J124" t="s">
        <v>1675</v>
      </c>
      <c r="K124" t="s">
        <v>71</v>
      </c>
      <c r="L124" t="s">
        <v>1681</v>
      </c>
      <c r="M124" t="s">
        <v>71</v>
      </c>
      <c r="N124" t="s">
        <v>71</v>
      </c>
      <c r="O124" t="s">
        <v>72</v>
      </c>
      <c r="P124" s="63" t="s">
        <v>1744</v>
      </c>
      <c r="Q124" t="s">
        <v>75</v>
      </c>
      <c r="R124" t="s">
        <v>286</v>
      </c>
      <c r="S124" t="s">
        <v>1671</v>
      </c>
      <c r="T124" s="63" t="s">
        <v>1455</v>
      </c>
      <c r="U124" s="42">
        <v>3.718</v>
      </c>
      <c r="V124" s="44">
        <v>822.38300000000004</v>
      </c>
      <c r="W124" s="44">
        <v>3057.62</v>
      </c>
      <c r="X124" s="45">
        <v>0</v>
      </c>
      <c r="Y124" s="45">
        <v>6.3537074574228098E-3</v>
      </c>
      <c r="Z124" s="45">
        <v>1.24580613474653E-3</v>
      </c>
    </row>
    <row r="125" spans="1:26" x14ac:dyDescent="0.25">
      <c r="A125">
        <v>424</v>
      </c>
      <c r="B125">
        <v>7228</v>
      </c>
      <c r="C125" t="s">
        <v>1741</v>
      </c>
      <c r="D125" t="s">
        <v>1742</v>
      </c>
      <c r="E125" t="s">
        <v>613</v>
      </c>
      <c r="F125" t="s">
        <v>2032</v>
      </c>
      <c r="G125">
        <v>60382116</v>
      </c>
      <c r="H125" t="s">
        <v>111</v>
      </c>
      <c r="I125" t="s">
        <v>1668</v>
      </c>
      <c r="J125" t="s">
        <v>1675</v>
      </c>
      <c r="K125" t="s">
        <v>71</v>
      </c>
      <c r="L125" t="s">
        <v>1681</v>
      </c>
      <c r="M125" t="s">
        <v>71</v>
      </c>
      <c r="N125" t="s">
        <v>71</v>
      </c>
      <c r="O125" t="s">
        <v>72</v>
      </c>
      <c r="P125" s="63" t="s">
        <v>2033</v>
      </c>
      <c r="Q125" t="s">
        <v>75</v>
      </c>
      <c r="R125" t="s">
        <v>286</v>
      </c>
      <c r="S125" t="s">
        <v>1671</v>
      </c>
      <c r="T125" s="63" t="s">
        <v>1455</v>
      </c>
      <c r="U125" s="42">
        <v>3.718</v>
      </c>
      <c r="V125" s="44">
        <v>415.69499999999999</v>
      </c>
      <c r="W125" s="44">
        <v>1545.5530000000001</v>
      </c>
      <c r="X125" s="45">
        <v>3.1667000000000001E-2</v>
      </c>
      <c r="Y125" s="45">
        <v>3.21164644463763E-3</v>
      </c>
      <c r="Z125" s="45">
        <v>6.2972506527541098E-4</v>
      </c>
    </row>
    <row r="126" spans="1:26" x14ac:dyDescent="0.25">
      <c r="A126">
        <v>424</v>
      </c>
      <c r="B126">
        <v>7228</v>
      </c>
      <c r="C126" t="s">
        <v>1745</v>
      </c>
      <c r="D126" t="s">
        <v>1746</v>
      </c>
      <c r="E126" t="s">
        <v>286</v>
      </c>
      <c r="F126" t="s">
        <v>1747</v>
      </c>
      <c r="G126">
        <v>60406600</v>
      </c>
      <c r="H126" t="s">
        <v>111</v>
      </c>
      <c r="I126" t="s">
        <v>1668</v>
      </c>
      <c r="J126" t="s">
        <v>1748</v>
      </c>
      <c r="K126" t="s">
        <v>85</v>
      </c>
      <c r="L126" t="s">
        <v>1681</v>
      </c>
      <c r="M126" t="s">
        <v>71</v>
      </c>
      <c r="N126" t="s">
        <v>71</v>
      </c>
      <c r="O126" t="s">
        <v>72</v>
      </c>
      <c r="P126" s="63" t="s">
        <v>1749</v>
      </c>
      <c r="Q126" t="s">
        <v>75</v>
      </c>
      <c r="R126" t="s">
        <v>1555</v>
      </c>
      <c r="S126" t="s">
        <v>1671</v>
      </c>
      <c r="T126" s="63" t="s">
        <v>1455</v>
      </c>
      <c r="U126" s="42">
        <v>3.718</v>
      </c>
      <c r="V126" s="44">
        <v>2068.297</v>
      </c>
      <c r="W126" s="44">
        <v>7689.93</v>
      </c>
      <c r="X126" s="45">
        <v>0</v>
      </c>
      <c r="Y126" s="45">
        <v>1.59796069027324E-2</v>
      </c>
      <c r="Z126" s="45">
        <v>3.1332088302247602E-3</v>
      </c>
    </row>
    <row r="127" spans="1:26" x14ac:dyDescent="0.25">
      <c r="A127">
        <v>424</v>
      </c>
      <c r="B127">
        <v>7228</v>
      </c>
      <c r="C127" t="s">
        <v>1750</v>
      </c>
      <c r="D127" t="s">
        <v>1751</v>
      </c>
      <c r="E127" t="s">
        <v>286</v>
      </c>
      <c r="F127" t="s">
        <v>1752</v>
      </c>
      <c r="G127">
        <v>62009048</v>
      </c>
      <c r="H127" t="s">
        <v>111</v>
      </c>
      <c r="I127" t="s">
        <v>1668</v>
      </c>
      <c r="J127" t="s">
        <v>1748</v>
      </c>
      <c r="K127" t="s">
        <v>85</v>
      </c>
      <c r="L127" t="s">
        <v>1681</v>
      </c>
      <c r="M127" t="s">
        <v>71</v>
      </c>
      <c r="N127" t="s">
        <v>291</v>
      </c>
      <c r="O127" t="s">
        <v>72</v>
      </c>
      <c r="P127" s="63" t="s">
        <v>1753</v>
      </c>
      <c r="Q127" t="s">
        <v>75</v>
      </c>
      <c r="R127" t="s">
        <v>1555</v>
      </c>
      <c r="S127" t="s">
        <v>1671</v>
      </c>
      <c r="T127" s="63" t="s">
        <v>1455</v>
      </c>
      <c r="U127" s="42">
        <v>3.718</v>
      </c>
      <c r="V127" s="44">
        <v>1194.3810000000001</v>
      </c>
      <c r="W127" s="44">
        <v>4440.7089999999998</v>
      </c>
      <c r="X127" s="45">
        <v>7.7600000000000004E-3</v>
      </c>
      <c r="Y127" s="45">
        <v>9.2277551385021705E-3</v>
      </c>
      <c r="Z127" s="45">
        <v>1.8093363659755001E-3</v>
      </c>
    </row>
    <row r="128" spans="1:26" x14ac:dyDescent="0.25">
      <c r="A128">
        <v>424</v>
      </c>
      <c r="B128">
        <v>7228</v>
      </c>
      <c r="C128" t="s">
        <v>1754</v>
      </c>
      <c r="D128" t="s">
        <v>1755</v>
      </c>
      <c r="E128" t="s">
        <v>286</v>
      </c>
      <c r="F128" t="s">
        <v>1756</v>
      </c>
      <c r="G128">
        <v>62015334</v>
      </c>
      <c r="H128" t="s">
        <v>111</v>
      </c>
      <c r="I128" t="s">
        <v>1668</v>
      </c>
      <c r="J128" t="s">
        <v>1748</v>
      </c>
      <c r="K128" t="s">
        <v>85</v>
      </c>
      <c r="L128" t="s">
        <v>1681</v>
      </c>
      <c r="M128" t="s">
        <v>71</v>
      </c>
      <c r="N128" t="s">
        <v>71</v>
      </c>
      <c r="O128" t="s">
        <v>72</v>
      </c>
      <c r="P128" s="63" t="s">
        <v>1757</v>
      </c>
      <c r="Q128" t="s">
        <v>75</v>
      </c>
      <c r="R128" t="s">
        <v>1555</v>
      </c>
      <c r="S128" t="s">
        <v>1671</v>
      </c>
      <c r="T128" s="63" t="s">
        <v>1455</v>
      </c>
      <c r="U128" s="42">
        <v>3.718</v>
      </c>
      <c r="V128" s="44">
        <v>1680.4390000000001</v>
      </c>
      <c r="W128" s="44">
        <v>6247.8710000000001</v>
      </c>
      <c r="X128" s="45">
        <v>1.2749999999999999E-2</v>
      </c>
      <c r="Y128" s="45">
        <v>1.29830224208786E-2</v>
      </c>
      <c r="Z128" s="45">
        <v>2.5456521389864099E-3</v>
      </c>
    </row>
    <row r="129" spans="1:26" x14ac:dyDescent="0.25">
      <c r="A129">
        <v>424</v>
      </c>
      <c r="B129">
        <v>7228</v>
      </c>
      <c r="C129" t="s">
        <v>1758</v>
      </c>
      <c r="D129" t="s">
        <v>1759</v>
      </c>
      <c r="E129" t="s">
        <v>286</v>
      </c>
      <c r="F129" t="s">
        <v>1760</v>
      </c>
      <c r="G129">
        <v>62017835</v>
      </c>
      <c r="H129" t="s">
        <v>111</v>
      </c>
      <c r="I129" t="s">
        <v>1668</v>
      </c>
      <c r="J129" t="s">
        <v>1748</v>
      </c>
      <c r="K129" t="s">
        <v>71</v>
      </c>
      <c r="L129" t="s">
        <v>291</v>
      </c>
      <c r="M129" t="s">
        <v>71</v>
      </c>
      <c r="N129" t="s">
        <v>71</v>
      </c>
      <c r="O129" t="s">
        <v>72</v>
      </c>
      <c r="P129" s="63" t="s">
        <v>1726</v>
      </c>
      <c r="Q129" t="s">
        <v>75</v>
      </c>
      <c r="R129" t="s">
        <v>286</v>
      </c>
      <c r="S129" t="s">
        <v>1671</v>
      </c>
      <c r="T129" s="63" t="s">
        <v>1455</v>
      </c>
      <c r="U129" s="42">
        <v>3.718</v>
      </c>
      <c r="V129" s="44">
        <v>727.41399999999999</v>
      </c>
      <c r="W129" s="44">
        <v>2704.5239999999999</v>
      </c>
      <c r="X129" s="45">
        <v>2.2030000000000001E-3</v>
      </c>
      <c r="Y129" s="45">
        <v>5.6199780770374201E-3</v>
      </c>
      <c r="Z129" s="45">
        <v>1.10193980639363E-3</v>
      </c>
    </row>
    <row r="130" spans="1:26" x14ac:dyDescent="0.25">
      <c r="A130">
        <v>424</v>
      </c>
      <c r="B130">
        <v>7228</v>
      </c>
      <c r="C130" t="s">
        <v>1761</v>
      </c>
      <c r="D130" t="s">
        <v>1762</v>
      </c>
      <c r="E130" t="s">
        <v>286</v>
      </c>
      <c r="F130" t="s">
        <v>1763</v>
      </c>
      <c r="G130">
        <v>62020011</v>
      </c>
      <c r="H130" t="s">
        <v>111</v>
      </c>
      <c r="I130" t="s">
        <v>1668</v>
      </c>
      <c r="J130" t="s">
        <v>1748</v>
      </c>
      <c r="K130" t="s">
        <v>85</v>
      </c>
      <c r="L130" t="s">
        <v>291</v>
      </c>
      <c r="M130" t="s">
        <v>71</v>
      </c>
      <c r="N130" t="s">
        <v>71</v>
      </c>
      <c r="O130" t="s">
        <v>72</v>
      </c>
      <c r="P130" s="63" t="s">
        <v>1764</v>
      </c>
      <c r="Q130" t="s">
        <v>75</v>
      </c>
      <c r="R130" t="s">
        <v>1555</v>
      </c>
      <c r="S130" t="s">
        <v>1671</v>
      </c>
      <c r="T130" s="63" t="s">
        <v>1455</v>
      </c>
      <c r="U130" s="42">
        <v>3.718</v>
      </c>
      <c r="V130" s="44">
        <v>613.17999999999995</v>
      </c>
      <c r="W130" s="44">
        <v>2279.8029999999999</v>
      </c>
      <c r="X130" s="45">
        <v>9.3220000000000004E-3</v>
      </c>
      <c r="Y130" s="45">
        <v>4.73741007735536E-3</v>
      </c>
      <c r="Z130" s="45">
        <v>9.2888987677334296E-4</v>
      </c>
    </row>
    <row r="131" spans="1:26" x14ac:dyDescent="0.25">
      <c r="A131">
        <v>424</v>
      </c>
      <c r="B131">
        <v>7228</v>
      </c>
      <c r="C131" t="s">
        <v>1765</v>
      </c>
      <c r="D131" t="s">
        <v>1766</v>
      </c>
      <c r="E131" t="s">
        <v>286</v>
      </c>
      <c r="F131" t="s">
        <v>1767</v>
      </c>
      <c r="G131">
        <v>62020748</v>
      </c>
      <c r="H131" t="s">
        <v>111</v>
      </c>
      <c r="I131" t="s">
        <v>1668</v>
      </c>
      <c r="J131" t="s">
        <v>1748</v>
      </c>
      <c r="K131" t="s">
        <v>85</v>
      </c>
      <c r="L131" t="s">
        <v>291</v>
      </c>
      <c r="M131" t="s">
        <v>71</v>
      </c>
      <c r="N131" t="s">
        <v>291</v>
      </c>
      <c r="O131" t="s">
        <v>72</v>
      </c>
      <c r="P131" s="63" t="s">
        <v>1768</v>
      </c>
      <c r="Q131" t="s">
        <v>75</v>
      </c>
      <c r="R131" t="s">
        <v>286</v>
      </c>
      <c r="S131" t="s">
        <v>1671</v>
      </c>
      <c r="T131" s="63" t="s">
        <v>1455</v>
      </c>
      <c r="U131" s="42">
        <v>3.718</v>
      </c>
      <c r="V131" s="44">
        <v>349.71699999999998</v>
      </c>
      <c r="W131" s="44">
        <v>1300.248</v>
      </c>
      <c r="X131" s="45">
        <v>9.3700000000000001E-4</v>
      </c>
      <c r="Y131" s="45">
        <v>2.7019046030586102E-3</v>
      </c>
      <c r="Z131" s="45">
        <v>5.29777197415326E-4</v>
      </c>
    </row>
    <row r="132" spans="1:26" x14ac:dyDescent="0.25">
      <c r="A132">
        <v>424</v>
      </c>
      <c r="B132">
        <v>7228</v>
      </c>
      <c r="C132" t="s">
        <v>2034</v>
      </c>
      <c r="D132" t="s">
        <v>2035</v>
      </c>
      <c r="E132" t="s">
        <v>286</v>
      </c>
      <c r="F132" t="s">
        <v>2034</v>
      </c>
      <c r="G132">
        <v>60297512</v>
      </c>
      <c r="H132" t="s">
        <v>111</v>
      </c>
      <c r="I132" t="s">
        <v>1668</v>
      </c>
      <c r="J132" t="s">
        <v>1708</v>
      </c>
      <c r="K132" t="s">
        <v>71</v>
      </c>
      <c r="L132" t="s">
        <v>71</v>
      </c>
      <c r="M132" t="s">
        <v>71</v>
      </c>
      <c r="N132" t="s">
        <v>71</v>
      </c>
      <c r="O132" t="s">
        <v>72</v>
      </c>
      <c r="P132" s="63" t="s">
        <v>1424</v>
      </c>
      <c r="Q132" t="s">
        <v>75</v>
      </c>
      <c r="R132" t="s">
        <v>1555</v>
      </c>
      <c r="S132" t="s">
        <v>1671</v>
      </c>
      <c r="T132" s="63" t="s">
        <v>1455</v>
      </c>
      <c r="U132" s="42">
        <v>3.718</v>
      </c>
      <c r="V132" s="44">
        <v>121.393</v>
      </c>
      <c r="W132" s="44">
        <v>451.34</v>
      </c>
      <c r="X132" s="45">
        <v>7.4999999999999997E-3</v>
      </c>
      <c r="Y132" s="45">
        <v>9.3788042510075699E-4</v>
      </c>
      <c r="Z132" s="45">
        <v>1.83895339072338E-4</v>
      </c>
    </row>
    <row r="133" spans="1:26" x14ac:dyDescent="0.25">
      <c r="A133">
        <v>424</v>
      </c>
      <c r="B133">
        <v>7228</v>
      </c>
      <c r="C133" t="s">
        <v>1769</v>
      </c>
      <c r="E133" t="s">
        <v>286</v>
      </c>
      <c r="F133" t="s">
        <v>1770</v>
      </c>
      <c r="G133">
        <v>62015151</v>
      </c>
      <c r="H133" t="s">
        <v>111</v>
      </c>
      <c r="I133" t="s">
        <v>1668</v>
      </c>
      <c r="J133" t="s">
        <v>1708</v>
      </c>
      <c r="K133" t="s">
        <v>85</v>
      </c>
      <c r="L133" t="s">
        <v>291</v>
      </c>
      <c r="M133" t="s">
        <v>71</v>
      </c>
      <c r="N133" t="s">
        <v>71</v>
      </c>
      <c r="O133" t="s">
        <v>72</v>
      </c>
      <c r="P133" s="63" t="s">
        <v>1771</v>
      </c>
      <c r="Q133" t="s">
        <v>75</v>
      </c>
      <c r="R133" t="s">
        <v>1555</v>
      </c>
      <c r="S133" t="s">
        <v>1671</v>
      </c>
      <c r="T133" s="63" t="s">
        <v>1455</v>
      </c>
      <c r="U133" s="42">
        <v>3.718</v>
      </c>
      <c r="V133" s="44">
        <v>705.61900000000003</v>
      </c>
      <c r="W133" s="44">
        <v>2623.4920000000002</v>
      </c>
      <c r="X133" s="45">
        <v>5.7200000000000003E-3</v>
      </c>
      <c r="Y133" s="45">
        <v>5.4515939546470197E-3</v>
      </c>
      <c r="Z133" s="45">
        <v>1.06892381154753E-3</v>
      </c>
    </row>
    <row r="134" spans="1:26" x14ac:dyDescent="0.25">
      <c r="A134">
        <v>424</v>
      </c>
      <c r="B134">
        <v>7228</v>
      </c>
      <c r="C134" t="s">
        <v>2036</v>
      </c>
      <c r="D134" t="s">
        <v>2037</v>
      </c>
      <c r="E134" t="s">
        <v>286</v>
      </c>
      <c r="F134" t="s">
        <v>2038</v>
      </c>
      <c r="G134">
        <v>60335908</v>
      </c>
      <c r="H134" t="s">
        <v>111</v>
      </c>
      <c r="I134" t="s">
        <v>1668</v>
      </c>
      <c r="J134" t="s">
        <v>1704</v>
      </c>
      <c r="K134" t="s">
        <v>71</v>
      </c>
      <c r="L134" t="s">
        <v>71</v>
      </c>
      <c r="M134" t="s">
        <v>71</v>
      </c>
      <c r="N134" t="s">
        <v>71</v>
      </c>
      <c r="O134" t="s">
        <v>72</v>
      </c>
      <c r="P134" s="63" t="s">
        <v>1424</v>
      </c>
      <c r="Q134" t="s">
        <v>75</v>
      </c>
      <c r="R134" t="s">
        <v>1555</v>
      </c>
      <c r="S134" t="s">
        <v>1671</v>
      </c>
      <c r="T134" s="63" t="s">
        <v>1455</v>
      </c>
      <c r="U134" s="42">
        <v>3.718</v>
      </c>
      <c r="V134" s="44">
        <v>182.238</v>
      </c>
      <c r="W134" s="44">
        <v>677.56100000000004</v>
      </c>
      <c r="X134" s="45">
        <v>4.8000000000000001E-4</v>
      </c>
      <c r="Y134" s="45">
        <v>1.4079653812924099E-3</v>
      </c>
      <c r="Z134" s="45">
        <v>2.7606746474857303E-4</v>
      </c>
    </row>
    <row r="135" spans="1:26" x14ac:dyDescent="0.25">
      <c r="A135">
        <v>424</v>
      </c>
      <c r="B135">
        <v>7228</v>
      </c>
      <c r="C135" t="s">
        <v>1769</v>
      </c>
      <c r="E135" t="s">
        <v>286</v>
      </c>
      <c r="F135" t="s">
        <v>1772</v>
      </c>
      <c r="G135">
        <v>62007349</v>
      </c>
      <c r="H135" t="s">
        <v>111</v>
      </c>
      <c r="I135" t="s">
        <v>1668</v>
      </c>
      <c r="J135" t="s">
        <v>1704</v>
      </c>
      <c r="K135" t="s">
        <v>85</v>
      </c>
      <c r="L135" t="s">
        <v>1681</v>
      </c>
      <c r="M135" t="s">
        <v>71</v>
      </c>
      <c r="N135" t="s">
        <v>71</v>
      </c>
      <c r="O135" t="s">
        <v>72</v>
      </c>
      <c r="P135" s="63" t="s">
        <v>2039</v>
      </c>
      <c r="Q135" t="s">
        <v>75</v>
      </c>
      <c r="R135" t="s">
        <v>1555</v>
      </c>
      <c r="S135" t="s">
        <v>1671</v>
      </c>
      <c r="T135" s="63" t="s">
        <v>1455</v>
      </c>
      <c r="U135" s="42">
        <v>3.718</v>
      </c>
      <c r="V135" s="44">
        <v>945.67200000000003</v>
      </c>
      <c r="W135" s="44">
        <v>3516.01</v>
      </c>
      <c r="X135" s="45">
        <v>3.349E-3</v>
      </c>
      <c r="Y135" s="45">
        <v>7.3062378192751999E-3</v>
      </c>
      <c r="Z135" s="45">
        <v>1.4325739669579E-3</v>
      </c>
    </row>
    <row r="136" spans="1:26" x14ac:dyDescent="0.25">
      <c r="A136">
        <v>424</v>
      </c>
      <c r="B136">
        <v>7228</v>
      </c>
      <c r="C136" t="s">
        <v>1774</v>
      </c>
      <c r="D136" t="s">
        <v>1775</v>
      </c>
      <c r="E136" t="s">
        <v>286</v>
      </c>
      <c r="F136" t="s">
        <v>1776</v>
      </c>
      <c r="G136">
        <v>62020755</v>
      </c>
      <c r="H136" t="s">
        <v>111</v>
      </c>
      <c r="I136" t="s">
        <v>1668</v>
      </c>
      <c r="J136" t="s">
        <v>1704</v>
      </c>
      <c r="K136" t="s">
        <v>85</v>
      </c>
      <c r="L136" t="s">
        <v>291</v>
      </c>
      <c r="M136" t="s">
        <v>71</v>
      </c>
      <c r="N136" t="s">
        <v>71</v>
      </c>
      <c r="O136" t="s">
        <v>72</v>
      </c>
      <c r="P136" s="63" t="s">
        <v>1768</v>
      </c>
      <c r="Q136" t="s">
        <v>75</v>
      </c>
      <c r="R136" t="s">
        <v>286</v>
      </c>
      <c r="S136" t="s">
        <v>1671</v>
      </c>
      <c r="T136" s="63" t="s">
        <v>1455</v>
      </c>
      <c r="U136" s="42">
        <v>3.718</v>
      </c>
      <c r="V136" s="44">
        <v>758.25900000000001</v>
      </c>
      <c r="W136" s="44">
        <v>2819.2080000000001</v>
      </c>
      <c r="X136" s="45">
        <v>1.5089999999999999E-3</v>
      </c>
      <c r="Y136" s="45">
        <v>5.8582892273920401E-3</v>
      </c>
      <c r="Z136" s="45">
        <v>1.1486667756599601E-3</v>
      </c>
    </row>
    <row r="137" spans="1:26" x14ac:dyDescent="0.25">
      <c r="A137">
        <v>424</v>
      </c>
      <c r="B137">
        <v>7228</v>
      </c>
      <c r="C137" t="s">
        <v>2040</v>
      </c>
      <c r="D137" t="s">
        <v>2041</v>
      </c>
      <c r="E137" t="s">
        <v>111</v>
      </c>
      <c r="F137" t="s">
        <v>2042</v>
      </c>
      <c r="G137">
        <v>9840809</v>
      </c>
      <c r="H137" t="s">
        <v>111</v>
      </c>
      <c r="I137" t="s">
        <v>1668</v>
      </c>
      <c r="J137" t="s">
        <v>1675</v>
      </c>
      <c r="K137" t="s">
        <v>85</v>
      </c>
      <c r="L137" t="s">
        <v>1681</v>
      </c>
      <c r="M137" t="s">
        <v>71</v>
      </c>
      <c r="N137" t="s">
        <v>71</v>
      </c>
      <c r="O137" t="s">
        <v>72</v>
      </c>
      <c r="P137" s="63" t="s">
        <v>1424</v>
      </c>
      <c r="Q137" t="s">
        <v>75</v>
      </c>
      <c r="R137" t="s">
        <v>1555</v>
      </c>
      <c r="S137" t="s">
        <v>1671</v>
      </c>
      <c r="T137" s="63" t="s">
        <v>1455</v>
      </c>
      <c r="U137" s="42">
        <v>3.718</v>
      </c>
      <c r="V137" s="44">
        <v>284.14299999999997</v>
      </c>
      <c r="W137" s="44">
        <v>1056.443</v>
      </c>
      <c r="X137" s="45">
        <v>3.98E-3</v>
      </c>
      <c r="Y137" s="45">
        <v>2.19527970817843E-3</v>
      </c>
      <c r="Z137" s="45">
        <v>4.3044048632396301E-4</v>
      </c>
    </row>
    <row r="138" spans="1:26" x14ac:dyDescent="0.25">
      <c r="A138">
        <v>424</v>
      </c>
      <c r="B138">
        <v>7228</v>
      </c>
      <c r="C138" t="s">
        <v>1777</v>
      </c>
      <c r="D138" t="s">
        <v>1778</v>
      </c>
      <c r="E138" t="s">
        <v>210</v>
      </c>
      <c r="F138" t="s">
        <v>2043</v>
      </c>
      <c r="G138">
        <v>50007376</v>
      </c>
      <c r="H138" t="s">
        <v>111</v>
      </c>
      <c r="I138" t="s">
        <v>1690</v>
      </c>
      <c r="J138" t="s">
        <v>1675</v>
      </c>
      <c r="K138" t="s">
        <v>71</v>
      </c>
      <c r="L138" t="s">
        <v>1681</v>
      </c>
      <c r="M138" t="s">
        <v>71</v>
      </c>
      <c r="N138" t="s">
        <v>71</v>
      </c>
      <c r="O138" t="s">
        <v>72</v>
      </c>
      <c r="P138" s="63" t="s">
        <v>2044</v>
      </c>
      <c r="Q138" t="s">
        <v>81</v>
      </c>
      <c r="R138" t="s">
        <v>1555</v>
      </c>
      <c r="S138" t="s">
        <v>1671</v>
      </c>
      <c r="T138" s="63" t="s">
        <v>1455</v>
      </c>
      <c r="U138" s="42">
        <v>1</v>
      </c>
      <c r="V138" s="44">
        <v>14661.946</v>
      </c>
      <c r="W138" s="44">
        <v>14661.946</v>
      </c>
      <c r="X138" s="45">
        <v>8.9175000000000004E-2</v>
      </c>
      <c r="Y138" s="45">
        <v>3.0467396808772099E-2</v>
      </c>
      <c r="Z138" s="45">
        <v>5.9739089513449403E-3</v>
      </c>
    </row>
    <row r="139" spans="1:26" x14ac:dyDescent="0.25">
      <c r="A139">
        <v>424</v>
      </c>
      <c r="B139">
        <v>7228</v>
      </c>
      <c r="C139" t="s">
        <v>1781</v>
      </c>
      <c r="D139" t="s">
        <v>1782</v>
      </c>
      <c r="E139" t="s">
        <v>210</v>
      </c>
      <c r="F139" t="s">
        <v>1783</v>
      </c>
      <c r="G139">
        <v>50007004</v>
      </c>
      <c r="H139" t="s">
        <v>111</v>
      </c>
      <c r="I139" t="s">
        <v>1668</v>
      </c>
      <c r="J139" t="s">
        <v>1784</v>
      </c>
      <c r="K139" t="s">
        <v>71</v>
      </c>
      <c r="L139" t="s">
        <v>71</v>
      </c>
      <c r="M139" t="s">
        <v>71</v>
      </c>
      <c r="N139" t="s">
        <v>71</v>
      </c>
      <c r="O139" t="s">
        <v>72</v>
      </c>
      <c r="P139" s="63" t="s">
        <v>1785</v>
      </c>
      <c r="Q139" t="s">
        <v>81</v>
      </c>
      <c r="R139" t="s">
        <v>1555</v>
      </c>
      <c r="S139" t="s">
        <v>1671</v>
      </c>
      <c r="T139" s="63" t="s">
        <v>1455</v>
      </c>
      <c r="U139" s="42">
        <v>1</v>
      </c>
      <c r="V139" s="44">
        <v>5577.2889999999998</v>
      </c>
      <c r="W139" s="44">
        <v>5577.2889999999998</v>
      </c>
      <c r="X139" s="45">
        <v>0</v>
      </c>
      <c r="Y139" s="45">
        <v>1.1589558944155301E-2</v>
      </c>
      <c r="Z139" s="45">
        <v>2.2724281418980701E-3</v>
      </c>
    </row>
    <row r="140" spans="1:26" x14ac:dyDescent="0.25">
      <c r="A140">
        <v>424</v>
      </c>
      <c r="B140">
        <v>7228</v>
      </c>
      <c r="C140" t="s">
        <v>1786</v>
      </c>
      <c r="D140" t="s">
        <v>1787</v>
      </c>
      <c r="E140" t="s">
        <v>210</v>
      </c>
      <c r="F140" t="s">
        <v>1786</v>
      </c>
      <c r="G140">
        <v>50007350</v>
      </c>
      <c r="H140" t="s">
        <v>111</v>
      </c>
      <c r="I140" t="s">
        <v>1668</v>
      </c>
      <c r="J140" t="s">
        <v>1788</v>
      </c>
      <c r="K140" t="s">
        <v>71</v>
      </c>
      <c r="L140" t="s">
        <v>71</v>
      </c>
      <c r="M140" t="s">
        <v>71</v>
      </c>
      <c r="N140" t="s">
        <v>71</v>
      </c>
      <c r="O140" t="s">
        <v>72</v>
      </c>
      <c r="P140" s="63" t="s">
        <v>1789</v>
      </c>
      <c r="Q140" t="s">
        <v>81</v>
      </c>
      <c r="R140" t="s">
        <v>286</v>
      </c>
      <c r="S140" t="s">
        <v>1671</v>
      </c>
      <c r="T140" s="63" t="s">
        <v>1455</v>
      </c>
      <c r="U140" s="42">
        <v>1</v>
      </c>
      <c r="V140" s="44">
        <v>6537.7120000000004</v>
      </c>
      <c r="W140" s="44">
        <v>6537.7120000000004</v>
      </c>
      <c r="X140" s="45">
        <v>8.7170000000000008E-3</v>
      </c>
      <c r="Y140" s="45">
        <v>1.3585308500874501E-2</v>
      </c>
      <c r="Z140" s="45">
        <v>2.6637456612896401E-3</v>
      </c>
    </row>
    <row r="141" spans="1:26" x14ac:dyDescent="0.25">
      <c r="A141">
        <v>424</v>
      </c>
      <c r="B141">
        <v>7228</v>
      </c>
      <c r="C141" t="s">
        <v>2045</v>
      </c>
      <c r="D141" t="s">
        <v>2046</v>
      </c>
      <c r="E141" t="s">
        <v>210</v>
      </c>
      <c r="F141" t="s">
        <v>2047</v>
      </c>
      <c r="G141">
        <v>26427</v>
      </c>
      <c r="H141" t="s">
        <v>111</v>
      </c>
      <c r="I141" t="s">
        <v>1668</v>
      </c>
      <c r="J141" t="s">
        <v>1713</v>
      </c>
      <c r="K141" t="s">
        <v>71</v>
      </c>
      <c r="L141" t="s">
        <v>71</v>
      </c>
      <c r="M141" t="s">
        <v>71</v>
      </c>
      <c r="N141" t="s">
        <v>71</v>
      </c>
      <c r="O141" t="s">
        <v>72</v>
      </c>
      <c r="P141" s="63" t="s">
        <v>1424</v>
      </c>
      <c r="Q141" t="s">
        <v>81</v>
      </c>
      <c r="R141" t="s">
        <v>1555</v>
      </c>
      <c r="S141" t="s">
        <v>1671</v>
      </c>
      <c r="T141" s="63" t="s">
        <v>1455</v>
      </c>
      <c r="U141" s="42">
        <v>1</v>
      </c>
      <c r="V141" s="44">
        <v>8.6129999999999995</v>
      </c>
      <c r="W141" s="44">
        <v>8.6129999999999995</v>
      </c>
      <c r="X141" s="45">
        <v>1.2238000000000001E-2</v>
      </c>
      <c r="Y141" s="45">
        <v>1.78987264481893E-5</v>
      </c>
      <c r="Z141" s="45">
        <v>3.5095010846390001E-6</v>
      </c>
    </row>
    <row r="142" spans="1:26" x14ac:dyDescent="0.25">
      <c r="A142">
        <v>424</v>
      </c>
      <c r="B142">
        <v>7228</v>
      </c>
      <c r="C142" t="s">
        <v>1790</v>
      </c>
      <c r="D142" t="s">
        <v>1791</v>
      </c>
      <c r="E142" t="s">
        <v>111</v>
      </c>
      <c r="F142" t="s">
        <v>1792</v>
      </c>
      <c r="G142">
        <v>50008325</v>
      </c>
      <c r="H142" t="s">
        <v>111</v>
      </c>
      <c r="I142" t="s">
        <v>1668</v>
      </c>
      <c r="J142" t="s">
        <v>1675</v>
      </c>
      <c r="K142" t="s">
        <v>71</v>
      </c>
      <c r="L142" t="s">
        <v>71</v>
      </c>
      <c r="M142" t="s">
        <v>71</v>
      </c>
      <c r="N142" t="s">
        <v>71</v>
      </c>
      <c r="O142" t="s">
        <v>72</v>
      </c>
      <c r="P142" s="63" t="s">
        <v>1793</v>
      </c>
      <c r="Q142" t="s">
        <v>81</v>
      </c>
      <c r="R142" t="s">
        <v>286</v>
      </c>
      <c r="S142" t="s">
        <v>1481</v>
      </c>
      <c r="T142" s="63" t="s">
        <v>1455</v>
      </c>
      <c r="U142" s="42">
        <v>1</v>
      </c>
      <c r="V142" s="44">
        <v>383.08</v>
      </c>
      <c r="W142" s="44">
        <v>383.08</v>
      </c>
      <c r="X142" s="45">
        <v>0</v>
      </c>
      <c r="Y142" s="45">
        <v>7.9603693654800101E-4</v>
      </c>
      <c r="Z142" s="45">
        <v>1.5608331130791299E-4</v>
      </c>
    </row>
    <row r="143" spans="1:26" x14ac:dyDescent="0.25">
      <c r="A143">
        <v>424</v>
      </c>
      <c r="B143">
        <v>7228</v>
      </c>
      <c r="C143" t="s">
        <v>1672</v>
      </c>
      <c r="D143" t="s">
        <v>1673</v>
      </c>
      <c r="E143" t="s">
        <v>420</v>
      </c>
      <c r="F143" t="s">
        <v>2048</v>
      </c>
      <c r="G143">
        <v>9840906</v>
      </c>
      <c r="H143" t="s">
        <v>111</v>
      </c>
      <c r="I143" t="s">
        <v>1668</v>
      </c>
      <c r="J143" t="s">
        <v>1675</v>
      </c>
      <c r="K143" t="s">
        <v>71</v>
      </c>
      <c r="L143" t="s">
        <v>71</v>
      </c>
      <c r="M143" t="s">
        <v>71</v>
      </c>
      <c r="N143" t="s">
        <v>71</v>
      </c>
      <c r="O143" t="s">
        <v>72</v>
      </c>
      <c r="P143" s="63" t="s">
        <v>1424</v>
      </c>
      <c r="Q143" t="s">
        <v>75</v>
      </c>
      <c r="R143" t="s">
        <v>1555</v>
      </c>
      <c r="S143" t="s">
        <v>1671</v>
      </c>
      <c r="T143" s="63" t="s">
        <v>1455</v>
      </c>
      <c r="U143" s="42">
        <v>3.718</v>
      </c>
      <c r="V143" s="44">
        <v>27.212</v>
      </c>
      <c r="W143" s="44">
        <v>101.173</v>
      </c>
      <c r="X143" s="45">
        <v>5.2469999999999999E-3</v>
      </c>
      <c r="Y143" s="45">
        <v>2.1023654043039901E-4</v>
      </c>
      <c r="Z143" s="45">
        <v>4.1222227112470099E-5</v>
      </c>
    </row>
    <row r="144" spans="1:26" x14ac:dyDescent="0.25">
      <c r="A144">
        <v>424</v>
      </c>
      <c r="B144">
        <v>7228</v>
      </c>
      <c r="C144" t="s">
        <v>1672</v>
      </c>
      <c r="D144" t="s">
        <v>1673</v>
      </c>
      <c r="E144" t="s">
        <v>420</v>
      </c>
      <c r="F144" t="s">
        <v>2049</v>
      </c>
      <c r="G144">
        <v>9840909</v>
      </c>
      <c r="H144" t="s">
        <v>111</v>
      </c>
      <c r="I144" t="s">
        <v>1668</v>
      </c>
      <c r="J144" t="s">
        <v>1675</v>
      </c>
      <c r="K144" t="s">
        <v>71</v>
      </c>
      <c r="L144" t="s">
        <v>71</v>
      </c>
      <c r="M144" t="s">
        <v>71</v>
      </c>
      <c r="N144" t="s">
        <v>71</v>
      </c>
      <c r="O144" t="s">
        <v>72</v>
      </c>
      <c r="P144" s="63" t="s">
        <v>1424</v>
      </c>
      <c r="Q144" t="s">
        <v>75</v>
      </c>
      <c r="R144" t="s">
        <v>1555</v>
      </c>
      <c r="S144" t="s">
        <v>1671</v>
      </c>
      <c r="T144" s="63" t="s">
        <v>1455</v>
      </c>
      <c r="U144" s="42">
        <v>3.718</v>
      </c>
      <c r="V144" s="44">
        <v>10.448</v>
      </c>
      <c r="W144" s="44">
        <v>38.847000000000001</v>
      </c>
      <c r="X144" s="45">
        <v>7.9109999999999996E-3</v>
      </c>
      <c r="Y144" s="45">
        <v>8.0722815843254896E-5</v>
      </c>
      <c r="Z144" s="45">
        <v>1.5827763532621398E-5</v>
      </c>
    </row>
    <row r="145" spans="1:26" x14ac:dyDescent="0.25">
      <c r="A145">
        <v>424</v>
      </c>
      <c r="B145">
        <v>7228</v>
      </c>
      <c r="C145" t="s">
        <v>1672</v>
      </c>
      <c r="D145" t="s">
        <v>1673</v>
      </c>
      <c r="E145" t="s">
        <v>420</v>
      </c>
      <c r="F145" t="s">
        <v>1794</v>
      </c>
      <c r="G145">
        <v>60400892</v>
      </c>
      <c r="H145" t="s">
        <v>111</v>
      </c>
      <c r="I145" t="s">
        <v>1668</v>
      </c>
      <c r="J145" t="s">
        <v>1675</v>
      </c>
      <c r="K145" t="s">
        <v>71</v>
      </c>
      <c r="L145" t="s">
        <v>71</v>
      </c>
      <c r="M145" t="s">
        <v>71</v>
      </c>
      <c r="N145" t="s">
        <v>71</v>
      </c>
      <c r="O145" t="s">
        <v>72</v>
      </c>
      <c r="P145" s="63" t="s">
        <v>1795</v>
      </c>
      <c r="Q145" t="s">
        <v>75</v>
      </c>
      <c r="R145" t="s">
        <v>1555</v>
      </c>
      <c r="S145" t="s">
        <v>1671</v>
      </c>
      <c r="T145" s="63" t="s">
        <v>1455</v>
      </c>
      <c r="U145" s="42">
        <v>3.718</v>
      </c>
      <c r="V145" s="44">
        <v>2733.1880000000001</v>
      </c>
      <c r="W145" s="44">
        <v>10161.991</v>
      </c>
      <c r="X145" s="45">
        <v>0</v>
      </c>
      <c r="Y145" s="45">
        <v>2.11165293815711E-2</v>
      </c>
      <c r="Z145" s="45">
        <v>4.1404332862985298E-3</v>
      </c>
    </row>
    <row r="146" spans="1:26" x14ac:dyDescent="0.25">
      <c r="A146">
        <v>424</v>
      </c>
      <c r="B146">
        <v>7228</v>
      </c>
      <c r="C146" t="s">
        <v>2050</v>
      </c>
      <c r="D146" t="s">
        <v>2051</v>
      </c>
      <c r="E146" t="s">
        <v>210</v>
      </c>
      <c r="F146" t="s">
        <v>2052</v>
      </c>
      <c r="G146">
        <v>9840913</v>
      </c>
      <c r="H146" t="s">
        <v>111</v>
      </c>
      <c r="I146" t="s">
        <v>1668</v>
      </c>
      <c r="J146" t="s">
        <v>1695</v>
      </c>
      <c r="K146" t="s">
        <v>71</v>
      </c>
      <c r="L146" t="s">
        <v>71</v>
      </c>
      <c r="M146" t="s">
        <v>71</v>
      </c>
      <c r="N146" t="s">
        <v>71</v>
      </c>
      <c r="O146" t="s">
        <v>72</v>
      </c>
      <c r="P146" s="63" t="s">
        <v>1424</v>
      </c>
      <c r="Q146" t="s">
        <v>75</v>
      </c>
      <c r="R146" t="s">
        <v>1555</v>
      </c>
      <c r="S146" t="s">
        <v>1671</v>
      </c>
      <c r="T146" s="63" t="s">
        <v>1455</v>
      </c>
      <c r="U146" s="42">
        <v>3.718</v>
      </c>
      <c r="V146" s="44">
        <v>6.81</v>
      </c>
      <c r="W146" s="44">
        <v>25.32</v>
      </c>
      <c r="X146" s="45">
        <v>1.1132E-2</v>
      </c>
      <c r="Y146" s="45">
        <v>5.2614735255929703E-5</v>
      </c>
      <c r="Z146" s="45">
        <v>1.0316458602972799E-5</v>
      </c>
    </row>
    <row r="147" spans="1:26" x14ac:dyDescent="0.25">
      <c r="A147">
        <v>424</v>
      </c>
      <c r="B147">
        <v>7228</v>
      </c>
      <c r="C147" t="s">
        <v>2053</v>
      </c>
      <c r="E147" t="s">
        <v>286</v>
      </c>
      <c r="F147" t="s">
        <v>2054</v>
      </c>
      <c r="G147">
        <v>9840922</v>
      </c>
      <c r="H147" t="s">
        <v>111</v>
      </c>
      <c r="I147" t="s">
        <v>1668</v>
      </c>
      <c r="J147" t="s">
        <v>1827</v>
      </c>
      <c r="K147" t="s">
        <v>71</v>
      </c>
      <c r="L147" t="s">
        <v>71</v>
      </c>
      <c r="M147" t="s">
        <v>71</v>
      </c>
      <c r="N147" t="s">
        <v>71</v>
      </c>
      <c r="O147" t="s">
        <v>72</v>
      </c>
      <c r="P147" s="63" t="s">
        <v>1424</v>
      </c>
      <c r="Q147" t="s">
        <v>75</v>
      </c>
      <c r="R147" t="s">
        <v>1555</v>
      </c>
      <c r="S147" t="s">
        <v>1671</v>
      </c>
      <c r="T147" s="63" t="s">
        <v>1455</v>
      </c>
      <c r="U147" s="42">
        <v>3.718</v>
      </c>
      <c r="V147" s="44">
        <v>6.016</v>
      </c>
      <c r="W147" s="44">
        <v>22.367000000000001</v>
      </c>
      <c r="X147" s="45">
        <v>5.9369999999999996E-3</v>
      </c>
      <c r="Y147" s="45">
        <v>4.6478612368751401E-5</v>
      </c>
      <c r="Z147" s="45">
        <v>9.1133154636904203E-6</v>
      </c>
    </row>
    <row r="148" spans="1:26" x14ac:dyDescent="0.25">
      <c r="A148">
        <v>424</v>
      </c>
      <c r="B148">
        <v>7228</v>
      </c>
      <c r="C148" t="s">
        <v>2055</v>
      </c>
      <c r="D148" t="s">
        <v>2056</v>
      </c>
      <c r="E148" t="s">
        <v>210</v>
      </c>
      <c r="F148" t="s">
        <v>2057</v>
      </c>
      <c r="G148">
        <v>9840936</v>
      </c>
      <c r="H148" t="s">
        <v>111</v>
      </c>
      <c r="I148" t="s">
        <v>1668</v>
      </c>
      <c r="J148" t="s">
        <v>1708</v>
      </c>
      <c r="K148" t="s">
        <v>71</v>
      </c>
      <c r="L148" t="s">
        <v>71</v>
      </c>
      <c r="M148" t="s">
        <v>71</v>
      </c>
      <c r="N148" t="s">
        <v>71</v>
      </c>
      <c r="O148" t="s">
        <v>72</v>
      </c>
      <c r="P148" s="63" t="s">
        <v>1424</v>
      </c>
      <c r="Q148" t="s">
        <v>75</v>
      </c>
      <c r="R148" t="s">
        <v>1555</v>
      </c>
      <c r="S148" t="s">
        <v>1671</v>
      </c>
      <c r="T148" s="63" t="s">
        <v>1455</v>
      </c>
      <c r="U148" s="42">
        <v>3.718</v>
      </c>
      <c r="V148" s="44">
        <v>142.87</v>
      </c>
      <c r="W148" s="44">
        <v>531.19200000000001</v>
      </c>
      <c r="X148" s="45">
        <v>2.0996000000000001E-2</v>
      </c>
      <c r="Y148" s="45">
        <v>1.1038117539038501E-3</v>
      </c>
      <c r="Z148" s="45">
        <v>2.1643040127889801E-4</v>
      </c>
    </row>
    <row r="149" spans="1:26" x14ac:dyDescent="0.25">
      <c r="A149">
        <v>424</v>
      </c>
      <c r="B149">
        <v>7228</v>
      </c>
      <c r="C149" t="s">
        <v>1781</v>
      </c>
      <c r="D149" t="s">
        <v>1782</v>
      </c>
      <c r="E149" t="s">
        <v>210</v>
      </c>
      <c r="F149" t="s">
        <v>1781</v>
      </c>
      <c r="G149">
        <v>18952</v>
      </c>
      <c r="H149" t="s">
        <v>111</v>
      </c>
      <c r="I149" t="s">
        <v>1668</v>
      </c>
      <c r="J149" t="s">
        <v>1784</v>
      </c>
      <c r="K149" t="s">
        <v>71</v>
      </c>
      <c r="L149" t="s">
        <v>71</v>
      </c>
      <c r="M149" t="s">
        <v>71</v>
      </c>
      <c r="N149" t="s">
        <v>71</v>
      </c>
      <c r="O149" t="s">
        <v>72</v>
      </c>
      <c r="P149" s="63" t="s">
        <v>1796</v>
      </c>
      <c r="Q149" t="s">
        <v>81</v>
      </c>
      <c r="R149" t="s">
        <v>1555</v>
      </c>
      <c r="S149" t="s">
        <v>1671</v>
      </c>
      <c r="T149" s="63" t="s">
        <v>1455</v>
      </c>
      <c r="U149" s="42">
        <v>1</v>
      </c>
      <c r="V149" s="44">
        <v>1283.6099999999999</v>
      </c>
      <c r="W149" s="44">
        <v>1283.6099999999999</v>
      </c>
      <c r="X149" s="45">
        <v>3.264E-3</v>
      </c>
      <c r="Y149" s="45">
        <v>2.6673309535392002E-3</v>
      </c>
      <c r="Z149" s="45">
        <v>5.2299815306043596E-4</v>
      </c>
    </row>
    <row r="150" spans="1:26" x14ac:dyDescent="0.25">
      <c r="A150">
        <v>424</v>
      </c>
      <c r="B150">
        <v>7228</v>
      </c>
      <c r="C150" t="s">
        <v>2058</v>
      </c>
      <c r="D150" t="s">
        <v>2059</v>
      </c>
      <c r="E150" t="s">
        <v>111</v>
      </c>
      <c r="F150" t="s">
        <v>2060</v>
      </c>
      <c r="G150">
        <v>9840777</v>
      </c>
      <c r="H150" t="s">
        <v>111</v>
      </c>
      <c r="I150" t="s">
        <v>1668</v>
      </c>
      <c r="J150" t="s">
        <v>1982</v>
      </c>
      <c r="K150" t="s">
        <v>85</v>
      </c>
      <c r="L150" t="s">
        <v>1681</v>
      </c>
      <c r="M150" t="s">
        <v>71</v>
      </c>
      <c r="N150" t="s">
        <v>71</v>
      </c>
      <c r="O150" t="s">
        <v>72</v>
      </c>
      <c r="P150" s="63" t="s">
        <v>1424</v>
      </c>
      <c r="Q150" t="s">
        <v>75</v>
      </c>
      <c r="R150" t="s">
        <v>1555</v>
      </c>
      <c r="S150" t="s">
        <v>1671</v>
      </c>
      <c r="T150" s="63" t="s">
        <v>1455</v>
      </c>
      <c r="U150" s="42">
        <v>3.718</v>
      </c>
      <c r="V150" s="44">
        <v>85.444999999999993</v>
      </c>
      <c r="W150" s="44">
        <v>317.685</v>
      </c>
      <c r="X150" s="45">
        <v>4.3480000000000003E-3</v>
      </c>
      <c r="Y150" s="45">
        <v>6.6014565002598302E-4</v>
      </c>
      <c r="Z150" s="45">
        <v>1.29438364315595E-4</v>
      </c>
    </row>
    <row r="151" spans="1:26" x14ac:dyDescent="0.25">
      <c r="A151">
        <v>424</v>
      </c>
      <c r="B151">
        <v>7228</v>
      </c>
      <c r="C151" t="s">
        <v>1797</v>
      </c>
      <c r="D151" t="s">
        <v>1798</v>
      </c>
      <c r="E151" t="s">
        <v>286</v>
      </c>
      <c r="F151" t="s">
        <v>1799</v>
      </c>
      <c r="G151">
        <v>50007160</v>
      </c>
      <c r="H151" t="s">
        <v>111</v>
      </c>
      <c r="I151" t="s">
        <v>1668</v>
      </c>
      <c r="J151" t="s">
        <v>1675</v>
      </c>
      <c r="K151" t="s">
        <v>71</v>
      </c>
      <c r="L151" t="s">
        <v>71</v>
      </c>
      <c r="M151" t="s">
        <v>71</v>
      </c>
      <c r="N151" t="s">
        <v>71</v>
      </c>
      <c r="O151" t="s">
        <v>72</v>
      </c>
      <c r="P151" s="63" t="s">
        <v>1800</v>
      </c>
      <c r="Q151" t="s">
        <v>81</v>
      </c>
      <c r="R151" t="s">
        <v>286</v>
      </c>
      <c r="S151" t="s">
        <v>1671</v>
      </c>
      <c r="T151" s="63" t="s">
        <v>1455</v>
      </c>
      <c r="U151" s="42">
        <v>1</v>
      </c>
      <c r="V151" s="44">
        <v>1535.3589999999999</v>
      </c>
      <c r="W151" s="44">
        <v>1535.3589999999999</v>
      </c>
      <c r="X151" s="45">
        <v>1.5674E-2</v>
      </c>
      <c r="Y151" s="45">
        <v>3.1904625098974002E-3</v>
      </c>
      <c r="Z151" s="45">
        <v>6.2557141545216996E-4</v>
      </c>
    </row>
    <row r="152" spans="1:26" x14ac:dyDescent="0.25">
      <c r="A152">
        <v>424</v>
      </c>
      <c r="B152">
        <v>7228</v>
      </c>
      <c r="C152" t="s">
        <v>2061</v>
      </c>
      <c r="D152" t="s">
        <v>2062</v>
      </c>
      <c r="E152" t="s">
        <v>210</v>
      </c>
      <c r="F152" t="s">
        <v>2063</v>
      </c>
      <c r="G152">
        <v>9840947</v>
      </c>
      <c r="H152" t="s">
        <v>111</v>
      </c>
      <c r="I152" t="s">
        <v>1668</v>
      </c>
      <c r="J152" t="s">
        <v>1695</v>
      </c>
      <c r="K152" t="s">
        <v>85</v>
      </c>
      <c r="L152" t="s">
        <v>1681</v>
      </c>
      <c r="M152" t="s">
        <v>71</v>
      </c>
      <c r="N152" t="s">
        <v>291</v>
      </c>
      <c r="O152" t="s">
        <v>72</v>
      </c>
      <c r="P152" s="63" t="s">
        <v>1424</v>
      </c>
      <c r="Q152" t="s">
        <v>75</v>
      </c>
      <c r="R152" t="s">
        <v>1555</v>
      </c>
      <c r="S152" t="s">
        <v>1671</v>
      </c>
      <c r="T152" s="63" t="s">
        <v>1455</v>
      </c>
      <c r="U152" s="42">
        <v>3.718</v>
      </c>
      <c r="V152" s="44">
        <v>1E-3</v>
      </c>
      <c r="W152" s="44">
        <v>3.0000000000000001E-3</v>
      </c>
      <c r="X152" s="45">
        <v>1.4841999999999999E-2</v>
      </c>
      <c r="Y152" s="45">
        <v>7.2239457643272802E-9</v>
      </c>
      <c r="Z152" s="45">
        <v>1.4164385141404599E-9</v>
      </c>
    </row>
    <row r="153" spans="1:26" x14ac:dyDescent="0.25">
      <c r="A153">
        <v>424</v>
      </c>
      <c r="B153">
        <v>7228</v>
      </c>
      <c r="C153" t="s">
        <v>1801</v>
      </c>
      <c r="D153" t="s">
        <v>1802</v>
      </c>
      <c r="E153" t="s">
        <v>613</v>
      </c>
      <c r="F153" t="s">
        <v>1803</v>
      </c>
      <c r="G153">
        <v>62022124</v>
      </c>
      <c r="H153" t="s">
        <v>111</v>
      </c>
      <c r="I153" t="s">
        <v>1668</v>
      </c>
      <c r="J153" t="s">
        <v>1675</v>
      </c>
      <c r="K153" t="s">
        <v>85</v>
      </c>
      <c r="O153" t="s">
        <v>72</v>
      </c>
      <c r="P153" s="63" t="s">
        <v>1804</v>
      </c>
      <c r="Q153" t="s">
        <v>77</v>
      </c>
      <c r="R153" t="s">
        <v>286</v>
      </c>
      <c r="T153" s="63" t="s">
        <v>1455</v>
      </c>
      <c r="U153" s="42">
        <v>4.0218999999999996</v>
      </c>
      <c r="V153" s="44">
        <v>681.89499999999998</v>
      </c>
      <c r="W153" s="44">
        <v>2742.5120000000002</v>
      </c>
      <c r="X153" s="45">
        <v>4.55E-4</v>
      </c>
      <c r="Y153" s="45">
        <v>5.6989169557932302E-3</v>
      </c>
      <c r="Z153" s="45">
        <v>1.11741778363495E-3</v>
      </c>
    </row>
    <row r="154" spans="1:26" x14ac:dyDescent="0.25">
      <c r="A154">
        <v>424</v>
      </c>
      <c r="B154">
        <v>7228</v>
      </c>
      <c r="C154" t="s">
        <v>1805</v>
      </c>
      <c r="D154" t="s">
        <v>1806</v>
      </c>
      <c r="E154" t="s">
        <v>111</v>
      </c>
      <c r="F154" t="s">
        <v>1807</v>
      </c>
      <c r="G154">
        <v>62020672</v>
      </c>
      <c r="H154" t="s">
        <v>111</v>
      </c>
      <c r="I154" t="s">
        <v>1668</v>
      </c>
      <c r="J154" t="s">
        <v>1675</v>
      </c>
      <c r="K154" t="s">
        <v>85</v>
      </c>
      <c r="L154" t="s">
        <v>291</v>
      </c>
      <c r="M154" t="s">
        <v>291</v>
      </c>
      <c r="N154" t="s">
        <v>291</v>
      </c>
      <c r="O154" t="s">
        <v>72</v>
      </c>
      <c r="P154" s="63" t="s">
        <v>1808</v>
      </c>
      <c r="Q154" t="s">
        <v>75</v>
      </c>
      <c r="R154" t="s">
        <v>286</v>
      </c>
      <c r="S154" t="s">
        <v>1671</v>
      </c>
      <c r="T154" s="63" t="s">
        <v>1455</v>
      </c>
      <c r="U154" s="42">
        <v>3.718</v>
      </c>
      <c r="V154" s="44">
        <v>1025.47</v>
      </c>
      <c r="W154" s="44">
        <v>3812.6979999999999</v>
      </c>
      <c r="X154" s="45">
        <v>2.5869999999999999E-3</v>
      </c>
      <c r="Y154" s="45">
        <v>7.9227529133631402E-3</v>
      </c>
      <c r="Z154" s="45">
        <v>1.5534574497945699E-3</v>
      </c>
    </row>
    <row r="155" spans="1:26" x14ac:dyDescent="0.25">
      <c r="A155">
        <v>424</v>
      </c>
      <c r="B155">
        <v>7228</v>
      </c>
      <c r="C155" t="s">
        <v>1809</v>
      </c>
      <c r="D155" t="s">
        <v>1810</v>
      </c>
      <c r="E155" t="s">
        <v>613</v>
      </c>
      <c r="F155" t="s">
        <v>1809</v>
      </c>
      <c r="G155">
        <v>62021365</v>
      </c>
      <c r="H155" t="s">
        <v>111</v>
      </c>
      <c r="I155" t="s">
        <v>1668</v>
      </c>
      <c r="J155" t="s">
        <v>1811</v>
      </c>
      <c r="K155" t="s">
        <v>85</v>
      </c>
      <c r="L155" t="s">
        <v>1353</v>
      </c>
      <c r="M155" t="s">
        <v>1353</v>
      </c>
      <c r="N155" t="s">
        <v>1199</v>
      </c>
      <c r="O155" t="s">
        <v>72</v>
      </c>
      <c r="P155" s="63" t="s">
        <v>1812</v>
      </c>
      <c r="Q155" t="s">
        <v>75</v>
      </c>
      <c r="R155" t="s">
        <v>1555</v>
      </c>
      <c r="S155" t="s">
        <v>1671</v>
      </c>
      <c r="T155" s="63" t="s">
        <v>1455</v>
      </c>
      <c r="U155" s="42">
        <v>3.718</v>
      </c>
      <c r="V155" s="44">
        <v>828.09100000000001</v>
      </c>
      <c r="W155" s="44">
        <v>3078.8409999999999</v>
      </c>
      <c r="X155" s="45">
        <v>0</v>
      </c>
      <c r="Y155" s="45">
        <v>6.3978047563887901E-3</v>
      </c>
      <c r="Z155" s="45">
        <v>1.254452533081E-3</v>
      </c>
    </row>
    <row r="156" spans="1:26" x14ac:dyDescent="0.25">
      <c r="A156">
        <v>424</v>
      </c>
      <c r="B156">
        <v>7228</v>
      </c>
      <c r="C156" t="s">
        <v>1813</v>
      </c>
      <c r="D156" t="s">
        <v>1814</v>
      </c>
      <c r="E156" t="s">
        <v>540</v>
      </c>
      <c r="F156" t="s">
        <v>1813</v>
      </c>
      <c r="G156">
        <v>62020896</v>
      </c>
      <c r="H156" t="s">
        <v>111</v>
      </c>
      <c r="I156" t="s">
        <v>1668</v>
      </c>
      <c r="J156" t="s">
        <v>1704</v>
      </c>
      <c r="K156" t="s">
        <v>85</v>
      </c>
      <c r="L156" t="s">
        <v>604</v>
      </c>
      <c r="M156" t="s">
        <v>1815</v>
      </c>
      <c r="N156" t="s">
        <v>215</v>
      </c>
      <c r="O156" t="s">
        <v>72</v>
      </c>
      <c r="P156" s="63" t="s">
        <v>1816</v>
      </c>
      <c r="Q156" t="s">
        <v>75</v>
      </c>
      <c r="R156" t="s">
        <v>1555</v>
      </c>
      <c r="S156" t="s">
        <v>1671</v>
      </c>
      <c r="T156" s="63" t="s">
        <v>1455</v>
      </c>
      <c r="U156" s="42">
        <v>3.718</v>
      </c>
      <c r="V156" s="44">
        <v>486.30500000000001</v>
      </c>
      <c r="W156" s="44">
        <v>1808.0820000000001</v>
      </c>
      <c r="X156" s="45">
        <v>3.4999999999999997E-5</v>
      </c>
      <c r="Y156" s="45">
        <v>3.7571784637318098E-3</v>
      </c>
      <c r="Z156" s="45">
        <v>7.36690508781031E-4</v>
      </c>
    </row>
    <row r="157" spans="1:26" x14ac:dyDescent="0.25">
      <c r="A157">
        <v>424</v>
      </c>
      <c r="B157">
        <v>7228</v>
      </c>
      <c r="C157" t="s">
        <v>1817</v>
      </c>
      <c r="D157" t="s">
        <v>1818</v>
      </c>
      <c r="E157" t="s">
        <v>613</v>
      </c>
      <c r="F157" t="s">
        <v>1817</v>
      </c>
      <c r="G157">
        <v>62019815</v>
      </c>
      <c r="H157" t="s">
        <v>111</v>
      </c>
      <c r="I157" t="s">
        <v>1668</v>
      </c>
      <c r="J157" t="s">
        <v>1704</v>
      </c>
      <c r="K157" t="s">
        <v>85</v>
      </c>
      <c r="L157" t="s">
        <v>604</v>
      </c>
      <c r="M157" t="s">
        <v>1815</v>
      </c>
      <c r="N157" t="s">
        <v>215</v>
      </c>
      <c r="O157" t="s">
        <v>72</v>
      </c>
      <c r="P157" s="63" t="s">
        <v>1819</v>
      </c>
      <c r="Q157" t="s">
        <v>75</v>
      </c>
      <c r="R157" t="s">
        <v>1555</v>
      </c>
      <c r="S157" t="s">
        <v>1671</v>
      </c>
      <c r="T157" s="63" t="s">
        <v>1455</v>
      </c>
      <c r="U157" s="42">
        <v>3.718</v>
      </c>
      <c r="V157" s="44">
        <v>1609.4280000000001</v>
      </c>
      <c r="W157" s="44">
        <v>5983.8519999999999</v>
      </c>
      <c r="X157" s="45">
        <v>6.0899999999999995E-4</v>
      </c>
      <c r="Y157" s="45">
        <v>1.2434392236938201E-2</v>
      </c>
      <c r="Z157" s="45">
        <v>2.4380792213725198E-3</v>
      </c>
    </row>
    <row r="158" spans="1:26" x14ac:dyDescent="0.25">
      <c r="A158">
        <v>424</v>
      </c>
      <c r="B158">
        <v>7228</v>
      </c>
      <c r="C158" t="s">
        <v>1820</v>
      </c>
      <c r="D158" t="s">
        <v>1821</v>
      </c>
      <c r="E158" t="s">
        <v>540</v>
      </c>
      <c r="F158" t="s">
        <v>1822</v>
      </c>
      <c r="G158">
        <v>62019757</v>
      </c>
      <c r="H158" t="s">
        <v>111</v>
      </c>
      <c r="I158" t="s">
        <v>1668</v>
      </c>
      <c r="J158" t="s">
        <v>1680</v>
      </c>
      <c r="K158" t="s">
        <v>85</v>
      </c>
      <c r="L158" t="s">
        <v>1681</v>
      </c>
      <c r="M158" t="s">
        <v>1681</v>
      </c>
      <c r="N158" t="s">
        <v>984</v>
      </c>
      <c r="O158" t="s">
        <v>72</v>
      </c>
      <c r="P158" s="63" t="s">
        <v>1823</v>
      </c>
      <c r="Q158" t="s">
        <v>75</v>
      </c>
      <c r="R158" t="s">
        <v>1555</v>
      </c>
      <c r="S158" t="s">
        <v>1671</v>
      </c>
      <c r="T158" s="63" t="s">
        <v>1455</v>
      </c>
      <c r="U158" s="42">
        <v>3.718</v>
      </c>
      <c r="V158" s="44">
        <v>833.91399999999999</v>
      </c>
      <c r="W158" s="44">
        <v>3100.4920000000002</v>
      </c>
      <c r="X158" s="45">
        <v>0</v>
      </c>
      <c r="Y158" s="45">
        <v>6.4427946928129797E-3</v>
      </c>
      <c r="Z158" s="45">
        <v>1.2632739557188401E-3</v>
      </c>
    </row>
    <row r="159" spans="1:26" x14ac:dyDescent="0.25">
      <c r="A159">
        <v>424</v>
      </c>
      <c r="B159">
        <v>7228</v>
      </c>
      <c r="C159" t="s">
        <v>1824</v>
      </c>
      <c r="D159" t="s">
        <v>1825</v>
      </c>
      <c r="E159" t="s">
        <v>540</v>
      </c>
      <c r="F159" t="s">
        <v>1826</v>
      </c>
      <c r="G159">
        <v>62013909</v>
      </c>
      <c r="H159" t="s">
        <v>111</v>
      </c>
      <c r="I159" t="s">
        <v>1668</v>
      </c>
      <c r="J159" t="s">
        <v>1827</v>
      </c>
      <c r="K159" t="s">
        <v>85</v>
      </c>
      <c r="L159" t="s">
        <v>1681</v>
      </c>
      <c r="M159" t="s">
        <v>291</v>
      </c>
      <c r="N159" t="s">
        <v>291</v>
      </c>
      <c r="O159" t="s">
        <v>72</v>
      </c>
      <c r="P159" s="63" t="s">
        <v>1828</v>
      </c>
      <c r="Q159" t="s">
        <v>75</v>
      </c>
      <c r="R159" t="s">
        <v>1555</v>
      </c>
      <c r="S159" t="s">
        <v>1671</v>
      </c>
      <c r="T159" s="63" t="s">
        <v>1455</v>
      </c>
      <c r="U159" s="42">
        <v>3.718</v>
      </c>
      <c r="V159" s="44">
        <v>1130.4960000000001</v>
      </c>
      <c r="W159" s="44">
        <v>4203.1840000000002</v>
      </c>
      <c r="X159" s="45">
        <v>2.6667E-2</v>
      </c>
      <c r="Y159" s="45">
        <v>8.7341800780826699E-3</v>
      </c>
      <c r="Z159" s="45">
        <v>1.7125584072248E-3</v>
      </c>
    </row>
    <row r="160" spans="1:26" x14ac:dyDescent="0.25">
      <c r="A160">
        <v>424</v>
      </c>
      <c r="B160">
        <v>7228</v>
      </c>
      <c r="C160" t="s">
        <v>1829</v>
      </c>
      <c r="D160" t="s">
        <v>1830</v>
      </c>
      <c r="E160" t="s">
        <v>540</v>
      </c>
      <c r="F160" t="s">
        <v>1831</v>
      </c>
      <c r="G160">
        <v>62011226</v>
      </c>
      <c r="H160" t="s">
        <v>111</v>
      </c>
      <c r="I160" t="s">
        <v>1668</v>
      </c>
      <c r="J160" t="s">
        <v>1832</v>
      </c>
      <c r="K160" t="s">
        <v>85</v>
      </c>
      <c r="L160" t="s">
        <v>1681</v>
      </c>
      <c r="M160" t="s">
        <v>291</v>
      </c>
      <c r="N160" t="s">
        <v>291</v>
      </c>
      <c r="O160" t="s">
        <v>72</v>
      </c>
      <c r="P160" s="63" t="s">
        <v>1833</v>
      </c>
      <c r="Q160" t="s">
        <v>75</v>
      </c>
      <c r="R160" t="s">
        <v>1555</v>
      </c>
      <c r="S160" t="s">
        <v>1671</v>
      </c>
      <c r="T160" s="63" t="s">
        <v>1455</v>
      </c>
      <c r="U160" s="42">
        <v>3.718</v>
      </c>
      <c r="V160" s="44">
        <v>63.118000000000002</v>
      </c>
      <c r="W160" s="44">
        <v>234.673</v>
      </c>
      <c r="X160" s="45">
        <v>0</v>
      </c>
      <c r="Y160" s="45">
        <v>4.8764772567433601E-4</v>
      </c>
      <c r="Z160" s="45">
        <v>9.5615753843143099E-5</v>
      </c>
    </row>
    <row r="161" spans="1:26" x14ac:dyDescent="0.25">
      <c r="A161">
        <v>424</v>
      </c>
      <c r="B161">
        <v>7228</v>
      </c>
      <c r="C161" t="s">
        <v>1834</v>
      </c>
      <c r="D161" t="s">
        <v>1835</v>
      </c>
      <c r="E161" t="s">
        <v>540</v>
      </c>
      <c r="F161" t="s">
        <v>1836</v>
      </c>
      <c r="G161">
        <v>60419041</v>
      </c>
      <c r="H161" t="s">
        <v>111</v>
      </c>
      <c r="I161" t="s">
        <v>1668</v>
      </c>
      <c r="J161" t="s">
        <v>1704</v>
      </c>
      <c r="K161" t="s">
        <v>85</v>
      </c>
      <c r="L161" t="s">
        <v>1681</v>
      </c>
      <c r="M161" t="s">
        <v>291</v>
      </c>
      <c r="N161" t="s">
        <v>215</v>
      </c>
      <c r="O161" t="s">
        <v>72</v>
      </c>
      <c r="P161" s="63" t="s">
        <v>1837</v>
      </c>
      <c r="Q161" t="s">
        <v>75</v>
      </c>
      <c r="R161" t="s">
        <v>1555</v>
      </c>
      <c r="S161" t="s">
        <v>1671</v>
      </c>
      <c r="T161" s="63" t="s">
        <v>1455</v>
      </c>
      <c r="U161" s="42">
        <v>3.718</v>
      </c>
      <c r="V161" s="44">
        <v>442.36399999999998</v>
      </c>
      <c r="W161" s="44">
        <v>1644.7080000000001</v>
      </c>
      <c r="X161" s="45">
        <v>2.5300000000000002E-4</v>
      </c>
      <c r="Y161" s="45">
        <v>3.4176897266103901E-3</v>
      </c>
      <c r="Z161" s="45">
        <v>6.7012509729216601E-4</v>
      </c>
    </row>
    <row r="162" spans="1:26" x14ac:dyDescent="0.25">
      <c r="A162">
        <v>424</v>
      </c>
      <c r="B162">
        <v>7228</v>
      </c>
      <c r="C162" t="s">
        <v>1838</v>
      </c>
      <c r="D162" t="s">
        <v>1839</v>
      </c>
      <c r="E162" t="s">
        <v>540</v>
      </c>
      <c r="F162" t="s">
        <v>1840</v>
      </c>
      <c r="G162">
        <v>62016654</v>
      </c>
      <c r="H162" t="s">
        <v>111</v>
      </c>
      <c r="I162" t="s">
        <v>1668</v>
      </c>
      <c r="J162" t="s">
        <v>1704</v>
      </c>
      <c r="K162" t="s">
        <v>85</v>
      </c>
      <c r="L162" t="s">
        <v>1681</v>
      </c>
      <c r="M162" t="s">
        <v>291</v>
      </c>
      <c r="N162" t="s">
        <v>215</v>
      </c>
      <c r="O162" t="s">
        <v>72</v>
      </c>
      <c r="P162" s="63" t="s">
        <v>1841</v>
      </c>
      <c r="Q162" t="s">
        <v>75</v>
      </c>
      <c r="R162" t="s">
        <v>1555</v>
      </c>
      <c r="S162" t="s">
        <v>1671</v>
      </c>
      <c r="T162" s="63" t="s">
        <v>1455</v>
      </c>
      <c r="U162" s="42">
        <v>3.718</v>
      </c>
      <c r="V162" s="44">
        <v>2016.7950000000001</v>
      </c>
      <c r="W162" s="44">
        <v>7498.4430000000002</v>
      </c>
      <c r="X162" s="45">
        <v>3.1700000000000001E-4</v>
      </c>
      <c r="Y162" s="45">
        <v>1.55817002970326E-2</v>
      </c>
      <c r="Z162" s="45">
        <v>3.0551891080768901E-3</v>
      </c>
    </row>
    <row r="163" spans="1:26" x14ac:dyDescent="0.25">
      <c r="A163">
        <v>424</v>
      </c>
      <c r="B163">
        <v>7228</v>
      </c>
      <c r="C163" t="s">
        <v>1842</v>
      </c>
      <c r="D163" t="s">
        <v>1843</v>
      </c>
      <c r="E163" t="s">
        <v>613</v>
      </c>
      <c r="F163" t="s">
        <v>1844</v>
      </c>
      <c r="G163">
        <v>62021241</v>
      </c>
      <c r="H163" t="s">
        <v>111</v>
      </c>
      <c r="I163" t="s">
        <v>1668</v>
      </c>
      <c r="J163" t="s">
        <v>1704</v>
      </c>
      <c r="K163" t="s">
        <v>85</v>
      </c>
      <c r="L163" t="s">
        <v>1681</v>
      </c>
      <c r="M163" t="s">
        <v>291</v>
      </c>
      <c r="N163" t="s">
        <v>215</v>
      </c>
      <c r="O163" t="s">
        <v>72</v>
      </c>
      <c r="P163" s="63" t="s">
        <v>1845</v>
      </c>
      <c r="Q163" t="s">
        <v>75</v>
      </c>
      <c r="R163" t="s">
        <v>286</v>
      </c>
      <c r="S163" t="s">
        <v>1671</v>
      </c>
      <c r="T163" s="63" t="s">
        <v>1455</v>
      </c>
      <c r="U163" s="42">
        <v>3.718</v>
      </c>
      <c r="V163" s="44">
        <v>570.60500000000002</v>
      </c>
      <c r="W163" s="44">
        <v>2121.509</v>
      </c>
      <c r="X163" s="45">
        <v>0</v>
      </c>
      <c r="Y163" s="45">
        <v>4.4084765241260001E-3</v>
      </c>
      <c r="Z163" s="45">
        <v>8.6439407785859001E-4</v>
      </c>
    </row>
    <row r="164" spans="1:26" x14ac:dyDescent="0.25">
      <c r="A164">
        <v>424</v>
      </c>
      <c r="B164">
        <v>7228</v>
      </c>
      <c r="C164" t="s">
        <v>1846</v>
      </c>
      <c r="D164" t="s">
        <v>1847</v>
      </c>
      <c r="E164" t="s">
        <v>613</v>
      </c>
      <c r="F164" t="s">
        <v>1848</v>
      </c>
      <c r="G164">
        <v>62018064</v>
      </c>
      <c r="H164" t="s">
        <v>111</v>
      </c>
      <c r="I164" t="s">
        <v>1668</v>
      </c>
      <c r="J164" t="s">
        <v>1695</v>
      </c>
      <c r="K164" t="s">
        <v>85</v>
      </c>
      <c r="L164" t="s">
        <v>1681</v>
      </c>
      <c r="M164" t="s">
        <v>291</v>
      </c>
      <c r="N164" t="s">
        <v>1343</v>
      </c>
      <c r="O164" t="s">
        <v>72</v>
      </c>
      <c r="P164" s="63" t="s">
        <v>1615</v>
      </c>
      <c r="Q164" t="s">
        <v>75</v>
      </c>
      <c r="R164" t="s">
        <v>286</v>
      </c>
      <c r="S164" t="s">
        <v>1671</v>
      </c>
      <c r="T164" s="63" t="s">
        <v>1455</v>
      </c>
      <c r="U164" s="42">
        <v>3.718</v>
      </c>
      <c r="V164" s="44">
        <v>8.2390000000000008</v>
      </c>
      <c r="W164" s="44">
        <v>30.632000000000001</v>
      </c>
      <c r="X164" s="45">
        <v>8.7699999999999996E-4</v>
      </c>
      <c r="Y164" s="45">
        <v>6.3652525043797698E-5</v>
      </c>
      <c r="Z164" s="45">
        <v>1.24806983517991E-5</v>
      </c>
    </row>
    <row r="165" spans="1:26" x14ac:dyDescent="0.25">
      <c r="A165">
        <v>424</v>
      </c>
      <c r="B165">
        <v>7228</v>
      </c>
      <c r="C165" t="s">
        <v>1846</v>
      </c>
      <c r="D165" t="s">
        <v>1847</v>
      </c>
      <c r="E165" t="s">
        <v>613</v>
      </c>
      <c r="F165" t="s">
        <v>1849</v>
      </c>
      <c r="G165">
        <v>62021340</v>
      </c>
      <c r="H165" t="s">
        <v>111</v>
      </c>
      <c r="I165" t="s">
        <v>1668</v>
      </c>
      <c r="J165" t="s">
        <v>1850</v>
      </c>
      <c r="K165" t="s">
        <v>85</v>
      </c>
      <c r="L165" t="s">
        <v>1681</v>
      </c>
      <c r="M165" t="s">
        <v>291</v>
      </c>
      <c r="N165" t="s">
        <v>1343</v>
      </c>
      <c r="O165" t="s">
        <v>72</v>
      </c>
      <c r="P165" s="63" t="s">
        <v>1851</v>
      </c>
      <c r="Q165" t="s">
        <v>75</v>
      </c>
      <c r="R165" t="s">
        <v>1555</v>
      </c>
      <c r="S165" t="s">
        <v>1671</v>
      </c>
      <c r="T165" s="63" t="s">
        <v>1455</v>
      </c>
      <c r="U165" s="42">
        <v>3.718</v>
      </c>
      <c r="V165" s="44">
        <v>924.13699999999994</v>
      </c>
      <c r="W165" s="44">
        <v>3435.942</v>
      </c>
      <c r="X165" s="45">
        <v>2.7999999999999998E-4</v>
      </c>
      <c r="Y165" s="45">
        <v>7.1398577675745103E-3</v>
      </c>
      <c r="Z165" s="45">
        <v>1.3999509212012E-3</v>
      </c>
    </row>
    <row r="166" spans="1:26" x14ac:dyDescent="0.25">
      <c r="A166">
        <v>424</v>
      </c>
      <c r="B166">
        <v>7228</v>
      </c>
      <c r="C166" t="s">
        <v>1852</v>
      </c>
      <c r="D166" t="s">
        <v>1853</v>
      </c>
      <c r="E166" t="s">
        <v>540</v>
      </c>
      <c r="F166" t="s">
        <v>1854</v>
      </c>
      <c r="G166">
        <v>62018908</v>
      </c>
      <c r="H166" t="s">
        <v>111</v>
      </c>
      <c r="I166" t="s">
        <v>1668</v>
      </c>
      <c r="J166" t="s">
        <v>1695</v>
      </c>
      <c r="K166" t="s">
        <v>85</v>
      </c>
      <c r="L166" t="s">
        <v>1353</v>
      </c>
      <c r="M166" t="s">
        <v>1353</v>
      </c>
      <c r="N166" t="s">
        <v>215</v>
      </c>
      <c r="O166" t="s">
        <v>72</v>
      </c>
      <c r="P166" s="63" t="s">
        <v>2064</v>
      </c>
      <c r="Q166" t="s">
        <v>75</v>
      </c>
      <c r="R166" t="s">
        <v>1555</v>
      </c>
      <c r="S166" t="s">
        <v>1671</v>
      </c>
      <c r="T166" s="63" t="s">
        <v>1455</v>
      </c>
      <c r="U166" s="42">
        <v>3.718</v>
      </c>
      <c r="V166" s="44">
        <v>3297.6950000000002</v>
      </c>
      <c r="W166" s="44">
        <v>12260.829</v>
      </c>
      <c r="X166" s="45">
        <v>1.7899999999999999E-4</v>
      </c>
      <c r="Y166" s="45">
        <v>2.5477895359690798E-2</v>
      </c>
      <c r="Z166" s="45">
        <v>4.9955901420125504E-3</v>
      </c>
    </row>
    <row r="167" spans="1:26" x14ac:dyDescent="0.25">
      <c r="A167">
        <v>424</v>
      </c>
      <c r="B167">
        <v>7228</v>
      </c>
      <c r="C167" t="s">
        <v>1856</v>
      </c>
      <c r="D167" t="s">
        <v>1857</v>
      </c>
      <c r="E167" t="s">
        <v>540</v>
      </c>
      <c r="F167" t="s">
        <v>1858</v>
      </c>
      <c r="G167">
        <v>62019559</v>
      </c>
      <c r="H167" t="s">
        <v>111</v>
      </c>
      <c r="I167" t="s">
        <v>1668</v>
      </c>
      <c r="J167" t="s">
        <v>1827</v>
      </c>
      <c r="K167" t="s">
        <v>85</v>
      </c>
      <c r="L167" t="s">
        <v>291</v>
      </c>
      <c r="M167" t="s">
        <v>291</v>
      </c>
      <c r="N167" t="s">
        <v>291</v>
      </c>
      <c r="O167" t="s">
        <v>72</v>
      </c>
      <c r="P167" s="63" t="s">
        <v>1859</v>
      </c>
      <c r="Q167" t="s">
        <v>75</v>
      </c>
      <c r="R167" t="s">
        <v>1555</v>
      </c>
      <c r="S167" t="s">
        <v>1671</v>
      </c>
      <c r="T167" s="63" t="s">
        <v>1455</v>
      </c>
      <c r="U167" s="42">
        <v>3.718</v>
      </c>
      <c r="V167" s="44">
        <v>3752.66</v>
      </c>
      <c r="W167" s="44">
        <v>13952.388999999999</v>
      </c>
      <c r="X167" s="45">
        <v>6.4289999999999998E-3</v>
      </c>
      <c r="Y167" s="45">
        <v>2.89929433319372E-2</v>
      </c>
      <c r="Z167" s="45">
        <v>5.6848048024447104E-3</v>
      </c>
    </row>
    <row r="168" spans="1:26" x14ac:dyDescent="0.25">
      <c r="A168">
        <v>424</v>
      </c>
      <c r="B168">
        <v>7228</v>
      </c>
      <c r="C168" t="s">
        <v>1860</v>
      </c>
      <c r="D168" t="s">
        <v>1861</v>
      </c>
      <c r="E168" t="s">
        <v>613</v>
      </c>
      <c r="F168" t="s">
        <v>1862</v>
      </c>
      <c r="G168">
        <v>62020946</v>
      </c>
      <c r="H168" t="s">
        <v>111</v>
      </c>
      <c r="I168" t="s">
        <v>1668</v>
      </c>
      <c r="J168" t="s">
        <v>1827</v>
      </c>
      <c r="K168" t="s">
        <v>85</v>
      </c>
      <c r="L168" t="s">
        <v>291</v>
      </c>
      <c r="M168" t="s">
        <v>291</v>
      </c>
      <c r="N168" t="s">
        <v>291</v>
      </c>
      <c r="O168" t="s">
        <v>72</v>
      </c>
      <c r="P168" s="63" t="s">
        <v>1863</v>
      </c>
      <c r="Q168" t="s">
        <v>75</v>
      </c>
      <c r="R168" t="s">
        <v>1555</v>
      </c>
      <c r="S168" t="s">
        <v>1671</v>
      </c>
      <c r="T168" s="63" t="s">
        <v>1455</v>
      </c>
      <c r="U168" s="42">
        <v>3.718</v>
      </c>
      <c r="V168" s="44">
        <v>1893.434</v>
      </c>
      <c r="W168" s="44">
        <v>7039.7889999999998</v>
      </c>
      <c r="X168" s="45">
        <v>2.3040000000000001E-3</v>
      </c>
      <c r="Y168" s="45">
        <v>1.46286203924316E-2</v>
      </c>
      <c r="Z168" s="45">
        <v>2.8683135240163602E-3</v>
      </c>
    </row>
    <row r="169" spans="1:26" x14ac:dyDescent="0.25">
      <c r="A169">
        <v>424</v>
      </c>
      <c r="B169">
        <v>7228</v>
      </c>
      <c r="C169" t="s">
        <v>1864</v>
      </c>
      <c r="D169" t="s">
        <v>1865</v>
      </c>
      <c r="E169" t="s">
        <v>420</v>
      </c>
      <c r="F169" t="s">
        <v>1866</v>
      </c>
      <c r="G169">
        <v>62021431</v>
      </c>
      <c r="H169" t="s">
        <v>111</v>
      </c>
      <c r="I169" t="s">
        <v>1668</v>
      </c>
      <c r="J169" t="s">
        <v>1739</v>
      </c>
      <c r="K169" t="s">
        <v>71</v>
      </c>
      <c r="L169" t="s">
        <v>1681</v>
      </c>
      <c r="M169" t="s">
        <v>71</v>
      </c>
      <c r="N169" t="s">
        <v>71</v>
      </c>
      <c r="O169" t="s">
        <v>72</v>
      </c>
      <c r="P169" s="63" t="s">
        <v>1867</v>
      </c>
      <c r="Q169" t="s">
        <v>75</v>
      </c>
      <c r="R169" t="s">
        <v>1555</v>
      </c>
      <c r="S169" t="s">
        <v>1671</v>
      </c>
      <c r="T169" s="63" t="s">
        <v>1455</v>
      </c>
      <c r="U169" s="42">
        <v>3.718</v>
      </c>
      <c r="V169" s="44">
        <v>502.81</v>
      </c>
      <c r="W169" s="44">
        <v>1869.4469999999999</v>
      </c>
      <c r="X169" s="45">
        <v>4.8700000000000002E-4</v>
      </c>
      <c r="Y169" s="45">
        <v>3.8846949541020801E-3</v>
      </c>
      <c r="Z169" s="45">
        <v>7.6169336373605899E-4</v>
      </c>
    </row>
    <row r="170" spans="1:26" x14ac:dyDescent="0.25">
      <c r="A170">
        <v>424</v>
      </c>
      <c r="B170">
        <v>7228</v>
      </c>
      <c r="C170" t="s">
        <v>1868</v>
      </c>
      <c r="D170" t="s">
        <v>1869</v>
      </c>
      <c r="E170" t="s">
        <v>613</v>
      </c>
      <c r="F170" t="s">
        <v>1870</v>
      </c>
      <c r="G170">
        <v>62021662</v>
      </c>
      <c r="H170" t="s">
        <v>111</v>
      </c>
      <c r="I170" t="s">
        <v>1668</v>
      </c>
      <c r="J170" t="s">
        <v>1675</v>
      </c>
      <c r="K170" t="s">
        <v>85</v>
      </c>
      <c r="L170" t="s">
        <v>1681</v>
      </c>
      <c r="M170" t="s">
        <v>291</v>
      </c>
      <c r="N170" t="s">
        <v>215</v>
      </c>
      <c r="O170" t="s">
        <v>72</v>
      </c>
      <c r="P170" s="63" t="s">
        <v>1871</v>
      </c>
      <c r="Q170" t="s">
        <v>75</v>
      </c>
      <c r="R170" t="s">
        <v>286</v>
      </c>
      <c r="S170" t="s">
        <v>1671</v>
      </c>
      <c r="T170" s="63" t="s">
        <v>1455</v>
      </c>
      <c r="U170" s="42">
        <v>3.718</v>
      </c>
      <c r="V170" s="44">
        <v>1882.3</v>
      </c>
      <c r="W170" s="44">
        <v>6998.39</v>
      </c>
      <c r="X170" s="45">
        <v>0</v>
      </c>
      <c r="Y170" s="45">
        <v>1.45425926264976E-2</v>
      </c>
      <c r="Z170" s="45">
        <v>2.8514455899357801E-3</v>
      </c>
    </row>
    <row r="171" spans="1:26" x14ac:dyDescent="0.25">
      <c r="A171">
        <v>424</v>
      </c>
      <c r="B171">
        <v>7228</v>
      </c>
      <c r="C171" t="s">
        <v>1872</v>
      </c>
      <c r="D171" t="s">
        <v>1873</v>
      </c>
      <c r="E171" t="s">
        <v>613</v>
      </c>
      <c r="F171" t="s">
        <v>1874</v>
      </c>
      <c r="G171">
        <v>62003800</v>
      </c>
      <c r="H171" t="s">
        <v>111</v>
      </c>
      <c r="I171" t="s">
        <v>1668</v>
      </c>
      <c r="J171" t="s">
        <v>1875</v>
      </c>
      <c r="K171" t="s">
        <v>85</v>
      </c>
      <c r="L171" t="s">
        <v>1681</v>
      </c>
      <c r="M171" t="s">
        <v>291</v>
      </c>
      <c r="N171" t="s">
        <v>215</v>
      </c>
      <c r="O171" t="s">
        <v>72</v>
      </c>
      <c r="P171" s="63" t="s">
        <v>2065</v>
      </c>
      <c r="Q171" t="s">
        <v>75</v>
      </c>
      <c r="R171" t="s">
        <v>286</v>
      </c>
      <c r="S171" t="s">
        <v>1671</v>
      </c>
      <c r="T171" s="63" t="s">
        <v>1455</v>
      </c>
      <c r="U171" s="42">
        <v>3.718</v>
      </c>
      <c r="V171" s="44">
        <v>2341.5509999999999</v>
      </c>
      <c r="W171" s="44">
        <v>8705.8880000000008</v>
      </c>
      <c r="X171" s="45">
        <v>6.3E-3</v>
      </c>
      <c r="Y171" s="45">
        <v>1.8090758562805901E-2</v>
      </c>
      <c r="Z171" s="45">
        <v>3.5471538705220099E-3</v>
      </c>
    </row>
    <row r="172" spans="1:26" x14ac:dyDescent="0.25">
      <c r="A172">
        <v>424</v>
      </c>
      <c r="B172">
        <v>7228</v>
      </c>
      <c r="C172" t="s">
        <v>1872</v>
      </c>
      <c r="D172" t="s">
        <v>1873</v>
      </c>
      <c r="E172" t="s">
        <v>613</v>
      </c>
      <c r="F172" t="s">
        <v>1877</v>
      </c>
      <c r="G172">
        <v>620101031</v>
      </c>
      <c r="H172" t="s">
        <v>111</v>
      </c>
      <c r="I172" t="s">
        <v>1668</v>
      </c>
      <c r="J172" t="s">
        <v>1675</v>
      </c>
      <c r="K172" t="s">
        <v>85</v>
      </c>
      <c r="L172" t="s">
        <v>1681</v>
      </c>
      <c r="M172" t="s">
        <v>291</v>
      </c>
      <c r="N172" t="s">
        <v>291</v>
      </c>
      <c r="O172" t="s">
        <v>72</v>
      </c>
      <c r="P172" s="63" t="s">
        <v>1732</v>
      </c>
      <c r="Q172" t="s">
        <v>75</v>
      </c>
      <c r="R172" t="s">
        <v>286</v>
      </c>
      <c r="S172" t="s">
        <v>1671</v>
      </c>
      <c r="T172" s="63" t="s">
        <v>1878</v>
      </c>
      <c r="U172" s="42">
        <v>3.718</v>
      </c>
      <c r="V172" s="44">
        <v>1542.077</v>
      </c>
      <c r="W172" s="44">
        <v>5733.4409999999998</v>
      </c>
      <c r="X172" s="45">
        <v>0</v>
      </c>
      <c r="Y172" s="45">
        <v>1.19140410446951E-2</v>
      </c>
      <c r="Z172" s="45">
        <v>2.3360511201634001E-3</v>
      </c>
    </row>
    <row r="173" spans="1:26" x14ac:dyDescent="0.25">
      <c r="A173">
        <v>424</v>
      </c>
      <c r="B173">
        <v>7228</v>
      </c>
      <c r="C173" t="s">
        <v>1872</v>
      </c>
      <c r="D173" t="s">
        <v>1873</v>
      </c>
      <c r="E173" t="s">
        <v>613</v>
      </c>
      <c r="F173" t="s">
        <v>1879</v>
      </c>
      <c r="G173">
        <v>62014857</v>
      </c>
      <c r="H173" t="s">
        <v>111</v>
      </c>
      <c r="I173" t="s">
        <v>1668</v>
      </c>
      <c r="J173" t="s">
        <v>1875</v>
      </c>
      <c r="K173" t="s">
        <v>85</v>
      </c>
      <c r="L173" t="s">
        <v>1681</v>
      </c>
      <c r="M173" t="s">
        <v>291</v>
      </c>
      <c r="N173" t="s">
        <v>215</v>
      </c>
      <c r="O173" t="s">
        <v>72</v>
      </c>
      <c r="P173" s="63" t="s">
        <v>1880</v>
      </c>
      <c r="Q173" t="s">
        <v>75</v>
      </c>
      <c r="R173" t="s">
        <v>1555</v>
      </c>
      <c r="S173" t="s">
        <v>1671</v>
      </c>
      <c r="T173" s="63" t="s">
        <v>1455</v>
      </c>
      <c r="U173" s="42">
        <v>3.718</v>
      </c>
      <c r="V173" s="44">
        <v>1534.81</v>
      </c>
      <c r="W173" s="44">
        <v>5706.4219999999996</v>
      </c>
      <c r="X173" s="45">
        <v>1.8E-3</v>
      </c>
      <c r="Y173" s="45">
        <v>1.1857894805372001E-2</v>
      </c>
      <c r="Z173" s="45">
        <v>2.3250422202635598E-3</v>
      </c>
    </row>
    <row r="174" spans="1:26" x14ac:dyDescent="0.25">
      <c r="A174">
        <v>424</v>
      </c>
      <c r="B174">
        <v>7228</v>
      </c>
      <c r="C174" t="s">
        <v>1872</v>
      </c>
      <c r="D174" t="s">
        <v>1873</v>
      </c>
      <c r="E174" t="s">
        <v>613</v>
      </c>
      <c r="F174" t="s">
        <v>1881</v>
      </c>
      <c r="G174">
        <v>62019476</v>
      </c>
      <c r="H174" t="s">
        <v>111</v>
      </c>
      <c r="I174" t="s">
        <v>1668</v>
      </c>
      <c r="J174" t="s">
        <v>1875</v>
      </c>
      <c r="K174" t="s">
        <v>85</v>
      </c>
      <c r="L174" t="s">
        <v>1681</v>
      </c>
      <c r="M174" t="s">
        <v>291</v>
      </c>
      <c r="N174" t="s">
        <v>215</v>
      </c>
      <c r="O174" t="s">
        <v>72</v>
      </c>
      <c r="P174" s="63" t="s">
        <v>1785</v>
      </c>
      <c r="Q174" t="s">
        <v>75</v>
      </c>
      <c r="R174" t="s">
        <v>286</v>
      </c>
      <c r="S174" t="s">
        <v>1671</v>
      </c>
      <c r="T174" s="63" t="s">
        <v>1455</v>
      </c>
      <c r="U174" s="42">
        <v>3.718</v>
      </c>
      <c r="V174" s="44">
        <v>1281.771</v>
      </c>
      <c r="W174" s="44">
        <v>4765.625</v>
      </c>
      <c r="X174" s="45">
        <v>1.212E-3</v>
      </c>
      <c r="Y174" s="45">
        <v>9.9029273774395004E-3</v>
      </c>
      <c r="Z174" s="45">
        <v>1.94172107567692E-3</v>
      </c>
    </row>
    <row r="175" spans="1:26" x14ac:dyDescent="0.25">
      <c r="A175">
        <v>424</v>
      </c>
      <c r="B175">
        <v>7228</v>
      </c>
      <c r="C175" t="s">
        <v>1882</v>
      </c>
      <c r="D175" t="s">
        <v>1883</v>
      </c>
      <c r="E175" t="s">
        <v>111</v>
      </c>
      <c r="F175" t="s">
        <v>1884</v>
      </c>
      <c r="G175">
        <v>62022074</v>
      </c>
      <c r="H175" t="s">
        <v>111</v>
      </c>
      <c r="I175" t="s">
        <v>1668</v>
      </c>
      <c r="J175" t="s">
        <v>1675</v>
      </c>
      <c r="K175" t="s">
        <v>85</v>
      </c>
      <c r="L175" t="s">
        <v>1681</v>
      </c>
      <c r="M175" t="s">
        <v>291</v>
      </c>
      <c r="N175" t="s">
        <v>215</v>
      </c>
      <c r="O175" t="s">
        <v>72</v>
      </c>
      <c r="P175" s="63" t="s">
        <v>1885</v>
      </c>
      <c r="Q175" t="s">
        <v>75</v>
      </c>
      <c r="R175" t="s">
        <v>286</v>
      </c>
      <c r="S175" t="s">
        <v>1481</v>
      </c>
      <c r="T175" s="63" t="s">
        <v>1455</v>
      </c>
      <c r="U175" s="42">
        <v>3.718</v>
      </c>
      <c r="V175" s="44">
        <v>68</v>
      </c>
      <c r="W175" s="44">
        <v>252.82400000000001</v>
      </c>
      <c r="X175" s="45">
        <v>5.3999999999999998E-5</v>
      </c>
      <c r="Y175" s="45">
        <v>5.2536607410342195E-4</v>
      </c>
      <c r="Z175" s="45">
        <v>1.03011396494359E-4</v>
      </c>
    </row>
    <row r="176" spans="1:26" x14ac:dyDescent="0.25">
      <c r="A176">
        <v>424</v>
      </c>
      <c r="B176">
        <v>7228</v>
      </c>
      <c r="C176" t="s">
        <v>1872</v>
      </c>
      <c r="D176" t="s">
        <v>1873</v>
      </c>
      <c r="E176" t="s">
        <v>613</v>
      </c>
      <c r="F176" t="s">
        <v>1886</v>
      </c>
      <c r="G176">
        <v>62020458</v>
      </c>
      <c r="H176" t="s">
        <v>111</v>
      </c>
      <c r="I176" t="s">
        <v>1668</v>
      </c>
      <c r="J176" t="s">
        <v>1788</v>
      </c>
      <c r="K176" t="s">
        <v>85</v>
      </c>
      <c r="L176" t="s">
        <v>1681</v>
      </c>
      <c r="M176" t="s">
        <v>291</v>
      </c>
      <c r="N176" t="s">
        <v>215</v>
      </c>
      <c r="O176" t="s">
        <v>72</v>
      </c>
      <c r="P176" s="63" t="s">
        <v>1887</v>
      </c>
      <c r="Q176" t="s">
        <v>75</v>
      </c>
      <c r="R176" t="s">
        <v>286</v>
      </c>
      <c r="S176" t="s">
        <v>1671</v>
      </c>
      <c r="T176" s="63" t="s">
        <v>1455</v>
      </c>
      <c r="U176" s="42">
        <v>3.718</v>
      </c>
      <c r="V176" s="44">
        <v>990.08799999999997</v>
      </c>
      <c r="W176" s="44">
        <v>3681.1460000000002</v>
      </c>
      <c r="X176" s="45">
        <v>5.0000000000000001E-4</v>
      </c>
      <c r="Y176" s="45">
        <v>7.6493891426291597E-3</v>
      </c>
      <c r="Z176" s="45">
        <v>1.4998575217399701E-3</v>
      </c>
    </row>
    <row r="177" spans="1:26" x14ac:dyDescent="0.25">
      <c r="A177">
        <v>424</v>
      </c>
      <c r="B177">
        <v>7228</v>
      </c>
      <c r="C177" t="s">
        <v>1872</v>
      </c>
      <c r="D177" t="s">
        <v>1873</v>
      </c>
      <c r="E177" t="s">
        <v>613</v>
      </c>
      <c r="F177" t="s">
        <v>1888</v>
      </c>
      <c r="G177">
        <v>62017678</v>
      </c>
      <c r="H177" t="s">
        <v>111</v>
      </c>
      <c r="I177" t="s">
        <v>1668</v>
      </c>
      <c r="J177" t="s">
        <v>1788</v>
      </c>
      <c r="K177" t="s">
        <v>85</v>
      </c>
      <c r="L177" t="s">
        <v>1681</v>
      </c>
      <c r="M177" t="s">
        <v>291</v>
      </c>
      <c r="N177" t="s">
        <v>215</v>
      </c>
      <c r="O177" t="s">
        <v>72</v>
      </c>
      <c r="P177" s="63" t="s">
        <v>1889</v>
      </c>
      <c r="Q177" t="s">
        <v>75</v>
      </c>
      <c r="R177" t="s">
        <v>286</v>
      </c>
      <c r="S177" t="s">
        <v>1671</v>
      </c>
      <c r="T177" s="63" t="s">
        <v>1455</v>
      </c>
      <c r="U177" s="42">
        <v>3.718</v>
      </c>
      <c r="V177" s="44">
        <v>2494.0419999999999</v>
      </c>
      <c r="W177" s="44">
        <v>9272.8469999999998</v>
      </c>
      <c r="X177" s="45">
        <v>4.8500000000000001E-3</v>
      </c>
      <c r="Y177" s="45">
        <v>1.926889546067E-2</v>
      </c>
      <c r="Z177" s="45">
        <v>3.77815760885368E-3</v>
      </c>
    </row>
    <row r="178" spans="1:26" x14ac:dyDescent="0.25">
      <c r="A178">
        <v>424</v>
      </c>
      <c r="B178">
        <v>7228</v>
      </c>
      <c r="C178" t="s">
        <v>1872</v>
      </c>
      <c r="D178" t="s">
        <v>1873</v>
      </c>
      <c r="E178" t="s">
        <v>613</v>
      </c>
      <c r="F178" t="s">
        <v>1890</v>
      </c>
      <c r="G178">
        <v>62019237</v>
      </c>
      <c r="H178" t="s">
        <v>111</v>
      </c>
      <c r="I178" t="s">
        <v>1668</v>
      </c>
      <c r="J178" t="s">
        <v>1832</v>
      </c>
      <c r="K178" t="s">
        <v>85</v>
      </c>
      <c r="L178" t="s">
        <v>1681</v>
      </c>
      <c r="M178" t="s">
        <v>291</v>
      </c>
      <c r="N178" t="s">
        <v>291</v>
      </c>
      <c r="O178" t="s">
        <v>72</v>
      </c>
      <c r="P178" s="63" t="s">
        <v>1891</v>
      </c>
      <c r="Q178" t="s">
        <v>75</v>
      </c>
      <c r="R178" t="s">
        <v>1555</v>
      </c>
      <c r="S178" t="s">
        <v>1671</v>
      </c>
      <c r="T178" s="63" t="s">
        <v>1455</v>
      </c>
      <c r="U178" s="42">
        <v>3.718</v>
      </c>
      <c r="V178" s="44">
        <v>2079.2620000000002</v>
      </c>
      <c r="W178" s="44">
        <v>7730.6959999999999</v>
      </c>
      <c r="X178" s="45">
        <v>3.0000000000000001E-3</v>
      </c>
      <c r="Y178" s="45">
        <v>1.6064318550526799E-2</v>
      </c>
      <c r="Z178" s="45">
        <v>3.1498187058310802E-3</v>
      </c>
    </row>
    <row r="179" spans="1:26" x14ac:dyDescent="0.25">
      <c r="A179">
        <v>424</v>
      </c>
      <c r="B179">
        <v>7228</v>
      </c>
      <c r="C179" t="s">
        <v>1882</v>
      </c>
      <c r="D179" t="s">
        <v>1883</v>
      </c>
      <c r="E179" t="s">
        <v>111</v>
      </c>
      <c r="F179" t="s">
        <v>1892</v>
      </c>
      <c r="G179">
        <v>62021845</v>
      </c>
      <c r="H179" t="s">
        <v>111</v>
      </c>
      <c r="I179" t="s">
        <v>1668</v>
      </c>
      <c r="J179" t="s">
        <v>1675</v>
      </c>
      <c r="K179" t="s">
        <v>85</v>
      </c>
      <c r="L179" t="s">
        <v>291</v>
      </c>
      <c r="M179" t="s">
        <v>291</v>
      </c>
      <c r="N179" t="s">
        <v>291</v>
      </c>
      <c r="O179" t="s">
        <v>72</v>
      </c>
      <c r="P179" s="63" t="s">
        <v>1893</v>
      </c>
      <c r="Q179" t="s">
        <v>75</v>
      </c>
      <c r="R179" t="s">
        <v>286</v>
      </c>
      <c r="T179" s="63" t="s">
        <v>1455</v>
      </c>
      <c r="U179" s="42">
        <v>3.718</v>
      </c>
      <c r="V179" s="44">
        <v>311.65800000000002</v>
      </c>
      <c r="W179" s="44">
        <v>1158.7439999999999</v>
      </c>
      <c r="X179" s="45">
        <v>0</v>
      </c>
      <c r="Y179" s="45">
        <v>2.4078608812194702E-3</v>
      </c>
      <c r="Z179" s="45">
        <v>4.7212243836233499E-4</v>
      </c>
    </row>
    <row r="180" spans="1:26" x14ac:dyDescent="0.25">
      <c r="A180">
        <v>424</v>
      </c>
      <c r="B180">
        <v>7228</v>
      </c>
      <c r="C180" t="s">
        <v>2066</v>
      </c>
      <c r="D180" t="s">
        <v>2067</v>
      </c>
      <c r="E180" t="s">
        <v>540</v>
      </c>
      <c r="F180" t="s">
        <v>2068</v>
      </c>
      <c r="G180">
        <v>62001875</v>
      </c>
      <c r="H180" t="s">
        <v>111</v>
      </c>
      <c r="I180" t="s">
        <v>1668</v>
      </c>
      <c r="J180" t="s">
        <v>1675</v>
      </c>
      <c r="K180" t="s">
        <v>85</v>
      </c>
      <c r="L180" t="s">
        <v>1681</v>
      </c>
      <c r="M180" t="s">
        <v>291</v>
      </c>
      <c r="N180" t="s">
        <v>291</v>
      </c>
      <c r="O180" t="s">
        <v>72</v>
      </c>
      <c r="P180" s="63" t="s">
        <v>2069</v>
      </c>
      <c r="Q180" t="s">
        <v>75</v>
      </c>
      <c r="R180" t="s">
        <v>286</v>
      </c>
      <c r="S180" t="s">
        <v>1671</v>
      </c>
      <c r="T180" s="63" t="s">
        <v>1455</v>
      </c>
      <c r="U180" s="42">
        <v>3.718</v>
      </c>
      <c r="V180" s="44">
        <v>170.23400000000001</v>
      </c>
      <c r="W180" s="44">
        <v>632.92899999999997</v>
      </c>
      <c r="X180" s="45">
        <v>7.5900000000000002E-4</v>
      </c>
      <c r="Y180" s="45">
        <v>1.3152203893742301E-3</v>
      </c>
      <c r="Z180" s="45">
        <v>2.5788244746961602E-4</v>
      </c>
    </row>
    <row r="181" spans="1:26" x14ac:dyDescent="0.25">
      <c r="A181">
        <v>424</v>
      </c>
      <c r="B181">
        <v>7228</v>
      </c>
      <c r="C181" t="s">
        <v>1894</v>
      </c>
      <c r="D181" t="s">
        <v>1895</v>
      </c>
      <c r="E181" t="s">
        <v>613</v>
      </c>
      <c r="F181" t="s">
        <v>1896</v>
      </c>
      <c r="G181">
        <v>62020565</v>
      </c>
      <c r="H181" t="s">
        <v>111</v>
      </c>
      <c r="I181" t="s">
        <v>1668</v>
      </c>
      <c r="J181" t="s">
        <v>1675</v>
      </c>
      <c r="K181" t="s">
        <v>85</v>
      </c>
      <c r="L181" t="s">
        <v>604</v>
      </c>
      <c r="M181" t="s">
        <v>604</v>
      </c>
      <c r="N181" t="s">
        <v>1199</v>
      </c>
      <c r="O181" t="s">
        <v>72</v>
      </c>
      <c r="P181" s="63" t="s">
        <v>1670</v>
      </c>
      <c r="Q181" t="s">
        <v>77</v>
      </c>
      <c r="R181" t="s">
        <v>286</v>
      </c>
      <c r="S181" t="s">
        <v>1671</v>
      </c>
      <c r="T181" s="63" t="s">
        <v>1455</v>
      </c>
      <c r="U181" s="42">
        <v>4.0218999999999996</v>
      </c>
      <c r="V181" s="44">
        <v>759.78899999999999</v>
      </c>
      <c r="W181" s="44">
        <v>3055.7939999999999</v>
      </c>
      <c r="X181" s="45">
        <v>6.9099999999999999E-4</v>
      </c>
      <c r="Y181" s="45">
        <v>6.34991413542916E-3</v>
      </c>
      <c r="Z181" s="45">
        <v>1.2450623573783701E-3</v>
      </c>
    </row>
    <row r="182" spans="1:26" x14ac:dyDescent="0.25">
      <c r="A182">
        <v>424</v>
      </c>
      <c r="B182">
        <v>7228</v>
      </c>
      <c r="C182" t="s">
        <v>1897</v>
      </c>
      <c r="D182" t="s">
        <v>1898</v>
      </c>
      <c r="E182" t="s">
        <v>540</v>
      </c>
      <c r="F182" t="s">
        <v>1899</v>
      </c>
      <c r="G182">
        <v>62017702</v>
      </c>
      <c r="H182" t="s">
        <v>111</v>
      </c>
      <c r="I182" t="s">
        <v>1668</v>
      </c>
      <c r="J182" t="s">
        <v>1900</v>
      </c>
      <c r="K182" t="s">
        <v>85</v>
      </c>
      <c r="L182" t="s">
        <v>291</v>
      </c>
      <c r="M182" t="s">
        <v>291</v>
      </c>
      <c r="N182" t="s">
        <v>291</v>
      </c>
      <c r="O182" t="s">
        <v>72</v>
      </c>
      <c r="P182" s="63" t="s">
        <v>1901</v>
      </c>
      <c r="Q182" t="s">
        <v>75</v>
      </c>
      <c r="R182" t="s">
        <v>1555</v>
      </c>
      <c r="S182" t="s">
        <v>1671</v>
      </c>
      <c r="T182" s="63" t="s">
        <v>1455</v>
      </c>
      <c r="U182" s="42">
        <v>3.718</v>
      </c>
      <c r="V182" s="44">
        <v>2031.66</v>
      </c>
      <c r="W182" s="44">
        <v>7553.7120000000004</v>
      </c>
      <c r="X182" s="45">
        <v>0</v>
      </c>
      <c r="Y182" s="45">
        <v>1.5696547866546999E-2</v>
      </c>
      <c r="Z182" s="45">
        <v>3.07770789850288E-3</v>
      </c>
    </row>
    <row r="183" spans="1:26" x14ac:dyDescent="0.25">
      <c r="A183">
        <v>424</v>
      </c>
      <c r="B183">
        <v>7228</v>
      </c>
      <c r="C183" t="s">
        <v>1902</v>
      </c>
      <c r="D183" t="s">
        <v>1903</v>
      </c>
      <c r="E183" t="s">
        <v>540</v>
      </c>
      <c r="F183" t="s">
        <v>2070</v>
      </c>
      <c r="G183">
        <v>62006754</v>
      </c>
      <c r="H183" t="s">
        <v>111</v>
      </c>
      <c r="I183" t="s">
        <v>1668</v>
      </c>
      <c r="J183" t="s">
        <v>1739</v>
      </c>
      <c r="K183" t="s">
        <v>85</v>
      </c>
      <c r="L183" t="s">
        <v>291</v>
      </c>
      <c r="M183" t="s">
        <v>291</v>
      </c>
      <c r="N183" t="s">
        <v>215</v>
      </c>
      <c r="O183" t="s">
        <v>72</v>
      </c>
      <c r="P183" s="63" t="s">
        <v>2071</v>
      </c>
      <c r="Q183" t="s">
        <v>75</v>
      </c>
      <c r="R183" t="s">
        <v>1555</v>
      </c>
      <c r="S183" t="s">
        <v>1671</v>
      </c>
      <c r="T183" s="63" t="s">
        <v>1455</v>
      </c>
      <c r="U183" s="42">
        <v>3.718</v>
      </c>
      <c r="V183" s="44">
        <v>790.23</v>
      </c>
      <c r="W183" s="44">
        <v>2938.076</v>
      </c>
      <c r="X183" s="45">
        <v>3.4400000000000001E-4</v>
      </c>
      <c r="Y183" s="45">
        <v>6.1052954779505899E-3</v>
      </c>
      <c r="Z183" s="45">
        <v>1.19709864072909E-3</v>
      </c>
    </row>
    <row r="184" spans="1:26" x14ac:dyDescent="0.25">
      <c r="A184">
        <v>424</v>
      </c>
      <c r="B184">
        <v>7228</v>
      </c>
      <c r="C184" t="s">
        <v>1902</v>
      </c>
      <c r="D184" t="s">
        <v>1903</v>
      </c>
      <c r="E184" t="s">
        <v>540</v>
      </c>
      <c r="F184" t="s">
        <v>1904</v>
      </c>
      <c r="G184">
        <v>62022231</v>
      </c>
      <c r="H184" t="s">
        <v>111</v>
      </c>
      <c r="I184" t="s">
        <v>1668</v>
      </c>
      <c r="J184" t="s">
        <v>1675</v>
      </c>
      <c r="K184" t="s">
        <v>85</v>
      </c>
      <c r="O184" t="s">
        <v>72</v>
      </c>
      <c r="P184" s="63" t="s">
        <v>1905</v>
      </c>
      <c r="Q184" t="s">
        <v>75</v>
      </c>
      <c r="R184" t="s">
        <v>286</v>
      </c>
      <c r="T184" s="63" t="s">
        <v>1455</v>
      </c>
      <c r="U184" s="42">
        <v>3.718</v>
      </c>
      <c r="V184" s="44">
        <v>161.97399999999999</v>
      </c>
      <c r="W184" s="44">
        <v>602.21900000000005</v>
      </c>
      <c r="X184" s="45">
        <v>49083.030303</v>
      </c>
      <c r="Y184" s="45">
        <v>1.2514065365709899E-3</v>
      </c>
      <c r="Z184" s="45">
        <v>2.4537011670260598E-4</v>
      </c>
    </row>
    <row r="185" spans="1:26" x14ac:dyDescent="0.25">
      <c r="A185">
        <v>424</v>
      </c>
      <c r="B185">
        <v>7228</v>
      </c>
      <c r="C185" t="s">
        <v>1906</v>
      </c>
      <c r="D185" t="s">
        <v>1907</v>
      </c>
      <c r="E185" t="s">
        <v>613</v>
      </c>
      <c r="F185" t="s">
        <v>1908</v>
      </c>
      <c r="G185">
        <v>77847846</v>
      </c>
      <c r="H185" t="s">
        <v>111</v>
      </c>
      <c r="I185" t="s">
        <v>1668</v>
      </c>
      <c r="J185" t="s">
        <v>1675</v>
      </c>
      <c r="K185" t="s">
        <v>85</v>
      </c>
      <c r="L185" t="s">
        <v>1353</v>
      </c>
      <c r="M185" t="s">
        <v>1353</v>
      </c>
      <c r="N185" t="s">
        <v>291</v>
      </c>
      <c r="O185" t="s">
        <v>72</v>
      </c>
      <c r="P185" s="63" t="s">
        <v>1909</v>
      </c>
      <c r="Q185" t="s">
        <v>75</v>
      </c>
      <c r="R185" t="s">
        <v>1555</v>
      </c>
      <c r="S185" t="s">
        <v>1671</v>
      </c>
      <c r="T185" s="63" t="s">
        <v>1455</v>
      </c>
      <c r="U185" s="42">
        <v>3.718</v>
      </c>
      <c r="V185" s="44">
        <v>5353.3289999999997</v>
      </c>
      <c r="W185" s="44">
        <v>19903.678</v>
      </c>
      <c r="X185" s="45">
        <v>9.9999999999999995E-7</v>
      </c>
      <c r="Y185" s="45">
        <v>4.13596689137656E-2</v>
      </c>
      <c r="Z185" s="45">
        <v>8.1096162530521505E-3</v>
      </c>
    </row>
    <row r="186" spans="1:26" x14ac:dyDescent="0.25">
      <c r="A186">
        <v>424</v>
      </c>
      <c r="B186">
        <v>7228</v>
      </c>
      <c r="C186" t="s">
        <v>1910</v>
      </c>
      <c r="D186" t="s">
        <v>1911</v>
      </c>
      <c r="E186" t="s">
        <v>540</v>
      </c>
      <c r="F186" t="s">
        <v>1912</v>
      </c>
      <c r="G186">
        <v>62019013</v>
      </c>
      <c r="H186" t="s">
        <v>111</v>
      </c>
      <c r="I186" t="s">
        <v>1668</v>
      </c>
      <c r="J186" t="s">
        <v>1695</v>
      </c>
      <c r="K186" t="s">
        <v>85</v>
      </c>
      <c r="L186" t="s">
        <v>291</v>
      </c>
      <c r="M186" t="s">
        <v>291</v>
      </c>
      <c r="N186" t="s">
        <v>291</v>
      </c>
      <c r="O186" t="s">
        <v>72</v>
      </c>
      <c r="P186" s="63" t="s">
        <v>1913</v>
      </c>
      <c r="Q186" t="s">
        <v>75</v>
      </c>
      <c r="R186" t="s">
        <v>1555</v>
      </c>
      <c r="S186" t="s">
        <v>1671</v>
      </c>
      <c r="T186" s="63" t="s">
        <v>1455</v>
      </c>
      <c r="U186" s="42">
        <v>3.718</v>
      </c>
      <c r="V186" s="44">
        <v>3306.7289999999998</v>
      </c>
      <c r="W186" s="44">
        <v>12294.416999999999</v>
      </c>
      <c r="X186" s="45">
        <v>4.37E-4</v>
      </c>
      <c r="Y186" s="45">
        <v>2.5547691316631701E-2</v>
      </c>
      <c r="Z186" s="45">
        <v>5.0092754166211296E-3</v>
      </c>
    </row>
    <row r="187" spans="1:26" x14ac:dyDescent="0.25">
      <c r="A187">
        <v>424</v>
      </c>
      <c r="B187">
        <v>7228</v>
      </c>
      <c r="C187" t="s">
        <v>1914</v>
      </c>
      <c r="D187" t="s">
        <v>1915</v>
      </c>
      <c r="E187" t="s">
        <v>540</v>
      </c>
      <c r="F187" t="s">
        <v>1916</v>
      </c>
      <c r="G187">
        <v>62006705</v>
      </c>
      <c r="H187" t="s">
        <v>111</v>
      </c>
      <c r="I187" t="s">
        <v>1668</v>
      </c>
      <c r="J187" t="s">
        <v>1695</v>
      </c>
      <c r="K187" t="s">
        <v>85</v>
      </c>
      <c r="L187" t="s">
        <v>291</v>
      </c>
      <c r="M187" t="s">
        <v>291</v>
      </c>
      <c r="N187" t="s">
        <v>215</v>
      </c>
      <c r="O187" t="s">
        <v>72</v>
      </c>
      <c r="P187" s="63" t="s">
        <v>1917</v>
      </c>
      <c r="Q187" t="s">
        <v>75</v>
      </c>
      <c r="R187" t="s">
        <v>1555</v>
      </c>
      <c r="S187" t="s">
        <v>1671</v>
      </c>
      <c r="T187" s="63" t="s">
        <v>1455</v>
      </c>
      <c r="U187" s="42">
        <v>3.718</v>
      </c>
      <c r="V187" s="44">
        <v>1174.7529999999999</v>
      </c>
      <c r="W187" s="44">
        <v>4367.732</v>
      </c>
      <c r="X187" s="45">
        <v>2.4599999999999999E-3</v>
      </c>
      <c r="Y187" s="45">
        <v>9.0761083988983703E-3</v>
      </c>
      <c r="Z187" s="45">
        <v>1.7796021612173001E-3</v>
      </c>
    </row>
    <row r="188" spans="1:26" x14ac:dyDescent="0.25">
      <c r="A188">
        <v>424</v>
      </c>
      <c r="B188">
        <v>7228</v>
      </c>
      <c r="C188" t="s">
        <v>1918</v>
      </c>
      <c r="D188" t="s">
        <v>1919</v>
      </c>
      <c r="E188" t="s">
        <v>540</v>
      </c>
      <c r="F188" t="s">
        <v>1920</v>
      </c>
      <c r="G188">
        <v>62017652</v>
      </c>
      <c r="H188" t="s">
        <v>111</v>
      </c>
      <c r="I188" t="s">
        <v>1668</v>
      </c>
      <c r="J188" t="s">
        <v>1921</v>
      </c>
      <c r="K188" t="s">
        <v>85</v>
      </c>
      <c r="L188" t="s">
        <v>1681</v>
      </c>
      <c r="M188" t="s">
        <v>291</v>
      </c>
      <c r="N188" t="s">
        <v>215</v>
      </c>
      <c r="O188" t="s">
        <v>72</v>
      </c>
      <c r="P188" s="63" t="s">
        <v>1922</v>
      </c>
      <c r="Q188" t="s">
        <v>75</v>
      </c>
      <c r="R188" t="s">
        <v>286</v>
      </c>
      <c r="S188" t="s">
        <v>1671</v>
      </c>
      <c r="T188" s="63" t="s">
        <v>1455</v>
      </c>
      <c r="U188" s="42">
        <v>3.718</v>
      </c>
      <c r="V188" s="44">
        <v>2002.3389999999999</v>
      </c>
      <c r="W188" s="44">
        <v>7444.6949999999997</v>
      </c>
      <c r="X188" s="45">
        <v>6.0899999999999995E-4</v>
      </c>
      <c r="Y188" s="45">
        <v>1.5470011146405701E-2</v>
      </c>
      <c r="Z188" s="45">
        <v>3.03328960609824E-3</v>
      </c>
    </row>
    <row r="189" spans="1:26" x14ac:dyDescent="0.25">
      <c r="A189">
        <v>424</v>
      </c>
      <c r="B189">
        <v>7228</v>
      </c>
      <c r="C189" t="s">
        <v>1923</v>
      </c>
      <c r="D189" t="s">
        <v>1924</v>
      </c>
      <c r="E189" t="s">
        <v>540</v>
      </c>
      <c r="F189" t="s">
        <v>1925</v>
      </c>
      <c r="G189">
        <v>62021142</v>
      </c>
      <c r="H189" t="s">
        <v>111</v>
      </c>
      <c r="I189" t="s">
        <v>1668</v>
      </c>
      <c r="J189" t="s">
        <v>1921</v>
      </c>
      <c r="K189" t="s">
        <v>85</v>
      </c>
      <c r="L189" t="s">
        <v>1681</v>
      </c>
      <c r="M189" t="s">
        <v>291</v>
      </c>
      <c r="N189" t="s">
        <v>215</v>
      </c>
      <c r="O189" t="s">
        <v>72</v>
      </c>
      <c r="P189" s="63" t="s">
        <v>1926</v>
      </c>
      <c r="Q189" t="s">
        <v>75</v>
      </c>
      <c r="R189" t="s">
        <v>1555</v>
      </c>
      <c r="S189" t="s">
        <v>1671</v>
      </c>
      <c r="T189" s="63" t="s">
        <v>1455</v>
      </c>
      <c r="U189" s="42">
        <v>3.718</v>
      </c>
      <c r="V189" s="44">
        <v>2331.7750000000001</v>
      </c>
      <c r="W189" s="44">
        <v>8669.5390000000007</v>
      </c>
      <c r="X189" s="45">
        <v>5.6800000000000004E-4</v>
      </c>
      <c r="Y189" s="45">
        <v>1.8015226836851399E-2</v>
      </c>
      <c r="Z189" s="45">
        <v>3.5323439523454901E-3</v>
      </c>
    </row>
    <row r="190" spans="1:26" x14ac:dyDescent="0.25">
      <c r="A190">
        <v>424</v>
      </c>
      <c r="B190">
        <v>7228</v>
      </c>
      <c r="C190" t="s">
        <v>1927</v>
      </c>
      <c r="D190" t="s">
        <v>1928</v>
      </c>
      <c r="E190" t="s">
        <v>540</v>
      </c>
      <c r="F190" t="s">
        <v>1929</v>
      </c>
      <c r="G190">
        <v>62020953</v>
      </c>
      <c r="H190" t="s">
        <v>111</v>
      </c>
      <c r="I190" t="s">
        <v>1668</v>
      </c>
      <c r="J190" t="s">
        <v>1675</v>
      </c>
      <c r="K190" t="s">
        <v>85</v>
      </c>
      <c r="L190" t="s">
        <v>1681</v>
      </c>
      <c r="M190" t="s">
        <v>71</v>
      </c>
      <c r="N190" t="s">
        <v>215</v>
      </c>
      <c r="O190" t="s">
        <v>72</v>
      </c>
      <c r="P190" s="63" t="s">
        <v>1930</v>
      </c>
      <c r="Q190" t="s">
        <v>75</v>
      </c>
      <c r="R190" t="s">
        <v>286</v>
      </c>
      <c r="S190" t="s">
        <v>1671</v>
      </c>
      <c r="T190" s="63" t="s">
        <v>1455</v>
      </c>
      <c r="U190" s="42">
        <v>3.718</v>
      </c>
      <c r="V190" s="44">
        <v>1238.4459999999999</v>
      </c>
      <c r="W190" s="44">
        <v>4604.5420000000004</v>
      </c>
      <c r="X190" s="45">
        <v>6.0000000000000001E-3</v>
      </c>
      <c r="Y190" s="45">
        <v>9.5681979481246904E-3</v>
      </c>
      <c r="Z190" s="45">
        <v>1.8760888476722401E-3</v>
      </c>
    </row>
    <row r="191" spans="1:26" x14ac:dyDescent="0.25">
      <c r="A191">
        <v>424</v>
      </c>
      <c r="B191">
        <v>7228</v>
      </c>
      <c r="C191" t="s">
        <v>1931</v>
      </c>
      <c r="D191" t="s">
        <v>1932</v>
      </c>
      <c r="E191" t="s">
        <v>111</v>
      </c>
      <c r="F191" t="s">
        <v>1933</v>
      </c>
      <c r="G191">
        <v>62021951</v>
      </c>
      <c r="H191" t="s">
        <v>111</v>
      </c>
      <c r="I191" t="s">
        <v>1668</v>
      </c>
      <c r="J191" t="s">
        <v>1675</v>
      </c>
      <c r="K191" t="s">
        <v>85</v>
      </c>
      <c r="L191" t="s">
        <v>291</v>
      </c>
      <c r="M191" t="s">
        <v>291</v>
      </c>
      <c r="N191" t="s">
        <v>215</v>
      </c>
      <c r="O191" t="s">
        <v>72</v>
      </c>
      <c r="P191" s="63" t="s">
        <v>1934</v>
      </c>
      <c r="Q191" t="s">
        <v>75</v>
      </c>
      <c r="R191" t="s">
        <v>286</v>
      </c>
      <c r="S191" t="s">
        <v>1481</v>
      </c>
      <c r="T191" s="63" t="s">
        <v>1455</v>
      </c>
      <c r="U191" s="42">
        <v>3.718</v>
      </c>
      <c r="V191" s="44">
        <v>486.02600000000001</v>
      </c>
      <c r="W191" s="44">
        <v>1807.0440000000001</v>
      </c>
      <c r="X191" s="45">
        <v>0</v>
      </c>
      <c r="Y191" s="45">
        <v>3.7550213435596398E-3</v>
      </c>
      <c r="Z191" s="45">
        <v>7.3626755044341598E-4</v>
      </c>
    </row>
    <row r="192" spans="1:26" x14ac:dyDescent="0.25">
      <c r="A192">
        <v>424</v>
      </c>
      <c r="B192">
        <v>7228</v>
      </c>
      <c r="C192" t="s">
        <v>1935</v>
      </c>
      <c r="D192" t="s">
        <v>1936</v>
      </c>
      <c r="E192" t="s">
        <v>540</v>
      </c>
      <c r="F192" t="s">
        <v>1937</v>
      </c>
      <c r="G192">
        <v>62020425</v>
      </c>
      <c r="H192" t="s">
        <v>111</v>
      </c>
      <c r="I192" t="s">
        <v>1668</v>
      </c>
      <c r="J192" t="s">
        <v>1739</v>
      </c>
      <c r="K192" t="s">
        <v>85</v>
      </c>
      <c r="L192" t="s">
        <v>291</v>
      </c>
      <c r="M192" t="s">
        <v>291</v>
      </c>
      <c r="N192" t="s">
        <v>291</v>
      </c>
      <c r="O192" t="s">
        <v>72</v>
      </c>
      <c r="P192" s="63" t="s">
        <v>1938</v>
      </c>
      <c r="Q192" t="s">
        <v>75</v>
      </c>
      <c r="R192" t="s">
        <v>1555</v>
      </c>
      <c r="S192" t="s">
        <v>1671</v>
      </c>
      <c r="T192" s="63" t="s">
        <v>1455</v>
      </c>
      <c r="U192" s="42">
        <v>3.718</v>
      </c>
      <c r="V192" s="44">
        <v>4312.4470000000001</v>
      </c>
      <c r="W192" s="44">
        <v>16033.678</v>
      </c>
      <c r="X192" s="45">
        <v>1.052E-3</v>
      </c>
      <c r="Y192" s="45">
        <v>3.3317843702044603E-2</v>
      </c>
      <c r="Z192" s="45">
        <v>6.5328116471653798E-3</v>
      </c>
    </row>
    <row r="193" spans="1:26" x14ac:dyDescent="0.25">
      <c r="A193">
        <v>424</v>
      </c>
      <c r="B193">
        <v>7228</v>
      </c>
      <c r="C193" t="s">
        <v>1939</v>
      </c>
      <c r="D193" t="s">
        <v>1940</v>
      </c>
      <c r="E193" t="s">
        <v>540</v>
      </c>
      <c r="F193" t="s">
        <v>1941</v>
      </c>
      <c r="G193">
        <v>62021332</v>
      </c>
      <c r="H193" t="s">
        <v>111</v>
      </c>
      <c r="I193" t="s">
        <v>1668</v>
      </c>
      <c r="J193" t="s">
        <v>1832</v>
      </c>
      <c r="K193" t="s">
        <v>85</v>
      </c>
      <c r="L193" t="s">
        <v>1681</v>
      </c>
      <c r="M193" t="s">
        <v>291</v>
      </c>
      <c r="N193" t="s">
        <v>291</v>
      </c>
      <c r="O193" t="s">
        <v>72</v>
      </c>
      <c r="P193" s="63" t="s">
        <v>1942</v>
      </c>
      <c r="Q193" t="s">
        <v>75</v>
      </c>
      <c r="R193" t="s">
        <v>1555</v>
      </c>
      <c r="S193" t="s">
        <v>1671</v>
      </c>
      <c r="T193" s="63" t="s">
        <v>1455</v>
      </c>
      <c r="U193" s="42">
        <v>3.718</v>
      </c>
      <c r="V193" s="44">
        <v>2598.3530000000001</v>
      </c>
      <c r="W193" s="44">
        <v>9660.6749999999993</v>
      </c>
      <c r="X193" s="45">
        <v>0</v>
      </c>
      <c r="Y193" s="45">
        <v>2.0074799108494901E-2</v>
      </c>
      <c r="Z193" s="45">
        <v>3.9361755401485597E-3</v>
      </c>
    </row>
    <row r="194" spans="1:26" x14ac:dyDescent="0.25">
      <c r="A194">
        <v>424</v>
      </c>
      <c r="B194">
        <v>7228</v>
      </c>
      <c r="C194" t="s">
        <v>1943</v>
      </c>
      <c r="D194" t="s">
        <v>1944</v>
      </c>
      <c r="E194" t="s">
        <v>540</v>
      </c>
      <c r="F194" t="s">
        <v>1945</v>
      </c>
      <c r="G194">
        <v>62021324</v>
      </c>
      <c r="H194" t="s">
        <v>111</v>
      </c>
      <c r="I194" t="s">
        <v>1668</v>
      </c>
      <c r="J194" t="s">
        <v>1832</v>
      </c>
      <c r="K194" t="s">
        <v>85</v>
      </c>
      <c r="L194" t="s">
        <v>1681</v>
      </c>
      <c r="M194" t="s">
        <v>291</v>
      </c>
      <c r="N194" t="s">
        <v>291</v>
      </c>
      <c r="O194" t="s">
        <v>72</v>
      </c>
      <c r="P194" s="63" t="s">
        <v>1942</v>
      </c>
      <c r="Q194" t="s">
        <v>75</v>
      </c>
      <c r="R194" t="s">
        <v>1555</v>
      </c>
      <c r="S194" t="s">
        <v>1671</v>
      </c>
      <c r="T194" s="63" t="s">
        <v>1455</v>
      </c>
      <c r="U194" s="42">
        <v>3.718</v>
      </c>
      <c r="V194" s="44">
        <v>1042.0650000000001</v>
      </c>
      <c r="W194" s="44">
        <v>3874.3989999999999</v>
      </c>
      <c r="X194" s="45">
        <v>0</v>
      </c>
      <c r="Y194" s="45">
        <v>8.0509684703873406E-3</v>
      </c>
      <c r="Z194" s="45">
        <v>1.5785973745677899E-3</v>
      </c>
    </row>
    <row r="195" spans="1:26" x14ac:dyDescent="0.25">
      <c r="A195">
        <v>424</v>
      </c>
      <c r="B195">
        <v>7228</v>
      </c>
      <c r="C195" t="s">
        <v>1946</v>
      </c>
      <c r="E195" t="s">
        <v>613</v>
      </c>
      <c r="F195" t="s">
        <v>1947</v>
      </c>
      <c r="G195">
        <v>62021894</v>
      </c>
      <c r="H195" t="s">
        <v>111</v>
      </c>
      <c r="I195" t="s">
        <v>1668</v>
      </c>
      <c r="J195" t="s">
        <v>1675</v>
      </c>
      <c r="K195" t="s">
        <v>85</v>
      </c>
      <c r="L195" t="s">
        <v>1353</v>
      </c>
      <c r="M195" t="s">
        <v>604</v>
      </c>
      <c r="N195" t="s">
        <v>215</v>
      </c>
      <c r="O195" t="s">
        <v>72</v>
      </c>
      <c r="P195" s="63" t="s">
        <v>1948</v>
      </c>
      <c r="Q195" t="s">
        <v>75</v>
      </c>
      <c r="R195" t="s">
        <v>286</v>
      </c>
      <c r="T195" s="63" t="s">
        <v>1455</v>
      </c>
      <c r="U195" s="42">
        <v>3.718</v>
      </c>
      <c r="V195" s="44">
        <v>174.001</v>
      </c>
      <c r="W195" s="44">
        <v>646.93499999999995</v>
      </c>
      <c r="X195" s="45">
        <v>1.0399999999999999E-4</v>
      </c>
      <c r="Y195" s="45">
        <v>1.3443261296087201E-3</v>
      </c>
      <c r="Z195" s="45">
        <v>2.6358936897701002E-4</v>
      </c>
    </row>
    <row r="196" spans="1:26" x14ac:dyDescent="0.25">
      <c r="A196">
        <v>424</v>
      </c>
      <c r="B196">
        <v>7228</v>
      </c>
      <c r="C196" t="s">
        <v>1949</v>
      </c>
      <c r="D196" t="s">
        <v>1950</v>
      </c>
      <c r="E196" t="s">
        <v>613</v>
      </c>
      <c r="F196" t="s">
        <v>1951</v>
      </c>
      <c r="G196">
        <v>62021571</v>
      </c>
      <c r="H196" t="s">
        <v>111</v>
      </c>
      <c r="I196" t="s">
        <v>1668</v>
      </c>
      <c r="J196" t="s">
        <v>1675</v>
      </c>
      <c r="K196" t="s">
        <v>85</v>
      </c>
      <c r="L196" t="s">
        <v>1353</v>
      </c>
      <c r="M196" t="s">
        <v>604</v>
      </c>
      <c r="N196" t="s">
        <v>1199</v>
      </c>
      <c r="O196" t="s">
        <v>72</v>
      </c>
      <c r="P196" s="63" t="s">
        <v>1952</v>
      </c>
      <c r="Q196" t="s">
        <v>77</v>
      </c>
      <c r="R196" t="s">
        <v>286</v>
      </c>
      <c r="S196" t="s">
        <v>1671</v>
      </c>
      <c r="T196" s="63" t="s">
        <v>1455</v>
      </c>
      <c r="U196" s="42">
        <v>4.0218999999999996</v>
      </c>
      <c r="V196" s="44">
        <v>917.51400000000001</v>
      </c>
      <c r="W196" s="44">
        <v>3690.1489999999999</v>
      </c>
      <c r="X196" s="45">
        <v>3.5490000000000001E-3</v>
      </c>
      <c r="Y196" s="45">
        <v>7.6680984937161399E-3</v>
      </c>
      <c r="Z196" s="45">
        <v>1.50352596642639E-3</v>
      </c>
    </row>
    <row r="197" spans="1:26" x14ac:dyDescent="0.25">
      <c r="A197">
        <v>424</v>
      </c>
      <c r="B197">
        <v>7228</v>
      </c>
      <c r="C197" t="s">
        <v>1953</v>
      </c>
      <c r="D197" t="s">
        <v>1954</v>
      </c>
      <c r="E197" t="s">
        <v>540</v>
      </c>
      <c r="F197" t="s">
        <v>1955</v>
      </c>
      <c r="G197">
        <v>62019849</v>
      </c>
      <c r="H197" t="s">
        <v>111</v>
      </c>
      <c r="I197" t="s">
        <v>1668</v>
      </c>
      <c r="J197" t="s">
        <v>1675</v>
      </c>
      <c r="K197" t="s">
        <v>85</v>
      </c>
      <c r="L197" t="s">
        <v>1353</v>
      </c>
      <c r="M197" t="s">
        <v>604</v>
      </c>
      <c r="N197" t="s">
        <v>291</v>
      </c>
      <c r="O197" t="s">
        <v>72</v>
      </c>
      <c r="P197" s="63" t="s">
        <v>1956</v>
      </c>
      <c r="Q197" t="s">
        <v>75</v>
      </c>
      <c r="R197" t="s">
        <v>1555</v>
      </c>
      <c r="S197" t="s">
        <v>1671</v>
      </c>
      <c r="T197" s="63" t="s">
        <v>1455</v>
      </c>
      <c r="U197" s="42">
        <v>3.718</v>
      </c>
      <c r="V197" s="44">
        <v>2128.5940000000001</v>
      </c>
      <c r="W197" s="44">
        <v>7914.1139999999996</v>
      </c>
      <c r="X197" s="45">
        <v>7.3850000000000001E-3</v>
      </c>
      <c r="Y197" s="45">
        <v>1.6445460456746899E-2</v>
      </c>
      <c r="Z197" s="45">
        <v>3.2245512817577898E-3</v>
      </c>
    </row>
    <row r="198" spans="1:26" x14ac:dyDescent="0.25">
      <c r="A198">
        <v>424</v>
      </c>
      <c r="B198">
        <v>7228</v>
      </c>
      <c r="C198" t="s">
        <v>1957</v>
      </c>
      <c r="D198" t="s">
        <v>1958</v>
      </c>
      <c r="E198" t="s">
        <v>540</v>
      </c>
      <c r="F198" t="s">
        <v>1959</v>
      </c>
      <c r="G198">
        <v>62021944</v>
      </c>
      <c r="H198" t="s">
        <v>111</v>
      </c>
      <c r="I198" t="s">
        <v>1668</v>
      </c>
      <c r="J198" t="s">
        <v>1675</v>
      </c>
      <c r="K198" t="s">
        <v>85</v>
      </c>
      <c r="L198" t="s">
        <v>1353</v>
      </c>
      <c r="M198" t="s">
        <v>604</v>
      </c>
      <c r="N198" t="s">
        <v>215</v>
      </c>
      <c r="O198" t="s">
        <v>72</v>
      </c>
      <c r="P198" s="63" t="s">
        <v>1960</v>
      </c>
      <c r="Q198" t="s">
        <v>75</v>
      </c>
      <c r="R198" t="s">
        <v>286</v>
      </c>
      <c r="T198" s="63" t="s">
        <v>1455</v>
      </c>
      <c r="U198" s="42">
        <v>3.718</v>
      </c>
      <c r="V198" s="44">
        <v>262.19400000000002</v>
      </c>
      <c r="W198" s="44">
        <v>974.83699999999999</v>
      </c>
      <c r="X198" s="45">
        <v>0</v>
      </c>
      <c r="Y198" s="45">
        <v>2.0257034184681202E-3</v>
      </c>
      <c r="Z198" s="45">
        <v>3.9719073671802899E-4</v>
      </c>
    </row>
    <row r="199" spans="1:26" x14ac:dyDescent="0.25">
      <c r="A199">
        <v>424</v>
      </c>
      <c r="B199">
        <v>7228</v>
      </c>
      <c r="C199" t="s">
        <v>1961</v>
      </c>
      <c r="D199" t="s">
        <v>1962</v>
      </c>
      <c r="E199" t="s">
        <v>540</v>
      </c>
      <c r="F199" t="s">
        <v>1963</v>
      </c>
      <c r="G199">
        <v>62009204</v>
      </c>
      <c r="H199" t="s">
        <v>111</v>
      </c>
      <c r="I199" t="s">
        <v>1668</v>
      </c>
      <c r="J199" t="s">
        <v>1680</v>
      </c>
      <c r="K199" t="s">
        <v>85</v>
      </c>
      <c r="L199" t="s">
        <v>1353</v>
      </c>
      <c r="M199" t="s">
        <v>604</v>
      </c>
      <c r="N199" t="s">
        <v>215</v>
      </c>
      <c r="O199" t="s">
        <v>72</v>
      </c>
      <c r="P199" s="63" t="s">
        <v>1964</v>
      </c>
      <c r="Q199" t="s">
        <v>75</v>
      </c>
      <c r="R199" t="s">
        <v>286</v>
      </c>
      <c r="S199" t="s">
        <v>1671</v>
      </c>
      <c r="T199" s="63" t="s">
        <v>1455</v>
      </c>
      <c r="U199" s="42">
        <v>3.718</v>
      </c>
      <c r="V199" s="44">
        <v>1821.8</v>
      </c>
      <c r="W199" s="44">
        <v>6773.451</v>
      </c>
      <c r="X199" s="45">
        <v>1.8259999999999999E-3</v>
      </c>
      <c r="Y199" s="45">
        <v>1.4075172283783801E-2</v>
      </c>
      <c r="Z199" s="45">
        <v>2.7597959295822998E-3</v>
      </c>
    </row>
    <row r="200" spans="1:26" x14ac:dyDescent="0.25">
      <c r="A200">
        <v>424</v>
      </c>
      <c r="B200">
        <v>7228</v>
      </c>
      <c r="C200" t="s">
        <v>1965</v>
      </c>
      <c r="D200" t="s">
        <v>1966</v>
      </c>
      <c r="E200" t="s">
        <v>540</v>
      </c>
      <c r="F200" t="s">
        <v>1967</v>
      </c>
      <c r="G200">
        <v>62019807</v>
      </c>
      <c r="H200" t="s">
        <v>111</v>
      </c>
      <c r="I200" t="s">
        <v>1668</v>
      </c>
      <c r="J200" t="s">
        <v>1680</v>
      </c>
      <c r="K200" t="s">
        <v>85</v>
      </c>
      <c r="L200" t="s">
        <v>1353</v>
      </c>
      <c r="M200" t="s">
        <v>604</v>
      </c>
      <c r="N200" t="s">
        <v>215</v>
      </c>
      <c r="O200" t="s">
        <v>72</v>
      </c>
      <c r="P200" s="63" t="s">
        <v>1819</v>
      </c>
      <c r="Q200" t="s">
        <v>75</v>
      </c>
      <c r="R200" t="s">
        <v>1555</v>
      </c>
      <c r="S200" t="s">
        <v>1671</v>
      </c>
      <c r="T200" s="63" t="s">
        <v>1455</v>
      </c>
      <c r="U200" s="42">
        <v>3.718</v>
      </c>
      <c r="V200" s="44">
        <v>2702.5160000000001</v>
      </c>
      <c r="W200" s="44">
        <v>10047.955</v>
      </c>
      <c r="X200" s="45">
        <v>1.467E-3</v>
      </c>
      <c r="Y200" s="45">
        <v>2.0879562729940401E-2</v>
      </c>
      <c r="Z200" s="45">
        <v>4.0939699402426999E-3</v>
      </c>
    </row>
    <row r="201" spans="1:26" x14ac:dyDescent="0.25">
      <c r="A201">
        <v>424</v>
      </c>
      <c r="B201">
        <v>7228</v>
      </c>
      <c r="C201" t="s">
        <v>1968</v>
      </c>
      <c r="D201" t="s">
        <v>1962</v>
      </c>
      <c r="E201" t="s">
        <v>540</v>
      </c>
      <c r="F201" t="s">
        <v>1969</v>
      </c>
      <c r="G201">
        <v>62020615</v>
      </c>
      <c r="H201" t="s">
        <v>111</v>
      </c>
      <c r="I201" t="s">
        <v>1668</v>
      </c>
      <c r="J201" t="s">
        <v>1695</v>
      </c>
      <c r="K201" t="s">
        <v>85</v>
      </c>
      <c r="L201" t="s">
        <v>1353</v>
      </c>
      <c r="M201" t="s">
        <v>604</v>
      </c>
      <c r="N201" t="s">
        <v>215</v>
      </c>
      <c r="O201" t="s">
        <v>72</v>
      </c>
      <c r="P201" s="63" t="s">
        <v>1970</v>
      </c>
      <c r="Q201" t="s">
        <v>75</v>
      </c>
      <c r="R201" t="s">
        <v>1555</v>
      </c>
      <c r="S201" t="s">
        <v>1671</v>
      </c>
      <c r="T201" s="63" t="s">
        <v>1455</v>
      </c>
      <c r="U201" s="42">
        <v>3.718</v>
      </c>
      <c r="V201" s="44">
        <v>1817.03</v>
      </c>
      <c r="W201" s="44">
        <v>6755.7179999999998</v>
      </c>
      <c r="X201" s="45">
        <v>0</v>
      </c>
      <c r="Y201" s="45">
        <v>1.40383229560253E-2</v>
      </c>
      <c r="Z201" s="45">
        <v>2.7525706805618701E-3</v>
      </c>
    </row>
    <row r="202" spans="1:26" x14ac:dyDescent="0.25">
      <c r="A202">
        <v>424</v>
      </c>
      <c r="B202">
        <v>7228</v>
      </c>
      <c r="C202" t="s">
        <v>1971</v>
      </c>
      <c r="D202" t="s">
        <v>1972</v>
      </c>
      <c r="E202" t="s">
        <v>540</v>
      </c>
      <c r="F202" t="s">
        <v>1973</v>
      </c>
      <c r="G202">
        <v>62020813</v>
      </c>
      <c r="H202" t="s">
        <v>111</v>
      </c>
      <c r="I202" t="s">
        <v>1668</v>
      </c>
      <c r="J202" t="s">
        <v>1704</v>
      </c>
      <c r="K202" t="s">
        <v>85</v>
      </c>
      <c r="L202" t="s">
        <v>1353</v>
      </c>
      <c r="M202" t="s">
        <v>604</v>
      </c>
      <c r="N202" t="s">
        <v>215</v>
      </c>
      <c r="O202" t="s">
        <v>72</v>
      </c>
      <c r="P202" s="63" t="s">
        <v>1974</v>
      </c>
      <c r="Q202" t="s">
        <v>75</v>
      </c>
      <c r="R202" t="s">
        <v>286</v>
      </c>
      <c r="S202" t="s">
        <v>1671</v>
      </c>
      <c r="T202" s="63" t="s">
        <v>1455</v>
      </c>
      <c r="U202" s="42">
        <v>3.718</v>
      </c>
      <c r="V202" s="44">
        <v>1318.154</v>
      </c>
      <c r="W202" s="44">
        <v>4900.8950000000004</v>
      </c>
      <c r="X202" s="45">
        <v>5.1400000000000003E-4</v>
      </c>
      <c r="Y202" s="45">
        <v>1.0184017813659201E-2</v>
      </c>
      <c r="Z202" s="45">
        <v>1.9968360132480499E-3</v>
      </c>
    </row>
    <row r="203" spans="1:26" x14ac:dyDescent="0.25">
      <c r="A203">
        <v>424</v>
      </c>
      <c r="B203">
        <v>7228</v>
      </c>
      <c r="C203" t="s">
        <v>1975</v>
      </c>
      <c r="D203" t="s">
        <v>1976</v>
      </c>
      <c r="E203" t="s">
        <v>540</v>
      </c>
      <c r="F203" t="s">
        <v>1977</v>
      </c>
      <c r="G203">
        <v>62010137</v>
      </c>
      <c r="H203" t="s">
        <v>111</v>
      </c>
      <c r="I203" t="s">
        <v>1668</v>
      </c>
      <c r="J203" t="s">
        <v>1704</v>
      </c>
      <c r="K203" t="s">
        <v>85</v>
      </c>
      <c r="L203" t="s">
        <v>1353</v>
      </c>
      <c r="M203" t="s">
        <v>604</v>
      </c>
      <c r="N203" t="s">
        <v>215</v>
      </c>
      <c r="O203" t="s">
        <v>72</v>
      </c>
      <c r="P203" s="63" t="s">
        <v>1978</v>
      </c>
      <c r="Q203" t="s">
        <v>75</v>
      </c>
      <c r="R203" t="s">
        <v>1555</v>
      </c>
      <c r="S203" t="s">
        <v>1671</v>
      </c>
      <c r="T203" s="63" t="s">
        <v>1455</v>
      </c>
      <c r="U203" s="42">
        <v>3.718</v>
      </c>
      <c r="V203" s="44">
        <v>1225.703</v>
      </c>
      <c r="W203" s="44">
        <v>4557.165</v>
      </c>
      <c r="X203" s="45">
        <v>5.4600000000000004E-4</v>
      </c>
      <c r="Y203" s="45">
        <v>9.4697488168652404E-3</v>
      </c>
      <c r="Z203" s="45">
        <v>1.8567853886279999E-3</v>
      </c>
    </row>
    <row r="204" spans="1:26" x14ac:dyDescent="0.25">
      <c r="A204">
        <v>424</v>
      </c>
      <c r="B204">
        <v>7228</v>
      </c>
      <c r="C204" t="s">
        <v>1979</v>
      </c>
      <c r="D204" t="s">
        <v>1980</v>
      </c>
      <c r="E204" t="s">
        <v>111</v>
      </c>
      <c r="F204" t="s">
        <v>1981</v>
      </c>
      <c r="G204">
        <v>62006366</v>
      </c>
      <c r="H204" t="s">
        <v>111</v>
      </c>
      <c r="I204" t="s">
        <v>1668</v>
      </c>
      <c r="J204" t="s">
        <v>1982</v>
      </c>
      <c r="K204" t="s">
        <v>85</v>
      </c>
      <c r="L204" t="s">
        <v>71</v>
      </c>
      <c r="M204" t="s">
        <v>71</v>
      </c>
      <c r="N204" t="s">
        <v>291</v>
      </c>
      <c r="O204" t="s">
        <v>72</v>
      </c>
      <c r="P204" s="63" t="s">
        <v>1983</v>
      </c>
      <c r="Q204" t="s">
        <v>75</v>
      </c>
      <c r="R204" t="s">
        <v>1555</v>
      </c>
      <c r="S204" t="s">
        <v>1671</v>
      </c>
      <c r="T204" s="63" t="s">
        <v>1455</v>
      </c>
      <c r="U204" s="42">
        <v>3.718</v>
      </c>
      <c r="V204" s="44">
        <v>203.1</v>
      </c>
      <c r="W204" s="44">
        <v>755.12599999999998</v>
      </c>
      <c r="X204" s="45">
        <v>1.8400000000000001E-3</v>
      </c>
      <c r="Y204" s="45">
        <v>1.56914435333788E-3</v>
      </c>
      <c r="Z204" s="45">
        <v>3.0767070640110001E-4</v>
      </c>
    </row>
    <row r="205" spans="1:26" x14ac:dyDescent="0.25">
      <c r="A205">
        <v>424</v>
      </c>
      <c r="B205">
        <v>7228</v>
      </c>
      <c r="C205" t="s">
        <v>1984</v>
      </c>
      <c r="D205" t="s">
        <v>1985</v>
      </c>
      <c r="E205" t="s">
        <v>540</v>
      </c>
      <c r="F205" t="s">
        <v>1986</v>
      </c>
      <c r="G205">
        <v>62018387</v>
      </c>
      <c r="H205" t="s">
        <v>111</v>
      </c>
      <c r="I205" t="s">
        <v>1668</v>
      </c>
      <c r="J205" t="s">
        <v>1708</v>
      </c>
      <c r="K205" t="s">
        <v>85</v>
      </c>
      <c r="L205" t="s">
        <v>1681</v>
      </c>
      <c r="M205" t="s">
        <v>984</v>
      </c>
      <c r="N205" t="s">
        <v>291</v>
      </c>
      <c r="O205" t="s">
        <v>72</v>
      </c>
      <c r="P205" s="63" t="s">
        <v>1987</v>
      </c>
      <c r="Q205" t="s">
        <v>75</v>
      </c>
      <c r="R205" t="s">
        <v>1555</v>
      </c>
      <c r="S205" t="s">
        <v>1671</v>
      </c>
      <c r="T205" s="63" t="s">
        <v>1455</v>
      </c>
      <c r="U205" s="42">
        <v>3.718</v>
      </c>
      <c r="V205" s="44">
        <v>1001.251</v>
      </c>
      <c r="W205" s="44">
        <v>3722.652</v>
      </c>
      <c r="X205" s="45">
        <v>4.6299999999999998E-4</v>
      </c>
      <c r="Y205" s="45">
        <v>7.7356386965311196E-3</v>
      </c>
      <c r="Z205" s="45">
        <v>1.51676894299917E-3</v>
      </c>
    </row>
    <row r="206" spans="1:26" x14ac:dyDescent="0.25">
      <c r="A206">
        <v>424</v>
      </c>
      <c r="B206">
        <v>7228</v>
      </c>
      <c r="C206" t="s">
        <v>1988</v>
      </c>
      <c r="D206" t="s">
        <v>1989</v>
      </c>
      <c r="E206" t="s">
        <v>613</v>
      </c>
      <c r="F206" t="s">
        <v>1990</v>
      </c>
      <c r="G206">
        <v>62018551</v>
      </c>
      <c r="H206" t="s">
        <v>111</v>
      </c>
      <c r="I206" t="s">
        <v>1668</v>
      </c>
      <c r="J206" t="s">
        <v>1708</v>
      </c>
      <c r="K206" t="s">
        <v>85</v>
      </c>
      <c r="L206" t="s">
        <v>1353</v>
      </c>
      <c r="M206" t="s">
        <v>1991</v>
      </c>
      <c r="N206" t="s">
        <v>984</v>
      </c>
      <c r="O206" t="s">
        <v>72</v>
      </c>
      <c r="P206" s="63" t="s">
        <v>1992</v>
      </c>
      <c r="Q206" t="s">
        <v>75</v>
      </c>
      <c r="R206" t="s">
        <v>1555</v>
      </c>
      <c r="S206" t="s">
        <v>1671</v>
      </c>
      <c r="T206" s="63" t="s">
        <v>1455</v>
      </c>
      <c r="U206" s="42">
        <v>3.718</v>
      </c>
      <c r="V206" s="44">
        <v>1905.3</v>
      </c>
      <c r="W206" s="44">
        <v>7083.9059999999999</v>
      </c>
      <c r="X206" s="45">
        <v>7.5839999999999996E-3</v>
      </c>
      <c r="Y206" s="45">
        <v>1.47202958406491E-2</v>
      </c>
      <c r="Z206" s="45">
        <v>2.8862888300184601E-3</v>
      </c>
    </row>
    <row r="207" spans="1:26" x14ac:dyDescent="0.25">
      <c r="A207">
        <v>424</v>
      </c>
      <c r="B207">
        <v>7228</v>
      </c>
      <c r="C207" t="s">
        <v>1993</v>
      </c>
      <c r="D207" t="s">
        <v>1994</v>
      </c>
      <c r="E207" t="s">
        <v>613</v>
      </c>
      <c r="F207" t="s">
        <v>1995</v>
      </c>
      <c r="G207">
        <v>62022306</v>
      </c>
      <c r="H207" t="s">
        <v>111</v>
      </c>
      <c r="I207" t="s">
        <v>1668</v>
      </c>
      <c r="J207" t="s">
        <v>1675</v>
      </c>
      <c r="K207" t="s">
        <v>85</v>
      </c>
      <c r="O207" t="s">
        <v>72</v>
      </c>
      <c r="P207" s="63" t="s">
        <v>1996</v>
      </c>
      <c r="Q207" t="s">
        <v>75</v>
      </c>
      <c r="R207" t="s">
        <v>286</v>
      </c>
      <c r="T207" s="63" t="s">
        <v>1455</v>
      </c>
      <c r="U207" s="42">
        <v>3.718</v>
      </c>
      <c r="V207" s="44">
        <v>276.47800000000001</v>
      </c>
      <c r="W207" s="44">
        <v>1027.9449999999999</v>
      </c>
      <c r="X207" s="45">
        <v>0</v>
      </c>
      <c r="Y207" s="45">
        <v>2.1360605022502799E-3</v>
      </c>
      <c r="Z207" s="45">
        <v>4.1882905307267002E-4</v>
      </c>
    </row>
    <row r="208" spans="1:26" x14ac:dyDescent="0.25">
      <c r="A208">
        <v>424</v>
      </c>
      <c r="B208">
        <v>7228</v>
      </c>
      <c r="C208" t="s">
        <v>1997</v>
      </c>
      <c r="D208" t="s">
        <v>1998</v>
      </c>
      <c r="E208" t="s">
        <v>613</v>
      </c>
      <c r="F208" t="s">
        <v>1999</v>
      </c>
      <c r="G208">
        <v>62020169</v>
      </c>
      <c r="H208" t="s">
        <v>111</v>
      </c>
      <c r="I208" t="s">
        <v>1668</v>
      </c>
      <c r="J208" t="s">
        <v>1704</v>
      </c>
      <c r="K208" t="s">
        <v>85</v>
      </c>
      <c r="L208" t="s">
        <v>1353</v>
      </c>
      <c r="M208" t="s">
        <v>1991</v>
      </c>
      <c r="N208" t="s">
        <v>215</v>
      </c>
      <c r="O208" t="s">
        <v>72</v>
      </c>
      <c r="P208" s="63" t="s">
        <v>2000</v>
      </c>
      <c r="Q208" t="s">
        <v>75</v>
      </c>
      <c r="R208" t="s">
        <v>1555</v>
      </c>
      <c r="S208" t="s">
        <v>1671</v>
      </c>
      <c r="T208" s="63" t="s">
        <v>1455</v>
      </c>
      <c r="U208" s="42">
        <v>3.718</v>
      </c>
      <c r="V208" s="44">
        <v>2471.8139999999999</v>
      </c>
      <c r="W208" s="44">
        <v>9190.2049999999999</v>
      </c>
      <c r="X208" s="45">
        <v>6.7499999999999999E-3</v>
      </c>
      <c r="Y208" s="45">
        <v>1.9097166695606502E-2</v>
      </c>
      <c r="Z208" s="45">
        <v>3.74448581164515E-3</v>
      </c>
    </row>
    <row r="209" spans="1:26" x14ac:dyDescent="0.25">
      <c r="A209">
        <v>424</v>
      </c>
      <c r="B209">
        <v>7228</v>
      </c>
      <c r="C209" t="s">
        <v>2001</v>
      </c>
      <c r="D209" t="s">
        <v>2002</v>
      </c>
      <c r="E209" t="s">
        <v>613</v>
      </c>
      <c r="F209" t="s">
        <v>2003</v>
      </c>
      <c r="G209">
        <v>62022033</v>
      </c>
      <c r="H209" t="s">
        <v>111</v>
      </c>
      <c r="I209" t="s">
        <v>1668</v>
      </c>
      <c r="J209" t="s">
        <v>1675</v>
      </c>
      <c r="K209" t="s">
        <v>85</v>
      </c>
      <c r="L209" t="s">
        <v>1353</v>
      </c>
      <c r="M209" t="s">
        <v>990</v>
      </c>
      <c r="N209" t="s">
        <v>291</v>
      </c>
      <c r="O209" t="s">
        <v>72</v>
      </c>
      <c r="P209" s="63" t="s">
        <v>2004</v>
      </c>
      <c r="Q209" t="s">
        <v>75</v>
      </c>
      <c r="R209" t="s">
        <v>286</v>
      </c>
      <c r="S209" t="s">
        <v>1481</v>
      </c>
      <c r="T209" s="63" t="s">
        <v>1455</v>
      </c>
      <c r="U209" s="42">
        <v>3.718</v>
      </c>
      <c r="V209" s="44">
        <v>568.01700000000005</v>
      </c>
      <c r="W209" s="44">
        <v>2111.886</v>
      </c>
      <c r="X209" s="45">
        <v>0</v>
      </c>
      <c r="Y209" s="45">
        <v>4.3884804860175996E-3</v>
      </c>
      <c r="Z209" s="45">
        <v>8.6047334541804199E-4</v>
      </c>
    </row>
    <row r="210" spans="1:26" x14ac:dyDescent="0.25">
      <c r="A210">
        <v>424</v>
      </c>
      <c r="B210">
        <v>7228</v>
      </c>
      <c r="C210" t="s">
        <v>2001</v>
      </c>
      <c r="D210" t="s">
        <v>2002</v>
      </c>
      <c r="E210" t="s">
        <v>613</v>
      </c>
      <c r="F210" t="s">
        <v>2005</v>
      </c>
      <c r="G210">
        <v>62021852</v>
      </c>
      <c r="H210" t="s">
        <v>111</v>
      </c>
      <c r="I210" t="s">
        <v>1668</v>
      </c>
      <c r="J210" t="s">
        <v>1675</v>
      </c>
      <c r="K210" t="s">
        <v>85</v>
      </c>
      <c r="L210" t="s">
        <v>1353</v>
      </c>
      <c r="M210" t="s">
        <v>990</v>
      </c>
      <c r="N210" t="s">
        <v>1199</v>
      </c>
      <c r="O210" t="s">
        <v>72</v>
      </c>
      <c r="P210" s="63" t="s">
        <v>1893</v>
      </c>
      <c r="Q210" t="s">
        <v>77</v>
      </c>
      <c r="R210" t="s">
        <v>286</v>
      </c>
      <c r="T210" s="63" t="s">
        <v>1455</v>
      </c>
      <c r="U210" s="42">
        <v>4.0218999999999996</v>
      </c>
      <c r="V210" s="44">
        <v>801.11099999999999</v>
      </c>
      <c r="W210" s="44">
        <v>3221.989</v>
      </c>
      <c r="X210" s="45">
        <v>0</v>
      </c>
      <c r="Y210" s="45">
        <v>6.6952644102203701E-3</v>
      </c>
      <c r="Z210" s="45">
        <v>1.3127770725827399E-3</v>
      </c>
    </row>
    <row r="211" spans="1:26" x14ac:dyDescent="0.25">
      <c r="A211">
        <v>424</v>
      </c>
      <c r="B211">
        <v>7228</v>
      </c>
      <c r="C211" t="s">
        <v>2006</v>
      </c>
      <c r="D211" t="s">
        <v>2007</v>
      </c>
      <c r="E211" t="s">
        <v>286</v>
      </c>
      <c r="F211" t="s">
        <v>2008</v>
      </c>
      <c r="G211">
        <v>62020995</v>
      </c>
      <c r="H211" t="s">
        <v>111</v>
      </c>
      <c r="I211" t="s">
        <v>1668</v>
      </c>
      <c r="J211" t="s">
        <v>1748</v>
      </c>
      <c r="K211" t="s">
        <v>85</v>
      </c>
      <c r="L211" t="s">
        <v>291</v>
      </c>
      <c r="M211" t="s">
        <v>71</v>
      </c>
      <c r="N211" t="s">
        <v>291</v>
      </c>
      <c r="O211" t="s">
        <v>72</v>
      </c>
      <c r="P211" s="63" t="s">
        <v>2009</v>
      </c>
      <c r="Q211" t="s">
        <v>75</v>
      </c>
      <c r="R211" t="s">
        <v>1555</v>
      </c>
      <c r="S211" t="s">
        <v>1671</v>
      </c>
      <c r="T211" s="63" t="s">
        <v>1455</v>
      </c>
      <c r="U211" s="42">
        <v>3.718</v>
      </c>
      <c r="V211" s="44">
        <v>360.65800000000002</v>
      </c>
      <c r="W211" s="44">
        <v>1340.9269999999999</v>
      </c>
      <c r="X211" s="45">
        <v>1.9699999999999999E-4</v>
      </c>
      <c r="Y211" s="45">
        <v>2.7864340246016102E-3</v>
      </c>
      <c r="Z211" s="45">
        <v>5.4635134292493903E-4</v>
      </c>
    </row>
    <row r="212" spans="1:26" x14ac:dyDescent="0.25">
      <c r="A212">
        <v>424</v>
      </c>
      <c r="B212">
        <v>7229</v>
      </c>
      <c r="C212" t="s">
        <v>1687</v>
      </c>
      <c r="D212" t="s">
        <v>1688</v>
      </c>
      <c r="E212" t="s">
        <v>111</v>
      </c>
      <c r="F212" t="s">
        <v>1689</v>
      </c>
      <c r="G212">
        <v>77419109</v>
      </c>
      <c r="H212" t="s">
        <v>111</v>
      </c>
      <c r="I212" t="s">
        <v>1690</v>
      </c>
      <c r="J212" t="s">
        <v>1675</v>
      </c>
      <c r="K212" t="s">
        <v>71</v>
      </c>
      <c r="L212" t="s">
        <v>1681</v>
      </c>
      <c r="M212" t="s">
        <v>71</v>
      </c>
      <c r="N212" t="s">
        <v>71</v>
      </c>
      <c r="O212" t="s">
        <v>72</v>
      </c>
      <c r="P212" s="63" t="s">
        <v>1691</v>
      </c>
      <c r="Q212" t="s">
        <v>75</v>
      </c>
      <c r="R212" t="s">
        <v>286</v>
      </c>
      <c r="S212" t="s">
        <v>1671</v>
      </c>
      <c r="T212" s="63" t="s">
        <v>1455</v>
      </c>
      <c r="U212" s="42">
        <v>3.718</v>
      </c>
      <c r="V212" s="44">
        <v>398.80900000000003</v>
      </c>
      <c r="W212" s="44">
        <v>1482.771</v>
      </c>
      <c r="X212" s="45">
        <v>0</v>
      </c>
      <c r="Y212" s="45">
        <v>9.8912758991446095E-2</v>
      </c>
      <c r="Z212" s="45">
        <v>9.8695106442667092E-3</v>
      </c>
    </row>
    <row r="213" spans="1:26" x14ac:dyDescent="0.25">
      <c r="A213">
        <v>424</v>
      </c>
      <c r="B213">
        <v>7229</v>
      </c>
      <c r="C213" t="s">
        <v>1697</v>
      </c>
      <c r="D213" t="s">
        <v>1698</v>
      </c>
      <c r="E213" t="s">
        <v>111</v>
      </c>
      <c r="F213" t="s">
        <v>1699</v>
      </c>
      <c r="G213">
        <v>62017538</v>
      </c>
      <c r="H213" t="s">
        <v>111</v>
      </c>
      <c r="I213" t="s">
        <v>1668</v>
      </c>
      <c r="J213" t="s">
        <v>1695</v>
      </c>
      <c r="K213" t="s">
        <v>71</v>
      </c>
      <c r="L213" t="s">
        <v>71</v>
      </c>
      <c r="M213" t="s">
        <v>71</v>
      </c>
      <c r="N213" t="s">
        <v>71</v>
      </c>
      <c r="O213" t="s">
        <v>72</v>
      </c>
      <c r="P213" s="63" t="s">
        <v>1700</v>
      </c>
      <c r="Q213" t="s">
        <v>75</v>
      </c>
      <c r="R213" t="s">
        <v>286</v>
      </c>
      <c r="S213" t="s">
        <v>1671</v>
      </c>
      <c r="T213" s="63" t="s">
        <v>1455</v>
      </c>
      <c r="U213" s="42">
        <v>3.718</v>
      </c>
      <c r="V213" s="44">
        <v>235.309</v>
      </c>
      <c r="W213" s="44">
        <v>874.87800000000004</v>
      </c>
      <c r="X213" s="45">
        <v>8.5999999999999998E-4</v>
      </c>
      <c r="Y213" s="45">
        <v>5.8361374468664198E-2</v>
      </c>
      <c r="Z213" s="45">
        <v>5.8232953200944302E-3</v>
      </c>
    </row>
    <row r="214" spans="1:26" x14ac:dyDescent="0.25">
      <c r="A214">
        <v>424</v>
      </c>
      <c r="B214">
        <v>7229</v>
      </c>
      <c r="C214" t="s">
        <v>1701</v>
      </c>
      <c r="D214" t="s">
        <v>1702</v>
      </c>
      <c r="E214" t="s">
        <v>111</v>
      </c>
      <c r="F214" t="s">
        <v>1703</v>
      </c>
      <c r="G214">
        <v>62001189</v>
      </c>
      <c r="H214" t="s">
        <v>111</v>
      </c>
      <c r="I214" t="s">
        <v>1668</v>
      </c>
      <c r="J214" t="s">
        <v>1704</v>
      </c>
      <c r="K214" t="s">
        <v>71</v>
      </c>
      <c r="L214" t="s">
        <v>1681</v>
      </c>
      <c r="M214" t="s">
        <v>71</v>
      </c>
      <c r="N214" t="s">
        <v>71</v>
      </c>
      <c r="O214" t="s">
        <v>72</v>
      </c>
      <c r="P214" s="63" t="s">
        <v>2072</v>
      </c>
      <c r="Q214" t="s">
        <v>75</v>
      </c>
      <c r="R214" t="s">
        <v>1555</v>
      </c>
      <c r="S214" t="s">
        <v>1671</v>
      </c>
      <c r="T214" s="63" t="s">
        <v>1455</v>
      </c>
      <c r="U214" s="42">
        <v>3.718</v>
      </c>
      <c r="V214" s="44">
        <v>55.209000000000003</v>
      </c>
      <c r="W214" s="44">
        <v>205.26499999999999</v>
      </c>
      <c r="X214" s="45">
        <v>6.6100000000000002E-4</v>
      </c>
      <c r="Y214" s="45">
        <v>1.36928478161552E-2</v>
      </c>
      <c r="Z214" s="45">
        <v>1.3662717393572599E-3</v>
      </c>
    </row>
    <row r="215" spans="1:26" x14ac:dyDescent="0.25">
      <c r="A215">
        <v>424</v>
      </c>
      <c r="B215">
        <v>7229</v>
      </c>
      <c r="C215" t="s">
        <v>1710</v>
      </c>
      <c r="D215" t="s">
        <v>1711</v>
      </c>
      <c r="E215" t="s">
        <v>540</v>
      </c>
      <c r="F215" t="s">
        <v>1712</v>
      </c>
      <c r="G215">
        <v>50000983</v>
      </c>
      <c r="H215" t="s">
        <v>111</v>
      </c>
      <c r="I215" t="s">
        <v>1668</v>
      </c>
      <c r="J215" t="s">
        <v>1713</v>
      </c>
      <c r="K215" t="s">
        <v>85</v>
      </c>
      <c r="L215" t="s">
        <v>1681</v>
      </c>
      <c r="M215" t="s">
        <v>71</v>
      </c>
      <c r="N215" t="s">
        <v>215</v>
      </c>
      <c r="O215" t="s">
        <v>72</v>
      </c>
      <c r="P215" s="63" t="s">
        <v>1714</v>
      </c>
      <c r="Q215" t="s">
        <v>81</v>
      </c>
      <c r="R215" t="s">
        <v>1555</v>
      </c>
      <c r="S215" t="s">
        <v>1671</v>
      </c>
      <c r="T215" s="63" t="s">
        <v>1455</v>
      </c>
      <c r="U215" s="42">
        <v>1</v>
      </c>
      <c r="V215" s="44">
        <v>161.68100000000001</v>
      </c>
      <c r="W215" s="44">
        <v>161.68100000000001</v>
      </c>
      <c r="X215" s="45">
        <v>1.5200000000000001E-4</v>
      </c>
      <c r="Y215" s="45">
        <v>1.07854076270694E-2</v>
      </c>
      <c r="Z215" s="45">
        <v>1.07616748803177E-3</v>
      </c>
    </row>
    <row r="216" spans="1:26" x14ac:dyDescent="0.25">
      <c r="A216">
        <v>424</v>
      </c>
      <c r="B216">
        <v>7229</v>
      </c>
      <c r="C216" t="s">
        <v>1719</v>
      </c>
      <c r="D216" t="s">
        <v>1720</v>
      </c>
      <c r="E216" t="s">
        <v>1721</v>
      </c>
      <c r="F216" t="s">
        <v>1723</v>
      </c>
      <c r="G216">
        <v>62002785</v>
      </c>
      <c r="H216" t="s">
        <v>111</v>
      </c>
      <c r="I216" t="s">
        <v>1668</v>
      </c>
      <c r="J216" t="s">
        <v>1708</v>
      </c>
      <c r="K216" t="s">
        <v>71</v>
      </c>
      <c r="L216" t="s">
        <v>1681</v>
      </c>
      <c r="M216" t="s">
        <v>71</v>
      </c>
      <c r="N216" t="s">
        <v>71</v>
      </c>
      <c r="O216" t="s">
        <v>72</v>
      </c>
      <c r="P216" s="63" t="s">
        <v>2073</v>
      </c>
      <c r="Q216" t="s">
        <v>75</v>
      </c>
      <c r="R216" t="s">
        <v>1555</v>
      </c>
      <c r="S216" t="s">
        <v>1671</v>
      </c>
      <c r="T216" s="63" t="s">
        <v>1455</v>
      </c>
      <c r="U216" s="42">
        <v>3.718</v>
      </c>
      <c r="V216" s="44">
        <v>51.968000000000004</v>
      </c>
      <c r="W216" s="44">
        <v>193.21799999999999</v>
      </c>
      <c r="X216" s="45">
        <v>4.15E-4</v>
      </c>
      <c r="Y216" s="45">
        <v>1.2889224797691201E-2</v>
      </c>
      <c r="Z216" s="45">
        <v>1.28608627071216E-3</v>
      </c>
    </row>
    <row r="217" spans="1:26" x14ac:dyDescent="0.25">
      <c r="A217">
        <v>424</v>
      </c>
      <c r="B217">
        <v>7229</v>
      </c>
      <c r="C217" t="s">
        <v>1729</v>
      </c>
      <c r="D217" t="s">
        <v>1730</v>
      </c>
      <c r="E217" t="s">
        <v>111</v>
      </c>
      <c r="F217" t="s">
        <v>1731</v>
      </c>
      <c r="G217">
        <v>62013487</v>
      </c>
      <c r="H217" t="s">
        <v>111</v>
      </c>
      <c r="I217" t="s">
        <v>1668</v>
      </c>
      <c r="J217" t="s">
        <v>1680</v>
      </c>
      <c r="K217" t="s">
        <v>71</v>
      </c>
      <c r="L217" t="s">
        <v>71</v>
      </c>
      <c r="M217" t="s">
        <v>71</v>
      </c>
      <c r="N217" t="s">
        <v>71</v>
      </c>
      <c r="O217" t="s">
        <v>72</v>
      </c>
      <c r="P217" s="63" t="s">
        <v>1732</v>
      </c>
      <c r="Q217" t="s">
        <v>75</v>
      </c>
      <c r="R217" t="s">
        <v>1555</v>
      </c>
      <c r="S217" t="s">
        <v>1671</v>
      </c>
      <c r="T217" s="63" t="s">
        <v>1455</v>
      </c>
      <c r="U217" s="42">
        <v>3.718</v>
      </c>
      <c r="V217" s="44">
        <v>42.341000000000001</v>
      </c>
      <c r="W217" s="44">
        <v>157.423</v>
      </c>
      <c r="X217" s="45">
        <v>6.6670000000000002E-3</v>
      </c>
      <c r="Y217" s="45">
        <v>1.0501372841293001E-2</v>
      </c>
      <c r="Z217" s="45">
        <v>1.04782650987946E-3</v>
      </c>
    </row>
    <row r="218" spans="1:26" x14ac:dyDescent="0.25">
      <c r="A218">
        <v>424</v>
      </c>
      <c r="B218">
        <v>7229</v>
      </c>
      <c r="C218" t="s">
        <v>1781</v>
      </c>
      <c r="D218" t="s">
        <v>1782</v>
      </c>
      <c r="E218" t="s">
        <v>210</v>
      </c>
      <c r="F218" t="s">
        <v>1783</v>
      </c>
      <c r="G218">
        <v>50007004</v>
      </c>
      <c r="H218" t="s">
        <v>111</v>
      </c>
      <c r="I218" t="s">
        <v>1668</v>
      </c>
      <c r="J218" t="s">
        <v>1784</v>
      </c>
      <c r="K218" t="s">
        <v>71</v>
      </c>
      <c r="L218" t="s">
        <v>71</v>
      </c>
      <c r="M218" t="s">
        <v>71</v>
      </c>
      <c r="N218" t="s">
        <v>71</v>
      </c>
      <c r="O218" t="s">
        <v>72</v>
      </c>
      <c r="P218" s="63" t="s">
        <v>1785</v>
      </c>
      <c r="Q218" t="s">
        <v>81</v>
      </c>
      <c r="R218" t="s">
        <v>1555</v>
      </c>
      <c r="S218" t="s">
        <v>1671</v>
      </c>
      <c r="T218" s="63" t="s">
        <v>1455</v>
      </c>
      <c r="U218" s="42">
        <v>1</v>
      </c>
      <c r="V218" s="44">
        <v>557.72900000000004</v>
      </c>
      <c r="W218" s="44">
        <v>557.72900000000004</v>
      </c>
      <c r="X218" s="45">
        <v>0</v>
      </c>
      <c r="Y218" s="45">
        <v>3.72050238356652E-2</v>
      </c>
      <c r="Z218" s="45">
        <v>3.7123156052906101E-3</v>
      </c>
    </row>
    <row r="219" spans="1:26" x14ac:dyDescent="0.25">
      <c r="A219">
        <v>424</v>
      </c>
      <c r="B219">
        <v>7229</v>
      </c>
      <c r="C219" t="s">
        <v>1786</v>
      </c>
      <c r="D219" t="s">
        <v>1787</v>
      </c>
      <c r="E219" t="s">
        <v>210</v>
      </c>
      <c r="F219" t="s">
        <v>1786</v>
      </c>
      <c r="G219">
        <v>50007350</v>
      </c>
      <c r="H219" t="s">
        <v>111</v>
      </c>
      <c r="I219" t="s">
        <v>1668</v>
      </c>
      <c r="J219" t="s">
        <v>1788</v>
      </c>
      <c r="K219" t="s">
        <v>71</v>
      </c>
      <c r="L219" t="s">
        <v>71</v>
      </c>
      <c r="M219" t="s">
        <v>71</v>
      </c>
      <c r="N219" t="s">
        <v>71</v>
      </c>
      <c r="O219" t="s">
        <v>72</v>
      </c>
      <c r="P219" s="63" t="s">
        <v>1789</v>
      </c>
      <c r="Q219" t="s">
        <v>81</v>
      </c>
      <c r="R219" t="s">
        <v>286</v>
      </c>
      <c r="S219" t="s">
        <v>1671</v>
      </c>
      <c r="T219" s="63" t="s">
        <v>1455</v>
      </c>
      <c r="U219" s="42">
        <v>1</v>
      </c>
      <c r="V219" s="44">
        <v>612.91099999999994</v>
      </c>
      <c r="W219" s="44">
        <v>612.91099999999994</v>
      </c>
      <c r="X219" s="45">
        <v>8.1700000000000002E-4</v>
      </c>
      <c r="Y219" s="45">
        <v>4.0886102257779597E-2</v>
      </c>
      <c r="Z219" s="45">
        <v>4.0796134447188001E-3</v>
      </c>
    </row>
    <row r="220" spans="1:26" x14ac:dyDescent="0.25">
      <c r="A220">
        <v>424</v>
      </c>
      <c r="B220">
        <v>7229</v>
      </c>
      <c r="C220" t="s">
        <v>1781</v>
      </c>
      <c r="D220" t="s">
        <v>1782</v>
      </c>
      <c r="E220" t="s">
        <v>210</v>
      </c>
      <c r="F220" t="s">
        <v>1781</v>
      </c>
      <c r="G220">
        <v>18952</v>
      </c>
      <c r="H220" t="s">
        <v>111</v>
      </c>
      <c r="I220" t="s">
        <v>1668</v>
      </c>
      <c r="J220" t="s">
        <v>1784</v>
      </c>
      <c r="K220" t="s">
        <v>71</v>
      </c>
      <c r="L220" t="s">
        <v>71</v>
      </c>
      <c r="M220" t="s">
        <v>71</v>
      </c>
      <c r="N220" t="s">
        <v>71</v>
      </c>
      <c r="O220" t="s">
        <v>72</v>
      </c>
      <c r="P220" s="63" t="s">
        <v>1796</v>
      </c>
      <c r="Q220" t="s">
        <v>81</v>
      </c>
      <c r="R220" t="s">
        <v>1555</v>
      </c>
      <c r="S220" t="s">
        <v>1671</v>
      </c>
      <c r="T220" s="63" t="s">
        <v>1455</v>
      </c>
      <c r="U220" s="42">
        <v>1</v>
      </c>
      <c r="V220" s="44">
        <v>102.688</v>
      </c>
      <c r="W220" s="44">
        <v>102.688</v>
      </c>
      <c r="X220" s="45">
        <v>2.61E-4</v>
      </c>
      <c r="Y220" s="45">
        <v>6.8501443745092698E-3</v>
      </c>
      <c r="Z220" s="45">
        <v>6.8350709765187798E-4</v>
      </c>
    </row>
    <row r="221" spans="1:26" x14ac:dyDescent="0.25">
      <c r="A221">
        <v>424</v>
      </c>
      <c r="B221">
        <v>7229</v>
      </c>
      <c r="C221" t="s">
        <v>1797</v>
      </c>
      <c r="D221" t="s">
        <v>1798</v>
      </c>
      <c r="E221" t="s">
        <v>286</v>
      </c>
      <c r="F221" t="s">
        <v>1799</v>
      </c>
      <c r="G221">
        <v>50007160</v>
      </c>
      <c r="H221" t="s">
        <v>111</v>
      </c>
      <c r="I221" t="s">
        <v>1668</v>
      </c>
      <c r="J221" t="s">
        <v>1675</v>
      </c>
      <c r="K221" t="s">
        <v>71</v>
      </c>
      <c r="L221" t="s">
        <v>71</v>
      </c>
      <c r="M221" t="s">
        <v>71</v>
      </c>
      <c r="N221" t="s">
        <v>71</v>
      </c>
      <c r="O221" t="s">
        <v>72</v>
      </c>
      <c r="P221" s="63" t="s">
        <v>1800</v>
      </c>
      <c r="Q221" t="s">
        <v>81</v>
      </c>
      <c r="R221" t="s">
        <v>286</v>
      </c>
      <c r="S221" t="s">
        <v>1671</v>
      </c>
      <c r="T221" s="63" t="s">
        <v>1455</v>
      </c>
      <c r="U221" s="42">
        <v>1</v>
      </c>
      <c r="V221" s="44">
        <v>204.714</v>
      </c>
      <c r="W221" s="44">
        <v>204.714</v>
      </c>
      <c r="X221" s="45">
        <v>2.0899999999999998E-3</v>
      </c>
      <c r="Y221" s="45">
        <v>1.3656103891655299E-2</v>
      </c>
      <c r="Z221" s="45">
        <v>1.3626054322229499E-3</v>
      </c>
    </row>
    <row r="222" spans="1:26" x14ac:dyDescent="0.25">
      <c r="A222">
        <v>424</v>
      </c>
      <c r="B222">
        <v>7229</v>
      </c>
      <c r="C222" t="s">
        <v>1809</v>
      </c>
      <c r="D222" t="s">
        <v>1810</v>
      </c>
      <c r="E222" t="s">
        <v>613</v>
      </c>
      <c r="F222" t="s">
        <v>1809</v>
      </c>
      <c r="G222">
        <v>62021365</v>
      </c>
      <c r="H222" t="s">
        <v>111</v>
      </c>
      <c r="I222" t="s">
        <v>1668</v>
      </c>
      <c r="J222" t="s">
        <v>1811</v>
      </c>
      <c r="K222" t="s">
        <v>85</v>
      </c>
      <c r="L222" t="s">
        <v>1353</v>
      </c>
      <c r="M222" t="s">
        <v>1353</v>
      </c>
      <c r="N222" t="s">
        <v>1199</v>
      </c>
      <c r="O222" t="s">
        <v>72</v>
      </c>
      <c r="P222" s="63" t="s">
        <v>1812</v>
      </c>
      <c r="Q222" t="s">
        <v>75</v>
      </c>
      <c r="R222" t="s">
        <v>1555</v>
      </c>
      <c r="S222" t="s">
        <v>1671</v>
      </c>
      <c r="T222" s="63" t="s">
        <v>1455</v>
      </c>
      <c r="U222" s="42">
        <v>3.718</v>
      </c>
      <c r="V222" s="44">
        <v>60.726999999999997</v>
      </c>
      <c r="W222" s="44">
        <v>225.78200000000001</v>
      </c>
      <c r="X222" s="45">
        <v>0</v>
      </c>
      <c r="Y222" s="45">
        <v>1.5061461389459199E-2</v>
      </c>
      <c r="Z222" s="45">
        <v>1.5028319401578401E-3</v>
      </c>
    </row>
    <row r="223" spans="1:26" x14ac:dyDescent="0.25">
      <c r="A223">
        <v>424</v>
      </c>
      <c r="B223">
        <v>7229</v>
      </c>
      <c r="C223" t="s">
        <v>1817</v>
      </c>
      <c r="D223" t="s">
        <v>1818</v>
      </c>
      <c r="E223" t="s">
        <v>613</v>
      </c>
      <c r="F223" t="s">
        <v>1817</v>
      </c>
      <c r="G223">
        <v>62019815</v>
      </c>
      <c r="H223" t="s">
        <v>111</v>
      </c>
      <c r="I223" t="s">
        <v>1668</v>
      </c>
      <c r="J223" t="s">
        <v>1704</v>
      </c>
      <c r="K223" t="s">
        <v>85</v>
      </c>
      <c r="L223" t="s">
        <v>604</v>
      </c>
      <c r="M223" t="s">
        <v>1815</v>
      </c>
      <c r="N223" t="s">
        <v>215</v>
      </c>
      <c r="O223" t="s">
        <v>72</v>
      </c>
      <c r="P223" s="63" t="s">
        <v>1819</v>
      </c>
      <c r="Q223" t="s">
        <v>75</v>
      </c>
      <c r="R223" t="s">
        <v>1555</v>
      </c>
      <c r="S223" t="s">
        <v>1671</v>
      </c>
      <c r="T223" s="63" t="s">
        <v>1455</v>
      </c>
      <c r="U223" s="42">
        <v>3.718</v>
      </c>
      <c r="V223" s="44">
        <v>140.83199999999999</v>
      </c>
      <c r="W223" s="44">
        <v>523.61400000000003</v>
      </c>
      <c r="X223" s="45">
        <v>5.3000000000000001E-5</v>
      </c>
      <c r="Y223" s="45">
        <v>3.4929272181055397E-2</v>
      </c>
      <c r="Z223" s="45">
        <v>3.4852412075294299E-3</v>
      </c>
    </row>
    <row r="224" spans="1:26" x14ac:dyDescent="0.25">
      <c r="A224">
        <v>424</v>
      </c>
      <c r="B224">
        <v>7229</v>
      </c>
      <c r="C224" t="s">
        <v>1824</v>
      </c>
      <c r="D224" t="s">
        <v>1825</v>
      </c>
      <c r="E224" t="s">
        <v>540</v>
      </c>
      <c r="F224" t="s">
        <v>1826</v>
      </c>
      <c r="G224">
        <v>62013909</v>
      </c>
      <c r="H224" t="s">
        <v>111</v>
      </c>
      <c r="I224" t="s">
        <v>1668</v>
      </c>
      <c r="J224" t="s">
        <v>1827</v>
      </c>
      <c r="K224" t="s">
        <v>85</v>
      </c>
      <c r="L224" t="s">
        <v>1681</v>
      </c>
      <c r="M224" t="s">
        <v>291</v>
      </c>
      <c r="N224" t="s">
        <v>291</v>
      </c>
      <c r="O224" t="s">
        <v>72</v>
      </c>
      <c r="P224" s="63" t="s">
        <v>1828</v>
      </c>
      <c r="Q224" t="s">
        <v>75</v>
      </c>
      <c r="R224" t="s">
        <v>1555</v>
      </c>
      <c r="S224" t="s">
        <v>1671</v>
      </c>
      <c r="T224" s="63" t="s">
        <v>1455</v>
      </c>
      <c r="U224" s="42">
        <v>3.718</v>
      </c>
      <c r="V224" s="44">
        <v>84.787000000000006</v>
      </c>
      <c r="W224" s="44">
        <v>315.23899999999998</v>
      </c>
      <c r="X224" s="45">
        <v>2E-3</v>
      </c>
      <c r="Y224" s="45">
        <v>2.10289664131822E-2</v>
      </c>
      <c r="Z224" s="45">
        <v>2.0982693230787099E-3</v>
      </c>
    </row>
    <row r="225" spans="1:26" x14ac:dyDescent="0.25">
      <c r="A225">
        <v>424</v>
      </c>
      <c r="B225">
        <v>7229</v>
      </c>
      <c r="C225" t="s">
        <v>1829</v>
      </c>
      <c r="D225" t="s">
        <v>1830</v>
      </c>
      <c r="E225" t="s">
        <v>540</v>
      </c>
      <c r="F225" t="s">
        <v>1831</v>
      </c>
      <c r="G225">
        <v>62011226</v>
      </c>
      <c r="H225" t="s">
        <v>111</v>
      </c>
      <c r="I225" t="s">
        <v>1668</v>
      </c>
      <c r="J225" t="s">
        <v>1832</v>
      </c>
      <c r="K225" t="s">
        <v>85</v>
      </c>
      <c r="L225" t="s">
        <v>1681</v>
      </c>
      <c r="M225" t="s">
        <v>291</v>
      </c>
      <c r="N225" t="s">
        <v>291</v>
      </c>
      <c r="O225" t="s">
        <v>72</v>
      </c>
      <c r="P225" s="63" t="s">
        <v>1833</v>
      </c>
      <c r="Q225" t="s">
        <v>75</v>
      </c>
      <c r="R225" t="s">
        <v>1555</v>
      </c>
      <c r="S225" t="s">
        <v>1671</v>
      </c>
      <c r="T225" s="63" t="s">
        <v>1455</v>
      </c>
      <c r="U225" s="42">
        <v>3.718</v>
      </c>
      <c r="V225" s="44">
        <v>2.72</v>
      </c>
      <c r="W225" s="44">
        <v>10.113</v>
      </c>
      <c r="X225" s="45">
        <v>0</v>
      </c>
      <c r="Y225" s="45">
        <v>6.7460717181146797E-4</v>
      </c>
      <c r="Z225" s="45">
        <v>6.7312273267675505E-5</v>
      </c>
    </row>
    <row r="226" spans="1:26" x14ac:dyDescent="0.25">
      <c r="A226">
        <v>424</v>
      </c>
      <c r="B226">
        <v>7229</v>
      </c>
      <c r="C226" t="s">
        <v>1838</v>
      </c>
      <c r="D226" t="s">
        <v>1839</v>
      </c>
      <c r="E226" t="s">
        <v>540</v>
      </c>
      <c r="F226" t="s">
        <v>1840</v>
      </c>
      <c r="G226">
        <v>62016654</v>
      </c>
      <c r="H226" t="s">
        <v>111</v>
      </c>
      <c r="I226" t="s">
        <v>1668</v>
      </c>
      <c r="J226" t="s">
        <v>1704</v>
      </c>
      <c r="K226" t="s">
        <v>85</v>
      </c>
      <c r="L226" t="s">
        <v>1681</v>
      </c>
      <c r="M226" t="s">
        <v>291</v>
      </c>
      <c r="N226" t="s">
        <v>215</v>
      </c>
      <c r="O226" t="s">
        <v>72</v>
      </c>
      <c r="P226" s="63" t="s">
        <v>1841</v>
      </c>
      <c r="Q226" t="s">
        <v>75</v>
      </c>
      <c r="R226" t="s">
        <v>1555</v>
      </c>
      <c r="S226" t="s">
        <v>1671</v>
      </c>
      <c r="T226" s="63" t="s">
        <v>1455</v>
      </c>
      <c r="U226" s="42">
        <v>3.718</v>
      </c>
      <c r="V226" s="44">
        <v>161.34399999999999</v>
      </c>
      <c r="W226" s="44">
        <v>599.875</v>
      </c>
      <c r="X226" s="45">
        <v>2.5000000000000001E-5</v>
      </c>
      <c r="Y226" s="45">
        <v>4.0016523500669601E-2</v>
      </c>
      <c r="Z226" s="45">
        <v>3.9928469154374901E-3</v>
      </c>
    </row>
    <row r="227" spans="1:26" x14ac:dyDescent="0.25">
      <c r="A227">
        <v>424</v>
      </c>
      <c r="B227">
        <v>7229</v>
      </c>
      <c r="C227" t="s">
        <v>1846</v>
      </c>
      <c r="D227" t="s">
        <v>1847</v>
      </c>
      <c r="E227" t="s">
        <v>613</v>
      </c>
      <c r="F227" t="s">
        <v>1848</v>
      </c>
      <c r="G227">
        <v>62018064</v>
      </c>
      <c r="H227" t="s">
        <v>111</v>
      </c>
      <c r="I227" t="s">
        <v>1668</v>
      </c>
      <c r="J227" t="s">
        <v>1695</v>
      </c>
      <c r="K227" t="s">
        <v>85</v>
      </c>
      <c r="L227" t="s">
        <v>1681</v>
      </c>
      <c r="M227" t="s">
        <v>291</v>
      </c>
      <c r="N227" t="s">
        <v>1343</v>
      </c>
      <c r="O227" t="s">
        <v>72</v>
      </c>
      <c r="P227" s="63" t="s">
        <v>1615</v>
      </c>
      <c r="Q227" t="s">
        <v>75</v>
      </c>
      <c r="R227" t="s">
        <v>286</v>
      </c>
      <c r="S227" t="s">
        <v>1671</v>
      </c>
      <c r="T227" s="63" t="s">
        <v>1455</v>
      </c>
      <c r="U227" s="42">
        <v>3.718</v>
      </c>
      <c r="V227" s="44">
        <v>0.82399999999999995</v>
      </c>
      <c r="W227" s="44">
        <v>3.0630000000000002</v>
      </c>
      <c r="X227" s="45">
        <v>8.7999999999999998E-5</v>
      </c>
      <c r="Y227" s="45">
        <v>2.0433964537926999E-4</v>
      </c>
      <c r="Z227" s="45">
        <v>2.03890006272173E-5</v>
      </c>
    </row>
    <row r="228" spans="1:26" x14ac:dyDescent="0.25">
      <c r="A228">
        <v>424</v>
      </c>
      <c r="B228">
        <v>7229</v>
      </c>
      <c r="C228" t="s">
        <v>1852</v>
      </c>
      <c r="D228" t="s">
        <v>1853</v>
      </c>
      <c r="E228" t="s">
        <v>540</v>
      </c>
      <c r="F228" t="s">
        <v>1854</v>
      </c>
      <c r="G228">
        <v>62018908</v>
      </c>
      <c r="H228" t="s">
        <v>111</v>
      </c>
      <c r="I228" t="s">
        <v>1668</v>
      </c>
      <c r="J228" t="s">
        <v>1695</v>
      </c>
      <c r="K228" t="s">
        <v>85</v>
      </c>
      <c r="L228" t="s">
        <v>1353</v>
      </c>
      <c r="M228" t="s">
        <v>1353</v>
      </c>
      <c r="N228" t="s">
        <v>215</v>
      </c>
      <c r="O228" t="s">
        <v>72</v>
      </c>
      <c r="P228" s="63" t="s">
        <v>1855</v>
      </c>
      <c r="Q228" t="s">
        <v>75</v>
      </c>
      <c r="R228" t="s">
        <v>1555</v>
      </c>
      <c r="S228" t="s">
        <v>1671</v>
      </c>
      <c r="T228" s="63" t="s">
        <v>1455</v>
      </c>
      <c r="U228" s="42">
        <v>3.718</v>
      </c>
      <c r="V228" s="44">
        <v>193.98400000000001</v>
      </c>
      <c r="W228" s="44">
        <v>721.23199999999997</v>
      </c>
      <c r="X228" s="45">
        <v>1.1E-5</v>
      </c>
      <c r="Y228" s="45">
        <v>4.81119569204701E-2</v>
      </c>
      <c r="Z228" s="45">
        <v>4.8006088980304899E-3</v>
      </c>
    </row>
    <row r="229" spans="1:26" x14ac:dyDescent="0.25">
      <c r="A229">
        <v>424</v>
      </c>
      <c r="B229">
        <v>7229</v>
      </c>
      <c r="C229" t="s">
        <v>1872</v>
      </c>
      <c r="D229" t="s">
        <v>1873</v>
      </c>
      <c r="E229" t="s">
        <v>613</v>
      </c>
      <c r="F229" t="s">
        <v>1874</v>
      </c>
      <c r="G229">
        <v>62003800</v>
      </c>
      <c r="H229" t="s">
        <v>111</v>
      </c>
      <c r="I229" t="s">
        <v>1668</v>
      </c>
      <c r="J229" t="s">
        <v>1875</v>
      </c>
      <c r="K229" t="s">
        <v>85</v>
      </c>
      <c r="L229" t="s">
        <v>1681</v>
      </c>
      <c r="M229" t="s">
        <v>291</v>
      </c>
      <c r="N229" t="s">
        <v>215</v>
      </c>
      <c r="O229" t="s">
        <v>72</v>
      </c>
      <c r="P229" s="63" t="s">
        <v>1978</v>
      </c>
      <c r="Q229" t="s">
        <v>75</v>
      </c>
      <c r="R229" t="s">
        <v>286</v>
      </c>
      <c r="S229" t="s">
        <v>1671</v>
      </c>
      <c r="T229" s="63" t="s">
        <v>1455</v>
      </c>
      <c r="U229" s="42">
        <v>3.718</v>
      </c>
      <c r="V229" s="44">
        <v>187.32400000000001</v>
      </c>
      <c r="W229" s="44">
        <v>696.471</v>
      </c>
      <c r="X229" s="45">
        <v>5.04E-4</v>
      </c>
      <c r="Y229" s="45">
        <v>4.6460222656915399E-2</v>
      </c>
      <c r="Z229" s="45">
        <v>4.63579892748803E-3</v>
      </c>
    </row>
    <row r="230" spans="1:26" x14ac:dyDescent="0.25">
      <c r="A230">
        <v>424</v>
      </c>
      <c r="B230">
        <v>7229</v>
      </c>
      <c r="C230" t="s">
        <v>1872</v>
      </c>
      <c r="D230" t="s">
        <v>1873</v>
      </c>
      <c r="E230" t="s">
        <v>613</v>
      </c>
      <c r="F230" t="s">
        <v>1877</v>
      </c>
      <c r="G230">
        <v>620101031</v>
      </c>
      <c r="H230" t="s">
        <v>111</v>
      </c>
      <c r="I230" t="s">
        <v>1668</v>
      </c>
      <c r="J230" t="s">
        <v>1675</v>
      </c>
      <c r="K230" t="s">
        <v>85</v>
      </c>
      <c r="L230" t="s">
        <v>1681</v>
      </c>
      <c r="M230" t="s">
        <v>291</v>
      </c>
      <c r="N230" t="s">
        <v>291</v>
      </c>
      <c r="O230" t="s">
        <v>72</v>
      </c>
      <c r="P230" s="63" t="s">
        <v>1732</v>
      </c>
      <c r="Q230" t="s">
        <v>75</v>
      </c>
      <c r="R230" t="s">
        <v>286</v>
      </c>
      <c r="S230" t="s">
        <v>1671</v>
      </c>
      <c r="T230" s="63" t="s">
        <v>1878</v>
      </c>
      <c r="U230" s="42">
        <v>3.718</v>
      </c>
      <c r="V230" s="44">
        <v>123.366</v>
      </c>
      <c r="W230" s="44">
        <v>458.67500000000001</v>
      </c>
      <c r="X230" s="45">
        <v>0</v>
      </c>
      <c r="Y230" s="45">
        <v>3.0597334974012898E-2</v>
      </c>
      <c r="Z230" s="45">
        <v>3.0530007078088798E-3</v>
      </c>
    </row>
    <row r="231" spans="1:26" x14ac:dyDescent="0.25">
      <c r="A231">
        <v>424</v>
      </c>
      <c r="B231">
        <v>7229</v>
      </c>
      <c r="C231" t="s">
        <v>1872</v>
      </c>
      <c r="D231" t="s">
        <v>1873</v>
      </c>
      <c r="E231" t="s">
        <v>613</v>
      </c>
      <c r="F231" t="s">
        <v>1879</v>
      </c>
      <c r="G231">
        <v>62014857</v>
      </c>
      <c r="H231" t="s">
        <v>111</v>
      </c>
      <c r="I231" t="s">
        <v>1668</v>
      </c>
      <c r="J231" t="s">
        <v>1875</v>
      </c>
      <c r="K231" t="s">
        <v>85</v>
      </c>
      <c r="L231" t="s">
        <v>1681</v>
      </c>
      <c r="M231" t="s">
        <v>291</v>
      </c>
      <c r="N231" t="s">
        <v>215</v>
      </c>
      <c r="O231" t="s">
        <v>72</v>
      </c>
      <c r="P231" s="63" t="s">
        <v>1880</v>
      </c>
      <c r="Q231" t="s">
        <v>75</v>
      </c>
      <c r="R231" t="s">
        <v>1555</v>
      </c>
      <c r="S231" t="s">
        <v>1671</v>
      </c>
      <c r="T231" s="63" t="s">
        <v>1455</v>
      </c>
      <c r="U231" s="42">
        <v>3.718</v>
      </c>
      <c r="V231" s="44">
        <v>122.785</v>
      </c>
      <c r="W231" s="44">
        <v>456.51400000000001</v>
      </c>
      <c r="X231" s="45">
        <v>1.44E-4</v>
      </c>
      <c r="Y231" s="45">
        <v>3.04531416406464E-2</v>
      </c>
      <c r="Z231" s="45">
        <v>3.0386131034896499E-3</v>
      </c>
    </row>
    <row r="232" spans="1:26" x14ac:dyDescent="0.25">
      <c r="A232">
        <v>424</v>
      </c>
      <c r="B232">
        <v>7229</v>
      </c>
      <c r="C232" t="s">
        <v>1872</v>
      </c>
      <c r="D232" t="s">
        <v>1873</v>
      </c>
      <c r="E232" t="s">
        <v>613</v>
      </c>
      <c r="F232" t="s">
        <v>1881</v>
      </c>
      <c r="G232">
        <v>62019476</v>
      </c>
      <c r="H232" t="s">
        <v>111</v>
      </c>
      <c r="I232" t="s">
        <v>1668</v>
      </c>
      <c r="J232" t="s">
        <v>1875</v>
      </c>
      <c r="K232" t="s">
        <v>85</v>
      </c>
      <c r="L232" t="s">
        <v>1681</v>
      </c>
      <c r="M232" t="s">
        <v>291</v>
      </c>
      <c r="N232" t="s">
        <v>215</v>
      </c>
      <c r="O232" t="s">
        <v>72</v>
      </c>
      <c r="P232" s="63" t="s">
        <v>1785</v>
      </c>
      <c r="Q232" t="s">
        <v>75</v>
      </c>
      <c r="R232" t="s">
        <v>286</v>
      </c>
      <c r="S232" t="s">
        <v>1671</v>
      </c>
      <c r="T232" s="63" t="s">
        <v>1455</v>
      </c>
      <c r="U232" s="42">
        <v>3.718</v>
      </c>
      <c r="V232" s="44">
        <v>87.893000000000001</v>
      </c>
      <c r="W232" s="44">
        <v>326.786</v>
      </c>
      <c r="X232" s="45">
        <v>8.2999999999999998E-5</v>
      </c>
      <c r="Y232" s="45">
        <v>2.1799249079972001E-2</v>
      </c>
      <c r="Z232" s="45">
        <v>2.17512809293299E-3</v>
      </c>
    </row>
    <row r="233" spans="1:26" x14ac:dyDescent="0.25">
      <c r="A233">
        <v>424</v>
      </c>
      <c r="B233">
        <v>7229</v>
      </c>
      <c r="C233" t="s">
        <v>1872</v>
      </c>
      <c r="D233" t="s">
        <v>1873</v>
      </c>
      <c r="E233" t="s">
        <v>613</v>
      </c>
      <c r="F233" t="s">
        <v>1886</v>
      </c>
      <c r="G233">
        <v>62020458</v>
      </c>
      <c r="H233" t="s">
        <v>111</v>
      </c>
      <c r="I233" t="s">
        <v>1668</v>
      </c>
      <c r="J233" t="s">
        <v>1788</v>
      </c>
      <c r="K233" t="s">
        <v>85</v>
      </c>
      <c r="L233" t="s">
        <v>1681</v>
      </c>
      <c r="M233" t="s">
        <v>291</v>
      </c>
      <c r="N233" t="s">
        <v>215</v>
      </c>
      <c r="O233" t="s">
        <v>72</v>
      </c>
      <c r="P233" s="63" t="s">
        <v>1887</v>
      </c>
      <c r="Q233" t="s">
        <v>75</v>
      </c>
      <c r="R233" t="s">
        <v>286</v>
      </c>
      <c r="S233" t="s">
        <v>1671</v>
      </c>
      <c r="T233" s="63" t="s">
        <v>1455</v>
      </c>
      <c r="U233" s="42">
        <v>3.718</v>
      </c>
      <c r="V233" s="44">
        <v>99.009</v>
      </c>
      <c r="W233" s="44">
        <v>368.11500000000001</v>
      </c>
      <c r="X233" s="45">
        <v>5.0000000000000002E-5</v>
      </c>
      <c r="Y233" s="45">
        <v>2.4556206524046699E-2</v>
      </c>
      <c r="Z233" s="45">
        <v>2.4502171827281601E-3</v>
      </c>
    </row>
    <row r="234" spans="1:26" x14ac:dyDescent="0.25">
      <c r="A234">
        <v>424</v>
      </c>
      <c r="B234">
        <v>7229</v>
      </c>
      <c r="C234" t="s">
        <v>1872</v>
      </c>
      <c r="D234" t="s">
        <v>1873</v>
      </c>
      <c r="E234" t="s">
        <v>613</v>
      </c>
      <c r="F234" t="s">
        <v>1888</v>
      </c>
      <c r="G234">
        <v>62017678</v>
      </c>
      <c r="H234" t="s">
        <v>111</v>
      </c>
      <c r="I234" t="s">
        <v>1668</v>
      </c>
      <c r="J234" t="s">
        <v>1788</v>
      </c>
      <c r="K234" t="s">
        <v>85</v>
      </c>
      <c r="L234" t="s">
        <v>1681</v>
      </c>
      <c r="M234" t="s">
        <v>291</v>
      </c>
      <c r="N234" t="s">
        <v>215</v>
      </c>
      <c r="O234" t="s">
        <v>72</v>
      </c>
      <c r="P234" s="63" t="s">
        <v>1889</v>
      </c>
      <c r="Q234" t="s">
        <v>75</v>
      </c>
      <c r="R234" t="s">
        <v>286</v>
      </c>
      <c r="S234" t="s">
        <v>1671</v>
      </c>
      <c r="T234" s="63" t="s">
        <v>1455</v>
      </c>
      <c r="U234" s="42">
        <v>3.718</v>
      </c>
      <c r="V234" s="44">
        <v>199.523</v>
      </c>
      <c r="W234" s="44">
        <v>741.82799999999997</v>
      </c>
      <c r="X234" s="45">
        <v>3.88E-4</v>
      </c>
      <c r="Y234" s="45">
        <v>4.9485883654217903E-2</v>
      </c>
      <c r="Z234" s="45">
        <v>4.9376992457412297E-3</v>
      </c>
    </row>
    <row r="235" spans="1:26" x14ac:dyDescent="0.25">
      <c r="A235">
        <v>424</v>
      </c>
      <c r="B235">
        <v>7229</v>
      </c>
      <c r="C235" t="s">
        <v>1894</v>
      </c>
      <c r="D235" t="s">
        <v>1895</v>
      </c>
      <c r="E235" t="s">
        <v>613</v>
      </c>
      <c r="F235" t="s">
        <v>1896</v>
      </c>
      <c r="G235">
        <v>62020565</v>
      </c>
      <c r="H235" t="s">
        <v>111</v>
      </c>
      <c r="I235" t="s">
        <v>1668</v>
      </c>
      <c r="J235" t="s">
        <v>1675</v>
      </c>
      <c r="K235" t="s">
        <v>85</v>
      </c>
      <c r="L235" t="s">
        <v>604</v>
      </c>
      <c r="M235" t="s">
        <v>604</v>
      </c>
      <c r="N235" t="s">
        <v>1199</v>
      </c>
      <c r="O235" t="s">
        <v>72</v>
      </c>
      <c r="P235" s="63" t="s">
        <v>1670</v>
      </c>
      <c r="Q235" t="s">
        <v>77</v>
      </c>
      <c r="R235" t="s">
        <v>286</v>
      </c>
      <c r="S235" t="s">
        <v>1671</v>
      </c>
      <c r="T235" s="63" t="s">
        <v>1455</v>
      </c>
      <c r="U235" s="42">
        <v>4.0218999999999996</v>
      </c>
      <c r="V235" s="44">
        <v>100.785</v>
      </c>
      <c r="W235" s="44">
        <v>405.346</v>
      </c>
      <c r="X235" s="45">
        <v>9.2E-5</v>
      </c>
      <c r="Y235" s="45">
        <v>2.70398083374459E-2</v>
      </c>
      <c r="Z235" s="45">
        <v>2.6980308599867499E-3</v>
      </c>
    </row>
    <row r="236" spans="1:26" x14ac:dyDescent="0.25">
      <c r="A236">
        <v>424</v>
      </c>
      <c r="B236">
        <v>7229</v>
      </c>
      <c r="C236" t="s">
        <v>1906</v>
      </c>
      <c r="D236" t="s">
        <v>1907</v>
      </c>
      <c r="E236" t="s">
        <v>613</v>
      </c>
      <c r="F236" t="s">
        <v>1908</v>
      </c>
      <c r="G236">
        <v>77847846</v>
      </c>
      <c r="H236" t="s">
        <v>111</v>
      </c>
      <c r="I236" t="s">
        <v>1668</v>
      </c>
      <c r="J236" t="s">
        <v>1675</v>
      </c>
      <c r="K236" t="s">
        <v>85</v>
      </c>
      <c r="L236" t="s">
        <v>1353</v>
      </c>
      <c r="M236" t="s">
        <v>1353</v>
      </c>
      <c r="N236" t="s">
        <v>291</v>
      </c>
      <c r="O236" t="s">
        <v>72</v>
      </c>
      <c r="P236" s="63" t="s">
        <v>1909</v>
      </c>
      <c r="Q236" t="s">
        <v>75</v>
      </c>
      <c r="R236" t="s">
        <v>1555</v>
      </c>
      <c r="S236" t="s">
        <v>1671</v>
      </c>
      <c r="T236" s="63" t="s">
        <v>1455</v>
      </c>
      <c r="U236" s="42">
        <v>3.718</v>
      </c>
      <c r="V236" s="44">
        <v>277.72800000000001</v>
      </c>
      <c r="W236" s="44">
        <v>1032.5940000000001</v>
      </c>
      <c r="X236" s="45">
        <v>0</v>
      </c>
      <c r="Y236" s="45">
        <v>6.8882357350909404E-2</v>
      </c>
      <c r="Z236" s="45">
        <v>6.87307851897828E-3</v>
      </c>
    </row>
    <row r="237" spans="1:26" x14ac:dyDescent="0.25">
      <c r="A237">
        <v>424</v>
      </c>
      <c r="B237">
        <v>7229</v>
      </c>
      <c r="C237" t="s">
        <v>1918</v>
      </c>
      <c r="D237" t="s">
        <v>1919</v>
      </c>
      <c r="E237" t="s">
        <v>540</v>
      </c>
      <c r="F237" t="s">
        <v>1920</v>
      </c>
      <c r="G237">
        <v>62017652</v>
      </c>
      <c r="H237" t="s">
        <v>111</v>
      </c>
      <c r="I237" t="s">
        <v>1668</v>
      </c>
      <c r="J237" t="s">
        <v>1921</v>
      </c>
      <c r="K237" t="s">
        <v>85</v>
      </c>
      <c r="L237" t="s">
        <v>1681</v>
      </c>
      <c r="M237" t="s">
        <v>291</v>
      </c>
      <c r="N237" t="s">
        <v>215</v>
      </c>
      <c r="O237" t="s">
        <v>72</v>
      </c>
      <c r="P237" s="63" t="s">
        <v>1922</v>
      </c>
      <c r="Q237" t="s">
        <v>75</v>
      </c>
      <c r="R237" t="s">
        <v>286</v>
      </c>
      <c r="S237" t="s">
        <v>1671</v>
      </c>
      <c r="T237" s="63" t="s">
        <v>1455</v>
      </c>
      <c r="U237" s="42">
        <v>3.718</v>
      </c>
      <c r="V237" s="44">
        <v>182.03</v>
      </c>
      <c r="W237" s="44">
        <v>676.78899999999999</v>
      </c>
      <c r="X237" s="45">
        <v>5.5000000000000002E-5</v>
      </c>
      <c r="Y237" s="45">
        <v>4.5147282983881397E-2</v>
      </c>
      <c r="Z237" s="45">
        <v>4.5047938659528502E-3</v>
      </c>
    </row>
    <row r="238" spans="1:26" x14ac:dyDescent="0.25">
      <c r="A238">
        <v>424</v>
      </c>
      <c r="B238">
        <v>7229</v>
      </c>
      <c r="C238" t="s">
        <v>1923</v>
      </c>
      <c r="D238" t="s">
        <v>1924</v>
      </c>
      <c r="E238" t="s">
        <v>540</v>
      </c>
      <c r="F238" t="s">
        <v>1925</v>
      </c>
      <c r="G238">
        <v>62021142</v>
      </c>
      <c r="H238" t="s">
        <v>111</v>
      </c>
      <c r="I238" t="s">
        <v>1668</v>
      </c>
      <c r="J238" t="s">
        <v>1921</v>
      </c>
      <c r="K238" t="s">
        <v>85</v>
      </c>
      <c r="L238" t="s">
        <v>1681</v>
      </c>
      <c r="M238" t="s">
        <v>291</v>
      </c>
      <c r="N238" t="s">
        <v>215</v>
      </c>
      <c r="O238" t="s">
        <v>72</v>
      </c>
      <c r="P238" s="63" t="s">
        <v>1926</v>
      </c>
      <c r="Q238" t="s">
        <v>75</v>
      </c>
      <c r="R238" t="s">
        <v>1555</v>
      </c>
      <c r="S238" t="s">
        <v>1671</v>
      </c>
      <c r="T238" s="63" t="s">
        <v>1455</v>
      </c>
      <c r="U238" s="42">
        <v>3.718</v>
      </c>
      <c r="V238" s="44">
        <v>174.88300000000001</v>
      </c>
      <c r="W238" s="44">
        <v>650.21500000000003</v>
      </c>
      <c r="X238" s="45">
        <v>4.3000000000000002E-5</v>
      </c>
      <c r="Y238" s="45">
        <v>4.33746037625974E-2</v>
      </c>
      <c r="Z238" s="45">
        <v>4.3279160129668101E-3</v>
      </c>
    </row>
    <row r="239" spans="1:26" x14ac:dyDescent="0.25">
      <c r="A239">
        <v>424</v>
      </c>
      <c r="B239">
        <v>7229</v>
      </c>
      <c r="C239" t="s">
        <v>1943</v>
      </c>
      <c r="D239" t="s">
        <v>1944</v>
      </c>
      <c r="E239" t="s">
        <v>540</v>
      </c>
      <c r="F239" t="s">
        <v>1945</v>
      </c>
      <c r="G239">
        <v>62021324</v>
      </c>
      <c r="H239" t="s">
        <v>111</v>
      </c>
      <c r="I239" t="s">
        <v>1668</v>
      </c>
      <c r="J239" t="s">
        <v>1832</v>
      </c>
      <c r="K239" t="s">
        <v>85</v>
      </c>
      <c r="L239" t="s">
        <v>1681</v>
      </c>
      <c r="M239" t="s">
        <v>291</v>
      </c>
      <c r="N239" t="s">
        <v>291</v>
      </c>
      <c r="O239" t="s">
        <v>72</v>
      </c>
      <c r="P239" s="63" t="s">
        <v>1942</v>
      </c>
      <c r="Q239" t="s">
        <v>75</v>
      </c>
      <c r="R239" t="s">
        <v>1555</v>
      </c>
      <c r="S239" t="s">
        <v>1671</v>
      </c>
      <c r="T239" s="63" t="s">
        <v>1455</v>
      </c>
      <c r="U239" s="42">
        <v>3.718</v>
      </c>
      <c r="V239" s="44">
        <v>42.420999999999999</v>
      </c>
      <c r="W239" s="44">
        <v>157.72300000000001</v>
      </c>
      <c r="X239" s="45">
        <v>0</v>
      </c>
      <c r="Y239" s="45">
        <v>1.0521364496555901E-2</v>
      </c>
      <c r="Z239" s="45">
        <v>1.0498212763426001E-3</v>
      </c>
    </row>
    <row r="240" spans="1:26" x14ac:dyDescent="0.25">
      <c r="A240">
        <v>424</v>
      </c>
      <c r="B240">
        <v>7229</v>
      </c>
      <c r="C240" t="s">
        <v>1949</v>
      </c>
      <c r="D240" t="s">
        <v>1950</v>
      </c>
      <c r="E240" t="s">
        <v>613</v>
      </c>
      <c r="F240" t="s">
        <v>1951</v>
      </c>
      <c r="G240">
        <v>62021571</v>
      </c>
      <c r="H240" t="s">
        <v>111</v>
      </c>
      <c r="I240" t="s">
        <v>1668</v>
      </c>
      <c r="J240" t="s">
        <v>1675</v>
      </c>
      <c r="K240" t="s">
        <v>85</v>
      </c>
      <c r="L240" t="s">
        <v>1353</v>
      </c>
      <c r="M240" t="s">
        <v>604</v>
      </c>
      <c r="N240" t="s">
        <v>1199</v>
      </c>
      <c r="O240" t="s">
        <v>72</v>
      </c>
      <c r="P240" s="63" t="s">
        <v>1952</v>
      </c>
      <c r="Q240" t="s">
        <v>77</v>
      </c>
      <c r="R240" t="s">
        <v>286</v>
      </c>
      <c r="S240" t="s">
        <v>1671</v>
      </c>
      <c r="T240" s="63" t="s">
        <v>1455</v>
      </c>
      <c r="U240" s="42">
        <v>4.0218999999999996</v>
      </c>
      <c r="V240" s="44">
        <v>57.344999999999999</v>
      </c>
      <c r="W240" s="44">
        <v>230.63399999999999</v>
      </c>
      <c r="X240" s="45">
        <v>2.22E-4</v>
      </c>
      <c r="Y240" s="45">
        <v>1.53851665683427E-2</v>
      </c>
      <c r="Z240" s="45">
        <v>1.5351312283504899E-3</v>
      </c>
    </row>
    <row r="241" spans="1:26" x14ac:dyDescent="0.25">
      <c r="A241">
        <v>424</v>
      </c>
      <c r="B241">
        <v>7229</v>
      </c>
      <c r="C241" t="s">
        <v>1961</v>
      </c>
      <c r="D241" t="s">
        <v>1962</v>
      </c>
      <c r="E241" t="s">
        <v>540</v>
      </c>
      <c r="F241" t="s">
        <v>1963</v>
      </c>
      <c r="G241">
        <v>62009204</v>
      </c>
      <c r="H241" t="s">
        <v>111</v>
      </c>
      <c r="I241" t="s">
        <v>1668</v>
      </c>
      <c r="J241" t="s">
        <v>1680</v>
      </c>
      <c r="K241" t="s">
        <v>85</v>
      </c>
      <c r="L241" t="s">
        <v>1353</v>
      </c>
      <c r="M241" t="s">
        <v>604</v>
      </c>
      <c r="N241" t="s">
        <v>215</v>
      </c>
      <c r="O241" t="s">
        <v>72</v>
      </c>
      <c r="P241" s="63" t="s">
        <v>1964</v>
      </c>
      <c r="Q241" t="s">
        <v>75</v>
      </c>
      <c r="R241" t="s">
        <v>286</v>
      </c>
      <c r="S241" t="s">
        <v>1671</v>
      </c>
      <c r="T241" s="63" t="s">
        <v>1455</v>
      </c>
      <c r="U241" s="42">
        <v>3.718</v>
      </c>
      <c r="V241" s="44">
        <v>145.74299999999999</v>
      </c>
      <c r="W241" s="44">
        <v>541.87199999999996</v>
      </c>
      <c r="X241" s="45">
        <v>1.46E-4</v>
      </c>
      <c r="Y241" s="45">
        <v>3.6147246172949399E-2</v>
      </c>
      <c r="Z241" s="45">
        <v>3.6067705976708798E-3</v>
      </c>
    </row>
    <row r="242" spans="1:26" x14ac:dyDescent="0.25">
      <c r="A242">
        <v>424</v>
      </c>
      <c r="B242">
        <v>7229</v>
      </c>
      <c r="C242" t="s">
        <v>1965</v>
      </c>
      <c r="D242" t="s">
        <v>1966</v>
      </c>
      <c r="E242" t="s">
        <v>540</v>
      </c>
      <c r="F242" t="s">
        <v>1967</v>
      </c>
      <c r="G242">
        <v>62019807</v>
      </c>
      <c r="H242" t="s">
        <v>111</v>
      </c>
      <c r="I242" t="s">
        <v>1668</v>
      </c>
      <c r="J242" t="s">
        <v>1680</v>
      </c>
      <c r="K242" t="s">
        <v>85</v>
      </c>
      <c r="L242" t="s">
        <v>1353</v>
      </c>
      <c r="M242" t="s">
        <v>604</v>
      </c>
      <c r="N242" t="s">
        <v>215</v>
      </c>
      <c r="O242" t="s">
        <v>72</v>
      </c>
      <c r="P242" s="63" t="s">
        <v>1819</v>
      </c>
      <c r="Q242" t="s">
        <v>75</v>
      </c>
      <c r="R242" t="s">
        <v>1555</v>
      </c>
      <c r="S242" t="s">
        <v>1671</v>
      </c>
      <c r="T242" s="63" t="s">
        <v>1455</v>
      </c>
      <c r="U242" s="42">
        <v>3.718</v>
      </c>
      <c r="V242" s="44">
        <v>250.23400000000001</v>
      </c>
      <c r="W242" s="44">
        <v>930.36900000000003</v>
      </c>
      <c r="X242" s="45">
        <v>1.36E-4</v>
      </c>
      <c r="Y242" s="45">
        <v>6.2063111817903298E-2</v>
      </c>
      <c r="Z242" s="45">
        <v>6.1926545063421302E-3</v>
      </c>
    </row>
    <row r="243" spans="1:26" x14ac:dyDescent="0.25">
      <c r="A243">
        <v>424</v>
      </c>
      <c r="B243">
        <v>7229</v>
      </c>
      <c r="C243" t="s">
        <v>1975</v>
      </c>
      <c r="D243" t="s">
        <v>1976</v>
      </c>
      <c r="E243" t="s">
        <v>540</v>
      </c>
      <c r="F243" t="s">
        <v>1977</v>
      </c>
      <c r="G243">
        <v>62010137</v>
      </c>
      <c r="H243" t="s">
        <v>111</v>
      </c>
      <c r="I243" t="s">
        <v>1668</v>
      </c>
      <c r="J243" t="s">
        <v>1704</v>
      </c>
      <c r="K243" t="s">
        <v>85</v>
      </c>
      <c r="L243" t="s">
        <v>1353</v>
      </c>
      <c r="M243" t="s">
        <v>604</v>
      </c>
      <c r="N243" t="s">
        <v>215</v>
      </c>
      <c r="O243" t="s">
        <v>72</v>
      </c>
      <c r="P243" s="63" t="s">
        <v>1978</v>
      </c>
      <c r="Q243" t="s">
        <v>75</v>
      </c>
      <c r="R243" t="s">
        <v>1555</v>
      </c>
      <c r="S243" t="s">
        <v>1671</v>
      </c>
      <c r="T243" s="63" t="s">
        <v>1455</v>
      </c>
      <c r="U243" s="42">
        <v>3.718</v>
      </c>
      <c r="V243" s="44">
        <v>98.055000000000007</v>
      </c>
      <c r="W243" s="44">
        <v>364.56700000000001</v>
      </c>
      <c r="X243" s="45">
        <v>4.3999999999999999E-5</v>
      </c>
      <c r="Y243" s="45">
        <v>2.4319531855647902E-2</v>
      </c>
      <c r="Z243" s="45">
        <v>2.4266017949580898E-3</v>
      </c>
    </row>
    <row r="244" spans="1:26" x14ac:dyDescent="0.25">
      <c r="A244">
        <v>969</v>
      </c>
      <c r="B244">
        <v>969</v>
      </c>
      <c r="C244" t="s">
        <v>1672</v>
      </c>
      <c r="D244" t="s">
        <v>1673</v>
      </c>
      <c r="E244" t="s">
        <v>420</v>
      </c>
      <c r="F244" t="s">
        <v>1674</v>
      </c>
      <c r="G244">
        <v>62018312</v>
      </c>
      <c r="H244" t="s">
        <v>111</v>
      </c>
      <c r="I244" t="s">
        <v>1668</v>
      </c>
      <c r="J244" t="s">
        <v>1675</v>
      </c>
      <c r="K244" t="s">
        <v>71</v>
      </c>
      <c r="L244" t="s">
        <v>71</v>
      </c>
      <c r="M244" t="s">
        <v>71</v>
      </c>
      <c r="N244" t="s">
        <v>71</v>
      </c>
      <c r="O244" t="s">
        <v>72</v>
      </c>
      <c r="P244" s="63" t="s">
        <v>1676</v>
      </c>
      <c r="Q244" t="s">
        <v>75</v>
      </c>
      <c r="R244" t="s">
        <v>1555</v>
      </c>
      <c r="S244" t="s">
        <v>1671</v>
      </c>
      <c r="T244" s="63" t="s">
        <v>1455</v>
      </c>
      <c r="U244" s="42">
        <v>3.718</v>
      </c>
      <c r="V244" s="44">
        <v>152.99799999999999</v>
      </c>
      <c r="W244" s="44">
        <v>568.84699999999998</v>
      </c>
      <c r="X244" s="45">
        <v>8.3999999999999995E-5</v>
      </c>
      <c r="Y244" s="45">
        <v>5.6844177654731098E-2</v>
      </c>
      <c r="Z244" s="45">
        <v>7.7648275227577999E-3</v>
      </c>
    </row>
    <row r="245" spans="1:26" x14ac:dyDescent="0.25">
      <c r="A245">
        <v>969</v>
      </c>
      <c r="B245">
        <v>969</v>
      </c>
      <c r="C245" t="s">
        <v>1692</v>
      </c>
      <c r="D245" t="s">
        <v>1693</v>
      </c>
      <c r="E245" t="s">
        <v>540</v>
      </c>
      <c r="F245" t="s">
        <v>1694</v>
      </c>
      <c r="G245">
        <v>60415775</v>
      </c>
      <c r="H245" t="s">
        <v>111</v>
      </c>
      <c r="I245" t="s">
        <v>1668</v>
      </c>
      <c r="J245" t="s">
        <v>1695</v>
      </c>
      <c r="K245" t="s">
        <v>85</v>
      </c>
      <c r="L245" t="s">
        <v>1681</v>
      </c>
      <c r="M245" t="s">
        <v>71</v>
      </c>
      <c r="N245" t="s">
        <v>71</v>
      </c>
      <c r="O245" t="s">
        <v>72</v>
      </c>
      <c r="P245" s="63" t="s">
        <v>2074</v>
      </c>
      <c r="Q245" t="s">
        <v>75</v>
      </c>
      <c r="R245" t="s">
        <v>1555</v>
      </c>
      <c r="S245" t="s">
        <v>1671</v>
      </c>
      <c r="T245" s="63" t="s">
        <v>1455</v>
      </c>
      <c r="U245" s="42">
        <v>3.718</v>
      </c>
      <c r="V245" s="44">
        <v>107.04900000000001</v>
      </c>
      <c r="W245" s="44">
        <v>398.00799999999998</v>
      </c>
      <c r="X245" s="45">
        <v>5.0000000000000001E-4</v>
      </c>
      <c r="Y245" s="45">
        <v>3.9772475571037802E-2</v>
      </c>
      <c r="Z245" s="45">
        <v>5.4328591898717303E-3</v>
      </c>
    </row>
    <row r="246" spans="1:26" x14ac:dyDescent="0.25">
      <c r="A246">
        <v>969</v>
      </c>
      <c r="B246">
        <v>969</v>
      </c>
      <c r="C246" t="s">
        <v>1701</v>
      </c>
      <c r="D246" t="s">
        <v>1702</v>
      </c>
      <c r="E246" t="s">
        <v>111</v>
      </c>
      <c r="F246" t="s">
        <v>1703</v>
      </c>
      <c r="G246">
        <v>62001189</v>
      </c>
      <c r="H246" t="s">
        <v>111</v>
      </c>
      <c r="I246" t="s">
        <v>1668</v>
      </c>
      <c r="J246" t="s">
        <v>1704</v>
      </c>
      <c r="K246" t="s">
        <v>71</v>
      </c>
      <c r="L246" t="s">
        <v>1681</v>
      </c>
      <c r="M246" t="s">
        <v>71</v>
      </c>
      <c r="N246" t="s">
        <v>71</v>
      </c>
      <c r="O246" t="s">
        <v>72</v>
      </c>
      <c r="P246" s="63" t="s">
        <v>2072</v>
      </c>
      <c r="Q246" t="s">
        <v>75</v>
      </c>
      <c r="R246" t="s">
        <v>1555</v>
      </c>
      <c r="S246" t="s">
        <v>1671</v>
      </c>
      <c r="T246" s="63" t="s">
        <v>1455</v>
      </c>
      <c r="U246" s="42">
        <v>3.718</v>
      </c>
      <c r="V246" s="44">
        <v>39.435000000000002</v>
      </c>
      <c r="W246" s="44">
        <v>146.61799999999999</v>
      </c>
      <c r="X246" s="45">
        <v>4.7199999999999998E-4</v>
      </c>
      <c r="Y246" s="45">
        <v>1.4651366115280499E-2</v>
      </c>
      <c r="Z246" s="45">
        <v>2.0013541500931899E-3</v>
      </c>
    </row>
    <row r="247" spans="1:26" x14ac:dyDescent="0.25">
      <c r="A247">
        <v>969</v>
      </c>
      <c r="B247">
        <v>969</v>
      </c>
      <c r="C247" t="s">
        <v>1706</v>
      </c>
      <c r="D247" t="s">
        <v>1707</v>
      </c>
      <c r="E247" t="s">
        <v>111</v>
      </c>
      <c r="F247" t="s">
        <v>1706</v>
      </c>
      <c r="G247">
        <v>60401809</v>
      </c>
      <c r="H247" t="s">
        <v>111</v>
      </c>
      <c r="I247" t="s">
        <v>1668</v>
      </c>
      <c r="J247" t="s">
        <v>1708</v>
      </c>
      <c r="K247" t="s">
        <v>85</v>
      </c>
      <c r="L247" t="s">
        <v>1681</v>
      </c>
      <c r="M247" t="s">
        <v>71</v>
      </c>
      <c r="N247" t="s">
        <v>291</v>
      </c>
      <c r="O247" t="s">
        <v>72</v>
      </c>
      <c r="P247" s="63" t="s">
        <v>2075</v>
      </c>
      <c r="Q247" t="s">
        <v>75</v>
      </c>
      <c r="R247" t="s">
        <v>1555</v>
      </c>
      <c r="S247" t="s">
        <v>1671</v>
      </c>
      <c r="T247" s="63" t="s">
        <v>1455</v>
      </c>
      <c r="U247" s="42">
        <v>3.718</v>
      </c>
      <c r="V247" s="44">
        <v>195.47200000000001</v>
      </c>
      <c r="W247" s="44">
        <v>726.76599999999996</v>
      </c>
      <c r="X247" s="45">
        <v>9.8999999999999999E-4</v>
      </c>
      <c r="Y247" s="45">
        <v>7.2624822387959795E-2</v>
      </c>
      <c r="Z247" s="45">
        <v>9.9204394008238998E-3</v>
      </c>
    </row>
    <row r="248" spans="1:26" x14ac:dyDescent="0.25">
      <c r="A248">
        <v>969</v>
      </c>
      <c r="B248">
        <v>969</v>
      </c>
      <c r="C248" t="s">
        <v>1710</v>
      </c>
      <c r="D248" t="s">
        <v>1711</v>
      </c>
      <c r="E248" t="s">
        <v>540</v>
      </c>
      <c r="F248" t="s">
        <v>1712</v>
      </c>
      <c r="G248">
        <v>50000983</v>
      </c>
      <c r="H248" t="s">
        <v>111</v>
      </c>
      <c r="I248" t="s">
        <v>1668</v>
      </c>
      <c r="J248" t="s">
        <v>1713</v>
      </c>
      <c r="K248" t="s">
        <v>85</v>
      </c>
      <c r="L248" t="s">
        <v>1681</v>
      </c>
      <c r="M248" t="s">
        <v>71</v>
      </c>
      <c r="N248" t="s">
        <v>215</v>
      </c>
      <c r="O248" t="s">
        <v>72</v>
      </c>
      <c r="P248" s="63" t="s">
        <v>1714</v>
      </c>
      <c r="Q248" t="s">
        <v>81</v>
      </c>
      <c r="R248" t="s">
        <v>1555</v>
      </c>
      <c r="S248" t="s">
        <v>1671</v>
      </c>
      <c r="T248" s="63" t="s">
        <v>1455</v>
      </c>
      <c r="U248" s="42">
        <v>1</v>
      </c>
      <c r="V248" s="44">
        <v>97.007999999999996</v>
      </c>
      <c r="W248" s="44">
        <v>97.007999999999996</v>
      </c>
      <c r="X248" s="45">
        <v>9.1000000000000003E-5</v>
      </c>
      <c r="Y248" s="45">
        <v>9.6939369146165997E-3</v>
      </c>
      <c r="Z248" s="45">
        <v>1.3241769212616601E-3</v>
      </c>
    </row>
    <row r="249" spans="1:26" x14ac:dyDescent="0.25">
      <c r="A249">
        <v>969</v>
      </c>
      <c r="B249">
        <v>969</v>
      </c>
      <c r="C249" t="s">
        <v>1719</v>
      </c>
      <c r="D249" t="s">
        <v>1720</v>
      </c>
      <c r="E249" t="s">
        <v>1721</v>
      </c>
      <c r="F249" t="s">
        <v>1722</v>
      </c>
      <c r="G249">
        <v>60364742</v>
      </c>
      <c r="H249" t="s">
        <v>111</v>
      </c>
      <c r="I249" t="s">
        <v>1668</v>
      </c>
      <c r="J249" t="s">
        <v>1708</v>
      </c>
      <c r="K249" t="s">
        <v>71</v>
      </c>
      <c r="L249" t="s">
        <v>1681</v>
      </c>
      <c r="M249" t="s">
        <v>71</v>
      </c>
      <c r="N249" t="s">
        <v>71</v>
      </c>
      <c r="O249" t="s">
        <v>72</v>
      </c>
      <c r="P249" s="63" t="s">
        <v>2076</v>
      </c>
      <c r="Q249" t="s">
        <v>75</v>
      </c>
      <c r="R249" t="s">
        <v>1555</v>
      </c>
      <c r="S249" t="s">
        <v>1671</v>
      </c>
      <c r="T249" s="63" t="s">
        <v>1455</v>
      </c>
      <c r="U249" s="42">
        <v>3.718</v>
      </c>
      <c r="V249" s="44">
        <v>97.727999999999994</v>
      </c>
      <c r="W249" s="44">
        <v>363.35399999999998</v>
      </c>
      <c r="X249" s="45">
        <v>2.2729999999999998E-3</v>
      </c>
      <c r="Y249" s="45">
        <v>3.6309544242324597E-2</v>
      </c>
      <c r="Z249" s="45">
        <v>4.95982807921102E-3</v>
      </c>
    </row>
    <row r="250" spans="1:26" x14ac:dyDescent="0.25">
      <c r="A250">
        <v>969</v>
      </c>
      <c r="B250">
        <v>969</v>
      </c>
      <c r="C250" t="s">
        <v>1719</v>
      </c>
      <c r="D250" t="s">
        <v>1720</v>
      </c>
      <c r="E250" t="s">
        <v>1721</v>
      </c>
      <c r="F250" t="s">
        <v>1723</v>
      </c>
      <c r="G250">
        <v>62002785</v>
      </c>
      <c r="H250" t="s">
        <v>111</v>
      </c>
      <c r="I250" t="s">
        <v>1668</v>
      </c>
      <c r="J250" t="s">
        <v>1708</v>
      </c>
      <c r="K250" t="s">
        <v>71</v>
      </c>
      <c r="L250" t="s">
        <v>1681</v>
      </c>
      <c r="M250" t="s">
        <v>71</v>
      </c>
      <c r="N250" t="s">
        <v>71</v>
      </c>
      <c r="O250" t="s">
        <v>72</v>
      </c>
      <c r="P250" s="63" t="s">
        <v>2073</v>
      </c>
      <c r="Q250" t="s">
        <v>75</v>
      </c>
      <c r="R250" t="s">
        <v>1555</v>
      </c>
      <c r="S250" t="s">
        <v>1671</v>
      </c>
      <c r="T250" s="63" t="s">
        <v>1455</v>
      </c>
      <c r="U250" s="42">
        <v>3.718</v>
      </c>
      <c r="V250" s="44">
        <v>51.968000000000004</v>
      </c>
      <c r="W250" s="44">
        <v>193.21799999999999</v>
      </c>
      <c r="X250" s="45">
        <v>4.15E-4</v>
      </c>
      <c r="Y250" s="45">
        <v>1.9308083722543699E-2</v>
      </c>
      <c r="Z250" s="45">
        <v>2.63745463627164E-3</v>
      </c>
    </row>
    <row r="251" spans="1:26" x14ac:dyDescent="0.25">
      <c r="A251">
        <v>969</v>
      </c>
      <c r="B251">
        <v>969</v>
      </c>
      <c r="C251" t="s">
        <v>1745</v>
      </c>
      <c r="D251" t="s">
        <v>1746</v>
      </c>
      <c r="E251" t="s">
        <v>286</v>
      </c>
      <c r="F251" t="s">
        <v>1747</v>
      </c>
      <c r="G251">
        <v>60406600</v>
      </c>
      <c r="H251" t="s">
        <v>111</v>
      </c>
      <c r="I251" t="s">
        <v>1668</v>
      </c>
      <c r="J251" t="s">
        <v>1748</v>
      </c>
      <c r="K251" t="s">
        <v>85</v>
      </c>
      <c r="L251" t="s">
        <v>1681</v>
      </c>
      <c r="M251" t="s">
        <v>71</v>
      </c>
      <c r="N251" t="s">
        <v>71</v>
      </c>
      <c r="O251" t="s">
        <v>72</v>
      </c>
      <c r="P251" s="63" t="s">
        <v>2077</v>
      </c>
      <c r="Q251" t="s">
        <v>75</v>
      </c>
      <c r="R251" t="s">
        <v>1555</v>
      </c>
      <c r="S251" t="s">
        <v>1671</v>
      </c>
      <c r="T251" s="63" t="s">
        <v>1455</v>
      </c>
      <c r="U251" s="42">
        <v>3.718</v>
      </c>
      <c r="V251" s="44">
        <v>206.83</v>
      </c>
      <c r="W251" s="44">
        <v>768.99199999999996</v>
      </c>
      <c r="X251" s="45">
        <v>0</v>
      </c>
      <c r="Y251" s="45">
        <v>7.6844451804174499E-2</v>
      </c>
      <c r="Z251" s="45">
        <v>1.04968343101825E-2</v>
      </c>
    </row>
    <row r="252" spans="1:26" x14ac:dyDescent="0.25">
      <c r="A252">
        <v>969</v>
      </c>
      <c r="B252">
        <v>969</v>
      </c>
      <c r="C252" t="s">
        <v>1769</v>
      </c>
      <c r="E252" t="s">
        <v>286</v>
      </c>
      <c r="F252" t="s">
        <v>1772</v>
      </c>
      <c r="G252">
        <v>62007349</v>
      </c>
      <c r="H252" t="s">
        <v>111</v>
      </c>
      <c r="I252" t="s">
        <v>1668</v>
      </c>
      <c r="J252" t="s">
        <v>1704</v>
      </c>
      <c r="K252" t="s">
        <v>85</v>
      </c>
      <c r="L252" t="s">
        <v>1681</v>
      </c>
      <c r="M252" t="s">
        <v>71</v>
      </c>
      <c r="N252" t="s">
        <v>71</v>
      </c>
      <c r="O252" t="s">
        <v>72</v>
      </c>
      <c r="P252" s="63" t="s">
        <v>1773</v>
      </c>
      <c r="Q252" t="s">
        <v>75</v>
      </c>
      <c r="R252" t="s">
        <v>1555</v>
      </c>
      <c r="S252" t="s">
        <v>1671</v>
      </c>
      <c r="T252" s="63" t="s">
        <v>1455</v>
      </c>
      <c r="U252" s="42">
        <v>3.718</v>
      </c>
      <c r="V252" s="44">
        <v>118.21</v>
      </c>
      <c r="W252" s="44">
        <v>439.505</v>
      </c>
      <c r="X252" s="45">
        <v>4.1899999999999999E-4</v>
      </c>
      <c r="Y252" s="45">
        <v>4.3919252216479097E-2</v>
      </c>
      <c r="Z252" s="45">
        <v>5.9993025224294996E-3</v>
      </c>
    </row>
    <row r="253" spans="1:26" x14ac:dyDescent="0.25">
      <c r="A253">
        <v>969</v>
      </c>
      <c r="B253">
        <v>969</v>
      </c>
      <c r="C253" t="s">
        <v>1672</v>
      </c>
      <c r="D253" t="s">
        <v>1673</v>
      </c>
      <c r="E253" t="s">
        <v>420</v>
      </c>
      <c r="F253" t="s">
        <v>1794</v>
      </c>
      <c r="G253">
        <v>60400892</v>
      </c>
      <c r="H253" t="s">
        <v>111</v>
      </c>
      <c r="I253" t="s">
        <v>1668</v>
      </c>
      <c r="J253" t="s">
        <v>1675</v>
      </c>
      <c r="K253" t="s">
        <v>71</v>
      </c>
      <c r="L253" t="s">
        <v>71</v>
      </c>
      <c r="M253" t="s">
        <v>71</v>
      </c>
      <c r="N253" t="s">
        <v>71</v>
      </c>
      <c r="O253" t="s">
        <v>72</v>
      </c>
      <c r="P253" s="63" t="s">
        <v>2078</v>
      </c>
      <c r="Q253" t="s">
        <v>75</v>
      </c>
      <c r="R253" t="s">
        <v>1555</v>
      </c>
      <c r="S253" t="s">
        <v>1671</v>
      </c>
      <c r="T253" s="63" t="s">
        <v>1455</v>
      </c>
      <c r="U253" s="42">
        <v>3.718</v>
      </c>
      <c r="V253" s="44">
        <v>478.30599999999998</v>
      </c>
      <c r="W253" s="44">
        <v>1778.3409999999999</v>
      </c>
      <c r="X253" s="45">
        <v>0</v>
      </c>
      <c r="Y253" s="45">
        <v>0.17770748265182901</v>
      </c>
      <c r="Z253" s="45">
        <v>2.4274569696058901E-2</v>
      </c>
    </row>
    <row r="254" spans="1:26" x14ac:dyDescent="0.25">
      <c r="A254">
        <v>969</v>
      </c>
      <c r="B254">
        <v>969</v>
      </c>
      <c r="C254" t="s">
        <v>1781</v>
      </c>
      <c r="D254" t="s">
        <v>1782</v>
      </c>
      <c r="E254" t="s">
        <v>210</v>
      </c>
      <c r="F254" t="s">
        <v>1781</v>
      </c>
      <c r="G254">
        <v>18952</v>
      </c>
      <c r="H254" t="s">
        <v>111</v>
      </c>
      <c r="I254" t="s">
        <v>1668</v>
      </c>
      <c r="J254" t="s">
        <v>1784</v>
      </c>
      <c r="K254" t="s">
        <v>71</v>
      </c>
      <c r="L254" t="s">
        <v>71</v>
      </c>
      <c r="M254" t="s">
        <v>71</v>
      </c>
      <c r="N254" t="s">
        <v>71</v>
      </c>
      <c r="O254" t="s">
        <v>72</v>
      </c>
      <c r="P254" s="63" t="s">
        <v>1796</v>
      </c>
      <c r="Q254" t="s">
        <v>81</v>
      </c>
      <c r="R254" t="s">
        <v>1555</v>
      </c>
      <c r="S254" t="s">
        <v>1671</v>
      </c>
      <c r="T254" s="63" t="s">
        <v>1455</v>
      </c>
      <c r="U254" s="42">
        <v>1</v>
      </c>
      <c r="V254" s="44">
        <v>71.090999999999994</v>
      </c>
      <c r="W254" s="44">
        <v>71.090999999999994</v>
      </c>
      <c r="X254" s="45">
        <v>1.8100000000000001E-4</v>
      </c>
      <c r="Y254" s="45">
        <v>7.1040115716929598E-3</v>
      </c>
      <c r="Z254" s="45">
        <v>9.7039708989932899E-4</v>
      </c>
    </row>
    <row r="255" spans="1:26" x14ac:dyDescent="0.25">
      <c r="A255">
        <v>969</v>
      </c>
      <c r="B255">
        <v>969</v>
      </c>
      <c r="C255" t="s">
        <v>1824</v>
      </c>
      <c r="D255" t="s">
        <v>1825</v>
      </c>
      <c r="E255" t="s">
        <v>540</v>
      </c>
      <c r="F255" t="s">
        <v>1826</v>
      </c>
      <c r="G255">
        <v>62013909</v>
      </c>
      <c r="H255" t="s">
        <v>111</v>
      </c>
      <c r="I255" t="s">
        <v>1668</v>
      </c>
      <c r="J255" t="s">
        <v>1827</v>
      </c>
      <c r="K255" t="s">
        <v>85</v>
      </c>
      <c r="L255" t="s">
        <v>1681</v>
      </c>
      <c r="M255" t="s">
        <v>291</v>
      </c>
      <c r="N255" t="s">
        <v>291</v>
      </c>
      <c r="O255" t="s">
        <v>72</v>
      </c>
      <c r="P255" s="63" t="s">
        <v>1828</v>
      </c>
      <c r="Q255" t="s">
        <v>75</v>
      </c>
      <c r="R255" t="s">
        <v>1555</v>
      </c>
      <c r="S255" t="s">
        <v>1671</v>
      </c>
      <c r="T255" s="63" t="s">
        <v>1455</v>
      </c>
      <c r="U255" s="42">
        <v>3.718</v>
      </c>
      <c r="V255" s="44">
        <v>56.524999999999999</v>
      </c>
      <c r="W255" s="44">
        <v>210.15899999999999</v>
      </c>
      <c r="X255" s="45">
        <v>1.333E-3</v>
      </c>
      <c r="Y255" s="45">
        <v>2.10009549566815E-2</v>
      </c>
      <c r="Z255" s="45">
        <v>2.8686982516012401E-3</v>
      </c>
    </row>
    <row r="256" spans="1:26" x14ac:dyDescent="0.25">
      <c r="A256">
        <v>969</v>
      </c>
      <c r="B256">
        <v>969</v>
      </c>
      <c r="C256" t="s">
        <v>1834</v>
      </c>
      <c r="D256" t="s">
        <v>1835</v>
      </c>
      <c r="E256" t="s">
        <v>540</v>
      </c>
      <c r="F256" t="s">
        <v>1836</v>
      </c>
      <c r="G256">
        <v>60419041</v>
      </c>
      <c r="H256" t="s">
        <v>111</v>
      </c>
      <c r="I256" t="s">
        <v>1668</v>
      </c>
      <c r="J256" t="s">
        <v>1704</v>
      </c>
      <c r="K256" t="s">
        <v>85</v>
      </c>
      <c r="L256" t="s">
        <v>1681</v>
      </c>
      <c r="M256" t="s">
        <v>291</v>
      </c>
      <c r="N256" t="s">
        <v>215</v>
      </c>
      <c r="O256" t="s">
        <v>72</v>
      </c>
      <c r="P256" s="63" t="s">
        <v>2079</v>
      </c>
      <c r="Q256" t="s">
        <v>75</v>
      </c>
      <c r="R256" t="s">
        <v>1555</v>
      </c>
      <c r="S256" t="s">
        <v>1671</v>
      </c>
      <c r="T256" s="63" t="s">
        <v>1455</v>
      </c>
      <c r="U256" s="42">
        <v>3.718</v>
      </c>
      <c r="V256" s="44">
        <v>44.235999999999997</v>
      </c>
      <c r="W256" s="44">
        <v>164.471</v>
      </c>
      <c r="X256" s="45">
        <v>2.5000000000000001E-5</v>
      </c>
      <c r="Y256" s="45">
        <v>1.64353716920877E-2</v>
      </c>
      <c r="Z256" s="45">
        <v>2.2450465769180698E-3</v>
      </c>
    </row>
    <row r="257" spans="1:26" x14ac:dyDescent="0.25">
      <c r="A257">
        <v>969</v>
      </c>
      <c r="B257">
        <v>969</v>
      </c>
      <c r="C257" t="s">
        <v>1838</v>
      </c>
      <c r="D257" t="s">
        <v>1839</v>
      </c>
      <c r="E257" t="s">
        <v>540</v>
      </c>
      <c r="F257" t="s">
        <v>1840</v>
      </c>
      <c r="G257">
        <v>62016654</v>
      </c>
      <c r="H257" t="s">
        <v>111</v>
      </c>
      <c r="I257" t="s">
        <v>1668</v>
      </c>
      <c r="J257" t="s">
        <v>1704</v>
      </c>
      <c r="K257" t="s">
        <v>85</v>
      </c>
      <c r="L257" t="s">
        <v>1681</v>
      </c>
      <c r="M257" t="s">
        <v>291</v>
      </c>
      <c r="N257" t="s">
        <v>215</v>
      </c>
      <c r="O257" t="s">
        <v>72</v>
      </c>
      <c r="P257" s="63" t="s">
        <v>1841</v>
      </c>
      <c r="Q257" t="s">
        <v>75</v>
      </c>
      <c r="R257" t="s">
        <v>1555</v>
      </c>
      <c r="S257" t="s">
        <v>1671</v>
      </c>
      <c r="T257" s="63" t="s">
        <v>1455</v>
      </c>
      <c r="U257" s="42">
        <v>3.718</v>
      </c>
      <c r="V257" s="44">
        <v>107.562</v>
      </c>
      <c r="W257" s="44">
        <v>399.91699999999997</v>
      </c>
      <c r="X257" s="45">
        <v>1.7E-5</v>
      </c>
      <c r="Y257" s="45">
        <v>3.9963219829660501E-2</v>
      </c>
      <c r="Z257" s="45">
        <v>5.4589145631794003E-3</v>
      </c>
    </row>
    <row r="258" spans="1:26" x14ac:dyDescent="0.25">
      <c r="A258">
        <v>969</v>
      </c>
      <c r="B258">
        <v>969</v>
      </c>
      <c r="C258" t="s">
        <v>1846</v>
      </c>
      <c r="D258" t="s">
        <v>1847</v>
      </c>
      <c r="E258" t="s">
        <v>613</v>
      </c>
      <c r="F258" t="s">
        <v>1848</v>
      </c>
      <c r="G258">
        <v>62018064</v>
      </c>
      <c r="H258" t="s">
        <v>111</v>
      </c>
      <c r="I258" t="s">
        <v>1668</v>
      </c>
      <c r="J258" t="s">
        <v>1695</v>
      </c>
      <c r="K258" t="s">
        <v>85</v>
      </c>
      <c r="L258" t="s">
        <v>1681</v>
      </c>
      <c r="M258" t="s">
        <v>291</v>
      </c>
      <c r="N258" t="s">
        <v>1343</v>
      </c>
      <c r="O258" t="s">
        <v>72</v>
      </c>
      <c r="P258" s="63" t="s">
        <v>1615</v>
      </c>
      <c r="Q258" t="s">
        <v>75</v>
      </c>
      <c r="R258" t="s">
        <v>286</v>
      </c>
      <c r="S258" t="s">
        <v>1671</v>
      </c>
      <c r="T258" s="63" t="s">
        <v>1455</v>
      </c>
      <c r="U258" s="42">
        <v>3.718</v>
      </c>
      <c r="V258" s="44">
        <v>0.82399999999999995</v>
      </c>
      <c r="W258" s="44">
        <v>3.0630000000000002</v>
      </c>
      <c r="X258" s="45">
        <v>8.7999999999999998E-5</v>
      </c>
      <c r="Y258" s="45">
        <v>3.06101184729478E-4</v>
      </c>
      <c r="Z258" s="45">
        <v>4.1812952566099803E-5</v>
      </c>
    </row>
    <row r="259" spans="1:26" x14ac:dyDescent="0.25">
      <c r="A259">
        <v>969</v>
      </c>
      <c r="B259">
        <v>969</v>
      </c>
      <c r="C259" t="s">
        <v>1872</v>
      </c>
      <c r="D259" t="s">
        <v>1873</v>
      </c>
      <c r="E259" t="s">
        <v>613</v>
      </c>
      <c r="F259" t="s">
        <v>1874</v>
      </c>
      <c r="G259">
        <v>62003800</v>
      </c>
      <c r="H259" t="s">
        <v>111</v>
      </c>
      <c r="I259" t="s">
        <v>1668</v>
      </c>
      <c r="J259" t="s">
        <v>1875</v>
      </c>
      <c r="K259" t="s">
        <v>85</v>
      </c>
      <c r="L259" t="s">
        <v>1681</v>
      </c>
      <c r="M259" t="s">
        <v>291</v>
      </c>
      <c r="N259" t="s">
        <v>215</v>
      </c>
      <c r="O259" t="s">
        <v>72</v>
      </c>
      <c r="P259" s="63" t="s">
        <v>1978</v>
      </c>
      <c r="Q259" t="s">
        <v>75</v>
      </c>
      <c r="R259" t="s">
        <v>286</v>
      </c>
      <c r="S259" t="s">
        <v>1671</v>
      </c>
      <c r="T259" s="63" t="s">
        <v>1455</v>
      </c>
      <c r="U259" s="42">
        <v>3.718</v>
      </c>
      <c r="V259" s="44">
        <v>124.883</v>
      </c>
      <c r="W259" s="44">
        <v>464.31400000000002</v>
      </c>
      <c r="X259" s="45">
        <v>3.3599999999999998E-4</v>
      </c>
      <c r="Y259" s="45">
        <v>4.6398335711052403E-2</v>
      </c>
      <c r="Z259" s="45">
        <v>6.3379415272330998E-3</v>
      </c>
    </row>
    <row r="260" spans="1:26" x14ac:dyDescent="0.25">
      <c r="A260">
        <v>969</v>
      </c>
      <c r="B260">
        <v>969</v>
      </c>
      <c r="C260" t="s">
        <v>1872</v>
      </c>
      <c r="D260" t="s">
        <v>1873</v>
      </c>
      <c r="E260" t="s">
        <v>613</v>
      </c>
      <c r="F260" t="s">
        <v>1877</v>
      </c>
      <c r="G260">
        <v>620101031</v>
      </c>
      <c r="H260" t="s">
        <v>111</v>
      </c>
      <c r="I260" t="s">
        <v>1668</v>
      </c>
      <c r="J260" t="s">
        <v>1675</v>
      </c>
      <c r="K260" t="s">
        <v>85</v>
      </c>
      <c r="L260" t="s">
        <v>1681</v>
      </c>
      <c r="M260" t="s">
        <v>291</v>
      </c>
      <c r="N260" t="s">
        <v>291</v>
      </c>
      <c r="O260" t="s">
        <v>72</v>
      </c>
      <c r="P260" s="63" t="s">
        <v>1732</v>
      </c>
      <c r="Q260" t="s">
        <v>75</v>
      </c>
      <c r="R260" t="s">
        <v>286</v>
      </c>
      <c r="S260" t="s">
        <v>1671</v>
      </c>
      <c r="T260" s="63" t="s">
        <v>1878</v>
      </c>
      <c r="U260" s="42">
        <v>3.718</v>
      </c>
      <c r="V260" s="44">
        <v>82.244</v>
      </c>
      <c r="W260" s="44">
        <v>305.78399999999999</v>
      </c>
      <c r="X260" s="45">
        <v>0</v>
      </c>
      <c r="Y260" s="45">
        <v>3.0556578053257798E-2</v>
      </c>
      <c r="Z260" s="45">
        <v>4.1739817173603901E-3</v>
      </c>
    </row>
    <row r="261" spans="1:26" x14ac:dyDescent="0.25">
      <c r="A261">
        <v>969</v>
      </c>
      <c r="B261">
        <v>969</v>
      </c>
      <c r="C261" t="s">
        <v>1872</v>
      </c>
      <c r="D261" t="s">
        <v>1873</v>
      </c>
      <c r="E261" t="s">
        <v>613</v>
      </c>
      <c r="F261" t="s">
        <v>1879</v>
      </c>
      <c r="G261">
        <v>62014857</v>
      </c>
      <c r="H261" t="s">
        <v>111</v>
      </c>
      <c r="I261" t="s">
        <v>1668</v>
      </c>
      <c r="J261" t="s">
        <v>1875</v>
      </c>
      <c r="K261" t="s">
        <v>85</v>
      </c>
      <c r="L261" t="s">
        <v>1681</v>
      </c>
      <c r="M261" t="s">
        <v>291</v>
      </c>
      <c r="N261" t="s">
        <v>215</v>
      </c>
      <c r="O261" t="s">
        <v>72</v>
      </c>
      <c r="P261" s="63" t="s">
        <v>1880</v>
      </c>
      <c r="Q261" t="s">
        <v>75</v>
      </c>
      <c r="R261" t="s">
        <v>1555</v>
      </c>
      <c r="S261" t="s">
        <v>1671</v>
      </c>
      <c r="T261" s="63" t="s">
        <v>1455</v>
      </c>
      <c r="U261" s="42">
        <v>3.718</v>
      </c>
      <c r="V261" s="44">
        <v>81.856999999999999</v>
      </c>
      <c r="W261" s="44">
        <v>304.34199999999998</v>
      </c>
      <c r="X261" s="45">
        <v>9.6000000000000002E-5</v>
      </c>
      <c r="Y261" s="45">
        <v>3.0412576791399099E-2</v>
      </c>
      <c r="Z261" s="45">
        <v>4.1543113657513996E-3</v>
      </c>
    </row>
    <row r="262" spans="1:26" x14ac:dyDescent="0.25">
      <c r="A262">
        <v>969</v>
      </c>
      <c r="B262">
        <v>969</v>
      </c>
      <c r="C262" t="s">
        <v>1872</v>
      </c>
      <c r="D262" t="s">
        <v>1873</v>
      </c>
      <c r="E262" t="s">
        <v>613</v>
      </c>
      <c r="F262" t="s">
        <v>1888</v>
      </c>
      <c r="G262">
        <v>62017678</v>
      </c>
      <c r="H262" t="s">
        <v>111</v>
      </c>
      <c r="I262" t="s">
        <v>1668</v>
      </c>
      <c r="J262" t="s">
        <v>1788</v>
      </c>
      <c r="K262" t="s">
        <v>85</v>
      </c>
      <c r="L262" t="s">
        <v>1681</v>
      </c>
      <c r="M262" t="s">
        <v>291</v>
      </c>
      <c r="N262" t="s">
        <v>215</v>
      </c>
      <c r="O262" t="s">
        <v>72</v>
      </c>
      <c r="P262" s="63" t="s">
        <v>1889</v>
      </c>
      <c r="Q262" t="s">
        <v>75</v>
      </c>
      <c r="R262" t="s">
        <v>286</v>
      </c>
      <c r="S262" t="s">
        <v>1671</v>
      </c>
      <c r="T262" s="63" t="s">
        <v>1455</v>
      </c>
      <c r="U262" s="42">
        <v>3.718</v>
      </c>
      <c r="V262" s="44">
        <v>133.01599999999999</v>
      </c>
      <c r="W262" s="44">
        <v>494.55200000000002</v>
      </c>
      <c r="X262" s="45">
        <v>2.5900000000000001E-4</v>
      </c>
      <c r="Y262" s="45">
        <v>4.9419966402264301E-2</v>
      </c>
      <c r="Z262" s="45">
        <v>6.7506916473464001E-3</v>
      </c>
    </row>
    <row r="263" spans="1:26" x14ac:dyDescent="0.25">
      <c r="A263">
        <v>969</v>
      </c>
      <c r="B263">
        <v>969</v>
      </c>
      <c r="C263" t="s">
        <v>1906</v>
      </c>
      <c r="D263" t="s">
        <v>1907</v>
      </c>
      <c r="E263" t="s">
        <v>613</v>
      </c>
      <c r="F263" t="s">
        <v>1908</v>
      </c>
      <c r="G263">
        <v>77847846</v>
      </c>
      <c r="H263" t="s">
        <v>111</v>
      </c>
      <c r="I263" t="s">
        <v>1668</v>
      </c>
      <c r="J263" t="s">
        <v>1675</v>
      </c>
      <c r="K263" t="s">
        <v>85</v>
      </c>
      <c r="L263" t="s">
        <v>1353</v>
      </c>
      <c r="M263" t="s">
        <v>1353</v>
      </c>
      <c r="N263" t="s">
        <v>291</v>
      </c>
      <c r="O263" t="s">
        <v>72</v>
      </c>
      <c r="P263" s="63" t="s">
        <v>1909</v>
      </c>
      <c r="Q263" t="s">
        <v>75</v>
      </c>
      <c r="R263" t="s">
        <v>1555</v>
      </c>
      <c r="S263" t="s">
        <v>1671</v>
      </c>
      <c r="T263" s="63" t="s">
        <v>1455</v>
      </c>
      <c r="U263" s="42">
        <v>3.718</v>
      </c>
      <c r="V263" s="44">
        <v>383.43700000000001</v>
      </c>
      <c r="W263" s="44">
        <v>1425.6179999999999</v>
      </c>
      <c r="X263" s="45">
        <v>0</v>
      </c>
      <c r="Y263" s="45">
        <v>0.142460292081692</v>
      </c>
      <c r="Z263" s="45">
        <v>1.9459857499829099E-2</v>
      </c>
    </row>
    <row r="264" spans="1:26" x14ac:dyDescent="0.25">
      <c r="A264">
        <v>969</v>
      </c>
      <c r="B264">
        <v>969</v>
      </c>
      <c r="C264" t="s">
        <v>1943</v>
      </c>
      <c r="D264" t="s">
        <v>1944</v>
      </c>
      <c r="E264" t="s">
        <v>540</v>
      </c>
      <c r="F264" t="s">
        <v>1945</v>
      </c>
      <c r="G264">
        <v>62021324</v>
      </c>
      <c r="H264" t="s">
        <v>111</v>
      </c>
      <c r="I264" t="s">
        <v>1668</v>
      </c>
      <c r="J264" t="s">
        <v>1832</v>
      </c>
      <c r="K264" t="s">
        <v>85</v>
      </c>
      <c r="L264" t="s">
        <v>1681</v>
      </c>
      <c r="M264" t="s">
        <v>291</v>
      </c>
      <c r="N264" t="s">
        <v>291</v>
      </c>
      <c r="O264" t="s">
        <v>72</v>
      </c>
      <c r="P264" s="63" t="s">
        <v>1942</v>
      </c>
      <c r="Q264" t="s">
        <v>75</v>
      </c>
      <c r="R264" t="s">
        <v>1555</v>
      </c>
      <c r="S264" t="s">
        <v>1671</v>
      </c>
      <c r="T264" s="63" t="s">
        <v>1455</v>
      </c>
      <c r="U264" s="42">
        <v>3.718</v>
      </c>
      <c r="V264" s="44">
        <v>21.210999999999999</v>
      </c>
      <c r="W264" s="44">
        <v>78.861000000000004</v>
      </c>
      <c r="X264" s="45">
        <v>0</v>
      </c>
      <c r="Y264" s="45">
        <v>7.8805122016061407E-3</v>
      </c>
      <c r="Z264" s="45">
        <v>1.07646588553238E-3</v>
      </c>
    </row>
    <row r="265" spans="1:26" x14ac:dyDescent="0.25">
      <c r="A265">
        <v>969</v>
      </c>
      <c r="B265">
        <v>969</v>
      </c>
      <c r="C265" t="s">
        <v>1961</v>
      </c>
      <c r="D265" t="s">
        <v>1962</v>
      </c>
      <c r="E265" t="s">
        <v>540</v>
      </c>
      <c r="F265" t="s">
        <v>1963</v>
      </c>
      <c r="G265">
        <v>62009204</v>
      </c>
      <c r="H265" t="s">
        <v>111</v>
      </c>
      <c r="I265" t="s">
        <v>1668</v>
      </c>
      <c r="J265" t="s">
        <v>1680</v>
      </c>
      <c r="K265" t="s">
        <v>85</v>
      </c>
      <c r="L265" t="s">
        <v>1353</v>
      </c>
      <c r="M265" t="s">
        <v>604</v>
      </c>
      <c r="N265" t="s">
        <v>215</v>
      </c>
      <c r="O265" t="s">
        <v>72</v>
      </c>
      <c r="P265" s="63" t="s">
        <v>1964</v>
      </c>
      <c r="Q265" t="s">
        <v>75</v>
      </c>
      <c r="R265" t="s">
        <v>286</v>
      </c>
      <c r="S265" t="s">
        <v>1671</v>
      </c>
      <c r="T265" s="63" t="s">
        <v>1455</v>
      </c>
      <c r="U265" s="42">
        <v>3.718</v>
      </c>
      <c r="V265" s="44">
        <v>97.162000000000006</v>
      </c>
      <c r="W265" s="44">
        <v>361.24700000000001</v>
      </c>
      <c r="X265" s="45">
        <v>9.7E-5</v>
      </c>
      <c r="Y265" s="45">
        <v>3.6098931837824803E-2</v>
      </c>
      <c r="Z265" s="45">
        <v>4.9310587476353602E-3</v>
      </c>
    </row>
    <row r="266" spans="1:26" x14ac:dyDescent="0.25">
      <c r="A266">
        <v>969</v>
      </c>
      <c r="B266">
        <v>969</v>
      </c>
      <c r="C266" t="s">
        <v>1975</v>
      </c>
      <c r="D266" t="s">
        <v>1976</v>
      </c>
      <c r="E266" t="s">
        <v>540</v>
      </c>
      <c r="F266" t="s">
        <v>1977</v>
      </c>
      <c r="G266">
        <v>62010137</v>
      </c>
      <c r="H266" t="s">
        <v>111</v>
      </c>
      <c r="I266" t="s">
        <v>1668</v>
      </c>
      <c r="J266" t="s">
        <v>1704</v>
      </c>
      <c r="K266" t="s">
        <v>85</v>
      </c>
      <c r="L266" t="s">
        <v>1353</v>
      </c>
      <c r="M266" t="s">
        <v>604</v>
      </c>
      <c r="N266" t="s">
        <v>215</v>
      </c>
      <c r="O266" t="s">
        <v>72</v>
      </c>
      <c r="P266" s="63" t="s">
        <v>1978</v>
      </c>
      <c r="Q266" t="s">
        <v>75</v>
      </c>
      <c r="R266" t="s">
        <v>1555</v>
      </c>
      <c r="S266" t="s">
        <v>1671</v>
      </c>
      <c r="T266" s="63" t="s">
        <v>1455</v>
      </c>
      <c r="U266" s="42">
        <v>3.718</v>
      </c>
      <c r="V266" s="44">
        <v>65.370999999999995</v>
      </c>
      <c r="W266" s="44">
        <v>243.04900000000001</v>
      </c>
      <c r="X266" s="45">
        <v>2.9E-5</v>
      </c>
      <c r="Y266" s="45">
        <v>2.42875544050754E-2</v>
      </c>
      <c r="Z266" s="45">
        <v>3.31764269773566E-3</v>
      </c>
    </row>
  </sheetData>
  <autoFilter ref="A1:AA266" xr:uid="{00000000-0009-0000-0000-000013000000}"/>
  <dataValidations count="9">
    <dataValidation type="list" allowBlank="1" showInputMessage="1" showErrorMessage="1" sqref="J2:J20" xr:uid="{00000000-0002-0000-1300-000000000000}">
      <formula1>Fund_Strategy</formula1>
      <formula2>0</formula2>
    </dataValidation>
    <dataValidation type="list" allowBlank="1" showInputMessage="1" showErrorMessage="1" sqref="K2:K20" xr:uid="{00000000-0002-0000-1300-000001000000}">
      <formula1>israel_abroad</formula1>
      <formula2>0</formula2>
    </dataValidation>
    <dataValidation type="list" allowBlank="1" showInputMessage="1" showErrorMessage="1" sqref="O2:O20" xr:uid="{00000000-0002-0000-1300-000002000000}">
      <formula1>Holding_interest</formula1>
      <formula2>0</formula2>
    </dataValidation>
    <dataValidation type="list" allowBlank="1" showInputMessage="1" showErrorMessage="1" sqref="R2:R20" xr:uid="{00000000-0002-0000-1300-000003000000}">
      <formula1>Valuation</formula1>
      <formula2>0</formula2>
    </dataValidation>
    <dataValidation type="list" allowBlank="1" showInputMessage="1" showErrorMessage="1" sqref="S2:S20" xr:uid="{00000000-0002-0000-1300-000004000000}">
      <formula1>Dependence_Independence</formula1>
      <formula2>0</formula2>
    </dataValidation>
    <dataValidation type="list" allowBlank="1" showInputMessage="1" showErrorMessage="1" sqref="L2:M20" xr:uid="{00000000-0002-0000-1300-000005000000}">
      <formula1>Country_list</formula1>
      <formula2>0</formula2>
    </dataValidation>
    <dataValidation type="list" allowBlank="1" showInputMessage="1" showErrorMessage="1" sqref="E2:E20" xr:uid="{00000000-0002-0000-1300-000006000000}">
      <formula1>Issuer_Number_Fund</formula1>
      <formula2>0</formula2>
    </dataValidation>
    <dataValidation type="list" allowBlank="1" showInputMessage="1" showErrorMessage="1" sqref="H2:H20" xr:uid="{00000000-0002-0000-1300-000007000000}">
      <formula1>Type_of_Security_ID_Fund</formula1>
      <formula2>0</formula2>
    </dataValidation>
    <dataValidation type="list" allowBlank="1" showInputMessage="1" showErrorMessage="1" sqref="N2:N20" xr:uid="{00000000-0002-0000-1300-000008000000}">
      <formula1>Country_list_funds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0"/>
  <sheetViews>
    <sheetView rightToLeft="1" zoomScale="70" zoomScaleNormal="70" workbookViewId="0"/>
  </sheetViews>
  <sheetFormatPr defaultColWidth="9" defaultRowHeight="13.8" x14ac:dyDescent="0.25"/>
  <cols>
    <col min="1" max="29" width="11.59765625" customWidth="1"/>
  </cols>
  <sheetData>
    <row r="1" spans="1:28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56</v>
      </c>
      <c r="J1" s="36" t="s">
        <v>94</v>
      </c>
      <c r="K1" s="36" t="s">
        <v>207</v>
      </c>
      <c r="L1" s="36" t="s">
        <v>1383</v>
      </c>
      <c r="M1" s="36" t="s">
        <v>201</v>
      </c>
      <c r="N1" s="36" t="s">
        <v>1384</v>
      </c>
      <c r="O1" s="36" t="s">
        <v>57</v>
      </c>
      <c r="P1" s="36" t="s">
        <v>1402</v>
      </c>
      <c r="Q1" s="36" t="s">
        <v>60</v>
      </c>
      <c r="R1" s="36" t="s">
        <v>1408</v>
      </c>
      <c r="S1" s="36" t="s">
        <v>1409</v>
      </c>
      <c r="T1" s="36" t="s">
        <v>1411</v>
      </c>
      <c r="U1" s="36" t="s">
        <v>1385</v>
      </c>
      <c r="V1" s="36" t="s">
        <v>1386</v>
      </c>
      <c r="W1" s="36" t="s">
        <v>101</v>
      </c>
      <c r="X1" s="36" t="s">
        <v>102</v>
      </c>
      <c r="Y1" s="36" t="s">
        <v>62</v>
      </c>
      <c r="Z1" s="36" t="s">
        <v>64</v>
      </c>
      <c r="AA1" s="36" t="s">
        <v>65</v>
      </c>
      <c r="AB1" s="36" t="s">
        <v>66</v>
      </c>
    </row>
    <row r="2" spans="1:28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5">
      <c r="E20" s="10"/>
      <c r="H20" s="10"/>
      <c r="I20" s="10"/>
      <c r="J20" s="10"/>
      <c r="K20" s="10"/>
      <c r="M20" s="10"/>
      <c r="O20" s="10"/>
      <c r="S20" s="10"/>
    </row>
  </sheetData>
  <dataValidations count="10">
    <dataValidation type="list" allowBlank="1" showInputMessage="1" showErrorMessage="1" sqref="I2:I20" xr:uid="{00000000-0002-0000-1400-000000000000}">
      <formula1>israel_abroad</formula1>
      <formula2>0</formula2>
    </dataValidation>
    <dataValidation type="list" allowBlank="1" showInputMessage="1" showErrorMessage="1" sqref="O2:O20" xr:uid="{00000000-0002-0000-1400-000001000000}">
      <formula1>Holding_interest</formula1>
      <formula2>0</formula2>
    </dataValidation>
    <dataValidation type="list" allowBlank="1" showInputMessage="1" showErrorMessage="1" sqref="R2:R19" xr:uid="{00000000-0002-0000-1400-000002000000}">
      <formula1>Valuation</formula1>
      <formula2>0</formula2>
    </dataValidation>
    <dataValidation type="list" allowBlank="1" showInputMessage="1" showErrorMessage="1" sqref="S2:S20" xr:uid="{00000000-0002-0000-1400-000003000000}">
      <formula1>Dependence_Independence</formula1>
      <formula2>0</formula2>
    </dataValidation>
    <dataValidation type="list" allowBlank="1" showInputMessage="1" showErrorMessage="1" sqref="J2:J20" xr:uid="{00000000-0002-0000-1400-000004000000}">
      <formula1>Country_list</formula1>
      <formula2>0</formula2>
    </dataValidation>
    <dataValidation type="list" allowBlank="1" showInputMessage="1" showErrorMessage="1" sqref="H2:H20" xr:uid="{00000000-0002-0000-1400-000005000000}">
      <formula1>Type_of_Security_ID</formula1>
      <formula2>0</formula2>
    </dataValidation>
    <dataValidation type="list" allowBlank="1" showInputMessage="1" showErrorMessage="1" sqref="E2" xr:uid="{00000000-0002-0000-1400-000006000000}">
      <formula1>Issuer_Number_Type_3</formula1>
      <formula2>0</formula2>
    </dataValidation>
    <dataValidation type="list" allowBlank="1" showInputMessage="1" showErrorMessage="1" sqref="E3:E20" xr:uid="{00000000-0002-0000-1400-000007000000}">
      <formula1>Issuer_Number_Type_2</formula1>
      <formula2>0</formula2>
    </dataValidation>
    <dataValidation type="list" allowBlank="1" showInputMessage="1" showErrorMessage="1" sqref="M2:M20" xr:uid="{00000000-0002-0000-1400-000008000000}">
      <formula1>Industry_Sector</formula1>
      <formula2>0</formula2>
    </dataValidation>
    <dataValidation type="list" allowBlank="1" showInputMessage="1" showErrorMessage="1" sqref="K2:K20" xr:uid="{00000000-0002-0000-1400-000009000000}">
      <formula1>tradeable_status_warrants_v2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0"/>
  <sheetViews>
    <sheetView rightToLeft="1" zoomScale="70" zoomScaleNormal="70" workbookViewId="0"/>
  </sheetViews>
  <sheetFormatPr defaultColWidth="9" defaultRowHeight="13.8" x14ac:dyDescent="0.25"/>
  <cols>
    <col min="1" max="29" width="11.59765625" customWidth="1"/>
  </cols>
  <sheetData>
    <row r="1" spans="1:28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201</v>
      </c>
      <c r="M1" s="36" t="s">
        <v>1389</v>
      </c>
      <c r="N1" s="36" t="s">
        <v>1384</v>
      </c>
      <c r="O1" s="36" t="s">
        <v>57</v>
      </c>
      <c r="P1" s="36" t="s">
        <v>1402</v>
      </c>
      <c r="Q1" s="36" t="s">
        <v>60</v>
      </c>
      <c r="R1" s="36" t="s">
        <v>1408</v>
      </c>
      <c r="S1" s="36" t="s">
        <v>1409</v>
      </c>
      <c r="T1" s="36" t="s">
        <v>1411</v>
      </c>
      <c r="U1" s="36" t="s">
        <v>1385</v>
      </c>
      <c r="V1" s="36" t="s">
        <v>1386</v>
      </c>
      <c r="W1" s="36" t="s">
        <v>101</v>
      </c>
      <c r="X1" s="36" t="s">
        <v>102</v>
      </c>
      <c r="Y1" s="36" t="s">
        <v>62</v>
      </c>
      <c r="Z1" s="36" t="s">
        <v>2080</v>
      </c>
      <c r="AA1" s="36" t="s">
        <v>65</v>
      </c>
      <c r="AB1" s="36" t="s">
        <v>66</v>
      </c>
    </row>
    <row r="2" spans="1:28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5">
      <c r="E20" s="10"/>
      <c r="H20" s="10"/>
      <c r="I20" s="10"/>
      <c r="J20" s="10"/>
      <c r="K20" s="10"/>
      <c r="L20" s="10"/>
      <c r="M20" s="10"/>
      <c r="O20" s="10"/>
      <c r="R20" s="10"/>
      <c r="S20" s="10"/>
    </row>
  </sheetData>
  <dataValidations count="10">
    <dataValidation type="list" allowBlank="1" showInputMessage="1" showErrorMessage="1" sqref="O2:O20" xr:uid="{00000000-0002-0000-1500-000000000000}">
      <formula1>Holding_interest</formula1>
      <formula2>0</formula2>
    </dataValidation>
    <dataValidation type="list" allowBlank="1" showInputMessage="1" showErrorMessage="1" sqref="R2:R20" xr:uid="{00000000-0002-0000-1500-000001000000}">
      <formula1>Valuation</formula1>
      <formula2>0</formula2>
    </dataValidation>
    <dataValidation type="list" allowBlank="1" showInputMessage="1" showErrorMessage="1" sqref="S2:S20" xr:uid="{00000000-0002-0000-1500-000002000000}">
      <formula1>Dependence_Independence</formula1>
      <formula2>0</formula2>
    </dataValidation>
    <dataValidation type="list" allowBlank="1" showInputMessage="1" showErrorMessage="1" sqref="J2:J20" xr:uid="{00000000-0002-0000-1500-000003000000}">
      <formula1>israel_abroad</formula1>
      <formula2>0</formula2>
    </dataValidation>
    <dataValidation type="list" allowBlank="1" showInputMessage="1" showErrorMessage="1" sqref="M2:M20" xr:uid="{00000000-0002-0000-1500-000004000000}">
      <formula1>Underlying_Asset</formula1>
      <formula2>0</formula2>
    </dataValidation>
    <dataValidation type="list" allowBlank="1" showInputMessage="1" showErrorMessage="1" sqref="K2:K20" xr:uid="{00000000-0002-0000-1500-000005000000}">
      <formula1>Country_list</formula1>
      <formula2>0</formula2>
    </dataValidation>
    <dataValidation type="list" allowBlank="1" showInputMessage="1" showErrorMessage="1" sqref="H2:H20" xr:uid="{00000000-0002-0000-1500-000006000000}">
      <formula1>Type_of_Security_ID</formula1>
      <formula2>0</formula2>
    </dataValidation>
    <dataValidation type="list" allowBlank="1" showInputMessage="1" showErrorMessage="1" sqref="E3:E20" xr:uid="{00000000-0002-0000-1500-000007000000}">
      <formula1>Issuer_Number_Type_2</formula1>
      <formula2>0</formula2>
    </dataValidation>
    <dataValidation type="list" allowBlank="1" showInputMessage="1" showErrorMessage="1" sqref="E2" xr:uid="{00000000-0002-0000-1500-000008000000}">
      <formula1>Issuer_Number_Type_3</formula1>
      <formula2>0</formula2>
    </dataValidation>
    <dataValidation type="list" allowBlank="1" showInputMessage="1" showErrorMessage="1" sqref="L2:L20" xr:uid="{00000000-0002-0000-1500-000009000000}">
      <formula1>Industry_Sector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76"/>
  <sheetViews>
    <sheetView rightToLeft="1" topLeftCell="X1" zoomScale="70" zoomScaleNormal="70" workbookViewId="0">
      <selection activeCell="AO2" sqref="AO2"/>
    </sheetView>
  </sheetViews>
  <sheetFormatPr defaultColWidth="9" defaultRowHeight="13.8" x14ac:dyDescent="0.25"/>
  <cols>
    <col min="1" max="8" width="11.59765625" customWidth="1"/>
    <col min="9" max="10" width="11.59765625" style="66" customWidth="1"/>
    <col min="11" max="15" width="11.59765625" customWidth="1"/>
    <col min="16" max="17" width="11.59765625" style="66" customWidth="1"/>
    <col min="18" max="33" width="11.59765625" customWidth="1"/>
    <col min="34" max="34" width="11.59765625" style="35" customWidth="1"/>
    <col min="35" max="41" width="11.59765625" customWidth="1"/>
  </cols>
  <sheetData>
    <row r="1" spans="1:41" ht="66.75" customHeight="1" x14ac:dyDescent="0.25">
      <c r="A1" s="36" t="s">
        <v>50</v>
      </c>
      <c r="B1" s="36" t="s">
        <v>51</v>
      </c>
      <c r="C1" s="36" t="s">
        <v>55</v>
      </c>
      <c r="D1" s="36" t="s">
        <v>2081</v>
      </c>
      <c r="E1" s="36" t="s">
        <v>2082</v>
      </c>
      <c r="F1" s="47" t="s">
        <v>62</v>
      </c>
      <c r="G1" s="36" t="s">
        <v>2083</v>
      </c>
      <c r="H1" s="36" t="s">
        <v>2084</v>
      </c>
      <c r="I1" s="38" t="s">
        <v>2085</v>
      </c>
      <c r="J1" s="38" t="s">
        <v>2086</v>
      </c>
      <c r="K1" s="36" t="s">
        <v>2087</v>
      </c>
      <c r="L1" s="36" t="s">
        <v>2088</v>
      </c>
      <c r="M1" s="47" t="s">
        <v>62</v>
      </c>
      <c r="N1" s="36" t="s">
        <v>2089</v>
      </c>
      <c r="O1" s="36" t="s">
        <v>2090</v>
      </c>
      <c r="P1" s="38" t="s">
        <v>2091</v>
      </c>
      <c r="Q1" s="38" t="s">
        <v>2092</v>
      </c>
      <c r="R1" s="36" t="s">
        <v>2093</v>
      </c>
      <c r="S1" s="36" t="s">
        <v>56</v>
      </c>
      <c r="T1" s="36" t="s">
        <v>94</v>
      </c>
      <c r="U1" s="36" t="s">
        <v>2094</v>
      </c>
      <c r="V1" s="36" t="s">
        <v>2095</v>
      </c>
      <c r="W1" s="36" t="s">
        <v>2096</v>
      </c>
      <c r="X1" s="36" t="s">
        <v>2097</v>
      </c>
      <c r="Y1" s="36" t="s">
        <v>57</v>
      </c>
      <c r="Z1" s="36" t="s">
        <v>2098</v>
      </c>
      <c r="AA1" s="36" t="s">
        <v>2099</v>
      </c>
      <c r="AB1" s="36" t="s">
        <v>2100</v>
      </c>
      <c r="AC1" s="36" t="s">
        <v>2101</v>
      </c>
      <c r="AD1" s="36" t="s">
        <v>2102</v>
      </c>
      <c r="AE1" s="36" t="s">
        <v>2103</v>
      </c>
      <c r="AF1" s="36" t="s">
        <v>203</v>
      </c>
      <c r="AG1" s="36" t="s">
        <v>2104</v>
      </c>
      <c r="AH1" s="50" t="s">
        <v>2105</v>
      </c>
      <c r="AI1" s="36" t="s">
        <v>2106</v>
      </c>
      <c r="AJ1" s="36" t="s">
        <v>2107</v>
      </c>
      <c r="AK1" s="36" t="s">
        <v>2108</v>
      </c>
      <c r="AL1" s="36" t="s">
        <v>2109</v>
      </c>
      <c r="AM1" s="36" t="s">
        <v>2110</v>
      </c>
      <c r="AN1" s="39" t="s">
        <v>65</v>
      </c>
      <c r="AO1" s="39" t="s">
        <v>66</v>
      </c>
    </row>
    <row r="2" spans="1:41" x14ac:dyDescent="0.25">
      <c r="A2" s="13" t="s">
        <v>2111</v>
      </c>
      <c r="B2" s="13" t="s">
        <v>2111</v>
      </c>
      <c r="C2" s="13" t="s">
        <v>2112</v>
      </c>
      <c r="D2" s="13" t="s">
        <v>2113</v>
      </c>
      <c r="E2" s="13" t="s">
        <v>75</v>
      </c>
      <c r="F2" s="67">
        <v>3.718</v>
      </c>
      <c r="G2" s="41">
        <v>-3871647</v>
      </c>
      <c r="H2" s="41">
        <v>-14327.91</v>
      </c>
      <c r="I2" s="46">
        <v>1.0315129999999999</v>
      </c>
      <c r="J2" s="68">
        <v>-1.9599999999999999E-4</v>
      </c>
      <c r="K2" t="s">
        <v>2113</v>
      </c>
      <c r="L2" s="13" t="s">
        <v>81</v>
      </c>
      <c r="M2" s="48">
        <v>1</v>
      </c>
      <c r="N2" s="44">
        <v>13821779.789999999</v>
      </c>
      <c r="O2" s="44">
        <v>13768.754999999999</v>
      </c>
      <c r="P2" s="46">
        <v>1.8799999999999999E-4</v>
      </c>
      <c r="Q2" s="46">
        <v>1.0370140000000001</v>
      </c>
      <c r="R2" s="41">
        <v>-559.15499999999997</v>
      </c>
      <c r="S2" t="s">
        <v>71</v>
      </c>
      <c r="T2" s="10" t="s">
        <v>71</v>
      </c>
      <c r="U2" s="13" t="s">
        <v>2114</v>
      </c>
      <c r="V2" s="13" t="s">
        <v>2115</v>
      </c>
      <c r="W2" t="s">
        <v>2116</v>
      </c>
      <c r="X2" s="13" t="s">
        <v>2117</v>
      </c>
      <c r="Y2" s="13" t="s">
        <v>72</v>
      </c>
      <c r="Z2" s="13" t="s">
        <v>2118</v>
      </c>
      <c r="AA2" s="69" t="s">
        <v>2119</v>
      </c>
      <c r="AB2" s="13" t="s">
        <v>2120</v>
      </c>
      <c r="AC2" s="13" t="s">
        <v>2121</v>
      </c>
      <c r="AD2" s="13" t="s">
        <v>72</v>
      </c>
      <c r="AE2" s="13" t="s">
        <v>2122</v>
      </c>
      <c r="AF2" s="13" t="s">
        <v>2120</v>
      </c>
      <c r="AG2" s="13" t="s">
        <v>2120</v>
      </c>
      <c r="AH2" s="35" t="s">
        <v>2120</v>
      </c>
      <c r="AI2" s="41">
        <v>-355.63</v>
      </c>
      <c r="AJ2" t="s">
        <v>2123</v>
      </c>
      <c r="AK2" s="13" t="s">
        <v>72</v>
      </c>
      <c r="AL2" t="s">
        <v>2124</v>
      </c>
      <c r="AM2" t="s">
        <v>2125</v>
      </c>
      <c r="AN2" s="54">
        <v>0.91235299999999997</v>
      </c>
      <c r="AO2" s="54">
        <v>-7.9999999999999996E-6</v>
      </c>
    </row>
    <row r="3" spans="1:41" x14ac:dyDescent="0.25">
      <c r="A3" s="13" t="s">
        <v>2111</v>
      </c>
      <c r="B3" s="13" t="s">
        <v>2111</v>
      </c>
      <c r="C3" s="13" t="s">
        <v>2112</v>
      </c>
      <c r="D3" s="13" t="s">
        <v>2126</v>
      </c>
      <c r="E3" s="13" t="s">
        <v>77</v>
      </c>
      <c r="F3" s="67">
        <v>4.0218999999999996</v>
      </c>
      <c r="G3" s="41">
        <v>-306083</v>
      </c>
      <c r="H3" s="41">
        <v>-1227.598</v>
      </c>
      <c r="I3" s="46">
        <v>8.8378999999999999E-2</v>
      </c>
      <c r="J3" s="68">
        <v>-1.7E-5</v>
      </c>
      <c r="K3" t="s">
        <v>2126</v>
      </c>
      <c r="L3" s="13" t="s">
        <v>81</v>
      </c>
      <c r="M3" s="48">
        <v>1</v>
      </c>
      <c r="N3" s="44">
        <v>1133670.2150000001</v>
      </c>
      <c r="O3" s="44">
        <v>1129.4169999999999</v>
      </c>
      <c r="P3" s="46">
        <v>1.5E-5</v>
      </c>
      <c r="Q3" s="46">
        <v>8.5064000000000001E-2</v>
      </c>
      <c r="R3" s="41">
        <v>-98.180999999999997</v>
      </c>
      <c r="S3" t="s">
        <v>71</v>
      </c>
      <c r="T3" s="10" t="s">
        <v>71</v>
      </c>
      <c r="U3" s="13" t="s">
        <v>2114</v>
      </c>
      <c r="V3" s="13" t="s">
        <v>2115</v>
      </c>
      <c r="W3" t="s">
        <v>2116</v>
      </c>
      <c r="X3" s="13" t="s">
        <v>2127</v>
      </c>
      <c r="Y3" s="13" t="s">
        <v>72</v>
      </c>
      <c r="Z3" s="13" t="s">
        <v>2118</v>
      </c>
      <c r="AA3" s="69" t="s">
        <v>2119</v>
      </c>
      <c r="AB3" s="13" t="s">
        <v>2120</v>
      </c>
      <c r="AC3" s="13" t="s">
        <v>2121</v>
      </c>
      <c r="AD3" s="13" t="s">
        <v>72</v>
      </c>
      <c r="AE3" s="13" t="s">
        <v>2122</v>
      </c>
      <c r="AF3" s="13" t="s">
        <v>2120</v>
      </c>
      <c r="AG3" s="13" t="s">
        <v>2120</v>
      </c>
      <c r="AH3" s="35" t="s">
        <v>2120</v>
      </c>
      <c r="AI3" s="41">
        <v>-368.99</v>
      </c>
      <c r="AJ3" s="13" t="s">
        <v>2128</v>
      </c>
      <c r="AK3" s="13" t="s">
        <v>72</v>
      </c>
      <c r="AL3" t="s">
        <v>2124</v>
      </c>
      <c r="AM3" t="s">
        <v>2125</v>
      </c>
      <c r="AN3" s="54">
        <v>0.16019800000000001</v>
      </c>
      <c r="AO3" s="54">
        <v>-9.9999999999999995E-7</v>
      </c>
    </row>
    <row r="4" spans="1:41" x14ac:dyDescent="0.25">
      <c r="A4" s="13" t="s">
        <v>2111</v>
      </c>
      <c r="B4" s="13" t="s">
        <v>2111</v>
      </c>
      <c r="C4" s="13" t="s">
        <v>2112</v>
      </c>
      <c r="D4" s="13" t="s">
        <v>2129</v>
      </c>
      <c r="E4" s="13" t="s">
        <v>75</v>
      </c>
      <c r="F4" s="67">
        <v>3.718</v>
      </c>
      <c r="G4" s="41">
        <v>450000</v>
      </c>
      <c r="H4" s="41">
        <v>1665.325</v>
      </c>
      <c r="I4" s="46">
        <v>-0.119892</v>
      </c>
      <c r="J4" s="68">
        <v>2.3E-5</v>
      </c>
      <c r="K4" t="s">
        <v>2129</v>
      </c>
      <c r="L4" s="13" t="s">
        <v>81</v>
      </c>
      <c r="M4" s="48">
        <v>1</v>
      </c>
      <c r="N4" s="44">
        <v>-1627110</v>
      </c>
      <c r="O4" s="44">
        <v>-1620.86</v>
      </c>
      <c r="P4" s="46">
        <v>-2.1999999999999999E-5</v>
      </c>
      <c r="Q4" s="46">
        <v>-0.122077</v>
      </c>
      <c r="R4" s="41">
        <v>44.465000000000003</v>
      </c>
      <c r="S4" t="s">
        <v>71</v>
      </c>
      <c r="T4" s="10" t="s">
        <v>71</v>
      </c>
      <c r="U4" s="13" t="s">
        <v>2114</v>
      </c>
      <c r="V4" s="13" t="s">
        <v>2115</v>
      </c>
      <c r="W4" t="s">
        <v>2116</v>
      </c>
      <c r="X4" s="13" t="s">
        <v>2117</v>
      </c>
      <c r="Y4" s="13" t="s">
        <v>72</v>
      </c>
      <c r="Z4" s="13" t="s">
        <v>1905</v>
      </c>
      <c r="AA4" s="69" t="s">
        <v>2119</v>
      </c>
      <c r="AB4" s="13" t="s">
        <v>2120</v>
      </c>
      <c r="AC4" s="13" t="s">
        <v>2121</v>
      </c>
      <c r="AD4" s="13" t="s">
        <v>72</v>
      </c>
      <c r="AE4" s="13" t="s">
        <v>2122</v>
      </c>
      <c r="AF4" s="13" t="s">
        <v>2120</v>
      </c>
      <c r="AG4" s="13" t="s">
        <v>2120</v>
      </c>
      <c r="AH4" s="35" t="s">
        <v>2120</v>
      </c>
      <c r="AI4" s="41">
        <v>-360.19099999999997</v>
      </c>
      <c r="AJ4" s="13" t="s">
        <v>2123</v>
      </c>
      <c r="AK4" s="13" t="s">
        <v>72</v>
      </c>
      <c r="AL4" t="s">
        <v>2124</v>
      </c>
      <c r="AM4" t="s">
        <v>2125</v>
      </c>
      <c r="AN4" s="54">
        <v>-7.2552000000000005E-2</v>
      </c>
      <c r="AO4" s="54">
        <v>9.9999999999999995E-7</v>
      </c>
    </row>
    <row r="5" spans="1:41" x14ac:dyDescent="0.25">
      <c r="A5" s="13" t="s">
        <v>2130</v>
      </c>
      <c r="B5" s="13" t="s">
        <v>2130</v>
      </c>
      <c r="C5" s="13" t="s">
        <v>2112</v>
      </c>
      <c r="D5" s="13" t="s">
        <v>2113</v>
      </c>
      <c r="E5" s="13" t="s">
        <v>75</v>
      </c>
      <c r="F5" s="67">
        <v>3.718</v>
      </c>
      <c r="G5" s="41">
        <v>-18653013</v>
      </c>
      <c r="H5" s="41">
        <v>-69029.717999999993</v>
      </c>
      <c r="I5" s="46">
        <v>0.97099599999999997</v>
      </c>
      <c r="J5" s="68">
        <v>-1.5899999999999999E-4</v>
      </c>
      <c r="K5" t="s">
        <v>2113</v>
      </c>
      <c r="L5" s="13" t="s">
        <v>81</v>
      </c>
      <c r="M5" s="48">
        <v>1</v>
      </c>
      <c r="N5" s="44">
        <v>66591256.409999996</v>
      </c>
      <c r="O5" s="44">
        <v>66335.793000000005</v>
      </c>
      <c r="P5" s="46">
        <v>1.5300000000000001E-4</v>
      </c>
      <c r="Q5" s="46">
        <v>0.97927200000000003</v>
      </c>
      <c r="R5" s="41">
        <v>-2693.9250000000002</v>
      </c>
      <c r="S5" t="s">
        <v>71</v>
      </c>
      <c r="T5" s="10" t="s">
        <v>71</v>
      </c>
      <c r="U5" s="13" t="s">
        <v>2114</v>
      </c>
      <c r="V5" s="13" t="s">
        <v>2115</v>
      </c>
      <c r="W5" t="s">
        <v>2116</v>
      </c>
      <c r="X5" s="13" t="s">
        <v>2117</v>
      </c>
      <c r="Y5" s="13" t="s">
        <v>72</v>
      </c>
      <c r="Z5" s="13" t="s">
        <v>2118</v>
      </c>
      <c r="AA5" s="69" t="s">
        <v>2119</v>
      </c>
      <c r="AB5" s="13" t="s">
        <v>2120</v>
      </c>
      <c r="AC5" s="13" t="s">
        <v>2121</v>
      </c>
      <c r="AD5" s="13" t="s">
        <v>72</v>
      </c>
      <c r="AE5" s="13" t="s">
        <v>2122</v>
      </c>
      <c r="AF5" s="13" t="s">
        <v>2120</v>
      </c>
      <c r="AG5" s="13" t="s">
        <v>2120</v>
      </c>
      <c r="AH5" s="35" t="s">
        <v>2120</v>
      </c>
      <c r="AI5" s="41">
        <v>-355.63</v>
      </c>
      <c r="AJ5" s="13" t="s">
        <v>2123</v>
      </c>
      <c r="AK5" s="13" t="s">
        <v>72</v>
      </c>
      <c r="AL5" t="s">
        <v>2124</v>
      </c>
      <c r="AM5" t="s">
        <v>2125</v>
      </c>
      <c r="AN5" s="54">
        <v>0.80373700000000003</v>
      </c>
      <c r="AO5" s="54">
        <v>-6.0000000000000002E-6</v>
      </c>
    </row>
    <row r="6" spans="1:41" x14ac:dyDescent="0.25">
      <c r="A6" s="13" t="s">
        <v>2130</v>
      </c>
      <c r="B6" s="13" t="s">
        <v>2130</v>
      </c>
      <c r="C6" s="13" t="s">
        <v>2112</v>
      </c>
      <c r="D6" s="13" t="s">
        <v>2126</v>
      </c>
      <c r="E6" s="13" t="s">
        <v>77</v>
      </c>
      <c r="F6" s="67">
        <v>4.0218999999999996</v>
      </c>
      <c r="G6" s="41">
        <v>-2820912</v>
      </c>
      <c r="H6" s="41">
        <v>-11313.752</v>
      </c>
      <c r="I6" s="46">
        <v>0.15914300000000001</v>
      </c>
      <c r="J6" s="68">
        <v>-2.5999999999999998E-5</v>
      </c>
      <c r="K6" t="s">
        <v>2126</v>
      </c>
      <c r="L6" s="13" t="s">
        <v>81</v>
      </c>
      <c r="M6" s="48">
        <v>1</v>
      </c>
      <c r="N6" s="44">
        <v>10448093.869999999</v>
      </c>
      <c r="O6" s="44">
        <v>10408.9</v>
      </c>
      <c r="P6" s="46">
        <v>2.4000000000000001E-5</v>
      </c>
      <c r="Q6" s="46">
        <v>0.15365999999999999</v>
      </c>
      <c r="R6" s="41">
        <v>-904.851</v>
      </c>
      <c r="S6" t="s">
        <v>71</v>
      </c>
      <c r="T6" s="10" t="s">
        <v>71</v>
      </c>
      <c r="U6" s="13" t="s">
        <v>2114</v>
      </c>
      <c r="V6" s="13" t="s">
        <v>2115</v>
      </c>
      <c r="W6" t="s">
        <v>2116</v>
      </c>
      <c r="X6" s="13" t="s">
        <v>2127</v>
      </c>
      <c r="Y6" s="13" t="s">
        <v>72</v>
      </c>
      <c r="Z6" s="13" t="s">
        <v>2118</v>
      </c>
      <c r="AA6" s="69" t="s">
        <v>2119</v>
      </c>
      <c r="AB6" s="13" t="s">
        <v>2120</v>
      </c>
      <c r="AC6" s="13" t="s">
        <v>2121</v>
      </c>
      <c r="AD6" s="13" t="s">
        <v>72</v>
      </c>
      <c r="AE6" s="13" t="s">
        <v>2122</v>
      </c>
      <c r="AF6" s="13" t="s">
        <v>2120</v>
      </c>
      <c r="AG6" s="13" t="s">
        <v>2120</v>
      </c>
      <c r="AH6" s="35" t="s">
        <v>2120</v>
      </c>
      <c r="AI6" s="41">
        <v>-368.99</v>
      </c>
      <c r="AJ6" s="13" t="s">
        <v>2128</v>
      </c>
      <c r="AK6" s="13" t="s">
        <v>72</v>
      </c>
      <c r="AL6" t="s">
        <v>2124</v>
      </c>
      <c r="AM6" t="s">
        <v>2125</v>
      </c>
      <c r="AN6" s="54">
        <v>0.26996399999999998</v>
      </c>
      <c r="AO6" s="54">
        <v>-1.9999999999999999E-6</v>
      </c>
    </row>
    <row r="7" spans="1:41" x14ac:dyDescent="0.25">
      <c r="A7" s="13" t="s">
        <v>2130</v>
      </c>
      <c r="B7" s="13" t="s">
        <v>2130</v>
      </c>
      <c r="C7" s="13" t="s">
        <v>2112</v>
      </c>
      <c r="D7" s="13" t="s">
        <v>2129</v>
      </c>
      <c r="E7" s="13" t="s">
        <v>75</v>
      </c>
      <c r="F7" s="67">
        <v>3.718</v>
      </c>
      <c r="G7" s="41">
        <v>2500000</v>
      </c>
      <c r="H7" s="41">
        <v>9251.8060000000005</v>
      </c>
      <c r="I7" s="46">
        <v>-0.130139</v>
      </c>
      <c r="J7" s="68">
        <v>2.0999999999999999E-5</v>
      </c>
      <c r="K7" t="s">
        <v>2129</v>
      </c>
      <c r="L7" s="13" t="s">
        <v>81</v>
      </c>
      <c r="M7" s="48">
        <v>1</v>
      </c>
      <c r="N7" s="44">
        <v>-9039500</v>
      </c>
      <c r="O7" s="44">
        <v>-9004.7780000000002</v>
      </c>
      <c r="P7" s="46">
        <v>-2.0999999999999999E-5</v>
      </c>
      <c r="Q7" s="46">
        <v>-0.13293199999999999</v>
      </c>
      <c r="R7" s="41">
        <v>247.02799999999999</v>
      </c>
      <c r="S7" t="s">
        <v>71</v>
      </c>
      <c r="T7" s="10" t="s">
        <v>71</v>
      </c>
      <c r="U7" s="13" t="s">
        <v>2114</v>
      </c>
      <c r="V7" s="13" t="s">
        <v>2115</v>
      </c>
      <c r="W7" t="s">
        <v>2116</v>
      </c>
      <c r="X7" s="13" t="s">
        <v>2117</v>
      </c>
      <c r="Y7" s="13" t="s">
        <v>72</v>
      </c>
      <c r="Z7" s="13" t="s">
        <v>1905</v>
      </c>
      <c r="AA7" s="69" t="s">
        <v>2119</v>
      </c>
      <c r="AB7" s="13" t="s">
        <v>2120</v>
      </c>
      <c r="AC7" s="13" t="s">
        <v>2121</v>
      </c>
      <c r="AD7" s="13" t="s">
        <v>72</v>
      </c>
      <c r="AE7" s="13" t="s">
        <v>2122</v>
      </c>
      <c r="AF7" s="13" t="s">
        <v>2120</v>
      </c>
      <c r="AG7" s="13" t="s">
        <v>2120</v>
      </c>
      <c r="AH7" s="35" t="s">
        <v>2120</v>
      </c>
      <c r="AI7" s="41">
        <v>-360.19099999999997</v>
      </c>
      <c r="AJ7" s="13" t="s">
        <v>2123</v>
      </c>
      <c r="AK7" s="13" t="s">
        <v>72</v>
      </c>
      <c r="AL7" t="s">
        <v>2124</v>
      </c>
      <c r="AM7" t="s">
        <v>2125</v>
      </c>
      <c r="AN7" s="54">
        <v>-7.3701000000000003E-2</v>
      </c>
      <c r="AO7" s="54">
        <v>9.9999999999999995E-7</v>
      </c>
    </row>
    <row r="8" spans="1:41" x14ac:dyDescent="0.25">
      <c r="A8" s="13" t="s">
        <v>2131</v>
      </c>
      <c r="B8" s="13" t="s">
        <v>2132</v>
      </c>
      <c r="C8" s="13" t="s">
        <v>2112</v>
      </c>
      <c r="D8" s="13" t="s">
        <v>2113</v>
      </c>
      <c r="E8" s="13" t="s">
        <v>75</v>
      </c>
      <c r="F8" s="67">
        <v>3.718</v>
      </c>
      <c r="G8" s="41">
        <v>-86584451</v>
      </c>
      <c r="H8" s="41">
        <v>-320425.46100000001</v>
      </c>
      <c r="I8" s="46">
        <v>0.99659200000000003</v>
      </c>
      <c r="J8" s="68">
        <v>-1.3100000000000001E-4</v>
      </c>
      <c r="K8" t="s">
        <v>2113</v>
      </c>
      <c r="L8" s="13" t="s">
        <v>81</v>
      </c>
      <c r="M8" s="48">
        <v>1</v>
      </c>
      <c r="N8" s="44">
        <v>309106490.10000002</v>
      </c>
      <c r="O8" s="44">
        <v>307920.67</v>
      </c>
      <c r="P8" s="46">
        <v>1.25E-4</v>
      </c>
      <c r="Q8" s="46">
        <v>1.0071410000000001</v>
      </c>
      <c r="R8" s="41">
        <v>-12504.790999999999</v>
      </c>
      <c r="S8" t="s">
        <v>71</v>
      </c>
      <c r="T8" s="10" t="s">
        <v>71</v>
      </c>
      <c r="U8" s="13" t="s">
        <v>2114</v>
      </c>
      <c r="V8" s="13" t="s">
        <v>2115</v>
      </c>
      <c r="W8" t="s">
        <v>2116</v>
      </c>
      <c r="X8" s="13" t="s">
        <v>2117</v>
      </c>
      <c r="Y8" s="13" t="s">
        <v>72</v>
      </c>
      <c r="Z8" s="13" t="s">
        <v>2118</v>
      </c>
      <c r="AA8" s="69" t="s">
        <v>2119</v>
      </c>
      <c r="AB8" s="13" t="s">
        <v>2120</v>
      </c>
      <c r="AC8" s="13" t="s">
        <v>2121</v>
      </c>
      <c r="AD8" s="13" t="s">
        <v>72</v>
      </c>
      <c r="AE8" s="13" t="s">
        <v>2122</v>
      </c>
      <c r="AF8" s="13" t="s">
        <v>2120</v>
      </c>
      <c r="AG8" s="13" t="s">
        <v>2120</v>
      </c>
      <c r="AH8" s="35" t="s">
        <v>2120</v>
      </c>
      <c r="AI8" s="41">
        <v>-355.63</v>
      </c>
      <c r="AJ8" s="13" t="s">
        <v>2123</v>
      </c>
      <c r="AK8" s="13" t="s">
        <v>72</v>
      </c>
      <c r="AL8" t="s">
        <v>2124</v>
      </c>
      <c r="AM8" t="s">
        <v>2125</v>
      </c>
      <c r="AN8" s="54">
        <v>0.79225699999999999</v>
      </c>
      <c r="AO8" s="54">
        <v>-5.0000000000000004E-6</v>
      </c>
    </row>
    <row r="9" spans="1:41" x14ac:dyDescent="0.25">
      <c r="A9" s="13" t="s">
        <v>2131</v>
      </c>
      <c r="B9" s="13" t="s">
        <v>2132</v>
      </c>
      <c r="C9" s="13" t="s">
        <v>2112</v>
      </c>
      <c r="D9" s="13" t="s">
        <v>2126</v>
      </c>
      <c r="E9" s="13" t="s">
        <v>77</v>
      </c>
      <c r="F9" s="67">
        <v>4.0218999999999996</v>
      </c>
      <c r="G9" s="41">
        <v>-13690000</v>
      </c>
      <c r="H9" s="41">
        <v>-54906.095999999998</v>
      </c>
      <c r="I9" s="46">
        <v>0.17077000000000001</v>
      </c>
      <c r="J9" s="68">
        <v>-2.1999999999999999E-5</v>
      </c>
      <c r="K9" t="s">
        <v>2126</v>
      </c>
      <c r="L9" s="13" t="s">
        <v>81</v>
      </c>
      <c r="M9" s="48">
        <v>1</v>
      </c>
      <c r="N9" s="44">
        <v>50705022</v>
      </c>
      <c r="O9" s="44">
        <v>50514.815999999999</v>
      </c>
      <c r="P9" s="46">
        <v>2.0999999999999999E-5</v>
      </c>
      <c r="Q9" s="46">
        <v>0.16522300000000001</v>
      </c>
      <c r="R9" s="41">
        <v>-4391.2790000000005</v>
      </c>
      <c r="S9" t="s">
        <v>71</v>
      </c>
      <c r="T9" s="10" t="s">
        <v>71</v>
      </c>
      <c r="U9" s="13" t="s">
        <v>2114</v>
      </c>
      <c r="V9" s="13" t="s">
        <v>2115</v>
      </c>
      <c r="W9" t="s">
        <v>2116</v>
      </c>
      <c r="X9" s="13" t="s">
        <v>2127</v>
      </c>
      <c r="Y9" s="13" t="s">
        <v>72</v>
      </c>
      <c r="Z9" s="13" t="s">
        <v>2118</v>
      </c>
      <c r="AA9" s="69" t="s">
        <v>2119</v>
      </c>
      <c r="AB9" s="13" t="s">
        <v>2120</v>
      </c>
      <c r="AC9" s="13" t="s">
        <v>2121</v>
      </c>
      <c r="AD9" s="13" t="s">
        <v>72</v>
      </c>
      <c r="AE9" s="13" t="s">
        <v>2122</v>
      </c>
      <c r="AF9" s="13" t="s">
        <v>2120</v>
      </c>
      <c r="AG9" s="13" t="s">
        <v>2120</v>
      </c>
      <c r="AH9" s="35" t="s">
        <v>2120</v>
      </c>
      <c r="AI9" s="41">
        <v>-368.99</v>
      </c>
      <c r="AJ9" s="13" t="s">
        <v>2128</v>
      </c>
      <c r="AK9" s="13" t="s">
        <v>72</v>
      </c>
      <c r="AL9" t="s">
        <v>2124</v>
      </c>
      <c r="AM9" t="s">
        <v>2125</v>
      </c>
      <c r="AN9" s="54">
        <v>0.27821499999999999</v>
      </c>
      <c r="AO9" s="54">
        <v>-1.9999999999999999E-6</v>
      </c>
    </row>
    <row r="10" spans="1:41" x14ac:dyDescent="0.25">
      <c r="A10" s="13" t="s">
        <v>2131</v>
      </c>
      <c r="B10" s="13" t="s">
        <v>2132</v>
      </c>
      <c r="C10" s="13" t="s">
        <v>2112</v>
      </c>
      <c r="D10" s="13" t="s">
        <v>2129</v>
      </c>
      <c r="E10" s="13" t="s">
        <v>75</v>
      </c>
      <c r="F10" s="67">
        <v>3.718</v>
      </c>
      <c r="G10" s="41">
        <v>5540546</v>
      </c>
      <c r="H10" s="41">
        <v>20504.024000000001</v>
      </c>
      <c r="I10" s="46">
        <v>-6.3771999999999995E-2</v>
      </c>
      <c r="J10" s="68">
        <v>7.9999999999999996E-6</v>
      </c>
      <c r="K10" t="s">
        <v>2129</v>
      </c>
      <c r="L10" s="13" t="s">
        <v>81</v>
      </c>
      <c r="M10" s="48">
        <v>1</v>
      </c>
      <c r="N10" s="44">
        <v>-20033506.23</v>
      </c>
      <c r="O10" s="44">
        <v>-19956.555</v>
      </c>
      <c r="P10" s="46">
        <v>-7.9999999999999996E-6</v>
      </c>
      <c r="Q10" s="46">
        <v>-6.5273999999999999E-2</v>
      </c>
      <c r="R10" s="41">
        <v>547.46900000000005</v>
      </c>
      <c r="S10" t="s">
        <v>71</v>
      </c>
      <c r="T10" s="10" t="s">
        <v>71</v>
      </c>
      <c r="U10" s="13" t="s">
        <v>2114</v>
      </c>
      <c r="V10" s="13" t="s">
        <v>2115</v>
      </c>
      <c r="W10" t="s">
        <v>2116</v>
      </c>
      <c r="X10" s="13" t="s">
        <v>2117</v>
      </c>
      <c r="Y10" s="13" t="s">
        <v>72</v>
      </c>
      <c r="Z10" s="13" t="s">
        <v>1905</v>
      </c>
      <c r="AA10" s="69" t="s">
        <v>2119</v>
      </c>
      <c r="AB10" s="13" t="s">
        <v>2120</v>
      </c>
      <c r="AC10" s="13" t="s">
        <v>2121</v>
      </c>
      <c r="AD10" s="13" t="s">
        <v>72</v>
      </c>
      <c r="AE10" s="13" t="s">
        <v>2122</v>
      </c>
      <c r="AF10" s="13" t="s">
        <v>2120</v>
      </c>
      <c r="AG10" s="13" t="s">
        <v>2120</v>
      </c>
      <c r="AH10" s="35" t="s">
        <v>2120</v>
      </c>
      <c r="AI10" s="41">
        <v>-360.19099999999997</v>
      </c>
      <c r="AJ10" s="13" t="s">
        <v>2123</v>
      </c>
      <c r="AK10" s="13" t="s">
        <v>72</v>
      </c>
      <c r="AL10" t="s">
        <v>2124</v>
      </c>
      <c r="AM10" t="s">
        <v>2125</v>
      </c>
      <c r="AN10" s="54">
        <v>-3.4686000000000002E-2</v>
      </c>
      <c r="AO10" s="54">
        <v>0</v>
      </c>
    </row>
    <row r="11" spans="1:41" x14ac:dyDescent="0.25">
      <c r="A11" s="13" t="s">
        <v>2131</v>
      </c>
      <c r="B11" s="13" t="s">
        <v>2132</v>
      </c>
      <c r="C11" s="13" t="s">
        <v>2112</v>
      </c>
      <c r="D11" s="13" t="s">
        <v>2133</v>
      </c>
      <c r="E11" s="13" t="s">
        <v>75</v>
      </c>
      <c r="F11" s="67">
        <v>3.718</v>
      </c>
      <c r="G11" s="41">
        <v>9000000</v>
      </c>
      <c r="H11" s="41">
        <v>33306.470999999998</v>
      </c>
      <c r="I11" s="46">
        <v>-0.10359</v>
      </c>
      <c r="J11" s="68">
        <v>1.4E-5</v>
      </c>
      <c r="K11" t="s">
        <v>2133</v>
      </c>
      <c r="L11" s="13" t="s">
        <v>81</v>
      </c>
      <c r="M11" s="48">
        <v>1</v>
      </c>
      <c r="N11" s="44">
        <v>-32868000</v>
      </c>
      <c r="O11" s="44">
        <v>-32741.63</v>
      </c>
      <c r="P11" s="46">
        <v>-1.2999999999999999E-5</v>
      </c>
      <c r="Q11" s="46">
        <v>-0.10709100000000001</v>
      </c>
      <c r="R11" s="41">
        <v>564.84100000000001</v>
      </c>
      <c r="S11" t="s">
        <v>71</v>
      </c>
      <c r="T11" s="10" t="s">
        <v>71</v>
      </c>
      <c r="U11" s="13" t="s">
        <v>2114</v>
      </c>
      <c r="V11" s="13" t="s">
        <v>2115</v>
      </c>
      <c r="W11" t="s">
        <v>2116</v>
      </c>
      <c r="X11" s="13" t="s">
        <v>2117</v>
      </c>
      <c r="Y11" s="13" t="s">
        <v>72</v>
      </c>
      <c r="Z11" s="13" t="s">
        <v>2134</v>
      </c>
      <c r="AA11" s="69" t="s">
        <v>2119</v>
      </c>
      <c r="AB11" s="13" t="s">
        <v>2120</v>
      </c>
      <c r="AC11" s="13" t="s">
        <v>2121</v>
      </c>
      <c r="AD11" s="13" t="s">
        <v>72</v>
      </c>
      <c r="AE11" s="13" t="s">
        <v>2122</v>
      </c>
      <c r="AF11" s="13" t="s">
        <v>2120</v>
      </c>
      <c r="AG11" s="13" t="s">
        <v>2120</v>
      </c>
      <c r="AH11" s="35" t="s">
        <v>2120</v>
      </c>
      <c r="AI11" s="41">
        <v>-363.79500000000002</v>
      </c>
      <c r="AJ11" s="13" t="s">
        <v>2135</v>
      </c>
      <c r="AK11" s="13" t="s">
        <v>72</v>
      </c>
      <c r="AL11" t="s">
        <v>2124</v>
      </c>
      <c r="AM11" t="s">
        <v>2125</v>
      </c>
      <c r="AN11" s="54">
        <v>-3.5785999999999998E-2</v>
      </c>
      <c r="AO11" s="54">
        <v>0</v>
      </c>
    </row>
    <row r="12" spans="1:41" x14ac:dyDescent="0.25">
      <c r="A12" s="13" t="s">
        <v>2131</v>
      </c>
      <c r="B12" s="13" t="s">
        <v>2136</v>
      </c>
      <c r="C12" s="13" t="s">
        <v>2112</v>
      </c>
      <c r="D12" s="13" t="s">
        <v>2113</v>
      </c>
      <c r="E12" s="13" t="s">
        <v>75</v>
      </c>
      <c r="F12" s="67">
        <v>3.718</v>
      </c>
      <c r="G12" s="41">
        <v>-5779765.7999999998</v>
      </c>
      <c r="H12" s="41">
        <v>-21389.338</v>
      </c>
      <c r="I12" s="46">
        <v>1.011984</v>
      </c>
      <c r="J12" s="68">
        <v>-1.4200000000000001E-4</v>
      </c>
      <c r="K12" t="s">
        <v>2113</v>
      </c>
      <c r="L12" s="13" t="s">
        <v>81</v>
      </c>
      <c r="M12" s="48">
        <v>1</v>
      </c>
      <c r="N12" s="44">
        <v>20633763.91</v>
      </c>
      <c r="O12" s="44">
        <v>20554.606</v>
      </c>
      <c r="P12" s="46">
        <v>1.37E-4</v>
      </c>
      <c r="Q12" s="46">
        <v>1.019768</v>
      </c>
      <c r="R12" s="41">
        <v>-834.73099999999999</v>
      </c>
      <c r="S12" t="s">
        <v>71</v>
      </c>
      <c r="T12" s="10" t="s">
        <v>71</v>
      </c>
      <c r="U12" s="13" t="s">
        <v>2114</v>
      </c>
      <c r="V12" s="13" t="s">
        <v>2115</v>
      </c>
      <c r="W12" t="s">
        <v>2116</v>
      </c>
      <c r="X12" s="13" t="s">
        <v>2117</v>
      </c>
      <c r="Y12" s="13" t="s">
        <v>72</v>
      </c>
      <c r="Z12" s="13" t="s">
        <v>2118</v>
      </c>
      <c r="AA12" s="69" t="s">
        <v>2119</v>
      </c>
      <c r="AB12" s="13" t="s">
        <v>2120</v>
      </c>
      <c r="AC12" s="13" t="s">
        <v>2121</v>
      </c>
      <c r="AD12" s="13" t="s">
        <v>72</v>
      </c>
      <c r="AE12" s="13" t="s">
        <v>2122</v>
      </c>
      <c r="AF12" s="13" t="s">
        <v>2120</v>
      </c>
      <c r="AG12" s="13" t="s">
        <v>2120</v>
      </c>
      <c r="AH12" s="35" t="s">
        <v>2120</v>
      </c>
      <c r="AI12" s="41">
        <v>-355.63</v>
      </c>
      <c r="AJ12" s="13" t="s">
        <v>2123</v>
      </c>
      <c r="AK12" s="13" t="s">
        <v>72</v>
      </c>
      <c r="AL12" t="s">
        <v>2124</v>
      </c>
      <c r="AM12" t="s">
        <v>2125</v>
      </c>
      <c r="AN12" s="54">
        <v>0.85185900000000003</v>
      </c>
      <c r="AO12" s="54">
        <v>-6.0000000000000002E-6</v>
      </c>
    </row>
    <row r="13" spans="1:41" x14ac:dyDescent="0.25">
      <c r="A13" s="13" t="s">
        <v>2131</v>
      </c>
      <c r="B13" s="13" t="s">
        <v>2136</v>
      </c>
      <c r="C13" s="13" t="s">
        <v>2112</v>
      </c>
      <c r="D13" s="13" t="s">
        <v>2126</v>
      </c>
      <c r="E13" s="13" t="s">
        <v>77</v>
      </c>
      <c r="F13" s="67">
        <v>4.0218999999999996</v>
      </c>
      <c r="G13" s="41">
        <v>-711000</v>
      </c>
      <c r="H13" s="41">
        <v>-2851.587</v>
      </c>
      <c r="I13" s="46">
        <v>0.13491600000000001</v>
      </c>
      <c r="J13" s="68">
        <v>-1.9000000000000001E-5</v>
      </c>
      <c r="K13" t="s">
        <v>2126</v>
      </c>
      <c r="L13" s="13" t="s">
        <v>81</v>
      </c>
      <c r="M13" s="48">
        <v>1</v>
      </c>
      <c r="N13" s="44">
        <v>2633401.7999999998</v>
      </c>
      <c r="O13" s="44">
        <v>2623.5230000000001</v>
      </c>
      <c r="P13" s="46">
        <v>1.7E-5</v>
      </c>
      <c r="Q13" s="46">
        <v>0.13016</v>
      </c>
      <c r="R13" s="41">
        <v>-228.06399999999999</v>
      </c>
      <c r="S13" t="s">
        <v>71</v>
      </c>
      <c r="T13" s="10" t="s">
        <v>71</v>
      </c>
      <c r="U13" s="13" t="s">
        <v>2114</v>
      </c>
      <c r="V13" s="13" t="s">
        <v>2115</v>
      </c>
      <c r="W13" t="s">
        <v>2116</v>
      </c>
      <c r="X13" s="13" t="s">
        <v>2127</v>
      </c>
      <c r="Y13" s="13" t="s">
        <v>72</v>
      </c>
      <c r="Z13" s="13" t="s">
        <v>2118</v>
      </c>
      <c r="AA13" s="69" t="s">
        <v>2119</v>
      </c>
      <c r="AB13" s="13" t="s">
        <v>2120</v>
      </c>
      <c r="AC13" s="13" t="s">
        <v>2121</v>
      </c>
      <c r="AD13" s="13" t="s">
        <v>72</v>
      </c>
      <c r="AE13" s="13" t="s">
        <v>2122</v>
      </c>
      <c r="AF13" s="13" t="s">
        <v>2120</v>
      </c>
      <c r="AG13" s="13" t="s">
        <v>2120</v>
      </c>
      <c r="AH13" s="35" t="s">
        <v>2120</v>
      </c>
      <c r="AI13" s="41">
        <v>-368.99</v>
      </c>
      <c r="AJ13" s="13" t="s">
        <v>2128</v>
      </c>
      <c r="AK13" s="13" t="s">
        <v>72</v>
      </c>
      <c r="AL13" t="s">
        <v>2124</v>
      </c>
      <c r="AM13" t="s">
        <v>2125</v>
      </c>
      <c r="AN13" s="54">
        <v>0.23274400000000001</v>
      </c>
      <c r="AO13" s="54">
        <v>-1.9999999999999999E-6</v>
      </c>
    </row>
    <row r="14" spans="1:41" x14ac:dyDescent="0.25">
      <c r="A14" s="13" t="s">
        <v>2131</v>
      </c>
      <c r="B14" s="13" t="s">
        <v>2136</v>
      </c>
      <c r="C14" s="13" t="s">
        <v>2112</v>
      </c>
      <c r="D14" s="13" t="s">
        <v>2129</v>
      </c>
      <c r="E14" s="13" t="s">
        <v>75</v>
      </c>
      <c r="F14" s="67">
        <v>3.718</v>
      </c>
      <c r="G14" s="41">
        <v>838991</v>
      </c>
      <c r="H14" s="41">
        <v>3104.873</v>
      </c>
      <c r="I14" s="46">
        <v>-0.146899</v>
      </c>
      <c r="J14" s="68">
        <v>2.0999999999999999E-5</v>
      </c>
      <c r="K14" t="s">
        <v>2129</v>
      </c>
      <c r="L14" s="13" t="s">
        <v>81</v>
      </c>
      <c r="M14" s="48">
        <v>1</v>
      </c>
      <c r="N14" s="44">
        <v>-3033623.6570000001</v>
      </c>
      <c r="O14" s="44">
        <v>-3021.971</v>
      </c>
      <c r="P14" s="46">
        <v>-2.0000000000000002E-5</v>
      </c>
      <c r="Q14" s="46">
        <v>-0.14992800000000001</v>
      </c>
      <c r="R14" s="41">
        <v>82.902000000000001</v>
      </c>
      <c r="S14" t="s">
        <v>71</v>
      </c>
      <c r="T14" s="10" t="s">
        <v>71</v>
      </c>
      <c r="U14" s="13" t="s">
        <v>2114</v>
      </c>
      <c r="V14" s="13" t="s">
        <v>2115</v>
      </c>
      <c r="W14" t="s">
        <v>2116</v>
      </c>
      <c r="X14" s="13" t="s">
        <v>2117</v>
      </c>
      <c r="Y14" s="13" t="s">
        <v>72</v>
      </c>
      <c r="Z14" s="13" t="s">
        <v>1905</v>
      </c>
      <c r="AA14" s="69" t="s">
        <v>2119</v>
      </c>
      <c r="AB14" s="13" t="s">
        <v>2120</v>
      </c>
      <c r="AC14" s="13" t="s">
        <v>2121</v>
      </c>
      <c r="AD14" s="13" t="s">
        <v>72</v>
      </c>
      <c r="AE14" s="13" t="s">
        <v>2122</v>
      </c>
      <c r="AF14" s="13" t="s">
        <v>2120</v>
      </c>
      <c r="AG14" s="13" t="s">
        <v>2120</v>
      </c>
      <c r="AH14" s="35" t="s">
        <v>2120</v>
      </c>
      <c r="AI14" s="41">
        <v>-360.19099999999997</v>
      </c>
      <c r="AJ14" s="13" t="s">
        <v>2123</v>
      </c>
      <c r="AK14" s="13" t="s">
        <v>72</v>
      </c>
      <c r="AL14" t="s">
        <v>2124</v>
      </c>
      <c r="AM14" t="s">
        <v>2125</v>
      </c>
      <c r="AN14" s="54">
        <v>-8.4602999999999998E-2</v>
      </c>
      <c r="AO14" s="54">
        <v>9.9999999999999995E-7</v>
      </c>
    </row>
    <row r="15" spans="1:41" x14ac:dyDescent="0.25">
      <c r="A15" s="13" t="s">
        <v>2137</v>
      </c>
      <c r="B15" s="13" t="s">
        <v>2138</v>
      </c>
      <c r="C15" s="13" t="s">
        <v>2112</v>
      </c>
      <c r="D15" s="13" t="s">
        <v>2113</v>
      </c>
      <c r="E15" s="13" t="s">
        <v>75</v>
      </c>
      <c r="F15" s="67">
        <v>3.718</v>
      </c>
      <c r="G15" s="41">
        <v>-530640.46</v>
      </c>
      <c r="H15" s="41">
        <v>-1963.7550000000001</v>
      </c>
      <c r="I15" s="46">
        <v>0.89096200000000003</v>
      </c>
      <c r="J15" s="68">
        <v>-4.6E-5</v>
      </c>
      <c r="K15" t="s">
        <v>2113</v>
      </c>
      <c r="L15" s="13" t="s">
        <v>81</v>
      </c>
      <c r="M15" s="48">
        <v>1</v>
      </c>
      <c r="N15" s="44">
        <v>1894386.442</v>
      </c>
      <c r="O15" s="44">
        <v>1887.1189999999999</v>
      </c>
      <c r="P15" s="46">
        <v>4.3999999999999999E-5</v>
      </c>
      <c r="Q15" s="46">
        <v>0.91878700000000002</v>
      </c>
      <c r="R15" s="41">
        <v>-76.637</v>
      </c>
      <c r="S15" t="s">
        <v>71</v>
      </c>
      <c r="T15" s="10" t="s">
        <v>71</v>
      </c>
      <c r="U15" s="13" t="s">
        <v>2114</v>
      </c>
      <c r="V15" s="13" t="s">
        <v>2115</v>
      </c>
      <c r="W15" t="s">
        <v>2116</v>
      </c>
      <c r="X15" s="13" t="s">
        <v>2117</v>
      </c>
      <c r="Y15" s="13" t="s">
        <v>72</v>
      </c>
      <c r="Z15" s="13" t="s">
        <v>2118</v>
      </c>
      <c r="AA15" s="69" t="s">
        <v>2119</v>
      </c>
      <c r="AB15" s="13" t="s">
        <v>2120</v>
      </c>
      <c r="AC15" s="13" t="s">
        <v>2121</v>
      </c>
      <c r="AD15" s="13" t="s">
        <v>72</v>
      </c>
      <c r="AE15" s="13" t="s">
        <v>2122</v>
      </c>
      <c r="AF15" s="13" t="s">
        <v>2120</v>
      </c>
      <c r="AG15" s="13" t="s">
        <v>2120</v>
      </c>
      <c r="AH15" s="35" t="s">
        <v>2120</v>
      </c>
      <c r="AI15" s="41">
        <v>-355.63</v>
      </c>
      <c r="AJ15" s="13" t="s">
        <v>2123</v>
      </c>
      <c r="AK15" s="13" t="s">
        <v>72</v>
      </c>
      <c r="AL15" t="s">
        <v>2124</v>
      </c>
      <c r="AM15" t="s">
        <v>2125</v>
      </c>
      <c r="AN15" s="54">
        <v>0.51036899999999996</v>
      </c>
      <c r="AO15" s="54">
        <v>-1.9999999999999999E-6</v>
      </c>
    </row>
    <row r="16" spans="1:41" x14ac:dyDescent="0.25">
      <c r="A16" s="13" t="s">
        <v>2137</v>
      </c>
      <c r="B16" s="13" t="s">
        <v>2138</v>
      </c>
      <c r="C16" s="13" t="s">
        <v>2112</v>
      </c>
      <c r="D16" s="13" t="s">
        <v>2126</v>
      </c>
      <c r="E16" s="13" t="s">
        <v>77</v>
      </c>
      <c r="F16" s="67">
        <v>4.0218999999999996</v>
      </c>
      <c r="G16" s="41">
        <v>-314051</v>
      </c>
      <c r="H16" s="41">
        <v>-1259.5550000000001</v>
      </c>
      <c r="I16" s="46">
        <v>0.57146399999999997</v>
      </c>
      <c r="J16" s="68">
        <v>-2.9E-5</v>
      </c>
      <c r="K16" t="s">
        <v>2126</v>
      </c>
      <c r="L16" s="13" t="s">
        <v>81</v>
      </c>
      <c r="M16" s="48">
        <v>1</v>
      </c>
      <c r="N16" s="44">
        <v>1163182.0930000001</v>
      </c>
      <c r="O16" s="44">
        <v>1158.818</v>
      </c>
      <c r="P16" s="46">
        <v>2.6999999999999999E-5</v>
      </c>
      <c r="Q16" s="46">
        <v>0.56419699999999995</v>
      </c>
      <c r="R16" s="41">
        <v>-100.73699999999999</v>
      </c>
      <c r="S16" t="s">
        <v>71</v>
      </c>
      <c r="T16" s="10" t="s">
        <v>71</v>
      </c>
      <c r="U16" s="13" t="s">
        <v>2114</v>
      </c>
      <c r="V16" s="13" t="s">
        <v>2115</v>
      </c>
      <c r="W16" t="s">
        <v>2116</v>
      </c>
      <c r="X16" s="13" t="s">
        <v>2127</v>
      </c>
      <c r="Y16" s="13" t="s">
        <v>72</v>
      </c>
      <c r="Z16" s="13" t="s">
        <v>2118</v>
      </c>
      <c r="AA16" s="69" t="s">
        <v>2119</v>
      </c>
      <c r="AB16" s="13" t="s">
        <v>2120</v>
      </c>
      <c r="AC16" s="13" t="s">
        <v>2121</v>
      </c>
      <c r="AD16" s="13" t="s">
        <v>72</v>
      </c>
      <c r="AE16" s="13" t="s">
        <v>2122</v>
      </c>
      <c r="AF16" s="13" t="s">
        <v>2120</v>
      </c>
      <c r="AG16" s="13" t="s">
        <v>2120</v>
      </c>
      <c r="AH16" s="35" t="s">
        <v>2120</v>
      </c>
      <c r="AI16" s="41">
        <v>-368.99</v>
      </c>
      <c r="AJ16" s="13" t="s">
        <v>2128</v>
      </c>
      <c r="AK16" s="13" t="s">
        <v>72</v>
      </c>
      <c r="AL16" t="s">
        <v>2124</v>
      </c>
      <c r="AM16" t="s">
        <v>2125</v>
      </c>
      <c r="AN16" s="54">
        <v>0.67086400000000002</v>
      </c>
      <c r="AO16" s="54">
        <v>-1.9999999999999999E-6</v>
      </c>
    </row>
    <row r="17" spans="1:41" x14ac:dyDescent="0.25">
      <c r="A17" s="13" t="s">
        <v>2137</v>
      </c>
      <c r="B17" s="13" t="s">
        <v>2138</v>
      </c>
      <c r="C17" s="13" t="s">
        <v>2112</v>
      </c>
      <c r="D17" s="13" t="s">
        <v>2129</v>
      </c>
      <c r="E17" s="13" t="s">
        <v>75</v>
      </c>
      <c r="F17" s="67">
        <v>3.718</v>
      </c>
      <c r="G17" s="41">
        <v>275413</v>
      </c>
      <c r="H17" s="41">
        <v>1019.227</v>
      </c>
      <c r="I17" s="46">
        <v>-0.46242699999999998</v>
      </c>
      <c r="J17" s="68">
        <v>2.4000000000000001E-5</v>
      </c>
      <c r="K17" t="s">
        <v>2129</v>
      </c>
      <c r="L17" s="13" t="s">
        <v>81</v>
      </c>
      <c r="M17" s="48">
        <v>1</v>
      </c>
      <c r="N17" s="44">
        <v>-995838.32499999995</v>
      </c>
      <c r="O17" s="44">
        <v>-992.01300000000003</v>
      </c>
      <c r="P17" s="46">
        <v>-2.3E-5</v>
      </c>
      <c r="Q17" s="46">
        <v>-0.48298400000000002</v>
      </c>
      <c r="R17" s="41">
        <v>27.213999999999999</v>
      </c>
      <c r="S17" t="s">
        <v>71</v>
      </c>
      <c r="T17" s="10" t="s">
        <v>71</v>
      </c>
      <c r="U17" s="13" t="s">
        <v>2114</v>
      </c>
      <c r="V17" s="13" t="s">
        <v>2115</v>
      </c>
      <c r="W17" t="s">
        <v>2116</v>
      </c>
      <c r="X17" s="13" t="s">
        <v>2117</v>
      </c>
      <c r="Y17" s="13" t="s">
        <v>72</v>
      </c>
      <c r="Z17" s="13" t="s">
        <v>1905</v>
      </c>
      <c r="AA17" s="69" t="s">
        <v>2119</v>
      </c>
      <c r="AB17" s="13" t="s">
        <v>2120</v>
      </c>
      <c r="AC17" s="13" t="s">
        <v>2121</v>
      </c>
      <c r="AD17" s="13" t="s">
        <v>72</v>
      </c>
      <c r="AE17" s="13" t="s">
        <v>2122</v>
      </c>
      <c r="AF17" s="13" t="s">
        <v>2120</v>
      </c>
      <c r="AG17" s="13" t="s">
        <v>2120</v>
      </c>
      <c r="AH17" s="35" t="s">
        <v>2120</v>
      </c>
      <c r="AI17" s="41">
        <v>-360.19099999999997</v>
      </c>
      <c r="AJ17" s="13" t="s">
        <v>2123</v>
      </c>
      <c r="AK17" s="13" t="s">
        <v>72</v>
      </c>
      <c r="AL17" t="s">
        <v>2124</v>
      </c>
      <c r="AM17" t="s">
        <v>2125</v>
      </c>
      <c r="AN17" s="54">
        <v>-0.18123300000000001</v>
      </c>
      <c r="AO17" s="54">
        <v>9.9999999999999995E-7</v>
      </c>
    </row>
    <row r="18" spans="1:41" x14ac:dyDescent="0.25">
      <c r="A18" s="13" t="s">
        <v>2137</v>
      </c>
      <c r="B18" s="13" t="s">
        <v>2139</v>
      </c>
      <c r="C18" s="13" t="s">
        <v>2112</v>
      </c>
      <c r="D18" s="13" t="s">
        <v>2113</v>
      </c>
      <c r="E18" s="13" t="s">
        <v>75</v>
      </c>
      <c r="F18" s="67">
        <v>3.718</v>
      </c>
      <c r="G18" s="41">
        <v>-341103</v>
      </c>
      <c r="H18" s="41">
        <v>-1262.329</v>
      </c>
      <c r="I18" s="46">
        <v>2.4173979999999999</v>
      </c>
      <c r="J18" s="68">
        <v>-2.6999999999999999E-5</v>
      </c>
      <c r="K18" t="s">
        <v>2113</v>
      </c>
      <c r="L18" s="13" t="s">
        <v>81</v>
      </c>
      <c r="M18" s="48">
        <v>1</v>
      </c>
      <c r="N18" s="44">
        <v>1217737.71</v>
      </c>
      <c r="O18" s="44">
        <v>1213.066</v>
      </c>
      <c r="P18" s="46">
        <v>2.5999999999999998E-5</v>
      </c>
      <c r="Q18" s="46">
        <v>2.4621580000000001</v>
      </c>
      <c r="R18" s="41">
        <v>-49.262999999999998</v>
      </c>
      <c r="S18" t="s">
        <v>71</v>
      </c>
      <c r="T18" s="10" t="s">
        <v>71</v>
      </c>
      <c r="U18" s="13" t="s">
        <v>2114</v>
      </c>
      <c r="V18" s="13" t="s">
        <v>2115</v>
      </c>
      <c r="W18" t="s">
        <v>2116</v>
      </c>
      <c r="X18" s="13" t="s">
        <v>2117</v>
      </c>
      <c r="Y18" s="13" t="s">
        <v>72</v>
      </c>
      <c r="Z18" s="13" t="s">
        <v>2118</v>
      </c>
      <c r="AA18" s="69" t="s">
        <v>2119</v>
      </c>
      <c r="AB18" s="13" t="s">
        <v>2120</v>
      </c>
      <c r="AC18" s="13" t="s">
        <v>2121</v>
      </c>
      <c r="AD18" s="13" t="s">
        <v>72</v>
      </c>
      <c r="AE18" s="13" t="s">
        <v>2122</v>
      </c>
      <c r="AF18" s="13" t="s">
        <v>2120</v>
      </c>
      <c r="AG18" s="13" t="s">
        <v>2120</v>
      </c>
      <c r="AH18" s="35" t="s">
        <v>2120</v>
      </c>
      <c r="AI18" s="41">
        <v>-355.63</v>
      </c>
      <c r="AJ18" s="13" t="s">
        <v>2123</v>
      </c>
      <c r="AK18" s="13" t="s">
        <v>72</v>
      </c>
      <c r="AL18" t="s">
        <v>2124</v>
      </c>
      <c r="AM18" t="s">
        <v>2125</v>
      </c>
      <c r="AN18" s="54">
        <v>1.6698759999999999</v>
      </c>
      <c r="AO18" s="54">
        <v>-9.9999999999999995E-7</v>
      </c>
    </row>
    <row r="19" spans="1:41" x14ac:dyDescent="0.25">
      <c r="A19" s="13" t="s">
        <v>2137</v>
      </c>
      <c r="B19" s="13" t="s">
        <v>2139</v>
      </c>
      <c r="C19" s="13" t="s">
        <v>2112</v>
      </c>
      <c r="D19" s="13" t="s">
        <v>2129</v>
      </c>
      <c r="E19" s="13" t="s">
        <v>75</v>
      </c>
      <c r="F19" s="67">
        <v>3.718</v>
      </c>
      <c r="G19" s="41">
        <v>200000</v>
      </c>
      <c r="H19" s="41">
        <v>740.14400000000001</v>
      </c>
      <c r="I19" s="46">
        <v>-1.4173979999999999</v>
      </c>
      <c r="J19" s="68">
        <v>1.5999999999999999E-5</v>
      </c>
      <c r="K19" t="s">
        <v>2129</v>
      </c>
      <c r="L19" s="13" t="s">
        <v>81</v>
      </c>
      <c r="M19" s="48">
        <v>1</v>
      </c>
      <c r="N19" s="44">
        <v>-723160</v>
      </c>
      <c r="O19" s="44">
        <v>-720.38199999999995</v>
      </c>
      <c r="P19" s="46">
        <v>-1.5E-5</v>
      </c>
      <c r="Q19" s="46">
        <v>-1.4621580000000001</v>
      </c>
      <c r="R19" s="41">
        <v>19.762</v>
      </c>
      <c r="S19" t="s">
        <v>71</v>
      </c>
      <c r="T19" s="10" t="s">
        <v>71</v>
      </c>
      <c r="U19" s="13" t="s">
        <v>2114</v>
      </c>
      <c r="V19" s="13" t="s">
        <v>2115</v>
      </c>
      <c r="W19" t="s">
        <v>2116</v>
      </c>
      <c r="X19" s="13" t="s">
        <v>2117</v>
      </c>
      <c r="Y19" s="13" t="s">
        <v>72</v>
      </c>
      <c r="Z19" s="13" t="s">
        <v>1905</v>
      </c>
      <c r="AA19" s="69" t="s">
        <v>2119</v>
      </c>
      <c r="AB19" s="13" t="s">
        <v>2120</v>
      </c>
      <c r="AC19" s="13" t="s">
        <v>2121</v>
      </c>
      <c r="AD19" s="13" t="s">
        <v>72</v>
      </c>
      <c r="AE19" s="13" t="s">
        <v>2122</v>
      </c>
      <c r="AF19" s="13" t="s">
        <v>2120</v>
      </c>
      <c r="AG19" s="13" t="s">
        <v>2120</v>
      </c>
      <c r="AH19" s="35" t="s">
        <v>2120</v>
      </c>
      <c r="AI19" s="41">
        <v>-360.19099999999997</v>
      </c>
      <c r="AJ19" s="13" t="s">
        <v>2123</v>
      </c>
      <c r="AK19" s="13" t="s">
        <v>72</v>
      </c>
      <c r="AL19" t="s">
        <v>2124</v>
      </c>
      <c r="AM19" t="s">
        <v>2125</v>
      </c>
      <c r="AN19" s="54">
        <v>-0.66987600000000003</v>
      </c>
      <c r="AO19" s="54">
        <v>0</v>
      </c>
    </row>
    <row r="20" spans="1:41" x14ac:dyDescent="0.25">
      <c r="A20" t="s">
        <v>2130</v>
      </c>
      <c r="B20" t="s">
        <v>2140</v>
      </c>
      <c r="C20" s="13" t="s">
        <v>2112</v>
      </c>
      <c r="D20" t="s">
        <v>2113</v>
      </c>
      <c r="E20" s="13" t="s">
        <v>75</v>
      </c>
      <c r="F20" s="48">
        <v>3.718</v>
      </c>
      <c r="G20" s="44">
        <v>-131000</v>
      </c>
      <c r="H20" s="44">
        <v>-484.79500000000002</v>
      </c>
      <c r="I20" s="46">
        <v>-2.3111999999999999</v>
      </c>
      <c r="J20" s="46">
        <v>-2.0999999999999999E-5</v>
      </c>
      <c r="K20" t="s">
        <v>2113</v>
      </c>
      <c r="L20" t="s">
        <v>81</v>
      </c>
      <c r="M20" s="48">
        <v>1</v>
      </c>
      <c r="N20" s="44">
        <v>467670</v>
      </c>
      <c r="O20" s="44">
        <v>465.875</v>
      </c>
      <c r="P20" s="46">
        <v>2.0000000000000002E-5</v>
      </c>
      <c r="Q20" s="46">
        <v>-2.191703</v>
      </c>
      <c r="R20" s="44">
        <v>-18.919</v>
      </c>
      <c r="S20" t="s">
        <v>71</v>
      </c>
      <c r="T20" s="10" t="s">
        <v>71</v>
      </c>
      <c r="U20" s="13" t="s">
        <v>2114</v>
      </c>
      <c r="V20" s="13" t="s">
        <v>2115</v>
      </c>
      <c r="W20" t="s">
        <v>2116</v>
      </c>
      <c r="X20" t="s">
        <v>2117</v>
      </c>
      <c r="Y20" s="13" t="s">
        <v>72</v>
      </c>
      <c r="Z20" t="s">
        <v>2118</v>
      </c>
      <c r="AA20" t="s">
        <v>2119</v>
      </c>
      <c r="AB20" s="13" t="s">
        <v>2120</v>
      </c>
      <c r="AC20" s="13" t="s">
        <v>2121</v>
      </c>
      <c r="AD20" s="13" t="s">
        <v>72</v>
      </c>
      <c r="AE20" s="13" t="s">
        <v>2122</v>
      </c>
      <c r="AF20" s="13" t="s">
        <v>2120</v>
      </c>
      <c r="AG20" s="13" t="s">
        <v>2120</v>
      </c>
      <c r="AH20" s="35" t="s">
        <v>2120</v>
      </c>
      <c r="AI20" s="44">
        <v>-355.63</v>
      </c>
      <c r="AJ20" t="s">
        <v>2123</v>
      </c>
      <c r="AK20" s="13" t="s">
        <v>72</v>
      </c>
      <c r="AL20" t="s">
        <v>2124</v>
      </c>
      <c r="AM20" t="s">
        <v>2125</v>
      </c>
      <c r="AN20" s="45">
        <v>6.7495539999999998</v>
      </c>
      <c r="AO20" s="45">
        <v>-9.9999999999999995E-7</v>
      </c>
    </row>
    <row r="21" spans="1:41" x14ac:dyDescent="0.25">
      <c r="A21" t="s">
        <v>2130</v>
      </c>
      <c r="B21" t="s">
        <v>2140</v>
      </c>
      <c r="C21" t="s">
        <v>2112</v>
      </c>
      <c r="D21" t="s">
        <v>2126</v>
      </c>
      <c r="E21" t="s">
        <v>77</v>
      </c>
      <c r="F21" s="48">
        <v>4.0218999999999996</v>
      </c>
      <c r="G21" s="44">
        <v>-11367.26</v>
      </c>
      <c r="H21" s="44">
        <v>-45.59</v>
      </c>
      <c r="I21" s="46">
        <v>-0.21734500000000001</v>
      </c>
      <c r="J21" s="46">
        <v>-1.9999999999999999E-6</v>
      </c>
      <c r="K21" t="s">
        <v>2126</v>
      </c>
      <c r="L21" t="s">
        <v>81</v>
      </c>
      <c r="M21" s="48">
        <v>1</v>
      </c>
      <c r="N21" s="44">
        <v>42102.057000000001</v>
      </c>
      <c r="O21" s="44">
        <v>41.944000000000003</v>
      </c>
      <c r="P21" s="46">
        <v>1.9999999999999999E-6</v>
      </c>
      <c r="Q21" s="46">
        <v>-0.197325</v>
      </c>
      <c r="R21" s="44">
        <v>-3.6459999999999999</v>
      </c>
      <c r="S21" t="s">
        <v>71</v>
      </c>
      <c r="T21" t="s">
        <v>71</v>
      </c>
      <c r="U21" t="s">
        <v>2114</v>
      </c>
      <c r="V21" t="s">
        <v>2115</v>
      </c>
      <c r="W21" t="s">
        <v>2116</v>
      </c>
      <c r="X21" t="s">
        <v>2127</v>
      </c>
      <c r="Y21" t="s">
        <v>72</v>
      </c>
      <c r="Z21" t="s">
        <v>2118</v>
      </c>
      <c r="AA21" t="s">
        <v>2119</v>
      </c>
      <c r="AB21" t="s">
        <v>2120</v>
      </c>
      <c r="AC21" t="s">
        <v>2121</v>
      </c>
      <c r="AD21" t="s">
        <v>72</v>
      </c>
      <c r="AE21" t="s">
        <v>2122</v>
      </c>
      <c r="AF21" t="s">
        <v>2120</v>
      </c>
      <c r="AG21" t="s">
        <v>2120</v>
      </c>
      <c r="AH21" s="35" t="s">
        <v>2120</v>
      </c>
      <c r="AI21" s="44">
        <v>-368.99</v>
      </c>
      <c r="AJ21" t="s">
        <v>2128</v>
      </c>
      <c r="AK21" t="s">
        <v>72</v>
      </c>
      <c r="AL21" t="s">
        <v>2124</v>
      </c>
      <c r="AM21" t="s">
        <v>2125</v>
      </c>
      <c r="AN21" s="45">
        <v>1.3007489999999999</v>
      </c>
      <c r="AO21" s="45">
        <v>0</v>
      </c>
    </row>
    <row r="22" spans="1:41" x14ac:dyDescent="0.25">
      <c r="A22" t="s">
        <v>2130</v>
      </c>
      <c r="B22" t="s">
        <v>2140</v>
      </c>
      <c r="C22" s="13" t="s">
        <v>2112</v>
      </c>
      <c r="D22" t="s">
        <v>2129</v>
      </c>
      <c r="E22" s="13" t="s">
        <v>75</v>
      </c>
      <c r="F22" s="48">
        <v>3.718</v>
      </c>
      <c r="G22" s="44">
        <v>200000</v>
      </c>
      <c r="H22" s="44">
        <v>740.14400000000001</v>
      </c>
      <c r="I22" s="46">
        <v>3.5285449999999998</v>
      </c>
      <c r="J22" s="46">
        <v>3.1999999999999999E-5</v>
      </c>
      <c r="K22" t="s">
        <v>2129</v>
      </c>
      <c r="L22" t="s">
        <v>81</v>
      </c>
      <c r="M22" s="48">
        <v>1</v>
      </c>
      <c r="N22" s="44">
        <v>-723160</v>
      </c>
      <c r="O22" s="44">
        <v>-720.38199999999995</v>
      </c>
      <c r="P22" s="46">
        <v>-3.1000000000000001E-5</v>
      </c>
      <c r="Q22" s="46">
        <v>3.3890280000000002</v>
      </c>
      <c r="R22" s="44">
        <v>19.762</v>
      </c>
      <c r="S22" t="s">
        <v>71</v>
      </c>
      <c r="T22" s="10" t="s">
        <v>71</v>
      </c>
      <c r="U22" t="s">
        <v>2114</v>
      </c>
      <c r="V22" t="s">
        <v>2115</v>
      </c>
      <c r="W22" t="s">
        <v>2116</v>
      </c>
      <c r="X22" t="s">
        <v>2117</v>
      </c>
      <c r="Y22" t="s">
        <v>72</v>
      </c>
      <c r="Z22" t="s">
        <v>1905</v>
      </c>
      <c r="AA22" t="s">
        <v>2119</v>
      </c>
      <c r="AB22" t="s">
        <v>2120</v>
      </c>
      <c r="AC22" t="s">
        <v>2121</v>
      </c>
      <c r="AD22" t="s">
        <v>72</v>
      </c>
      <c r="AE22" s="13" t="s">
        <v>2122</v>
      </c>
      <c r="AF22" s="13" t="s">
        <v>2120</v>
      </c>
      <c r="AG22" t="s">
        <v>2120</v>
      </c>
      <c r="AH22" s="35" t="s">
        <v>2120</v>
      </c>
      <c r="AI22" s="44">
        <v>-360.19099999999997</v>
      </c>
      <c r="AJ22" t="s">
        <v>2123</v>
      </c>
      <c r="AK22" t="s">
        <v>72</v>
      </c>
      <c r="AL22" t="s">
        <v>2124</v>
      </c>
      <c r="AM22" t="s">
        <v>2125</v>
      </c>
      <c r="AN22" s="45">
        <v>-7.0503030000000004</v>
      </c>
      <c r="AO22" s="45">
        <v>9.9999999999999995E-7</v>
      </c>
    </row>
    <row r="23" spans="1:41" x14ac:dyDescent="0.25">
      <c r="C23" s="13"/>
      <c r="E23" s="13"/>
      <c r="T23" s="10"/>
      <c r="AE23" s="13"/>
      <c r="AF23" s="13"/>
    </row>
    <row r="24" spans="1:41" x14ac:dyDescent="0.25">
      <c r="C24" s="13"/>
      <c r="E24" s="13"/>
      <c r="T24" s="10"/>
      <c r="AE24" s="13"/>
      <c r="AF24" s="13"/>
    </row>
    <row r="25" spans="1:41" x14ac:dyDescent="0.25">
      <c r="C25" s="13"/>
      <c r="E25" s="13"/>
      <c r="T25" s="10"/>
      <c r="AE25" s="13"/>
      <c r="AF25" s="13"/>
    </row>
    <row r="26" spans="1:41" x14ac:dyDescent="0.25">
      <c r="C26" s="13"/>
      <c r="E26" s="13"/>
      <c r="T26" s="10"/>
      <c r="AE26" s="13"/>
      <c r="AF26" s="13"/>
    </row>
    <row r="27" spans="1:41" x14ac:dyDescent="0.25">
      <c r="C27" s="13"/>
      <c r="E27" s="13"/>
      <c r="T27" s="10"/>
    </row>
    <row r="28" spans="1:41" x14ac:dyDescent="0.25">
      <c r="C28" s="13"/>
      <c r="E28" s="13"/>
      <c r="T28" s="10"/>
    </row>
    <row r="29" spans="1:41" x14ac:dyDescent="0.25">
      <c r="C29" s="13"/>
      <c r="E29" s="13"/>
      <c r="T29" s="10"/>
    </row>
    <row r="30" spans="1:41" x14ac:dyDescent="0.25">
      <c r="C30" s="13"/>
      <c r="E30" s="13"/>
      <c r="T30" s="10"/>
    </row>
    <row r="31" spans="1:41" x14ac:dyDescent="0.25">
      <c r="C31" s="13"/>
      <c r="E31" s="13"/>
      <c r="T31" s="10"/>
    </row>
    <row r="32" spans="1:41" x14ac:dyDescent="0.25">
      <c r="C32" s="13"/>
      <c r="E32" s="13"/>
      <c r="T32" s="10"/>
    </row>
    <row r="33" spans="3:20" x14ac:dyDescent="0.25">
      <c r="C33" s="13"/>
      <c r="T33" s="10"/>
    </row>
    <row r="34" spans="3:20" x14ac:dyDescent="0.25">
      <c r="C34" s="13"/>
      <c r="T34" s="10"/>
    </row>
    <row r="35" spans="3:20" x14ac:dyDescent="0.25">
      <c r="C35" s="13"/>
    </row>
    <row r="36" spans="3:20" x14ac:dyDescent="0.25">
      <c r="C36" s="13"/>
    </row>
    <row r="37" spans="3:20" x14ac:dyDescent="0.25">
      <c r="C37" s="13"/>
    </row>
    <row r="38" spans="3:20" x14ac:dyDescent="0.25">
      <c r="C38" s="13"/>
    </row>
    <row r="39" spans="3:20" x14ac:dyDescent="0.25">
      <c r="C39" s="13"/>
    </row>
    <row r="40" spans="3:20" x14ac:dyDescent="0.25">
      <c r="C40" s="13"/>
    </row>
    <row r="41" spans="3:20" x14ac:dyDescent="0.25">
      <c r="C41" s="13"/>
    </row>
    <row r="42" spans="3:20" x14ac:dyDescent="0.25">
      <c r="C42" s="13"/>
    </row>
    <row r="43" spans="3:20" x14ac:dyDescent="0.25">
      <c r="C43" s="13"/>
    </row>
    <row r="44" spans="3:20" x14ac:dyDescent="0.25">
      <c r="C44" s="13"/>
    </row>
    <row r="45" spans="3:20" x14ac:dyDescent="0.25">
      <c r="C45" s="13"/>
    </row>
    <row r="46" spans="3:20" x14ac:dyDescent="0.25">
      <c r="C46" s="13"/>
    </row>
    <row r="47" spans="3:20" x14ac:dyDescent="0.25">
      <c r="C47" s="13"/>
    </row>
    <row r="48" spans="3:20" x14ac:dyDescent="0.25">
      <c r="C48" s="13"/>
    </row>
    <row r="49" spans="3:3" x14ac:dyDescent="0.25">
      <c r="C49" s="13"/>
    </row>
    <row r="50" spans="3:3" x14ac:dyDescent="0.25">
      <c r="C50" s="13"/>
    </row>
    <row r="51" spans="3:3" x14ac:dyDescent="0.25">
      <c r="C51" s="13"/>
    </row>
    <row r="52" spans="3:3" x14ac:dyDescent="0.25">
      <c r="C52" s="13"/>
    </row>
    <row r="53" spans="3:3" x14ac:dyDescent="0.25">
      <c r="C53" s="13"/>
    </row>
    <row r="54" spans="3:3" x14ac:dyDescent="0.25">
      <c r="C54" s="13"/>
    </row>
    <row r="55" spans="3:3" x14ac:dyDescent="0.25">
      <c r="C55" s="13"/>
    </row>
    <row r="56" spans="3:3" x14ac:dyDescent="0.25">
      <c r="C56" s="13"/>
    </row>
    <row r="57" spans="3:3" x14ac:dyDescent="0.25">
      <c r="C57" s="13"/>
    </row>
    <row r="58" spans="3:3" x14ac:dyDescent="0.25">
      <c r="C58" s="13"/>
    </row>
    <row r="59" spans="3:3" x14ac:dyDescent="0.25">
      <c r="C59" s="13"/>
    </row>
    <row r="60" spans="3:3" x14ac:dyDescent="0.25">
      <c r="C60" s="13"/>
    </row>
    <row r="61" spans="3:3" x14ac:dyDescent="0.25">
      <c r="C61" s="13"/>
    </row>
    <row r="62" spans="3:3" x14ac:dyDescent="0.25">
      <c r="C62" s="13"/>
    </row>
    <row r="63" spans="3:3" x14ac:dyDescent="0.25">
      <c r="C63" s="13"/>
    </row>
    <row r="64" spans="3:3" x14ac:dyDescent="0.25">
      <c r="C64" s="13"/>
    </row>
    <row r="65" spans="3:3" x14ac:dyDescent="0.25">
      <c r="C65" s="13"/>
    </row>
    <row r="66" spans="3:3" x14ac:dyDescent="0.25">
      <c r="C66" s="13"/>
    </row>
    <row r="67" spans="3:3" x14ac:dyDescent="0.25">
      <c r="C67" s="13"/>
    </row>
    <row r="68" spans="3:3" x14ac:dyDescent="0.25">
      <c r="C68" s="13"/>
    </row>
    <row r="69" spans="3:3" x14ac:dyDescent="0.25">
      <c r="C69" s="13"/>
    </row>
    <row r="70" spans="3:3" x14ac:dyDescent="0.25">
      <c r="C70" s="13"/>
    </row>
    <row r="71" spans="3:3" x14ac:dyDescent="0.25">
      <c r="C71" s="13"/>
    </row>
    <row r="72" spans="3:3" x14ac:dyDescent="0.25">
      <c r="C72" s="13"/>
    </row>
    <row r="73" spans="3:3" x14ac:dyDescent="0.25">
      <c r="C73" s="13"/>
    </row>
    <row r="74" spans="3:3" x14ac:dyDescent="0.25">
      <c r="C74" s="13"/>
    </row>
    <row r="75" spans="3:3" x14ac:dyDescent="0.25">
      <c r="C75" s="13"/>
    </row>
    <row r="76" spans="3:3" x14ac:dyDescent="0.25">
      <c r="C76" s="13"/>
    </row>
  </sheetData>
  <dataValidations count="15">
    <dataValidation type="list" allowBlank="1" showInputMessage="1" showErrorMessage="1" sqref="U2:U20 U22:U38" xr:uid="{00000000-0002-0000-1600-000000000000}">
      <formula1>Underlying_Asset</formula1>
      <formula2>0</formula2>
    </dataValidation>
    <dataValidation type="list" allowBlank="1" showInputMessage="1" showErrorMessage="1" sqref="AB2:AB20 AG2:AG20 AB22:AB1022 AG22:AG1022" xr:uid="{00000000-0002-0000-1600-000001000000}">
      <formula1>Reset_frequency</formula1>
      <formula2>0</formula2>
    </dataValidation>
    <dataValidation type="list" allowBlank="1" showInputMessage="1" showErrorMessage="1" sqref="S2:S20 S22:S25" xr:uid="{00000000-0002-0000-1600-000002000000}">
      <formula1>israel_abroad</formula1>
      <formula2>0</formula2>
    </dataValidation>
    <dataValidation type="list" allowBlank="1" showInputMessage="1" showErrorMessage="1" sqref="Y2:Y20 AD2:AD20 AL20 Y22:Y215 AD22:AD1022 AL22:AL1022" xr:uid="{00000000-0002-0000-1600-000003000000}">
      <formula1>Holding_interest</formula1>
      <formula2>0</formula2>
    </dataValidation>
    <dataValidation type="list" allowBlank="1" showInputMessage="1" showErrorMessage="1" sqref="AC2:AC20 AC22:AC61" xr:uid="{00000000-0002-0000-1600-000004000000}">
      <formula1>Delivery</formula1>
      <formula2>0</formula2>
    </dataValidation>
    <dataValidation type="list" allowBlank="1" showInputMessage="1" showErrorMessage="1" sqref="E23:E32" xr:uid="{00000000-0002-0000-1600-000005000000}">
      <formula1>currency_abbreviation</formula1>
      <formula2>0</formula2>
    </dataValidation>
    <dataValidation type="list" allowBlank="1" showInputMessage="1" showErrorMessage="1" sqref="V2:V20" xr:uid="{00000000-0002-0000-1600-000006000000}">
      <formula1>Leading_factor</formula1>
      <formula2>0</formula2>
    </dataValidation>
    <dataValidation type="list" allowBlank="1" showInputMessage="1" showErrorMessage="1" sqref="T2:T20 T22:T34" xr:uid="{00000000-0002-0000-1600-000007000000}">
      <formula1>Country_list</formula1>
      <formula2>0</formula2>
    </dataValidation>
    <dataValidation type="list" allowBlank="1" showInputMessage="1" showErrorMessage="1" sqref="W2:W20" xr:uid="{00000000-0002-0000-1600-000008000000}">
      <formula1>Additional_Factor</formula1>
      <formula2>0</formula2>
    </dataValidation>
    <dataValidation allowBlank="1" showInputMessage="1" showErrorMessage="1" sqref="D2:D19 I2:K19 M2:N19 P2:R19 Z2:Z19" xr:uid="{00000000-0002-0000-1600-000009000000}">
      <formula1>0</formula1>
      <formula2>0</formula2>
    </dataValidation>
    <dataValidation type="list" allowBlank="1" showInputMessage="1" showErrorMessage="1" sqref="AF22:AF26" xr:uid="{00000000-0002-0000-1600-00000A000000}">
      <formula1>underlying_interest_rates_der</formula1>
      <formula2>0</formula2>
    </dataValidation>
    <dataValidation type="list" allowBlank="1" showInputMessage="1" showErrorMessage="1" sqref="AF2:AF20" xr:uid="{00000000-0002-0000-1600-00000B000000}">
      <formula1>Underlying_Interest_Rates</formula1>
      <formula2>0</formula2>
    </dataValidation>
    <dataValidation type="list" allowBlank="1" showInputMessage="1" showErrorMessage="1" sqref="AK2:AK20" xr:uid="{00000000-0002-0000-1600-00000C000000}">
      <formula1>Penalty</formula1>
      <formula2>0</formula2>
    </dataValidation>
    <dataValidation type="list" allowBlank="1" showInputMessage="1" showErrorMessage="1" sqref="C22:C76" xr:uid="{00000000-0002-0000-1600-00000D000000}">
      <formula1>$C$834:$C$841</formula1>
      <formula2>0</formula2>
    </dataValidation>
    <dataValidation type="list" allowBlank="1" showInputMessage="1" showErrorMessage="1" sqref="AE3:AE20 AE22:AE26" xr:uid="{00000000-0002-0000-1600-00000E000000}">
      <formula1>$C$535:$C$536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802"/>
  <sheetViews>
    <sheetView rightToLeft="1" tabSelected="1" zoomScale="70" zoomScaleNormal="70" workbookViewId="0">
      <selection activeCell="E14" sqref="E14"/>
    </sheetView>
  </sheetViews>
  <sheetFormatPr defaultColWidth="9" defaultRowHeight="13.8" x14ac:dyDescent="0.25"/>
  <cols>
    <col min="1" max="3" width="11.59765625" customWidth="1"/>
    <col min="4" max="4" width="11.59765625" style="70" customWidth="1"/>
    <col min="5" max="5" width="23.3984375" customWidth="1"/>
    <col min="6" max="13" width="11.59765625" customWidth="1"/>
    <col min="14" max="14" width="11.59765625" style="70" customWidth="1"/>
    <col min="15" max="21" width="11.59765625" customWidth="1"/>
    <col min="22" max="22" width="11.59765625" style="35" customWidth="1"/>
    <col min="23" max="41" width="11.59765625" customWidth="1"/>
    <col min="42" max="42" width="11.59765625" style="35" customWidth="1"/>
    <col min="43" max="43" width="16.3984375" style="71" customWidth="1"/>
    <col min="44" max="53" width="11.59765625" customWidth="1"/>
  </cols>
  <sheetData>
    <row r="1" spans="1:53" ht="66.75" customHeight="1" x14ac:dyDescent="0.25">
      <c r="A1" s="36" t="s">
        <v>50</v>
      </c>
      <c r="B1" s="36" t="s">
        <v>51</v>
      </c>
      <c r="C1" s="36" t="s">
        <v>2141</v>
      </c>
      <c r="D1" s="36" t="s">
        <v>2142</v>
      </c>
      <c r="E1" s="36" t="s">
        <v>2143</v>
      </c>
      <c r="F1" s="36" t="s">
        <v>2144</v>
      </c>
      <c r="G1" s="36" t="s">
        <v>55</v>
      </c>
      <c r="H1" s="36" t="s">
        <v>2145</v>
      </c>
      <c r="I1" s="36" t="s">
        <v>56</v>
      </c>
      <c r="J1" s="36" t="s">
        <v>94</v>
      </c>
      <c r="K1" s="36" t="s">
        <v>201</v>
      </c>
      <c r="L1" s="36" t="s">
        <v>57</v>
      </c>
      <c r="M1" s="36" t="s">
        <v>2146</v>
      </c>
      <c r="N1" s="36" t="s">
        <v>2147</v>
      </c>
      <c r="O1" s="60" t="s">
        <v>2148</v>
      </c>
      <c r="P1" s="36" t="s">
        <v>96</v>
      </c>
      <c r="Q1" s="36" t="s">
        <v>59</v>
      </c>
      <c r="R1" s="36" t="s">
        <v>2149</v>
      </c>
      <c r="S1" s="36" t="s">
        <v>60</v>
      </c>
      <c r="T1" s="36" t="s">
        <v>97</v>
      </c>
      <c r="U1" s="36" t="s">
        <v>2150</v>
      </c>
      <c r="V1" s="38" t="s">
        <v>63</v>
      </c>
      <c r="W1" s="36" t="s">
        <v>1403</v>
      </c>
      <c r="X1" s="36" t="s">
        <v>203</v>
      </c>
      <c r="Y1" s="72" t="s">
        <v>2151</v>
      </c>
      <c r="Z1" s="39" t="s">
        <v>99</v>
      </c>
      <c r="AA1" s="36" t="s">
        <v>98</v>
      </c>
      <c r="AB1" s="36" t="s">
        <v>204</v>
      </c>
      <c r="AC1" s="36" t="s">
        <v>2152</v>
      </c>
      <c r="AD1" s="73" t="s">
        <v>2153</v>
      </c>
      <c r="AE1" s="39" t="s">
        <v>2154</v>
      </c>
      <c r="AF1" s="60" t="s">
        <v>2155</v>
      </c>
      <c r="AG1" s="36" t="s">
        <v>2156</v>
      </c>
      <c r="AH1" s="36" t="s">
        <v>2157</v>
      </c>
      <c r="AI1" s="36" t="s">
        <v>2158</v>
      </c>
      <c r="AJ1" s="36" t="s">
        <v>2159</v>
      </c>
      <c r="AK1" s="36" t="s">
        <v>1408</v>
      </c>
      <c r="AL1" s="36" t="s">
        <v>1410</v>
      </c>
      <c r="AM1" s="36" t="s">
        <v>1409</v>
      </c>
      <c r="AN1" s="60" t="s">
        <v>1411</v>
      </c>
      <c r="AO1" s="60" t="s">
        <v>1412</v>
      </c>
      <c r="AP1" s="38" t="s">
        <v>2160</v>
      </c>
      <c r="AQ1" s="38" t="s">
        <v>2161</v>
      </c>
      <c r="AR1" s="47" t="s">
        <v>2162</v>
      </c>
      <c r="AS1" s="37" t="s">
        <v>62</v>
      </c>
      <c r="AT1" s="36" t="s">
        <v>64</v>
      </c>
      <c r="AU1" s="36" t="s">
        <v>2163</v>
      </c>
      <c r="AV1" s="36" t="s">
        <v>103</v>
      </c>
      <c r="AW1" s="36" t="s">
        <v>206</v>
      </c>
      <c r="AX1" s="36" t="s">
        <v>205</v>
      </c>
      <c r="AY1" s="36" t="s">
        <v>18</v>
      </c>
      <c r="AZ1" s="39" t="s">
        <v>65</v>
      </c>
      <c r="BA1" s="39" t="s">
        <v>66</v>
      </c>
    </row>
    <row r="2" spans="1:53" s="152" customFormat="1" x14ac:dyDescent="0.25">
      <c r="A2" s="152">
        <v>1182</v>
      </c>
      <c r="B2" s="152">
        <v>1182</v>
      </c>
      <c r="C2" s="153">
        <v>514984558</v>
      </c>
      <c r="D2" s="153" t="s">
        <v>1721</v>
      </c>
      <c r="E2" s="153" t="s">
        <v>2164</v>
      </c>
      <c r="F2" s="153">
        <v>50007509</v>
      </c>
      <c r="G2" s="153" t="s">
        <v>2165</v>
      </c>
      <c r="H2" s="152" t="s">
        <v>2166</v>
      </c>
      <c r="I2" s="153" t="s">
        <v>71</v>
      </c>
      <c r="J2" s="153" t="s">
        <v>71</v>
      </c>
      <c r="K2" s="153" t="s">
        <v>1572</v>
      </c>
      <c r="L2" s="153" t="s">
        <v>72</v>
      </c>
      <c r="M2" s="153" t="s">
        <v>373</v>
      </c>
      <c r="N2" s="153">
        <v>90701004</v>
      </c>
      <c r="O2" s="154" t="s">
        <v>2167</v>
      </c>
      <c r="P2" s="153" t="s">
        <v>509</v>
      </c>
      <c r="Q2" s="153" t="s">
        <v>219</v>
      </c>
      <c r="R2" s="153" t="s">
        <v>2168</v>
      </c>
      <c r="S2" s="153" t="s">
        <v>81</v>
      </c>
      <c r="T2" s="155">
        <v>1.3</v>
      </c>
      <c r="U2" s="153" t="s">
        <v>286</v>
      </c>
      <c r="V2" s="156">
        <v>5.5E-2</v>
      </c>
      <c r="W2" s="153" t="s">
        <v>2169</v>
      </c>
      <c r="X2" s="153" t="s">
        <v>2170</v>
      </c>
      <c r="Y2" s="157">
        <v>5.5E-2</v>
      </c>
      <c r="Z2" s="158">
        <v>0.23249</v>
      </c>
      <c r="AA2" s="153" t="s">
        <v>391</v>
      </c>
      <c r="AB2" s="153" t="s">
        <v>222</v>
      </c>
      <c r="AC2" s="153" t="s">
        <v>2171</v>
      </c>
      <c r="AD2" s="159">
        <v>19935.854166666701</v>
      </c>
      <c r="AE2" s="158">
        <v>0.72</v>
      </c>
      <c r="AF2" s="154" t="s">
        <v>1878</v>
      </c>
      <c r="AG2" s="153" t="s">
        <v>373</v>
      </c>
      <c r="AH2" s="153" t="s">
        <v>2172</v>
      </c>
      <c r="AI2" s="152" t="s">
        <v>2173</v>
      </c>
      <c r="AJ2" s="152" t="s">
        <v>373</v>
      </c>
      <c r="AK2" s="153" t="s">
        <v>1454</v>
      </c>
      <c r="AL2" s="153" t="s">
        <v>2174</v>
      </c>
      <c r="AM2" s="153" t="s">
        <v>1671</v>
      </c>
      <c r="AN2" s="160" t="s">
        <v>1455</v>
      </c>
      <c r="AO2" s="160" t="s">
        <v>1878</v>
      </c>
      <c r="AP2" s="161">
        <v>0</v>
      </c>
      <c r="AQ2" s="162">
        <v>42217</v>
      </c>
      <c r="AR2" s="163">
        <v>81.349999999999994</v>
      </c>
      <c r="AS2" s="164">
        <v>1</v>
      </c>
      <c r="AT2" s="155">
        <v>34.344000000000001</v>
      </c>
      <c r="AU2" s="155">
        <v>34.344000000000001</v>
      </c>
      <c r="AV2" s="165"/>
      <c r="AW2" s="153"/>
      <c r="AX2" s="153" t="s">
        <v>373</v>
      </c>
      <c r="AY2" s="153" t="s">
        <v>16</v>
      </c>
      <c r="AZ2" s="158">
        <v>4.0300937079060196E-3</v>
      </c>
      <c r="BA2" s="158">
        <v>7.9319764728114496E-5</v>
      </c>
    </row>
    <row r="3" spans="1:53" s="152" customFormat="1" x14ac:dyDescent="0.25">
      <c r="A3" s="152">
        <v>1182</v>
      </c>
      <c r="B3" s="152">
        <v>1182</v>
      </c>
      <c r="C3" s="153">
        <v>513846667</v>
      </c>
      <c r="D3" s="153" t="s">
        <v>1721</v>
      </c>
      <c r="E3" s="153" t="s">
        <v>2175</v>
      </c>
      <c r="F3" s="153">
        <v>50003508</v>
      </c>
      <c r="G3" s="153" t="s">
        <v>2165</v>
      </c>
      <c r="I3" s="153" t="s">
        <v>71</v>
      </c>
      <c r="J3" s="153" t="s">
        <v>71</v>
      </c>
      <c r="K3" s="153" t="s">
        <v>234</v>
      </c>
      <c r="L3" s="153" t="s">
        <v>72</v>
      </c>
      <c r="M3" s="153" t="s">
        <v>373</v>
      </c>
      <c r="N3" s="153">
        <v>84666734</v>
      </c>
      <c r="O3" s="154" t="s">
        <v>2176</v>
      </c>
      <c r="P3" s="153" t="s">
        <v>246</v>
      </c>
      <c r="Q3" s="153" t="s">
        <v>219</v>
      </c>
      <c r="R3" s="153" t="s">
        <v>2168</v>
      </c>
      <c r="S3" s="153" t="s">
        <v>81</v>
      </c>
      <c r="T3" s="155">
        <v>4.46</v>
      </c>
      <c r="U3" s="153" t="s">
        <v>286</v>
      </c>
      <c r="V3" s="156">
        <v>3.5499999999999997E-2</v>
      </c>
      <c r="W3" s="153" t="s">
        <v>2169</v>
      </c>
      <c r="X3" s="153" t="s">
        <v>2170</v>
      </c>
      <c r="Y3" s="157">
        <v>3.5499999999999997E-2</v>
      </c>
      <c r="Z3" s="158">
        <v>3.7999999999999999E-2</v>
      </c>
      <c r="AA3" s="153" t="s">
        <v>2177</v>
      </c>
      <c r="AB3" s="153" t="s">
        <v>222</v>
      </c>
      <c r="AC3" s="153" t="s">
        <v>1626</v>
      </c>
      <c r="AD3" s="159">
        <v>51249.677223684201</v>
      </c>
      <c r="AE3" s="158">
        <v>0.76</v>
      </c>
      <c r="AF3" s="154" t="s">
        <v>1878</v>
      </c>
      <c r="AG3" s="153" t="s">
        <v>373</v>
      </c>
      <c r="AH3" s="153"/>
      <c r="AI3" s="152" t="s">
        <v>2178</v>
      </c>
      <c r="AJ3" s="152" t="s">
        <v>373</v>
      </c>
      <c r="AK3" s="153" t="s">
        <v>1454</v>
      </c>
      <c r="AL3" s="153" t="s">
        <v>2174</v>
      </c>
      <c r="AM3" s="153" t="s">
        <v>1671</v>
      </c>
      <c r="AN3" s="160" t="s">
        <v>1455</v>
      </c>
      <c r="AO3" s="160" t="s">
        <v>1878</v>
      </c>
      <c r="AP3" s="161">
        <v>0</v>
      </c>
      <c r="AQ3" s="162">
        <v>319558.55</v>
      </c>
      <c r="AR3" s="163">
        <v>109.6</v>
      </c>
      <c r="AS3" s="164">
        <v>1</v>
      </c>
      <c r="AT3" s="155">
        <v>350.23599999999999</v>
      </c>
      <c r="AU3" s="155">
        <v>350.23599999999999</v>
      </c>
      <c r="AV3" s="153"/>
      <c r="AW3" s="153"/>
      <c r="AX3" s="153" t="s">
        <v>72</v>
      </c>
      <c r="AY3" s="153" t="s">
        <v>16</v>
      </c>
      <c r="AZ3" s="158">
        <v>4.1098996194383002E-2</v>
      </c>
      <c r="BA3" s="158">
        <v>8.0890493992854596E-4</v>
      </c>
    </row>
    <row r="4" spans="1:53" s="152" customFormat="1" x14ac:dyDescent="0.25">
      <c r="A4" s="152">
        <v>1182</v>
      </c>
      <c r="B4" s="152">
        <v>1182</v>
      </c>
      <c r="C4" s="153">
        <v>513326439</v>
      </c>
      <c r="D4" s="153" t="s">
        <v>1721</v>
      </c>
      <c r="E4" s="153" t="s">
        <v>2179</v>
      </c>
      <c r="F4" s="153">
        <v>28472</v>
      </c>
      <c r="G4" s="153" t="s">
        <v>2165</v>
      </c>
      <c r="I4" s="153" t="s">
        <v>71</v>
      </c>
      <c r="J4" s="153" t="s">
        <v>71</v>
      </c>
      <c r="K4" s="153" t="s">
        <v>234</v>
      </c>
      <c r="L4" s="153" t="s">
        <v>72</v>
      </c>
      <c r="M4" s="153" t="s">
        <v>373</v>
      </c>
      <c r="N4" s="153">
        <v>11898290</v>
      </c>
      <c r="O4" s="154" t="s">
        <v>2180</v>
      </c>
      <c r="P4" s="153" t="s">
        <v>228</v>
      </c>
      <c r="Q4" s="153" t="s">
        <v>219</v>
      </c>
      <c r="R4" s="153" t="s">
        <v>2168</v>
      </c>
      <c r="S4" s="153" t="s">
        <v>81</v>
      </c>
      <c r="T4" s="155">
        <v>3.01</v>
      </c>
      <c r="U4" s="153" t="s">
        <v>286</v>
      </c>
      <c r="V4" s="156">
        <v>5.5E-2</v>
      </c>
      <c r="W4" s="153" t="s">
        <v>2169</v>
      </c>
      <c r="X4" s="153" t="s">
        <v>2120</v>
      </c>
      <c r="Y4" s="157">
        <v>0</v>
      </c>
      <c r="Z4" s="158">
        <v>3.15E-2</v>
      </c>
      <c r="AA4" s="153" t="s">
        <v>2181</v>
      </c>
      <c r="AB4" s="153" t="s">
        <v>222</v>
      </c>
      <c r="AC4" s="153" t="s">
        <v>1626</v>
      </c>
      <c r="AD4" s="159">
        <v>482000</v>
      </c>
      <c r="AE4" s="158">
        <v>0.73</v>
      </c>
      <c r="AF4" s="154" t="s">
        <v>1878</v>
      </c>
      <c r="AG4" s="153" t="s">
        <v>72</v>
      </c>
      <c r="AH4" s="153"/>
      <c r="AI4" s="152" t="s">
        <v>2182</v>
      </c>
      <c r="AJ4" s="152" t="s">
        <v>373</v>
      </c>
      <c r="AK4" s="153" t="s">
        <v>1454</v>
      </c>
      <c r="AL4" s="153" t="s">
        <v>2174</v>
      </c>
      <c r="AM4" s="153" t="s">
        <v>1671</v>
      </c>
      <c r="AN4" s="160" t="s">
        <v>1455</v>
      </c>
      <c r="AO4" s="160" t="s">
        <v>1878</v>
      </c>
      <c r="AP4" s="161">
        <v>0</v>
      </c>
      <c r="AQ4" s="162">
        <v>5817.97</v>
      </c>
      <c r="AR4" s="163">
        <v>124.51</v>
      </c>
      <c r="AS4" s="164">
        <v>1</v>
      </c>
      <c r="AT4" s="155">
        <v>7.2439999999999998</v>
      </c>
      <c r="AU4" s="155">
        <v>7.2439999999999998</v>
      </c>
      <c r="AV4" s="153"/>
      <c r="AW4" s="153"/>
      <c r="AX4" s="153" t="s">
        <v>72</v>
      </c>
      <c r="AY4" s="153" t="s">
        <v>16</v>
      </c>
      <c r="AZ4" s="158">
        <v>8.5005285310621795E-4</v>
      </c>
      <c r="BA4" s="158">
        <v>1.6730626432475998E-5</v>
      </c>
    </row>
    <row r="5" spans="1:53" s="152" customFormat="1" x14ac:dyDescent="0.25">
      <c r="A5" s="152">
        <v>1182</v>
      </c>
      <c r="B5" s="152">
        <v>1182</v>
      </c>
      <c r="C5" s="153">
        <v>513326439</v>
      </c>
      <c r="D5" s="153" t="s">
        <v>1721</v>
      </c>
      <c r="E5" s="153" t="s">
        <v>2183</v>
      </c>
      <c r="F5" s="153">
        <v>29207</v>
      </c>
      <c r="G5" s="153" t="s">
        <v>2165</v>
      </c>
      <c r="I5" s="153" t="s">
        <v>71</v>
      </c>
      <c r="J5" s="153" t="s">
        <v>71</v>
      </c>
      <c r="K5" s="153" t="s">
        <v>234</v>
      </c>
      <c r="L5" s="153" t="s">
        <v>72</v>
      </c>
      <c r="M5" s="153" t="s">
        <v>373</v>
      </c>
      <c r="N5" s="153">
        <v>11898170</v>
      </c>
      <c r="O5" s="154" t="s">
        <v>2180</v>
      </c>
      <c r="P5" s="153" t="s">
        <v>228</v>
      </c>
      <c r="Q5" s="153" t="s">
        <v>219</v>
      </c>
      <c r="R5" s="153" t="s">
        <v>2168</v>
      </c>
      <c r="S5" s="153" t="s">
        <v>81</v>
      </c>
      <c r="T5" s="155">
        <v>3.01</v>
      </c>
      <c r="U5" s="153" t="s">
        <v>2184</v>
      </c>
      <c r="V5" s="156">
        <v>5.5E-2</v>
      </c>
      <c r="W5" s="153" t="s">
        <v>2169</v>
      </c>
      <c r="X5" s="153" t="s">
        <v>2120</v>
      </c>
      <c r="Y5" s="157">
        <v>0</v>
      </c>
      <c r="Z5" s="158">
        <v>2.9399999999999999E-2</v>
      </c>
      <c r="AA5" s="153" t="s">
        <v>2181</v>
      </c>
      <c r="AB5" s="153" t="s">
        <v>222</v>
      </c>
      <c r="AC5" s="153" t="s">
        <v>1626</v>
      </c>
      <c r="AD5" s="159">
        <v>482000</v>
      </c>
      <c r="AE5" s="158">
        <v>0.73</v>
      </c>
      <c r="AF5" s="154" t="s">
        <v>1878</v>
      </c>
      <c r="AG5" s="153" t="s">
        <v>72</v>
      </c>
      <c r="AH5" s="153"/>
      <c r="AI5" s="152" t="s">
        <v>2182</v>
      </c>
      <c r="AJ5" s="152" t="s">
        <v>373</v>
      </c>
      <c r="AK5" s="153" t="s">
        <v>1454</v>
      </c>
      <c r="AL5" s="153" t="s">
        <v>2174</v>
      </c>
      <c r="AM5" s="153" t="s">
        <v>1671</v>
      </c>
      <c r="AN5" s="160" t="s">
        <v>1455</v>
      </c>
      <c r="AO5" s="160" t="s">
        <v>1878</v>
      </c>
      <c r="AP5" s="161">
        <v>0</v>
      </c>
      <c r="AQ5" s="162">
        <v>8380.85</v>
      </c>
      <c r="AR5" s="163">
        <v>127.77</v>
      </c>
      <c r="AS5" s="164">
        <v>1</v>
      </c>
      <c r="AT5" s="155">
        <v>10.708</v>
      </c>
      <c r="AU5" s="155">
        <v>10.708</v>
      </c>
      <c r="AV5" s="153"/>
      <c r="AW5" s="153"/>
      <c r="AX5" s="153" t="s">
        <v>72</v>
      </c>
      <c r="AY5" s="153" t="s">
        <v>16</v>
      </c>
      <c r="AZ5" s="158">
        <v>1.2565714303032799E-3</v>
      </c>
      <c r="BA5" s="158">
        <v>2.4731670635895501E-5</v>
      </c>
    </row>
    <row r="6" spans="1:53" s="152" customFormat="1" x14ac:dyDescent="0.25">
      <c r="A6" s="152">
        <v>1182</v>
      </c>
      <c r="B6" s="152">
        <v>1182</v>
      </c>
      <c r="C6" s="153">
        <v>513326439</v>
      </c>
      <c r="D6" s="153" t="s">
        <v>1721</v>
      </c>
      <c r="E6" s="153" t="s">
        <v>2185</v>
      </c>
      <c r="F6" s="153">
        <v>29215</v>
      </c>
      <c r="G6" s="153" t="s">
        <v>2165</v>
      </c>
      <c r="I6" s="153" t="s">
        <v>71</v>
      </c>
      <c r="J6" s="153" t="s">
        <v>71</v>
      </c>
      <c r="K6" s="153" t="s">
        <v>234</v>
      </c>
      <c r="L6" s="153" t="s">
        <v>72</v>
      </c>
      <c r="M6" s="153" t="s">
        <v>373</v>
      </c>
      <c r="N6" s="153">
        <v>11898170</v>
      </c>
      <c r="O6" s="154" t="s">
        <v>2180</v>
      </c>
      <c r="P6" s="153" t="s">
        <v>228</v>
      </c>
      <c r="Q6" s="153" t="s">
        <v>219</v>
      </c>
      <c r="R6" s="153" t="s">
        <v>2168</v>
      </c>
      <c r="S6" s="153" t="s">
        <v>81</v>
      </c>
      <c r="T6" s="155">
        <v>3.01</v>
      </c>
      <c r="U6" s="153" t="s">
        <v>2184</v>
      </c>
      <c r="V6" s="156">
        <v>5.5E-2</v>
      </c>
      <c r="W6" s="153" t="s">
        <v>2169</v>
      </c>
      <c r="X6" s="153" t="s">
        <v>2120</v>
      </c>
      <c r="Y6" s="157">
        <v>0</v>
      </c>
      <c r="Z6" s="158">
        <v>3.15E-2</v>
      </c>
      <c r="AA6" s="153" t="s">
        <v>2181</v>
      </c>
      <c r="AB6" s="153" t="s">
        <v>222</v>
      </c>
      <c r="AC6" s="153" t="s">
        <v>1626</v>
      </c>
      <c r="AD6" s="159">
        <v>482000</v>
      </c>
      <c r="AE6" s="158">
        <v>0.73</v>
      </c>
      <c r="AF6" s="154" t="s">
        <v>1878</v>
      </c>
      <c r="AG6" s="153" t="s">
        <v>72</v>
      </c>
      <c r="AH6" s="153"/>
      <c r="AI6" s="152" t="s">
        <v>2182</v>
      </c>
      <c r="AJ6" s="152" t="s">
        <v>373</v>
      </c>
      <c r="AK6" s="153" t="s">
        <v>1454</v>
      </c>
      <c r="AL6" s="153" t="s">
        <v>2174</v>
      </c>
      <c r="AM6" s="153" t="s">
        <v>1671</v>
      </c>
      <c r="AN6" s="160" t="s">
        <v>1455</v>
      </c>
      <c r="AO6" s="160" t="s">
        <v>1878</v>
      </c>
      <c r="AP6" s="161">
        <v>0</v>
      </c>
      <c r="AQ6" s="162">
        <v>923.39</v>
      </c>
      <c r="AR6" s="163">
        <v>124.51</v>
      </c>
      <c r="AS6" s="164">
        <v>1</v>
      </c>
      <c r="AT6" s="155">
        <v>1.1499999999999999</v>
      </c>
      <c r="AU6" s="155">
        <v>1.1499999999999999</v>
      </c>
      <c r="AV6" s="153"/>
      <c r="AW6" s="153"/>
      <c r="AX6" s="153" t="s">
        <v>72</v>
      </c>
      <c r="AY6" s="153" t="s">
        <v>16</v>
      </c>
      <c r="AZ6" s="158">
        <v>1.34914807747333E-4</v>
      </c>
      <c r="BA6" s="158">
        <v>2.65537518094525E-6</v>
      </c>
    </row>
    <row r="7" spans="1:53" s="152" customFormat="1" x14ac:dyDescent="0.25">
      <c r="A7" s="152">
        <v>1182</v>
      </c>
      <c r="B7" s="152">
        <v>1182</v>
      </c>
      <c r="C7" s="153">
        <v>513326439</v>
      </c>
      <c r="D7" s="153" t="s">
        <v>1721</v>
      </c>
      <c r="E7" s="153" t="s">
        <v>2186</v>
      </c>
      <c r="F7" s="153">
        <v>97386</v>
      </c>
      <c r="G7" s="153" t="s">
        <v>2165</v>
      </c>
      <c r="I7" s="153" t="s">
        <v>71</v>
      </c>
      <c r="J7" s="153" t="s">
        <v>71</v>
      </c>
      <c r="K7" s="153" t="s">
        <v>234</v>
      </c>
      <c r="L7" s="153" t="s">
        <v>72</v>
      </c>
      <c r="M7" s="153" t="s">
        <v>373</v>
      </c>
      <c r="N7" s="153">
        <v>11898511</v>
      </c>
      <c r="O7" s="154" t="s">
        <v>2187</v>
      </c>
      <c r="P7" s="153" t="s">
        <v>228</v>
      </c>
      <c r="Q7" s="153" t="s">
        <v>219</v>
      </c>
      <c r="R7" s="153" t="s">
        <v>2168</v>
      </c>
      <c r="S7" s="153" t="s">
        <v>81</v>
      </c>
      <c r="T7" s="155">
        <v>3.01</v>
      </c>
      <c r="U7" s="153" t="s">
        <v>286</v>
      </c>
      <c r="V7" s="156">
        <v>5.5300000000000002E-2</v>
      </c>
      <c r="W7" s="153" t="s">
        <v>2169</v>
      </c>
      <c r="X7" s="153" t="s">
        <v>2170</v>
      </c>
      <c r="Y7" s="157">
        <v>5.5300000000000002E-2</v>
      </c>
      <c r="Z7" s="158">
        <v>2.9399999999999999E-2</v>
      </c>
      <c r="AA7" s="153" t="s">
        <v>2188</v>
      </c>
      <c r="AB7" s="153" t="s">
        <v>222</v>
      </c>
      <c r="AC7" s="153" t="s">
        <v>1626</v>
      </c>
      <c r="AD7" s="159">
        <v>482000</v>
      </c>
      <c r="AE7" s="158">
        <v>0.73</v>
      </c>
      <c r="AF7" s="154" t="s">
        <v>1878</v>
      </c>
      <c r="AG7" s="153" t="s">
        <v>72</v>
      </c>
      <c r="AH7" s="153"/>
      <c r="AI7" s="152" t="s">
        <v>2182</v>
      </c>
      <c r="AJ7" s="152" t="s">
        <v>373</v>
      </c>
      <c r="AK7" s="153" t="s">
        <v>1454</v>
      </c>
      <c r="AL7" s="153" t="s">
        <v>2174</v>
      </c>
      <c r="AM7" s="153" t="s">
        <v>1671</v>
      </c>
      <c r="AN7" s="160" t="s">
        <v>1455</v>
      </c>
      <c r="AO7" s="160" t="s">
        <v>1878</v>
      </c>
      <c r="AP7" s="161">
        <v>0</v>
      </c>
      <c r="AQ7" s="162">
        <v>11540.2</v>
      </c>
      <c r="AR7" s="163">
        <v>129.37</v>
      </c>
      <c r="AS7" s="164">
        <v>1</v>
      </c>
      <c r="AT7" s="155">
        <v>14.93</v>
      </c>
      <c r="AU7" s="155">
        <v>14.93</v>
      </c>
      <c r="AV7" s="153"/>
      <c r="AW7" s="153"/>
      <c r="AX7" s="153" t="s">
        <v>72</v>
      </c>
      <c r="AY7" s="153" t="s">
        <v>16</v>
      </c>
      <c r="AZ7" s="158">
        <v>1.7519315444762299E-3</v>
      </c>
      <c r="BA7" s="158">
        <v>3.4481282074163002E-5</v>
      </c>
    </row>
    <row r="8" spans="1:53" s="152" customFormat="1" x14ac:dyDescent="0.25">
      <c r="A8" s="152">
        <v>1182</v>
      </c>
      <c r="B8" s="152">
        <v>1182</v>
      </c>
      <c r="C8" s="153">
        <v>513326439</v>
      </c>
      <c r="D8" s="153" t="s">
        <v>1721</v>
      </c>
      <c r="E8" s="153" t="s">
        <v>2189</v>
      </c>
      <c r="F8" s="153">
        <v>97378</v>
      </c>
      <c r="G8" s="153" t="s">
        <v>2165</v>
      </c>
      <c r="I8" s="153" t="s">
        <v>71</v>
      </c>
      <c r="J8" s="153" t="s">
        <v>71</v>
      </c>
      <c r="K8" s="153" t="s">
        <v>234</v>
      </c>
      <c r="L8" s="153" t="s">
        <v>72</v>
      </c>
      <c r="M8" s="153" t="s">
        <v>373</v>
      </c>
      <c r="N8" s="153">
        <v>11898512</v>
      </c>
      <c r="O8" s="154" t="s">
        <v>2190</v>
      </c>
      <c r="P8" s="153" t="s">
        <v>228</v>
      </c>
      <c r="Q8" s="153" t="s">
        <v>219</v>
      </c>
      <c r="R8" s="153" t="s">
        <v>2168</v>
      </c>
      <c r="S8" s="153" t="s">
        <v>81</v>
      </c>
      <c r="T8" s="155">
        <v>3.01</v>
      </c>
      <c r="U8" s="153" t="s">
        <v>286</v>
      </c>
      <c r="V8" s="156">
        <v>5.5301000000000003E-2</v>
      </c>
      <c r="W8" s="153" t="s">
        <v>2169</v>
      </c>
      <c r="X8" s="153" t="s">
        <v>2170</v>
      </c>
      <c r="Y8" s="157">
        <v>5.5301000000000003E-2</v>
      </c>
      <c r="Z8" s="158">
        <v>2.9399999999999999E-2</v>
      </c>
      <c r="AA8" s="153" t="s">
        <v>2188</v>
      </c>
      <c r="AB8" s="153" t="s">
        <v>222</v>
      </c>
      <c r="AC8" s="153" t="s">
        <v>1626</v>
      </c>
      <c r="AD8" s="159">
        <v>482000</v>
      </c>
      <c r="AE8" s="158">
        <v>0.73</v>
      </c>
      <c r="AF8" s="154" t="s">
        <v>1878</v>
      </c>
      <c r="AG8" s="153" t="s">
        <v>72</v>
      </c>
      <c r="AH8" s="153"/>
      <c r="AI8" s="152" t="s">
        <v>2182</v>
      </c>
      <c r="AJ8" s="152" t="s">
        <v>373</v>
      </c>
      <c r="AK8" s="153" t="s">
        <v>1454</v>
      </c>
      <c r="AL8" s="153" t="s">
        <v>2174</v>
      </c>
      <c r="AM8" s="153" t="s">
        <v>1671</v>
      </c>
      <c r="AN8" s="160" t="s">
        <v>1455</v>
      </c>
      <c r="AO8" s="160" t="s">
        <v>1878</v>
      </c>
      <c r="AP8" s="161">
        <v>0</v>
      </c>
      <c r="AQ8" s="162">
        <v>11071.79</v>
      </c>
      <c r="AR8" s="163">
        <v>129.37</v>
      </c>
      <c r="AS8" s="164">
        <v>1</v>
      </c>
      <c r="AT8" s="155">
        <v>14.324</v>
      </c>
      <c r="AU8" s="155">
        <v>14.324</v>
      </c>
      <c r="AV8" s="153"/>
      <c r="AW8" s="153"/>
      <c r="AX8" s="153" t="s">
        <v>72</v>
      </c>
      <c r="AY8" s="153" t="s">
        <v>16</v>
      </c>
      <c r="AZ8" s="158">
        <v>1.68082166295354E-3</v>
      </c>
      <c r="BA8" s="158">
        <v>3.3081706907670303E-5</v>
      </c>
    </row>
    <row r="9" spans="1:53" s="152" customFormat="1" x14ac:dyDescent="0.25">
      <c r="A9" s="152">
        <v>1182</v>
      </c>
      <c r="B9" s="152">
        <v>1182</v>
      </c>
      <c r="C9" s="153">
        <v>513326439</v>
      </c>
      <c r="D9" s="153" t="s">
        <v>1721</v>
      </c>
      <c r="E9" s="153" t="s">
        <v>2191</v>
      </c>
      <c r="F9" s="153">
        <v>97394</v>
      </c>
      <c r="G9" s="153" t="s">
        <v>2165</v>
      </c>
      <c r="I9" s="153" t="s">
        <v>71</v>
      </c>
      <c r="J9" s="153" t="s">
        <v>71</v>
      </c>
      <c r="K9" s="153" t="s">
        <v>234</v>
      </c>
      <c r="L9" s="153" t="s">
        <v>72</v>
      </c>
      <c r="M9" s="153" t="s">
        <v>373</v>
      </c>
      <c r="N9" s="153">
        <v>11898517</v>
      </c>
      <c r="O9" s="154" t="s">
        <v>2192</v>
      </c>
      <c r="P9" s="153" t="s">
        <v>228</v>
      </c>
      <c r="Q9" s="153" t="s">
        <v>219</v>
      </c>
      <c r="R9" s="153" t="s">
        <v>2168</v>
      </c>
      <c r="S9" s="153" t="s">
        <v>81</v>
      </c>
      <c r="T9" s="155">
        <v>3.01</v>
      </c>
      <c r="U9" s="153" t="s">
        <v>286</v>
      </c>
      <c r="V9" s="156">
        <v>5.5300000000000002E-2</v>
      </c>
      <c r="W9" s="153" t="s">
        <v>2169</v>
      </c>
      <c r="X9" s="153" t="s">
        <v>2170</v>
      </c>
      <c r="Y9" s="157">
        <v>5.5300000000000002E-2</v>
      </c>
      <c r="Z9" s="158">
        <v>2.9399999999999999E-2</v>
      </c>
      <c r="AA9" s="153" t="s">
        <v>2188</v>
      </c>
      <c r="AB9" s="153" t="s">
        <v>222</v>
      </c>
      <c r="AC9" s="153" t="s">
        <v>1626</v>
      </c>
      <c r="AD9" s="159">
        <v>482000</v>
      </c>
      <c r="AE9" s="158">
        <v>0.73</v>
      </c>
      <c r="AF9" s="154" t="s">
        <v>1878</v>
      </c>
      <c r="AG9" s="153" t="s">
        <v>72</v>
      </c>
      <c r="AH9" s="153"/>
      <c r="AI9" s="152" t="s">
        <v>2182</v>
      </c>
      <c r="AJ9" s="152" t="s">
        <v>373</v>
      </c>
      <c r="AK9" s="153" t="s">
        <v>1454</v>
      </c>
      <c r="AL9" s="153" t="s">
        <v>2174</v>
      </c>
      <c r="AM9" s="153" t="s">
        <v>1671</v>
      </c>
      <c r="AN9" s="160" t="s">
        <v>1455</v>
      </c>
      <c r="AO9" s="160" t="s">
        <v>1878</v>
      </c>
      <c r="AP9" s="161">
        <v>0</v>
      </c>
      <c r="AQ9" s="162">
        <v>11134.98</v>
      </c>
      <c r="AR9" s="163">
        <v>127.77</v>
      </c>
      <c r="AS9" s="164">
        <v>1</v>
      </c>
      <c r="AT9" s="155">
        <v>14.227</v>
      </c>
      <c r="AU9" s="155">
        <v>14.227</v>
      </c>
      <c r="AV9" s="153"/>
      <c r="AW9" s="153"/>
      <c r="AX9" s="153" t="s">
        <v>72</v>
      </c>
      <c r="AY9" s="153" t="s">
        <v>16</v>
      </c>
      <c r="AZ9" s="158">
        <v>1.66950819367945E-3</v>
      </c>
      <c r="BA9" s="158">
        <v>3.2859036720295002E-5</v>
      </c>
    </row>
    <row r="10" spans="1:53" s="152" customFormat="1" x14ac:dyDescent="0.25">
      <c r="A10" s="152">
        <v>1182</v>
      </c>
      <c r="B10" s="152">
        <v>1182</v>
      </c>
      <c r="C10" s="153">
        <v>513326439</v>
      </c>
      <c r="D10" s="153" t="s">
        <v>1721</v>
      </c>
      <c r="E10" s="153" t="s">
        <v>2193</v>
      </c>
      <c r="F10" s="153">
        <v>973031</v>
      </c>
      <c r="G10" s="153" t="s">
        <v>2165</v>
      </c>
      <c r="I10" s="153" t="s">
        <v>71</v>
      </c>
      <c r="J10" s="153" t="s">
        <v>71</v>
      </c>
      <c r="K10" s="153" t="s">
        <v>234</v>
      </c>
      <c r="L10" s="153" t="s">
        <v>72</v>
      </c>
      <c r="M10" s="153" t="s">
        <v>373</v>
      </c>
      <c r="N10" s="153">
        <v>11898527</v>
      </c>
      <c r="O10" s="154" t="s">
        <v>2194</v>
      </c>
      <c r="P10" s="153" t="s">
        <v>228</v>
      </c>
      <c r="Q10" s="153" t="s">
        <v>219</v>
      </c>
      <c r="R10" s="153" t="s">
        <v>2168</v>
      </c>
      <c r="S10" s="153" t="s">
        <v>81</v>
      </c>
      <c r="T10" s="155">
        <v>3.01</v>
      </c>
      <c r="U10" s="153" t="s">
        <v>286</v>
      </c>
      <c r="V10" s="156">
        <v>5.5E-2</v>
      </c>
      <c r="W10" s="153" t="s">
        <v>2169</v>
      </c>
      <c r="X10" s="153" t="s">
        <v>2120</v>
      </c>
      <c r="Y10" s="157">
        <v>0</v>
      </c>
      <c r="Z10" s="158">
        <v>2.9399999999999999E-2</v>
      </c>
      <c r="AA10" s="153" t="s">
        <v>2188</v>
      </c>
      <c r="AB10" s="153" t="s">
        <v>222</v>
      </c>
      <c r="AC10" s="153" t="s">
        <v>1626</v>
      </c>
      <c r="AD10" s="159">
        <v>482000</v>
      </c>
      <c r="AE10" s="158">
        <v>0.73</v>
      </c>
      <c r="AF10" s="154" t="s">
        <v>1878</v>
      </c>
      <c r="AG10" s="153" t="s">
        <v>72</v>
      </c>
      <c r="AH10" s="153"/>
      <c r="AI10" s="152" t="s">
        <v>2182</v>
      </c>
      <c r="AJ10" s="152" t="s">
        <v>373</v>
      </c>
      <c r="AK10" s="153" t="s">
        <v>1454</v>
      </c>
      <c r="AL10" s="153" t="s">
        <v>2174</v>
      </c>
      <c r="AM10" s="153" t="s">
        <v>1671</v>
      </c>
      <c r="AN10" s="160" t="s">
        <v>1455</v>
      </c>
      <c r="AO10" s="160" t="s">
        <v>1878</v>
      </c>
      <c r="AP10" s="161">
        <v>0</v>
      </c>
      <c r="AQ10" s="162">
        <v>3516.3</v>
      </c>
      <c r="AR10" s="163">
        <v>127.26</v>
      </c>
      <c r="AS10" s="164">
        <v>1</v>
      </c>
      <c r="AT10" s="155">
        <v>4.4749999999999996</v>
      </c>
      <c r="AU10" s="155">
        <v>4.4749999999999996</v>
      </c>
      <c r="AV10" s="153"/>
      <c r="AW10" s="153"/>
      <c r="AX10" s="153" t="s">
        <v>72</v>
      </c>
      <c r="AY10" s="153" t="s">
        <v>16</v>
      </c>
      <c r="AZ10" s="158">
        <v>5.2510730295216002E-4</v>
      </c>
      <c r="BA10" s="158">
        <v>1.03350916246614E-5</v>
      </c>
    </row>
    <row r="11" spans="1:53" x14ac:dyDescent="0.25">
      <c r="A11" s="152">
        <v>1182</v>
      </c>
      <c r="B11" s="152">
        <v>1182</v>
      </c>
      <c r="C11" s="153">
        <v>513326439</v>
      </c>
      <c r="D11" s="153" t="s">
        <v>1721</v>
      </c>
      <c r="E11" s="153" t="s">
        <v>2195</v>
      </c>
      <c r="F11" s="153">
        <v>97261</v>
      </c>
      <c r="G11" s="153" t="s">
        <v>2165</v>
      </c>
      <c r="H11" s="152"/>
      <c r="I11" s="153" t="s">
        <v>71</v>
      </c>
      <c r="J11" s="153" t="s">
        <v>71</v>
      </c>
      <c r="K11" s="153" t="s">
        <v>234</v>
      </c>
      <c r="L11" s="153" t="s">
        <v>72</v>
      </c>
      <c r="M11" s="153" t="s">
        <v>373</v>
      </c>
      <c r="N11" s="153">
        <v>11898505</v>
      </c>
      <c r="O11" s="154" t="s">
        <v>2196</v>
      </c>
      <c r="P11" s="153" t="s">
        <v>228</v>
      </c>
      <c r="Q11" s="153" t="s">
        <v>219</v>
      </c>
      <c r="R11" s="153" t="s">
        <v>2168</v>
      </c>
      <c r="S11" s="153" t="s">
        <v>81</v>
      </c>
      <c r="T11" s="155">
        <v>3.01</v>
      </c>
      <c r="U11" s="153" t="s">
        <v>2184</v>
      </c>
      <c r="V11" s="156">
        <v>5.6132000000000001E-2</v>
      </c>
      <c r="W11" s="153" t="s">
        <v>2169</v>
      </c>
      <c r="X11" s="153" t="s">
        <v>2170</v>
      </c>
      <c r="Y11" s="157">
        <v>5.6132000000000001E-2</v>
      </c>
      <c r="Z11" s="158">
        <v>2.9399999999999999E-2</v>
      </c>
      <c r="AA11" s="153" t="s">
        <v>2188</v>
      </c>
      <c r="AB11" s="153" t="s">
        <v>222</v>
      </c>
      <c r="AC11" s="153" t="s">
        <v>1626</v>
      </c>
      <c r="AD11" s="159">
        <v>482000</v>
      </c>
      <c r="AE11" s="158">
        <v>0.73</v>
      </c>
      <c r="AF11" s="154" t="s">
        <v>1878</v>
      </c>
      <c r="AG11" s="153" t="s">
        <v>72</v>
      </c>
      <c r="AH11" s="153"/>
      <c r="AI11" s="152" t="s">
        <v>2182</v>
      </c>
      <c r="AJ11" s="152" t="s">
        <v>373</v>
      </c>
      <c r="AK11" s="153" t="s">
        <v>1454</v>
      </c>
      <c r="AL11" s="153" t="s">
        <v>2174</v>
      </c>
      <c r="AM11" s="153" t="s">
        <v>1671</v>
      </c>
      <c r="AN11" s="160" t="s">
        <v>1455</v>
      </c>
      <c r="AO11" s="160" t="s">
        <v>1878</v>
      </c>
      <c r="AP11" s="161">
        <v>0</v>
      </c>
      <c r="AQ11" s="162">
        <v>516.44000000000005</v>
      </c>
      <c r="AR11" s="163">
        <v>129.61000000000001</v>
      </c>
      <c r="AS11" s="164">
        <v>1</v>
      </c>
      <c r="AT11" s="155">
        <v>0.66900000000000004</v>
      </c>
      <c r="AU11" s="155">
        <v>0.66900000000000004</v>
      </c>
      <c r="AV11" s="153"/>
      <c r="AW11" s="153"/>
      <c r="AX11" s="10" t="s">
        <v>72</v>
      </c>
      <c r="AY11" s="10" t="s">
        <v>16</v>
      </c>
      <c r="AZ11" s="54">
        <v>7.8546819034592606E-5</v>
      </c>
      <c r="BA11" s="54">
        <v>1.5459479747935799E-6</v>
      </c>
    </row>
    <row r="12" spans="1:53" x14ac:dyDescent="0.25">
      <c r="A12" s="152">
        <v>1182</v>
      </c>
      <c r="B12" s="152">
        <v>1182</v>
      </c>
      <c r="C12" s="153">
        <v>513326439</v>
      </c>
      <c r="D12" s="153" t="s">
        <v>1721</v>
      </c>
      <c r="E12" s="153" t="s">
        <v>2197</v>
      </c>
      <c r="F12" s="153">
        <v>29199</v>
      </c>
      <c r="G12" s="153" t="s">
        <v>2165</v>
      </c>
      <c r="H12" s="152"/>
      <c r="I12" s="153" t="s">
        <v>71</v>
      </c>
      <c r="J12" s="153" t="s">
        <v>71</v>
      </c>
      <c r="K12" s="153" t="s">
        <v>234</v>
      </c>
      <c r="L12" s="153" t="s">
        <v>72</v>
      </c>
      <c r="M12" s="153" t="s">
        <v>373</v>
      </c>
      <c r="N12" s="153">
        <v>11898506</v>
      </c>
      <c r="O12" s="154" t="s">
        <v>2180</v>
      </c>
      <c r="P12" s="153" t="s">
        <v>228</v>
      </c>
      <c r="Q12" s="153" t="s">
        <v>219</v>
      </c>
      <c r="R12" s="153" t="s">
        <v>2168</v>
      </c>
      <c r="S12" s="153" t="s">
        <v>81</v>
      </c>
      <c r="T12" s="155">
        <v>3.01</v>
      </c>
      <c r="U12" s="153" t="s">
        <v>2184</v>
      </c>
      <c r="V12" s="156">
        <v>5.6691999999999999E-2</v>
      </c>
      <c r="W12" s="153" t="s">
        <v>2169</v>
      </c>
      <c r="X12" s="153" t="s">
        <v>2120</v>
      </c>
      <c r="Y12" s="157">
        <v>0</v>
      </c>
      <c r="Z12" s="158">
        <v>2.93E-2</v>
      </c>
      <c r="AA12" s="153" t="s">
        <v>2198</v>
      </c>
      <c r="AB12" s="153" t="s">
        <v>222</v>
      </c>
      <c r="AC12" s="153" t="s">
        <v>1626</v>
      </c>
      <c r="AD12" s="159">
        <v>482000</v>
      </c>
      <c r="AE12" s="158">
        <v>0.73</v>
      </c>
      <c r="AF12" s="154" t="s">
        <v>1878</v>
      </c>
      <c r="AG12" s="153" t="s">
        <v>72</v>
      </c>
      <c r="AH12" s="153"/>
      <c r="AI12" s="152" t="s">
        <v>2182</v>
      </c>
      <c r="AJ12" s="152" t="s">
        <v>373</v>
      </c>
      <c r="AK12" s="153" t="s">
        <v>1454</v>
      </c>
      <c r="AL12" s="153" t="s">
        <v>2174</v>
      </c>
      <c r="AM12" s="153" t="s">
        <v>1671</v>
      </c>
      <c r="AN12" s="160" t="s">
        <v>1455</v>
      </c>
      <c r="AO12" s="160" t="s">
        <v>1878</v>
      </c>
      <c r="AP12" s="161">
        <v>0</v>
      </c>
      <c r="AQ12" s="162">
        <v>1039.8499999999999</v>
      </c>
      <c r="AR12" s="163">
        <v>130.01</v>
      </c>
      <c r="AS12" s="164">
        <v>1</v>
      </c>
      <c r="AT12" s="155">
        <v>1.3520000000000001</v>
      </c>
      <c r="AU12" s="155">
        <v>1.3520000000000001</v>
      </c>
      <c r="AV12" s="153"/>
      <c r="AW12" s="153"/>
      <c r="AX12" s="10" t="s">
        <v>72</v>
      </c>
      <c r="AY12" s="10" t="s">
        <v>16</v>
      </c>
      <c r="AZ12" s="54">
        <v>1.58641816185786E-4</v>
      </c>
      <c r="BA12" s="54">
        <v>3.12236698397653E-6</v>
      </c>
    </row>
    <row r="13" spans="1:53" x14ac:dyDescent="0.25">
      <c r="A13" s="152">
        <v>1182</v>
      </c>
      <c r="B13" s="152">
        <v>1182</v>
      </c>
      <c r="C13" s="153">
        <v>513326439</v>
      </c>
      <c r="D13" s="153" t="s">
        <v>1721</v>
      </c>
      <c r="E13" s="153" t="s">
        <v>2199</v>
      </c>
      <c r="F13" s="153">
        <v>97287</v>
      </c>
      <c r="G13" s="153" t="s">
        <v>2165</v>
      </c>
      <c r="H13" s="152"/>
      <c r="I13" s="153" t="s">
        <v>71</v>
      </c>
      <c r="J13" s="153" t="s">
        <v>71</v>
      </c>
      <c r="K13" s="153" t="s">
        <v>234</v>
      </c>
      <c r="L13" s="153" t="s">
        <v>72</v>
      </c>
      <c r="M13" s="153" t="s">
        <v>373</v>
      </c>
      <c r="N13" s="153">
        <v>11898509</v>
      </c>
      <c r="O13" s="154" t="s">
        <v>2200</v>
      </c>
      <c r="P13" s="153" t="s">
        <v>228</v>
      </c>
      <c r="Q13" s="153" t="s">
        <v>219</v>
      </c>
      <c r="R13" s="153" t="s">
        <v>2168</v>
      </c>
      <c r="S13" s="153" t="s">
        <v>81</v>
      </c>
      <c r="T13" s="155">
        <v>3.01</v>
      </c>
      <c r="U13" s="153" t="s">
        <v>2184</v>
      </c>
      <c r="V13" s="156">
        <v>5.5E-2</v>
      </c>
      <c r="W13" s="153" t="s">
        <v>2169</v>
      </c>
      <c r="X13" s="153" t="s">
        <v>2170</v>
      </c>
      <c r="Y13" s="157">
        <v>5.5E-2</v>
      </c>
      <c r="Z13" s="158">
        <v>2.9399999999999999E-2</v>
      </c>
      <c r="AA13" s="153" t="s">
        <v>2188</v>
      </c>
      <c r="AB13" s="153" t="s">
        <v>222</v>
      </c>
      <c r="AC13" s="153" t="s">
        <v>1626</v>
      </c>
      <c r="AD13" s="159">
        <v>482000</v>
      </c>
      <c r="AE13" s="158">
        <v>0.73</v>
      </c>
      <c r="AF13" s="154" t="s">
        <v>1878</v>
      </c>
      <c r="AG13" s="153" t="s">
        <v>72</v>
      </c>
      <c r="AH13" s="153"/>
      <c r="AI13" s="152" t="s">
        <v>2182</v>
      </c>
      <c r="AJ13" s="152" t="s">
        <v>373</v>
      </c>
      <c r="AK13" s="153" t="s">
        <v>1454</v>
      </c>
      <c r="AL13" s="153" t="s">
        <v>2174</v>
      </c>
      <c r="AM13" s="153" t="s">
        <v>1671</v>
      </c>
      <c r="AN13" s="160" t="s">
        <v>1455</v>
      </c>
      <c r="AO13" s="160" t="s">
        <v>1878</v>
      </c>
      <c r="AP13" s="161">
        <v>0</v>
      </c>
      <c r="AQ13" s="162">
        <v>623.95000000000005</v>
      </c>
      <c r="AR13" s="163">
        <v>129.97</v>
      </c>
      <c r="AS13" s="164">
        <v>1</v>
      </c>
      <c r="AT13" s="155">
        <v>0.81100000000000005</v>
      </c>
      <c r="AU13" s="155">
        <v>0.81100000000000005</v>
      </c>
      <c r="AV13" s="153"/>
      <c r="AW13" s="153"/>
      <c r="AX13" s="10" t="s">
        <v>72</v>
      </c>
      <c r="AY13" s="10" t="s">
        <v>16</v>
      </c>
      <c r="AZ13" s="54">
        <v>9.5161904855225801E-5</v>
      </c>
      <c r="BA13" s="54">
        <v>1.8729638691497499E-6</v>
      </c>
    </row>
    <row r="14" spans="1:53" x14ac:dyDescent="0.25">
      <c r="A14" s="152">
        <v>1182</v>
      </c>
      <c r="B14" s="152">
        <v>1182</v>
      </c>
      <c r="C14" s="153">
        <v>513326439</v>
      </c>
      <c r="D14" s="153" t="s">
        <v>1721</v>
      </c>
      <c r="E14" s="153" t="s">
        <v>2201</v>
      </c>
      <c r="F14" s="153">
        <v>97345</v>
      </c>
      <c r="G14" s="153" t="s">
        <v>2165</v>
      </c>
      <c r="H14" s="152"/>
      <c r="I14" s="153" t="s">
        <v>71</v>
      </c>
      <c r="J14" s="153" t="s">
        <v>71</v>
      </c>
      <c r="K14" s="153" t="s">
        <v>234</v>
      </c>
      <c r="L14" s="153" t="s">
        <v>72</v>
      </c>
      <c r="M14" s="153" t="s">
        <v>373</v>
      </c>
      <c r="N14" s="153">
        <v>11898507</v>
      </c>
      <c r="O14" s="154" t="s">
        <v>2202</v>
      </c>
      <c r="P14" s="153" t="s">
        <v>228</v>
      </c>
      <c r="Q14" s="153" t="s">
        <v>219</v>
      </c>
      <c r="R14" s="153" t="s">
        <v>2168</v>
      </c>
      <c r="S14" s="153" t="s">
        <v>81</v>
      </c>
      <c r="T14" s="155">
        <v>3.01</v>
      </c>
      <c r="U14" s="153" t="s">
        <v>2184</v>
      </c>
      <c r="V14" s="156">
        <v>5.5E-2</v>
      </c>
      <c r="W14" s="153" t="s">
        <v>2169</v>
      </c>
      <c r="X14" s="153" t="s">
        <v>2170</v>
      </c>
      <c r="Y14" s="157">
        <v>5.5E-2</v>
      </c>
      <c r="Z14" s="158">
        <v>2.9399999999999999E-2</v>
      </c>
      <c r="AA14" s="153" t="s">
        <v>2188</v>
      </c>
      <c r="AB14" s="153" t="s">
        <v>222</v>
      </c>
      <c r="AC14" s="153" t="s">
        <v>1626</v>
      </c>
      <c r="AD14" s="159">
        <v>482000</v>
      </c>
      <c r="AE14" s="158">
        <v>0.73</v>
      </c>
      <c r="AF14" s="154" t="s">
        <v>1878</v>
      </c>
      <c r="AG14" s="153" t="s">
        <v>72</v>
      </c>
      <c r="AH14" s="153"/>
      <c r="AI14" s="152" t="s">
        <v>2182</v>
      </c>
      <c r="AJ14" s="152" t="s">
        <v>373</v>
      </c>
      <c r="AK14" s="153" t="s">
        <v>1454</v>
      </c>
      <c r="AL14" s="153" t="s">
        <v>2174</v>
      </c>
      <c r="AM14" s="153" t="s">
        <v>1671</v>
      </c>
      <c r="AN14" s="160" t="s">
        <v>1455</v>
      </c>
      <c r="AO14" s="160" t="s">
        <v>1878</v>
      </c>
      <c r="AP14" s="161">
        <v>0</v>
      </c>
      <c r="AQ14" s="162">
        <v>11237.14</v>
      </c>
      <c r="AR14" s="163">
        <v>129.93</v>
      </c>
      <c r="AS14" s="164">
        <v>1</v>
      </c>
      <c r="AT14" s="155">
        <v>14.6</v>
      </c>
      <c r="AU14" s="155">
        <v>14.6</v>
      </c>
      <c r="AV14" s="153"/>
      <c r="AW14" s="153"/>
      <c r="AX14" s="10" t="s">
        <v>72</v>
      </c>
      <c r="AY14" s="10" t="s">
        <v>16</v>
      </c>
      <c r="AZ14" s="54">
        <v>1.7133080239312799E-3</v>
      </c>
      <c r="BA14" s="54">
        <v>3.3721099114499497E-5</v>
      </c>
    </row>
    <row r="15" spans="1:53" x14ac:dyDescent="0.25">
      <c r="A15" s="152">
        <v>1182</v>
      </c>
      <c r="B15" s="152">
        <v>1182</v>
      </c>
      <c r="C15" s="153">
        <v>513326439</v>
      </c>
      <c r="D15" s="153" t="s">
        <v>1721</v>
      </c>
      <c r="E15" s="153" t="s">
        <v>2203</v>
      </c>
      <c r="F15" s="153">
        <v>28415</v>
      </c>
      <c r="G15" s="153" t="s">
        <v>2165</v>
      </c>
      <c r="H15" s="152"/>
      <c r="I15" s="153" t="s">
        <v>71</v>
      </c>
      <c r="J15" s="153" t="s">
        <v>71</v>
      </c>
      <c r="K15" s="153" t="s">
        <v>234</v>
      </c>
      <c r="L15" s="153" t="s">
        <v>72</v>
      </c>
      <c r="M15" s="153" t="s">
        <v>373</v>
      </c>
      <c r="N15" s="153">
        <v>11898160</v>
      </c>
      <c r="O15" s="154" t="s">
        <v>2204</v>
      </c>
      <c r="P15" s="153" t="s">
        <v>228</v>
      </c>
      <c r="Q15" s="153" t="s">
        <v>219</v>
      </c>
      <c r="R15" s="153" t="s">
        <v>2168</v>
      </c>
      <c r="S15" s="153" t="s">
        <v>81</v>
      </c>
      <c r="T15" s="155">
        <v>3.01</v>
      </c>
      <c r="U15" s="153" t="s">
        <v>2184</v>
      </c>
      <c r="V15" s="156">
        <v>5.5E-2</v>
      </c>
      <c r="W15" s="153" t="s">
        <v>2169</v>
      </c>
      <c r="X15" s="153" t="s">
        <v>2170</v>
      </c>
      <c r="Y15" s="157">
        <v>5.5E-2</v>
      </c>
      <c r="Z15" s="158">
        <v>2.9399999999999999E-2</v>
      </c>
      <c r="AA15" s="153" t="s">
        <v>2181</v>
      </c>
      <c r="AB15" s="153" t="s">
        <v>222</v>
      </c>
      <c r="AC15" s="153" t="s">
        <v>1626</v>
      </c>
      <c r="AD15" s="159">
        <v>482000</v>
      </c>
      <c r="AE15" s="158">
        <v>0.73</v>
      </c>
      <c r="AF15" s="154" t="s">
        <v>1878</v>
      </c>
      <c r="AG15" s="153" t="s">
        <v>72</v>
      </c>
      <c r="AH15" s="153"/>
      <c r="AI15" s="152" t="s">
        <v>2182</v>
      </c>
      <c r="AJ15" s="152" t="s">
        <v>373</v>
      </c>
      <c r="AK15" s="153" t="s">
        <v>1454</v>
      </c>
      <c r="AL15" s="153" t="s">
        <v>2174</v>
      </c>
      <c r="AM15" s="153" t="s">
        <v>1671</v>
      </c>
      <c r="AN15" s="160" t="s">
        <v>1455</v>
      </c>
      <c r="AO15" s="160" t="s">
        <v>1878</v>
      </c>
      <c r="AP15" s="161">
        <v>0</v>
      </c>
      <c r="AQ15" s="162">
        <v>1286.43</v>
      </c>
      <c r="AR15" s="163">
        <v>126.78</v>
      </c>
      <c r="AS15" s="164">
        <v>1</v>
      </c>
      <c r="AT15" s="155">
        <v>1.631</v>
      </c>
      <c r="AU15" s="155">
        <v>1.631</v>
      </c>
      <c r="AV15" s="153"/>
      <c r="AW15" s="153"/>
      <c r="AX15" s="10" t="s">
        <v>72</v>
      </c>
      <c r="AY15" s="10" t="s">
        <v>16</v>
      </c>
      <c r="AZ15" s="54">
        <v>1.9138466028114899E-4</v>
      </c>
      <c r="BA15" s="54">
        <v>3.7668072571837198E-6</v>
      </c>
    </row>
    <row r="16" spans="1:53" x14ac:dyDescent="0.25">
      <c r="A16" s="152">
        <v>1182</v>
      </c>
      <c r="B16" s="152">
        <v>1182</v>
      </c>
      <c r="C16" s="153">
        <v>513326439</v>
      </c>
      <c r="D16" s="153" t="s">
        <v>1721</v>
      </c>
      <c r="E16" s="153" t="s">
        <v>2205</v>
      </c>
      <c r="F16" s="153">
        <v>24836</v>
      </c>
      <c r="G16" s="153" t="s">
        <v>2165</v>
      </c>
      <c r="H16" s="152"/>
      <c r="I16" s="153" t="s">
        <v>71</v>
      </c>
      <c r="J16" s="153" t="s">
        <v>71</v>
      </c>
      <c r="K16" s="153" t="s">
        <v>234</v>
      </c>
      <c r="L16" s="153" t="s">
        <v>72</v>
      </c>
      <c r="M16" s="153" t="s">
        <v>373</v>
      </c>
      <c r="N16" s="153">
        <v>11898200</v>
      </c>
      <c r="O16" s="154" t="s">
        <v>2180</v>
      </c>
      <c r="P16" s="153" t="s">
        <v>228</v>
      </c>
      <c r="Q16" s="153" t="s">
        <v>219</v>
      </c>
      <c r="R16" s="153" t="s">
        <v>2168</v>
      </c>
      <c r="S16" s="153" t="s">
        <v>81</v>
      </c>
      <c r="T16" s="155">
        <v>3.02</v>
      </c>
      <c r="U16" s="153" t="s">
        <v>286</v>
      </c>
      <c r="V16" s="156">
        <v>5.5E-2</v>
      </c>
      <c r="W16" s="153" t="s">
        <v>2169</v>
      </c>
      <c r="X16" s="153" t="s">
        <v>2120</v>
      </c>
      <c r="Y16" s="157">
        <v>0</v>
      </c>
      <c r="Z16" s="158">
        <v>2.93E-2</v>
      </c>
      <c r="AA16" s="153" t="s">
        <v>2181</v>
      </c>
      <c r="AB16" s="153" t="s">
        <v>222</v>
      </c>
      <c r="AC16" s="153" t="s">
        <v>1626</v>
      </c>
      <c r="AD16" s="159">
        <v>482000</v>
      </c>
      <c r="AE16" s="158">
        <v>0.73</v>
      </c>
      <c r="AF16" s="154" t="s">
        <v>1878</v>
      </c>
      <c r="AG16" s="153" t="s">
        <v>72</v>
      </c>
      <c r="AH16" s="153"/>
      <c r="AI16" s="152" t="s">
        <v>2182</v>
      </c>
      <c r="AJ16" s="152" t="s">
        <v>373</v>
      </c>
      <c r="AK16" s="153" t="s">
        <v>1454</v>
      </c>
      <c r="AL16" s="153" t="s">
        <v>2174</v>
      </c>
      <c r="AM16" s="153" t="s">
        <v>1671</v>
      </c>
      <c r="AN16" s="160" t="s">
        <v>1455</v>
      </c>
      <c r="AO16" s="160" t="s">
        <v>1878</v>
      </c>
      <c r="AP16" s="161">
        <v>0</v>
      </c>
      <c r="AQ16" s="162">
        <v>1065.55</v>
      </c>
      <c r="AR16" s="163">
        <v>126.72</v>
      </c>
      <c r="AS16" s="164">
        <v>1</v>
      </c>
      <c r="AT16" s="155">
        <v>1.35</v>
      </c>
      <c r="AU16" s="155">
        <v>1.35</v>
      </c>
      <c r="AV16" s="153"/>
      <c r="AW16" s="153"/>
      <c r="AX16" s="10" t="s">
        <v>72</v>
      </c>
      <c r="AY16" s="10" t="s">
        <v>16</v>
      </c>
      <c r="AZ16" s="54">
        <v>1.5844889557149299E-4</v>
      </c>
      <c r="BA16" s="54">
        <v>3.1185699462781501E-6</v>
      </c>
    </row>
    <row r="17" spans="1:53" x14ac:dyDescent="0.25">
      <c r="A17" s="152">
        <v>1182</v>
      </c>
      <c r="B17" s="152">
        <v>1182</v>
      </c>
      <c r="C17" s="153">
        <v>513326439</v>
      </c>
      <c r="D17" s="153" t="s">
        <v>1721</v>
      </c>
      <c r="E17" s="153" t="s">
        <v>2206</v>
      </c>
      <c r="F17" s="153">
        <v>97329</v>
      </c>
      <c r="G17" s="153" t="s">
        <v>2165</v>
      </c>
      <c r="H17" s="152"/>
      <c r="I17" s="153" t="s">
        <v>71</v>
      </c>
      <c r="J17" s="153" t="s">
        <v>71</v>
      </c>
      <c r="K17" s="153" t="s">
        <v>234</v>
      </c>
      <c r="L17" s="153" t="s">
        <v>72</v>
      </c>
      <c r="M17" s="153" t="s">
        <v>373</v>
      </c>
      <c r="N17" s="153">
        <v>11898514</v>
      </c>
      <c r="O17" s="154" t="s">
        <v>2207</v>
      </c>
      <c r="P17" s="153" t="s">
        <v>228</v>
      </c>
      <c r="Q17" s="153" t="s">
        <v>219</v>
      </c>
      <c r="R17" s="153" t="s">
        <v>2168</v>
      </c>
      <c r="S17" s="153" t="s">
        <v>81</v>
      </c>
      <c r="T17" s="155">
        <v>3.01</v>
      </c>
      <c r="U17" s="153" t="s">
        <v>2184</v>
      </c>
      <c r="V17" s="156">
        <v>5.5E-2</v>
      </c>
      <c r="W17" s="153" t="s">
        <v>2169</v>
      </c>
      <c r="X17" s="153" t="s">
        <v>2170</v>
      </c>
      <c r="Y17" s="157">
        <v>5.5E-2</v>
      </c>
      <c r="Z17" s="158">
        <v>2.9399999999999999E-2</v>
      </c>
      <c r="AA17" s="153" t="s">
        <v>2188</v>
      </c>
      <c r="AB17" s="153" t="s">
        <v>222</v>
      </c>
      <c r="AC17" s="153" t="s">
        <v>1626</v>
      </c>
      <c r="AD17" s="159">
        <v>482000</v>
      </c>
      <c r="AE17" s="158">
        <v>0.73</v>
      </c>
      <c r="AF17" s="154" t="s">
        <v>1878</v>
      </c>
      <c r="AG17" s="153" t="s">
        <v>72</v>
      </c>
      <c r="AH17" s="153"/>
      <c r="AI17" s="152" t="s">
        <v>2182</v>
      </c>
      <c r="AJ17" s="152" t="s">
        <v>373</v>
      </c>
      <c r="AK17" s="153" t="s">
        <v>1454</v>
      </c>
      <c r="AL17" s="153" t="s">
        <v>2174</v>
      </c>
      <c r="AM17" s="153" t="s">
        <v>1671</v>
      </c>
      <c r="AN17" s="160" t="s">
        <v>1455</v>
      </c>
      <c r="AO17" s="160" t="s">
        <v>1878</v>
      </c>
      <c r="AP17" s="161">
        <v>0</v>
      </c>
      <c r="AQ17" s="162">
        <v>2436.3000000000002</v>
      </c>
      <c r="AR17" s="163">
        <v>128.94</v>
      </c>
      <c r="AS17" s="164">
        <v>1</v>
      </c>
      <c r="AT17" s="155">
        <v>3.141</v>
      </c>
      <c r="AU17" s="155">
        <v>3.141</v>
      </c>
      <c r="AV17" s="153"/>
      <c r="AW17" s="153"/>
      <c r="AX17" s="10" t="s">
        <v>72</v>
      </c>
      <c r="AY17" s="10" t="s">
        <v>16</v>
      </c>
      <c r="AZ17" s="54">
        <v>3.6862827996047502E-4</v>
      </c>
      <c r="BA17" s="54">
        <v>7.2552924467324096E-6</v>
      </c>
    </row>
    <row r="18" spans="1:53" x14ac:dyDescent="0.25">
      <c r="A18" s="152">
        <v>1182</v>
      </c>
      <c r="B18" s="152">
        <v>1182</v>
      </c>
      <c r="C18" s="153">
        <v>513326439</v>
      </c>
      <c r="D18" s="153" t="s">
        <v>1721</v>
      </c>
      <c r="E18" s="153" t="s">
        <v>2208</v>
      </c>
      <c r="F18" s="153">
        <v>24869</v>
      </c>
      <c r="G18" s="153" t="s">
        <v>2165</v>
      </c>
      <c r="H18" s="152"/>
      <c r="I18" s="153" t="s">
        <v>71</v>
      </c>
      <c r="J18" s="153" t="s">
        <v>71</v>
      </c>
      <c r="K18" s="153" t="s">
        <v>234</v>
      </c>
      <c r="L18" s="153" t="s">
        <v>72</v>
      </c>
      <c r="M18" s="153" t="s">
        <v>373</v>
      </c>
      <c r="N18" s="153">
        <v>11898230</v>
      </c>
      <c r="O18" s="154" t="s">
        <v>2209</v>
      </c>
      <c r="P18" s="153" t="s">
        <v>228</v>
      </c>
      <c r="Q18" s="153" t="s">
        <v>219</v>
      </c>
      <c r="R18" s="153" t="s">
        <v>2168</v>
      </c>
      <c r="S18" s="153" t="s">
        <v>81</v>
      </c>
      <c r="T18" s="155">
        <v>3.01</v>
      </c>
      <c r="U18" s="153" t="s">
        <v>2184</v>
      </c>
      <c r="V18" s="156">
        <v>5.5E-2</v>
      </c>
      <c r="W18" s="153" t="s">
        <v>2169</v>
      </c>
      <c r="X18" s="153" t="s">
        <v>2170</v>
      </c>
      <c r="Y18" s="157">
        <v>5.5E-2</v>
      </c>
      <c r="Z18" s="158">
        <v>2.9399999999999999E-2</v>
      </c>
      <c r="AA18" s="153" t="s">
        <v>2181</v>
      </c>
      <c r="AB18" s="153" t="s">
        <v>222</v>
      </c>
      <c r="AC18" s="153" t="s">
        <v>1626</v>
      </c>
      <c r="AD18" s="159">
        <v>482000</v>
      </c>
      <c r="AE18" s="158">
        <v>0.73</v>
      </c>
      <c r="AF18" s="154" t="s">
        <v>1878</v>
      </c>
      <c r="AG18" s="153" t="s">
        <v>72</v>
      </c>
      <c r="AH18" s="153"/>
      <c r="AI18" s="152" t="s">
        <v>2182</v>
      </c>
      <c r="AJ18" s="152" t="s">
        <v>373</v>
      </c>
      <c r="AK18" s="153" t="s">
        <v>1454</v>
      </c>
      <c r="AL18" s="153" t="s">
        <v>234</v>
      </c>
      <c r="AM18" s="153" t="s">
        <v>1671</v>
      </c>
      <c r="AN18" s="160" t="s">
        <v>1455</v>
      </c>
      <c r="AO18" s="160" t="s">
        <v>1878</v>
      </c>
      <c r="AP18" s="161">
        <v>0</v>
      </c>
      <c r="AQ18" s="162">
        <v>9405.0400000000009</v>
      </c>
      <c r="AR18" s="163">
        <v>126.93</v>
      </c>
      <c r="AS18" s="164">
        <v>1</v>
      </c>
      <c r="AT18" s="155">
        <v>11.938000000000001</v>
      </c>
      <c r="AU18" s="155">
        <v>11.938000000000001</v>
      </c>
      <c r="AV18" s="153"/>
      <c r="AW18" s="153"/>
      <c r="AX18" s="10" t="s">
        <v>72</v>
      </c>
      <c r="AY18" s="10" t="s">
        <v>16</v>
      </c>
      <c r="AZ18" s="54">
        <v>1.4008613259746401E-3</v>
      </c>
      <c r="BA18" s="54">
        <v>2.7571565042034E-5</v>
      </c>
    </row>
    <row r="19" spans="1:53" x14ac:dyDescent="0.25">
      <c r="A19" s="152">
        <v>1182</v>
      </c>
      <c r="B19" s="152">
        <v>1182</v>
      </c>
      <c r="C19" s="153">
        <v>513326439</v>
      </c>
      <c r="D19" s="153" t="s">
        <v>1721</v>
      </c>
      <c r="E19" s="153" t="s">
        <v>2210</v>
      </c>
      <c r="F19" s="153">
        <v>78022</v>
      </c>
      <c r="G19" s="153" t="s">
        <v>2165</v>
      </c>
      <c r="H19" s="152"/>
      <c r="I19" s="153" t="s">
        <v>71</v>
      </c>
      <c r="J19" s="153" t="s">
        <v>71</v>
      </c>
      <c r="K19" s="153" t="s">
        <v>234</v>
      </c>
      <c r="L19" s="153" t="s">
        <v>72</v>
      </c>
      <c r="M19" s="153" t="s">
        <v>373</v>
      </c>
      <c r="N19" s="153">
        <v>11898515</v>
      </c>
      <c r="O19" s="154" t="s">
        <v>2180</v>
      </c>
      <c r="P19" s="153" t="s">
        <v>228</v>
      </c>
      <c r="Q19" s="153" t="s">
        <v>219</v>
      </c>
      <c r="R19" s="153" t="s">
        <v>2168</v>
      </c>
      <c r="S19" s="153" t="s">
        <v>81</v>
      </c>
      <c r="T19" s="155">
        <v>3.01</v>
      </c>
      <c r="U19" s="153" t="s">
        <v>2184</v>
      </c>
      <c r="V19" s="156">
        <v>5.5E-2</v>
      </c>
      <c r="W19" s="153" t="s">
        <v>2169</v>
      </c>
      <c r="X19" s="153" t="s">
        <v>2120</v>
      </c>
      <c r="Y19" s="157">
        <v>0</v>
      </c>
      <c r="Z19" s="158">
        <v>2.9399999999999999E-2</v>
      </c>
      <c r="AA19" s="153" t="s">
        <v>2188</v>
      </c>
      <c r="AB19" s="153" t="s">
        <v>222</v>
      </c>
      <c r="AC19" s="153" t="s">
        <v>1626</v>
      </c>
      <c r="AD19" s="159">
        <v>482000</v>
      </c>
      <c r="AE19" s="158">
        <v>0.73</v>
      </c>
      <c r="AF19" s="154" t="s">
        <v>1878</v>
      </c>
      <c r="AG19" s="153" t="s">
        <v>72</v>
      </c>
      <c r="AH19" s="153"/>
      <c r="AI19" s="152" t="s">
        <v>2182</v>
      </c>
      <c r="AJ19" s="152" t="s">
        <v>373</v>
      </c>
      <c r="AK19" s="153" t="s">
        <v>1454</v>
      </c>
      <c r="AL19" s="153" t="s">
        <v>2174</v>
      </c>
      <c r="AM19" s="153" t="s">
        <v>1671</v>
      </c>
      <c r="AN19" s="160" t="s">
        <v>1455</v>
      </c>
      <c r="AO19" s="160" t="s">
        <v>1878</v>
      </c>
      <c r="AP19" s="161">
        <v>0</v>
      </c>
      <c r="AQ19" s="162">
        <v>11423.86</v>
      </c>
      <c r="AR19" s="163">
        <v>128.9</v>
      </c>
      <c r="AS19" s="164">
        <v>1</v>
      </c>
      <c r="AT19" s="155">
        <v>14.725</v>
      </c>
      <c r="AU19" s="155">
        <v>14.725</v>
      </c>
      <c r="AV19" s="153"/>
      <c r="AW19" s="153"/>
      <c r="AX19" s="10" t="s">
        <v>72</v>
      </c>
      <c r="AY19" s="10" t="s">
        <v>16</v>
      </c>
      <c r="AZ19" s="54">
        <v>1.727969244059E-3</v>
      </c>
      <c r="BA19" s="54">
        <v>3.4009659285911101E-5</v>
      </c>
    </row>
    <row r="20" spans="1:53" x14ac:dyDescent="0.25">
      <c r="A20" s="152">
        <v>1182</v>
      </c>
      <c r="B20" s="152">
        <v>1182</v>
      </c>
      <c r="C20" s="152">
        <v>513326439</v>
      </c>
      <c r="D20" s="153" t="s">
        <v>1721</v>
      </c>
      <c r="E20" s="152" t="s">
        <v>2211</v>
      </c>
      <c r="F20" s="152">
        <v>78006</v>
      </c>
      <c r="G20" s="153" t="s">
        <v>2165</v>
      </c>
      <c r="H20" s="152"/>
      <c r="I20" s="153" t="s">
        <v>71</v>
      </c>
      <c r="J20" s="153" t="s">
        <v>71</v>
      </c>
      <c r="K20" s="153" t="s">
        <v>234</v>
      </c>
      <c r="L20" s="153" t="s">
        <v>72</v>
      </c>
      <c r="M20" s="153" t="s">
        <v>373</v>
      </c>
      <c r="N20" s="153">
        <v>11898502</v>
      </c>
      <c r="O20" s="160" t="s">
        <v>2180</v>
      </c>
      <c r="P20" s="152" t="s">
        <v>228</v>
      </c>
      <c r="Q20" s="153" t="s">
        <v>219</v>
      </c>
      <c r="R20" s="153" t="s">
        <v>2168</v>
      </c>
      <c r="S20" s="153" t="s">
        <v>81</v>
      </c>
      <c r="T20" s="166">
        <v>3.01</v>
      </c>
      <c r="U20" s="153" t="s">
        <v>2184</v>
      </c>
      <c r="V20" s="161">
        <v>5.5888E-2</v>
      </c>
      <c r="W20" s="153" t="s">
        <v>2169</v>
      </c>
      <c r="X20" s="153" t="s">
        <v>2120</v>
      </c>
      <c r="Y20" s="167">
        <v>0</v>
      </c>
      <c r="Z20" s="168">
        <v>2.93E-2</v>
      </c>
      <c r="AA20" s="152" t="s">
        <v>2188</v>
      </c>
      <c r="AB20" s="153" t="s">
        <v>222</v>
      </c>
      <c r="AC20" s="153" t="s">
        <v>1626</v>
      </c>
      <c r="AD20" s="169">
        <v>482000</v>
      </c>
      <c r="AE20" s="168">
        <v>0.73</v>
      </c>
      <c r="AF20" s="160" t="s">
        <v>1878</v>
      </c>
      <c r="AG20" s="153" t="s">
        <v>72</v>
      </c>
      <c r="AH20" s="153"/>
      <c r="AI20" s="152" t="s">
        <v>2182</v>
      </c>
      <c r="AJ20" s="152" t="s">
        <v>373</v>
      </c>
      <c r="AK20" s="153" t="s">
        <v>1454</v>
      </c>
      <c r="AL20" s="152" t="s">
        <v>2174</v>
      </c>
      <c r="AM20" s="153" t="s">
        <v>1671</v>
      </c>
      <c r="AN20" s="160" t="s">
        <v>1455</v>
      </c>
      <c r="AO20" s="160" t="s">
        <v>1878</v>
      </c>
      <c r="AP20" s="161">
        <v>0</v>
      </c>
      <c r="AQ20" s="162">
        <v>2391.5700000000002</v>
      </c>
      <c r="AR20" s="170">
        <v>130.19</v>
      </c>
      <c r="AS20" s="171">
        <v>1</v>
      </c>
      <c r="AT20" s="166">
        <v>3.1139999999999999</v>
      </c>
      <c r="AU20" s="166">
        <v>3.1139999999999999</v>
      </c>
      <c r="AV20" s="152"/>
      <c r="AW20" s="152"/>
      <c r="AX20" s="10" t="s">
        <v>72</v>
      </c>
      <c r="AY20" s="10" t="s">
        <v>16</v>
      </c>
      <c r="AZ20" s="45">
        <v>3.6536836579417298E-4</v>
      </c>
      <c r="BA20" s="45">
        <v>7.1911312526148603E-6</v>
      </c>
    </row>
    <row r="21" spans="1:53" x14ac:dyDescent="0.25">
      <c r="A21" s="152">
        <v>1182</v>
      </c>
      <c r="B21" s="152">
        <v>1182</v>
      </c>
      <c r="C21" s="152">
        <v>513326439</v>
      </c>
      <c r="D21" s="152" t="s">
        <v>1721</v>
      </c>
      <c r="E21" s="152" t="s">
        <v>2212</v>
      </c>
      <c r="F21" s="152">
        <v>97279</v>
      </c>
      <c r="G21" s="152" t="s">
        <v>2165</v>
      </c>
      <c r="H21" s="152"/>
      <c r="I21" s="152" t="s">
        <v>71</v>
      </c>
      <c r="J21" s="152" t="s">
        <v>71</v>
      </c>
      <c r="K21" s="152" t="s">
        <v>234</v>
      </c>
      <c r="L21" s="152" t="s">
        <v>72</v>
      </c>
      <c r="M21" s="152" t="s">
        <v>373</v>
      </c>
      <c r="N21" s="152">
        <v>11896120</v>
      </c>
      <c r="O21" s="160" t="s">
        <v>2213</v>
      </c>
      <c r="P21" s="152" t="s">
        <v>228</v>
      </c>
      <c r="Q21" s="152" t="s">
        <v>219</v>
      </c>
      <c r="R21" s="152" t="s">
        <v>2168</v>
      </c>
      <c r="S21" s="153" t="s">
        <v>81</v>
      </c>
      <c r="T21" s="166">
        <v>3.01</v>
      </c>
      <c r="U21" s="152" t="s">
        <v>2184</v>
      </c>
      <c r="V21" s="161">
        <v>5.6193E-2</v>
      </c>
      <c r="W21" s="152" t="s">
        <v>2169</v>
      </c>
      <c r="X21" s="152" t="s">
        <v>2170</v>
      </c>
      <c r="Y21" s="167">
        <v>5.6193E-2</v>
      </c>
      <c r="Z21" s="168">
        <v>2.9399999999999999E-2</v>
      </c>
      <c r="AA21" s="152" t="s">
        <v>2188</v>
      </c>
      <c r="AB21" s="152" t="s">
        <v>222</v>
      </c>
      <c r="AC21" s="152" t="s">
        <v>1626</v>
      </c>
      <c r="AD21" s="169">
        <v>482000</v>
      </c>
      <c r="AE21" s="168">
        <v>0.73</v>
      </c>
      <c r="AF21" s="160" t="s">
        <v>1878</v>
      </c>
      <c r="AG21" s="152" t="s">
        <v>72</v>
      </c>
      <c r="AH21" s="152"/>
      <c r="AI21" s="152" t="s">
        <v>2182</v>
      </c>
      <c r="AJ21" s="152" t="s">
        <v>373</v>
      </c>
      <c r="AK21" s="152" t="s">
        <v>1454</v>
      </c>
      <c r="AL21" s="152" t="s">
        <v>2174</v>
      </c>
      <c r="AM21" s="152" t="s">
        <v>1671</v>
      </c>
      <c r="AN21" s="160" t="s">
        <v>1455</v>
      </c>
      <c r="AO21" s="160" t="s">
        <v>1878</v>
      </c>
      <c r="AP21" s="161">
        <v>0</v>
      </c>
      <c r="AQ21" s="162">
        <v>3361.01</v>
      </c>
      <c r="AR21" s="170">
        <v>129.61000000000001</v>
      </c>
      <c r="AS21" s="171">
        <v>1</v>
      </c>
      <c r="AT21" s="166">
        <v>4.3559999999999999</v>
      </c>
      <c r="AU21" s="166">
        <v>4.3559999999999999</v>
      </c>
      <c r="AV21" s="152"/>
      <c r="AW21" s="152"/>
      <c r="AX21" t="s">
        <v>72</v>
      </c>
      <c r="AY21" t="s">
        <v>16</v>
      </c>
      <c r="AZ21" s="45">
        <v>5.1118550895255202E-4</v>
      </c>
      <c r="BA21" s="45">
        <v>1.0061084739294001E-5</v>
      </c>
    </row>
    <row r="22" spans="1:53" x14ac:dyDescent="0.25">
      <c r="A22" s="152">
        <v>1182</v>
      </c>
      <c r="B22" s="152">
        <v>1182</v>
      </c>
      <c r="C22" s="152">
        <v>513326439</v>
      </c>
      <c r="D22" s="152" t="s">
        <v>1721</v>
      </c>
      <c r="E22" s="152" t="s">
        <v>2214</v>
      </c>
      <c r="F22" s="152">
        <v>28704</v>
      </c>
      <c r="G22" s="152" t="s">
        <v>2165</v>
      </c>
      <c r="H22" s="152"/>
      <c r="I22" s="152" t="s">
        <v>71</v>
      </c>
      <c r="J22" s="152" t="s">
        <v>71</v>
      </c>
      <c r="K22" s="152" t="s">
        <v>234</v>
      </c>
      <c r="L22" s="152" t="s">
        <v>72</v>
      </c>
      <c r="M22" s="152" t="s">
        <v>373</v>
      </c>
      <c r="N22" s="152">
        <v>11898300</v>
      </c>
      <c r="O22" s="160" t="s">
        <v>2180</v>
      </c>
      <c r="P22" s="152" t="s">
        <v>228</v>
      </c>
      <c r="Q22" s="152" t="s">
        <v>219</v>
      </c>
      <c r="R22" s="152" t="s">
        <v>2168</v>
      </c>
      <c r="S22" s="153" t="s">
        <v>81</v>
      </c>
      <c r="T22" s="166">
        <v>3.01</v>
      </c>
      <c r="U22" s="152" t="s">
        <v>286</v>
      </c>
      <c r="V22" s="161">
        <v>5.5E-2</v>
      </c>
      <c r="W22" s="152" t="s">
        <v>2169</v>
      </c>
      <c r="X22" s="152" t="s">
        <v>2120</v>
      </c>
      <c r="Y22" s="167">
        <v>0</v>
      </c>
      <c r="Z22" s="168">
        <v>3.15E-2</v>
      </c>
      <c r="AA22" s="152" t="s">
        <v>2181</v>
      </c>
      <c r="AB22" s="152" t="s">
        <v>222</v>
      </c>
      <c r="AC22" s="152" t="s">
        <v>1626</v>
      </c>
      <c r="AD22" s="169">
        <v>482000</v>
      </c>
      <c r="AE22" s="168">
        <v>0.73</v>
      </c>
      <c r="AF22" s="160" t="s">
        <v>1878</v>
      </c>
      <c r="AG22" s="152" t="s">
        <v>72</v>
      </c>
      <c r="AH22" s="152"/>
      <c r="AI22" s="152" t="s">
        <v>2182</v>
      </c>
      <c r="AJ22" s="152" t="s">
        <v>373</v>
      </c>
      <c r="AK22" s="152" t="s">
        <v>1454</v>
      </c>
      <c r="AL22" s="152" t="s">
        <v>2174</v>
      </c>
      <c r="AM22" s="152" t="s">
        <v>1671</v>
      </c>
      <c r="AN22" s="160" t="s">
        <v>1455</v>
      </c>
      <c r="AO22" s="160" t="s">
        <v>1878</v>
      </c>
      <c r="AP22" s="161">
        <v>0</v>
      </c>
      <c r="AQ22" s="162">
        <v>4257.3999999999996</v>
      </c>
      <c r="AR22" s="170">
        <v>124.26</v>
      </c>
      <c r="AS22" s="171">
        <v>1</v>
      </c>
      <c r="AT22" s="166">
        <v>5.29</v>
      </c>
      <c r="AU22" s="166">
        <v>5.29</v>
      </c>
      <c r="AV22" s="152"/>
      <c r="AW22" s="152"/>
      <c r="AX22" t="s">
        <v>72</v>
      </c>
      <c r="AY22" t="s">
        <v>16</v>
      </c>
      <c r="AZ22" s="45">
        <v>6.2079187449279999E-4</v>
      </c>
      <c r="BA22" s="45">
        <v>1.2218342549528199E-5</v>
      </c>
    </row>
    <row r="23" spans="1:53" x14ac:dyDescent="0.25">
      <c r="A23" s="152">
        <v>1182</v>
      </c>
      <c r="B23" s="152">
        <v>1182</v>
      </c>
      <c r="C23" s="152">
        <v>513326439</v>
      </c>
      <c r="D23" s="152" t="s">
        <v>1721</v>
      </c>
      <c r="E23" s="152" t="s">
        <v>2215</v>
      </c>
      <c r="F23" s="152">
        <v>28548</v>
      </c>
      <c r="G23" s="152" t="s">
        <v>2165</v>
      </c>
      <c r="H23" s="152"/>
      <c r="I23" s="152" t="s">
        <v>71</v>
      </c>
      <c r="J23" s="152" t="s">
        <v>71</v>
      </c>
      <c r="K23" s="152" t="s">
        <v>234</v>
      </c>
      <c r="L23" s="152" t="s">
        <v>72</v>
      </c>
      <c r="M23" s="152" t="s">
        <v>373</v>
      </c>
      <c r="N23" s="152">
        <v>11898320</v>
      </c>
      <c r="O23" s="160" t="s">
        <v>2180</v>
      </c>
      <c r="P23" s="152" t="s">
        <v>228</v>
      </c>
      <c r="Q23" s="152" t="s">
        <v>219</v>
      </c>
      <c r="R23" s="152" t="s">
        <v>2168</v>
      </c>
      <c r="S23" s="152" t="s">
        <v>81</v>
      </c>
      <c r="T23" s="166">
        <v>3.01</v>
      </c>
      <c r="U23" s="152" t="s">
        <v>286</v>
      </c>
      <c r="V23" s="161">
        <v>5.5E-2</v>
      </c>
      <c r="W23" s="152" t="s">
        <v>2169</v>
      </c>
      <c r="X23" s="152" t="s">
        <v>2120</v>
      </c>
      <c r="Y23" s="167">
        <v>0</v>
      </c>
      <c r="Z23" s="168">
        <v>2.9399999999999999E-2</v>
      </c>
      <c r="AA23" s="152" t="s">
        <v>2181</v>
      </c>
      <c r="AB23" s="152" t="s">
        <v>222</v>
      </c>
      <c r="AC23" s="152" t="s">
        <v>1626</v>
      </c>
      <c r="AD23" s="169">
        <v>482000</v>
      </c>
      <c r="AE23" s="168">
        <v>0.73</v>
      </c>
      <c r="AF23" s="160" t="s">
        <v>1878</v>
      </c>
      <c r="AG23" s="152" t="s">
        <v>72</v>
      </c>
      <c r="AH23" s="152"/>
      <c r="AI23" s="152" t="s">
        <v>2182</v>
      </c>
      <c r="AJ23" s="152" t="s">
        <v>373</v>
      </c>
      <c r="AK23" s="152" t="s">
        <v>1454</v>
      </c>
      <c r="AL23" s="152" t="s">
        <v>2174</v>
      </c>
      <c r="AM23" s="152" t="s">
        <v>1671</v>
      </c>
      <c r="AN23" s="160" t="s">
        <v>1455</v>
      </c>
      <c r="AO23" s="160" t="s">
        <v>1878</v>
      </c>
      <c r="AP23" s="161">
        <v>0</v>
      </c>
      <c r="AQ23" s="162">
        <v>529</v>
      </c>
      <c r="AR23" s="170">
        <v>124.68</v>
      </c>
      <c r="AS23" s="171">
        <v>1</v>
      </c>
      <c r="AT23" s="166">
        <v>0.66</v>
      </c>
      <c r="AU23" s="166">
        <v>0.66</v>
      </c>
      <c r="AV23" s="152"/>
      <c r="AW23" s="152"/>
      <c r="AX23" t="s">
        <v>72</v>
      </c>
      <c r="AY23" t="s">
        <v>16</v>
      </c>
      <c r="AZ23" s="45">
        <v>7.73967428631386E-5</v>
      </c>
      <c r="BA23" s="45">
        <v>1.52331232958261E-6</v>
      </c>
    </row>
    <row r="24" spans="1:53" x14ac:dyDescent="0.25">
      <c r="A24" s="152">
        <v>1182</v>
      </c>
      <c r="B24" s="152">
        <v>1182</v>
      </c>
      <c r="C24" s="152">
        <v>513326439</v>
      </c>
      <c r="D24" s="152" t="s">
        <v>1721</v>
      </c>
      <c r="E24" s="152" t="s">
        <v>2216</v>
      </c>
      <c r="F24" s="152">
        <v>28589</v>
      </c>
      <c r="G24" s="152" t="s">
        <v>2165</v>
      </c>
      <c r="H24" s="152"/>
      <c r="I24" s="152" t="s">
        <v>71</v>
      </c>
      <c r="J24" s="152" t="s">
        <v>71</v>
      </c>
      <c r="K24" s="152" t="s">
        <v>234</v>
      </c>
      <c r="L24" s="152" t="s">
        <v>72</v>
      </c>
      <c r="M24" s="152" t="s">
        <v>373</v>
      </c>
      <c r="N24" s="152">
        <v>11898340</v>
      </c>
      <c r="O24" s="160" t="s">
        <v>2180</v>
      </c>
      <c r="P24" s="152" t="s">
        <v>228</v>
      </c>
      <c r="Q24" s="152" t="s">
        <v>219</v>
      </c>
      <c r="R24" s="152" t="s">
        <v>2168</v>
      </c>
      <c r="S24" s="152" t="s">
        <v>81</v>
      </c>
      <c r="T24" s="166">
        <v>3.01</v>
      </c>
      <c r="U24" s="152" t="s">
        <v>286</v>
      </c>
      <c r="V24" s="161">
        <v>5.5E-2</v>
      </c>
      <c r="W24" s="152" t="s">
        <v>2169</v>
      </c>
      <c r="X24" s="152" t="s">
        <v>2120</v>
      </c>
      <c r="Y24" s="167">
        <v>0</v>
      </c>
      <c r="Z24" s="168">
        <v>2.9399999999999999E-2</v>
      </c>
      <c r="AA24" s="152" t="s">
        <v>2181</v>
      </c>
      <c r="AB24" s="152" t="s">
        <v>222</v>
      </c>
      <c r="AC24" s="152" t="s">
        <v>1626</v>
      </c>
      <c r="AD24" s="169">
        <v>482000</v>
      </c>
      <c r="AE24" s="168">
        <v>0.73</v>
      </c>
      <c r="AF24" s="160" t="s">
        <v>1878</v>
      </c>
      <c r="AG24" s="152" t="s">
        <v>72</v>
      </c>
      <c r="AH24" s="152"/>
      <c r="AI24" s="152" t="s">
        <v>2182</v>
      </c>
      <c r="AJ24" s="152" t="s">
        <v>373</v>
      </c>
      <c r="AK24" s="152" t="s">
        <v>1454</v>
      </c>
      <c r="AL24" s="152" t="s">
        <v>2174</v>
      </c>
      <c r="AM24" s="152" t="s">
        <v>1671</v>
      </c>
      <c r="AN24" s="160" t="s">
        <v>1455</v>
      </c>
      <c r="AO24" s="160" t="s">
        <v>1878</v>
      </c>
      <c r="AP24" s="161">
        <v>0</v>
      </c>
      <c r="AQ24" s="162">
        <v>1174.81</v>
      </c>
      <c r="AR24" s="170">
        <v>125.01</v>
      </c>
      <c r="AS24" s="171">
        <v>1</v>
      </c>
      <c r="AT24" s="166">
        <v>1.4690000000000001</v>
      </c>
      <c r="AU24" s="166">
        <v>1.4690000000000001</v>
      </c>
      <c r="AV24" s="152"/>
      <c r="AW24" s="152"/>
      <c r="AX24" t="s">
        <v>72</v>
      </c>
      <c r="AY24" t="s">
        <v>16</v>
      </c>
      <c r="AZ24" s="45">
        <v>1.7233861900158601E-4</v>
      </c>
      <c r="BA24" s="45">
        <v>3.3919456229906501E-6</v>
      </c>
    </row>
    <row r="25" spans="1:53" x14ac:dyDescent="0.25">
      <c r="A25" s="152">
        <v>1182</v>
      </c>
      <c r="B25" s="152">
        <v>1182</v>
      </c>
      <c r="C25" s="152">
        <v>513326439</v>
      </c>
      <c r="D25" s="152" t="s">
        <v>1721</v>
      </c>
      <c r="E25" s="152" t="s">
        <v>2217</v>
      </c>
      <c r="F25" s="152">
        <v>97360</v>
      </c>
      <c r="G25" s="152" t="s">
        <v>2165</v>
      </c>
      <c r="H25" s="152"/>
      <c r="I25" s="152" t="s">
        <v>71</v>
      </c>
      <c r="J25" s="152" t="s">
        <v>71</v>
      </c>
      <c r="K25" s="152" t="s">
        <v>234</v>
      </c>
      <c r="L25" s="152" t="s">
        <v>72</v>
      </c>
      <c r="M25" s="152" t="s">
        <v>373</v>
      </c>
      <c r="N25" s="152">
        <v>11898503</v>
      </c>
      <c r="O25" s="160" t="s">
        <v>2218</v>
      </c>
      <c r="P25" s="152" t="s">
        <v>228</v>
      </c>
      <c r="Q25" s="152" t="s">
        <v>219</v>
      </c>
      <c r="R25" s="152" t="s">
        <v>2168</v>
      </c>
      <c r="S25" s="152" t="s">
        <v>81</v>
      </c>
      <c r="T25" s="166">
        <v>3.01</v>
      </c>
      <c r="U25" s="152" t="s">
        <v>286</v>
      </c>
      <c r="V25" s="161">
        <v>5.7230999999999997E-2</v>
      </c>
      <c r="W25" s="152" t="s">
        <v>2169</v>
      </c>
      <c r="X25" s="152" t="s">
        <v>2170</v>
      </c>
      <c r="Y25" s="167">
        <v>5.7230999999999997E-2</v>
      </c>
      <c r="Z25" s="168">
        <v>2.9399999999999999E-2</v>
      </c>
      <c r="AA25" s="152" t="s">
        <v>2188</v>
      </c>
      <c r="AB25" s="152" t="s">
        <v>222</v>
      </c>
      <c r="AC25" s="152" t="s">
        <v>1626</v>
      </c>
      <c r="AD25" s="169">
        <v>482000</v>
      </c>
      <c r="AE25" s="168">
        <v>0.73</v>
      </c>
      <c r="AF25" s="160" t="s">
        <v>1878</v>
      </c>
      <c r="AG25" s="152" t="s">
        <v>72</v>
      </c>
      <c r="AH25" s="152"/>
      <c r="AI25" s="152" t="s">
        <v>2182</v>
      </c>
      <c r="AJ25" s="152" t="s">
        <v>373</v>
      </c>
      <c r="AK25" s="152" t="s">
        <v>1454</v>
      </c>
      <c r="AL25" s="152" t="s">
        <v>2174</v>
      </c>
      <c r="AM25" s="152" t="s">
        <v>1671</v>
      </c>
      <c r="AN25" s="160" t="s">
        <v>1455</v>
      </c>
      <c r="AO25" s="160" t="s">
        <v>1878</v>
      </c>
      <c r="AP25" s="161">
        <v>0</v>
      </c>
      <c r="AQ25" s="162">
        <v>11285.91</v>
      </c>
      <c r="AR25" s="170">
        <v>130.15</v>
      </c>
      <c r="AS25" s="171">
        <v>1</v>
      </c>
      <c r="AT25" s="166">
        <v>14.689</v>
      </c>
      <c r="AU25" s="166">
        <v>14.689</v>
      </c>
      <c r="AV25" s="152"/>
      <c r="AW25" s="152"/>
      <c r="AX25" t="s">
        <v>72</v>
      </c>
      <c r="AY25" t="s">
        <v>16</v>
      </c>
      <c r="AZ25" s="45">
        <v>1.72365750162662E-3</v>
      </c>
      <c r="BA25" s="45">
        <v>3.3924796148700801E-5</v>
      </c>
    </row>
    <row r="26" spans="1:53" x14ac:dyDescent="0.25">
      <c r="A26" s="152">
        <v>1182</v>
      </c>
      <c r="B26" s="152">
        <v>1182</v>
      </c>
      <c r="C26" s="152">
        <v>513326439</v>
      </c>
      <c r="D26" s="152" t="s">
        <v>1721</v>
      </c>
      <c r="E26" s="152" t="s">
        <v>2219</v>
      </c>
      <c r="F26" s="152">
        <v>33266</v>
      </c>
      <c r="G26" s="152" t="s">
        <v>2165</v>
      </c>
      <c r="H26" s="152"/>
      <c r="I26" s="152" t="s">
        <v>71</v>
      </c>
      <c r="J26" s="152" t="s">
        <v>71</v>
      </c>
      <c r="K26" s="152" t="s">
        <v>234</v>
      </c>
      <c r="L26" s="152" t="s">
        <v>72</v>
      </c>
      <c r="M26" s="152" t="s">
        <v>373</v>
      </c>
      <c r="N26" s="152">
        <v>11896130</v>
      </c>
      <c r="O26" s="160" t="s">
        <v>2180</v>
      </c>
      <c r="P26" s="152" t="s">
        <v>228</v>
      </c>
      <c r="Q26" s="152" t="s">
        <v>219</v>
      </c>
      <c r="R26" s="152" t="s">
        <v>2168</v>
      </c>
      <c r="S26" s="152" t="s">
        <v>81</v>
      </c>
      <c r="T26" s="166">
        <v>3</v>
      </c>
      <c r="U26" s="152" t="s">
        <v>2184</v>
      </c>
      <c r="V26" s="161">
        <v>5.6619999999999997E-2</v>
      </c>
      <c r="W26" s="152" t="s">
        <v>2169</v>
      </c>
      <c r="X26" s="152" t="s">
        <v>2120</v>
      </c>
      <c r="Y26" s="167">
        <v>0</v>
      </c>
      <c r="Z26" s="168">
        <v>3.15E-2</v>
      </c>
      <c r="AA26" s="152" t="s">
        <v>2181</v>
      </c>
      <c r="AB26" s="152" t="s">
        <v>222</v>
      </c>
      <c r="AC26" s="152" t="s">
        <v>1626</v>
      </c>
      <c r="AD26" s="169">
        <v>482000</v>
      </c>
      <c r="AE26" s="168">
        <v>0.73</v>
      </c>
      <c r="AF26" s="160" t="s">
        <v>1878</v>
      </c>
      <c r="AG26" s="152" t="s">
        <v>72</v>
      </c>
      <c r="AH26" s="152"/>
      <c r="AI26" s="152" t="s">
        <v>2182</v>
      </c>
      <c r="AJ26" s="152" t="s">
        <v>373</v>
      </c>
      <c r="AK26" s="152" t="s">
        <v>1454</v>
      </c>
      <c r="AL26" s="152" t="s">
        <v>2174</v>
      </c>
      <c r="AM26" s="152" t="s">
        <v>1671</v>
      </c>
      <c r="AN26" s="160" t="s">
        <v>1455</v>
      </c>
      <c r="AO26" s="160" t="s">
        <v>1878</v>
      </c>
      <c r="AP26" s="161">
        <v>0</v>
      </c>
      <c r="AQ26" s="162">
        <v>2537.84</v>
      </c>
      <c r="AR26" s="170">
        <v>129.26</v>
      </c>
      <c r="AS26" s="171">
        <v>1</v>
      </c>
      <c r="AT26" s="166">
        <v>3.28</v>
      </c>
      <c r="AU26" s="166">
        <v>3.28</v>
      </c>
      <c r="AV26" s="152"/>
      <c r="AW26" s="152"/>
      <c r="AX26" t="s">
        <v>72</v>
      </c>
      <c r="AY26" t="s">
        <v>16</v>
      </c>
      <c r="AZ26" s="45">
        <v>3.8494493398117199E-4</v>
      </c>
      <c r="BA26" s="45">
        <v>7.5764346463623502E-6</v>
      </c>
    </row>
    <row r="27" spans="1:53" x14ac:dyDescent="0.25">
      <c r="A27" s="152">
        <v>1182</v>
      </c>
      <c r="B27" s="152">
        <v>1182</v>
      </c>
      <c r="C27" s="152">
        <v>513326439</v>
      </c>
      <c r="D27" s="152" t="s">
        <v>1721</v>
      </c>
      <c r="E27" s="152" t="s">
        <v>2220</v>
      </c>
      <c r="F27" s="152">
        <v>28118</v>
      </c>
      <c r="G27" s="152" t="s">
        <v>2165</v>
      </c>
      <c r="H27" s="152"/>
      <c r="I27" s="152" t="s">
        <v>71</v>
      </c>
      <c r="J27" s="152" t="s">
        <v>71</v>
      </c>
      <c r="K27" s="152" t="s">
        <v>234</v>
      </c>
      <c r="L27" s="152" t="s">
        <v>72</v>
      </c>
      <c r="M27" s="152" t="s">
        <v>373</v>
      </c>
      <c r="N27" s="152">
        <v>11898422</v>
      </c>
      <c r="O27" s="160" t="s">
        <v>2221</v>
      </c>
      <c r="P27" s="152" t="s">
        <v>228</v>
      </c>
      <c r="Q27" s="152" t="s">
        <v>219</v>
      </c>
      <c r="R27" s="152" t="s">
        <v>2168</v>
      </c>
      <c r="S27" s="152" t="s">
        <v>81</v>
      </c>
      <c r="T27" s="166">
        <v>3.01</v>
      </c>
      <c r="U27" s="152" t="s">
        <v>2184</v>
      </c>
      <c r="V27" s="161">
        <v>5.5E-2</v>
      </c>
      <c r="W27" s="152" t="s">
        <v>2169</v>
      </c>
      <c r="X27" s="152" t="s">
        <v>2170</v>
      </c>
      <c r="Y27" s="167">
        <v>5.5E-2</v>
      </c>
      <c r="Z27" s="168">
        <v>2.9399999999999999E-2</v>
      </c>
      <c r="AA27" s="152" t="s">
        <v>2188</v>
      </c>
      <c r="AB27" s="152" t="s">
        <v>222</v>
      </c>
      <c r="AC27" s="152" t="s">
        <v>1626</v>
      </c>
      <c r="AD27" s="169">
        <v>482000</v>
      </c>
      <c r="AE27" s="168">
        <v>0.73</v>
      </c>
      <c r="AF27" s="160" t="s">
        <v>1878</v>
      </c>
      <c r="AG27" s="152" t="s">
        <v>72</v>
      </c>
      <c r="AH27" s="152"/>
      <c r="AI27" s="152" t="s">
        <v>2182</v>
      </c>
      <c r="AJ27" s="152" t="s">
        <v>373</v>
      </c>
      <c r="AK27" s="152" t="s">
        <v>1454</v>
      </c>
      <c r="AL27" s="152" t="s">
        <v>2174</v>
      </c>
      <c r="AM27" s="152" t="s">
        <v>1671</v>
      </c>
      <c r="AN27" s="160" t="s">
        <v>1455</v>
      </c>
      <c r="AO27" s="160" t="s">
        <v>1878</v>
      </c>
      <c r="AP27" s="161">
        <v>0</v>
      </c>
      <c r="AQ27" s="162">
        <v>14840.31</v>
      </c>
      <c r="AR27" s="170">
        <v>126.91</v>
      </c>
      <c r="AS27" s="171">
        <v>1</v>
      </c>
      <c r="AT27" s="166">
        <v>18.834</v>
      </c>
      <c r="AU27" s="166">
        <v>18.834</v>
      </c>
      <c r="AV27" s="152"/>
      <c r="AW27" s="152"/>
      <c r="AX27" t="s">
        <v>72</v>
      </c>
      <c r="AY27" t="s">
        <v>16</v>
      </c>
      <c r="AZ27" s="45">
        <v>2.2100852996514899E-3</v>
      </c>
      <c r="BA27" s="45">
        <v>4.34986029365817E-5</v>
      </c>
    </row>
    <row r="28" spans="1:53" x14ac:dyDescent="0.25">
      <c r="A28" s="152">
        <v>1182</v>
      </c>
      <c r="B28" s="152">
        <v>1182</v>
      </c>
      <c r="C28" s="152">
        <v>513326439</v>
      </c>
      <c r="D28" s="152" t="s">
        <v>1721</v>
      </c>
      <c r="E28" s="152" t="s">
        <v>2222</v>
      </c>
      <c r="F28" s="152">
        <v>24752</v>
      </c>
      <c r="G28" s="152" t="s">
        <v>2165</v>
      </c>
      <c r="H28" s="152"/>
      <c r="I28" s="152" t="s">
        <v>71</v>
      </c>
      <c r="J28" s="152" t="s">
        <v>71</v>
      </c>
      <c r="K28" s="152" t="s">
        <v>234</v>
      </c>
      <c r="L28" s="152" t="s">
        <v>72</v>
      </c>
      <c r="M28" s="152" t="s">
        <v>373</v>
      </c>
      <c r="N28" s="152">
        <v>11896140</v>
      </c>
      <c r="O28" s="160" t="s">
        <v>2223</v>
      </c>
      <c r="P28" s="152" t="s">
        <v>228</v>
      </c>
      <c r="Q28" s="152" t="s">
        <v>219</v>
      </c>
      <c r="R28" s="152" t="s">
        <v>2168</v>
      </c>
      <c r="S28" s="152" t="s">
        <v>81</v>
      </c>
      <c r="T28" s="166">
        <v>3.01</v>
      </c>
      <c r="U28" s="152" t="s">
        <v>2184</v>
      </c>
      <c r="V28" s="161">
        <v>5.5309999999999998E-2</v>
      </c>
      <c r="W28" s="152" t="s">
        <v>2169</v>
      </c>
      <c r="X28" s="152" t="s">
        <v>2170</v>
      </c>
      <c r="Y28" s="167">
        <v>5.5309999999999998E-2</v>
      </c>
      <c r="Z28" s="168">
        <v>2.9399999999999999E-2</v>
      </c>
      <c r="AA28" s="152" t="s">
        <v>2181</v>
      </c>
      <c r="AB28" s="152" t="s">
        <v>222</v>
      </c>
      <c r="AC28" s="152" t="s">
        <v>1626</v>
      </c>
      <c r="AD28" s="169">
        <v>203777.768205128</v>
      </c>
      <c r="AE28" s="168">
        <v>0.73</v>
      </c>
      <c r="AF28" s="160" t="s">
        <v>1878</v>
      </c>
      <c r="AG28" s="152" t="s">
        <v>72</v>
      </c>
      <c r="AH28" s="152"/>
      <c r="AI28" s="152" t="s">
        <v>2182</v>
      </c>
      <c r="AJ28" s="152" t="s">
        <v>373</v>
      </c>
      <c r="AK28" s="152" t="s">
        <v>1454</v>
      </c>
      <c r="AL28" s="152" t="s">
        <v>2174</v>
      </c>
      <c r="AM28" s="152" t="s">
        <v>1671</v>
      </c>
      <c r="AN28" s="160" t="s">
        <v>1455</v>
      </c>
      <c r="AO28" s="160" t="s">
        <v>1878</v>
      </c>
      <c r="AP28" s="161">
        <v>0</v>
      </c>
      <c r="AQ28" s="162">
        <v>10748.6</v>
      </c>
      <c r="AR28" s="170">
        <v>129.5</v>
      </c>
      <c r="AS28" s="171">
        <v>1</v>
      </c>
      <c r="AT28" s="166">
        <v>13.919</v>
      </c>
      <c r="AU28" s="166">
        <v>13.919</v>
      </c>
      <c r="AV28" s="152"/>
      <c r="AW28" s="152"/>
      <c r="AX28" t="s">
        <v>72</v>
      </c>
      <c r="AY28" t="s">
        <v>16</v>
      </c>
      <c r="AZ28" s="45">
        <v>1.6333975071285099E-3</v>
      </c>
      <c r="BA28" s="45">
        <v>3.2148311022832202E-5</v>
      </c>
    </row>
    <row r="29" spans="1:53" x14ac:dyDescent="0.25">
      <c r="A29" s="152">
        <v>1182</v>
      </c>
      <c r="B29" s="152">
        <v>1182</v>
      </c>
      <c r="C29" s="152">
        <v>513326439</v>
      </c>
      <c r="D29" s="152" t="s">
        <v>1721</v>
      </c>
      <c r="E29" s="152" t="s">
        <v>2224</v>
      </c>
      <c r="F29" s="152">
        <v>34819</v>
      </c>
      <c r="G29" s="152" t="s">
        <v>2165</v>
      </c>
      <c r="H29" s="152"/>
      <c r="I29" s="152" t="s">
        <v>71</v>
      </c>
      <c r="J29" s="152" t="s">
        <v>71</v>
      </c>
      <c r="K29" s="152" t="s">
        <v>234</v>
      </c>
      <c r="L29" s="152" t="s">
        <v>72</v>
      </c>
      <c r="M29" s="152" t="s">
        <v>373</v>
      </c>
      <c r="N29" s="152">
        <v>11898120</v>
      </c>
      <c r="O29" s="160" t="s">
        <v>2225</v>
      </c>
      <c r="P29" s="152" t="s">
        <v>228</v>
      </c>
      <c r="Q29" s="152" t="s">
        <v>219</v>
      </c>
      <c r="R29" s="152" t="s">
        <v>2168</v>
      </c>
      <c r="S29" s="152" t="s">
        <v>81</v>
      </c>
      <c r="T29" s="166">
        <v>3.02</v>
      </c>
      <c r="U29" s="152" t="s">
        <v>286</v>
      </c>
      <c r="V29" s="161">
        <v>5.5E-2</v>
      </c>
      <c r="W29" s="152" t="s">
        <v>2169</v>
      </c>
      <c r="X29" s="152" t="s">
        <v>2120</v>
      </c>
      <c r="Y29" s="167">
        <v>0</v>
      </c>
      <c r="Z29" s="168">
        <v>2.9399999999999999E-2</v>
      </c>
      <c r="AA29" s="152" t="s">
        <v>2188</v>
      </c>
      <c r="AB29" s="152" t="s">
        <v>222</v>
      </c>
      <c r="AC29" s="152" t="s">
        <v>1626</v>
      </c>
      <c r="AD29" s="169">
        <v>482000</v>
      </c>
      <c r="AE29" s="168">
        <v>0.73</v>
      </c>
      <c r="AF29" s="160" t="s">
        <v>1878</v>
      </c>
      <c r="AG29" s="152" t="s">
        <v>72</v>
      </c>
      <c r="AH29" s="152"/>
      <c r="AI29" s="152" t="s">
        <v>2182</v>
      </c>
      <c r="AJ29" s="152" t="s">
        <v>373</v>
      </c>
      <c r="AK29" s="152" t="s">
        <v>1454</v>
      </c>
      <c r="AL29" s="152" t="s">
        <v>2174</v>
      </c>
      <c r="AM29" s="152" t="s">
        <v>1671</v>
      </c>
      <c r="AN29" s="160" t="s">
        <v>1455</v>
      </c>
      <c r="AO29" s="160" t="s">
        <v>1878</v>
      </c>
      <c r="AP29" s="161">
        <v>0</v>
      </c>
      <c r="AQ29" s="162">
        <v>2563.75</v>
      </c>
      <c r="AR29" s="170">
        <v>127.56</v>
      </c>
      <c r="AS29" s="171">
        <v>1</v>
      </c>
      <c r="AT29" s="166">
        <v>3.27</v>
      </c>
      <c r="AU29" s="166">
        <v>3.27</v>
      </c>
      <c r="AV29" s="152"/>
      <c r="AW29" s="152"/>
      <c r="AX29" t="s">
        <v>72</v>
      </c>
      <c r="AY29" t="s">
        <v>16</v>
      </c>
      <c r="AZ29" s="45">
        <v>3.83760616094871E-4</v>
      </c>
      <c r="BA29" s="45">
        <v>7.55312506030474E-6</v>
      </c>
    </row>
    <row r="30" spans="1:53" x14ac:dyDescent="0.25">
      <c r="A30" s="152">
        <v>1182</v>
      </c>
      <c r="B30" s="152">
        <v>1182</v>
      </c>
      <c r="C30" s="152">
        <v>513326439</v>
      </c>
      <c r="D30" s="152" t="s">
        <v>1721</v>
      </c>
      <c r="E30" s="152" t="s">
        <v>2226</v>
      </c>
      <c r="F30" s="152">
        <v>34801</v>
      </c>
      <c r="G30" s="152" t="s">
        <v>2165</v>
      </c>
      <c r="H30" s="152"/>
      <c r="I30" s="152" t="s">
        <v>71</v>
      </c>
      <c r="J30" s="152" t="s">
        <v>71</v>
      </c>
      <c r="K30" s="152" t="s">
        <v>234</v>
      </c>
      <c r="L30" s="152" t="s">
        <v>72</v>
      </c>
      <c r="M30" s="152" t="s">
        <v>373</v>
      </c>
      <c r="N30" s="152">
        <v>11898130</v>
      </c>
      <c r="O30" s="160" t="s">
        <v>2227</v>
      </c>
      <c r="P30" s="152" t="s">
        <v>228</v>
      </c>
      <c r="Q30" s="152" t="s">
        <v>219</v>
      </c>
      <c r="R30" s="152" t="s">
        <v>2168</v>
      </c>
      <c r="S30" s="152" t="s">
        <v>81</v>
      </c>
      <c r="T30" s="166">
        <v>3.01</v>
      </c>
      <c r="U30" s="152" t="s">
        <v>2184</v>
      </c>
      <c r="V30" s="161">
        <v>5.5E-2</v>
      </c>
      <c r="W30" s="152" t="s">
        <v>2169</v>
      </c>
      <c r="X30" s="152" t="s">
        <v>2170</v>
      </c>
      <c r="Y30" s="167">
        <v>5.5E-2</v>
      </c>
      <c r="Z30" s="168">
        <v>2.9399999999999999E-2</v>
      </c>
      <c r="AA30" s="152" t="s">
        <v>2181</v>
      </c>
      <c r="AB30" s="152" t="s">
        <v>222</v>
      </c>
      <c r="AC30" s="152" t="s">
        <v>1626</v>
      </c>
      <c r="AD30" s="169">
        <v>482000</v>
      </c>
      <c r="AE30" s="168">
        <v>0.73</v>
      </c>
      <c r="AF30" s="160" t="s">
        <v>1878</v>
      </c>
      <c r="AG30" s="152" t="s">
        <v>72</v>
      </c>
      <c r="AH30" s="152"/>
      <c r="AI30" s="152" t="s">
        <v>2182</v>
      </c>
      <c r="AJ30" s="152" t="s">
        <v>373</v>
      </c>
      <c r="AK30" s="152" t="s">
        <v>1454</v>
      </c>
      <c r="AL30" s="152" t="s">
        <v>2174</v>
      </c>
      <c r="AM30" s="152" t="s">
        <v>1671</v>
      </c>
      <c r="AN30" s="160" t="s">
        <v>1455</v>
      </c>
      <c r="AO30" s="160" t="s">
        <v>1878</v>
      </c>
      <c r="AP30" s="161">
        <v>0</v>
      </c>
      <c r="AQ30" s="162">
        <v>5190.09</v>
      </c>
      <c r="AR30" s="170">
        <v>127.29</v>
      </c>
      <c r="AS30" s="171">
        <v>1</v>
      </c>
      <c r="AT30" s="166">
        <v>6.6059999999999999</v>
      </c>
      <c r="AU30" s="166">
        <v>6.6059999999999999</v>
      </c>
      <c r="AV30" s="152"/>
      <c r="AW30" s="152"/>
      <c r="AX30" t="s">
        <v>72</v>
      </c>
      <c r="AY30" t="s">
        <v>16</v>
      </c>
      <c r="AZ30" s="45">
        <v>7.7524575011674198E-4</v>
      </c>
      <c r="BA30" s="45">
        <v>1.5258283048133201E-5</v>
      </c>
    </row>
    <row r="31" spans="1:53" x14ac:dyDescent="0.25">
      <c r="A31" s="152">
        <v>1182</v>
      </c>
      <c r="B31" s="152">
        <v>1182</v>
      </c>
      <c r="C31" s="152">
        <v>513326439</v>
      </c>
      <c r="D31" s="152" t="s">
        <v>1721</v>
      </c>
      <c r="E31" s="152" t="s">
        <v>2228</v>
      </c>
      <c r="F31" s="152">
        <v>34843</v>
      </c>
      <c r="G31" s="152" t="s">
        <v>2165</v>
      </c>
      <c r="H31" s="152"/>
      <c r="I31" s="152" t="s">
        <v>71</v>
      </c>
      <c r="J31" s="152" t="s">
        <v>71</v>
      </c>
      <c r="K31" s="152" t="s">
        <v>234</v>
      </c>
      <c r="L31" s="152" t="s">
        <v>72</v>
      </c>
      <c r="M31" s="152" t="s">
        <v>373</v>
      </c>
      <c r="N31" s="152">
        <v>11898140</v>
      </c>
      <c r="O31" s="160" t="s">
        <v>2229</v>
      </c>
      <c r="P31" s="152" t="s">
        <v>228</v>
      </c>
      <c r="Q31" s="152" t="s">
        <v>219</v>
      </c>
      <c r="R31" s="152" t="s">
        <v>2168</v>
      </c>
      <c r="S31" s="152" t="s">
        <v>81</v>
      </c>
      <c r="T31" s="166">
        <v>3.01</v>
      </c>
      <c r="U31" s="152" t="s">
        <v>2184</v>
      </c>
      <c r="V31" s="161">
        <v>5.5E-2</v>
      </c>
      <c r="W31" s="152" t="s">
        <v>2169</v>
      </c>
      <c r="X31" s="152" t="s">
        <v>2170</v>
      </c>
      <c r="Y31" s="167">
        <v>5.5E-2</v>
      </c>
      <c r="Z31" s="168">
        <v>2.9399999999999999E-2</v>
      </c>
      <c r="AA31" s="152" t="s">
        <v>2181</v>
      </c>
      <c r="AB31" s="152" t="s">
        <v>222</v>
      </c>
      <c r="AC31" s="152" t="s">
        <v>1626</v>
      </c>
      <c r="AD31" s="169">
        <v>482000</v>
      </c>
      <c r="AE31" s="168">
        <v>0.73</v>
      </c>
      <c r="AF31" s="160" t="s">
        <v>1878</v>
      </c>
      <c r="AG31" s="152" t="s">
        <v>72</v>
      </c>
      <c r="AH31" s="152"/>
      <c r="AI31" s="152" t="s">
        <v>2182</v>
      </c>
      <c r="AJ31" s="152" t="s">
        <v>373</v>
      </c>
      <c r="AK31" s="152" t="s">
        <v>1454</v>
      </c>
      <c r="AL31" s="152" t="s">
        <v>2174</v>
      </c>
      <c r="AM31" s="152" t="s">
        <v>1671</v>
      </c>
      <c r="AN31" s="160" t="s">
        <v>1455</v>
      </c>
      <c r="AO31" s="160" t="s">
        <v>1878</v>
      </c>
      <c r="AP31" s="161">
        <v>0</v>
      </c>
      <c r="AQ31" s="162">
        <v>8047.71</v>
      </c>
      <c r="AR31" s="170">
        <v>127.51</v>
      </c>
      <c r="AS31" s="171">
        <v>1</v>
      </c>
      <c r="AT31" s="166">
        <v>10.262</v>
      </c>
      <c r="AU31" s="166">
        <v>10.262</v>
      </c>
      <c r="AV31" s="152"/>
      <c r="AW31" s="152"/>
      <c r="AX31" t="s">
        <v>72</v>
      </c>
      <c r="AY31" t="s">
        <v>16</v>
      </c>
      <c r="AZ31" s="45">
        <v>1.2041671701494799E-3</v>
      </c>
      <c r="BA31" s="45">
        <v>2.3700257004496301E-5</v>
      </c>
    </row>
    <row r="32" spans="1:53" x14ac:dyDescent="0.25">
      <c r="A32" s="152">
        <v>1182</v>
      </c>
      <c r="B32" s="152">
        <v>1182</v>
      </c>
      <c r="C32" s="152">
        <v>513326439</v>
      </c>
      <c r="D32" s="152" t="s">
        <v>1721</v>
      </c>
      <c r="E32" s="152" t="s">
        <v>2230</v>
      </c>
      <c r="F32" s="152">
        <v>28423</v>
      </c>
      <c r="G32" s="152" t="s">
        <v>2165</v>
      </c>
      <c r="H32" s="152"/>
      <c r="I32" s="152" t="s">
        <v>71</v>
      </c>
      <c r="J32" s="152" t="s">
        <v>71</v>
      </c>
      <c r="K32" s="152" t="s">
        <v>234</v>
      </c>
      <c r="L32" s="152" t="s">
        <v>72</v>
      </c>
      <c r="M32" s="152" t="s">
        <v>373</v>
      </c>
      <c r="N32" s="152">
        <v>11898270</v>
      </c>
      <c r="O32" s="160" t="s">
        <v>2225</v>
      </c>
      <c r="P32" s="152" t="s">
        <v>228</v>
      </c>
      <c r="Q32" s="152" t="s">
        <v>219</v>
      </c>
      <c r="R32" s="152" t="s">
        <v>2168</v>
      </c>
      <c r="S32" s="152" t="s">
        <v>81</v>
      </c>
      <c r="T32" s="166">
        <v>3.02</v>
      </c>
      <c r="U32" s="152" t="s">
        <v>286</v>
      </c>
      <c r="V32" s="161">
        <v>5.5E-2</v>
      </c>
      <c r="W32" s="152" t="s">
        <v>2169</v>
      </c>
      <c r="X32" s="152" t="s">
        <v>2120</v>
      </c>
      <c r="Y32" s="167">
        <v>0</v>
      </c>
      <c r="Z32" s="168">
        <v>2.93E-2</v>
      </c>
      <c r="AA32" s="152" t="s">
        <v>2188</v>
      </c>
      <c r="AB32" s="152" t="s">
        <v>222</v>
      </c>
      <c r="AC32" s="152" t="s">
        <v>1626</v>
      </c>
      <c r="AD32" s="169">
        <v>482000</v>
      </c>
      <c r="AE32" s="168">
        <v>0.73</v>
      </c>
      <c r="AF32" s="160" t="s">
        <v>1878</v>
      </c>
      <c r="AG32" s="152" t="s">
        <v>72</v>
      </c>
      <c r="AH32" s="152"/>
      <c r="AI32" s="152" t="s">
        <v>2182</v>
      </c>
      <c r="AJ32" s="152" t="s">
        <v>373</v>
      </c>
      <c r="AK32" s="152" t="s">
        <v>1454</v>
      </c>
      <c r="AL32" s="152" t="s">
        <v>2174</v>
      </c>
      <c r="AM32" s="152" t="s">
        <v>1671</v>
      </c>
      <c r="AN32" s="160" t="s">
        <v>1455</v>
      </c>
      <c r="AO32" s="160" t="s">
        <v>1878</v>
      </c>
      <c r="AP32" s="161">
        <v>0</v>
      </c>
      <c r="AQ32" s="162">
        <v>2123.02</v>
      </c>
      <c r="AR32" s="170">
        <v>126.66</v>
      </c>
      <c r="AS32" s="171">
        <v>1</v>
      </c>
      <c r="AT32" s="166">
        <v>2.6890000000000001</v>
      </c>
      <c r="AU32" s="166">
        <v>2.6890000000000001</v>
      </c>
      <c r="AV32" s="152"/>
      <c r="AW32" s="152"/>
      <c r="AX32" t="s">
        <v>72</v>
      </c>
      <c r="AY32" t="s">
        <v>16</v>
      </c>
      <c r="AZ32" s="45">
        <v>3.1554680552343099E-4</v>
      </c>
      <c r="BA32" s="45">
        <v>6.2105499744896404E-6</v>
      </c>
    </row>
    <row r="33" spans="1:53" x14ac:dyDescent="0.25">
      <c r="A33" s="152">
        <v>1182</v>
      </c>
      <c r="B33" s="152">
        <v>1182</v>
      </c>
      <c r="C33" s="152">
        <v>513326439</v>
      </c>
      <c r="D33" s="152" t="s">
        <v>1721</v>
      </c>
      <c r="E33" s="152" t="s">
        <v>2231</v>
      </c>
      <c r="F33" s="152">
        <v>28456</v>
      </c>
      <c r="G33" s="152" t="s">
        <v>2165</v>
      </c>
      <c r="H33" s="152"/>
      <c r="I33" s="152" t="s">
        <v>71</v>
      </c>
      <c r="J33" s="152" t="s">
        <v>71</v>
      </c>
      <c r="K33" s="152" t="s">
        <v>234</v>
      </c>
      <c r="L33" s="152" t="s">
        <v>72</v>
      </c>
      <c r="M33" s="152" t="s">
        <v>373</v>
      </c>
      <c r="N33" s="152">
        <v>11898280</v>
      </c>
      <c r="O33" s="160" t="s">
        <v>2232</v>
      </c>
      <c r="P33" s="152" t="s">
        <v>228</v>
      </c>
      <c r="Q33" s="152" t="s">
        <v>219</v>
      </c>
      <c r="R33" s="152" t="s">
        <v>2168</v>
      </c>
      <c r="S33" s="152" t="s">
        <v>81</v>
      </c>
      <c r="T33" s="166">
        <v>3.02</v>
      </c>
      <c r="U33" s="152" t="s">
        <v>2184</v>
      </c>
      <c r="V33" s="161">
        <v>5.5E-2</v>
      </c>
      <c r="W33" s="152" t="s">
        <v>2169</v>
      </c>
      <c r="X33" s="152" t="s">
        <v>2170</v>
      </c>
      <c r="Y33" s="167">
        <v>5.5E-2</v>
      </c>
      <c r="Z33" s="168">
        <v>2.9399999999999999E-2</v>
      </c>
      <c r="AA33" s="152" t="s">
        <v>2181</v>
      </c>
      <c r="AB33" s="152" t="s">
        <v>222</v>
      </c>
      <c r="AC33" s="152" t="s">
        <v>1626</v>
      </c>
      <c r="AD33" s="169">
        <v>482000</v>
      </c>
      <c r="AE33" s="168">
        <v>0.73</v>
      </c>
      <c r="AF33" s="160" t="s">
        <v>1878</v>
      </c>
      <c r="AG33" s="152" t="s">
        <v>72</v>
      </c>
      <c r="AH33" s="152"/>
      <c r="AI33" s="152" t="s">
        <v>2182</v>
      </c>
      <c r="AJ33" s="152" t="s">
        <v>373</v>
      </c>
      <c r="AK33" s="152" t="s">
        <v>1454</v>
      </c>
      <c r="AL33" s="152" t="s">
        <v>2174</v>
      </c>
      <c r="AM33" s="152" t="s">
        <v>1671</v>
      </c>
      <c r="AN33" s="160" t="s">
        <v>1455</v>
      </c>
      <c r="AO33" s="160" t="s">
        <v>1878</v>
      </c>
      <c r="AP33" s="161">
        <v>0</v>
      </c>
      <c r="AQ33" s="162">
        <v>1863.51</v>
      </c>
      <c r="AR33" s="170">
        <v>125.66</v>
      </c>
      <c r="AS33" s="171">
        <v>1</v>
      </c>
      <c r="AT33" s="166">
        <v>2.3420000000000001</v>
      </c>
      <c r="AU33" s="166">
        <v>2.3420000000000001</v>
      </c>
      <c r="AV33" s="152"/>
      <c r="AW33" s="152"/>
      <c r="AX33" t="s">
        <v>72</v>
      </c>
      <c r="AY33" t="s">
        <v>16</v>
      </c>
      <c r="AZ33" s="45">
        <v>2.7478878367856902E-4</v>
      </c>
      <c r="BA33" s="45">
        <v>5.4083560460517899E-6</v>
      </c>
    </row>
    <row r="34" spans="1:53" x14ac:dyDescent="0.25">
      <c r="A34" s="152">
        <v>1182</v>
      </c>
      <c r="B34" s="152">
        <v>1182</v>
      </c>
      <c r="C34" s="152">
        <v>513326439</v>
      </c>
      <c r="D34" s="152" t="s">
        <v>1721</v>
      </c>
      <c r="E34" s="152" t="s">
        <v>2233</v>
      </c>
      <c r="F34" s="152">
        <v>28522</v>
      </c>
      <c r="G34" s="152" t="s">
        <v>2165</v>
      </c>
      <c r="H34" s="152"/>
      <c r="I34" s="152" t="s">
        <v>71</v>
      </c>
      <c r="J34" s="152" t="s">
        <v>71</v>
      </c>
      <c r="K34" s="152" t="s">
        <v>234</v>
      </c>
      <c r="L34" s="152" t="s">
        <v>72</v>
      </c>
      <c r="M34" s="152" t="s">
        <v>373</v>
      </c>
      <c r="N34" s="152">
        <v>11898310</v>
      </c>
      <c r="O34" s="160" t="s">
        <v>2234</v>
      </c>
      <c r="P34" s="152" t="s">
        <v>228</v>
      </c>
      <c r="Q34" s="152" t="s">
        <v>219</v>
      </c>
      <c r="R34" s="152" t="s">
        <v>2168</v>
      </c>
      <c r="S34" s="152" t="s">
        <v>81</v>
      </c>
      <c r="T34" s="166">
        <v>3.02</v>
      </c>
      <c r="U34" s="152" t="s">
        <v>2184</v>
      </c>
      <c r="V34" s="161">
        <v>5.5E-2</v>
      </c>
      <c r="W34" s="152" t="s">
        <v>2169</v>
      </c>
      <c r="X34" s="152" t="s">
        <v>2170</v>
      </c>
      <c r="Y34" s="167">
        <v>5.5E-2</v>
      </c>
      <c r="Z34" s="168">
        <v>2.93E-2</v>
      </c>
      <c r="AA34" s="152" t="s">
        <v>2181</v>
      </c>
      <c r="AB34" s="152" t="s">
        <v>222</v>
      </c>
      <c r="AC34" s="152" t="s">
        <v>1626</v>
      </c>
      <c r="AD34" s="169">
        <v>482000</v>
      </c>
      <c r="AE34" s="168">
        <v>0.73</v>
      </c>
      <c r="AF34" s="160" t="s">
        <v>1878</v>
      </c>
      <c r="AG34" s="152" t="s">
        <v>72</v>
      </c>
      <c r="AH34" s="152"/>
      <c r="AI34" s="152" t="s">
        <v>2182</v>
      </c>
      <c r="AJ34" s="152" t="s">
        <v>373</v>
      </c>
      <c r="AK34" s="152" t="s">
        <v>1454</v>
      </c>
      <c r="AL34" s="152" t="s">
        <v>2174</v>
      </c>
      <c r="AM34" s="152" t="s">
        <v>1671</v>
      </c>
      <c r="AN34" s="160" t="s">
        <v>1455</v>
      </c>
      <c r="AO34" s="160" t="s">
        <v>1878</v>
      </c>
      <c r="AP34" s="161">
        <v>0</v>
      </c>
      <c r="AQ34" s="162">
        <v>2077.3000000000002</v>
      </c>
      <c r="AR34" s="170">
        <v>125.05</v>
      </c>
      <c r="AS34" s="171">
        <v>1</v>
      </c>
      <c r="AT34" s="166">
        <v>2.5979999999999999</v>
      </c>
      <c r="AU34" s="166">
        <v>2.5979999999999999</v>
      </c>
      <c r="AV34" s="152"/>
      <c r="AW34" s="152"/>
      <c r="AX34" t="s">
        <v>72</v>
      </c>
      <c r="AY34" t="s">
        <v>16</v>
      </c>
      <c r="AZ34" s="45">
        <v>3.0482679222358899E-4</v>
      </c>
      <c r="BA34" s="45">
        <v>5.99956010813552E-6</v>
      </c>
    </row>
    <row r="35" spans="1:53" x14ac:dyDescent="0.25">
      <c r="A35" s="152">
        <v>1182</v>
      </c>
      <c r="B35" s="152">
        <v>1182</v>
      </c>
      <c r="C35" s="152">
        <v>513326439</v>
      </c>
      <c r="D35" s="152" t="s">
        <v>1721</v>
      </c>
      <c r="E35" s="152" t="s">
        <v>2235</v>
      </c>
      <c r="F35" s="152">
        <v>28563</v>
      </c>
      <c r="G35" s="152" t="s">
        <v>2165</v>
      </c>
      <c r="H35" s="152"/>
      <c r="I35" s="152" t="s">
        <v>71</v>
      </c>
      <c r="J35" s="152" t="s">
        <v>71</v>
      </c>
      <c r="K35" s="152" t="s">
        <v>234</v>
      </c>
      <c r="L35" s="152" t="s">
        <v>72</v>
      </c>
      <c r="M35" s="152" t="s">
        <v>373</v>
      </c>
      <c r="N35" s="152">
        <v>11898330</v>
      </c>
      <c r="O35" s="160" t="s">
        <v>2236</v>
      </c>
      <c r="P35" s="152" t="s">
        <v>228</v>
      </c>
      <c r="Q35" s="152" t="s">
        <v>219</v>
      </c>
      <c r="R35" s="152" t="s">
        <v>2168</v>
      </c>
      <c r="S35" s="152" t="s">
        <v>81</v>
      </c>
      <c r="T35" s="166">
        <v>3.01</v>
      </c>
      <c r="U35" s="152" t="s">
        <v>2184</v>
      </c>
      <c r="V35" s="161">
        <v>5.5E-2</v>
      </c>
      <c r="W35" s="152" t="s">
        <v>2169</v>
      </c>
      <c r="X35" s="152" t="s">
        <v>2170</v>
      </c>
      <c r="Y35" s="167">
        <v>5.5E-2</v>
      </c>
      <c r="Z35" s="168">
        <v>2.9399999999999999E-2</v>
      </c>
      <c r="AA35" s="152" t="s">
        <v>2181</v>
      </c>
      <c r="AB35" s="152" t="s">
        <v>222</v>
      </c>
      <c r="AC35" s="152" t="s">
        <v>1626</v>
      </c>
      <c r="AD35" s="169">
        <v>482000</v>
      </c>
      <c r="AE35" s="168">
        <v>0.73</v>
      </c>
      <c r="AF35" s="160" t="s">
        <v>1878</v>
      </c>
      <c r="AG35" s="152" t="s">
        <v>72</v>
      </c>
      <c r="AH35" s="152"/>
      <c r="AI35" s="152" t="s">
        <v>2182</v>
      </c>
      <c r="AJ35" s="152" t="s">
        <v>373</v>
      </c>
      <c r="AK35" s="152" t="s">
        <v>1454</v>
      </c>
      <c r="AL35" s="152" t="s">
        <v>2174</v>
      </c>
      <c r="AM35" s="152" t="s">
        <v>1671</v>
      </c>
      <c r="AN35" s="160" t="s">
        <v>1455</v>
      </c>
      <c r="AO35" s="160" t="s">
        <v>1878</v>
      </c>
      <c r="AP35" s="161">
        <v>0</v>
      </c>
      <c r="AQ35" s="162">
        <v>6099.37</v>
      </c>
      <c r="AR35" s="170">
        <v>125.14</v>
      </c>
      <c r="AS35" s="171">
        <v>1</v>
      </c>
      <c r="AT35" s="166">
        <v>7.633</v>
      </c>
      <c r="AU35" s="166">
        <v>7.633</v>
      </c>
      <c r="AV35" s="152"/>
      <c r="AW35" s="152"/>
      <c r="AX35" t="s">
        <v>72</v>
      </c>
      <c r="AY35" t="s">
        <v>16</v>
      </c>
      <c r="AZ35" s="45">
        <v>8.9567684852284398E-4</v>
      </c>
      <c r="BA35" s="45">
        <v>1.76285918011978E-5</v>
      </c>
    </row>
    <row r="36" spans="1:53" x14ac:dyDescent="0.25">
      <c r="A36" s="152">
        <v>1182</v>
      </c>
      <c r="B36" s="152">
        <v>1182</v>
      </c>
      <c r="C36" s="152">
        <v>513326439</v>
      </c>
      <c r="D36" s="152" t="s">
        <v>1721</v>
      </c>
      <c r="E36" s="152" t="s">
        <v>2237</v>
      </c>
      <c r="F36" s="152">
        <v>28605</v>
      </c>
      <c r="G36" s="152" t="s">
        <v>2165</v>
      </c>
      <c r="H36" s="152"/>
      <c r="I36" s="152" t="s">
        <v>71</v>
      </c>
      <c r="J36" s="152" t="s">
        <v>71</v>
      </c>
      <c r="K36" s="152" t="s">
        <v>234</v>
      </c>
      <c r="L36" s="152" t="s">
        <v>72</v>
      </c>
      <c r="M36" s="152" t="s">
        <v>373</v>
      </c>
      <c r="N36" s="152">
        <v>11898350</v>
      </c>
      <c r="O36" s="160" t="s">
        <v>2238</v>
      </c>
      <c r="P36" s="152" t="s">
        <v>228</v>
      </c>
      <c r="Q36" s="152" t="s">
        <v>219</v>
      </c>
      <c r="R36" s="152" t="s">
        <v>2168</v>
      </c>
      <c r="S36" s="152" t="s">
        <v>81</v>
      </c>
      <c r="T36" s="166">
        <v>3.01</v>
      </c>
      <c r="U36" s="152" t="s">
        <v>2184</v>
      </c>
      <c r="V36" s="161">
        <v>5.5E-2</v>
      </c>
      <c r="W36" s="152" t="s">
        <v>2169</v>
      </c>
      <c r="X36" s="152" t="s">
        <v>2170</v>
      </c>
      <c r="Y36" s="167">
        <v>5.5E-2</v>
      </c>
      <c r="Z36" s="168">
        <v>2.9399999999999999E-2</v>
      </c>
      <c r="AA36" s="152" t="s">
        <v>2181</v>
      </c>
      <c r="AB36" s="152" t="s">
        <v>222</v>
      </c>
      <c r="AC36" s="152" t="s">
        <v>1626</v>
      </c>
      <c r="AD36" s="169">
        <v>482000</v>
      </c>
      <c r="AE36" s="168">
        <v>0.73</v>
      </c>
      <c r="AF36" s="160" t="s">
        <v>1878</v>
      </c>
      <c r="AG36" s="152" t="s">
        <v>72</v>
      </c>
      <c r="AH36" s="152"/>
      <c r="AI36" s="152" t="s">
        <v>2182</v>
      </c>
      <c r="AJ36" s="152" t="s">
        <v>373</v>
      </c>
      <c r="AK36" s="152" t="s">
        <v>1454</v>
      </c>
      <c r="AL36" s="152" t="s">
        <v>2174</v>
      </c>
      <c r="AM36" s="152" t="s">
        <v>1671</v>
      </c>
      <c r="AN36" s="160" t="s">
        <v>1455</v>
      </c>
      <c r="AO36" s="160" t="s">
        <v>1878</v>
      </c>
      <c r="AP36" s="161">
        <v>0</v>
      </c>
      <c r="AQ36" s="162">
        <v>1132.18</v>
      </c>
      <c r="AR36" s="170">
        <v>125.76</v>
      </c>
      <c r="AS36" s="171">
        <v>1</v>
      </c>
      <c r="AT36" s="166">
        <v>1.4239999999999999</v>
      </c>
      <c r="AU36" s="166">
        <v>1.4239999999999999</v>
      </c>
      <c r="AV36" s="152"/>
      <c r="AW36" s="152"/>
      <c r="AX36" t="s">
        <v>72</v>
      </c>
      <c r="AY36" t="s">
        <v>16</v>
      </c>
      <c r="AZ36" s="45">
        <v>1.67081446393777E-4</v>
      </c>
      <c r="BA36" s="45">
        <v>3.2884746556609199E-6</v>
      </c>
    </row>
    <row r="37" spans="1:53" x14ac:dyDescent="0.25">
      <c r="A37" s="152">
        <v>1182</v>
      </c>
      <c r="B37" s="152">
        <v>1182</v>
      </c>
      <c r="C37" s="152">
        <v>513326439</v>
      </c>
      <c r="D37" s="152" t="s">
        <v>1721</v>
      </c>
      <c r="E37" s="152" t="s">
        <v>2239</v>
      </c>
      <c r="F37" s="152">
        <v>28639</v>
      </c>
      <c r="G37" s="152" t="s">
        <v>2165</v>
      </c>
      <c r="H37" s="152"/>
      <c r="I37" s="152" t="s">
        <v>71</v>
      </c>
      <c r="J37" s="152" t="s">
        <v>71</v>
      </c>
      <c r="K37" s="152" t="s">
        <v>234</v>
      </c>
      <c r="L37" s="152" t="s">
        <v>72</v>
      </c>
      <c r="M37" s="152" t="s">
        <v>373</v>
      </c>
      <c r="N37" s="152">
        <v>11898360</v>
      </c>
      <c r="O37" s="160" t="s">
        <v>2240</v>
      </c>
      <c r="P37" s="152" t="s">
        <v>228</v>
      </c>
      <c r="Q37" s="152" t="s">
        <v>219</v>
      </c>
      <c r="R37" s="152" t="s">
        <v>2168</v>
      </c>
      <c r="S37" s="152" t="s">
        <v>81</v>
      </c>
      <c r="T37" s="166">
        <v>3.01</v>
      </c>
      <c r="U37" s="152" t="s">
        <v>2184</v>
      </c>
      <c r="V37" s="161">
        <v>5.5E-2</v>
      </c>
      <c r="W37" s="152" t="s">
        <v>2169</v>
      </c>
      <c r="X37" s="152" t="s">
        <v>2170</v>
      </c>
      <c r="Y37" s="167">
        <v>5.5E-2</v>
      </c>
      <c r="Z37" s="168">
        <v>2.9399999999999999E-2</v>
      </c>
      <c r="AA37" s="152" t="s">
        <v>2241</v>
      </c>
      <c r="AB37" s="152" t="s">
        <v>222</v>
      </c>
      <c r="AC37" s="152" t="s">
        <v>1626</v>
      </c>
      <c r="AD37" s="169">
        <v>482000</v>
      </c>
      <c r="AE37" s="168">
        <v>0.73</v>
      </c>
      <c r="AF37" s="160" t="s">
        <v>1878</v>
      </c>
      <c r="AG37" s="152" t="s">
        <v>72</v>
      </c>
      <c r="AH37" s="152"/>
      <c r="AI37" s="152" t="s">
        <v>2182</v>
      </c>
      <c r="AJ37" s="152" t="s">
        <v>373</v>
      </c>
      <c r="AK37" s="152" t="s">
        <v>1454</v>
      </c>
      <c r="AL37" s="152" t="s">
        <v>2174</v>
      </c>
      <c r="AM37" s="152" t="s">
        <v>1671</v>
      </c>
      <c r="AN37" s="160" t="s">
        <v>1455</v>
      </c>
      <c r="AO37" s="160" t="s">
        <v>1878</v>
      </c>
      <c r="AP37" s="161">
        <v>0</v>
      </c>
      <c r="AQ37" s="162">
        <v>2259.37</v>
      </c>
      <c r="AR37" s="170">
        <v>126</v>
      </c>
      <c r="AS37" s="171">
        <v>1</v>
      </c>
      <c r="AT37" s="166">
        <v>2.847</v>
      </c>
      <c r="AU37" s="166">
        <v>2.847</v>
      </c>
      <c r="AV37" s="152"/>
      <c r="AW37" s="152"/>
      <c r="AX37" t="s">
        <v>72</v>
      </c>
      <c r="AY37" t="s">
        <v>16</v>
      </c>
      <c r="AZ37" s="45">
        <v>3.34062803715263E-4</v>
      </c>
      <c r="BA37" s="45">
        <v>6.5749793716029599E-6</v>
      </c>
    </row>
    <row r="38" spans="1:53" x14ac:dyDescent="0.25">
      <c r="A38" s="152">
        <v>1182</v>
      </c>
      <c r="B38" s="152">
        <v>1182</v>
      </c>
      <c r="C38" s="152">
        <v>513326439</v>
      </c>
      <c r="D38" s="152" t="s">
        <v>1721</v>
      </c>
      <c r="E38" s="152" t="s">
        <v>2242</v>
      </c>
      <c r="F38" s="152">
        <v>28654</v>
      </c>
      <c r="G38" s="152" t="s">
        <v>2165</v>
      </c>
      <c r="H38" s="152"/>
      <c r="I38" s="152" t="s">
        <v>71</v>
      </c>
      <c r="J38" s="152" t="s">
        <v>71</v>
      </c>
      <c r="K38" s="152" t="s">
        <v>234</v>
      </c>
      <c r="L38" s="152" t="s">
        <v>72</v>
      </c>
      <c r="M38" s="152" t="s">
        <v>373</v>
      </c>
      <c r="N38" s="152">
        <v>11898380</v>
      </c>
      <c r="O38" s="160" t="s">
        <v>2243</v>
      </c>
      <c r="P38" s="152" t="s">
        <v>228</v>
      </c>
      <c r="Q38" s="152" t="s">
        <v>219</v>
      </c>
      <c r="R38" s="152" t="s">
        <v>2168</v>
      </c>
      <c r="S38" s="152" t="s">
        <v>81</v>
      </c>
      <c r="T38" s="166">
        <v>3.01</v>
      </c>
      <c r="U38" s="152" t="s">
        <v>2184</v>
      </c>
      <c r="V38" s="161">
        <v>5.5E-2</v>
      </c>
      <c r="W38" s="152" t="s">
        <v>2169</v>
      </c>
      <c r="X38" s="152" t="s">
        <v>2170</v>
      </c>
      <c r="Y38" s="167">
        <v>5.5E-2</v>
      </c>
      <c r="Z38" s="168">
        <v>2.9399999999999999E-2</v>
      </c>
      <c r="AA38" s="152" t="s">
        <v>2181</v>
      </c>
      <c r="AB38" s="152" t="s">
        <v>222</v>
      </c>
      <c r="AC38" s="152" t="s">
        <v>1626</v>
      </c>
      <c r="AD38" s="169">
        <v>482000</v>
      </c>
      <c r="AE38" s="168">
        <v>0.73</v>
      </c>
      <c r="AF38" s="160" t="s">
        <v>1878</v>
      </c>
      <c r="AG38" s="152" t="s">
        <v>72</v>
      </c>
      <c r="AH38" s="152"/>
      <c r="AI38" s="152" t="s">
        <v>2182</v>
      </c>
      <c r="AJ38" s="152" t="s">
        <v>373</v>
      </c>
      <c r="AK38" s="152" t="s">
        <v>1454</v>
      </c>
      <c r="AL38" s="152" t="s">
        <v>2174</v>
      </c>
      <c r="AM38" s="152" t="s">
        <v>1671</v>
      </c>
      <c r="AN38" s="160" t="s">
        <v>1455</v>
      </c>
      <c r="AO38" s="160" t="s">
        <v>1878</v>
      </c>
      <c r="AP38" s="161">
        <v>0</v>
      </c>
      <c r="AQ38" s="162">
        <v>1415.76</v>
      </c>
      <c r="AR38" s="170">
        <v>125.51</v>
      </c>
      <c r="AS38" s="171">
        <v>1</v>
      </c>
      <c r="AT38" s="166">
        <v>1.7769999999999999</v>
      </c>
      <c r="AU38" s="166">
        <v>1.7769999999999999</v>
      </c>
      <c r="AV38" s="152"/>
      <c r="AW38" s="152"/>
      <c r="AX38" t="s">
        <v>72</v>
      </c>
      <c r="AY38" t="s">
        <v>16</v>
      </c>
      <c r="AZ38" s="45">
        <v>2.0851542433248201E-4</v>
      </c>
      <c r="BA38" s="45">
        <v>4.1039726614270298E-6</v>
      </c>
    </row>
    <row r="39" spans="1:53" x14ac:dyDescent="0.25">
      <c r="A39" s="152">
        <v>1182</v>
      </c>
      <c r="B39" s="152">
        <v>1182</v>
      </c>
      <c r="C39" s="152">
        <v>513326439</v>
      </c>
      <c r="D39" s="152" t="s">
        <v>1721</v>
      </c>
      <c r="E39" s="152" t="s">
        <v>2244</v>
      </c>
      <c r="F39" s="152">
        <v>28670</v>
      </c>
      <c r="G39" s="152" t="s">
        <v>2165</v>
      </c>
      <c r="H39" s="152"/>
      <c r="I39" s="152" t="s">
        <v>71</v>
      </c>
      <c r="J39" s="152" t="s">
        <v>71</v>
      </c>
      <c r="K39" s="152" t="s">
        <v>234</v>
      </c>
      <c r="L39" s="152" t="s">
        <v>72</v>
      </c>
      <c r="M39" s="152" t="s">
        <v>373</v>
      </c>
      <c r="N39" s="152">
        <v>11898390</v>
      </c>
      <c r="O39" s="160" t="s">
        <v>2245</v>
      </c>
      <c r="P39" s="152" t="s">
        <v>228</v>
      </c>
      <c r="Q39" s="152" t="s">
        <v>219</v>
      </c>
      <c r="R39" s="152" t="s">
        <v>2168</v>
      </c>
      <c r="S39" s="152" t="s">
        <v>81</v>
      </c>
      <c r="T39" s="166">
        <v>3.01</v>
      </c>
      <c r="U39" s="152" t="s">
        <v>2184</v>
      </c>
      <c r="V39" s="161">
        <v>5.5E-2</v>
      </c>
      <c r="W39" s="152" t="s">
        <v>2169</v>
      </c>
      <c r="X39" s="152" t="s">
        <v>2170</v>
      </c>
      <c r="Y39" s="167">
        <v>5.5E-2</v>
      </c>
      <c r="Z39" s="168">
        <v>2.9399999999999999E-2</v>
      </c>
      <c r="AA39" s="152" t="s">
        <v>2188</v>
      </c>
      <c r="AB39" s="152" t="s">
        <v>222</v>
      </c>
      <c r="AC39" s="152" t="s">
        <v>1626</v>
      </c>
      <c r="AD39" s="169">
        <v>482000</v>
      </c>
      <c r="AE39" s="168">
        <v>0.73</v>
      </c>
      <c r="AF39" s="160" t="s">
        <v>1878</v>
      </c>
      <c r="AG39" s="152" t="s">
        <v>72</v>
      </c>
      <c r="AH39" s="152"/>
      <c r="AI39" s="152" t="s">
        <v>2182</v>
      </c>
      <c r="AJ39" s="152" t="s">
        <v>373</v>
      </c>
      <c r="AK39" s="152" t="s">
        <v>1454</v>
      </c>
      <c r="AL39" s="152" t="s">
        <v>2174</v>
      </c>
      <c r="AM39" s="152" t="s">
        <v>1671</v>
      </c>
      <c r="AN39" s="160" t="s">
        <v>1455</v>
      </c>
      <c r="AO39" s="160" t="s">
        <v>1878</v>
      </c>
      <c r="AP39" s="161">
        <v>0</v>
      </c>
      <c r="AQ39" s="162">
        <v>797.23</v>
      </c>
      <c r="AR39" s="170">
        <v>125.39</v>
      </c>
      <c r="AS39" s="171">
        <v>1</v>
      </c>
      <c r="AT39" s="166">
        <v>1</v>
      </c>
      <c r="AU39" s="166">
        <v>1</v>
      </c>
      <c r="AV39" s="152"/>
      <c r="AW39" s="152"/>
      <c r="AX39" t="s">
        <v>72</v>
      </c>
      <c r="AY39" t="s">
        <v>16</v>
      </c>
      <c r="AZ39" s="45">
        <v>1.1730506218671401E-4</v>
      </c>
      <c r="BA39" s="45">
        <v>2.3087825267719398E-6</v>
      </c>
    </row>
    <row r="40" spans="1:53" x14ac:dyDescent="0.25">
      <c r="A40" s="152">
        <v>1182</v>
      </c>
      <c r="B40" s="152">
        <v>1182</v>
      </c>
      <c r="C40" s="152">
        <v>513326439</v>
      </c>
      <c r="D40" s="152" t="s">
        <v>1721</v>
      </c>
      <c r="E40" s="152" t="s">
        <v>2246</v>
      </c>
      <c r="F40" s="152">
        <v>28902</v>
      </c>
      <c r="G40" s="152" t="s">
        <v>2165</v>
      </c>
      <c r="H40" s="152"/>
      <c r="I40" s="152" t="s">
        <v>71</v>
      </c>
      <c r="J40" s="152" t="s">
        <v>71</v>
      </c>
      <c r="K40" s="152" t="s">
        <v>234</v>
      </c>
      <c r="L40" s="152" t="s">
        <v>72</v>
      </c>
      <c r="M40" s="152" t="s">
        <v>373</v>
      </c>
      <c r="N40" s="152">
        <v>11898400</v>
      </c>
      <c r="O40" s="160" t="s">
        <v>2247</v>
      </c>
      <c r="P40" s="152" t="s">
        <v>228</v>
      </c>
      <c r="Q40" s="152" t="s">
        <v>219</v>
      </c>
      <c r="R40" s="152" t="s">
        <v>2168</v>
      </c>
      <c r="S40" s="152" t="s">
        <v>81</v>
      </c>
      <c r="T40" s="166">
        <v>3.01</v>
      </c>
      <c r="U40" s="152" t="s">
        <v>2184</v>
      </c>
      <c r="V40" s="161">
        <v>5.5E-2</v>
      </c>
      <c r="W40" s="152" t="s">
        <v>2169</v>
      </c>
      <c r="X40" s="152" t="s">
        <v>2170</v>
      </c>
      <c r="Y40" s="167">
        <v>5.5E-2</v>
      </c>
      <c r="Z40" s="168">
        <v>2.9399999999999999E-2</v>
      </c>
      <c r="AA40" s="152" t="s">
        <v>2188</v>
      </c>
      <c r="AB40" s="152" t="s">
        <v>222</v>
      </c>
      <c r="AC40" s="152" t="s">
        <v>1626</v>
      </c>
      <c r="AD40" s="169">
        <v>482000</v>
      </c>
      <c r="AE40" s="168">
        <v>0.73</v>
      </c>
      <c r="AF40" s="160" t="s">
        <v>1878</v>
      </c>
      <c r="AG40" s="152" t="s">
        <v>72</v>
      </c>
      <c r="AH40" s="152"/>
      <c r="AI40" s="152" t="s">
        <v>2182</v>
      </c>
      <c r="AJ40" s="152" t="s">
        <v>373</v>
      </c>
      <c r="AK40" s="152" t="s">
        <v>1454</v>
      </c>
      <c r="AL40" s="152" t="s">
        <v>2174</v>
      </c>
      <c r="AM40" s="152" t="s">
        <v>1671</v>
      </c>
      <c r="AN40" s="160" t="s">
        <v>1455</v>
      </c>
      <c r="AO40" s="160" t="s">
        <v>1878</v>
      </c>
      <c r="AP40" s="161">
        <v>0</v>
      </c>
      <c r="AQ40" s="162">
        <v>2378.09</v>
      </c>
      <c r="AR40" s="170">
        <v>125.02</v>
      </c>
      <c r="AS40" s="171">
        <v>1</v>
      </c>
      <c r="AT40" s="166">
        <v>2.9729999999999999</v>
      </c>
      <c r="AU40" s="166">
        <v>2.9729999999999999</v>
      </c>
      <c r="AV40" s="152"/>
      <c r="AW40" s="152"/>
      <c r="AX40" t="s">
        <v>72</v>
      </c>
      <c r="AY40" t="s">
        <v>16</v>
      </c>
      <c r="AZ40" s="45">
        <v>3.4888154746593402E-4</v>
      </c>
      <c r="BA40" s="45">
        <v>6.8666399018689298E-6</v>
      </c>
    </row>
    <row r="41" spans="1:53" x14ac:dyDescent="0.25">
      <c r="A41" s="152">
        <v>1182</v>
      </c>
      <c r="B41" s="152">
        <v>1182</v>
      </c>
      <c r="C41" s="152">
        <v>513326439</v>
      </c>
      <c r="D41" s="152" t="s">
        <v>1721</v>
      </c>
      <c r="E41" s="152" t="s">
        <v>2248</v>
      </c>
      <c r="F41" s="152">
        <v>28928</v>
      </c>
      <c r="G41" s="152" t="s">
        <v>2165</v>
      </c>
      <c r="H41" s="152"/>
      <c r="I41" s="152" t="s">
        <v>71</v>
      </c>
      <c r="J41" s="152" t="s">
        <v>71</v>
      </c>
      <c r="K41" s="152" t="s">
        <v>234</v>
      </c>
      <c r="L41" s="152" t="s">
        <v>72</v>
      </c>
      <c r="M41" s="152" t="s">
        <v>373</v>
      </c>
      <c r="N41" s="152">
        <v>11898410</v>
      </c>
      <c r="O41" s="160" t="s">
        <v>2225</v>
      </c>
      <c r="P41" s="152" t="s">
        <v>228</v>
      </c>
      <c r="Q41" s="152" t="s">
        <v>219</v>
      </c>
      <c r="R41" s="152" t="s">
        <v>2168</v>
      </c>
      <c r="S41" s="152" t="s">
        <v>81</v>
      </c>
      <c r="T41" s="166">
        <v>3.01</v>
      </c>
      <c r="U41" s="152" t="s">
        <v>286</v>
      </c>
      <c r="V41" s="161">
        <v>5.5E-2</v>
      </c>
      <c r="W41" s="152" t="s">
        <v>2169</v>
      </c>
      <c r="X41" s="152" t="s">
        <v>2120</v>
      </c>
      <c r="Y41" s="167">
        <v>0</v>
      </c>
      <c r="Z41" s="168">
        <v>2.9399999999999999E-2</v>
      </c>
      <c r="AA41" s="152" t="s">
        <v>2188</v>
      </c>
      <c r="AB41" s="152" t="s">
        <v>222</v>
      </c>
      <c r="AC41" s="152" t="s">
        <v>1626</v>
      </c>
      <c r="AD41" s="169">
        <v>482000</v>
      </c>
      <c r="AE41" s="168">
        <v>0.73</v>
      </c>
      <c r="AF41" s="160" t="s">
        <v>1878</v>
      </c>
      <c r="AG41" s="152" t="s">
        <v>72</v>
      </c>
      <c r="AH41" s="152"/>
      <c r="AI41" s="152" t="s">
        <v>2182</v>
      </c>
      <c r="AJ41" s="152" t="s">
        <v>373</v>
      </c>
      <c r="AK41" s="152" t="s">
        <v>1454</v>
      </c>
      <c r="AL41" s="152" t="s">
        <v>2174</v>
      </c>
      <c r="AM41" s="152" t="s">
        <v>1671</v>
      </c>
      <c r="AN41" s="160" t="s">
        <v>1455</v>
      </c>
      <c r="AO41" s="160" t="s">
        <v>1878</v>
      </c>
      <c r="AP41" s="161">
        <v>0</v>
      </c>
      <c r="AQ41" s="162">
        <v>925.77</v>
      </c>
      <c r="AR41" s="170">
        <v>125.02</v>
      </c>
      <c r="AS41" s="171">
        <v>1</v>
      </c>
      <c r="AT41" s="166">
        <v>1.157</v>
      </c>
      <c r="AU41" s="166">
        <v>1.157</v>
      </c>
      <c r="AV41" s="152"/>
      <c r="AW41" s="152"/>
      <c r="AX41" t="s">
        <v>72</v>
      </c>
      <c r="AY41" t="s">
        <v>16</v>
      </c>
      <c r="AZ41" s="45">
        <v>1.35816588185282E-4</v>
      </c>
      <c r="BA41" s="45">
        <v>2.6731239027762599E-6</v>
      </c>
    </row>
    <row r="42" spans="1:53" x14ac:dyDescent="0.25">
      <c r="A42" s="152">
        <v>1182</v>
      </c>
      <c r="B42" s="152">
        <v>1182</v>
      </c>
      <c r="C42" s="152">
        <v>513326439</v>
      </c>
      <c r="D42" s="152" t="s">
        <v>1721</v>
      </c>
      <c r="E42" s="152" t="s">
        <v>2249</v>
      </c>
      <c r="F42" s="152">
        <v>28944</v>
      </c>
      <c r="G42" s="152" t="s">
        <v>2165</v>
      </c>
      <c r="H42" s="152"/>
      <c r="I42" s="152" t="s">
        <v>71</v>
      </c>
      <c r="J42" s="152" t="s">
        <v>71</v>
      </c>
      <c r="K42" s="152" t="s">
        <v>234</v>
      </c>
      <c r="L42" s="152" t="s">
        <v>72</v>
      </c>
      <c r="M42" s="152" t="s">
        <v>373</v>
      </c>
      <c r="N42" s="152">
        <v>11898420</v>
      </c>
      <c r="O42" s="160" t="s">
        <v>2250</v>
      </c>
      <c r="P42" s="152" t="s">
        <v>228</v>
      </c>
      <c r="Q42" s="152" t="s">
        <v>219</v>
      </c>
      <c r="R42" s="152" t="s">
        <v>2168</v>
      </c>
      <c r="S42" s="152" t="s">
        <v>81</v>
      </c>
      <c r="T42" s="166">
        <v>3.01</v>
      </c>
      <c r="U42" s="152" t="s">
        <v>2184</v>
      </c>
      <c r="V42" s="161">
        <v>5.5E-2</v>
      </c>
      <c r="W42" s="152" t="s">
        <v>2169</v>
      </c>
      <c r="X42" s="152" t="s">
        <v>2170</v>
      </c>
      <c r="Y42" s="167">
        <v>5.5E-2</v>
      </c>
      <c r="Z42" s="168">
        <v>2.9399999999999999E-2</v>
      </c>
      <c r="AA42" s="152" t="s">
        <v>2188</v>
      </c>
      <c r="AB42" s="152" t="s">
        <v>222</v>
      </c>
      <c r="AC42" s="152" t="s">
        <v>1626</v>
      </c>
      <c r="AD42" s="169">
        <v>482000</v>
      </c>
      <c r="AE42" s="168">
        <v>0.73</v>
      </c>
      <c r="AF42" s="160" t="s">
        <v>1878</v>
      </c>
      <c r="AG42" s="152" t="s">
        <v>72</v>
      </c>
      <c r="AH42" s="152"/>
      <c r="AI42" s="152" t="s">
        <v>2182</v>
      </c>
      <c r="AJ42" s="152" t="s">
        <v>373</v>
      </c>
      <c r="AK42" s="152" t="s">
        <v>1454</v>
      </c>
      <c r="AL42" s="152" t="s">
        <v>2174</v>
      </c>
      <c r="AM42" s="152" t="s">
        <v>1671</v>
      </c>
      <c r="AN42" s="160" t="s">
        <v>1455</v>
      </c>
      <c r="AO42" s="160" t="s">
        <v>1878</v>
      </c>
      <c r="AP42" s="161">
        <v>0</v>
      </c>
      <c r="AQ42" s="162">
        <v>6221.63</v>
      </c>
      <c r="AR42" s="170">
        <v>125.27</v>
      </c>
      <c r="AS42" s="171">
        <v>1</v>
      </c>
      <c r="AT42" s="166">
        <v>7.7939999999999996</v>
      </c>
      <c r="AU42" s="166">
        <v>7.7939999999999996</v>
      </c>
      <c r="AV42" s="152"/>
      <c r="AW42" s="152"/>
      <c r="AX42" t="s">
        <v>72</v>
      </c>
      <c r="AY42" t="s">
        <v>16</v>
      </c>
      <c r="AZ42" s="45">
        <v>9.1457952873108702E-4</v>
      </c>
      <c r="BA42" s="45">
        <v>1.8000631821981301E-5</v>
      </c>
    </row>
    <row r="43" spans="1:53" x14ac:dyDescent="0.25">
      <c r="A43" s="152">
        <v>1182</v>
      </c>
      <c r="B43" s="152">
        <v>1182</v>
      </c>
      <c r="C43" s="152">
        <v>513326439</v>
      </c>
      <c r="D43" s="152" t="s">
        <v>1721</v>
      </c>
      <c r="E43" s="152" t="s">
        <v>2251</v>
      </c>
      <c r="F43" s="152">
        <v>28969</v>
      </c>
      <c r="G43" s="152" t="s">
        <v>2165</v>
      </c>
      <c r="H43" s="152"/>
      <c r="I43" s="152" t="s">
        <v>71</v>
      </c>
      <c r="J43" s="152" t="s">
        <v>71</v>
      </c>
      <c r="K43" s="152" t="s">
        <v>234</v>
      </c>
      <c r="L43" s="152" t="s">
        <v>72</v>
      </c>
      <c r="M43" s="152" t="s">
        <v>373</v>
      </c>
      <c r="N43" s="152">
        <v>11898421</v>
      </c>
      <c r="O43" s="160" t="s">
        <v>2252</v>
      </c>
      <c r="P43" s="152" t="s">
        <v>228</v>
      </c>
      <c r="Q43" s="152" t="s">
        <v>219</v>
      </c>
      <c r="R43" s="152" t="s">
        <v>2168</v>
      </c>
      <c r="S43" s="152" t="s">
        <v>81</v>
      </c>
      <c r="T43" s="166">
        <v>3.01</v>
      </c>
      <c r="U43" s="152" t="s">
        <v>2184</v>
      </c>
      <c r="V43" s="161">
        <v>5.5E-2</v>
      </c>
      <c r="W43" s="152" t="s">
        <v>2169</v>
      </c>
      <c r="X43" s="152" t="s">
        <v>2170</v>
      </c>
      <c r="Y43" s="167">
        <v>5.5E-2</v>
      </c>
      <c r="Z43" s="168">
        <v>2.9399999999999999E-2</v>
      </c>
      <c r="AA43" s="152" t="s">
        <v>2188</v>
      </c>
      <c r="AB43" s="152" t="s">
        <v>222</v>
      </c>
      <c r="AC43" s="152" t="s">
        <v>1626</v>
      </c>
      <c r="AD43" s="169">
        <v>482000</v>
      </c>
      <c r="AE43" s="168">
        <v>0.73</v>
      </c>
      <c r="AF43" s="160" t="s">
        <v>1878</v>
      </c>
      <c r="AG43" s="152" t="s">
        <v>72</v>
      </c>
      <c r="AH43" s="152"/>
      <c r="AI43" s="152" t="s">
        <v>2182</v>
      </c>
      <c r="AJ43" s="152" t="s">
        <v>373</v>
      </c>
      <c r="AK43" s="152" t="s">
        <v>1454</v>
      </c>
      <c r="AL43" s="152" t="s">
        <v>2174</v>
      </c>
      <c r="AM43" s="152" t="s">
        <v>1671</v>
      </c>
      <c r="AN43" s="160" t="s">
        <v>1455</v>
      </c>
      <c r="AO43" s="160" t="s">
        <v>1878</v>
      </c>
      <c r="AP43" s="161">
        <v>0</v>
      </c>
      <c r="AQ43" s="162">
        <v>12153.33</v>
      </c>
      <c r="AR43" s="170">
        <v>126.4</v>
      </c>
      <c r="AS43" s="171">
        <v>1</v>
      </c>
      <c r="AT43" s="166">
        <v>15.362</v>
      </c>
      <c r="AU43" s="166">
        <v>15.362</v>
      </c>
      <c r="AV43" s="152"/>
      <c r="AW43" s="152"/>
      <c r="AX43" t="s">
        <v>72</v>
      </c>
      <c r="AY43" t="s">
        <v>16</v>
      </c>
      <c r="AZ43" s="45">
        <v>1.80265485749114E-3</v>
      </c>
      <c r="BA43" s="45">
        <v>3.5479611529054002E-5</v>
      </c>
    </row>
    <row r="44" spans="1:53" x14ac:dyDescent="0.25">
      <c r="A44" s="152">
        <v>1182</v>
      </c>
      <c r="B44" s="152">
        <v>1182</v>
      </c>
      <c r="C44" s="152">
        <v>513326439</v>
      </c>
      <c r="D44" s="152" t="s">
        <v>1721</v>
      </c>
      <c r="E44" s="152" t="s">
        <v>2253</v>
      </c>
      <c r="F44" s="152">
        <v>33233</v>
      </c>
      <c r="G44" s="152" t="s">
        <v>2165</v>
      </c>
      <c r="H44" s="152"/>
      <c r="I44" s="152" t="s">
        <v>71</v>
      </c>
      <c r="J44" s="152" t="s">
        <v>71</v>
      </c>
      <c r="K44" s="152" t="s">
        <v>234</v>
      </c>
      <c r="L44" s="152" t="s">
        <v>72</v>
      </c>
      <c r="M44" s="152" t="s">
        <v>373</v>
      </c>
      <c r="N44" s="152">
        <v>11896150</v>
      </c>
      <c r="O44" s="160" t="s">
        <v>2225</v>
      </c>
      <c r="P44" s="152" t="s">
        <v>228</v>
      </c>
      <c r="Q44" s="152" t="s">
        <v>219</v>
      </c>
      <c r="R44" s="152" t="s">
        <v>2168</v>
      </c>
      <c r="S44" s="152" t="s">
        <v>81</v>
      </c>
      <c r="T44" s="166">
        <v>3.01</v>
      </c>
      <c r="U44" s="152" t="s">
        <v>286</v>
      </c>
      <c r="V44" s="161">
        <v>5.5500000000000001E-2</v>
      </c>
      <c r="W44" s="152" t="s">
        <v>2169</v>
      </c>
      <c r="X44" s="152" t="s">
        <v>2120</v>
      </c>
      <c r="Y44" s="167">
        <v>0</v>
      </c>
      <c r="Z44" s="168">
        <v>2.9399999999999999E-2</v>
      </c>
      <c r="AA44" s="152" t="s">
        <v>2188</v>
      </c>
      <c r="AB44" s="152" t="s">
        <v>222</v>
      </c>
      <c r="AC44" s="152" t="s">
        <v>1626</v>
      </c>
      <c r="AD44" s="169">
        <v>482000</v>
      </c>
      <c r="AE44" s="168">
        <v>0.73</v>
      </c>
      <c r="AF44" s="160" t="s">
        <v>1878</v>
      </c>
      <c r="AG44" s="152" t="s">
        <v>72</v>
      </c>
      <c r="AH44" s="152"/>
      <c r="AI44" s="152" t="s">
        <v>2182</v>
      </c>
      <c r="AJ44" s="152" t="s">
        <v>373</v>
      </c>
      <c r="AK44" s="152" t="s">
        <v>1454</v>
      </c>
      <c r="AL44" s="152" t="s">
        <v>2174</v>
      </c>
      <c r="AM44" s="152" t="s">
        <v>1671</v>
      </c>
      <c r="AN44" s="160" t="s">
        <v>1455</v>
      </c>
      <c r="AO44" s="160" t="s">
        <v>1878</v>
      </c>
      <c r="AP44" s="161">
        <v>0</v>
      </c>
      <c r="AQ44" s="162">
        <v>8961.2000000000007</v>
      </c>
      <c r="AR44" s="170">
        <v>129.56</v>
      </c>
      <c r="AS44" s="171">
        <v>1</v>
      </c>
      <c r="AT44" s="166">
        <v>11.61</v>
      </c>
      <c r="AU44" s="166">
        <v>11.61</v>
      </c>
      <c r="AV44" s="152"/>
      <c r="AW44" s="152"/>
      <c r="AX44" t="s">
        <v>72</v>
      </c>
      <c r="AY44" t="s">
        <v>16</v>
      </c>
      <c r="AZ44" s="45">
        <v>1.3624084490977701E-3</v>
      </c>
      <c r="BA44" s="45">
        <v>2.6814740668196501E-5</v>
      </c>
    </row>
    <row r="45" spans="1:53" x14ac:dyDescent="0.25">
      <c r="A45" s="152">
        <v>1182</v>
      </c>
      <c r="B45" s="152">
        <v>1182</v>
      </c>
      <c r="C45" s="152">
        <v>513326439</v>
      </c>
      <c r="D45" s="152" t="s">
        <v>1721</v>
      </c>
      <c r="E45" s="152" t="s">
        <v>2254</v>
      </c>
      <c r="F45" s="152">
        <v>24760</v>
      </c>
      <c r="G45" s="152" t="s">
        <v>2165</v>
      </c>
      <c r="H45" s="152"/>
      <c r="I45" s="152" t="s">
        <v>71</v>
      </c>
      <c r="J45" s="152" t="s">
        <v>71</v>
      </c>
      <c r="K45" s="152" t="s">
        <v>234</v>
      </c>
      <c r="L45" s="152" t="s">
        <v>72</v>
      </c>
      <c r="M45" s="152" t="s">
        <v>373</v>
      </c>
      <c r="N45" s="152">
        <v>11896160</v>
      </c>
      <c r="O45" s="160" t="s">
        <v>2255</v>
      </c>
      <c r="P45" s="152" t="s">
        <v>228</v>
      </c>
      <c r="Q45" s="152" t="s">
        <v>219</v>
      </c>
      <c r="R45" s="152" t="s">
        <v>2168</v>
      </c>
      <c r="S45" s="152" t="s">
        <v>81</v>
      </c>
      <c r="T45" s="166">
        <v>3.01</v>
      </c>
      <c r="U45" s="152" t="s">
        <v>2184</v>
      </c>
      <c r="V45" s="161">
        <v>5.5E-2</v>
      </c>
      <c r="W45" s="152" t="s">
        <v>2169</v>
      </c>
      <c r="X45" s="152" t="s">
        <v>2170</v>
      </c>
      <c r="Y45" s="167">
        <v>5.5E-2</v>
      </c>
      <c r="Z45" s="168">
        <v>2.9399999999999999E-2</v>
      </c>
      <c r="AA45" s="152" t="s">
        <v>2181</v>
      </c>
      <c r="AB45" s="152" t="s">
        <v>222</v>
      </c>
      <c r="AC45" s="152" t="s">
        <v>1626</v>
      </c>
      <c r="AD45" s="169">
        <v>203777.768205128</v>
      </c>
      <c r="AE45" s="168">
        <v>0.73</v>
      </c>
      <c r="AF45" s="160" t="s">
        <v>1878</v>
      </c>
      <c r="AG45" s="152" t="s">
        <v>72</v>
      </c>
      <c r="AH45" s="152"/>
      <c r="AI45" s="152" t="s">
        <v>2182</v>
      </c>
      <c r="AJ45" s="152" t="s">
        <v>373</v>
      </c>
      <c r="AK45" s="152" t="s">
        <v>1454</v>
      </c>
      <c r="AL45" s="152" t="s">
        <v>2174</v>
      </c>
      <c r="AM45" s="152" t="s">
        <v>1671</v>
      </c>
      <c r="AN45" s="160" t="s">
        <v>1455</v>
      </c>
      <c r="AO45" s="160" t="s">
        <v>1878</v>
      </c>
      <c r="AP45" s="161">
        <v>0</v>
      </c>
      <c r="AQ45" s="162">
        <v>3932.87</v>
      </c>
      <c r="AR45" s="170">
        <v>127.77</v>
      </c>
      <c r="AS45" s="171">
        <v>1</v>
      </c>
      <c r="AT45" s="166">
        <v>5.0250000000000004</v>
      </c>
      <c r="AU45" s="166">
        <v>5.0250000000000004</v>
      </c>
      <c r="AV45" s="152"/>
      <c r="AW45" s="152"/>
      <c r="AX45" t="s">
        <v>72</v>
      </c>
      <c r="AY45" t="s">
        <v>16</v>
      </c>
      <c r="AZ45" s="45">
        <v>5.8966955393508695E-4</v>
      </c>
      <c r="BA45" s="45">
        <v>1.16057972036004E-5</v>
      </c>
    </row>
    <row r="46" spans="1:53" x14ac:dyDescent="0.25">
      <c r="A46" s="152">
        <v>1182</v>
      </c>
      <c r="B46" s="152">
        <v>1182</v>
      </c>
      <c r="C46" s="152">
        <v>513326439</v>
      </c>
      <c r="D46" s="152" t="s">
        <v>1721</v>
      </c>
      <c r="E46" s="152" t="s">
        <v>2256</v>
      </c>
      <c r="F46" s="152">
        <v>24810</v>
      </c>
      <c r="G46" s="152" t="s">
        <v>2165</v>
      </c>
      <c r="H46" s="152"/>
      <c r="I46" s="152" t="s">
        <v>71</v>
      </c>
      <c r="J46" s="152" t="s">
        <v>71</v>
      </c>
      <c r="K46" s="152" t="s">
        <v>234</v>
      </c>
      <c r="L46" s="152" t="s">
        <v>72</v>
      </c>
      <c r="M46" s="152" t="s">
        <v>373</v>
      </c>
      <c r="N46" s="152">
        <v>11898180</v>
      </c>
      <c r="O46" s="160" t="s">
        <v>2257</v>
      </c>
      <c r="P46" s="152" t="s">
        <v>228</v>
      </c>
      <c r="Q46" s="152" t="s">
        <v>219</v>
      </c>
      <c r="R46" s="152" t="s">
        <v>2168</v>
      </c>
      <c r="S46" s="152" t="s">
        <v>81</v>
      </c>
      <c r="T46" s="166">
        <v>3.01</v>
      </c>
      <c r="U46" s="152" t="s">
        <v>2184</v>
      </c>
      <c r="V46" s="161">
        <v>5.5E-2</v>
      </c>
      <c r="W46" s="152" t="s">
        <v>2169</v>
      </c>
      <c r="X46" s="152" t="s">
        <v>2170</v>
      </c>
      <c r="Y46" s="167">
        <v>5.5E-2</v>
      </c>
      <c r="Z46" s="168">
        <v>2.9399999999999999E-2</v>
      </c>
      <c r="AA46" s="152" t="s">
        <v>2181</v>
      </c>
      <c r="AB46" s="152" t="s">
        <v>222</v>
      </c>
      <c r="AC46" s="152" t="s">
        <v>1626</v>
      </c>
      <c r="AD46" s="169">
        <v>482000</v>
      </c>
      <c r="AE46" s="168">
        <v>0.73</v>
      </c>
      <c r="AF46" s="160" t="s">
        <v>1878</v>
      </c>
      <c r="AG46" s="152" t="s">
        <v>72</v>
      </c>
      <c r="AH46" s="152"/>
      <c r="AI46" s="152" t="s">
        <v>2182</v>
      </c>
      <c r="AJ46" s="152" t="s">
        <v>373</v>
      </c>
      <c r="AK46" s="152" t="s">
        <v>1454</v>
      </c>
      <c r="AL46" s="152" t="s">
        <v>2174</v>
      </c>
      <c r="AM46" s="152" t="s">
        <v>1671</v>
      </c>
      <c r="AN46" s="160" t="s">
        <v>1455</v>
      </c>
      <c r="AO46" s="160" t="s">
        <v>1878</v>
      </c>
      <c r="AP46" s="161">
        <v>0</v>
      </c>
      <c r="AQ46" s="162">
        <v>3671.41</v>
      </c>
      <c r="AR46" s="170">
        <v>128.13</v>
      </c>
      <c r="AS46" s="171">
        <v>1</v>
      </c>
      <c r="AT46" s="166">
        <v>4.7039999999999997</v>
      </c>
      <c r="AU46" s="166">
        <v>4.7039999999999997</v>
      </c>
      <c r="AV46" s="152"/>
      <c r="AW46" s="152"/>
      <c r="AX46" t="s">
        <v>72</v>
      </c>
      <c r="AY46" t="s">
        <v>16</v>
      </c>
      <c r="AZ46" s="45">
        <v>5.5201887970266904E-4</v>
      </c>
      <c r="BA46" s="45">
        <v>1.08647616747958E-5</v>
      </c>
    </row>
    <row r="47" spans="1:53" x14ac:dyDescent="0.25">
      <c r="A47" s="152">
        <v>1182</v>
      </c>
      <c r="B47" s="152">
        <v>1182</v>
      </c>
      <c r="C47" s="152">
        <v>513326439</v>
      </c>
      <c r="D47" s="152" t="s">
        <v>1721</v>
      </c>
      <c r="E47" s="152" t="s">
        <v>2258</v>
      </c>
      <c r="F47" s="152">
        <v>34330</v>
      </c>
      <c r="G47" s="152" t="s">
        <v>2165</v>
      </c>
      <c r="H47" s="152"/>
      <c r="I47" s="152" t="s">
        <v>71</v>
      </c>
      <c r="J47" s="152" t="s">
        <v>71</v>
      </c>
      <c r="K47" s="152" t="s">
        <v>234</v>
      </c>
      <c r="L47" s="152" t="s">
        <v>72</v>
      </c>
      <c r="M47" s="152" t="s">
        <v>373</v>
      </c>
      <c r="N47" s="152">
        <v>11898190</v>
      </c>
      <c r="O47" s="160" t="s">
        <v>2225</v>
      </c>
      <c r="P47" s="152" t="s">
        <v>228</v>
      </c>
      <c r="Q47" s="152" t="s">
        <v>219</v>
      </c>
      <c r="R47" s="152" t="s">
        <v>2168</v>
      </c>
      <c r="S47" s="152" t="s">
        <v>81</v>
      </c>
      <c r="T47" s="166">
        <v>3.01</v>
      </c>
      <c r="U47" s="152" t="s">
        <v>286</v>
      </c>
      <c r="V47" s="161">
        <v>5.5E-2</v>
      </c>
      <c r="W47" s="152" t="s">
        <v>2169</v>
      </c>
      <c r="X47" s="152" t="s">
        <v>2120</v>
      </c>
      <c r="Y47" s="167">
        <v>0</v>
      </c>
      <c r="Z47" s="168">
        <v>2.9399999999999999E-2</v>
      </c>
      <c r="AA47" s="152" t="s">
        <v>2188</v>
      </c>
      <c r="AB47" s="152" t="s">
        <v>222</v>
      </c>
      <c r="AC47" s="152" t="s">
        <v>1626</v>
      </c>
      <c r="AD47" s="169">
        <v>482000</v>
      </c>
      <c r="AE47" s="168">
        <v>0.73</v>
      </c>
      <c r="AF47" s="160" t="s">
        <v>1878</v>
      </c>
      <c r="AG47" s="152" t="s">
        <v>72</v>
      </c>
      <c r="AH47" s="152"/>
      <c r="AI47" s="152" t="s">
        <v>2182</v>
      </c>
      <c r="AJ47" s="152" t="s">
        <v>373</v>
      </c>
      <c r="AK47" s="152" t="s">
        <v>1454</v>
      </c>
      <c r="AL47" s="152" t="s">
        <v>2174</v>
      </c>
      <c r="AM47" s="152" t="s">
        <v>1671</v>
      </c>
      <c r="AN47" s="160" t="s">
        <v>1455</v>
      </c>
      <c r="AO47" s="160" t="s">
        <v>1878</v>
      </c>
      <c r="AP47" s="161">
        <v>0</v>
      </c>
      <c r="AQ47" s="162">
        <v>4700.04</v>
      </c>
      <c r="AR47" s="170">
        <v>126.69</v>
      </c>
      <c r="AS47" s="171">
        <v>1</v>
      </c>
      <c r="AT47" s="166">
        <v>5.9539999999999997</v>
      </c>
      <c r="AU47" s="166">
        <v>5.9539999999999997</v>
      </c>
      <c r="AV47" s="152"/>
      <c r="AW47" s="152"/>
      <c r="AX47" t="s">
        <v>72</v>
      </c>
      <c r="AY47" t="s">
        <v>16</v>
      </c>
      <c r="AZ47" s="45">
        <v>6.9873759207525802E-4</v>
      </c>
      <c r="BA47" s="45">
        <v>1.3752459726028601E-5</v>
      </c>
    </row>
    <row r="48" spans="1:53" x14ac:dyDescent="0.25">
      <c r="A48" s="152">
        <v>1182</v>
      </c>
      <c r="B48" s="152">
        <v>1182</v>
      </c>
      <c r="C48" s="152">
        <v>513184192</v>
      </c>
      <c r="D48" s="152" t="s">
        <v>1721</v>
      </c>
      <c r="E48" s="152" t="s">
        <v>2259</v>
      </c>
      <c r="F48" s="152">
        <v>44446</v>
      </c>
      <c r="G48" s="152" t="s">
        <v>2165</v>
      </c>
      <c r="H48" s="152"/>
      <c r="I48" s="152" t="s">
        <v>71</v>
      </c>
      <c r="J48" s="152" t="s">
        <v>71</v>
      </c>
      <c r="K48" s="152" t="s">
        <v>1626</v>
      </c>
      <c r="L48" s="152" t="s">
        <v>72</v>
      </c>
      <c r="M48" s="152" t="s">
        <v>373</v>
      </c>
      <c r="N48" s="152">
        <v>99999987</v>
      </c>
      <c r="O48" s="160" t="s">
        <v>2260</v>
      </c>
      <c r="P48" s="152" t="s">
        <v>228</v>
      </c>
      <c r="Q48" s="152" t="s">
        <v>219</v>
      </c>
      <c r="R48" s="152" t="s">
        <v>2168</v>
      </c>
      <c r="S48" s="152" t="s">
        <v>81</v>
      </c>
      <c r="T48" s="166">
        <v>1.68</v>
      </c>
      <c r="U48" s="152" t="s">
        <v>2184</v>
      </c>
      <c r="V48" s="161">
        <v>2.562E-2</v>
      </c>
      <c r="W48" s="152" t="s">
        <v>2169</v>
      </c>
      <c r="X48" s="152" t="s">
        <v>2170</v>
      </c>
      <c r="Y48" s="167">
        <v>2.562E-2</v>
      </c>
      <c r="Z48" s="168">
        <v>2.7900000000000001E-2</v>
      </c>
      <c r="AA48" s="152" t="s">
        <v>561</v>
      </c>
      <c r="AB48" s="152" t="s">
        <v>222</v>
      </c>
      <c r="AC48" s="152" t="s">
        <v>1626</v>
      </c>
      <c r="AD48" s="169">
        <v>60116.983060975603</v>
      </c>
      <c r="AE48" s="168">
        <v>0.82</v>
      </c>
      <c r="AF48" s="160" t="s">
        <v>1878</v>
      </c>
      <c r="AG48" s="152" t="s">
        <v>72</v>
      </c>
      <c r="AH48" s="152"/>
      <c r="AI48" s="152" t="s">
        <v>2261</v>
      </c>
      <c r="AJ48" s="152" t="s">
        <v>373</v>
      </c>
      <c r="AK48" s="152" t="s">
        <v>1454</v>
      </c>
      <c r="AL48" s="152" t="s">
        <v>2174</v>
      </c>
      <c r="AM48" s="152" t="s">
        <v>1671</v>
      </c>
      <c r="AN48" s="160" t="s">
        <v>1455</v>
      </c>
      <c r="AO48" s="160" t="s">
        <v>1878</v>
      </c>
      <c r="AP48" s="161">
        <v>0</v>
      </c>
      <c r="AQ48" s="162">
        <v>139898.92000000001</v>
      </c>
      <c r="AR48" s="170">
        <v>115.65</v>
      </c>
      <c r="AS48" s="171">
        <v>1</v>
      </c>
      <c r="AT48" s="166">
        <v>161.79300000000001</v>
      </c>
      <c r="AU48" s="166">
        <v>161.79300000000001</v>
      </c>
      <c r="AV48" s="152"/>
      <c r="AW48" s="152"/>
      <c r="AX48" t="s">
        <v>72</v>
      </c>
      <c r="AY48" t="s">
        <v>16</v>
      </c>
      <c r="AZ48" s="45">
        <v>1.8985857532263901E-2</v>
      </c>
      <c r="BA48" s="45">
        <v>3.7367710573736103E-4</v>
      </c>
    </row>
    <row r="49" spans="1:53" x14ac:dyDescent="0.25">
      <c r="A49" s="152">
        <v>1182</v>
      </c>
      <c r="B49" s="152">
        <v>1182</v>
      </c>
      <c r="C49" s="152">
        <v>512764408</v>
      </c>
      <c r="D49" s="152" t="s">
        <v>1721</v>
      </c>
      <c r="E49" s="152" t="s">
        <v>2262</v>
      </c>
      <c r="F49" s="152">
        <v>50007848</v>
      </c>
      <c r="G49" s="152" t="s">
        <v>2165</v>
      </c>
      <c r="H49" s="152" t="s">
        <v>2166</v>
      </c>
      <c r="I49" s="152" t="s">
        <v>71</v>
      </c>
      <c r="J49" s="152" t="s">
        <v>71</v>
      </c>
      <c r="K49" s="152" t="s">
        <v>498</v>
      </c>
      <c r="L49" s="152" t="s">
        <v>72</v>
      </c>
      <c r="M49" s="152" t="s">
        <v>373</v>
      </c>
      <c r="N49" s="152" t="s">
        <v>2263</v>
      </c>
      <c r="O49" s="160" t="s">
        <v>2264</v>
      </c>
      <c r="P49" s="152" t="s">
        <v>2174</v>
      </c>
      <c r="Q49" s="152" t="s">
        <v>528</v>
      </c>
      <c r="R49" s="152" t="s">
        <v>2168</v>
      </c>
      <c r="S49" s="152" t="s">
        <v>81</v>
      </c>
      <c r="T49" s="166">
        <v>0.53</v>
      </c>
      <c r="U49" s="152" t="s">
        <v>2184</v>
      </c>
      <c r="V49" s="161">
        <v>0.1065</v>
      </c>
      <c r="W49" s="152" t="s">
        <v>2169</v>
      </c>
      <c r="X49" s="152" t="s">
        <v>2120</v>
      </c>
      <c r="Y49" s="167">
        <v>0</v>
      </c>
      <c r="Z49" s="168">
        <v>8.1600000000000006E-2</v>
      </c>
      <c r="AA49" s="152" t="s">
        <v>2265</v>
      </c>
      <c r="AB49" s="152" t="s">
        <v>222</v>
      </c>
      <c r="AC49" s="152" t="s">
        <v>2266</v>
      </c>
      <c r="AD49" s="169">
        <v>129890.463205882</v>
      </c>
      <c r="AE49" s="168">
        <v>0.34</v>
      </c>
      <c r="AF49" s="160" t="s">
        <v>1878</v>
      </c>
      <c r="AG49" s="152" t="s">
        <v>373</v>
      </c>
      <c r="AH49" s="152" t="s">
        <v>2267</v>
      </c>
      <c r="AI49" s="152" t="s">
        <v>2268</v>
      </c>
      <c r="AJ49" s="152" t="s">
        <v>373</v>
      </c>
      <c r="AK49" s="152" t="s">
        <v>1454</v>
      </c>
      <c r="AL49" s="152" t="s">
        <v>2174</v>
      </c>
      <c r="AM49" s="152" t="s">
        <v>1671</v>
      </c>
      <c r="AN49" s="160" t="s">
        <v>1455</v>
      </c>
      <c r="AO49" s="160" t="s">
        <v>1878</v>
      </c>
      <c r="AP49" s="161">
        <v>0</v>
      </c>
      <c r="AQ49" s="162">
        <v>99842</v>
      </c>
      <c r="AR49" s="170">
        <v>102.38</v>
      </c>
      <c r="AS49" s="171">
        <v>1</v>
      </c>
      <c r="AT49" s="166">
        <v>102.218</v>
      </c>
      <c r="AU49" s="166">
        <v>102.218</v>
      </c>
      <c r="AV49" s="152"/>
      <c r="AW49" s="152"/>
      <c r="AX49" t="s">
        <v>72</v>
      </c>
      <c r="AY49" t="s">
        <v>16</v>
      </c>
      <c r="AZ49" s="45">
        <v>1.1994954806412401E-2</v>
      </c>
      <c r="BA49" s="45">
        <v>2.36083094371359E-4</v>
      </c>
    </row>
    <row r="50" spans="1:53" x14ac:dyDescent="0.25">
      <c r="A50" s="152">
        <v>1182</v>
      </c>
      <c r="B50" s="152">
        <v>1182</v>
      </c>
      <c r="C50" s="152">
        <v>516705795</v>
      </c>
      <c r="D50" s="152" t="s">
        <v>1721</v>
      </c>
      <c r="E50" s="152" t="s">
        <v>2269</v>
      </c>
      <c r="F50" s="152">
        <v>50007798</v>
      </c>
      <c r="G50" s="152" t="s">
        <v>2165</v>
      </c>
      <c r="H50" s="152" t="s">
        <v>2270</v>
      </c>
      <c r="I50" s="152" t="s">
        <v>71</v>
      </c>
      <c r="J50" s="152" t="s">
        <v>71</v>
      </c>
      <c r="K50" s="152" t="s">
        <v>515</v>
      </c>
      <c r="L50" s="152" t="s">
        <v>72</v>
      </c>
      <c r="M50" s="152" t="s">
        <v>373</v>
      </c>
      <c r="N50" s="152">
        <v>90552313</v>
      </c>
      <c r="O50" s="160" t="s">
        <v>2167</v>
      </c>
      <c r="P50" s="152" t="s">
        <v>2271</v>
      </c>
      <c r="Q50" s="152" t="s">
        <v>219</v>
      </c>
      <c r="R50" s="152" t="s">
        <v>2168</v>
      </c>
      <c r="S50" s="152" t="s">
        <v>81</v>
      </c>
      <c r="T50" s="166">
        <v>0.08</v>
      </c>
      <c r="U50" s="152" t="s">
        <v>2184</v>
      </c>
      <c r="V50" s="161">
        <v>0.08</v>
      </c>
      <c r="W50" s="152" t="s">
        <v>2169</v>
      </c>
      <c r="X50" s="152" t="s">
        <v>2120</v>
      </c>
      <c r="Y50" s="167">
        <v>0</v>
      </c>
      <c r="Z50" s="168">
        <v>8.0399999999999999E-2</v>
      </c>
      <c r="AA50" s="152" t="s">
        <v>2272</v>
      </c>
      <c r="AB50" s="152" t="s">
        <v>222</v>
      </c>
      <c r="AC50" s="152" t="s">
        <v>2171</v>
      </c>
      <c r="AD50" s="169">
        <v>782791</v>
      </c>
      <c r="AE50" s="168">
        <v>0.43</v>
      </c>
      <c r="AF50" s="160" t="s">
        <v>1878</v>
      </c>
      <c r="AG50" s="152" t="s">
        <v>373</v>
      </c>
      <c r="AH50" s="152" t="s">
        <v>2172</v>
      </c>
      <c r="AI50" s="152" t="s">
        <v>2273</v>
      </c>
      <c r="AJ50" s="152" t="s">
        <v>373</v>
      </c>
      <c r="AK50" s="152" t="s">
        <v>1454</v>
      </c>
      <c r="AL50" s="152" t="s">
        <v>2174</v>
      </c>
      <c r="AM50" s="152" t="s">
        <v>1671</v>
      </c>
      <c r="AN50" s="160" t="s">
        <v>1455</v>
      </c>
      <c r="AO50" s="160" t="s">
        <v>1878</v>
      </c>
      <c r="AP50" s="161">
        <v>0</v>
      </c>
      <c r="AQ50" s="162">
        <v>485000</v>
      </c>
      <c r="AR50" s="170">
        <v>101.91</v>
      </c>
      <c r="AS50" s="171">
        <v>1</v>
      </c>
      <c r="AT50" s="166">
        <v>494.26400000000001</v>
      </c>
      <c r="AU50" s="166">
        <v>494.26400000000001</v>
      </c>
      <c r="AV50" s="152"/>
      <c r="AW50" s="152"/>
      <c r="AX50" t="s">
        <v>72</v>
      </c>
      <c r="AY50" t="s">
        <v>16</v>
      </c>
      <c r="AZ50" s="45">
        <v>5.8000102214235398E-2</v>
      </c>
      <c r="BA50" s="45">
        <v>1.14155024554755E-3</v>
      </c>
    </row>
    <row r="51" spans="1:53" x14ac:dyDescent="0.25">
      <c r="A51" s="152">
        <v>1182</v>
      </c>
      <c r="B51" s="152">
        <v>1182</v>
      </c>
      <c r="C51" s="152">
        <v>516432044</v>
      </c>
      <c r="D51" s="152" t="s">
        <v>1721</v>
      </c>
      <c r="E51" s="152" t="s">
        <v>2274</v>
      </c>
      <c r="F51" s="152">
        <v>50007319</v>
      </c>
      <c r="G51" s="152" t="s">
        <v>2165</v>
      </c>
      <c r="H51" s="152"/>
      <c r="I51" s="152" t="s">
        <v>71</v>
      </c>
      <c r="J51" s="152" t="s">
        <v>71</v>
      </c>
      <c r="K51" s="152" t="s">
        <v>498</v>
      </c>
      <c r="L51" s="152" t="s">
        <v>72</v>
      </c>
      <c r="M51" s="152" t="s">
        <v>373</v>
      </c>
      <c r="N51" s="152">
        <v>93100002</v>
      </c>
      <c r="O51" s="160" t="s">
        <v>1447</v>
      </c>
      <c r="P51" s="152" t="s">
        <v>527</v>
      </c>
      <c r="Q51" s="152" t="s">
        <v>528</v>
      </c>
      <c r="R51" s="152" t="s">
        <v>2168</v>
      </c>
      <c r="S51" s="152" t="s">
        <v>81</v>
      </c>
      <c r="T51" s="166">
        <v>0.17</v>
      </c>
      <c r="U51" s="152" t="s">
        <v>2184</v>
      </c>
      <c r="V51" s="161">
        <v>1.7999999999999999E-2</v>
      </c>
      <c r="W51" s="152" t="s">
        <v>2169</v>
      </c>
      <c r="X51" s="152" t="s">
        <v>2275</v>
      </c>
      <c r="Y51" s="167">
        <v>1.7999999999999999E-2</v>
      </c>
      <c r="Z51" s="168">
        <v>4.8099999999999997E-2</v>
      </c>
      <c r="AA51" s="152" t="s">
        <v>2276</v>
      </c>
      <c r="AB51" s="152" t="s">
        <v>222</v>
      </c>
      <c r="AC51" s="152"/>
      <c r="AD51" s="152"/>
      <c r="AE51" s="168">
        <v>0</v>
      </c>
      <c r="AF51" s="152"/>
      <c r="AG51" s="152" t="s">
        <v>72</v>
      </c>
      <c r="AH51" s="152"/>
      <c r="AI51" s="152"/>
      <c r="AJ51" s="152" t="s">
        <v>72</v>
      </c>
      <c r="AK51" s="152" t="s">
        <v>286</v>
      </c>
      <c r="AL51" s="152"/>
      <c r="AM51" s="152" t="s">
        <v>1671</v>
      </c>
      <c r="AN51" s="160" t="s">
        <v>1455</v>
      </c>
      <c r="AO51" s="152"/>
      <c r="AP51" s="161">
        <v>0</v>
      </c>
      <c r="AQ51" s="162">
        <v>125577.47</v>
      </c>
      <c r="AR51" s="170">
        <v>99.89</v>
      </c>
      <c r="AS51" s="171">
        <v>1</v>
      </c>
      <c r="AT51" s="166">
        <v>125.43899999999999</v>
      </c>
      <c r="AU51" s="166">
        <v>125.43899999999999</v>
      </c>
      <c r="AV51" s="152"/>
      <c r="AW51" s="152"/>
      <c r="AX51" t="s">
        <v>72</v>
      </c>
      <c r="AY51" t="s">
        <v>16</v>
      </c>
      <c r="AZ51" s="45">
        <v>1.47198695414484E-2</v>
      </c>
      <c r="BA51" s="45">
        <v>2.8971450131934601E-4</v>
      </c>
    </row>
    <row r="52" spans="1:53" x14ac:dyDescent="0.25">
      <c r="A52" s="152">
        <v>1182</v>
      </c>
      <c r="B52" s="152">
        <v>1182</v>
      </c>
      <c r="C52" s="152">
        <v>516432044</v>
      </c>
      <c r="D52" s="152" t="s">
        <v>1721</v>
      </c>
      <c r="E52" s="152" t="s">
        <v>2277</v>
      </c>
      <c r="F52" s="152">
        <v>50007327</v>
      </c>
      <c r="G52" s="152" t="s">
        <v>2165</v>
      </c>
      <c r="H52" s="152"/>
      <c r="I52" s="152" t="s">
        <v>71</v>
      </c>
      <c r="J52" s="152" t="s">
        <v>71</v>
      </c>
      <c r="K52" s="152" t="s">
        <v>498</v>
      </c>
      <c r="L52" s="152" t="s">
        <v>72</v>
      </c>
      <c r="M52" s="152" t="s">
        <v>373</v>
      </c>
      <c r="N52" s="152">
        <v>93100003</v>
      </c>
      <c r="O52" s="160" t="s">
        <v>1447</v>
      </c>
      <c r="P52" s="152" t="s">
        <v>527</v>
      </c>
      <c r="Q52" s="152" t="s">
        <v>528</v>
      </c>
      <c r="R52" s="152" t="s">
        <v>2168</v>
      </c>
      <c r="S52" s="152" t="s">
        <v>81</v>
      </c>
      <c r="T52" s="166">
        <v>0.66</v>
      </c>
      <c r="U52" s="152" t="s">
        <v>2184</v>
      </c>
      <c r="V52" s="161">
        <v>2.8000000000000001E-2</v>
      </c>
      <c r="W52" s="152" t="s">
        <v>2169</v>
      </c>
      <c r="X52" s="152" t="s">
        <v>2275</v>
      </c>
      <c r="Y52" s="167">
        <v>2.8000000000000001E-2</v>
      </c>
      <c r="Z52" s="168">
        <v>5.3499999999999999E-2</v>
      </c>
      <c r="AA52" s="152" t="s">
        <v>2278</v>
      </c>
      <c r="AB52" s="152" t="s">
        <v>222</v>
      </c>
      <c r="AC52" s="152"/>
      <c r="AD52" s="152"/>
      <c r="AE52" s="168">
        <v>0</v>
      </c>
      <c r="AF52" s="152"/>
      <c r="AG52" s="152" t="s">
        <v>72</v>
      </c>
      <c r="AH52" s="152"/>
      <c r="AI52" s="152"/>
      <c r="AJ52" s="152" t="s">
        <v>72</v>
      </c>
      <c r="AK52" s="152" t="s">
        <v>286</v>
      </c>
      <c r="AL52" s="152"/>
      <c r="AM52" s="152" t="s">
        <v>1671</v>
      </c>
      <c r="AN52" s="160" t="s">
        <v>1455</v>
      </c>
      <c r="AO52" s="152"/>
      <c r="AP52" s="161">
        <v>0</v>
      </c>
      <c r="AQ52" s="162">
        <v>250000</v>
      </c>
      <c r="AR52" s="170">
        <v>98.98</v>
      </c>
      <c r="AS52" s="171">
        <v>1</v>
      </c>
      <c r="AT52" s="166">
        <v>247.45</v>
      </c>
      <c r="AU52" s="166">
        <v>247.45</v>
      </c>
      <c r="AV52" s="152"/>
      <c r="AW52" s="152"/>
      <c r="AX52" t="s">
        <v>72</v>
      </c>
      <c r="AY52" t="s">
        <v>16</v>
      </c>
      <c r="AZ52" s="45">
        <v>2.9037396637446498E-2</v>
      </c>
      <c r="BA52" s="45">
        <v>5.7151015250112697E-4</v>
      </c>
    </row>
    <row r="53" spans="1:53" x14ac:dyDescent="0.25">
      <c r="A53" s="152">
        <v>1182</v>
      </c>
      <c r="B53" s="152">
        <v>1182</v>
      </c>
      <c r="C53" s="152">
        <v>513926857</v>
      </c>
      <c r="D53" s="152" t="s">
        <v>1721</v>
      </c>
      <c r="E53" s="152" t="s">
        <v>2279</v>
      </c>
      <c r="F53" s="152">
        <v>50003409</v>
      </c>
      <c r="G53" s="152" t="s">
        <v>2165</v>
      </c>
      <c r="H53" s="152"/>
      <c r="I53" s="152" t="s">
        <v>71</v>
      </c>
      <c r="J53" s="152" t="s">
        <v>71</v>
      </c>
      <c r="K53" s="152" t="s">
        <v>234</v>
      </c>
      <c r="L53" s="152" t="s">
        <v>72</v>
      </c>
      <c r="M53" s="152" t="s">
        <v>373</v>
      </c>
      <c r="N53" s="152">
        <v>84666735</v>
      </c>
      <c r="O53" s="160" t="s">
        <v>2176</v>
      </c>
      <c r="P53" s="152" t="s">
        <v>246</v>
      </c>
      <c r="Q53" s="152" t="s">
        <v>219</v>
      </c>
      <c r="R53" s="152" t="s">
        <v>2168</v>
      </c>
      <c r="S53" s="152" t="s">
        <v>81</v>
      </c>
      <c r="T53" s="166">
        <v>4.59</v>
      </c>
      <c r="U53" s="152" t="s">
        <v>286</v>
      </c>
      <c r="V53" s="161">
        <v>3.5499999999999997E-2</v>
      </c>
      <c r="W53" s="152" t="s">
        <v>2169</v>
      </c>
      <c r="X53" s="152" t="s">
        <v>2170</v>
      </c>
      <c r="Y53" s="167">
        <v>3.5499999999999997E-2</v>
      </c>
      <c r="Z53" s="168">
        <v>3.8199999999999998E-2</v>
      </c>
      <c r="AA53" s="152" t="s">
        <v>2177</v>
      </c>
      <c r="AB53" s="152" t="s">
        <v>222</v>
      </c>
      <c r="AC53" s="152" t="s">
        <v>1626</v>
      </c>
      <c r="AD53" s="166">
        <v>104760.857253165</v>
      </c>
      <c r="AE53" s="168">
        <v>0.79</v>
      </c>
      <c r="AF53" s="152" t="s">
        <v>1878</v>
      </c>
      <c r="AG53" s="152" t="s">
        <v>373</v>
      </c>
      <c r="AH53" s="152"/>
      <c r="AI53" s="152" t="s">
        <v>2178</v>
      </c>
      <c r="AJ53" s="152" t="s">
        <v>373</v>
      </c>
      <c r="AK53" s="152" t="s">
        <v>1454</v>
      </c>
      <c r="AL53" s="152" t="s">
        <v>2174</v>
      </c>
      <c r="AM53" s="152" t="s">
        <v>1671</v>
      </c>
      <c r="AN53" s="160" t="s">
        <v>1455</v>
      </c>
      <c r="AO53" s="152" t="s">
        <v>1878</v>
      </c>
      <c r="AP53" s="161">
        <v>0</v>
      </c>
      <c r="AQ53" s="162">
        <v>682542</v>
      </c>
      <c r="AR53" s="170">
        <v>109.86</v>
      </c>
      <c r="AS53" s="171">
        <v>1</v>
      </c>
      <c r="AT53" s="166">
        <v>749.84100000000001</v>
      </c>
      <c r="AU53" s="166">
        <v>749.84100000000001</v>
      </c>
      <c r="AV53" s="152"/>
      <c r="AW53" s="152"/>
      <c r="AX53" t="s">
        <v>72</v>
      </c>
      <c r="AY53" t="s">
        <v>16</v>
      </c>
      <c r="AZ53" s="45">
        <v>8.7991190597703106E-2</v>
      </c>
      <c r="BA53" s="45">
        <v>1.7318308312942201E-3</v>
      </c>
    </row>
    <row r="54" spans="1:53" x14ac:dyDescent="0.25">
      <c r="A54" s="152">
        <v>1182</v>
      </c>
      <c r="B54" s="152">
        <v>1182</v>
      </c>
      <c r="C54" s="152">
        <v>510960586</v>
      </c>
      <c r="D54" s="152" t="s">
        <v>111</v>
      </c>
      <c r="E54" s="152" t="s">
        <v>2280</v>
      </c>
      <c r="F54" s="152">
        <v>893300109</v>
      </c>
      <c r="G54" s="152" t="s">
        <v>2281</v>
      </c>
      <c r="H54" s="152"/>
      <c r="I54" s="152" t="s">
        <v>71</v>
      </c>
      <c r="J54" s="152" t="s">
        <v>71</v>
      </c>
      <c r="K54" s="152" t="s">
        <v>429</v>
      </c>
      <c r="L54" s="152" t="s">
        <v>72</v>
      </c>
      <c r="M54" s="152" t="s">
        <v>72</v>
      </c>
      <c r="N54" s="152"/>
      <c r="O54" s="160" t="s">
        <v>2282</v>
      </c>
      <c r="P54" s="152" t="s">
        <v>560</v>
      </c>
      <c r="Q54" s="152" t="s">
        <v>111</v>
      </c>
      <c r="R54" s="152" t="s">
        <v>2168</v>
      </c>
      <c r="S54" s="152" t="s">
        <v>81</v>
      </c>
      <c r="T54" s="166">
        <v>2.0299999999999998</v>
      </c>
      <c r="U54" s="152" t="s">
        <v>286</v>
      </c>
      <c r="V54" s="161">
        <v>0</v>
      </c>
      <c r="W54" s="152" t="s">
        <v>2169</v>
      </c>
      <c r="X54" s="152" t="s">
        <v>2275</v>
      </c>
      <c r="Y54" s="167">
        <v>0</v>
      </c>
      <c r="Z54" s="168">
        <v>5.0700000000000002E-2</v>
      </c>
      <c r="AA54" s="152"/>
      <c r="AB54" s="152" t="s">
        <v>222</v>
      </c>
      <c r="AC54" s="152"/>
      <c r="AD54" s="152"/>
      <c r="AE54" s="168">
        <v>0</v>
      </c>
      <c r="AF54" s="152"/>
      <c r="AG54" s="152" t="s">
        <v>72</v>
      </c>
      <c r="AH54" s="152"/>
      <c r="AI54" s="152"/>
      <c r="AJ54" s="152" t="s">
        <v>72</v>
      </c>
      <c r="AK54" s="152" t="s">
        <v>286</v>
      </c>
      <c r="AL54" s="152"/>
      <c r="AM54" s="152"/>
      <c r="AN54" s="160" t="s">
        <v>1455</v>
      </c>
      <c r="AO54" s="152"/>
      <c r="AP54" s="161">
        <v>0</v>
      </c>
      <c r="AQ54" s="162">
        <v>5904483.2800000003</v>
      </c>
      <c r="AR54" s="170">
        <v>101.21599999999999</v>
      </c>
      <c r="AS54" s="171">
        <v>1</v>
      </c>
      <c r="AT54" s="166">
        <v>5976.2719999999999</v>
      </c>
      <c r="AU54" s="166">
        <v>5976.2719999999999</v>
      </c>
      <c r="AV54" s="152"/>
      <c r="AW54" s="152"/>
      <c r="AX54" t="s">
        <v>72</v>
      </c>
      <c r="AY54" t="s">
        <v>16</v>
      </c>
      <c r="AZ54" s="45">
        <v>0.70129476915001598</v>
      </c>
      <c r="BA54" s="45">
        <v>1.38027897428071E-2</v>
      </c>
    </row>
    <row r="55" spans="1:53" x14ac:dyDescent="0.25">
      <c r="A55" s="152">
        <v>12904</v>
      </c>
      <c r="B55" s="152">
        <v>12905</v>
      </c>
      <c r="C55" s="152">
        <v>516705795</v>
      </c>
      <c r="D55" s="152" t="s">
        <v>1721</v>
      </c>
      <c r="E55" s="152" t="s">
        <v>2269</v>
      </c>
      <c r="F55" s="152">
        <v>50007798</v>
      </c>
      <c r="G55" s="152" t="s">
        <v>2165</v>
      </c>
      <c r="H55" s="152" t="s">
        <v>2270</v>
      </c>
      <c r="I55" s="152" t="s">
        <v>71</v>
      </c>
      <c r="J55" s="152" t="s">
        <v>71</v>
      </c>
      <c r="K55" s="152" t="s">
        <v>515</v>
      </c>
      <c r="L55" s="152" t="s">
        <v>72</v>
      </c>
      <c r="M55" s="152" t="s">
        <v>373</v>
      </c>
      <c r="N55" s="152">
        <v>90552313</v>
      </c>
      <c r="O55" s="160" t="s">
        <v>2167</v>
      </c>
      <c r="P55" s="152" t="s">
        <v>2271</v>
      </c>
      <c r="Q55" s="152" t="s">
        <v>219</v>
      </c>
      <c r="R55" s="152" t="s">
        <v>2168</v>
      </c>
      <c r="S55" s="152" t="s">
        <v>81</v>
      </c>
      <c r="T55" s="166">
        <v>0.08</v>
      </c>
      <c r="U55" s="152" t="s">
        <v>2184</v>
      </c>
      <c r="V55" s="161">
        <v>0.08</v>
      </c>
      <c r="W55" s="152" t="s">
        <v>2169</v>
      </c>
      <c r="X55" s="152" t="s">
        <v>2120</v>
      </c>
      <c r="Y55" s="167">
        <v>0</v>
      </c>
      <c r="Z55" s="168">
        <v>8.0399999999999999E-2</v>
      </c>
      <c r="AA55" s="152" t="s">
        <v>2272</v>
      </c>
      <c r="AB55" s="152" t="s">
        <v>222</v>
      </c>
      <c r="AC55" s="152" t="s">
        <v>2171</v>
      </c>
      <c r="AD55" s="166">
        <v>782791</v>
      </c>
      <c r="AE55" s="168">
        <v>0.43</v>
      </c>
      <c r="AF55" s="152" t="s">
        <v>1878</v>
      </c>
      <c r="AG55" s="152" t="s">
        <v>373</v>
      </c>
      <c r="AH55" s="152" t="s">
        <v>2172</v>
      </c>
      <c r="AI55" s="152" t="s">
        <v>2273</v>
      </c>
      <c r="AJ55" s="152" t="s">
        <v>373</v>
      </c>
      <c r="AK55" s="152" t="s">
        <v>1454</v>
      </c>
      <c r="AL55" s="152" t="s">
        <v>2174</v>
      </c>
      <c r="AM55" s="152" t="s">
        <v>1671</v>
      </c>
      <c r="AN55" s="160" t="s">
        <v>1455</v>
      </c>
      <c r="AO55" s="152" t="s">
        <v>1878</v>
      </c>
      <c r="AP55" s="161">
        <v>0</v>
      </c>
      <c r="AQ55" s="162">
        <v>25000</v>
      </c>
      <c r="AR55" s="170">
        <v>101.91</v>
      </c>
      <c r="AS55" s="171">
        <v>1</v>
      </c>
      <c r="AT55" s="166">
        <v>25.477</v>
      </c>
      <c r="AU55" s="166">
        <v>25.477</v>
      </c>
      <c r="AV55" s="152"/>
      <c r="AW55" s="152"/>
      <c r="AX55" t="s">
        <v>72</v>
      </c>
      <c r="AY55" t="s">
        <v>16</v>
      </c>
      <c r="AZ55" s="45">
        <v>0.41895927408347799</v>
      </c>
      <c r="BA55" s="45">
        <v>5.9562843893470299E-4</v>
      </c>
    </row>
    <row r="56" spans="1:53" x14ac:dyDescent="0.25">
      <c r="A56" s="152">
        <v>12904</v>
      </c>
      <c r="B56" s="152">
        <v>12905</v>
      </c>
      <c r="C56" s="152">
        <v>510960586</v>
      </c>
      <c r="D56" s="152" t="s">
        <v>111</v>
      </c>
      <c r="E56" s="152" t="s">
        <v>2283</v>
      </c>
      <c r="F56" s="152">
        <v>893500109</v>
      </c>
      <c r="G56" s="152" t="s">
        <v>2281</v>
      </c>
      <c r="H56" s="152"/>
      <c r="I56" s="152" t="s">
        <v>71</v>
      </c>
      <c r="J56" s="152" t="s">
        <v>71</v>
      </c>
      <c r="K56" s="152" t="s">
        <v>429</v>
      </c>
      <c r="L56" s="152" t="s">
        <v>72</v>
      </c>
      <c r="M56" s="152" t="s">
        <v>72</v>
      </c>
      <c r="N56" s="152"/>
      <c r="O56" s="160" t="s">
        <v>2284</v>
      </c>
      <c r="P56" s="152" t="s">
        <v>560</v>
      </c>
      <c r="Q56" s="152" t="s">
        <v>111</v>
      </c>
      <c r="R56" s="152" t="s">
        <v>2168</v>
      </c>
      <c r="S56" s="152" t="s">
        <v>81</v>
      </c>
      <c r="T56" s="166">
        <v>1.48</v>
      </c>
      <c r="U56" s="152" t="s">
        <v>286</v>
      </c>
      <c r="V56" s="161">
        <v>0</v>
      </c>
      <c r="W56" s="152" t="s">
        <v>2169</v>
      </c>
      <c r="X56" s="152" t="s">
        <v>2275</v>
      </c>
      <c r="Y56" s="167">
        <v>0</v>
      </c>
      <c r="Z56" s="168">
        <v>5.1299999999999998E-2</v>
      </c>
      <c r="AA56" s="152"/>
      <c r="AB56" s="152" t="s">
        <v>222</v>
      </c>
      <c r="AC56" s="152"/>
      <c r="AD56" s="152"/>
      <c r="AE56" s="168">
        <v>0</v>
      </c>
      <c r="AF56" s="152"/>
      <c r="AG56" s="152" t="s">
        <v>72</v>
      </c>
      <c r="AH56" s="152"/>
      <c r="AI56" s="152"/>
      <c r="AJ56" s="152" t="s">
        <v>72</v>
      </c>
      <c r="AK56" s="152" t="s">
        <v>286</v>
      </c>
      <c r="AL56" s="152"/>
      <c r="AM56" s="152"/>
      <c r="AN56" s="160" t="s">
        <v>1455</v>
      </c>
      <c r="AO56" s="152"/>
      <c r="AP56" s="161">
        <v>0</v>
      </c>
      <c r="AQ56" s="162">
        <v>35000</v>
      </c>
      <c r="AR56" s="170">
        <v>100.95399999999999</v>
      </c>
      <c r="AS56" s="171">
        <v>1</v>
      </c>
      <c r="AT56" s="166">
        <v>35.334000000000003</v>
      </c>
      <c r="AU56" s="166">
        <v>35.334000000000003</v>
      </c>
      <c r="AV56" s="152"/>
      <c r="AW56" s="152"/>
      <c r="AX56" t="s">
        <v>72</v>
      </c>
      <c r="AY56" t="s">
        <v>16</v>
      </c>
      <c r="AZ56" s="45">
        <v>0.58104072591652201</v>
      </c>
      <c r="BA56" s="45">
        <v>8.2605733288097002E-4</v>
      </c>
    </row>
    <row r="57" spans="1:53" x14ac:dyDescent="0.25">
      <c r="A57" s="152">
        <v>424</v>
      </c>
      <c r="B57" s="152">
        <v>7228</v>
      </c>
      <c r="C57" s="152">
        <v>514984558</v>
      </c>
      <c r="D57" s="152" t="s">
        <v>1721</v>
      </c>
      <c r="E57" s="152" t="s">
        <v>2164</v>
      </c>
      <c r="F57" s="152">
        <v>50007509</v>
      </c>
      <c r="G57" s="152" t="s">
        <v>2165</v>
      </c>
      <c r="H57" s="152" t="s">
        <v>2166</v>
      </c>
      <c r="I57" s="152" t="s">
        <v>71</v>
      </c>
      <c r="J57" s="152" t="s">
        <v>71</v>
      </c>
      <c r="K57" s="152" t="s">
        <v>1572</v>
      </c>
      <c r="L57" s="152" t="s">
        <v>72</v>
      </c>
      <c r="M57" s="152" t="s">
        <v>373</v>
      </c>
      <c r="N57" s="152">
        <v>90701004</v>
      </c>
      <c r="O57" s="160" t="s">
        <v>2167</v>
      </c>
      <c r="P57" s="152" t="s">
        <v>509</v>
      </c>
      <c r="Q57" s="152" t="s">
        <v>219</v>
      </c>
      <c r="R57" s="152" t="s">
        <v>2168</v>
      </c>
      <c r="S57" s="152" t="s">
        <v>81</v>
      </c>
      <c r="T57" s="166">
        <v>1.3</v>
      </c>
      <c r="U57" s="152" t="s">
        <v>286</v>
      </c>
      <c r="V57" s="161">
        <v>5.5E-2</v>
      </c>
      <c r="W57" s="152" t="s">
        <v>2169</v>
      </c>
      <c r="X57" s="152" t="s">
        <v>2170</v>
      </c>
      <c r="Y57" s="167">
        <v>5.5E-2</v>
      </c>
      <c r="Z57" s="168">
        <v>0.23249</v>
      </c>
      <c r="AA57" s="152" t="s">
        <v>391</v>
      </c>
      <c r="AB57" s="152" t="s">
        <v>222</v>
      </c>
      <c r="AC57" s="152" t="s">
        <v>2171</v>
      </c>
      <c r="AD57" s="166">
        <v>19935.854166666701</v>
      </c>
      <c r="AE57" s="168">
        <v>0.72</v>
      </c>
      <c r="AF57" s="152" t="s">
        <v>1878</v>
      </c>
      <c r="AG57" s="152" t="s">
        <v>373</v>
      </c>
      <c r="AH57" s="152" t="s">
        <v>2172</v>
      </c>
      <c r="AI57" s="152" t="s">
        <v>2173</v>
      </c>
      <c r="AJ57" s="152" t="s">
        <v>373</v>
      </c>
      <c r="AK57" s="152" t="s">
        <v>1454</v>
      </c>
      <c r="AL57" s="152" t="s">
        <v>2174</v>
      </c>
      <c r="AM57" s="152" t="s">
        <v>1671</v>
      </c>
      <c r="AN57" s="160" t="s">
        <v>1455</v>
      </c>
      <c r="AO57" s="152" t="s">
        <v>1878</v>
      </c>
      <c r="AP57" s="161">
        <v>0</v>
      </c>
      <c r="AQ57" s="162">
        <v>312406</v>
      </c>
      <c r="AR57" s="170">
        <v>81.349999999999994</v>
      </c>
      <c r="AS57" s="171">
        <v>1</v>
      </c>
      <c r="AT57" s="166">
        <v>254.142</v>
      </c>
      <c r="AU57" s="166">
        <v>254.142</v>
      </c>
      <c r="AV57" s="152"/>
      <c r="AW57" s="152"/>
      <c r="AX57" t="s">
        <v>373</v>
      </c>
      <c r="AY57" t="s">
        <v>16</v>
      </c>
      <c r="AZ57" s="45">
        <v>5.5876418597197797E-3</v>
      </c>
      <c r="BA57" s="45">
        <v>1.0354852100303599E-4</v>
      </c>
    </row>
    <row r="58" spans="1:53" x14ac:dyDescent="0.25">
      <c r="A58" s="152">
        <v>424</v>
      </c>
      <c r="B58" s="152">
        <v>7228</v>
      </c>
      <c r="C58" s="152">
        <v>513846667</v>
      </c>
      <c r="D58" s="152" t="s">
        <v>1721</v>
      </c>
      <c r="E58" s="152" t="s">
        <v>2175</v>
      </c>
      <c r="F58" s="152">
        <v>50003508</v>
      </c>
      <c r="G58" s="152" t="s">
        <v>2165</v>
      </c>
      <c r="H58" s="152"/>
      <c r="I58" s="152" t="s">
        <v>71</v>
      </c>
      <c r="J58" s="152" t="s">
        <v>71</v>
      </c>
      <c r="K58" s="152" t="s">
        <v>234</v>
      </c>
      <c r="L58" s="152" t="s">
        <v>72</v>
      </c>
      <c r="M58" s="152" t="s">
        <v>373</v>
      </c>
      <c r="N58" s="152">
        <v>84666734</v>
      </c>
      <c r="O58" s="160" t="s">
        <v>2176</v>
      </c>
      <c r="P58" s="152" t="s">
        <v>246</v>
      </c>
      <c r="Q58" s="152" t="s">
        <v>219</v>
      </c>
      <c r="R58" s="152" t="s">
        <v>2168</v>
      </c>
      <c r="S58" s="152" t="s">
        <v>81</v>
      </c>
      <c r="T58" s="166">
        <v>4.46</v>
      </c>
      <c r="U58" s="152" t="s">
        <v>286</v>
      </c>
      <c r="V58" s="161">
        <v>3.5499999999999997E-2</v>
      </c>
      <c r="W58" s="152" t="s">
        <v>2169</v>
      </c>
      <c r="X58" s="152" t="s">
        <v>2170</v>
      </c>
      <c r="Y58" s="167">
        <v>3.5499999999999997E-2</v>
      </c>
      <c r="Z58" s="168">
        <v>3.7999999999999999E-2</v>
      </c>
      <c r="AA58" s="152" t="s">
        <v>2177</v>
      </c>
      <c r="AB58" s="152" t="s">
        <v>222</v>
      </c>
      <c r="AC58" s="152" t="s">
        <v>1626</v>
      </c>
      <c r="AD58" s="166">
        <v>51249.677223684201</v>
      </c>
      <c r="AE58" s="168">
        <v>0.76</v>
      </c>
      <c r="AF58" s="152" t="s">
        <v>1878</v>
      </c>
      <c r="AG58" s="152" t="s">
        <v>373</v>
      </c>
      <c r="AH58" s="152"/>
      <c r="AI58" s="152" t="s">
        <v>2178</v>
      </c>
      <c r="AJ58" s="152" t="s">
        <v>373</v>
      </c>
      <c r="AK58" s="152" t="s">
        <v>1454</v>
      </c>
      <c r="AL58" s="152" t="s">
        <v>2174</v>
      </c>
      <c r="AM58" s="152" t="s">
        <v>1671</v>
      </c>
      <c r="AN58" s="160" t="s">
        <v>1455</v>
      </c>
      <c r="AO58" s="152" t="s">
        <v>1878</v>
      </c>
      <c r="AP58" s="161">
        <v>0</v>
      </c>
      <c r="AQ58" s="162">
        <v>1619094.65</v>
      </c>
      <c r="AR58" s="170">
        <v>109.6</v>
      </c>
      <c r="AS58" s="171">
        <v>1</v>
      </c>
      <c r="AT58" s="166">
        <v>1774.528</v>
      </c>
      <c r="AU58" s="166">
        <v>1774.528</v>
      </c>
      <c r="AV58" s="152"/>
      <c r="AW58" s="152"/>
      <c r="AX58" t="s">
        <v>72</v>
      </c>
      <c r="AY58" t="s">
        <v>16</v>
      </c>
      <c r="AZ58" s="45">
        <v>3.9015253275162198E-2</v>
      </c>
      <c r="BA58" s="45">
        <v>7.2301909725554898E-4</v>
      </c>
    </row>
    <row r="59" spans="1:53" x14ac:dyDescent="0.25">
      <c r="A59" s="152">
        <v>424</v>
      </c>
      <c r="B59" s="152">
        <v>7228</v>
      </c>
      <c r="C59" s="152">
        <v>513326439</v>
      </c>
      <c r="D59" s="152" t="s">
        <v>1721</v>
      </c>
      <c r="E59" s="152" t="s">
        <v>2179</v>
      </c>
      <c r="F59" s="152">
        <v>28472</v>
      </c>
      <c r="G59" s="152" t="s">
        <v>2165</v>
      </c>
      <c r="H59" s="152"/>
      <c r="I59" s="152" t="s">
        <v>71</v>
      </c>
      <c r="J59" s="152" t="s">
        <v>71</v>
      </c>
      <c r="K59" s="152" t="s">
        <v>234</v>
      </c>
      <c r="L59" s="152" t="s">
        <v>72</v>
      </c>
      <c r="M59" s="152" t="s">
        <v>373</v>
      </c>
      <c r="N59" s="152">
        <v>11898290</v>
      </c>
      <c r="O59" s="160" t="s">
        <v>2180</v>
      </c>
      <c r="P59" s="152" t="s">
        <v>228</v>
      </c>
      <c r="Q59" s="152" t="s">
        <v>219</v>
      </c>
      <c r="R59" s="152" t="s">
        <v>2168</v>
      </c>
      <c r="S59" s="152" t="s">
        <v>81</v>
      </c>
      <c r="T59" s="166">
        <v>3.01</v>
      </c>
      <c r="U59" s="152" t="s">
        <v>286</v>
      </c>
      <c r="V59" s="161">
        <v>5.5E-2</v>
      </c>
      <c r="W59" s="152" t="s">
        <v>2169</v>
      </c>
      <c r="X59" s="152" t="s">
        <v>2120</v>
      </c>
      <c r="Y59" s="167">
        <v>0</v>
      </c>
      <c r="Z59" s="168">
        <v>3.15E-2</v>
      </c>
      <c r="AA59" s="152" t="s">
        <v>2181</v>
      </c>
      <c r="AB59" s="152" t="s">
        <v>222</v>
      </c>
      <c r="AC59" s="152" t="s">
        <v>1626</v>
      </c>
      <c r="AD59" s="166">
        <v>482000</v>
      </c>
      <c r="AE59" s="168">
        <v>0.73</v>
      </c>
      <c r="AF59" s="152" t="s">
        <v>1878</v>
      </c>
      <c r="AG59" s="152" t="s">
        <v>72</v>
      </c>
      <c r="AH59" s="152"/>
      <c r="AI59" s="152" t="s">
        <v>2182</v>
      </c>
      <c r="AJ59" s="152" t="s">
        <v>373</v>
      </c>
      <c r="AK59" s="152" t="s">
        <v>1454</v>
      </c>
      <c r="AL59" s="152" t="s">
        <v>2174</v>
      </c>
      <c r="AM59" s="152" t="s">
        <v>1671</v>
      </c>
      <c r="AN59" s="160" t="s">
        <v>1455</v>
      </c>
      <c r="AO59" s="152" t="s">
        <v>1878</v>
      </c>
      <c r="AP59" s="161">
        <v>0</v>
      </c>
      <c r="AQ59" s="162">
        <v>45554.65</v>
      </c>
      <c r="AR59" s="170">
        <v>124.51</v>
      </c>
      <c r="AS59" s="171">
        <v>1</v>
      </c>
      <c r="AT59" s="166">
        <v>56.72</v>
      </c>
      <c r="AU59" s="166">
        <v>56.72</v>
      </c>
      <c r="AV59" s="152"/>
      <c r="AW59" s="152"/>
      <c r="AX59" t="s">
        <v>72</v>
      </c>
      <c r="AY59" t="s">
        <v>16</v>
      </c>
      <c r="AZ59" s="45">
        <v>1.2470635514474099E-3</v>
      </c>
      <c r="BA59" s="45">
        <v>2.3110211712038601E-5</v>
      </c>
    </row>
    <row r="60" spans="1:53" x14ac:dyDescent="0.25">
      <c r="A60" s="152">
        <v>424</v>
      </c>
      <c r="B60" s="152">
        <v>7228</v>
      </c>
      <c r="C60" s="152">
        <v>513326439</v>
      </c>
      <c r="D60" s="152" t="s">
        <v>1721</v>
      </c>
      <c r="E60" s="152" t="s">
        <v>2183</v>
      </c>
      <c r="F60" s="152">
        <v>29207</v>
      </c>
      <c r="G60" s="152" t="s">
        <v>2165</v>
      </c>
      <c r="H60" s="152"/>
      <c r="I60" s="152" t="s">
        <v>71</v>
      </c>
      <c r="J60" s="152" t="s">
        <v>71</v>
      </c>
      <c r="K60" s="152" t="s">
        <v>234</v>
      </c>
      <c r="L60" s="152" t="s">
        <v>72</v>
      </c>
      <c r="M60" s="152" t="s">
        <v>373</v>
      </c>
      <c r="N60" s="152">
        <v>11898170</v>
      </c>
      <c r="O60" s="160" t="s">
        <v>2180</v>
      </c>
      <c r="P60" s="152" t="s">
        <v>228</v>
      </c>
      <c r="Q60" s="152" t="s">
        <v>219</v>
      </c>
      <c r="R60" s="152" t="s">
        <v>2168</v>
      </c>
      <c r="S60" s="152" t="s">
        <v>81</v>
      </c>
      <c r="T60" s="166">
        <v>3.01</v>
      </c>
      <c r="U60" s="152" t="s">
        <v>2184</v>
      </c>
      <c r="V60" s="161">
        <v>5.5E-2</v>
      </c>
      <c r="W60" s="152" t="s">
        <v>2169</v>
      </c>
      <c r="X60" s="152" t="s">
        <v>2120</v>
      </c>
      <c r="Y60" s="167">
        <v>0</v>
      </c>
      <c r="Z60" s="168">
        <v>2.9399999999999999E-2</v>
      </c>
      <c r="AA60" s="152" t="s">
        <v>2181</v>
      </c>
      <c r="AB60" s="152" t="s">
        <v>222</v>
      </c>
      <c r="AC60" s="152" t="s">
        <v>1626</v>
      </c>
      <c r="AD60" s="166">
        <v>482000</v>
      </c>
      <c r="AE60" s="168">
        <v>0.73</v>
      </c>
      <c r="AF60" s="152" t="s">
        <v>1878</v>
      </c>
      <c r="AG60" s="152" t="s">
        <v>72</v>
      </c>
      <c r="AH60" s="152"/>
      <c r="AI60" s="152" t="s">
        <v>2182</v>
      </c>
      <c r="AJ60" s="152" t="s">
        <v>373</v>
      </c>
      <c r="AK60" s="152" t="s">
        <v>1454</v>
      </c>
      <c r="AL60" s="152" t="s">
        <v>2174</v>
      </c>
      <c r="AM60" s="152" t="s">
        <v>1671</v>
      </c>
      <c r="AN60" s="160" t="s">
        <v>1455</v>
      </c>
      <c r="AO60" s="152" t="s">
        <v>1878</v>
      </c>
      <c r="AP60" s="161">
        <v>0</v>
      </c>
      <c r="AQ60" s="162">
        <v>65622.02</v>
      </c>
      <c r="AR60" s="170">
        <v>127.77</v>
      </c>
      <c r="AS60" s="171">
        <v>1</v>
      </c>
      <c r="AT60" s="166">
        <v>83.844999999999999</v>
      </c>
      <c r="AU60" s="166">
        <v>83.844999999999999</v>
      </c>
      <c r="AV60" s="152"/>
      <c r="AW60" s="152"/>
      <c r="AX60" t="s">
        <v>72</v>
      </c>
      <c r="AY60" t="s">
        <v>16</v>
      </c>
      <c r="AZ60" s="45">
        <v>1.8434447604562399E-3</v>
      </c>
      <c r="BA60" s="45">
        <v>3.4162171321698401E-5</v>
      </c>
    </row>
    <row r="61" spans="1:53" x14ac:dyDescent="0.25">
      <c r="A61" s="152">
        <v>424</v>
      </c>
      <c r="B61" s="152">
        <v>7228</v>
      </c>
      <c r="C61" s="152">
        <v>513326439</v>
      </c>
      <c r="D61" s="152" t="s">
        <v>1721</v>
      </c>
      <c r="E61" s="152" t="s">
        <v>2185</v>
      </c>
      <c r="F61" s="152">
        <v>29215</v>
      </c>
      <c r="G61" s="152" t="s">
        <v>2165</v>
      </c>
      <c r="H61" s="152"/>
      <c r="I61" s="152" t="s">
        <v>71</v>
      </c>
      <c r="J61" s="152" t="s">
        <v>71</v>
      </c>
      <c r="K61" s="152" t="s">
        <v>234</v>
      </c>
      <c r="L61" s="152" t="s">
        <v>72</v>
      </c>
      <c r="M61" s="152" t="s">
        <v>373</v>
      </c>
      <c r="N61" s="152">
        <v>11898170</v>
      </c>
      <c r="O61" s="160" t="s">
        <v>2180</v>
      </c>
      <c r="P61" s="152" t="s">
        <v>228</v>
      </c>
      <c r="Q61" s="152" t="s">
        <v>219</v>
      </c>
      <c r="R61" s="152" t="s">
        <v>2168</v>
      </c>
      <c r="S61" s="152" t="s">
        <v>81</v>
      </c>
      <c r="T61" s="166">
        <v>3.01</v>
      </c>
      <c r="U61" s="152" t="s">
        <v>2184</v>
      </c>
      <c r="V61" s="161">
        <v>5.5E-2</v>
      </c>
      <c r="W61" s="152" t="s">
        <v>2169</v>
      </c>
      <c r="X61" s="152" t="s">
        <v>2120</v>
      </c>
      <c r="Y61" s="167">
        <v>0</v>
      </c>
      <c r="Z61" s="168">
        <v>3.15E-2</v>
      </c>
      <c r="AA61" s="152" t="s">
        <v>2181</v>
      </c>
      <c r="AB61" s="152" t="s">
        <v>222</v>
      </c>
      <c r="AC61" s="152" t="s">
        <v>1626</v>
      </c>
      <c r="AD61" s="166">
        <v>482000</v>
      </c>
      <c r="AE61" s="168">
        <v>0.73</v>
      </c>
      <c r="AF61" s="152" t="s">
        <v>1878</v>
      </c>
      <c r="AG61" s="152" t="s">
        <v>72</v>
      </c>
      <c r="AH61" s="152"/>
      <c r="AI61" s="152" t="s">
        <v>2182</v>
      </c>
      <c r="AJ61" s="152" t="s">
        <v>373</v>
      </c>
      <c r="AK61" s="152" t="s">
        <v>1454</v>
      </c>
      <c r="AL61" s="152" t="s">
        <v>2174</v>
      </c>
      <c r="AM61" s="152" t="s">
        <v>1671</v>
      </c>
      <c r="AN61" s="160" t="s">
        <v>1455</v>
      </c>
      <c r="AO61" s="152" t="s">
        <v>1878</v>
      </c>
      <c r="AP61" s="161">
        <v>0</v>
      </c>
      <c r="AQ61" s="162">
        <v>7230.19</v>
      </c>
      <c r="AR61" s="170">
        <v>124.51</v>
      </c>
      <c r="AS61" s="171">
        <v>1</v>
      </c>
      <c r="AT61" s="166">
        <v>9.0020000000000007</v>
      </c>
      <c r="AU61" s="166">
        <v>9.0020000000000007</v>
      </c>
      <c r="AV61" s="152"/>
      <c r="AW61" s="152"/>
      <c r="AX61" t="s">
        <v>72</v>
      </c>
      <c r="AY61" t="s">
        <v>16</v>
      </c>
      <c r="AZ61" s="45">
        <v>1.9792724604490499E-4</v>
      </c>
      <c r="BA61" s="45">
        <v>3.6679289955748498E-6</v>
      </c>
    </row>
    <row r="62" spans="1:53" x14ac:dyDescent="0.25">
      <c r="A62" s="152">
        <v>424</v>
      </c>
      <c r="B62" s="152">
        <v>7228</v>
      </c>
      <c r="C62" s="152">
        <v>513326439</v>
      </c>
      <c r="D62" s="152" t="s">
        <v>1721</v>
      </c>
      <c r="E62" s="152" t="s">
        <v>2186</v>
      </c>
      <c r="F62" s="152">
        <v>97386</v>
      </c>
      <c r="G62" s="152" t="s">
        <v>2165</v>
      </c>
      <c r="H62" s="152"/>
      <c r="I62" s="152" t="s">
        <v>71</v>
      </c>
      <c r="J62" s="152" t="s">
        <v>71</v>
      </c>
      <c r="K62" s="152" t="s">
        <v>234</v>
      </c>
      <c r="L62" s="152" t="s">
        <v>72</v>
      </c>
      <c r="M62" s="152" t="s">
        <v>373</v>
      </c>
      <c r="N62" s="152">
        <v>11898511</v>
      </c>
      <c r="O62" s="160" t="s">
        <v>2187</v>
      </c>
      <c r="P62" s="152" t="s">
        <v>228</v>
      </c>
      <c r="Q62" s="152" t="s">
        <v>219</v>
      </c>
      <c r="R62" s="152" t="s">
        <v>2168</v>
      </c>
      <c r="S62" s="152" t="s">
        <v>81</v>
      </c>
      <c r="T62" s="166">
        <v>3.01</v>
      </c>
      <c r="U62" s="152" t="s">
        <v>286</v>
      </c>
      <c r="V62" s="161">
        <v>5.5300000000000002E-2</v>
      </c>
      <c r="W62" s="152" t="s">
        <v>2169</v>
      </c>
      <c r="X62" s="152" t="s">
        <v>2170</v>
      </c>
      <c r="Y62" s="167">
        <v>5.5300000000000002E-2</v>
      </c>
      <c r="Z62" s="168">
        <v>2.9399999999999999E-2</v>
      </c>
      <c r="AA62" s="152" t="s">
        <v>2188</v>
      </c>
      <c r="AB62" s="152" t="s">
        <v>222</v>
      </c>
      <c r="AC62" s="152" t="s">
        <v>1626</v>
      </c>
      <c r="AD62" s="166">
        <v>482000</v>
      </c>
      <c r="AE62" s="168">
        <v>0.73</v>
      </c>
      <c r="AF62" s="152" t="s">
        <v>1878</v>
      </c>
      <c r="AG62" s="152" t="s">
        <v>72</v>
      </c>
      <c r="AH62" s="152"/>
      <c r="AI62" s="152" t="s">
        <v>2182</v>
      </c>
      <c r="AJ62" s="152" t="s">
        <v>373</v>
      </c>
      <c r="AK62" s="152" t="s">
        <v>1454</v>
      </c>
      <c r="AL62" s="152" t="s">
        <v>2174</v>
      </c>
      <c r="AM62" s="152" t="s">
        <v>1671</v>
      </c>
      <c r="AN62" s="160" t="s">
        <v>1455</v>
      </c>
      <c r="AO62" s="152" t="s">
        <v>1878</v>
      </c>
      <c r="AP62" s="161">
        <v>0</v>
      </c>
      <c r="AQ62" s="162">
        <v>90359.66</v>
      </c>
      <c r="AR62" s="170">
        <v>129.37</v>
      </c>
      <c r="AS62" s="171">
        <v>1</v>
      </c>
      <c r="AT62" s="166">
        <v>116.898</v>
      </c>
      <c r="AU62" s="166">
        <v>116.898</v>
      </c>
      <c r="AV62" s="152"/>
      <c r="AW62" s="152"/>
      <c r="AX62" t="s">
        <v>72</v>
      </c>
      <c r="AY62" t="s">
        <v>16</v>
      </c>
      <c r="AZ62" s="45">
        <v>2.57015789711272E-3</v>
      </c>
      <c r="BA62" s="45">
        <v>4.762940354299E-5</v>
      </c>
    </row>
    <row r="63" spans="1:53" x14ac:dyDescent="0.25">
      <c r="A63" s="152">
        <v>424</v>
      </c>
      <c r="B63" s="152">
        <v>7228</v>
      </c>
      <c r="C63" s="152">
        <v>513326439</v>
      </c>
      <c r="D63" s="152" t="s">
        <v>1721</v>
      </c>
      <c r="E63" s="152" t="s">
        <v>2189</v>
      </c>
      <c r="F63" s="152">
        <v>97378</v>
      </c>
      <c r="G63" s="152" t="s">
        <v>2165</v>
      </c>
      <c r="H63" s="152"/>
      <c r="I63" s="152" t="s">
        <v>71</v>
      </c>
      <c r="J63" s="152" t="s">
        <v>71</v>
      </c>
      <c r="K63" s="152" t="s">
        <v>234</v>
      </c>
      <c r="L63" s="152" t="s">
        <v>72</v>
      </c>
      <c r="M63" s="152" t="s">
        <v>373</v>
      </c>
      <c r="N63" s="152">
        <v>11898512</v>
      </c>
      <c r="O63" s="160" t="s">
        <v>2190</v>
      </c>
      <c r="P63" s="152" t="s">
        <v>228</v>
      </c>
      <c r="Q63" s="152" t="s">
        <v>219</v>
      </c>
      <c r="R63" s="152" t="s">
        <v>2168</v>
      </c>
      <c r="S63" s="152" t="s">
        <v>81</v>
      </c>
      <c r="T63" s="166">
        <v>3.01</v>
      </c>
      <c r="U63" s="152" t="s">
        <v>286</v>
      </c>
      <c r="V63" s="161">
        <v>5.5301000000000003E-2</v>
      </c>
      <c r="W63" s="152" t="s">
        <v>2169</v>
      </c>
      <c r="X63" s="152" t="s">
        <v>2170</v>
      </c>
      <c r="Y63" s="167">
        <v>5.5301000000000003E-2</v>
      </c>
      <c r="Z63" s="168">
        <v>2.9399999999999999E-2</v>
      </c>
      <c r="AA63" s="152" t="s">
        <v>2188</v>
      </c>
      <c r="AB63" s="152" t="s">
        <v>222</v>
      </c>
      <c r="AC63" s="152" t="s">
        <v>1626</v>
      </c>
      <c r="AD63" s="166">
        <v>482000</v>
      </c>
      <c r="AE63" s="168">
        <v>0.73</v>
      </c>
      <c r="AF63" s="152" t="s">
        <v>1878</v>
      </c>
      <c r="AG63" s="152" t="s">
        <v>72</v>
      </c>
      <c r="AH63" s="152"/>
      <c r="AI63" s="152" t="s">
        <v>2182</v>
      </c>
      <c r="AJ63" s="152" t="s">
        <v>373</v>
      </c>
      <c r="AK63" s="152" t="s">
        <v>1454</v>
      </c>
      <c r="AL63" s="152" t="s">
        <v>2174</v>
      </c>
      <c r="AM63" s="152" t="s">
        <v>1671</v>
      </c>
      <c r="AN63" s="160" t="s">
        <v>1455</v>
      </c>
      <c r="AO63" s="152" t="s">
        <v>1878</v>
      </c>
      <c r="AP63" s="161">
        <v>0</v>
      </c>
      <c r="AQ63" s="162">
        <v>86692.03</v>
      </c>
      <c r="AR63" s="170">
        <v>129.37</v>
      </c>
      <c r="AS63" s="171">
        <v>1</v>
      </c>
      <c r="AT63" s="166">
        <v>112.15300000000001</v>
      </c>
      <c r="AU63" s="166">
        <v>112.15300000000001</v>
      </c>
      <c r="AV63" s="152"/>
      <c r="AW63" s="152"/>
      <c r="AX63" t="s">
        <v>72</v>
      </c>
      <c r="AY63" t="s">
        <v>16</v>
      </c>
      <c r="AZ63" s="45">
        <v>2.4658371392857498E-3</v>
      </c>
      <c r="BA63" s="45">
        <v>4.5696162212551501E-5</v>
      </c>
    </row>
    <row r="64" spans="1:53" x14ac:dyDescent="0.25">
      <c r="A64" s="152">
        <v>424</v>
      </c>
      <c r="B64" s="152">
        <v>7228</v>
      </c>
      <c r="C64" s="152">
        <v>513326439</v>
      </c>
      <c r="D64" s="152" t="s">
        <v>1721</v>
      </c>
      <c r="E64" s="152" t="s">
        <v>2191</v>
      </c>
      <c r="F64" s="152">
        <v>97394</v>
      </c>
      <c r="G64" s="152" t="s">
        <v>2165</v>
      </c>
      <c r="H64" s="152"/>
      <c r="I64" s="152" t="s">
        <v>71</v>
      </c>
      <c r="J64" s="152" t="s">
        <v>71</v>
      </c>
      <c r="K64" s="152" t="s">
        <v>234</v>
      </c>
      <c r="L64" s="152" t="s">
        <v>72</v>
      </c>
      <c r="M64" s="152" t="s">
        <v>373</v>
      </c>
      <c r="N64" s="152">
        <v>11898517</v>
      </c>
      <c r="O64" s="160" t="s">
        <v>2192</v>
      </c>
      <c r="P64" s="152" t="s">
        <v>228</v>
      </c>
      <c r="Q64" s="152" t="s">
        <v>219</v>
      </c>
      <c r="R64" s="152" t="s">
        <v>2168</v>
      </c>
      <c r="S64" s="152" t="s">
        <v>81</v>
      </c>
      <c r="T64" s="166">
        <v>3.01</v>
      </c>
      <c r="U64" s="152" t="s">
        <v>286</v>
      </c>
      <c r="V64" s="161">
        <v>5.5300000000000002E-2</v>
      </c>
      <c r="W64" s="152" t="s">
        <v>2169</v>
      </c>
      <c r="X64" s="152" t="s">
        <v>2170</v>
      </c>
      <c r="Y64" s="167">
        <v>5.5300000000000002E-2</v>
      </c>
      <c r="Z64" s="168">
        <v>2.9399999999999999E-2</v>
      </c>
      <c r="AA64" s="152" t="s">
        <v>2188</v>
      </c>
      <c r="AB64" s="152" t="s">
        <v>222</v>
      </c>
      <c r="AC64" s="152" t="s">
        <v>1626</v>
      </c>
      <c r="AD64" s="166">
        <v>482000</v>
      </c>
      <c r="AE64" s="168">
        <v>0.73</v>
      </c>
      <c r="AF64" s="152" t="s">
        <v>1878</v>
      </c>
      <c r="AG64" s="152" t="s">
        <v>72</v>
      </c>
      <c r="AH64" s="152"/>
      <c r="AI64" s="152" t="s">
        <v>2182</v>
      </c>
      <c r="AJ64" s="152" t="s">
        <v>373</v>
      </c>
      <c r="AK64" s="152" t="s">
        <v>1454</v>
      </c>
      <c r="AL64" s="152" t="s">
        <v>2174</v>
      </c>
      <c r="AM64" s="152" t="s">
        <v>1671</v>
      </c>
      <c r="AN64" s="160" t="s">
        <v>1455</v>
      </c>
      <c r="AO64" s="152" t="s">
        <v>1878</v>
      </c>
      <c r="AP64" s="161">
        <v>0</v>
      </c>
      <c r="AQ64" s="162">
        <v>87186.87</v>
      </c>
      <c r="AR64" s="170">
        <v>127.77</v>
      </c>
      <c r="AS64" s="171">
        <v>1</v>
      </c>
      <c r="AT64" s="166">
        <v>111.399</v>
      </c>
      <c r="AU64" s="166">
        <v>111.399</v>
      </c>
      <c r="AV64" s="152"/>
      <c r="AW64" s="152"/>
      <c r="AX64" t="s">
        <v>72</v>
      </c>
      <c r="AY64" t="s">
        <v>16</v>
      </c>
      <c r="AZ64" s="45">
        <v>2.4492415607151301E-3</v>
      </c>
      <c r="BA64" s="45">
        <v>4.5388617874650098E-5</v>
      </c>
    </row>
    <row r="65" spans="1:53" x14ac:dyDescent="0.25">
      <c r="A65" s="152">
        <v>424</v>
      </c>
      <c r="B65" s="152">
        <v>7228</v>
      </c>
      <c r="C65" s="152">
        <v>513326439</v>
      </c>
      <c r="D65" s="152" t="s">
        <v>1721</v>
      </c>
      <c r="E65" s="152" t="s">
        <v>2193</v>
      </c>
      <c r="F65" s="152">
        <v>973031</v>
      </c>
      <c r="G65" s="152" t="s">
        <v>2165</v>
      </c>
      <c r="H65" s="152"/>
      <c r="I65" s="152" t="s">
        <v>71</v>
      </c>
      <c r="J65" s="152" t="s">
        <v>71</v>
      </c>
      <c r="K65" s="152" t="s">
        <v>234</v>
      </c>
      <c r="L65" s="152" t="s">
        <v>72</v>
      </c>
      <c r="M65" s="152" t="s">
        <v>373</v>
      </c>
      <c r="N65" s="152">
        <v>11898527</v>
      </c>
      <c r="O65" s="160" t="s">
        <v>2194</v>
      </c>
      <c r="P65" s="152" t="s">
        <v>228</v>
      </c>
      <c r="Q65" s="152" t="s">
        <v>219</v>
      </c>
      <c r="R65" s="152" t="s">
        <v>2168</v>
      </c>
      <c r="S65" s="152" t="s">
        <v>81</v>
      </c>
      <c r="T65" s="166">
        <v>3.01</v>
      </c>
      <c r="U65" s="152" t="s">
        <v>286</v>
      </c>
      <c r="V65" s="161">
        <v>5.5E-2</v>
      </c>
      <c r="W65" s="152" t="s">
        <v>2169</v>
      </c>
      <c r="X65" s="152" t="s">
        <v>2120</v>
      </c>
      <c r="Y65" s="167">
        <v>0</v>
      </c>
      <c r="Z65" s="168">
        <v>2.9399999999999999E-2</v>
      </c>
      <c r="AA65" s="152" t="s">
        <v>2188</v>
      </c>
      <c r="AB65" s="152" t="s">
        <v>222</v>
      </c>
      <c r="AC65" s="152" t="s">
        <v>1626</v>
      </c>
      <c r="AD65" s="166">
        <v>482000</v>
      </c>
      <c r="AE65" s="168">
        <v>0.73</v>
      </c>
      <c r="AF65" s="152" t="s">
        <v>1878</v>
      </c>
      <c r="AG65" s="152" t="s">
        <v>72</v>
      </c>
      <c r="AH65" s="152"/>
      <c r="AI65" s="152" t="s">
        <v>2182</v>
      </c>
      <c r="AJ65" s="152" t="s">
        <v>373</v>
      </c>
      <c r="AK65" s="152" t="s">
        <v>1454</v>
      </c>
      <c r="AL65" s="152" t="s">
        <v>2174</v>
      </c>
      <c r="AM65" s="152" t="s">
        <v>1671</v>
      </c>
      <c r="AN65" s="160" t="s">
        <v>1455</v>
      </c>
      <c r="AO65" s="152" t="s">
        <v>1878</v>
      </c>
      <c r="AP65" s="161">
        <v>0</v>
      </c>
      <c r="AQ65" s="162">
        <v>27532.65</v>
      </c>
      <c r="AR65" s="170">
        <v>127.26</v>
      </c>
      <c r="AS65" s="171">
        <v>1</v>
      </c>
      <c r="AT65" s="166">
        <v>35.037999999999997</v>
      </c>
      <c r="AU65" s="166">
        <v>35.037999999999997</v>
      </c>
      <c r="AV65" s="152"/>
      <c r="AW65" s="152"/>
      <c r="AX65" t="s">
        <v>72</v>
      </c>
      <c r="AY65" t="s">
        <v>16</v>
      </c>
      <c r="AZ65" s="45">
        <v>7.7035618108005799E-4</v>
      </c>
      <c r="BA65" s="45">
        <v>1.42760121709711E-5</v>
      </c>
    </row>
    <row r="66" spans="1:53" x14ac:dyDescent="0.25">
      <c r="A66" s="152">
        <v>424</v>
      </c>
      <c r="B66" s="152">
        <v>7228</v>
      </c>
      <c r="C66" s="152">
        <v>513326439</v>
      </c>
      <c r="D66" s="152" t="s">
        <v>1721</v>
      </c>
      <c r="E66" s="152" t="s">
        <v>2195</v>
      </c>
      <c r="F66" s="152">
        <v>97261</v>
      </c>
      <c r="G66" s="152" t="s">
        <v>2165</v>
      </c>
      <c r="H66" s="152"/>
      <c r="I66" s="152" t="s">
        <v>71</v>
      </c>
      <c r="J66" s="152" t="s">
        <v>71</v>
      </c>
      <c r="K66" s="152" t="s">
        <v>234</v>
      </c>
      <c r="L66" s="152" t="s">
        <v>72</v>
      </c>
      <c r="M66" s="152" t="s">
        <v>373</v>
      </c>
      <c r="N66" s="152">
        <v>11898505</v>
      </c>
      <c r="O66" s="160" t="s">
        <v>2196</v>
      </c>
      <c r="P66" s="152" t="s">
        <v>228</v>
      </c>
      <c r="Q66" s="152" t="s">
        <v>219</v>
      </c>
      <c r="R66" s="152" t="s">
        <v>2168</v>
      </c>
      <c r="S66" s="152" t="s">
        <v>81</v>
      </c>
      <c r="T66" s="166">
        <v>3.01</v>
      </c>
      <c r="U66" s="152" t="s">
        <v>2184</v>
      </c>
      <c r="V66" s="161">
        <v>5.6132000000000001E-2</v>
      </c>
      <c r="W66" s="152" t="s">
        <v>2169</v>
      </c>
      <c r="X66" s="152" t="s">
        <v>2170</v>
      </c>
      <c r="Y66" s="167">
        <v>5.6132000000000001E-2</v>
      </c>
      <c r="Z66" s="168">
        <v>2.9399999999999999E-2</v>
      </c>
      <c r="AA66" s="152" t="s">
        <v>2188</v>
      </c>
      <c r="AB66" s="152" t="s">
        <v>222</v>
      </c>
      <c r="AC66" s="152" t="s">
        <v>1626</v>
      </c>
      <c r="AD66" s="166">
        <v>482000</v>
      </c>
      <c r="AE66" s="168">
        <v>0.73</v>
      </c>
      <c r="AF66" s="152" t="s">
        <v>1878</v>
      </c>
      <c r="AG66" s="152" t="s">
        <v>72</v>
      </c>
      <c r="AH66" s="152"/>
      <c r="AI66" s="152" t="s">
        <v>2182</v>
      </c>
      <c r="AJ66" s="152" t="s">
        <v>373</v>
      </c>
      <c r="AK66" s="152" t="s">
        <v>1454</v>
      </c>
      <c r="AL66" s="152" t="s">
        <v>2174</v>
      </c>
      <c r="AM66" s="152" t="s">
        <v>1671</v>
      </c>
      <c r="AN66" s="160" t="s">
        <v>1455</v>
      </c>
      <c r="AO66" s="152" t="s">
        <v>1878</v>
      </c>
      <c r="AP66" s="161">
        <v>0</v>
      </c>
      <c r="AQ66" s="162">
        <v>4043.65</v>
      </c>
      <c r="AR66" s="170">
        <v>129.61000000000001</v>
      </c>
      <c r="AS66" s="171">
        <v>1</v>
      </c>
      <c r="AT66" s="166">
        <v>5.2409999999999997</v>
      </c>
      <c r="AU66" s="166">
        <v>5.2409999999999997</v>
      </c>
      <c r="AV66" s="152"/>
      <c r="AW66" s="152"/>
      <c r="AX66" t="s">
        <v>72</v>
      </c>
      <c r="AY66" t="s">
        <v>16</v>
      </c>
      <c r="AZ66" s="45">
        <v>1.1522950792532299E-4</v>
      </c>
      <c r="BA66" s="45">
        <v>2.1353990504633398E-6</v>
      </c>
    </row>
    <row r="67" spans="1:53" x14ac:dyDescent="0.25">
      <c r="A67" s="152">
        <v>424</v>
      </c>
      <c r="B67" s="152">
        <v>7228</v>
      </c>
      <c r="C67" s="152">
        <v>513326439</v>
      </c>
      <c r="D67" s="152" t="s">
        <v>1721</v>
      </c>
      <c r="E67" s="152" t="s">
        <v>2197</v>
      </c>
      <c r="F67" s="152">
        <v>29199</v>
      </c>
      <c r="G67" s="152" t="s">
        <v>2165</v>
      </c>
      <c r="H67" s="152"/>
      <c r="I67" s="152" t="s">
        <v>71</v>
      </c>
      <c r="J67" s="152" t="s">
        <v>71</v>
      </c>
      <c r="K67" s="152" t="s">
        <v>234</v>
      </c>
      <c r="L67" s="152" t="s">
        <v>72</v>
      </c>
      <c r="M67" s="152" t="s">
        <v>373</v>
      </c>
      <c r="N67" s="152">
        <v>11898506</v>
      </c>
      <c r="O67" s="160" t="s">
        <v>2180</v>
      </c>
      <c r="P67" s="152" t="s">
        <v>228</v>
      </c>
      <c r="Q67" s="152" t="s">
        <v>219</v>
      </c>
      <c r="R67" s="152" t="s">
        <v>2168</v>
      </c>
      <c r="S67" s="152" t="s">
        <v>81</v>
      </c>
      <c r="T67" s="166">
        <v>3.01</v>
      </c>
      <c r="U67" s="152" t="s">
        <v>2184</v>
      </c>
      <c r="V67" s="161">
        <v>5.6691999999999999E-2</v>
      </c>
      <c r="W67" s="152" t="s">
        <v>2169</v>
      </c>
      <c r="X67" s="152" t="s">
        <v>2120</v>
      </c>
      <c r="Y67" s="167">
        <v>0</v>
      </c>
      <c r="Z67" s="168">
        <v>2.93E-2</v>
      </c>
      <c r="AA67" s="152" t="s">
        <v>2198</v>
      </c>
      <c r="AB67" s="152" t="s">
        <v>222</v>
      </c>
      <c r="AC67" s="152" t="s">
        <v>1626</v>
      </c>
      <c r="AD67" s="166">
        <v>482000</v>
      </c>
      <c r="AE67" s="168">
        <v>0.73</v>
      </c>
      <c r="AF67" s="152" t="s">
        <v>1878</v>
      </c>
      <c r="AG67" s="152" t="s">
        <v>72</v>
      </c>
      <c r="AH67" s="152"/>
      <c r="AI67" s="152" t="s">
        <v>2182</v>
      </c>
      <c r="AJ67" s="152" t="s">
        <v>373</v>
      </c>
      <c r="AK67" s="152" t="s">
        <v>1454</v>
      </c>
      <c r="AL67" s="152" t="s">
        <v>2174</v>
      </c>
      <c r="AM67" s="152" t="s">
        <v>1671</v>
      </c>
      <c r="AN67" s="160" t="s">
        <v>1455</v>
      </c>
      <c r="AO67" s="152" t="s">
        <v>1878</v>
      </c>
      <c r="AP67" s="161">
        <v>0</v>
      </c>
      <c r="AQ67" s="162">
        <v>8142.07</v>
      </c>
      <c r="AR67" s="170">
        <v>130.01</v>
      </c>
      <c r="AS67" s="171">
        <v>1</v>
      </c>
      <c r="AT67" s="166">
        <v>10.586</v>
      </c>
      <c r="AU67" s="166">
        <v>10.586</v>
      </c>
      <c r="AV67" s="152"/>
      <c r="AW67" s="152"/>
      <c r="AX67" t="s">
        <v>72</v>
      </c>
      <c r="AY67" t="s">
        <v>16</v>
      </c>
      <c r="AZ67" s="45">
        <v>2.3273581935354901E-4</v>
      </c>
      <c r="BA67" s="45">
        <v>4.3129911478790502E-6</v>
      </c>
    </row>
    <row r="68" spans="1:53" x14ac:dyDescent="0.25">
      <c r="A68" s="152">
        <v>424</v>
      </c>
      <c r="B68" s="152">
        <v>7228</v>
      </c>
      <c r="C68" s="152">
        <v>513326439</v>
      </c>
      <c r="D68" s="152" t="s">
        <v>1721</v>
      </c>
      <c r="E68" s="152" t="s">
        <v>2199</v>
      </c>
      <c r="F68" s="152">
        <v>97287</v>
      </c>
      <c r="G68" s="152" t="s">
        <v>2165</v>
      </c>
      <c r="H68" s="152"/>
      <c r="I68" s="152" t="s">
        <v>71</v>
      </c>
      <c r="J68" s="152" t="s">
        <v>71</v>
      </c>
      <c r="K68" s="152" t="s">
        <v>234</v>
      </c>
      <c r="L68" s="152" t="s">
        <v>72</v>
      </c>
      <c r="M68" s="152" t="s">
        <v>373</v>
      </c>
      <c r="N68" s="152">
        <v>11898509</v>
      </c>
      <c r="O68" s="160" t="s">
        <v>2200</v>
      </c>
      <c r="P68" s="152" t="s">
        <v>228</v>
      </c>
      <c r="Q68" s="152" t="s">
        <v>219</v>
      </c>
      <c r="R68" s="152" t="s">
        <v>2168</v>
      </c>
      <c r="S68" s="152" t="s">
        <v>81</v>
      </c>
      <c r="T68" s="166">
        <v>3.01</v>
      </c>
      <c r="U68" s="152" t="s">
        <v>2184</v>
      </c>
      <c r="V68" s="161">
        <v>5.5E-2</v>
      </c>
      <c r="W68" s="152" t="s">
        <v>2169</v>
      </c>
      <c r="X68" s="152" t="s">
        <v>2170</v>
      </c>
      <c r="Y68" s="167">
        <v>5.5E-2</v>
      </c>
      <c r="Z68" s="168">
        <v>2.9399999999999999E-2</v>
      </c>
      <c r="AA68" s="152" t="s">
        <v>2188</v>
      </c>
      <c r="AB68" s="152" t="s">
        <v>222</v>
      </c>
      <c r="AC68" s="152" t="s">
        <v>1626</v>
      </c>
      <c r="AD68" s="166">
        <v>482000</v>
      </c>
      <c r="AE68" s="168">
        <v>0.73</v>
      </c>
      <c r="AF68" s="152" t="s">
        <v>1878</v>
      </c>
      <c r="AG68" s="152" t="s">
        <v>72</v>
      </c>
      <c r="AH68" s="152"/>
      <c r="AI68" s="152" t="s">
        <v>2182</v>
      </c>
      <c r="AJ68" s="152" t="s">
        <v>373</v>
      </c>
      <c r="AK68" s="152" t="s">
        <v>1454</v>
      </c>
      <c r="AL68" s="152" t="s">
        <v>2174</v>
      </c>
      <c r="AM68" s="152" t="s">
        <v>1671</v>
      </c>
      <c r="AN68" s="160" t="s">
        <v>1455</v>
      </c>
      <c r="AO68" s="152" t="s">
        <v>1878</v>
      </c>
      <c r="AP68" s="161">
        <v>0</v>
      </c>
      <c r="AQ68" s="162">
        <v>4885.6000000000004</v>
      </c>
      <c r="AR68" s="170">
        <v>129.97</v>
      </c>
      <c r="AS68" s="171">
        <v>1</v>
      </c>
      <c r="AT68" s="166">
        <v>6.35</v>
      </c>
      <c r="AU68" s="166">
        <v>6.35</v>
      </c>
      <c r="AV68" s="152"/>
      <c r="AW68" s="152"/>
      <c r="AX68" t="s">
        <v>72</v>
      </c>
      <c r="AY68" t="s">
        <v>16</v>
      </c>
      <c r="AZ68" s="45">
        <v>1.39608758354853E-4</v>
      </c>
      <c r="BA68" s="45">
        <v>2.5871880857160502E-6</v>
      </c>
    </row>
    <row r="69" spans="1:53" x14ac:dyDescent="0.25">
      <c r="A69" s="152">
        <v>424</v>
      </c>
      <c r="B69" s="152">
        <v>7228</v>
      </c>
      <c r="C69" s="152">
        <v>513326439</v>
      </c>
      <c r="D69" s="152" t="s">
        <v>1721</v>
      </c>
      <c r="E69" s="152" t="s">
        <v>2201</v>
      </c>
      <c r="F69" s="152">
        <v>97345</v>
      </c>
      <c r="G69" s="152" t="s">
        <v>2165</v>
      </c>
      <c r="H69" s="152"/>
      <c r="I69" s="152" t="s">
        <v>71</v>
      </c>
      <c r="J69" s="152" t="s">
        <v>71</v>
      </c>
      <c r="K69" s="152" t="s">
        <v>234</v>
      </c>
      <c r="L69" s="152" t="s">
        <v>72</v>
      </c>
      <c r="M69" s="152" t="s">
        <v>373</v>
      </c>
      <c r="N69" s="152">
        <v>11898507</v>
      </c>
      <c r="O69" s="160" t="s">
        <v>2202</v>
      </c>
      <c r="P69" s="152" t="s">
        <v>228</v>
      </c>
      <c r="Q69" s="152" t="s">
        <v>219</v>
      </c>
      <c r="R69" s="152" t="s">
        <v>2168</v>
      </c>
      <c r="S69" s="152" t="s">
        <v>81</v>
      </c>
      <c r="T69" s="166">
        <v>3.01</v>
      </c>
      <c r="U69" s="152" t="s">
        <v>2184</v>
      </c>
      <c r="V69" s="161">
        <v>5.5E-2</v>
      </c>
      <c r="W69" s="152" t="s">
        <v>2169</v>
      </c>
      <c r="X69" s="152" t="s">
        <v>2170</v>
      </c>
      <c r="Y69" s="167">
        <v>5.5E-2</v>
      </c>
      <c r="Z69" s="168">
        <v>2.9399999999999999E-2</v>
      </c>
      <c r="AA69" s="152" t="s">
        <v>2188</v>
      </c>
      <c r="AB69" s="152" t="s">
        <v>222</v>
      </c>
      <c r="AC69" s="152" t="s">
        <v>1626</v>
      </c>
      <c r="AD69" s="166">
        <v>482000</v>
      </c>
      <c r="AE69" s="168">
        <v>0.73</v>
      </c>
      <c r="AF69" s="152" t="s">
        <v>1878</v>
      </c>
      <c r="AG69" s="152" t="s">
        <v>72</v>
      </c>
      <c r="AH69" s="152"/>
      <c r="AI69" s="152" t="s">
        <v>2182</v>
      </c>
      <c r="AJ69" s="152" t="s">
        <v>373</v>
      </c>
      <c r="AK69" s="152" t="s">
        <v>1454</v>
      </c>
      <c r="AL69" s="152" t="s">
        <v>2174</v>
      </c>
      <c r="AM69" s="152" t="s">
        <v>1671</v>
      </c>
      <c r="AN69" s="160" t="s">
        <v>1455</v>
      </c>
      <c r="AO69" s="152" t="s">
        <v>1878</v>
      </c>
      <c r="AP69" s="161">
        <v>0</v>
      </c>
      <c r="AQ69" s="162">
        <v>87986.84</v>
      </c>
      <c r="AR69" s="170">
        <v>129.93</v>
      </c>
      <c r="AS69" s="171">
        <v>1</v>
      </c>
      <c r="AT69" s="166">
        <v>114.321</v>
      </c>
      <c r="AU69" s="166">
        <v>114.321</v>
      </c>
      <c r="AV69" s="152"/>
      <c r="AW69" s="152"/>
      <c r="AX69" t="s">
        <v>72</v>
      </c>
      <c r="AY69" t="s">
        <v>16</v>
      </c>
      <c r="AZ69" s="45">
        <v>2.5134994680786902E-3</v>
      </c>
      <c r="BA69" s="45">
        <v>4.6579426347579002E-5</v>
      </c>
    </row>
    <row r="70" spans="1:53" x14ac:dyDescent="0.25">
      <c r="A70" s="152">
        <v>424</v>
      </c>
      <c r="B70" s="152">
        <v>7228</v>
      </c>
      <c r="C70" s="152">
        <v>513326439</v>
      </c>
      <c r="D70" s="152" t="s">
        <v>1721</v>
      </c>
      <c r="E70" s="152" t="s">
        <v>2203</v>
      </c>
      <c r="F70" s="152">
        <v>28415</v>
      </c>
      <c r="G70" s="152" t="s">
        <v>2165</v>
      </c>
      <c r="H70" s="152"/>
      <c r="I70" s="152" t="s">
        <v>71</v>
      </c>
      <c r="J70" s="152" t="s">
        <v>71</v>
      </c>
      <c r="K70" s="152" t="s">
        <v>234</v>
      </c>
      <c r="L70" s="152" t="s">
        <v>72</v>
      </c>
      <c r="M70" s="152" t="s">
        <v>373</v>
      </c>
      <c r="N70" s="152">
        <v>11898160</v>
      </c>
      <c r="O70" s="160" t="s">
        <v>2204</v>
      </c>
      <c r="P70" s="152" t="s">
        <v>228</v>
      </c>
      <c r="Q70" s="152" t="s">
        <v>219</v>
      </c>
      <c r="R70" s="152" t="s">
        <v>2168</v>
      </c>
      <c r="S70" s="152" t="s">
        <v>81</v>
      </c>
      <c r="T70" s="166">
        <v>3.01</v>
      </c>
      <c r="U70" s="152" t="s">
        <v>2184</v>
      </c>
      <c r="V70" s="161">
        <v>5.5E-2</v>
      </c>
      <c r="W70" s="152" t="s">
        <v>2169</v>
      </c>
      <c r="X70" s="152" t="s">
        <v>2170</v>
      </c>
      <c r="Y70" s="167">
        <v>5.5E-2</v>
      </c>
      <c r="Z70" s="168">
        <v>2.9399999999999999E-2</v>
      </c>
      <c r="AA70" s="152" t="s">
        <v>2181</v>
      </c>
      <c r="AB70" s="152" t="s">
        <v>222</v>
      </c>
      <c r="AC70" s="152" t="s">
        <v>1626</v>
      </c>
      <c r="AD70" s="166">
        <v>482000</v>
      </c>
      <c r="AE70" s="168">
        <v>0.73</v>
      </c>
      <c r="AF70" s="152" t="s">
        <v>1878</v>
      </c>
      <c r="AG70" s="152" t="s">
        <v>72</v>
      </c>
      <c r="AH70" s="152"/>
      <c r="AI70" s="152" t="s">
        <v>2182</v>
      </c>
      <c r="AJ70" s="152" t="s">
        <v>373</v>
      </c>
      <c r="AK70" s="152" t="s">
        <v>1454</v>
      </c>
      <c r="AL70" s="152" t="s">
        <v>2174</v>
      </c>
      <c r="AM70" s="152" t="s">
        <v>1671</v>
      </c>
      <c r="AN70" s="160" t="s">
        <v>1455</v>
      </c>
      <c r="AO70" s="152" t="s">
        <v>1878</v>
      </c>
      <c r="AP70" s="161">
        <v>0</v>
      </c>
      <c r="AQ70" s="162">
        <v>10072.84</v>
      </c>
      <c r="AR70" s="170">
        <v>126.78</v>
      </c>
      <c r="AS70" s="171">
        <v>1</v>
      </c>
      <c r="AT70" s="166">
        <v>12.77</v>
      </c>
      <c r="AU70" s="166">
        <v>12.77</v>
      </c>
      <c r="AV70" s="152"/>
      <c r="AW70" s="152"/>
      <c r="AX70" t="s">
        <v>72</v>
      </c>
      <c r="AY70" t="s">
        <v>16</v>
      </c>
      <c r="AZ70" s="45">
        <v>2.8077234010929201E-4</v>
      </c>
      <c r="BA70" s="45">
        <v>5.2031896973326796E-6</v>
      </c>
    </row>
    <row r="71" spans="1:53" x14ac:dyDescent="0.25">
      <c r="A71" s="152">
        <v>424</v>
      </c>
      <c r="B71" s="152">
        <v>7228</v>
      </c>
      <c r="C71" s="152">
        <v>513326439</v>
      </c>
      <c r="D71" s="152" t="s">
        <v>1721</v>
      </c>
      <c r="E71" s="152" t="s">
        <v>2205</v>
      </c>
      <c r="F71" s="152">
        <v>24836</v>
      </c>
      <c r="G71" s="152" t="s">
        <v>2165</v>
      </c>
      <c r="H71" s="152"/>
      <c r="I71" s="152" t="s">
        <v>71</v>
      </c>
      <c r="J71" s="152" t="s">
        <v>71</v>
      </c>
      <c r="K71" s="152" t="s">
        <v>234</v>
      </c>
      <c r="L71" s="152" t="s">
        <v>72</v>
      </c>
      <c r="M71" s="152" t="s">
        <v>373</v>
      </c>
      <c r="N71" s="152">
        <v>11898200</v>
      </c>
      <c r="O71" s="160" t="s">
        <v>2180</v>
      </c>
      <c r="P71" s="152" t="s">
        <v>228</v>
      </c>
      <c r="Q71" s="152" t="s">
        <v>219</v>
      </c>
      <c r="R71" s="152" t="s">
        <v>2168</v>
      </c>
      <c r="S71" s="152" t="s">
        <v>81</v>
      </c>
      <c r="T71" s="166">
        <v>3.02</v>
      </c>
      <c r="U71" s="152" t="s">
        <v>286</v>
      </c>
      <c r="V71" s="161">
        <v>5.5E-2</v>
      </c>
      <c r="W71" s="152" t="s">
        <v>2169</v>
      </c>
      <c r="X71" s="152" t="s">
        <v>2120</v>
      </c>
      <c r="Y71" s="167">
        <v>0</v>
      </c>
      <c r="Z71" s="168">
        <v>2.93E-2</v>
      </c>
      <c r="AA71" s="152" t="s">
        <v>2181</v>
      </c>
      <c r="AB71" s="152" t="s">
        <v>222</v>
      </c>
      <c r="AC71" s="152" t="s">
        <v>1626</v>
      </c>
      <c r="AD71" s="166">
        <v>482000</v>
      </c>
      <c r="AE71" s="168">
        <v>0.73</v>
      </c>
      <c r="AF71" s="152" t="s">
        <v>1878</v>
      </c>
      <c r="AG71" s="152" t="s">
        <v>72</v>
      </c>
      <c r="AH71" s="152"/>
      <c r="AI71" s="152" t="s">
        <v>2182</v>
      </c>
      <c r="AJ71" s="152" t="s">
        <v>373</v>
      </c>
      <c r="AK71" s="152" t="s">
        <v>1454</v>
      </c>
      <c r="AL71" s="152" t="s">
        <v>2174</v>
      </c>
      <c r="AM71" s="152" t="s">
        <v>1671</v>
      </c>
      <c r="AN71" s="160" t="s">
        <v>1455</v>
      </c>
      <c r="AO71" s="152" t="s">
        <v>1878</v>
      </c>
      <c r="AP71" s="161">
        <v>0</v>
      </c>
      <c r="AQ71" s="162">
        <v>8343.23</v>
      </c>
      <c r="AR71" s="170">
        <v>126.72</v>
      </c>
      <c r="AS71" s="171">
        <v>1</v>
      </c>
      <c r="AT71" s="166">
        <v>10.573</v>
      </c>
      <c r="AU71" s="166">
        <v>10.573</v>
      </c>
      <c r="AV71" s="152"/>
      <c r="AW71" s="152"/>
      <c r="AX71" t="s">
        <v>72</v>
      </c>
      <c r="AY71" t="s">
        <v>16</v>
      </c>
      <c r="AZ71" s="45">
        <v>2.32450785975717E-4</v>
      </c>
      <c r="BA71" s="45">
        <v>4.3077089938949599E-6</v>
      </c>
    </row>
    <row r="72" spans="1:53" x14ac:dyDescent="0.25">
      <c r="A72" s="152">
        <v>424</v>
      </c>
      <c r="B72" s="152">
        <v>7228</v>
      </c>
      <c r="C72" s="152">
        <v>513326439</v>
      </c>
      <c r="D72" s="152" t="s">
        <v>1721</v>
      </c>
      <c r="E72" s="152" t="s">
        <v>2206</v>
      </c>
      <c r="F72" s="152">
        <v>97329</v>
      </c>
      <c r="G72" s="152" t="s">
        <v>2165</v>
      </c>
      <c r="H72" s="152"/>
      <c r="I72" s="152" t="s">
        <v>71</v>
      </c>
      <c r="J72" s="152" t="s">
        <v>71</v>
      </c>
      <c r="K72" s="152" t="s">
        <v>234</v>
      </c>
      <c r="L72" s="152" t="s">
        <v>72</v>
      </c>
      <c r="M72" s="152" t="s">
        <v>373</v>
      </c>
      <c r="N72" s="152">
        <v>11898514</v>
      </c>
      <c r="O72" s="160" t="s">
        <v>2207</v>
      </c>
      <c r="P72" s="152" t="s">
        <v>228</v>
      </c>
      <c r="Q72" s="152" t="s">
        <v>219</v>
      </c>
      <c r="R72" s="152" t="s">
        <v>2168</v>
      </c>
      <c r="S72" s="152" t="s">
        <v>81</v>
      </c>
      <c r="T72" s="166">
        <v>3.01</v>
      </c>
      <c r="U72" s="152" t="s">
        <v>2184</v>
      </c>
      <c r="V72" s="161">
        <v>5.5E-2</v>
      </c>
      <c r="W72" s="152" t="s">
        <v>2169</v>
      </c>
      <c r="X72" s="152" t="s">
        <v>2170</v>
      </c>
      <c r="Y72" s="167">
        <v>5.5E-2</v>
      </c>
      <c r="Z72" s="168">
        <v>2.9399999999999999E-2</v>
      </c>
      <c r="AA72" s="152" t="s">
        <v>2188</v>
      </c>
      <c r="AB72" s="152" t="s">
        <v>222</v>
      </c>
      <c r="AC72" s="152" t="s">
        <v>1626</v>
      </c>
      <c r="AD72" s="166">
        <v>482000</v>
      </c>
      <c r="AE72" s="168">
        <v>0.73</v>
      </c>
      <c r="AF72" s="152" t="s">
        <v>1878</v>
      </c>
      <c r="AG72" s="152" t="s">
        <v>72</v>
      </c>
      <c r="AH72" s="152"/>
      <c r="AI72" s="152" t="s">
        <v>2182</v>
      </c>
      <c r="AJ72" s="152" t="s">
        <v>373</v>
      </c>
      <c r="AK72" s="152" t="s">
        <v>1454</v>
      </c>
      <c r="AL72" s="152" t="s">
        <v>2174</v>
      </c>
      <c r="AM72" s="152" t="s">
        <v>1671</v>
      </c>
      <c r="AN72" s="160" t="s">
        <v>1455</v>
      </c>
      <c r="AO72" s="152" t="s">
        <v>1878</v>
      </c>
      <c r="AP72" s="161">
        <v>0</v>
      </c>
      <c r="AQ72" s="162">
        <v>19076.150000000001</v>
      </c>
      <c r="AR72" s="170">
        <v>128.94</v>
      </c>
      <c r="AS72" s="171">
        <v>1</v>
      </c>
      <c r="AT72" s="166">
        <v>24.597000000000001</v>
      </c>
      <c r="AU72" s="166">
        <v>24.597000000000001</v>
      </c>
      <c r="AV72" s="152"/>
      <c r="AW72" s="152"/>
      <c r="AX72" t="s">
        <v>72</v>
      </c>
      <c r="AY72" t="s">
        <v>16</v>
      </c>
      <c r="AZ72" s="45">
        <v>5.4079171966588797E-4</v>
      </c>
      <c r="BA72" s="45">
        <v>1.00217916874328E-5</v>
      </c>
    </row>
    <row r="73" spans="1:53" x14ac:dyDescent="0.25">
      <c r="A73" s="152">
        <v>424</v>
      </c>
      <c r="B73" s="152">
        <v>7228</v>
      </c>
      <c r="C73" s="152">
        <v>513326439</v>
      </c>
      <c r="D73" s="152" t="s">
        <v>1721</v>
      </c>
      <c r="E73" s="152" t="s">
        <v>2208</v>
      </c>
      <c r="F73" s="152">
        <v>24869</v>
      </c>
      <c r="G73" s="152" t="s">
        <v>2165</v>
      </c>
      <c r="H73" s="152"/>
      <c r="I73" s="152" t="s">
        <v>71</v>
      </c>
      <c r="J73" s="152" t="s">
        <v>71</v>
      </c>
      <c r="K73" s="152" t="s">
        <v>234</v>
      </c>
      <c r="L73" s="152" t="s">
        <v>72</v>
      </c>
      <c r="M73" s="152" t="s">
        <v>373</v>
      </c>
      <c r="N73" s="152">
        <v>11898230</v>
      </c>
      <c r="O73" s="160" t="s">
        <v>2209</v>
      </c>
      <c r="P73" s="152" t="s">
        <v>228</v>
      </c>
      <c r="Q73" s="152" t="s">
        <v>219</v>
      </c>
      <c r="R73" s="152" t="s">
        <v>2168</v>
      </c>
      <c r="S73" s="152" t="s">
        <v>81</v>
      </c>
      <c r="T73" s="166">
        <v>3.01</v>
      </c>
      <c r="U73" s="152" t="s">
        <v>2184</v>
      </c>
      <c r="V73" s="161">
        <v>5.5E-2</v>
      </c>
      <c r="W73" s="152" t="s">
        <v>2169</v>
      </c>
      <c r="X73" s="152" t="s">
        <v>2170</v>
      </c>
      <c r="Y73" s="167">
        <v>5.5E-2</v>
      </c>
      <c r="Z73" s="168">
        <v>2.9399999999999999E-2</v>
      </c>
      <c r="AA73" s="152" t="s">
        <v>2181</v>
      </c>
      <c r="AB73" s="152" t="s">
        <v>222</v>
      </c>
      <c r="AC73" s="152" t="s">
        <v>1626</v>
      </c>
      <c r="AD73" s="166">
        <v>482000</v>
      </c>
      <c r="AE73" s="168">
        <v>0.73</v>
      </c>
      <c r="AF73" s="152" t="s">
        <v>1878</v>
      </c>
      <c r="AG73" s="152" t="s">
        <v>72</v>
      </c>
      <c r="AH73" s="152"/>
      <c r="AI73" s="152" t="s">
        <v>2182</v>
      </c>
      <c r="AJ73" s="152" t="s">
        <v>373</v>
      </c>
      <c r="AK73" s="152" t="s">
        <v>1454</v>
      </c>
      <c r="AL73" s="152" t="s">
        <v>234</v>
      </c>
      <c r="AM73" s="152" t="s">
        <v>1671</v>
      </c>
      <c r="AN73" s="160" t="s">
        <v>1455</v>
      </c>
      <c r="AO73" s="152" t="s">
        <v>1878</v>
      </c>
      <c r="AP73" s="161">
        <v>0</v>
      </c>
      <c r="AQ73" s="162">
        <v>73641.539999999994</v>
      </c>
      <c r="AR73" s="170">
        <v>126.93</v>
      </c>
      <c r="AS73" s="171">
        <v>1</v>
      </c>
      <c r="AT73" s="166">
        <v>93.472999999999999</v>
      </c>
      <c r="AU73" s="166">
        <v>93.472999999999999</v>
      </c>
      <c r="AV73" s="152"/>
      <c r="AW73" s="152"/>
      <c r="AX73" t="s">
        <v>72</v>
      </c>
      <c r="AY73" t="s">
        <v>16</v>
      </c>
      <c r="AZ73" s="45">
        <v>2.0551275473996702E-3</v>
      </c>
      <c r="BA73" s="45">
        <v>3.8085013919719197E-5</v>
      </c>
    </row>
    <row r="74" spans="1:53" x14ac:dyDescent="0.25">
      <c r="A74" s="152">
        <v>424</v>
      </c>
      <c r="B74" s="152">
        <v>7228</v>
      </c>
      <c r="C74" s="152">
        <v>513326439</v>
      </c>
      <c r="D74" s="152" t="s">
        <v>1721</v>
      </c>
      <c r="E74" s="152" t="s">
        <v>2210</v>
      </c>
      <c r="F74" s="152">
        <v>78022</v>
      </c>
      <c r="G74" s="152" t="s">
        <v>2165</v>
      </c>
      <c r="H74" s="152"/>
      <c r="I74" s="152" t="s">
        <v>71</v>
      </c>
      <c r="J74" s="152" t="s">
        <v>71</v>
      </c>
      <c r="K74" s="152" t="s">
        <v>234</v>
      </c>
      <c r="L74" s="152" t="s">
        <v>72</v>
      </c>
      <c r="M74" s="152" t="s">
        <v>373</v>
      </c>
      <c r="N74" s="152">
        <v>11898515</v>
      </c>
      <c r="O74" s="160" t="s">
        <v>2180</v>
      </c>
      <c r="P74" s="152" t="s">
        <v>228</v>
      </c>
      <c r="Q74" s="152" t="s">
        <v>219</v>
      </c>
      <c r="R74" s="152" t="s">
        <v>2168</v>
      </c>
      <c r="S74" s="152" t="s">
        <v>81</v>
      </c>
      <c r="T74" s="166">
        <v>3.01</v>
      </c>
      <c r="U74" s="152" t="s">
        <v>2184</v>
      </c>
      <c r="V74" s="161">
        <v>5.5E-2</v>
      </c>
      <c r="W74" s="152" t="s">
        <v>2169</v>
      </c>
      <c r="X74" s="152" t="s">
        <v>2120</v>
      </c>
      <c r="Y74" s="167">
        <v>0</v>
      </c>
      <c r="Z74" s="168">
        <v>2.9399999999999999E-2</v>
      </c>
      <c r="AA74" s="152" t="s">
        <v>2188</v>
      </c>
      <c r="AB74" s="152" t="s">
        <v>222</v>
      </c>
      <c r="AC74" s="152" t="s">
        <v>1626</v>
      </c>
      <c r="AD74" s="166">
        <v>482000</v>
      </c>
      <c r="AE74" s="168">
        <v>0.73</v>
      </c>
      <c r="AF74" s="152" t="s">
        <v>1878</v>
      </c>
      <c r="AG74" s="152" t="s">
        <v>72</v>
      </c>
      <c r="AH74" s="152"/>
      <c r="AI74" s="152" t="s">
        <v>2182</v>
      </c>
      <c r="AJ74" s="152" t="s">
        <v>373</v>
      </c>
      <c r="AK74" s="152" t="s">
        <v>1454</v>
      </c>
      <c r="AL74" s="152" t="s">
        <v>2174</v>
      </c>
      <c r="AM74" s="152" t="s">
        <v>1671</v>
      </c>
      <c r="AN74" s="160" t="s">
        <v>1455</v>
      </c>
      <c r="AO74" s="152" t="s">
        <v>1878</v>
      </c>
      <c r="AP74" s="161">
        <v>0</v>
      </c>
      <c r="AQ74" s="162">
        <v>89448.73</v>
      </c>
      <c r="AR74" s="170">
        <v>128.9</v>
      </c>
      <c r="AS74" s="171">
        <v>1</v>
      </c>
      <c r="AT74" s="166">
        <v>115.29900000000001</v>
      </c>
      <c r="AU74" s="166">
        <v>115.29900000000001</v>
      </c>
      <c r="AV74" s="152"/>
      <c r="AW74" s="152"/>
      <c r="AX74" t="s">
        <v>72</v>
      </c>
      <c r="AY74" t="s">
        <v>16</v>
      </c>
      <c r="AZ74" s="45">
        <v>2.5350045013261299E-3</v>
      </c>
      <c r="BA74" s="45">
        <v>4.6977951242838697E-5</v>
      </c>
    </row>
    <row r="75" spans="1:53" x14ac:dyDescent="0.25">
      <c r="A75" s="152">
        <v>424</v>
      </c>
      <c r="B75" s="152">
        <v>7228</v>
      </c>
      <c r="C75" s="152">
        <v>513326439</v>
      </c>
      <c r="D75" s="152" t="s">
        <v>1721</v>
      </c>
      <c r="E75" s="152" t="s">
        <v>2211</v>
      </c>
      <c r="F75" s="152">
        <v>78006</v>
      </c>
      <c r="G75" s="152" t="s">
        <v>2165</v>
      </c>
      <c r="H75" s="152"/>
      <c r="I75" s="152" t="s">
        <v>71</v>
      </c>
      <c r="J75" s="152" t="s">
        <v>71</v>
      </c>
      <c r="K75" s="152" t="s">
        <v>234</v>
      </c>
      <c r="L75" s="152" t="s">
        <v>72</v>
      </c>
      <c r="M75" s="152" t="s">
        <v>373</v>
      </c>
      <c r="N75" s="152">
        <v>11898502</v>
      </c>
      <c r="O75" s="160" t="s">
        <v>2180</v>
      </c>
      <c r="P75" s="152" t="s">
        <v>228</v>
      </c>
      <c r="Q75" s="152" t="s">
        <v>219</v>
      </c>
      <c r="R75" s="152" t="s">
        <v>2168</v>
      </c>
      <c r="S75" s="152" t="s">
        <v>81</v>
      </c>
      <c r="T75" s="166">
        <v>3.01</v>
      </c>
      <c r="U75" s="152" t="s">
        <v>2184</v>
      </c>
      <c r="V75" s="161">
        <v>5.5888E-2</v>
      </c>
      <c r="W75" s="152" t="s">
        <v>2169</v>
      </c>
      <c r="X75" s="152" t="s">
        <v>2120</v>
      </c>
      <c r="Y75" s="167">
        <v>0</v>
      </c>
      <c r="Z75" s="168">
        <v>2.93E-2</v>
      </c>
      <c r="AA75" s="152" t="s">
        <v>2188</v>
      </c>
      <c r="AB75" s="152" t="s">
        <v>222</v>
      </c>
      <c r="AC75" s="152" t="s">
        <v>1626</v>
      </c>
      <c r="AD75" s="166">
        <v>482000</v>
      </c>
      <c r="AE75" s="168">
        <v>0.73</v>
      </c>
      <c r="AF75" s="152" t="s">
        <v>1878</v>
      </c>
      <c r="AG75" s="152" t="s">
        <v>72</v>
      </c>
      <c r="AH75" s="152"/>
      <c r="AI75" s="152" t="s">
        <v>2182</v>
      </c>
      <c r="AJ75" s="152" t="s">
        <v>373</v>
      </c>
      <c r="AK75" s="152" t="s">
        <v>1454</v>
      </c>
      <c r="AL75" s="152" t="s">
        <v>2174</v>
      </c>
      <c r="AM75" s="152" t="s">
        <v>1671</v>
      </c>
      <c r="AN75" s="160" t="s">
        <v>1455</v>
      </c>
      <c r="AO75" s="152" t="s">
        <v>1878</v>
      </c>
      <c r="AP75" s="161">
        <v>0</v>
      </c>
      <c r="AQ75" s="162">
        <v>18726.080000000002</v>
      </c>
      <c r="AR75" s="170">
        <v>130.19</v>
      </c>
      <c r="AS75" s="171">
        <v>1</v>
      </c>
      <c r="AT75" s="166">
        <v>24.379000000000001</v>
      </c>
      <c r="AU75" s="166">
        <v>24.379000000000001</v>
      </c>
      <c r="AV75" s="152"/>
      <c r="AW75" s="152"/>
      <c r="AX75" t="s">
        <v>72</v>
      </c>
      <c r="AY75" t="s">
        <v>16</v>
      </c>
      <c r="AZ75" s="45">
        <v>5.3601400867848905E-4</v>
      </c>
      <c r="BA75" s="45">
        <v>9.9332525650363996E-6</v>
      </c>
    </row>
    <row r="76" spans="1:53" x14ac:dyDescent="0.25">
      <c r="A76" s="152">
        <v>424</v>
      </c>
      <c r="B76" s="152">
        <v>7228</v>
      </c>
      <c r="C76" s="152">
        <v>513326439</v>
      </c>
      <c r="D76" s="152" t="s">
        <v>1721</v>
      </c>
      <c r="E76" s="152" t="s">
        <v>2212</v>
      </c>
      <c r="F76" s="152">
        <v>97279</v>
      </c>
      <c r="G76" s="152" t="s">
        <v>2165</v>
      </c>
      <c r="H76" s="152"/>
      <c r="I76" s="152" t="s">
        <v>71</v>
      </c>
      <c r="J76" s="152" t="s">
        <v>71</v>
      </c>
      <c r="K76" s="152" t="s">
        <v>234</v>
      </c>
      <c r="L76" s="152" t="s">
        <v>72</v>
      </c>
      <c r="M76" s="152" t="s">
        <v>373</v>
      </c>
      <c r="N76" s="152">
        <v>11896120</v>
      </c>
      <c r="O76" s="160" t="s">
        <v>2213</v>
      </c>
      <c r="P76" s="152" t="s">
        <v>228</v>
      </c>
      <c r="Q76" s="152" t="s">
        <v>219</v>
      </c>
      <c r="R76" s="152" t="s">
        <v>2168</v>
      </c>
      <c r="S76" s="152" t="s">
        <v>81</v>
      </c>
      <c r="T76" s="166">
        <v>3.01</v>
      </c>
      <c r="U76" s="152" t="s">
        <v>2184</v>
      </c>
      <c r="V76" s="161">
        <v>5.6193E-2</v>
      </c>
      <c r="W76" s="152" t="s">
        <v>2169</v>
      </c>
      <c r="X76" s="152" t="s">
        <v>2170</v>
      </c>
      <c r="Y76" s="167">
        <v>5.6193E-2</v>
      </c>
      <c r="Z76" s="168">
        <v>2.9399999999999999E-2</v>
      </c>
      <c r="AA76" s="152" t="s">
        <v>2188</v>
      </c>
      <c r="AB76" s="152" t="s">
        <v>222</v>
      </c>
      <c r="AC76" s="152" t="s">
        <v>1626</v>
      </c>
      <c r="AD76" s="166">
        <v>482000</v>
      </c>
      <c r="AE76" s="168">
        <v>0.73</v>
      </c>
      <c r="AF76" s="152" t="s">
        <v>1878</v>
      </c>
      <c r="AG76" s="152" t="s">
        <v>72</v>
      </c>
      <c r="AH76" s="152"/>
      <c r="AI76" s="152" t="s">
        <v>2182</v>
      </c>
      <c r="AJ76" s="152" t="s">
        <v>373</v>
      </c>
      <c r="AK76" s="152" t="s">
        <v>1454</v>
      </c>
      <c r="AL76" s="152" t="s">
        <v>2174</v>
      </c>
      <c r="AM76" s="152" t="s">
        <v>1671</v>
      </c>
      <c r="AN76" s="160" t="s">
        <v>1455</v>
      </c>
      <c r="AO76" s="152" t="s">
        <v>1878</v>
      </c>
      <c r="AP76" s="161">
        <v>0</v>
      </c>
      <c r="AQ76" s="162">
        <v>26316.720000000001</v>
      </c>
      <c r="AR76" s="170">
        <v>129.61000000000001</v>
      </c>
      <c r="AS76" s="171">
        <v>1</v>
      </c>
      <c r="AT76" s="166">
        <v>34.109000000000002</v>
      </c>
      <c r="AU76" s="166">
        <v>34.109000000000002</v>
      </c>
      <c r="AV76" s="152"/>
      <c r="AW76" s="152"/>
      <c r="AX76" t="s">
        <v>72</v>
      </c>
      <c r="AY76" t="s">
        <v>16</v>
      </c>
      <c r="AZ76" s="45">
        <v>7.4993204055951801E-4</v>
      </c>
      <c r="BA76" s="45">
        <v>1.3897518059008401E-5</v>
      </c>
    </row>
    <row r="77" spans="1:53" x14ac:dyDescent="0.25">
      <c r="A77" s="152">
        <v>424</v>
      </c>
      <c r="B77" s="152">
        <v>7228</v>
      </c>
      <c r="C77" s="152">
        <v>513326439</v>
      </c>
      <c r="D77" s="152" t="s">
        <v>1721</v>
      </c>
      <c r="E77" s="152" t="s">
        <v>2214</v>
      </c>
      <c r="F77" s="152">
        <v>28704</v>
      </c>
      <c r="G77" s="152" t="s">
        <v>2165</v>
      </c>
      <c r="H77" s="152"/>
      <c r="I77" s="152" t="s">
        <v>71</v>
      </c>
      <c r="J77" s="152" t="s">
        <v>71</v>
      </c>
      <c r="K77" s="152" t="s">
        <v>234</v>
      </c>
      <c r="L77" s="152" t="s">
        <v>72</v>
      </c>
      <c r="M77" s="152" t="s">
        <v>373</v>
      </c>
      <c r="N77" s="152">
        <v>11898300</v>
      </c>
      <c r="O77" s="160" t="s">
        <v>2180</v>
      </c>
      <c r="P77" s="152" t="s">
        <v>228</v>
      </c>
      <c r="Q77" s="152" t="s">
        <v>219</v>
      </c>
      <c r="R77" s="152" t="s">
        <v>2168</v>
      </c>
      <c r="S77" s="152" t="s">
        <v>81</v>
      </c>
      <c r="T77" s="166">
        <v>3.01</v>
      </c>
      <c r="U77" s="152" t="s">
        <v>286</v>
      </c>
      <c r="V77" s="161">
        <v>5.5E-2</v>
      </c>
      <c r="W77" s="152" t="s">
        <v>2169</v>
      </c>
      <c r="X77" s="152" t="s">
        <v>2120</v>
      </c>
      <c r="Y77" s="167">
        <v>0</v>
      </c>
      <c r="Z77" s="168">
        <v>3.15E-2</v>
      </c>
      <c r="AA77" s="152" t="s">
        <v>2181</v>
      </c>
      <c r="AB77" s="152" t="s">
        <v>222</v>
      </c>
      <c r="AC77" s="152" t="s">
        <v>1626</v>
      </c>
      <c r="AD77" s="166">
        <v>482000</v>
      </c>
      <c r="AE77" s="168">
        <v>0.73</v>
      </c>
      <c r="AF77" s="152" t="s">
        <v>1878</v>
      </c>
      <c r="AG77" s="152" t="s">
        <v>72</v>
      </c>
      <c r="AH77" s="152"/>
      <c r="AI77" s="152" t="s">
        <v>2182</v>
      </c>
      <c r="AJ77" s="152" t="s">
        <v>373</v>
      </c>
      <c r="AK77" s="152" t="s">
        <v>1454</v>
      </c>
      <c r="AL77" s="152" t="s">
        <v>2174</v>
      </c>
      <c r="AM77" s="152" t="s">
        <v>1671</v>
      </c>
      <c r="AN77" s="160" t="s">
        <v>1455</v>
      </c>
      <c r="AO77" s="152" t="s">
        <v>1878</v>
      </c>
      <c r="AP77" s="161">
        <v>0</v>
      </c>
      <c r="AQ77" s="162">
        <v>33335.339999999997</v>
      </c>
      <c r="AR77" s="170">
        <v>124.26</v>
      </c>
      <c r="AS77" s="171">
        <v>1</v>
      </c>
      <c r="AT77" s="166">
        <v>41.421999999999997</v>
      </c>
      <c r="AU77" s="166">
        <v>41.421999999999997</v>
      </c>
      <c r="AV77" s="152"/>
      <c r="AW77" s="152"/>
      <c r="AX77" t="s">
        <v>72</v>
      </c>
      <c r="AY77" t="s">
        <v>16</v>
      </c>
      <c r="AZ77" s="45">
        <v>9.10726297153083E-4</v>
      </c>
      <c r="BA77" s="45">
        <v>1.68773095120135E-5</v>
      </c>
    </row>
    <row r="78" spans="1:53" x14ac:dyDescent="0.25">
      <c r="A78" s="152">
        <v>424</v>
      </c>
      <c r="B78" s="152">
        <v>7228</v>
      </c>
      <c r="C78" s="152">
        <v>513326439</v>
      </c>
      <c r="D78" s="152" t="s">
        <v>1721</v>
      </c>
      <c r="E78" s="152" t="s">
        <v>2215</v>
      </c>
      <c r="F78" s="152">
        <v>28548</v>
      </c>
      <c r="G78" s="152" t="s">
        <v>2165</v>
      </c>
      <c r="H78" s="152"/>
      <c r="I78" s="152" t="s">
        <v>71</v>
      </c>
      <c r="J78" s="152" t="s">
        <v>71</v>
      </c>
      <c r="K78" s="152" t="s">
        <v>234</v>
      </c>
      <c r="L78" s="152" t="s">
        <v>72</v>
      </c>
      <c r="M78" s="152" t="s">
        <v>373</v>
      </c>
      <c r="N78" s="152">
        <v>11898320</v>
      </c>
      <c r="O78" s="160" t="s">
        <v>2180</v>
      </c>
      <c r="P78" s="152" t="s">
        <v>228</v>
      </c>
      <c r="Q78" s="152" t="s">
        <v>219</v>
      </c>
      <c r="R78" s="152" t="s">
        <v>2168</v>
      </c>
      <c r="S78" s="152" t="s">
        <v>81</v>
      </c>
      <c r="T78" s="166">
        <v>3.01</v>
      </c>
      <c r="U78" s="152" t="s">
        <v>286</v>
      </c>
      <c r="V78" s="161">
        <v>5.5E-2</v>
      </c>
      <c r="W78" s="152" t="s">
        <v>2169</v>
      </c>
      <c r="X78" s="152" t="s">
        <v>2120</v>
      </c>
      <c r="Y78" s="167">
        <v>0</v>
      </c>
      <c r="Z78" s="168">
        <v>2.9399999999999999E-2</v>
      </c>
      <c r="AA78" s="152" t="s">
        <v>2181</v>
      </c>
      <c r="AB78" s="152" t="s">
        <v>222</v>
      </c>
      <c r="AC78" s="152" t="s">
        <v>1626</v>
      </c>
      <c r="AD78" s="166">
        <v>482000</v>
      </c>
      <c r="AE78" s="168">
        <v>0.73</v>
      </c>
      <c r="AF78" s="152" t="s">
        <v>1878</v>
      </c>
      <c r="AG78" s="152" t="s">
        <v>72</v>
      </c>
      <c r="AH78" s="152"/>
      <c r="AI78" s="152" t="s">
        <v>2182</v>
      </c>
      <c r="AJ78" s="152" t="s">
        <v>373</v>
      </c>
      <c r="AK78" s="152" t="s">
        <v>1454</v>
      </c>
      <c r="AL78" s="152" t="s">
        <v>2174</v>
      </c>
      <c r="AM78" s="152" t="s">
        <v>1671</v>
      </c>
      <c r="AN78" s="160" t="s">
        <v>1455</v>
      </c>
      <c r="AO78" s="152" t="s">
        <v>1878</v>
      </c>
      <c r="AP78" s="161">
        <v>0</v>
      </c>
      <c r="AQ78" s="162">
        <v>4142.07</v>
      </c>
      <c r="AR78" s="170">
        <v>124.68</v>
      </c>
      <c r="AS78" s="171">
        <v>1</v>
      </c>
      <c r="AT78" s="166">
        <v>5.1639999999999997</v>
      </c>
      <c r="AU78" s="166">
        <v>5.1639999999999997</v>
      </c>
      <c r="AV78" s="152"/>
      <c r="AW78" s="152"/>
      <c r="AX78" t="s">
        <v>72</v>
      </c>
      <c r="AY78" t="s">
        <v>16</v>
      </c>
      <c r="AZ78" s="45">
        <v>1.1354443834343599E-4</v>
      </c>
      <c r="BA78" s="45">
        <v>2.1041718409584801E-6</v>
      </c>
    </row>
    <row r="79" spans="1:53" x14ac:dyDescent="0.25">
      <c r="A79" s="152">
        <v>424</v>
      </c>
      <c r="B79" s="152">
        <v>7228</v>
      </c>
      <c r="C79" s="152">
        <v>513326439</v>
      </c>
      <c r="D79" s="152" t="s">
        <v>1721</v>
      </c>
      <c r="E79" s="152" t="s">
        <v>2216</v>
      </c>
      <c r="F79" s="152">
        <v>28589</v>
      </c>
      <c r="G79" s="152" t="s">
        <v>2165</v>
      </c>
      <c r="H79" s="152"/>
      <c r="I79" s="152" t="s">
        <v>71</v>
      </c>
      <c r="J79" s="152" t="s">
        <v>71</v>
      </c>
      <c r="K79" s="152" t="s">
        <v>234</v>
      </c>
      <c r="L79" s="152" t="s">
        <v>72</v>
      </c>
      <c r="M79" s="152" t="s">
        <v>373</v>
      </c>
      <c r="N79" s="152">
        <v>11898340</v>
      </c>
      <c r="O79" s="160" t="s">
        <v>2180</v>
      </c>
      <c r="P79" s="152" t="s">
        <v>228</v>
      </c>
      <c r="Q79" s="152" t="s">
        <v>219</v>
      </c>
      <c r="R79" s="152" t="s">
        <v>2168</v>
      </c>
      <c r="S79" s="152" t="s">
        <v>81</v>
      </c>
      <c r="T79" s="166">
        <v>3.01</v>
      </c>
      <c r="U79" s="152" t="s">
        <v>286</v>
      </c>
      <c r="V79" s="161">
        <v>5.5E-2</v>
      </c>
      <c r="W79" s="152" t="s">
        <v>2169</v>
      </c>
      <c r="X79" s="152" t="s">
        <v>2120</v>
      </c>
      <c r="Y79" s="167">
        <v>0</v>
      </c>
      <c r="Z79" s="168">
        <v>2.9399999999999999E-2</v>
      </c>
      <c r="AA79" s="152" t="s">
        <v>2181</v>
      </c>
      <c r="AB79" s="152" t="s">
        <v>222</v>
      </c>
      <c r="AC79" s="152" t="s">
        <v>1626</v>
      </c>
      <c r="AD79" s="166">
        <v>482000</v>
      </c>
      <c r="AE79" s="168">
        <v>0.73</v>
      </c>
      <c r="AF79" s="152" t="s">
        <v>1878</v>
      </c>
      <c r="AG79" s="152" t="s">
        <v>72</v>
      </c>
      <c r="AH79" s="152"/>
      <c r="AI79" s="152" t="s">
        <v>2182</v>
      </c>
      <c r="AJ79" s="152" t="s">
        <v>373</v>
      </c>
      <c r="AK79" s="152" t="s">
        <v>1454</v>
      </c>
      <c r="AL79" s="152" t="s">
        <v>2174</v>
      </c>
      <c r="AM79" s="152" t="s">
        <v>1671</v>
      </c>
      <c r="AN79" s="160" t="s">
        <v>1455</v>
      </c>
      <c r="AO79" s="152" t="s">
        <v>1878</v>
      </c>
      <c r="AP79" s="161">
        <v>0</v>
      </c>
      <c r="AQ79" s="162">
        <v>9198.66</v>
      </c>
      <c r="AR79" s="170">
        <v>125.01</v>
      </c>
      <c r="AS79" s="171">
        <v>1</v>
      </c>
      <c r="AT79" s="166">
        <v>11.499000000000001</v>
      </c>
      <c r="AU79" s="166">
        <v>11.499000000000001</v>
      </c>
      <c r="AV79" s="152"/>
      <c r="AW79" s="152"/>
      <c r="AX79" t="s">
        <v>72</v>
      </c>
      <c r="AY79" t="s">
        <v>16</v>
      </c>
      <c r="AZ79" s="45">
        <v>2.5282554998563698E-4</v>
      </c>
      <c r="BA79" s="45">
        <v>4.6852880750136202E-6</v>
      </c>
    </row>
    <row r="80" spans="1:53" x14ac:dyDescent="0.25">
      <c r="A80" s="152">
        <v>424</v>
      </c>
      <c r="B80" s="152">
        <v>7228</v>
      </c>
      <c r="C80" s="152">
        <v>513326439</v>
      </c>
      <c r="D80" s="152" t="s">
        <v>1721</v>
      </c>
      <c r="E80" s="152" t="s">
        <v>2217</v>
      </c>
      <c r="F80" s="152">
        <v>97360</v>
      </c>
      <c r="G80" s="152" t="s">
        <v>2165</v>
      </c>
      <c r="H80" s="152"/>
      <c r="I80" s="152" t="s">
        <v>71</v>
      </c>
      <c r="J80" s="152" t="s">
        <v>71</v>
      </c>
      <c r="K80" s="152" t="s">
        <v>234</v>
      </c>
      <c r="L80" s="152" t="s">
        <v>72</v>
      </c>
      <c r="M80" s="152" t="s">
        <v>373</v>
      </c>
      <c r="N80" s="152">
        <v>11898503</v>
      </c>
      <c r="O80" s="160" t="s">
        <v>2218</v>
      </c>
      <c r="P80" s="152" t="s">
        <v>228</v>
      </c>
      <c r="Q80" s="152" t="s">
        <v>219</v>
      </c>
      <c r="R80" s="152" t="s">
        <v>2168</v>
      </c>
      <c r="S80" s="152" t="s">
        <v>81</v>
      </c>
      <c r="T80" s="166">
        <v>3.01</v>
      </c>
      <c r="U80" s="152" t="s">
        <v>286</v>
      </c>
      <c r="V80" s="161">
        <v>5.7230999999999997E-2</v>
      </c>
      <c r="W80" s="152" t="s">
        <v>2169</v>
      </c>
      <c r="X80" s="152" t="s">
        <v>2170</v>
      </c>
      <c r="Y80" s="167">
        <v>5.7230999999999997E-2</v>
      </c>
      <c r="Z80" s="168">
        <v>2.9399999999999999E-2</v>
      </c>
      <c r="AA80" s="152" t="s">
        <v>2188</v>
      </c>
      <c r="AB80" s="152" t="s">
        <v>222</v>
      </c>
      <c r="AC80" s="152" t="s">
        <v>1626</v>
      </c>
      <c r="AD80" s="166">
        <v>482000</v>
      </c>
      <c r="AE80" s="168">
        <v>0.73</v>
      </c>
      <c r="AF80" s="152" t="s">
        <v>1878</v>
      </c>
      <c r="AG80" s="152" t="s">
        <v>72</v>
      </c>
      <c r="AH80" s="152"/>
      <c r="AI80" s="152" t="s">
        <v>2182</v>
      </c>
      <c r="AJ80" s="152" t="s">
        <v>373</v>
      </c>
      <c r="AK80" s="152" t="s">
        <v>1454</v>
      </c>
      <c r="AL80" s="152" t="s">
        <v>2174</v>
      </c>
      <c r="AM80" s="152" t="s">
        <v>1671</v>
      </c>
      <c r="AN80" s="160" t="s">
        <v>1455</v>
      </c>
      <c r="AO80" s="152" t="s">
        <v>1878</v>
      </c>
      <c r="AP80" s="161">
        <v>0</v>
      </c>
      <c r="AQ80" s="162">
        <v>88368.7</v>
      </c>
      <c r="AR80" s="170">
        <v>130.15</v>
      </c>
      <c r="AS80" s="171">
        <v>1</v>
      </c>
      <c r="AT80" s="166">
        <v>115.012</v>
      </c>
      <c r="AU80" s="166">
        <v>115.012</v>
      </c>
      <c r="AV80" s="152"/>
      <c r="AW80" s="152"/>
      <c r="AX80" t="s">
        <v>72</v>
      </c>
      <c r="AY80" t="s">
        <v>16</v>
      </c>
      <c r="AZ80" s="45">
        <v>2.5286823499571002E-3</v>
      </c>
      <c r="BA80" s="45">
        <v>4.6860791009549801E-5</v>
      </c>
    </row>
    <row r="81" spans="1:53" x14ac:dyDescent="0.25">
      <c r="A81" s="152">
        <v>424</v>
      </c>
      <c r="B81" s="152">
        <v>7228</v>
      </c>
      <c r="C81" s="152">
        <v>513326439</v>
      </c>
      <c r="D81" s="152" t="s">
        <v>1721</v>
      </c>
      <c r="E81" s="152" t="s">
        <v>2219</v>
      </c>
      <c r="F81" s="152">
        <v>33266</v>
      </c>
      <c r="G81" s="152" t="s">
        <v>2165</v>
      </c>
      <c r="H81" s="152"/>
      <c r="I81" s="152" t="s">
        <v>71</v>
      </c>
      <c r="J81" s="152" t="s">
        <v>71</v>
      </c>
      <c r="K81" s="152" t="s">
        <v>234</v>
      </c>
      <c r="L81" s="152" t="s">
        <v>72</v>
      </c>
      <c r="M81" s="152" t="s">
        <v>373</v>
      </c>
      <c r="N81" s="152">
        <v>11896130</v>
      </c>
      <c r="O81" s="160" t="s">
        <v>2180</v>
      </c>
      <c r="P81" s="152" t="s">
        <v>228</v>
      </c>
      <c r="Q81" s="152" t="s">
        <v>219</v>
      </c>
      <c r="R81" s="152" t="s">
        <v>2168</v>
      </c>
      <c r="S81" s="152" t="s">
        <v>81</v>
      </c>
      <c r="T81" s="166">
        <v>3</v>
      </c>
      <c r="U81" s="152" t="s">
        <v>2184</v>
      </c>
      <c r="V81" s="161">
        <v>5.6619999999999997E-2</v>
      </c>
      <c r="W81" s="152" t="s">
        <v>2169</v>
      </c>
      <c r="X81" s="152" t="s">
        <v>2120</v>
      </c>
      <c r="Y81" s="167">
        <v>0</v>
      </c>
      <c r="Z81" s="168">
        <v>3.15E-2</v>
      </c>
      <c r="AA81" s="152" t="s">
        <v>2181</v>
      </c>
      <c r="AB81" s="152" t="s">
        <v>222</v>
      </c>
      <c r="AC81" s="152" t="s">
        <v>1626</v>
      </c>
      <c r="AD81" s="166">
        <v>482000</v>
      </c>
      <c r="AE81" s="168">
        <v>0.73</v>
      </c>
      <c r="AF81" s="152" t="s">
        <v>1878</v>
      </c>
      <c r="AG81" s="152" t="s">
        <v>72</v>
      </c>
      <c r="AH81" s="152"/>
      <c r="AI81" s="152" t="s">
        <v>2182</v>
      </c>
      <c r="AJ81" s="152" t="s">
        <v>373</v>
      </c>
      <c r="AK81" s="152" t="s">
        <v>1454</v>
      </c>
      <c r="AL81" s="152" t="s">
        <v>2174</v>
      </c>
      <c r="AM81" s="152" t="s">
        <v>1671</v>
      </c>
      <c r="AN81" s="160" t="s">
        <v>1455</v>
      </c>
      <c r="AO81" s="152" t="s">
        <v>1878</v>
      </c>
      <c r="AP81" s="161">
        <v>0</v>
      </c>
      <c r="AQ81" s="162">
        <v>19871.28</v>
      </c>
      <c r="AR81" s="170">
        <v>129.26</v>
      </c>
      <c r="AS81" s="171">
        <v>1</v>
      </c>
      <c r="AT81" s="166">
        <v>25.686</v>
      </c>
      <c r="AU81" s="166">
        <v>25.686</v>
      </c>
      <c r="AV81" s="152"/>
      <c r="AW81" s="152"/>
      <c r="AX81" t="s">
        <v>72</v>
      </c>
      <c r="AY81" t="s">
        <v>16</v>
      </c>
      <c r="AZ81" s="45">
        <v>5.6473100634743696E-4</v>
      </c>
      <c r="BA81" s="45">
        <v>1.04654274450521E-5</v>
      </c>
    </row>
    <row r="82" spans="1:53" x14ac:dyDescent="0.25">
      <c r="A82" s="152">
        <v>424</v>
      </c>
      <c r="B82" s="152">
        <v>7228</v>
      </c>
      <c r="C82" s="152">
        <v>513326439</v>
      </c>
      <c r="D82" s="152" t="s">
        <v>1721</v>
      </c>
      <c r="E82" s="152" t="s">
        <v>2220</v>
      </c>
      <c r="F82" s="152">
        <v>28118</v>
      </c>
      <c r="G82" s="152" t="s">
        <v>2165</v>
      </c>
      <c r="H82" s="152"/>
      <c r="I82" s="152" t="s">
        <v>71</v>
      </c>
      <c r="J82" s="152" t="s">
        <v>71</v>
      </c>
      <c r="K82" s="152" t="s">
        <v>234</v>
      </c>
      <c r="L82" s="152" t="s">
        <v>72</v>
      </c>
      <c r="M82" s="152" t="s">
        <v>373</v>
      </c>
      <c r="N82" s="152">
        <v>11898422</v>
      </c>
      <c r="O82" s="160" t="s">
        <v>2221</v>
      </c>
      <c r="P82" s="152" t="s">
        <v>228</v>
      </c>
      <c r="Q82" s="152" t="s">
        <v>219</v>
      </c>
      <c r="R82" s="152" t="s">
        <v>2168</v>
      </c>
      <c r="S82" s="152" t="s">
        <v>81</v>
      </c>
      <c r="T82" s="166">
        <v>3.01</v>
      </c>
      <c r="U82" s="152" t="s">
        <v>2184</v>
      </c>
      <c r="V82" s="161">
        <v>5.5E-2</v>
      </c>
      <c r="W82" s="152" t="s">
        <v>2169</v>
      </c>
      <c r="X82" s="152" t="s">
        <v>2170</v>
      </c>
      <c r="Y82" s="167">
        <v>5.5E-2</v>
      </c>
      <c r="Z82" s="168">
        <v>2.9399999999999999E-2</v>
      </c>
      <c r="AA82" s="152" t="s">
        <v>2188</v>
      </c>
      <c r="AB82" s="152" t="s">
        <v>222</v>
      </c>
      <c r="AC82" s="152" t="s">
        <v>1626</v>
      </c>
      <c r="AD82" s="166">
        <v>482000</v>
      </c>
      <c r="AE82" s="168">
        <v>0.73</v>
      </c>
      <c r="AF82" s="152" t="s">
        <v>1878</v>
      </c>
      <c r="AG82" s="152" t="s">
        <v>72</v>
      </c>
      <c r="AH82" s="152"/>
      <c r="AI82" s="152" t="s">
        <v>2182</v>
      </c>
      <c r="AJ82" s="152" t="s">
        <v>373</v>
      </c>
      <c r="AK82" s="152" t="s">
        <v>1454</v>
      </c>
      <c r="AL82" s="152" t="s">
        <v>2174</v>
      </c>
      <c r="AM82" s="152" t="s">
        <v>1671</v>
      </c>
      <c r="AN82" s="160" t="s">
        <v>1455</v>
      </c>
      <c r="AO82" s="152" t="s">
        <v>1878</v>
      </c>
      <c r="AP82" s="161">
        <v>0</v>
      </c>
      <c r="AQ82" s="162">
        <v>116199.59</v>
      </c>
      <c r="AR82" s="170">
        <v>126.91</v>
      </c>
      <c r="AS82" s="171">
        <v>1</v>
      </c>
      <c r="AT82" s="166">
        <v>147.46899999999999</v>
      </c>
      <c r="AU82" s="166">
        <v>147.46899999999999</v>
      </c>
      <c r="AV82" s="152"/>
      <c r="AW82" s="152"/>
      <c r="AX82" t="s">
        <v>72</v>
      </c>
      <c r="AY82" t="s">
        <v>16</v>
      </c>
      <c r="AZ82" s="45">
        <v>3.2422916547180901E-3</v>
      </c>
      <c r="BA82" s="45">
        <v>6.0085186906267303E-5</v>
      </c>
    </row>
    <row r="83" spans="1:53" x14ac:dyDescent="0.25">
      <c r="A83" s="152">
        <v>424</v>
      </c>
      <c r="B83" s="152">
        <v>7228</v>
      </c>
      <c r="C83" s="152">
        <v>513326439</v>
      </c>
      <c r="D83" s="152" t="s">
        <v>1721</v>
      </c>
      <c r="E83" s="152" t="s">
        <v>2222</v>
      </c>
      <c r="F83" s="152">
        <v>24752</v>
      </c>
      <c r="G83" s="152" t="s">
        <v>2165</v>
      </c>
      <c r="H83" s="152"/>
      <c r="I83" s="152" t="s">
        <v>71</v>
      </c>
      <c r="J83" s="152" t="s">
        <v>71</v>
      </c>
      <c r="K83" s="152" t="s">
        <v>234</v>
      </c>
      <c r="L83" s="152" t="s">
        <v>72</v>
      </c>
      <c r="M83" s="152" t="s">
        <v>373</v>
      </c>
      <c r="N83" s="152">
        <v>11896140</v>
      </c>
      <c r="O83" s="160" t="s">
        <v>2223</v>
      </c>
      <c r="P83" s="152" t="s">
        <v>228</v>
      </c>
      <c r="Q83" s="152" t="s">
        <v>219</v>
      </c>
      <c r="R83" s="152" t="s">
        <v>2168</v>
      </c>
      <c r="S83" s="152" t="s">
        <v>81</v>
      </c>
      <c r="T83" s="166">
        <v>3.01</v>
      </c>
      <c r="U83" s="152" t="s">
        <v>2184</v>
      </c>
      <c r="V83" s="161">
        <v>5.5309999999999998E-2</v>
      </c>
      <c r="W83" s="152" t="s">
        <v>2169</v>
      </c>
      <c r="X83" s="152" t="s">
        <v>2170</v>
      </c>
      <c r="Y83" s="167">
        <v>5.5309999999999998E-2</v>
      </c>
      <c r="Z83" s="168">
        <v>2.9399999999999999E-2</v>
      </c>
      <c r="AA83" s="152" t="s">
        <v>2181</v>
      </c>
      <c r="AB83" s="152" t="s">
        <v>222</v>
      </c>
      <c r="AC83" s="152" t="s">
        <v>1626</v>
      </c>
      <c r="AD83" s="166">
        <v>203777.768205128</v>
      </c>
      <c r="AE83" s="168">
        <v>0.73</v>
      </c>
      <c r="AF83" s="152" t="s">
        <v>1878</v>
      </c>
      <c r="AG83" s="152" t="s">
        <v>72</v>
      </c>
      <c r="AH83" s="152"/>
      <c r="AI83" s="152" t="s">
        <v>2182</v>
      </c>
      <c r="AJ83" s="152" t="s">
        <v>373</v>
      </c>
      <c r="AK83" s="152" t="s">
        <v>1454</v>
      </c>
      <c r="AL83" s="152" t="s">
        <v>2174</v>
      </c>
      <c r="AM83" s="152" t="s">
        <v>1671</v>
      </c>
      <c r="AN83" s="160" t="s">
        <v>1455</v>
      </c>
      <c r="AO83" s="152" t="s">
        <v>1878</v>
      </c>
      <c r="AP83" s="161">
        <v>0</v>
      </c>
      <c r="AQ83" s="162">
        <v>84161.48</v>
      </c>
      <c r="AR83" s="170">
        <v>129.5</v>
      </c>
      <c r="AS83" s="171">
        <v>1</v>
      </c>
      <c r="AT83" s="166">
        <v>108.989</v>
      </c>
      <c r="AU83" s="166">
        <v>108.989</v>
      </c>
      <c r="AV83" s="152"/>
      <c r="AW83" s="152"/>
      <c r="AX83" t="s">
        <v>72</v>
      </c>
      <c r="AY83" t="s">
        <v>16</v>
      </c>
      <c r="AZ83" s="45">
        <v>2.3962645954532799E-3</v>
      </c>
      <c r="BA83" s="45">
        <v>4.4406864473517003E-5</v>
      </c>
    </row>
    <row r="84" spans="1:53" x14ac:dyDescent="0.25">
      <c r="A84" s="152">
        <v>424</v>
      </c>
      <c r="B84" s="152">
        <v>7228</v>
      </c>
      <c r="C84" s="152">
        <v>513326439</v>
      </c>
      <c r="D84" s="152" t="s">
        <v>1721</v>
      </c>
      <c r="E84" s="152" t="s">
        <v>2224</v>
      </c>
      <c r="F84" s="152">
        <v>34819</v>
      </c>
      <c r="G84" s="152" t="s">
        <v>2165</v>
      </c>
      <c r="H84" s="152"/>
      <c r="I84" s="152" t="s">
        <v>71</v>
      </c>
      <c r="J84" s="152" t="s">
        <v>71</v>
      </c>
      <c r="K84" s="152" t="s">
        <v>234</v>
      </c>
      <c r="L84" s="152" t="s">
        <v>72</v>
      </c>
      <c r="M84" s="152" t="s">
        <v>373</v>
      </c>
      <c r="N84" s="152">
        <v>11898120</v>
      </c>
      <c r="O84" s="160" t="s">
        <v>2225</v>
      </c>
      <c r="P84" s="152" t="s">
        <v>228</v>
      </c>
      <c r="Q84" s="152" t="s">
        <v>219</v>
      </c>
      <c r="R84" s="152" t="s">
        <v>2168</v>
      </c>
      <c r="S84" s="152" t="s">
        <v>81</v>
      </c>
      <c r="T84" s="166">
        <v>3.02</v>
      </c>
      <c r="U84" s="152" t="s">
        <v>286</v>
      </c>
      <c r="V84" s="161">
        <v>5.5E-2</v>
      </c>
      <c r="W84" s="152" t="s">
        <v>2169</v>
      </c>
      <c r="X84" s="152" t="s">
        <v>2120</v>
      </c>
      <c r="Y84" s="167">
        <v>0</v>
      </c>
      <c r="Z84" s="168">
        <v>2.9399999999999999E-2</v>
      </c>
      <c r="AA84" s="152" t="s">
        <v>2188</v>
      </c>
      <c r="AB84" s="152" t="s">
        <v>222</v>
      </c>
      <c r="AC84" s="152" t="s">
        <v>1626</v>
      </c>
      <c r="AD84" s="166">
        <v>482000</v>
      </c>
      <c r="AE84" s="168">
        <v>0.73</v>
      </c>
      <c r="AF84" s="152" t="s">
        <v>1878</v>
      </c>
      <c r="AG84" s="152" t="s">
        <v>72</v>
      </c>
      <c r="AH84" s="152"/>
      <c r="AI84" s="152" t="s">
        <v>2182</v>
      </c>
      <c r="AJ84" s="152" t="s">
        <v>373</v>
      </c>
      <c r="AK84" s="152" t="s">
        <v>1454</v>
      </c>
      <c r="AL84" s="152" t="s">
        <v>2174</v>
      </c>
      <c r="AM84" s="152" t="s">
        <v>1671</v>
      </c>
      <c r="AN84" s="160" t="s">
        <v>1455</v>
      </c>
      <c r="AO84" s="152" t="s">
        <v>1878</v>
      </c>
      <c r="AP84" s="161">
        <v>0</v>
      </c>
      <c r="AQ84" s="162">
        <v>20074.080000000002</v>
      </c>
      <c r="AR84" s="170">
        <v>127.56</v>
      </c>
      <c r="AS84" s="171">
        <v>1</v>
      </c>
      <c r="AT84" s="166">
        <v>25.606000000000002</v>
      </c>
      <c r="AU84" s="166">
        <v>25.606000000000002</v>
      </c>
      <c r="AV84" s="152"/>
      <c r="AW84" s="152"/>
      <c r="AX84" t="s">
        <v>72</v>
      </c>
      <c r="AY84" t="s">
        <v>16</v>
      </c>
      <c r="AZ84" s="45">
        <v>5.6299145057886197E-4</v>
      </c>
      <c r="BA84" s="45">
        <v>1.04331905137025E-5</v>
      </c>
    </row>
    <row r="85" spans="1:53" x14ac:dyDescent="0.25">
      <c r="A85" s="152">
        <v>424</v>
      </c>
      <c r="B85" s="152">
        <v>7228</v>
      </c>
      <c r="C85" s="152">
        <v>513326439</v>
      </c>
      <c r="D85" s="152" t="s">
        <v>1721</v>
      </c>
      <c r="E85" s="152" t="s">
        <v>2226</v>
      </c>
      <c r="F85" s="152">
        <v>34801</v>
      </c>
      <c r="G85" s="152" t="s">
        <v>2165</v>
      </c>
      <c r="H85" s="152"/>
      <c r="I85" s="152" t="s">
        <v>71</v>
      </c>
      <c r="J85" s="152" t="s">
        <v>71</v>
      </c>
      <c r="K85" s="152" t="s">
        <v>234</v>
      </c>
      <c r="L85" s="152" t="s">
        <v>72</v>
      </c>
      <c r="M85" s="152" t="s">
        <v>373</v>
      </c>
      <c r="N85" s="152">
        <v>11898130</v>
      </c>
      <c r="O85" s="160" t="s">
        <v>2227</v>
      </c>
      <c r="P85" s="152" t="s">
        <v>228</v>
      </c>
      <c r="Q85" s="152" t="s">
        <v>219</v>
      </c>
      <c r="R85" s="152" t="s">
        <v>2168</v>
      </c>
      <c r="S85" s="152" t="s">
        <v>81</v>
      </c>
      <c r="T85" s="166">
        <v>3.01</v>
      </c>
      <c r="U85" s="152" t="s">
        <v>2184</v>
      </c>
      <c r="V85" s="161">
        <v>5.5E-2</v>
      </c>
      <c r="W85" s="152" t="s">
        <v>2169</v>
      </c>
      <c r="X85" s="152" t="s">
        <v>2170</v>
      </c>
      <c r="Y85" s="167">
        <v>5.5E-2</v>
      </c>
      <c r="Z85" s="168">
        <v>2.9399999999999999E-2</v>
      </c>
      <c r="AA85" s="152" t="s">
        <v>2181</v>
      </c>
      <c r="AB85" s="152" t="s">
        <v>222</v>
      </c>
      <c r="AC85" s="152" t="s">
        <v>1626</v>
      </c>
      <c r="AD85" s="166">
        <v>482000</v>
      </c>
      <c r="AE85" s="168">
        <v>0.73</v>
      </c>
      <c r="AF85" s="152" t="s">
        <v>1878</v>
      </c>
      <c r="AG85" s="152" t="s">
        <v>72</v>
      </c>
      <c r="AH85" s="152"/>
      <c r="AI85" s="152" t="s">
        <v>2182</v>
      </c>
      <c r="AJ85" s="152" t="s">
        <v>373</v>
      </c>
      <c r="AK85" s="152" t="s">
        <v>1454</v>
      </c>
      <c r="AL85" s="152" t="s">
        <v>2174</v>
      </c>
      <c r="AM85" s="152" t="s">
        <v>1671</v>
      </c>
      <c r="AN85" s="160" t="s">
        <v>1455</v>
      </c>
      <c r="AO85" s="152" t="s">
        <v>1878</v>
      </c>
      <c r="AP85" s="161">
        <v>0</v>
      </c>
      <c r="AQ85" s="162">
        <v>40638.46</v>
      </c>
      <c r="AR85" s="170">
        <v>127.29</v>
      </c>
      <c r="AS85" s="171">
        <v>1</v>
      </c>
      <c r="AT85" s="166">
        <v>51.728999999999999</v>
      </c>
      <c r="AU85" s="166">
        <v>51.728999999999999</v>
      </c>
      <c r="AV85" s="152"/>
      <c r="AW85" s="152"/>
      <c r="AX85" t="s">
        <v>72</v>
      </c>
      <c r="AY85" t="s">
        <v>16</v>
      </c>
      <c r="AZ85" s="45">
        <v>1.1373212851269201E-3</v>
      </c>
      <c r="BA85" s="45">
        <v>2.10765005948451E-5</v>
      </c>
    </row>
    <row r="86" spans="1:53" x14ac:dyDescent="0.25">
      <c r="A86" s="152">
        <v>424</v>
      </c>
      <c r="B86" s="152">
        <v>7228</v>
      </c>
      <c r="C86" s="152">
        <v>513326439</v>
      </c>
      <c r="D86" s="152" t="s">
        <v>1721</v>
      </c>
      <c r="E86" s="152" t="s">
        <v>2228</v>
      </c>
      <c r="F86" s="152">
        <v>34843</v>
      </c>
      <c r="G86" s="152" t="s">
        <v>2165</v>
      </c>
      <c r="H86" s="152"/>
      <c r="I86" s="152" t="s">
        <v>71</v>
      </c>
      <c r="J86" s="152" t="s">
        <v>71</v>
      </c>
      <c r="K86" s="152" t="s">
        <v>234</v>
      </c>
      <c r="L86" s="152" t="s">
        <v>72</v>
      </c>
      <c r="M86" s="152" t="s">
        <v>373</v>
      </c>
      <c r="N86" s="152">
        <v>11898140</v>
      </c>
      <c r="O86" s="160" t="s">
        <v>2229</v>
      </c>
      <c r="P86" s="152" t="s">
        <v>228</v>
      </c>
      <c r="Q86" s="152" t="s">
        <v>219</v>
      </c>
      <c r="R86" s="152" t="s">
        <v>2168</v>
      </c>
      <c r="S86" s="152" t="s">
        <v>81</v>
      </c>
      <c r="T86" s="166">
        <v>3.01</v>
      </c>
      <c r="U86" s="152" t="s">
        <v>2184</v>
      </c>
      <c r="V86" s="161">
        <v>5.5E-2</v>
      </c>
      <c r="W86" s="152" t="s">
        <v>2169</v>
      </c>
      <c r="X86" s="152" t="s">
        <v>2170</v>
      </c>
      <c r="Y86" s="167">
        <v>5.5E-2</v>
      </c>
      <c r="Z86" s="168">
        <v>2.9399999999999999E-2</v>
      </c>
      <c r="AA86" s="152" t="s">
        <v>2181</v>
      </c>
      <c r="AB86" s="152" t="s">
        <v>222</v>
      </c>
      <c r="AC86" s="152" t="s">
        <v>1626</v>
      </c>
      <c r="AD86" s="166">
        <v>482000</v>
      </c>
      <c r="AE86" s="168">
        <v>0.73</v>
      </c>
      <c r="AF86" s="152" t="s">
        <v>1878</v>
      </c>
      <c r="AG86" s="152" t="s">
        <v>72</v>
      </c>
      <c r="AH86" s="152"/>
      <c r="AI86" s="152" t="s">
        <v>2182</v>
      </c>
      <c r="AJ86" s="152" t="s">
        <v>373</v>
      </c>
      <c r="AK86" s="152" t="s">
        <v>1454</v>
      </c>
      <c r="AL86" s="152" t="s">
        <v>2174</v>
      </c>
      <c r="AM86" s="152" t="s">
        <v>1671</v>
      </c>
      <c r="AN86" s="160" t="s">
        <v>1455</v>
      </c>
      <c r="AO86" s="152" t="s">
        <v>1878</v>
      </c>
      <c r="AP86" s="161">
        <v>0</v>
      </c>
      <c r="AQ86" s="162">
        <v>63013.54</v>
      </c>
      <c r="AR86" s="170">
        <v>127.51</v>
      </c>
      <c r="AS86" s="171">
        <v>1</v>
      </c>
      <c r="AT86" s="166">
        <v>80.349000000000004</v>
      </c>
      <c r="AU86" s="166">
        <v>80.349000000000004</v>
      </c>
      <c r="AV86" s="152"/>
      <c r="AW86" s="152"/>
      <c r="AX86" t="s">
        <v>72</v>
      </c>
      <c r="AY86" t="s">
        <v>16</v>
      </c>
      <c r="AZ86" s="45">
        <v>1.7665655733475501E-3</v>
      </c>
      <c r="BA86" s="45">
        <v>3.2737469037465099E-5</v>
      </c>
    </row>
    <row r="87" spans="1:53" x14ac:dyDescent="0.25">
      <c r="A87" s="152">
        <v>424</v>
      </c>
      <c r="B87" s="152">
        <v>7228</v>
      </c>
      <c r="C87" s="152">
        <v>513326439</v>
      </c>
      <c r="D87" s="152" t="s">
        <v>1721</v>
      </c>
      <c r="E87" s="152" t="s">
        <v>2230</v>
      </c>
      <c r="F87" s="152">
        <v>28423</v>
      </c>
      <c r="G87" s="152" t="s">
        <v>2165</v>
      </c>
      <c r="H87" s="152"/>
      <c r="I87" s="152" t="s">
        <v>71</v>
      </c>
      <c r="J87" s="152" t="s">
        <v>71</v>
      </c>
      <c r="K87" s="152" t="s">
        <v>234</v>
      </c>
      <c r="L87" s="152" t="s">
        <v>72</v>
      </c>
      <c r="M87" s="152" t="s">
        <v>373</v>
      </c>
      <c r="N87" s="152">
        <v>11898270</v>
      </c>
      <c r="O87" s="160" t="s">
        <v>2225</v>
      </c>
      <c r="P87" s="152" t="s">
        <v>228</v>
      </c>
      <c r="Q87" s="152" t="s">
        <v>219</v>
      </c>
      <c r="R87" s="152" t="s">
        <v>2168</v>
      </c>
      <c r="S87" s="152" t="s">
        <v>81</v>
      </c>
      <c r="T87" s="166">
        <v>3.02</v>
      </c>
      <c r="U87" s="152" t="s">
        <v>286</v>
      </c>
      <c r="V87" s="161">
        <v>5.5E-2</v>
      </c>
      <c r="W87" s="152" t="s">
        <v>2169</v>
      </c>
      <c r="X87" s="152" t="s">
        <v>2120</v>
      </c>
      <c r="Y87" s="167">
        <v>0</v>
      </c>
      <c r="Z87" s="168">
        <v>2.93E-2</v>
      </c>
      <c r="AA87" s="152" t="s">
        <v>2188</v>
      </c>
      <c r="AB87" s="152" t="s">
        <v>222</v>
      </c>
      <c r="AC87" s="152" t="s">
        <v>1626</v>
      </c>
      <c r="AD87" s="166">
        <v>482000</v>
      </c>
      <c r="AE87" s="168">
        <v>0.73</v>
      </c>
      <c r="AF87" s="152" t="s">
        <v>1878</v>
      </c>
      <c r="AG87" s="152" t="s">
        <v>72</v>
      </c>
      <c r="AH87" s="152"/>
      <c r="AI87" s="152" t="s">
        <v>2182</v>
      </c>
      <c r="AJ87" s="152" t="s">
        <v>373</v>
      </c>
      <c r="AK87" s="152" t="s">
        <v>1454</v>
      </c>
      <c r="AL87" s="152" t="s">
        <v>2174</v>
      </c>
      <c r="AM87" s="152" t="s">
        <v>1671</v>
      </c>
      <c r="AN87" s="160" t="s">
        <v>1455</v>
      </c>
      <c r="AO87" s="152" t="s">
        <v>1878</v>
      </c>
      <c r="AP87" s="161">
        <v>0</v>
      </c>
      <c r="AQ87" s="162">
        <v>16623.14</v>
      </c>
      <c r="AR87" s="170">
        <v>126.66</v>
      </c>
      <c r="AS87" s="171">
        <v>1</v>
      </c>
      <c r="AT87" s="166">
        <v>21.055</v>
      </c>
      <c r="AU87" s="166">
        <v>21.055</v>
      </c>
      <c r="AV87" s="152"/>
      <c r="AW87" s="152"/>
      <c r="AX87" t="s">
        <v>72</v>
      </c>
      <c r="AY87" t="s">
        <v>16</v>
      </c>
      <c r="AZ87" s="45">
        <v>4.6291812446660102E-4</v>
      </c>
      <c r="BA87" s="45">
        <v>8.5786613275210808E-6</v>
      </c>
    </row>
    <row r="88" spans="1:53" x14ac:dyDescent="0.25">
      <c r="A88" s="152">
        <v>424</v>
      </c>
      <c r="B88" s="152">
        <v>7228</v>
      </c>
      <c r="C88" s="152">
        <v>513326439</v>
      </c>
      <c r="D88" s="152" t="s">
        <v>1721</v>
      </c>
      <c r="E88" s="152" t="s">
        <v>2231</v>
      </c>
      <c r="F88" s="152">
        <v>28456</v>
      </c>
      <c r="G88" s="152" t="s">
        <v>2165</v>
      </c>
      <c r="H88" s="152"/>
      <c r="I88" s="152" t="s">
        <v>71</v>
      </c>
      <c r="J88" s="152" t="s">
        <v>71</v>
      </c>
      <c r="K88" s="152" t="s">
        <v>234</v>
      </c>
      <c r="L88" s="152" t="s">
        <v>72</v>
      </c>
      <c r="M88" s="152" t="s">
        <v>373</v>
      </c>
      <c r="N88" s="152">
        <v>11898280</v>
      </c>
      <c r="O88" s="160" t="s">
        <v>2232</v>
      </c>
      <c r="P88" s="152" t="s">
        <v>228</v>
      </c>
      <c r="Q88" s="152" t="s">
        <v>219</v>
      </c>
      <c r="R88" s="152" t="s">
        <v>2168</v>
      </c>
      <c r="S88" s="152" t="s">
        <v>81</v>
      </c>
      <c r="T88" s="166">
        <v>3.02</v>
      </c>
      <c r="U88" s="152" t="s">
        <v>2184</v>
      </c>
      <c r="V88" s="161">
        <v>5.5E-2</v>
      </c>
      <c r="W88" s="152" t="s">
        <v>2169</v>
      </c>
      <c r="X88" s="152" t="s">
        <v>2170</v>
      </c>
      <c r="Y88" s="167">
        <v>5.5E-2</v>
      </c>
      <c r="Z88" s="168">
        <v>2.9399999999999999E-2</v>
      </c>
      <c r="AA88" s="152" t="s">
        <v>2181</v>
      </c>
      <c r="AB88" s="152" t="s">
        <v>222</v>
      </c>
      <c r="AC88" s="152" t="s">
        <v>1626</v>
      </c>
      <c r="AD88" s="166">
        <v>482000</v>
      </c>
      <c r="AE88" s="168">
        <v>0.73</v>
      </c>
      <c r="AF88" s="152" t="s">
        <v>1878</v>
      </c>
      <c r="AG88" s="152" t="s">
        <v>72</v>
      </c>
      <c r="AH88" s="152"/>
      <c r="AI88" s="152" t="s">
        <v>2182</v>
      </c>
      <c r="AJ88" s="152" t="s">
        <v>373</v>
      </c>
      <c r="AK88" s="152" t="s">
        <v>1454</v>
      </c>
      <c r="AL88" s="152" t="s">
        <v>2174</v>
      </c>
      <c r="AM88" s="152" t="s">
        <v>1671</v>
      </c>
      <c r="AN88" s="160" t="s">
        <v>1455</v>
      </c>
      <c r="AO88" s="152" t="s">
        <v>1878</v>
      </c>
      <c r="AP88" s="161">
        <v>0</v>
      </c>
      <c r="AQ88" s="162">
        <v>14591.34</v>
      </c>
      <c r="AR88" s="170">
        <v>125.66</v>
      </c>
      <c r="AS88" s="171">
        <v>1</v>
      </c>
      <c r="AT88" s="166">
        <v>18.335000000000001</v>
      </c>
      <c r="AU88" s="166">
        <v>18.335000000000001</v>
      </c>
      <c r="AV88" s="152"/>
      <c r="AW88" s="152"/>
      <c r="AX88" t="s">
        <v>72</v>
      </c>
      <c r="AY88" t="s">
        <v>16</v>
      </c>
      <c r="AZ88" s="45">
        <v>4.0312884230034503E-4</v>
      </c>
      <c r="BA88" s="45">
        <v>7.4706640908371399E-6</v>
      </c>
    </row>
    <row r="89" spans="1:53" x14ac:dyDescent="0.25">
      <c r="A89" s="152">
        <v>424</v>
      </c>
      <c r="B89" s="152">
        <v>7228</v>
      </c>
      <c r="C89" s="152">
        <v>513326439</v>
      </c>
      <c r="D89" s="152" t="s">
        <v>1721</v>
      </c>
      <c r="E89" s="152" t="s">
        <v>2233</v>
      </c>
      <c r="F89" s="152">
        <v>28522</v>
      </c>
      <c r="G89" s="152" t="s">
        <v>2165</v>
      </c>
      <c r="H89" s="152"/>
      <c r="I89" s="152" t="s">
        <v>71</v>
      </c>
      <c r="J89" s="152" t="s">
        <v>71</v>
      </c>
      <c r="K89" s="152" t="s">
        <v>234</v>
      </c>
      <c r="L89" s="152" t="s">
        <v>72</v>
      </c>
      <c r="M89" s="152" t="s">
        <v>373</v>
      </c>
      <c r="N89" s="152">
        <v>11898310</v>
      </c>
      <c r="O89" s="160" t="s">
        <v>2234</v>
      </c>
      <c r="P89" s="152" t="s">
        <v>228</v>
      </c>
      <c r="Q89" s="152" t="s">
        <v>219</v>
      </c>
      <c r="R89" s="152" t="s">
        <v>2168</v>
      </c>
      <c r="S89" s="152" t="s">
        <v>81</v>
      </c>
      <c r="T89" s="166">
        <v>3.02</v>
      </c>
      <c r="U89" s="152" t="s">
        <v>2184</v>
      </c>
      <c r="V89" s="161">
        <v>5.5E-2</v>
      </c>
      <c r="W89" s="152" t="s">
        <v>2169</v>
      </c>
      <c r="X89" s="152" t="s">
        <v>2170</v>
      </c>
      <c r="Y89" s="167">
        <v>5.5E-2</v>
      </c>
      <c r="Z89" s="168">
        <v>2.93E-2</v>
      </c>
      <c r="AA89" s="152" t="s">
        <v>2181</v>
      </c>
      <c r="AB89" s="152" t="s">
        <v>222</v>
      </c>
      <c r="AC89" s="152" t="s">
        <v>1626</v>
      </c>
      <c r="AD89" s="166">
        <v>482000</v>
      </c>
      <c r="AE89" s="168">
        <v>0.73</v>
      </c>
      <c r="AF89" s="152" t="s">
        <v>1878</v>
      </c>
      <c r="AG89" s="152" t="s">
        <v>72</v>
      </c>
      <c r="AH89" s="152"/>
      <c r="AI89" s="152" t="s">
        <v>2182</v>
      </c>
      <c r="AJ89" s="152" t="s">
        <v>373</v>
      </c>
      <c r="AK89" s="152" t="s">
        <v>1454</v>
      </c>
      <c r="AL89" s="152" t="s">
        <v>2174</v>
      </c>
      <c r="AM89" s="152" t="s">
        <v>1671</v>
      </c>
      <c r="AN89" s="160" t="s">
        <v>1455</v>
      </c>
      <c r="AO89" s="152" t="s">
        <v>1878</v>
      </c>
      <c r="AP89" s="161">
        <v>0</v>
      </c>
      <c r="AQ89" s="162">
        <v>16265.33</v>
      </c>
      <c r="AR89" s="170">
        <v>125.05</v>
      </c>
      <c r="AS89" s="171">
        <v>1</v>
      </c>
      <c r="AT89" s="166">
        <v>20.34</v>
      </c>
      <c r="AU89" s="166">
        <v>20.34</v>
      </c>
      <c r="AV89" s="152"/>
      <c r="AW89" s="152"/>
      <c r="AX89" t="s">
        <v>72</v>
      </c>
      <c r="AY89" t="s">
        <v>16</v>
      </c>
      <c r="AZ89" s="45">
        <v>4.47196312376216E-4</v>
      </c>
      <c r="BA89" s="45">
        <v>8.2873093707711703E-6</v>
      </c>
    </row>
    <row r="90" spans="1:53" x14ac:dyDescent="0.25">
      <c r="A90" s="152">
        <v>424</v>
      </c>
      <c r="B90" s="152">
        <v>7228</v>
      </c>
      <c r="C90" s="152">
        <v>513326439</v>
      </c>
      <c r="D90" s="152" t="s">
        <v>1721</v>
      </c>
      <c r="E90" s="152" t="s">
        <v>2235</v>
      </c>
      <c r="F90" s="152">
        <v>28563</v>
      </c>
      <c r="G90" s="152" t="s">
        <v>2165</v>
      </c>
      <c r="H90" s="152"/>
      <c r="I90" s="152" t="s">
        <v>71</v>
      </c>
      <c r="J90" s="152" t="s">
        <v>71</v>
      </c>
      <c r="K90" s="152" t="s">
        <v>234</v>
      </c>
      <c r="L90" s="152" t="s">
        <v>72</v>
      </c>
      <c r="M90" s="152" t="s">
        <v>373</v>
      </c>
      <c r="N90" s="152">
        <v>11898330</v>
      </c>
      <c r="O90" s="160" t="s">
        <v>2236</v>
      </c>
      <c r="P90" s="152" t="s">
        <v>228</v>
      </c>
      <c r="Q90" s="152" t="s">
        <v>219</v>
      </c>
      <c r="R90" s="152" t="s">
        <v>2168</v>
      </c>
      <c r="S90" s="152" t="s">
        <v>81</v>
      </c>
      <c r="T90" s="166">
        <v>3.01</v>
      </c>
      <c r="U90" s="152" t="s">
        <v>2184</v>
      </c>
      <c r="V90" s="161">
        <v>5.5E-2</v>
      </c>
      <c r="W90" s="152" t="s">
        <v>2169</v>
      </c>
      <c r="X90" s="152" t="s">
        <v>2170</v>
      </c>
      <c r="Y90" s="167">
        <v>5.5E-2</v>
      </c>
      <c r="Z90" s="168">
        <v>2.9399999999999999E-2</v>
      </c>
      <c r="AA90" s="152" t="s">
        <v>2181</v>
      </c>
      <c r="AB90" s="152" t="s">
        <v>222</v>
      </c>
      <c r="AC90" s="152" t="s">
        <v>1626</v>
      </c>
      <c r="AD90" s="166">
        <v>482000</v>
      </c>
      <c r="AE90" s="168">
        <v>0.73</v>
      </c>
      <c r="AF90" s="152" t="s">
        <v>1878</v>
      </c>
      <c r="AG90" s="152" t="s">
        <v>72</v>
      </c>
      <c r="AH90" s="152"/>
      <c r="AI90" s="152" t="s">
        <v>2182</v>
      </c>
      <c r="AJ90" s="152" t="s">
        <v>373</v>
      </c>
      <c r="AK90" s="152" t="s">
        <v>1454</v>
      </c>
      <c r="AL90" s="152" t="s">
        <v>2174</v>
      </c>
      <c r="AM90" s="152" t="s">
        <v>1671</v>
      </c>
      <c r="AN90" s="160" t="s">
        <v>1455</v>
      </c>
      <c r="AO90" s="152" t="s">
        <v>1878</v>
      </c>
      <c r="AP90" s="161">
        <v>0</v>
      </c>
      <c r="AQ90" s="162">
        <v>47758.05</v>
      </c>
      <c r="AR90" s="170">
        <v>125.14</v>
      </c>
      <c r="AS90" s="171">
        <v>1</v>
      </c>
      <c r="AT90" s="166">
        <v>59.764000000000003</v>
      </c>
      <c r="AU90" s="166">
        <v>59.764000000000003</v>
      </c>
      <c r="AV90" s="152"/>
      <c r="AW90" s="152"/>
      <c r="AX90" t="s">
        <v>72</v>
      </c>
      <c r="AY90" t="s">
        <v>16</v>
      </c>
      <c r="AZ90" s="45">
        <v>1.3139970046120899E-3</v>
      </c>
      <c r="BA90" s="45">
        <v>2.4350602605877299E-5</v>
      </c>
    </row>
    <row r="91" spans="1:53" x14ac:dyDescent="0.25">
      <c r="A91" s="152">
        <v>424</v>
      </c>
      <c r="B91" s="152">
        <v>7228</v>
      </c>
      <c r="C91" s="152">
        <v>513326439</v>
      </c>
      <c r="D91" s="152" t="s">
        <v>1721</v>
      </c>
      <c r="E91" s="152" t="s">
        <v>2237</v>
      </c>
      <c r="F91" s="152">
        <v>28605</v>
      </c>
      <c r="G91" s="152" t="s">
        <v>2165</v>
      </c>
      <c r="H91" s="152"/>
      <c r="I91" s="152" t="s">
        <v>71</v>
      </c>
      <c r="J91" s="152" t="s">
        <v>71</v>
      </c>
      <c r="K91" s="152" t="s">
        <v>234</v>
      </c>
      <c r="L91" s="152" t="s">
        <v>72</v>
      </c>
      <c r="M91" s="152" t="s">
        <v>373</v>
      </c>
      <c r="N91" s="152">
        <v>11898350</v>
      </c>
      <c r="O91" s="160" t="s">
        <v>2238</v>
      </c>
      <c r="P91" s="152" t="s">
        <v>228</v>
      </c>
      <c r="Q91" s="152" t="s">
        <v>219</v>
      </c>
      <c r="R91" s="152" t="s">
        <v>2168</v>
      </c>
      <c r="S91" s="152" t="s">
        <v>81</v>
      </c>
      <c r="T91" s="166">
        <v>3.01</v>
      </c>
      <c r="U91" s="152" t="s">
        <v>2184</v>
      </c>
      <c r="V91" s="161">
        <v>5.5E-2</v>
      </c>
      <c r="W91" s="152" t="s">
        <v>2169</v>
      </c>
      <c r="X91" s="152" t="s">
        <v>2170</v>
      </c>
      <c r="Y91" s="167">
        <v>5.5E-2</v>
      </c>
      <c r="Z91" s="168">
        <v>2.9399999999999999E-2</v>
      </c>
      <c r="AA91" s="152" t="s">
        <v>2181</v>
      </c>
      <c r="AB91" s="152" t="s">
        <v>222</v>
      </c>
      <c r="AC91" s="152" t="s">
        <v>1626</v>
      </c>
      <c r="AD91" s="166">
        <v>482000</v>
      </c>
      <c r="AE91" s="168">
        <v>0.73</v>
      </c>
      <c r="AF91" s="152" t="s">
        <v>1878</v>
      </c>
      <c r="AG91" s="152" t="s">
        <v>72</v>
      </c>
      <c r="AH91" s="152"/>
      <c r="AI91" s="152" t="s">
        <v>2182</v>
      </c>
      <c r="AJ91" s="152" t="s">
        <v>373</v>
      </c>
      <c r="AK91" s="152" t="s">
        <v>1454</v>
      </c>
      <c r="AL91" s="152" t="s">
        <v>2174</v>
      </c>
      <c r="AM91" s="152" t="s">
        <v>1671</v>
      </c>
      <c r="AN91" s="160" t="s">
        <v>1455</v>
      </c>
      <c r="AO91" s="152" t="s">
        <v>1878</v>
      </c>
      <c r="AP91" s="161">
        <v>0</v>
      </c>
      <c r="AQ91" s="162">
        <v>8865</v>
      </c>
      <c r="AR91" s="170">
        <v>125.76</v>
      </c>
      <c r="AS91" s="171">
        <v>1</v>
      </c>
      <c r="AT91" s="166">
        <v>11.148999999999999</v>
      </c>
      <c r="AU91" s="166">
        <v>11.148999999999999</v>
      </c>
      <c r="AV91" s="152"/>
      <c r="AW91" s="152"/>
      <c r="AX91" t="s">
        <v>72</v>
      </c>
      <c r="AY91" t="s">
        <v>16</v>
      </c>
      <c r="AZ91" s="45">
        <v>2.4511670350781399E-4</v>
      </c>
      <c r="BA91" s="45">
        <v>4.5424300194226903E-6</v>
      </c>
    </row>
    <row r="92" spans="1:53" x14ac:dyDescent="0.25">
      <c r="A92" s="152">
        <v>424</v>
      </c>
      <c r="B92" s="152">
        <v>7228</v>
      </c>
      <c r="C92" s="152">
        <v>513326439</v>
      </c>
      <c r="D92" s="152" t="s">
        <v>1721</v>
      </c>
      <c r="E92" s="152" t="s">
        <v>2239</v>
      </c>
      <c r="F92" s="152">
        <v>28639</v>
      </c>
      <c r="G92" s="152" t="s">
        <v>2165</v>
      </c>
      <c r="H92" s="152"/>
      <c r="I92" s="152" t="s">
        <v>71</v>
      </c>
      <c r="J92" s="152" t="s">
        <v>71</v>
      </c>
      <c r="K92" s="152" t="s">
        <v>234</v>
      </c>
      <c r="L92" s="152" t="s">
        <v>72</v>
      </c>
      <c r="M92" s="152" t="s">
        <v>373</v>
      </c>
      <c r="N92" s="152">
        <v>11898360</v>
      </c>
      <c r="O92" s="160" t="s">
        <v>2240</v>
      </c>
      <c r="P92" s="152" t="s">
        <v>228</v>
      </c>
      <c r="Q92" s="152" t="s">
        <v>219</v>
      </c>
      <c r="R92" s="152" t="s">
        <v>2168</v>
      </c>
      <c r="S92" s="152" t="s">
        <v>81</v>
      </c>
      <c r="T92" s="166">
        <v>3.01</v>
      </c>
      <c r="U92" s="152" t="s">
        <v>2184</v>
      </c>
      <c r="V92" s="161">
        <v>5.5E-2</v>
      </c>
      <c r="W92" s="152" t="s">
        <v>2169</v>
      </c>
      <c r="X92" s="152" t="s">
        <v>2170</v>
      </c>
      <c r="Y92" s="167">
        <v>5.5E-2</v>
      </c>
      <c r="Z92" s="168">
        <v>2.9399999999999999E-2</v>
      </c>
      <c r="AA92" s="152" t="s">
        <v>2241</v>
      </c>
      <c r="AB92" s="152" t="s">
        <v>222</v>
      </c>
      <c r="AC92" s="152" t="s">
        <v>1626</v>
      </c>
      <c r="AD92" s="166">
        <v>482000</v>
      </c>
      <c r="AE92" s="168">
        <v>0.73</v>
      </c>
      <c r="AF92" s="152" t="s">
        <v>1878</v>
      </c>
      <c r="AG92" s="152" t="s">
        <v>72</v>
      </c>
      <c r="AH92" s="152"/>
      <c r="AI92" s="152" t="s">
        <v>2182</v>
      </c>
      <c r="AJ92" s="152" t="s">
        <v>373</v>
      </c>
      <c r="AK92" s="152" t="s">
        <v>1454</v>
      </c>
      <c r="AL92" s="152" t="s">
        <v>2174</v>
      </c>
      <c r="AM92" s="152" t="s">
        <v>1671</v>
      </c>
      <c r="AN92" s="160" t="s">
        <v>1455</v>
      </c>
      <c r="AO92" s="152" t="s">
        <v>1878</v>
      </c>
      <c r="AP92" s="161">
        <v>0</v>
      </c>
      <c r="AQ92" s="162">
        <v>17690.89</v>
      </c>
      <c r="AR92" s="170">
        <v>126</v>
      </c>
      <c r="AS92" s="171">
        <v>1</v>
      </c>
      <c r="AT92" s="166">
        <v>22.291</v>
      </c>
      <c r="AU92" s="166">
        <v>22.291</v>
      </c>
      <c r="AV92" s="152"/>
      <c r="AW92" s="152"/>
      <c r="AX92" t="s">
        <v>72</v>
      </c>
      <c r="AY92" t="s">
        <v>16</v>
      </c>
      <c r="AZ92" s="45">
        <v>4.9008551414402197E-4</v>
      </c>
      <c r="BA92" s="45">
        <v>9.0821193320309092E-6</v>
      </c>
    </row>
    <row r="93" spans="1:53" x14ac:dyDescent="0.25">
      <c r="A93" s="152">
        <v>424</v>
      </c>
      <c r="B93" s="152">
        <v>7228</v>
      </c>
      <c r="C93" s="152">
        <v>513326439</v>
      </c>
      <c r="D93" s="152" t="s">
        <v>1721</v>
      </c>
      <c r="E93" s="152" t="s">
        <v>2242</v>
      </c>
      <c r="F93" s="152">
        <v>28654</v>
      </c>
      <c r="G93" s="152" t="s">
        <v>2165</v>
      </c>
      <c r="H93" s="152"/>
      <c r="I93" s="152" t="s">
        <v>71</v>
      </c>
      <c r="J93" s="152" t="s">
        <v>71</v>
      </c>
      <c r="K93" s="152" t="s">
        <v>234</v>
      </c>
      <c r="L93" s="152" t="s">
        <v>72</v>
      </c>
      <c r="M93" s="152" t="s">
        <v>373</v>
      </c>
      <c r="N93" s="152">
        <v>11898380</v>
      </c>
      <c r="O93" s="160" t="s">
        <v>2243</v>
      </c>
      <c r="P93" s="152" t="s">
        <v>228</v>
      </c>
      <c r="Q93" s="152" t="s">
        <v>219</v>
      </c>
      <c r="R93" s="152" t="s">
        <v>2168</v>
      </c>
      <c r="S93" s="152" t="s">
        <v>81</v>
      </c>
      <c r="T93" s="166">
        <v>3.01</v>
      </c>
      <c r="U93" s="152" t="s">
        <v>2184</v>
      </c>
      <c r="V93" s="161">
        <v>5.5E-2</v>
      </c>
      <c r="W93" s="152" t="s">
        <v>2169</v>
      </c>
      <c r="X93" s="152" t="s">
        <v>2170</v>
      </c>
      <c r="Y93" s="167">
        <v>5.5E-2</v>
      </c>
      <c r="Z93" s="168">
        <v>2.9399999999999999E-2</v>
      </c>
      <c r="AA93" s="152" t="s">
        <v>2181</v>
      </c>
      <c r="AB93" s="152" t="s">
        <v>222</v>
      </c>
      <c r="AC93" s="152" t="s">
        <v>1626</v>
      </c>
      <c r="AD93" s="166">
        <v>482000</v>
      </c>
      <c r="AE93" s="168">
        <v>0.73</v>
      </c>
      <c r="AF93" s="152" t="s">
        <v>1878</v>
      </c>
      <c r="AG93" s="152" t="s">
        <v>72</v>
      </c>
      <c r="AH93" s="152"/>
      <c r="AI93" s="152" t="s">
        <v>2182</v>
      </c>
      <c r="AJ93" s="152" t="s">
        <v>373</v>
      </c>
      <c r="AK93" s="152" t="s">
        <v>1454</v>
      </c>
      <c r="AL93" s="152" t="s">
        <v>2174</v>
      </c>
      <c r="AM93" s="152" t="s">
        <v>1671</v>
      </c>
      <c r="AN93" s="160" t="s">
        <v>1455</v>
      </c>
      <c r="AO93" s="152" t="s">
        <v>1878</v>
      </c>
      <c r="AP93" s="161">
        <v>0</v>
      </c>
      <c r="AQ93" s="162">
        <v>11085.52</v>
      </c>
      <c r="AR93" s="170">
        <v>125.51</v>
      </c>
      <c r="AS93" s="171">
        <v>1</v>
      </c>
      <c r="AT93" s="166">
        <v>13.913</v>
      </c>
      <c r="AU93" s="166">
        <v>13.913</v>
      </c>
      <c r="AV93" s="152"/>
      <c r="AW93" s="152"/>
      <c r="AX93" t="s">
        <v>72</v>
      </c>
      <c r="AY93" t="s">
        <v>16</v>
      </c>
      <c r="AZ93" s="45">
        <v>3.0590462141737699E-4</v>
      </c>
      <c r="BA93" s="45">
        <v>5.66893367739065E-6</v>
      </c>
    </row>
    <row r="94" spans="1:53" x14ac:dyDescent="0.25">
      <c r="A94" s="152">
        <v>424</v>
      </c>
      <c r="B94" s="152">
        <v>7228</v>
      </c>
      <c r="C94" s="152">
        <v>513326439</v>
      </c>
      <c r="D94" s="152" t="s">
        <v>1721</v>
      </c>
      <c r="E94" s="152" t="s">
        <v>2244</v>
      </c>
      <c r="F94" s="152">
        <v>28670</v>
      </c>
      <c r="G94" s="152" t="s">
        <v>2165</v>
      </c>
      <c r="H94" s="152"/>
      <c r="I94" s="152" t="s">
        <v>71</v>
      </c>
      <c r="J94" s="152" t="s">
        <v>71</v>
      </c>
      <c r="K94" s="152" t="s">
        <v>234</v>
      </c>
      <c r="L94" s="152" t="s">
        <v>72</v>
      </c>
      <c r="M94" s="152" t="s">
        <v>373</v>
      </c>
      <c r="N94" s="152">
        <v>11898390</v>
      </c>
      <c r="O94" s="160" t="s">
        <v>2245</v>
      </c>
      <c r="P94" s="152" t="s">
        <v>228</v>
      </c>
      <c r="Q94" s="152" t="s">
        <v>219</v>
      </c>
      <c r="R94" s="152" t="s">
        <v>2168</v>
      </c>
      <c r="S94" s="152" t="s">
        <v>81</v>
      </c>
      <c r="T94" s="166">
        <v>3.01</v>
      </c>
      <c r="U94" s="152" t="s">
        <v>2184</v>
      </c>
      <c r="V94" s="161">
        <v>5.5E-2</v>
      </c>
      <c r="W94" s="152" t="s">
        <v>2169</v>
      </c>
      <c r="X94" s="152" t="s">
        <v>2170</v>
      </c>
      <c r="Y94" s="167">
        <v>5.5E-2</v>
      </c>
      <c r="Z94" s="168">
        <v>2.9399999999999999E-2</v>
      </c>
      <c r="AA94" s="152" t="s">
        <v>2188</v>
      </c>
      <c r="AB94" s="152" t="s">
        <v>222</v>
      </c>
      <c r="AC94" s="152" t="s">
        <v>1626</v>
      </c>
      <c r="AD94" s="166">
        <v>482000</v>
      </c>
      <c r="AE94" s="168">
        <v>0.73</v>
      </c>
      <c r="AF94" s="152" t="s">
        <v>1878</v>
      </c>
      <c r="AG94" s="152" t="s">
        <v>72</v>
      </c>
      <c r="AH94" s="152"/>
      <c r="AI94" s="152" t="s">
        <v>2182</v>
      </c>
      <c r="AJ94" s="152" t="s">
        <v>373</v>
      </c>
      <c r="AK94" s="152" t="s">
        <v>1454</v>
      </c>
      <c r="AL94" s="152" t="s">
        <v>2174</v>
      </c>
      <c r="AM94" s="152" t="s">
        <v>1671</v>
      </c>
      <c r="AN94" s="160" t="s">
        <v>1455</v>
      </c>
      <c r="AO94" s="152" t="s">
        <v>1878</v>
      </c>
      <c r="AP94" s="161">
        <v>0</v>
      </c>
      <c r="AQ94" s="162">
        <v>6242.41</v>
      </c>
      <c r="AR94" s="170">
        <v>125.39</v>
      </c>
      <c r="AS94" s="171">
        <v>1</v>
      </c>
      <c r="AT94" s="166">
        <v>7.827</v>
      </c>
      <c r="AU94" s="166">
        <v>7.827</v>
      </c>
      <c r="AV94" s="152"/>
      <c r="AW94" s="152"/>
      <c r="AX94" t="s">
        <v>72</v>
      </c>
      <c r="AY94" t="s">
        <v>16</v>
      </c>
      <c r="AZ94" s="45">
        <v>1.7209443653124599E-4</v>
      </c>
      <c r="BA94" s="45">
        <v>3.18920303466893E-6</v>
      </c>
    </row>
    <row r="95" spans="1:53" x14ac:dyDescent="0.25">
      <c r="A95" s="152">
        <v>424</v>
      </c>
      <c r="B95" s="152">
        <v>7228</v>
      </c>
      <c r="C95" s="152">
        <v>513326439</v>
      </c>
      <c r="D95" s="152" t="s">
        <v>1721</v>
      </c>
      <c r="E95" s="152" t="s">
        <v>2246</v>
      </c>
      <c r="F95" s="152">
        <v>28902</v>
      </c>
      <c r="G95" s="152" t="s">
        <v>2165</v>
      </c>
      <c r="H95" s="152"/>
      <c r="I95" s="152" t="s">
        <v>71</v>
      </c>
      <c r="J95" s="152" t="s">
        <v>71</v>
      </c>
      <c r="K95" s="152" t="s">
        <v>234</v>
      </c>
      <c r="L95" s="152" t="s">
        <v>72</v>
      </c>
      <c r="M95" s="152" t="s">
        <v>373</v>
      </c>
      <c r="N95" s="152">
        <v>11898400</v>
      </c>
      <c r="O95" s="160" t="s">
        <v>2247</v>
      </c>
      <c r="P95" s="152" t="s">
        <v>228</v>
      </c>
      <c r="Q95" s="152" t="s">
        <v>219</v>
      </c>
      <c r="R95" s="152" t="s">
        <v>2168</v>
      </c>
      <c r="S95" s="152" t="s">
        <v>81</v>
      </c>
      <c r="T95" s="166">
        <v>3.01</v>
      </c>
      <c r="U95" s="152" t="s">
        <v>2184</v>
      </c>
      <c r="V95" s="161">
        <v>5.5E-2</v>
      </c>
      <c r="W95" s="152" t="s">
        <v>2169</v>
      </c>
      <c r="X95" s="152" t="s">
        <v>2170</v>
      </c>
      <c r="Y95" s="167">
        <v>5.5E-2</v>
      </c>
      <c r="Z95" s="168">
        <v>2.9399999999999999E-2</v>
      </c>
      <c r="AA95" s="152" t="s">
        <v>2188</v>
      </c>
      <c r="AB95" s="152" t="s">
        <v>222</v>
      </c>
      <c r="AC95" s="152" t="s">
        <v>1626</v>
      </c>
      <c r="AD95" s="166">
        <v>482000</v>
      </c>
      <c r="AE95" s="168">
        <v>0.73</v>
      </c>
      <c r="AF95" s="152" t="s">
        <v>1878</v>
      </c>
      <c r="AG95" s="152" t="s">
        <v>72</v>
      </c>
      <c r="AH95" s="152"/>
      <c r="AI95" s="152" t="s">
        <v>2182</v>
      </c>
      <c r="AJ95" s="152" t="s">
        <v>373</v>
      </c>
      <c r="AK95" s="152" t="s">
        <v>1454</v>
      </c>
      <c r="AL95" s="152" t="s">
        <v>2174</v>
      </c>
      <c r="AM95" s="152" t="s">
        <v>1671</v>
      </c>
      <c r="AN95" s="160" t="s">
        <v>1455</v>
      </c>
      <c r="AO95" s="152" t="s">
        <v>1878</v>
      </c>
      <c r="AP95" s="161">
        <v>0</v>
      </c>
      <c r="AQ95" s="162">
        <v>18620.46</v>
      </c>
      <c r="AR95" s="170">
        <v>125.02</v>
      </c>
      <c r="AS95" s="171">
        <v>1</v>
      </c>
      <c r="AT95" s="166">
        <v>23.279</v>
      </c>
      <c r="AU95" s="166">
        <v>23.279</v>
      </c>
      <c r="AV95" s="152"/>
      <c r="AW95" s="152"/>
      <c r="AX95" t="s">
        <v>72</v>
      </c>
      <c r="AY95" t="s">
        <v>16</v>
      </c>
      <c r="AZ95" s="45">
        <v>5.1182505154030603E-4</v>
      </c>
      <c r="BA95" s="45">
        <v>9.48498998859591E-6</v>
      </c>
    </row>
    <row r="96" spans="1:53" x14ac:dyDescent="0.25">
      <c r="A96" s="152">
        <v>424</v>
      </c>
      <c r="B96" s="152">
        <v>7228</v>
      </c>
      <c r="C96" s="152">
        <v>513326439</v>
      </c>
      <c r="D96" s="152" t="s">
        <v>1721</v>
      </c>
      <c r="E96" s="152" t="s">
        <v>2248</v>
      </c>
      <c r="F96" s="152">
        <v>28928</v>
      </c>
      <c r="G96" s="152" t="s">
        <v>2165</v>
      </c>
      <c r="H96" s="152"/>
      <c r="I96" s="152" t="s">
        <v>71</v>
      </c>
      <c r="J96" s="152" t="s">
        <v>71</v>
      </c>
      <c r="K96" s="152" t="s">
        <v>234</v>
      </c>
      <c r="L96" s="152" t="s">
        <v>72</v>
      </c>
      <c r="M96" s="152" t="s">
        <v>373</v>
      </c>
      <c r="N96" s="152">
        <v>11898410</v>
      </c>
      <c r="O96" s="160" t="s">
        <v>2225</v>
      </c>
      <c r="P96" s="152" t="s">
        <v>228</v>
      </c>
      <c r="Q96" s="152" t="s">
        <v>219</v>
      </c>
      <c r="R96" s="152" t="s">
        <v>2168</v>
      </c>
      <c r="S96" s="152" t="s">
        <v>81</v>
      </c>
      <c r="T96" s="166">
        <v>3.01</v>
      </c>
      <c r="U96" s="152" t="s">
        <v>286</v>
      </c>
      <c r="V96" s="161">
        <v>5.5E-2</v>
      </c>
      <c r="W96" s="152" t="s">
        <v>2169</v>
      </c>
      <c r="X96" s="152" t="s">
        <v>2120</v>
      </c>
      <c r="Y96" s="167">
        <v>0</v>
      </c>
      <c r="Z96" s="168">
        <v>2.9399999999999999E-2</v>
      </c>
      <c r="AA96" s="152" t="s">
        <v>2188</v>
      </c>
      <c r="AB96" s="152" t="s">
        <v>222</v>
      </c>
      <c r="AC96" s="152" t="s">
        <v>1626</v>
      </c>
      <c r="AD96" s="166">
        <v>482000</v>
      </c>
      <c r="AE96" s="168">
        <v>0.73</v>
      </c>
      <c r="AF96" s="152" t="s">
        <v>1878</v>
      </c>
      <c r="AG96" s="152" t="s">
        <v>72</v>
      </c>
      <c r="AH96" s="152"/>
      <c r="AI96" s="152" t="s">
        <v>2182</v>
      </c>
      <c r="AJ96" s="152" t="s">
        <v>373</v>
      </c>
      <c r="AK96" s="152" t="s">
        <v>1454</v>
      </c>
      <c r="AL96" s="152" t="s">
        <v>2174</v>
      </c>
      <c r="AM96" s="152" t="s">
        <v>1671</v>
      </c>
      <c r="AN96" s="160" t="s">
        <v>1455</v>
      </c>
      <c r="AO96" s="152" t="s">
        <v>1878</v>
      </c>
      <c r="AP96" s="161">
        <v>0</v>
      </c>
      <c r="AQ96" s="162">
        <v>7248.76</v>
      </c>
      <c r="AR96" s="170">
        <v>125.02</v>
      </c>
      <c r="AS96" s="171">
        <v>1</v>
      </c>
      <c r="AT96" s="166">
        <v>9.0619999999999994</v>
      </c>
      <c r="AU96" s="166">
        <v>9.0619999999999994</v>
      </c>
      <c r="AV96" s="152"/>
      <c r="AW96" s="152"/>
      <c r="AX96" t="s">
        <v>72</v>
      </c>
      <c r="AY96" t="s">
        <v>16</v>
      </c>
      <c r="AZ96" s="45">
        <v>1.9924840528125001E-4</v>
      </c>
      <c r="BA96" s="45">
        <v>3.6924123265340598E-6</v>
      </c>
    </row>
    <row r="97" spans="1:53" x14ac:dyDescent="0.25">
      <c r="A97" s="152">
        <v>424</v>
      </c>
      <c r="B97" s="152">
        <v>7228</v>
      </c>
      <c r="C97" s="152">
        <v>513326439</v>
      </c>
      <c r="D97" s="152" t="s">
        <v>1721</v>
      </c>
      <c r="E97" s="152" t="s">
        <v>2249</v>
      </c>
      <c r="F97" s="152">
        <v>28944</v>
      </c>
      <c r="G97" s="152" t="s">
        <v>2165</v>
      </c>
      <c r="H97" s="152"/>
      <c r="I97" s="152" t="s">
        <v>71</v>
      </c>
      <c r="J97" s="152" t="s">
        <v>71</v>
      </c>
      <c r="K97" s="152" t="s">
        <v>234</v>
      </c>
      <c r="L97" s="152" t="s">
        <v>72</v>
      </c>
      <c r="M97" s="152" t="s">
        <v>373</v>
      </c>
      <c r="N97" s="152">
        <v>11898420</v>
      </c>
      <c r="O97" s="160" t="s">
        <v>2250</v>
      </c>
      <c r="P97" s="152" t="s">
        <v>228</v>
      </c>
      <c r="Q97" s="152" t="s">
        <v>219</v>
      </c>
      <c r="R97" s="152" t="s">
        <v>2168</v>
      </c>
      <c r="S97" s="152" t="s">
        <v>81</v>
      </c>
      <c r="T97" s="166">
        <v>3.01</v>
      </c>
      <c r="U97" s="152" t="s">
        <v>2184</v>
      </c>
      <c r="V97" s="161">
        <v>5.5E-2</v>
      </c>
      <c r="W97" s="152" t="s">
        <v>2169</v>
      </c>
      <c r="X97" s="152" t="s">
        <v>2170</v>
      </c>
      <c r="Y97" s="167">
        <v>5.5E-2</v>
      </c>
      <c r="Z97" s="168">
        <v>2.9399999999999999E-2</v>
      </c>
      <c r="AA97" s="152" t="s">
        <v>2188</v>
      </c>
      <c r="AB97" s="152" t="s">
        <v>222</v>
      </c>
      <c r="AC97" s="152" t="s">
        <v>1626</v>
      </c>
      <c r="AD97" s="166">
        <v>482000</v>
      </c>
      <c r="AE97" s="168">
        <v>0.73</v>
      </c>
      <c r="AF97" s="152" t="s">
        <v>1878</v>
      </c>
      <c r="AG97" s="152" t="s">
        <v>72</v>
      </c>
      <c r="AH97" s="152"/>
      <c r="AI97" s="152" t="s">
        <v>2182</v>
      </c>
      <c r="AJ97" s="152" t="s">
        <v>373</v>
      </c>
      <c r="AK97" s="152" t="s">
        <v>1454</v>
      </c>
      <c r="AL97" s="152" t="s">
        <v>2174</v>
      </c>
      <c r="AM97" s="152" t="s">
        <v>1671</v>
      </c>
      <c r="AN97" s="160" t="s">
        <v>1455</v>
      </c>
      <c r="AO97" s="152" t="s">
        <v>1878</v>
      </c>
      <c r="AP97" s="161">
        <v>0</v>
      </c>
      <c r="AQ97" s="162">
        <v>48715.29</v>
      </c>
      <c r="AR97" s="170">
        <v>125.27</v>
      </c>
      <c r="AS97" s="171">
        <v>1</v>
      </c>
      <c r="AT97" s="166">
        <v>61.026000000000003</v>
      </c>
      <c r="AU97" s="166">
        <v>61.026000000000003</v>
      </c>
      <c r="AV97" s="152"/>
      <c r="AW97" s="152"/>
      <c r="AX97" t="s">
        <v>72</v>
      </c>
      <c r="AY97" t="s">
        <v>16</v>
      </c>
      <c r="AZ97" s="45">
        <v>1.34172653356424E-3</v>
      </c>
      <c r="BA97" s="45">
        <v>2.4864478008630898E-5</v>
      </c>
    </row>
    <row r="98" spans="1:53" x14ac:dyDescent="0.25">
      <c r="A98" s="152">
        <v>424</v>
      </c>
      <c r="B98" s="152">
        <v>7228</v>
      </c>
      <c r="C98" s="152">
        <v>513326439</v>
      </c>
      <c r="D98" s="152" t="s">
        <v>1721</v>
      </c>
      <c r="E98" s="152" t="s">
        <v>2251</v>
      </c>
      <c r="F98" s="152">
        <v>28969</v>
      </c>
      <c r="G98" s="152" t="s">
        <v>2165</v>
      </c>
      <c r="H98" s="152"/>
      <c r="I98" s="152" t="s">
        <v>71</v>
      </c>
      <c r="J98" s="152" t="s">
        <v>71</v>
      </c>
      <c r="K98" s="152" t="s">
        <v>234</v>
      </c>
      <c r="L98" s="152" t="s">
        <v>72</v>
      </c>
      <c r="M98" s="152" t="s">
        <v>373</v>
      </c>
      <c r="N98" s="152">
        <v>11898421</v>
      </c>
      <c r="O98" s="160" t="s">
        <v>2252</v>
      </c>
      <c r="P98" s="152" t="s">
        <v>228</v>
      </c>
      <c r="Q98" s="152" t="s">
        <v>219</v>
      </c>
      <c r="R98" s="152" t="s">
        <v>2168</v>
      </c>
      <c r="S98" s="152" t="s">
        <v>81</v>
      </c>
      <c r="T98" s="166">
        <v>3.01</v>
      </c>
      <c r="U98" s="152" t="s">
        <v>2184</v>
      </c>
      <c r="V98" s="161">
        <v>5.5E-2</v>
      </c>
      <c r="W98" s="152" t="s">
        <v>2169</v>
      </c>
      <c r="X98" s="152" t="s">
        <v>2170</v>
      </c>
      <c r="Y98" s="167">
        <v>5.5E-2</v>
      </c>
      <c r="Z98" s="168">
        <v>2.9399999999999999E-2</v>
      </c>
      <c r="AA98" s="152" t="s">
        <v>2188</v>
      </c>
      <c r="AB98" s="152" t="s">
        <v>222</v>
      </c>
      <c r="AC98" s="152" t="s">
        <v>1626</v>
      </c>
      <c r="AD98" s="166">
        <v>482000</v>
      </c>
      <c r="AE98" s="168">
        <v>0.73</v>
      </c>
      <c r="AF98" s="152" t="s">
        <v>1878</v>
      </c>
      <c r="AG98" s="152" t="s">
        <v>72</v>
      </c>
      <c r="AH98" s="152"/>
      <c r="AI98" s="152" t="s">
        <v>2182</v>
      </c>
      <c r="AJ98" s="152" t="s">
        <v>373</v>
      </c>
      <c r="AK98" s="152" t="s">
        <v>1454</v>
      </c>
      <c r="AL98" s="152" t="s">
        <v>2174</v>
      </c>
      <c r="AM98" s="152" t="s">
        <v>1671</v>
      </c>
      <c r="AN98" s="160" t="s">
        <v>1455</v>
      </c>
      <c r="AO98" s="152" t="s">
        <v>1878</v>
      </c>
      <c r="AP98" s="161">
        <v>0</v>
      </c>
      <c r="AQ98" s="162">
        <v>95160.53</v>
      </c>
      <c r="AR98" s="170">
        <v>126.4</v>
      </c>
      <c r="AS98" s="171">
        <v>1</v>
      </c>
      <c r="AT98" s="166">
        <v>120.283</v>
      </c>
      <c r="AU98" s="166">
        <v>120.283</v>
      </c>
      <c r="AV98" s="152"/>
      <c r="AW98" s="152"/>
      <c r="AX98" t="s">
        <v>72</v>
      </c>
      <c r="AY98" t="s">
        <v>16</v>
      </c>
      <c r="AZ98" s="45">
        <v>2.6445730314268198E-3</v>
      </c>
      <c r="BA98" s="45">
        <v>4.9008442731957102E-5</v>
      </c>
    </row>
    <row r="99" spans="1:53" x14ac:dyDescent="0.25">
      <c r="A99" s="152">
        <v>424</v>
      </c>
      <c r="B99" s="152">
        <v>7228</v>
      </c>
      <c r="C99" s="152">
        <v>513326439</v>
      </c>
      <c r="D99" s="152" t="s">
        <v>1721</v>
      </c>
      <c r="E99" s="152" t="s">
        <v>2253</v>
      </c>
      <c r="F99" s="152">
        <v>33233</v>
      </c>
      <c r="G99" s="152" t="s">
        <v>2165</v>
      </c>
      <c r="H99" s="152"/>
      <c r="I99" s="152" t="s">
        <v>71</v>
      </c>
      <c r="J99" s="152" t="s">
        <v>71</v>
      </c>
      <c r="K99" s="152" t="s">
        <v>234</v>
      </c>
      <c r="L99" s="152" t="s">
        <v>72</v>
      </c>
      <c r="M99" s="152" t="s">
        <v>373</v>
      </c>
      <c r="N99" s="152">
        <v>11896150</v>
      </c>
      <c r="O99" s="160" t="s">
        <v>2225</v>
      </c>
      <c r="P99" s="152" t="s">
        <v>228</v>
      </c>
      <c r="Q99" s="152" t="s">
        <v>219</v>
      </c>
      <c r="R99" s="152" t="s">
        <v>2168</v>
      </c>
      <c r="S99" s="152" t="s">
        <v>81</v>
      </c>
      <c r="T99" s="166">
        <v>3.01</v>
      </c>
      <c r="U99" s="152" t="s">
        <v>286</v>
      </c>
      <c r="V99" s="161">
        <v>5.5500000000000001E-2</v>
      </c>
      <c r="W99" s="152" t="s">
        <v>2169</v>
      </c>
      <c r="X99" s="152" t="s">
        <v>2120</v>
      </c>
      <c r="Y99" s="167">
        <v>0</v>
      </c>
      <c r="Z99" s="168">
        <v>2.9399999999999999E-2</v>
      </c>
      <c r="AA99" s="152" t="s">
        <v>2188</v>
      </c>
      <c r="AB99" s="152" t="s">
        <v>222</v>
      </c>
      <c r="AC99" s="152" t="s">
        <v>1626</v>
      </c>
      <c r="AD99" s="166">
        <v>482000</v>
      </c>
      <c r="AE99" s="168">
        <v>0.73</v>
      </c>
      <c r="AF99" s="152" t="s">
        <v>1878</v>
      </c>
      <c r="AG99" s="152" t="s">
        <v>72</v>
      </c>
      <c r="AH99" s="152"/>
      <c r="AI99" s="152" t="s">
        <v>2182</v>
      </c>
      <c r="AJ99" s="152" t="s">
        <v>373</v>
      </c>
      <c r="AK99" s="152" t="s">
        <v>1454</v>
      </c>
      <c r="AL99" s="152" t="s">
        <v>2174</v>
      </c>
      <c r="AM99" s="152" t="s">
        <v>1671</v>
      </c>
      <c r="AN99" s="160" t="s">
        <v>1455</v>
      </c>
      <c r="AO99" s="152" t="s">
        <v>1878</v>
      </c>
      <c r="AP99" s="161">
        <v>0</v>
      </c>
      <c r="AQ99" s="162">
        <v>70166.2</v>
      </c>
      <c r="AR99" s="170">
        <v>129.56</v>
      </c>
      <c r="AS99" s="171">
        <v>1</v>
      </c>
      <c r="AT99" s="166">
        <v>90.906999999999996</v>
      </c>
      <c r="AU99" s="166">
        <v>90.906999999999996</v>
      </c>
      <c r="AV99" s="152"/>
      <c r="AW99" s="152"/>
      <c r="AX99" t="s">
        <v>72</v>
      </c>
      <c r="AY99" t="s">
        <v>16</v>
      </c>
      <c r="AZ99" s="45">
        <v>1.9987134502471001E-3</v>
      </c>
      <c r="BA99" s="45">
        <v>3.70395646102384E-5</v>
      </c>
    </row>
    <row r="100" spans="1:53" x14ac:dyDescent="0.25">
      <c r="A100" s="152">
        <v>424</v>
      </c>
      <c r="B100" s="152">
        <v>7228</v>
      </c>
      <c r="C100" s="152">
        <v>513326439</v>
      </c>
      <c r="D100" s="152" t="s">
        <v>1721</v>
      </c>
      <c r="E100" s="152" t="s">
        <v>2254</v>
      </c>
      <c r="F100" s="152">
        <v>24760</v>
      </c>
      <c r="G100" s="152" t="s">
        <v>2165</v>
      </c>
      <c r="H100" s="152"/>
      <c r="I100" s="152" t="s">
        <v>71</v>
      </c>
      <c r="J100" s="152" t="s">
        <v>71</v>
      </c>
      <c r="K100" s="152" t="s">
        <v>234</v>
      </c>
      <c r="L100" s="152" t="s">
        <v>72</v>
      </c>
      <c r="M100" s="152" t="s">
        <v>373</v>
      </c>
      <c r="N100" s="152">
        <v>11896160</v>
      </c>
      <c r="O100" s="160" t="s">
        <v>2255</v>
      </c>
      <c r="P100" s="152" t="s">
        <v>228</v>
      </c>
      <c r="Q100" s="152" t="s">
        <v>219</v>
      </c>
      <c r="R100" s="152" t="s">
        <v>2168</v>
      </c>
      <c r="S100" s="152" t="s">
        <v>81</v>
      </c>
      <c r="T100" s="166">
        <v>3.01</v>
      </c>
      <c r="U100" s="152" t="s">
        <v>2184</v>
      </c>
      <c r="V100" s="161">
        <v>5.5E-2</v>
      </c>
      <c r="W100" s="152" t="s">
        <v>2169</v>
      </c>
      <c r="X100" s="152" t="s">
        <v>2170</v>
      </c>
      <c r="Y100" s="167">
        <v>5.5E-2</v>
      </c>
      <c r="Z100" s="168">
        <v>2.9399999999999999E-2</v>
      </c>
      <c r="AA100" s="152" t="s">
        <v>2181</v>
      </c>
      <c r="AB100" s="152" t="s">
        <v>222</v>
      </c>
      <c r="AC100" s="152" t="s">
        <v>1626</v>
      </c>
      <c r="AD100" s="166">
        <v>203777.768205128</v>
      </c>
      <c r="AE100" s="168">
        <v>0.73</v>
      </c>
      <c r="AF100" s="152" t="s">
        <v>1878</v>
      </c>
      <c r="AG100" s="152" t="s">
        <v>72</v>
      </c>
      <c r="AH100" s="152"/>
      <c r="AI100" s="152" t="s">
        <v>2182</v>
      </c>
      <c r="AJ100" s="152" t="s">
        <v>373</v>
      </c>
      <c r="AK100" s="152" t="s">
        <v>1454</v>
      </c>
      <c r="AL100" s="152" t="s">
        <v>2174</v>
      </c>
      <c r="AM100" s="152" t="s">
        <v>1671</v>
      </c>
      <c r="AN100" s="160" t="s">
        <v>1455</v>
      </c>
      <c r="AO100" s="152" t="s">
        <v>1878</v>
      </c>
      <c r="AP100" s="161">
        <v>0</v>
      </c>
      <c r="AQ100" s="162">
        <v>30794.42</v>
      </c>
      <c r="AR100" s="170">
        <v>127.77</v>
      </c>
      <c r="AS100" s="171">
        <v>1</v>
      </c>
      <c r="AT100" s="166">
        <v>39.345999999999997</v>
      </c>
      <c r="AU100" s="166">
        <v>39.345999999999997</v>
      </c>
      <c r="AV100" s="152"/>
      <c r="AW100" s="152"/>
      <c r="AX100" t="s">
        <v>72</v>
      </c>
      <c r="AY100" t="s">
        <v>16</v>
      </c>
      <c r="AZ100" s="45">
        <v>8.6507261130164595E-4</v>
      </c>
      <c r="BA100" s="45">
        <v>1.6031268951981901E-5</v>
      </c>
    </row>
    <row r="101" spans="1:53" x14ac:dyDescent="0.25">
      <c r="A101" s="152">
        <v>424</v>
      </c>
      <c r="B101" s="152">
        <v>7228</v>
      </c>
      <c r="C101" s="152">
        <v>513326439</v>
      </c>
      <c r="D101" s="152" t="s">
        <v>1721</v>
      </c>
      <c r="E101" s="152" t="s">
        <v>2256</v>
      </c>
      <c r="F101" s="152">
        <v>24810</v>
      </c>
      <c r="G101" s="152" t="s">
        <v>2165</v>
      </c>
      <c r="H101" s="152"/>
      <c r="I101" s="152" t="s">
        <v>71</v>
      </c>
      <c r="J101" s="152" t="s">
        <v>71</v>
      </c>
      <c r="K101" s="152" t="s">
        <v>234</v>
      </c>
      <c r="L101" s="152" t="s">
        <v>72</v>
      </c>
      <c r="M101" s="152" t="s">
        <v>373</v>
      </c>
      <c r="N101" s="152">
        <v>11898180</v>
      </c>
      <c r="O101" s="160" t="s">
        <v>2257</v>
      </c>
      <c r="P101" s="152" t="s">
        <v>228</v>
      </c>
      <c r="Q101" s="152" t="s">
        <v>219</v>
      </c>
      <c r="R101" s="152" t="s">
        <v>2168</v>
      </c>
      <c r="S101" s="152" t="s">
        <v>81</v>
      </c>
      <c r="T101" s="166">
        <v>3.01</v>
      </c>
      <c r="U101" s="152" t="s">
        <v>2184</v>
      </c>
      <c r="V101" s="161">
        <v>5.5E-2</v>
      </c>
      <c r="W101" s="152" t="s">
        <v>2169</v>
      </c>
      <c r="X101" s="152" t="s">
        <v>2170</v>
      </c>
      <c r="Y101" s="167">
        <v>5.5E-2</v>
      </c>
      <c r="Z101" s="168">
        <v>2.9399999999999999E-2</v>
      </c>
      <c r="AA101" s="152" t="s">
        <v>2181</v>
      </c>
      <c r="AB101" s="152" t="s">
        <v>222</v>
      </c>
      <c r="AC101" s="152" t="s">
        <v>1626</v>
      </c>
      <c r="AD101" s="166">
        <v>482000</v>
      </c>
      <c r="AE101" s="168">
        <v>0.73</v>
      </c>
      <c r="AF101" s="152" t="s">
        <v>1878</v>
      </c>
      <c r="AG101" s="152" t="s">
        <v>72</v>
      </c>
      <c r="AH101" s="152"/>
      <c r="AI101" s="152" t="s">
        <v>2182</v>
      </c>
      <c r="AJ101" s="152" t="s">
        <v>373</v>
      </c>
      <c r="AK101" s="152" t="s">
        <v>1454</v>
      </c>
      <c r="AL101" s="152" t="s">
        <v>2174</v>
      </c>
      <c r="AM101" s="152" t="s">
        <v>1671</v>
      </c>
      <c r="AN101" s="160" t="s">
        <v>1455</v>
      </c>
      <c r="AO101" s="152" t="s">
        <v>1878</v>
      </c>
      <c r="AP101" s="161">
        <v>0</v>
      </c>
      <c r="AQ101" s="162">
        <v>28747.14</v>
      </c>
      <c r="AR101" s="170">
        <v>128.13</v>
      </c>
      <c r="AS101" s="171">
        <v>1</v>
      </c>
      <c r="AT101" s="166">
        <v>36.834000000000003</v>
      </c>
      <c r="AU101" s="166">
        <v>36.834000000000003</v>
      </c>
      <c r="AV101" s="152"/>
      <c r="AW101" s="152"/>
      <c r="AX101" t="s">
        <v>72</v>
      </c>
      <c r="AY101" t="s">
        <v>16</v>
      </c>
      <c r="AZ101" s="45">
        <v>8.0983605611859E-4</v>
      </c>
      <c r="BA101" s="45">
        <v>1.5007641500884801E-5</v>
      </c>
    </row>
    <row r="102" spans="1:53" x14ac:dyDescent="0.25">
      <c r="A102" s="152">
        <v>424</v>
      </c>
      <c r="B102" s="152">
        <v>7228</v>
      </c>
      <c r="C102" s="152">
        <v>513326439</v>
      </c>
      <c r="D102" s="152" t="s">
        <v>1721</v>
      </c>
      <c r="E102" s="152" t="s">
        <v>2258</v>
      </c>
      <c r="F102" s="152">
        <v>34330</v>
      </c>
      <c r="G102" s="152" t="s">
        <v>2165</v>
      </c>
      <c r="H102" s="152"/>
      <c r="I102" s="152" t="s">
        <v>71</v>
      </c>
      <c r="J102" s="152" t="s">
        <v>71</v>
      </c>
      <c r="K102" s="152" t="s">
        <v>234</v>
      </c>
      <c r="L102" s="152" t="s">
        <v>72</v>
      </c>
      <c r="M102" s="152" t="s">
        <v>373</v>
      </c>
      <c r="N102" s="152">
        <v>11898190</v>
      </c>
      <c r="O102" s="160" t="s">
        <v>2225</v>
      </c>
      <c r="P102" s="152" t="s">
        <v>228</v>
      </c>
      <c r="Q102" s="152" t="s">
        <v>219</v>
      </c>
      <c r="R102" s="152" t="s">
        <v>2168</v>
      </c>
      <c r="S102" s="152" t="s">
        <v>81</v>
      </c>
      <c r="T102" s="166">
        <v>3.01</v>
      </c>
      <c r="U102" s="152" t="s">
        <v>286</v>
      </c>
      <c r="V102" s="161">
        <v>5.5E-2</v>
      </c>
      <c r="W102" s="152" t="s">
        <v>2169</v>
      </c>
      <c r="X102" s="152" t="s">
        <v>2120</v>
      </c>
      <c r="Y102" s="167">
        <v>0</v>
      </c>
      <c r="Z102" s="168">
        <v>2.9399999999999999E-2</v>
      </c>
      <c r="AA102" s="152" t="s">
        <v>2188</v>
      </c>
      <c r="AB102" s="152" t="s">
        <v>222</v>
      </c>
      <c r="AC102" s="152" t="s">
        <v>1626</v>
      </c>
      <c r="AD102" s="166">
        <v>482000</v>
      </c>
      <c r="AE102" s="168">
        <v>0.73</v>
      </c>
      <c r="AF102" s="152" t="s">
        <v>1878</v>
      </c>
      <c r="AG102" s="152" t="s">
        <v>72</v>
      </c>
      <c r="AH102" s="152"/>
      <c r="AI102" s="152" t="s">
        <v>2182</v>
      </c>
      <c r="AJ102" s="152" t="s">
        <v>373</v>
      </c>
      <c r="AK102" s="152" t="s">
        <v>1454</v>
      </c>
      <c r="AL102" s="152" t="s">
        <v>2174</v>
      </c>
      <c r="AM102" s="152" t="s">
        <v>1671</v>
      </c>
      <c r="AN102" s="160" t="s">
        <v>1455</v>
      </c>
      <c r="AO102" s="152" t="s">
        <v>1878</v>
      </c>
      <c r="AP102" s="161">
        <v>0</v>
      </c>
      <c r="AQ102" s="162">
        <v>36801.360000000001</v>
      </c>
      <c r="AR102" s="170">
        <v>126.69</v>
      </c>
      <c r="AS102" s="171">
        <v>1</v>
      </c>
      <c r="AT102" s="166">
        <v>46.624000000000002</v>
      </c>
      <c r="AU102" s="166">
        <v>46.624000000000002</v>
      </c>
      <c r="AV102" s="152"/>
      <c r="AW102" s="152"/>
      <c r="AX102" t="s">
        <v>72</v>
      </c>
      <c r="AY102" t="s">
        <v>16</v>
      </c>
      <c r="AZ102" s="45">
        <v>1.0250801958845599E-3</v>
      </c>
      <c r="BA102" s="45">
        <v>1.8996482032703499E-5</v>
      </c>
    </row>
    <row r="103" spans="1:53" x14ac:dyDescent="0.25">
      <c r="A103" s="152">
        <v>424</v>
      </c>
      <c r="B103" s="152">
        <v>7228</v>
      </c>
      <c r="C103" s="152">
        <v>513184192</v>
      </c>
      <c r="D103" s="152" t="s">
        <v>1721</v>
      </c>
      <c r="E103" s="152" t="s">
        <v>2259</v>
      </c>
      <c r="F103" s="152">
        <v>44446</v>
      </c>
      <c r="G103" s="152" t="s">
        <v>2165</v>
      </c>
      <c r="H103" s="152"/>
      <c r="I103" s="152" t="s">
        <v>71</v>
      </c>
      <c r="J103" s="152" t="s">
        <v>71</v>
      </c>
      <c r="K103" s="152" t="s">
        <v>1626</v>
      </c>
      <c r="L103" s="152" t="s">
        <v>72</v>
      </c>
      <c r="M103" s="152" t="s">
        <v>373</v>
      </c>
      <c r="N103" s="152">
        <v>99999987</v>
      </c>
      <c r="O103" s="160" t="s">
        <v>2260</v>
      </c>
      <c r="P103" s="152" t="s">
        <v>228</v>
      </c>
      <c r="Q103" s="152" t="s">
        <v>219</v>
      </c>
      <c r="R103" s="152" t="s">
        <v>2168</v>
      </c>
      <c r="S103" s="152" t="s">
        <v>81</v>
      </c>
      <c r="T103" s="166">
        <v>1.68</v>
      </c>
      <c r="U103" s="152" t="s">
        <v>2184</v>
      </c>
      <c r="V103" s="161">
        <v>2.562E-2</v>
      </c>
      <c r="W103" s="152" t="s">
        <v>2169</v>
      </c>
      <c r="X103" s="152" t="s">
        <v>2170</v>
      </c>
      <c r="Y103" s="167">
        <v>2.562E-2</v>
      </c>
      <c r="Z103" s="168">
        <v>2.7900000000000001E-2</v>
      </c>
      <c r="AA103" s="152" t="s">
        <v>561</v>
      </c>
      <c r="AB103" s="152" t="s">
        <v>222</v>
      </c>
      <c r="AC103" s="152" t="s">
        <v>1626</v>
      </c>
      <c r="AD103" s="166">
        <v>60116.983060975603</v>
      </c>
      <c r="AE103" s="168">
        <v>0.82</v>
      </c>
      <c r="AF103" s="152" t="s">
        <v>1878</v>
      </c>
      <c r="AG103" s="152" t="s">
        <v>72</v>
      </c>
      <c r="AH103" s="152"/>
      <c r="AI103" s="152" t="s">
        <v>2261</v>
      </c>
      <c r="AJ103" s="152" t="s">
        <v>373</v>
      </c>
      <c r="AK103" s="152" t="s">
        <v>1454</v>
      </c>
      <c r="AL103" s="152" t="s">
        <v>2174</v>
      </c>
      <c r="AM103" s="152" t="s">
        <v>1671</v>
      </c>
      <c r="AN103" s="160" t="s">
        <v>1455</v>
      </c>
      <c r="AO103" s="152" t="s">
        <v>1878</v>
      </c>
      <c r="AP103" s="161">
        <v>0</v>
      </c>
      <c r="AQ103" s="162">
        <v>1398986.7</v>
      </c>
      <c r="AR103" s="170">
        <v>115.65</v>
      </c>
      <c r="AS103" s="171">
        <v>1</v>
      </c>
      <c r="AT103" s="166">
        <v>1617.9280000000001</v>
      </c>
      <c r="AU103" s="166">
        <v>1617.9280000000001</v>
      </c>
      <c r="AV103" s="152"/>
      <c r="AW103" s="152"/>
      <c r="AX103" t="s">
        <v>72</v>
      </c>
      <c r="AY103" t="s">
        <v>16</v>
      </c>
      <c r="AZ103" s="45">
        <v>3.5572211147454201E-2</v>
      </c>
      <c r="BA103" s="45">
        <v>6.5921366214966005E-4</v>
      </c>
    </row>
    <row r="104" spans="1:53" x14ac:dyDescent="0.25">
      <c r="A104" s="152">
        <v>424</v>
      </c>
      <c r="B104" s="152">
        <v>7228</v>
      </c>
      <c r="C104" s="152">
        <v>516705795</v>
      </c>
      <c r="D104" s="152" t="s">
        <v>1721</v>
      </c>
      <c r="E104" s="152" t="s">
        <v>2269</v>
      </c>
      <c r="F104" s="152">
        <v>50007798</v>
      </c>
      <c r="G104" s="152" t="s">
        <v>2165</v>
      </c>
      <c r="H104" s="152" t="s">
        <v>2270</v>
      </c>
      <c r="I104" s="152" t="s">
        <v>71</v>
      </c>
      <c r="J104" s="152" t="s">
        <v>71</v>
      </c>
      <c r="K104" s="152" t="s">
        <v>515</v>
      </c>
      <c r="L104" s="152" t="s">
        <v>72</v>
      </c>
      <c r="M104" s="152" t="s">
        <v>373</v>
      </c>
      <c r="N104" s="152">
        <v>90552313</v>
      </c>
      <c r="O104" s="160" t="s">
        <v>2167</v>
      </c>
      <c r="P104" s="152" t="s">
        <v>2271</v>
      </c>
      <c r="Q104" s="152" t="s">
        <v>219</v>
      </c>
      <c r="R104" s="152" t="s">
        <v>2168</v>
      </c>
      <c r="S104" s="152" t="s">
        <v>81</v>
      </c>
      <c r="T104" s="166">
        <v>0.08</v>
      </c>
      <c r="U104" s="152" t="s">
        <v>2184</v>
      </c>
      <c r="V104" s="161">
        <v>0.08</v>
      </c>
      <c r="W104" s="152" t="s">
        <v>2169</v>
      </c>
      <c r="X104" s="152" t="s">
        <v>2120</v>
      </c>
      <c r="Y104" s="167">
        <v>0</v>
      </c>
      <c r="Z104" s="168">
        <v>8.0399999999999999E-2</v>
      </c>
      <c r="AA104" s="152" t="s">
        <v>2272</v>
      </c>
      <c r="AB104" s="152" t="s">
        <v>222</v>
      </c>
      <c r="AC104" s="152" t="s">
        <v>2171</v>
      </c>
      <c r="AD104" s="166">
        <v>782791</v>
      </c>
      <c r="AE104" s="168">
        <v>0.43</v>
      </c>
      <c r="AF104" s="152" t="s">
        <v>1878</v>
      </c>
      <c r="AG104" s="152" t="s">
        <v>373</v>
      </c>
      <c r="AH104" s="152" t="s">
        <v>2172</v>
      </c>
      <c r="AI104" s="152" t="s">
        <v>2273</v>
      </c>
      <c r="AJ104" s="152" t="s">
        <v>373</v>
      </c>
      <c r="AK104" s="152" t="s">
        <v>1454</v>
      </c>
      <c r="AL104" s="152" t="s">
        <v>2174</v>
      </c>
      <c r="AM104" s="152" t="s">
        <v>1671</v>
      </c>
      <c r="AN104" s="160" t="s">
        <v>1455</v>
      </c>
      <c r="AO104" s="152" t="s">
        <v>1878</v>
      </c>
      <c r="AP104" s="161">
        <v>0</v>
      </c>
      <c r="AQ104" s="162">
        <v>4025000</v>
      </c>
      <c r="AR104" s="170">
        <v>101.91</v>
      </c>
      <c r="AS104" s="171">
        <v>1</v>
      </c>
      <c r="AT104" s="166">
        <v>4101.8770000000004</v>
      </c>
      <c r="AU104" s="166">
        <v>4101.8770000000004</v>
      </c>
      <c r="AV104" s="152"/>
      <c r="AW104" s="152"/>
      <c r="AX104" t="s">
        <v>72</v>
      </c>
      <c r="AY104" t="s">
        <v>16</v>
      </c>
      <c r="AZ104" s="45">
        <v>9.0185003188992099E-2</v>
      </c>
      <c r="BA104" s="45">
        <v>1.67128171978842E-3</v>
      </c>
    </row>
    <row r="105" spans="1:53" x14ac:dyDescent="0.25">
      <c r="A105" s="152">
        <v>424</v>
      </c>
      <c r="B105" s="152">
        <v>7228</v>
      </c>
      <c r="C105" s="152">
        <v>516432044</v>
      </c>
      <c r="D105" s="152" t="s">
        <v>1721</v>
      </c>
      <c r="E105" s="152" t="s">
        <v>2274</v>
      </c>
      <c r="F105" s="152">
        <v>50007319</v>
      </c>
      <c r="G105" s="152" t="s">
        <v>2165</v>
      </c>
      <c r="H105" s="152"/>
      <c r="I105" s="152" t="s">
        <v>71</v>
      </c>
      <c r="J105" s="152" t="s">
        <v>71</v>
      </c>
      <c r="K105" s="152" t="s">
        <v>498</v>
      </c>
      <c r="L105" s="152" t="s">
        <v>72</v>
      </c>
      <c r="M105" s="152" t="s">
        <v>373</v>
      </c>
      <c r="N105" s="152">
        <v>93100002</v>
      </c>
      <c r="O105" s="160" t="s">
        <v>1447</v>
      </c>
      <c r="P105" s="152" t="s">
        <v>527</v>
      </c>
      <c r="Q105" s="152" t="s">
        <v>528</v>
      </c>
      <c r="R105" s="152" t="s">
        <v>2168</v>
      </c>
      <c r="S105" s="152" t="s">
        <v>81</v>
      </c>
      <c r="T105" s="166">
        <v>0.17</v>
      </c>
      <c r="U105" s="152" t="s">
        <v>2184</v>
      </c>
      <c r="V105" s="161">
        <v>1.7999999999999999E-2</v>
      </c>
      <c r="W105" s="152" t="s">
        <v>2169</v>
      </c>
      <c r="X105" s="152" t="s">
        <v>2275</v>
      </c>
      <c r="Y105" s="167">
        <v>1.7999999999999999E-2</v>
      </c>
      <c r="Z105" s="168">
        <v>4.8099999999999997E-2</v>
      </c>
      <c r="AA105" s="152" t="s">
        <v>2276</v>
      </c>
      <c r="AB105" s="152" t="s">
        <v>222</v>
      </c>
      <c r="AC105" s="152"/>
      <c r="AD105" s="152"/>
      <c r="AE105" s="168">
        <v>0</v>
      </c>
      <c r="AF105" s="152"/>
      <c r="AG105" s="152" t="s">
        <v>72</v>
      </c>
      <c r="AH105" s="152"/>
      <c r="AI105" s="152"/>
      <c r="AJ105" s="152" t="s">
        <v>72</v>
      </c>
      <c r="AK105" s="152" t="s">
        <v>286</v>
      </c>
      <c r="AL105" s="152"/>
      <c r="AM105" s="152" t="s">
        <v>1671</v>
      </c>
      <c r="AN105" s="160" t="s">
        <v>1455</v>
      </c>
      <c r="AO105" s="152"/>
      <c r="AP105" s="161">
        <v>0</v>
      </c>
      <c r="AQ105" s="162">
        <v>1130197.27</v>
      </c>
      <c r="AR105" s="170">
        <v>99.89</v>
      </c>
      <c r="AS105" s="171">
        <v>1</v>
      </c>
      <c r="AT105" s="166">
        <v>1128.954</v>
      </c>
      <c r="AU105" s="166">
        <v>1128.954</v>
      </c>
      <c r="AV105" s="152"/>
      <c r="AW105" s="152"/>
      <c r="AX105" t="s">
        <v>72</v>
      </c>
      <c r="AY105" t="s">
        <v>16</v>
      </c>
      <c r="AZ105" s="45">
        <v>2.4821493296740601E-2</v>
      </c>
      <c r="BA105" s="45">
        <v>4.5998454884744002E-4</v>
      </c>
    </row>
    <row r="106" spans="1:53" x14ac:dyDescent="0.25">
      <c r="A106" s="152">
        <v>424</v>
      </c>
      <c r="B106" s="152">
        <v>7228</v>
      </c>
      <c r="C106" s="152">
        <v>516432044</v>
      </c>
      <c r="D106" s="152" t="s">
        <v>1721</v>
      </c>
      <c r="E106" s="152" t="s">
        <v>2277</v>
      </c>
      <c r="F106" s="152">
        <v>50007327</v>
      </c>
      <c r="G106" s="152" t="s">
        <v>2165</v>
      </c>
      <c r="H106" s="152"/>
      <c r="I106" s="152" t="s">
        <v>71</v>
      </c>
      <c r="J106" s="152" t="s">
        <v>71</v>
      </c>
      <c r="K106" s="152" t="s">
        <v>498</v>
      </c>
      <c r="L106" s="152" t="s">
        <v>72</v>
      </c>
      <c r="M106" s="152" t="s">
        <v>373</v>
      </c>
      <c r="N106" s="152">
        <v>93100003</v>
      </c>
      <c r="O106" s="160" t="s">
        <v>1447</v>
      </c>
      <c r="P106" s="152" t="s">
        <v>527</v>
      </c>
      <c r="Q106" s="152" t="s">
        <v>528</v>
      </c>
      <c r="R106" s="152" t="s">
        <v>2168</v>
      </c>
      <c r="S106" s="152" t="s">
        <v>81</v>
      </c>
      <c r="T106" s="166">
        <v>0.66</v>
      </c>
      <c r="U106" s="152" t="s">
        <v>2184</v>
      </c>
      <c r="V106" s="161">
        <v>2.8000000000000001E-2</v>
      </c>
      <c r="W106" s="152" t="s">
        <v>2169</v>
      </c>
      <c r="X106" s="152" t="s">
        <v>2275</v>
      </c>
      <c r="Y106" s="167">
        <v>2.8000000000000001E-2</v>
      </c>
      <c r="Z106" s="168">
        <v>5.3499999999999999E-2</v>
      </c>
      <c r="AA106" s="152" t="s">
        <v>2278</v>
      </c>
      <c r="AB106" s="152" t="s">
        <v>222</v>
      </c>
      <c r="AC106" s="152"/>
      <c r="AD106" s="152"/>
      <c r="AE106" s="168">
        <v>0</v>
      </c>
      <c r="AF106" s="152"/>
      <c r="AG106" s="152" t="s">
        <v>72</v>
      </c>
      <c r="AH106" s="152"/>
      <c r="AI106" s="152"/>
      <c r="AJ106" s="152" t="s">
        <v>72</v>
      </c>
      <c r="AK106" s="152" t="s">
        <v>286</v>
      </c>
      <c r="AL106" s="152"/>
      <c r="AM106" s="152" t="s">
        <v>1671</v>
      </c>
      <c r="AN106" s="160" t="s">
        <v>1455</v>
      </c>
      <c r="AO106" s="152"/>
      <c r="AP106" s="161">
        <v>0</v>
      </c>
      <c r="AQ106" s="162">
        <v>2250000</v>
      </c>
      <c r="AR106" s="170">
        <v>98.98</v>
      </c>
      <c r="AS106" s="171">
        <v>1</v>
      </c>
      <c r="AT106" s="166">
        <v>2227.0500000000002</v>
      </c>
      <c r="AU106" s="166">
        <v>2227.0500000000002</v>
      </c>
      <c r="AV106" s="152"/>
      <c r="AW106" s="152"/>
      <c r="AX106" t="s">
        <v>72</v>
      </c>
      <c r="AY106" t="s">
        <v>16</v>
      </c>
      <c r="AZ106" s="45">
        <v>4.8964531815502803E-2</v>
      </c>
      <c r="BA106" s="45">
        <v>9.0739617505759395E-4</v>
      </c>
    </row>
    <row r="107" spans="1:53" x14ac:dyDescent="0.25">
      <c r="A107" s="152">
        <v>424</v>
      </c>
      <c r="B107" s="152">
        <v>7228</v>
      </c>
      <c r="C107" s="152">
        <v>513926857</v>
      </c>
      <c r="D107" s="152" t="s">
        <v>1721</v>
      </c>
      <c r="E107" s="152" t="s">
        <v>2279</v>
      </c>
      <c r="F107" s="152">
        <v>50003409</v>
      </c>
      <c r="G107" s="152" t="s">
        <v>2165</v>
      </c>
      <c r="H107" s="152"/>
      <c r="I107" s="152" t="s">
        <v>71</v>
      </c>
      <c r="J107" s="152" t="s">
        <v>71</v>
      </c>
      <c r="K107" s="152" t="s">
        <v>234</v>
      </c>
      <c r="L107" s="152" t="s">
        <v>72</v>
      </c>
      <c r="M107" s="152" t="s">
        <v>373</v>
      </c>
      <c r="N107" s="152">
        <v>84666735</v>
      </c>
      <c r="O107" s="160" t="s">
        <v>2176</v>
      </c>
      <c r="P107" s="152" t="s">
        <v>246</v>
      </c>
      <c r="Q107" s="152" t="s">
        <v>219</v>
      </c>
      <c r="R107" s="152" t="s">
        <v>2168</v>
      </c>
      <c r="S107" s="152" t="s">
        <v>81</v>
      </c>
      <c r="T107" s="166">
        <v>4.59</v>
      </c>
      <c r="U107" s="152" t="s">
        <v>286</v>
      </c>
      <c r="V107" s="161">
        <v>3.5499999999999997E-2</v>
      </c>
      <c r="W107" s="152" t="s">
        <v>2169</v>
      </c>
      <c r="X107" s="152" t="s">
        <v>2170</v>
      </c>
      <c r="Y107" s="167">
        <v>3.5499999999999997E-2</v>
      </c>
      <c r="Z107" s="168">
        <v>3.8199999999999998E-2</v>
      </c>
      <c r="AA107" s="152" t="s">
        <v>2177</v>
      </c>
      <c r="AB107" s="152" t="s">
        <v>222</v>
      </c>
      <c r="AC107" s="152" t="s">
        <v>1626</v>
      </c>
      <c r="AD107" s="166">
        <v>104760.857253165</v>
      </c>
      <c r="AE107" s="168">
        <v>0.79</v>
      </c>
      <c r="AF107" s="152" t="s">
        <v>1878</v>
      </c>
      <c r="AG107" s="152" t="s">
        <v>373</v>
      </c>
      <c r="AH107" s="152"/>
      <c r="AI107" s="152" t="s">
        <v>2178</v>
      </c>
      <c r="AJ107" s="152" t="s">
        <v>373</v>
      </c>
      <c r="AK107" s="152" t="s">
        <v>1454</v>
      </c>
      <c r="AL107" s="152" t="s">
        <v>2174</v>
      </c>
      <c r="AM107" s="152" t="s">
        <v>1671</v>
      </c>
      <c r="AN107" s="160" t="s">
        <v>1455</v>
      </c>
      <c r="AO107" s="152" t="s">
        <v>1878</v>
      </c>
      <c r="AP107" s="161">
        <v>0</v>
      </c>
      <c r="AQ107" s="162">
        <v>3458212.6</v>
      </c>
      <c r="AR107" s="170">
        <v>109.86</v>
      </c>
      <c r="AS107" s="171">
        <v>1</v>
      </c>
      <c r="AT107" s="166">
        <v>3799.192</v>
      </c>
      <c r="AU107" s="166">
        <v>3799.192</v>
      </c>
      <c r="AV107" s="152"/>
      <c r="AW107" s="152"/>
      <c r="AX107" t="s">
        <v>72</v>
      </c>
      <c r="AY107" t="s">
        <v>16</v>
      </c>
      <c r="AZ107" s="45">
        <v>8.3530084775820607E-2</v>
      </c>
      <c r="BA107" s="45">
        <v>1.54795474637457E-3</v>
      </c>
    </row>
    <row r="108" spans="1:53" x14ac:dyDescent="0.25">
      <c r="A108" s="152">
        <v>424</v>
      </c>
      <c r="B108" s="152">
        <v>7228</v>
      </c>
      <c r="C108" s="152">
        <v>510960586</v>
      </c>
      <c r="D108" s="152" t="s">
        <v>111</v>
      </c>
      <c r="E108" s="152" t="s">
        <v>2285</v>
      </c>
      <c r="F108" s="152">
        <v>893100109</v>
      </c>
      <c r="G108" s="152" t="s">
        <v>2281</v>
      </c>
      <c r="H108" s="152"/>
      <c r="I108" s="152" t="s">
        <v>71</v>
      </c>
      <c r="J108" s="152" t="s">
        <v>71</v>
      </c>
      <c r="K108" s="152" t="s">
        <v>429</v>
      </c>
      <c r="L108" s="152" t="s">
        <v>72</v>
      </c>
      <c r="M108" s="152" t="s">
        <v>72</v>
      </c>
      <c r="N108" s="152"/>
      <c r="O108" s="160" t="s">
        <v>2282</v>
      </c>
      <c r="P108" s="152" t="s">
        <v>560</v>
      </c>
      <c r="Q108" s="152" t="s">
        <v>111</v>
      </c>
      <c r="R108" s="152" t="s">
        <v>2168</v>
      </c>
      <c r="S108" s="152" t="s">
        <v>81</v>
      </c>
      <c r="T108" s="166">
        <v>2.4049999999999998</v>
      </c>
      <c r="U108" s="152" t="s">
        <v>286</v>
      </c>
      <c r="V108" s="161">
        <v>0</v>
      </c>
      <c r="W108" s="152" t="s">
        <v>2169</v>
      </c>
      <c r="X108" s="152" t="s">
        <v>2275</v>
      </c>
      <c r="Y108" s="167">
        <v>0</v>
      </c>
      <c r="Z108" s="168">
        <v>5.0099999999999999E-2</v>
      </c>
      <c r="AA108" s="152"/>
      <c r="AB108" s="152" t="s">
        <v>222</v>
      </c>
      <c r="AC108" s="152"/>
      <c r="AD108" s="152"/>
      <c r="AE108" s="168">
        <v>0</v>
      </c>
      <c r="AF108" s="152"/>
      <c r="AG108" s="152" t="s">
        <v>72</v>
      </c>
      <c r="AH108" s="152"/>
      <c r="AI108" s="152"/>
      <c r="AJ108" s="152" t="s">
        <v>72</v>
      </c>
      <c r="AK108" s="152" t="s">
        <v>286</v>
      </c>
      <c r="AL108" s="152"/>
      <c r="AM108" s="152"/>
      <c r="AN108" s="160" t="s">
        <v>1455</v>
      </c>
      <c r="AO108" s="152"/>
      <c r="AP108" s="161">
        <v>0</v>
      </c>
      <c r="AQ108" s="162">
        <v>27970671.219999999</v>
      </c>
      <c r="AR108" s="170">
        <v>101.49</v>
      </c>
      <c r="AS108" s="171">
        <v>1</v>
      </c>
      <c r="AT108" s="166">
        <v>28387.535</v>
      </c>
      <c r="AU108" s="166">
        <v>28387.535</v>
      </c>
      <c r="AV108" s="152"/>
      <c r="AW108" s="152"/>
      <c r="AX108" t="s">
        <v>72</v>
      </c>
      <c r="AY108" t="s">
        <v>16</v>
      </c>
      <c r="AZ108" s="45">
        <v>0.62413612471130697</v>
      </c>
      <c r="BA108" s="45">
        <v>1.1566305472137699E-2</v>
      </c>
    </row>
    <row r="109" spans="1:53" x14ac:dyDescent="0.25">
      <c r="A109" s="152">
        <v>424</v>
      </c>
      <c r="B109" s="152">
        <v>7229</v>
      </c>
      <c r="C109" s="152">
        <v>514984558</v>
      </c>
      <c r="D109" s="152" t="s">
        <v>1721</v>
      </c>
      <c r="E109" s="152" t="s">
        <v>2164</v>
      </c>
      <c r="F109" s="152">
        <v>50007509</v>
      </c>
      <c r="G109" s="152" t="s">
        <v>2165</v>
      </c>
      <c r="H109" s="152" t="s">
        <v>2166</v>
      </c>
      <c r="I109" s="152" t="s">
        <v>71</v>
      </c>
      <c r="J109" s="152" t="s">
        <v>71</v>
      </c>
      <c r="K109" s="152" t="s">
        <v>1572</v>
      </c>
      <c r="L109" s="152" t="s">
        <v>72</v>
      </c>
      <c r="M109" s="152" t="s">
        <v>373</v>
      </c>
      <c r="N109" s="152">
        <v>90701004</v>
      </c>
      <c r="O109" s="160" t="s">
        <v>2167</v>
      </c>
      <c r="P109" s="152" t="s">
        <v>509</v>
      </c>
      <c r="Q109" s="152" t="s">
        <v>219</v>
      </c>
      <c r="R109" s="152" t="s">
        <v>2168</v>
      </c>
      <c r="S109" s="152" t="s">
        <v>81</v>
      </c>
      <c r="T109" s="166">
        <v>1.3</v>
      </c>
      <c r="U109" s="152" t="s">
        <v>286</v>
      </c>
      <c r="V109" s="161">
        <v>5.5E-2</v>
      </c>
      <c r="W109" s="152" t="s">
        <v>2169</v>
      </c>
      <c r="X109" s="152" t="s">
        <v>2170</v>
      </c>
      <c r="Y109" s="167">
        <v>5.5E-2</v>
      </c>
      <c r="Z109" s="168">
        <v>0.23249</v>
      </c>
      <c r="AA109" s="152" t="s">
        <v>391</v>
      </c>
      <c r="AB109" s="152" t="s">
        <v>222</v>
      </c>
      <c r="AC109" s="152" t="s">
        <v>2171</v>
      </c>
      <c r="AD109" s="166">
        <v>19935.854166666701</v>
      </c>
      <c r="AE109" s="168">
        <v>0.72</v>
      </c>
      <c r="AF109" s="152" t="s">
        <v>1878</v>
      </c>
      <c r="AG109" s="152" t="s">
        <v>373</v>
      </c>
      <c r="AH109" s="152" t="s">
        <v>2172</v>
      </c>
      <c r="AI109" s="152" t="s">
        <v>2173</v>
      </c>
      <c r="AJ109" s="152" t="s">
        <v>373</v>
      </c>
      <c r="AK109" s="152" t="s">
        <v>1454</v>
      </c>
      <c r="AL109" s="152" t="s">
        <v>2174</v>
      </c>
      <c r="AM109" s="152" t="s">
        <v>1671</v>
      </c>
      <c r="AN109" s="160" t="s">
        <v>1455</v>
      </c>
      <c r="AO109" s="152" t="s">
        <v>1878</v>
      </c>
      <c r="AP109" s="161">
        <v>0</v>
      </c>
      <c r="AQ109" s="162">
        <v>25330</v>
      </c>
      <c r="AR109" s="170">
        <v>81.349999999999994</v>
      </c>
      <c r="AS109" s="171">
        <v>1</v>
      </c>
      <c r="AT109" s="166">
        <v>20.606000000000002</v>
      </c>
      <c r="AU109" s="166">
        <v>20.606000000000002</v>
      </c>
      <c r="AV109" s="152"/>
      <c r="AW109" s="152"/>
      <c r="AX109" t="s">
        <v>373</v>
      </c>
      <c r="AY109" t="s">
        <v>16</v>
      </c>
      <c r="AZ109" s="45">
        <v>1.8562121007192199E-2</v>
      </c>
      <c r="BA109" s="45">
        <v>1.3715583847084901E-4</v>
      </c>
    </row>
    <row r="110" spans="1:53" x14ac:dyDescent="0.25">
      <c r="A110" s="152">
        <v>424</v>
      </c>
      <c r="B110" s="152">
        <v>7229</v>
      </c>
      <c r="C110" s="152">
        <v>513846667</v>
      </c>
      <c r="D110" s="152" t="s">
        <v>1721</v>
      </c>
      <c r="E110" s="152" t="s">
        <v>2175</v>
      </c>
      <c r="F110" s="152">
        <v>50003508</v>
      </c>
      <c r="G110" s="152" t="s">
        <v>2165</v>
      </c>
      <c r="H110" s="152"/>
      <c r="I110" s="152" t="s">
        <v>71</v>
      </c>
      <c r="J110" s="152" t="s">
        <v>71</v>
      </c>
      <c r="K110" s="152" t="s">
        <v>234</v>
      </c>
      <c r="L110" s="152" t="s">
        <v>72</v>
      </c>
      <c r="M110" s="152" t="s">
        <v>373</v>
      </c>
      <c r="N110" s="152">
        <v>84666734</v>
      </c>
      <c r="O110" s="160" t="s">
        <v>2176</v>
      </c>
      <c r="P110" s="152" t="s">
        <v>246</v>
      </c>
      <c r="Q110" s="152" t="s">
        <v>219</v>
      </c>
      <c r="R110" s="152" t="s">
        <v>2168</v>
      </c>
      <c r="S110" s="152" t="s">
        <v>81</v>
      </c>
      <c r="T110" s="166">
        <v>4.46</v>
      </c>
      <c r="U110" s="152" t="s">
        <v>286</v>
      </c>
      <c r="V110" s="161">
        <v>3.5499999999999997E-2</v>
      </c>
      <c r="W110" s="152" t="s">
        <v>2169</v>
      </c>
      <c r="X110" s="152" t="s">
        <v>2170</v>
      </c>
      <c r="Y110" s="167">
        <v>3.5499999999999997E-2</v>
      </c>
      <c r="Z110" s="168">
        <v>3.7999999999999999E-2</v>
      </c>
      <c r="AA110" s="152" t="s">
        <v>2177</v>
      </c>
      <c r="AB110" s="152" t="s">
        <v>222</v>
      </c>
      <c r="AC110" s="152" t="s">
        <v>1626</v>
      </c>
      <c r="AD110" s="166">
        <v>51249.677223684201</v>
      </c>
      <c r="AE110" s="168">
        <v>0.76</v>
      </c>
      <c r="AF110" s="152" t="s">
        <v>1878</v>
      </c>
      <c r="AG110" s="152" t="s">
        <v>373</v>
      </c>
      <c r="AH110" s="152"/>
      <c r="AI110" s="152" t="s">
        <v>2178</v>
      </c>
      <c r="AJ110" s="152" t="s">
        <v>373</v>
      </c>
      <c r="AK110" s="152" t="s">
        <v>1454</v>
      </c>
      <c r="AL110" s="152" t="s">
        <v>2174</v>
      </c>
      <c r="AM110" s="152" t="s">
        <v>1671</v>
      </c>
      <c r="AN110" s="160" t="s">
        <v>1455</v>
      </c>
      <c r="AO110" s="152" t="s">
        <v>1878</v>
      </c>
      <c r="AP110" s="161">
        <v>0</v>
      </c>
      <c r="AQ110" s="162">
        <v>117171.34</v>
      </c>
      <c r="AR110" s="170">
        <v>109.6</v>
      </c>
      <c r="AS110" s="171">
        <v>1</v>
      </c>
      <c r="AT110" s="166">
        <v>128.41999999999999</v>
      </c>
      <c r="AU110" s="166">
        <v>128.41999999999999</v>
      </c>
      <c r="AV110" s="152"/>
      <c r="AW110" s="152"/>
      <c r="AX110" t="s">
        <v>72</v>
      </c>
      <c r="AY110" t="s">
        <v>16</v>
      </c>
      <c r="AZ110" s="45">
        <v>0.115682270317184</v>
      </c>
      <c r="BA110" s="45">
        <v>8.54778329233876E-4</v>
      </c>
    </row>
    <row r="111" spans="1:53" x14ac:dyDescent="0.25">
      <c r="A111" s="152">
        <v>424</v>
      </c>
      <c r="B111" s="152">
        <v>7229</v>
      </c>
      <c r="C111" s="152">
        <v>513326439</v>
      </c>
      <c r="D111" s="152" t="s">
        <v>1721</v>
      </c>
      <c r="E111" s="152" t="s">
        <v>2179</v>
      </c>
      <c r="F111" s="152">
        <v>28472</v>
      </c>
      <c r="G111" s="152" t="s">
        <v>2165</v>
      </c>
      <c r="H111" s="152"/>
      <c r="I111" s="152" t="s">
        <v>71</v>
      </c>
      <c r="J111" s="152" t="s">
        <v>71</v>
      </c>
      <c r="K111" s="152" t="s">
        <v>234</v>
      </c>
      <c r="L111" s="152" t="s">
        <v>72</v>
      </c>
      <c r="M111" s="152" t="s">
        <v>373</v>
      </c>
      <c r="N111" s="152">
        <v>11898290</v>
      </c>
      <c r="O111" s="160" t="s">
        <v>2180</v>
      </c>
      <c r="P111" s="152" t="s">
        <v>228</v>
      </c>
      <c r="Q111" s="152" t="s">
        <v>219</v>
      </c>
      <c r="R111" s="152" t="s">
        <v>2168</v>
      </c>
      <c r="S111" s="152" t="s">
        <v>81</v>
      </c>
      <c r="T111" s="166">
        <v>3.01</v>
      </c>
      <c r="U111" s="152" t="s">
        <v>286</v>
      </c>
      <c r="V111" s="161">
        <v>5.5E-2</v>
      </c>
      <c r="W111" s="152" t="s">
        <v>2169</v>
      </c>
      <c r="X111" s="152" t="s">
        <v>2120</v>
      </c>
      <c r="Y111" s="167">
        <v>0</v>
      </c>
      <c r="Z111" s="168">
        <v>3.15E-2</v>
      </c>
      <c r="AA111" s="152" t="s">
        <v>2181</v>
      </c>
      <c r="AB111" s="152" t="s">
        <v>222</v>
      </c>
      <c r="AC111" s="152" t="s">
        <v>1626</v>
      </c>
      <c r="AD111" s="166">
        <v>482000</v>
      </c>
      <c r="AE111" s="168">
        <v>0.73</v>
      </c>
      <c r="AF111" s="152" t="s">
        <v>1878</v>
      </c>
      <c r="AG111" s="152" t="s">
        <v>72</v>
      </c>
      <c r="AH111" s="152"/>
      <c r="AI111" s="152" t="s">
        <v>2182</v>
      </c>
      <c r="AJ111" s="152" t="s">
        <v>373</v>
      </c>
      <c r="AK111" s="152" t="s">
        <v>1454</v>
      </c>
      <c r="AL111" s="152" t="s">
        <v>2174</v>
      </c>
      <c r="AM111" s="152" t="s">
        <v>1671</v>
      </c>
      <c r="AN111" s="160" t="s">
        <v>1455</v>
      </c>
      <c r="AO111" s="152" t="s">
        <v>1878</v>
      </c>
      <c r="AP111" s="161">
        <v>0</v>
      </c>
      <c r="AQ111" s="162">
        <v>4014.39</v>
      </c>
      <c r="AR111" s="170">
        <v>124.51</v>
      </c>
      <c r="AS111" s="171">
        <v>1</v>
      </c>
      <c r="AT111" s="166">
        <v>4.9980000000000002</v>
      </c>
      <c r="AU111" s="166">
        <v>4.9980000000000002</v>
      </c>
      <c r="AV111" s="152"/>
      <c r="AW111" s="152"/>
      <c r="AX111" t="s">
        <v>72</v>
      </c>
      <c r="AY111" t="s">
        <v>16</v>
      </c>
      <c r="AZ111" s="45">
        <v>4.5025510723537302E-3</v>
      </c>
      <c r="BA111" s="45">
        <v>3.3269429034926302E-5</v>
      </c>
    </row>
    <row r="112" spans="1:53" x14ac:dyDescent="0.25">
      <c r="A112" s="152">
        <v>424</v>
      </c>
      <c r="B112" s="152">
        <v>7229</v>
      </c>
      <c r="C112" s="152">
        <v>513326439</v>
      </c>
      <c r="D112" s="152" t="s">
        <v>1721</v>
      </c>
      <c r="E112" s="152" t="s">
        <v>2183</v>
      </c>
      <c r="F112" s="152">
        <v>29207</v>
      </c>
      <c r="G112" s="152" t="s">
        <v>2165</v>
      </c>
      <c r="H112" s="152"/>
      <c r="I112" s="152" t="s">
        <v>71</v>
      </c>
      <c r="J112" s="152" t="s">
        <v>71</v>
      </c>
      <c r="K112" s="152" t="s">
        <v>234</v>
      </c>
      <c r="L112" s="152" t="s">
        <v>72</v>
      </c>
      <c r="M112" s="152" t="s">
        <v>373</v>
      </c>
      <c r="N112" s="152">
        <v>11898170</v>
      </c>
      <c r="O112" s="160" t="s">
        <v>2180</v>
      </c>
      <c r="P112" s="152" t="s">
        <v>228</v>
      </c>
      <c r="Q112" s="152" t="s">
        <v>219</v>
      </c>
      <c r="R112" s="152" t="s">
        <v>2168</v>
      </c>
      <c r="S112" s="152" t="s">
        <v>81</v>
      </c>
      <c r="T112" s="166">
        <v>3.01</v>
      </c>
      <c r="U112" s="152" t="s">
        <v>2184</v>
      </c>
      <c r="V112" s="161">
        <v>5.5E-2</v>
      </c>
      <c r="W112" s="152" t="s">
        <v>2169</v>
      </c>
      <c r="X112" s="152" t="s">
        <v>2120</v>
      </c>
      <c r="Y112" s="167">
        <v>0</v>
      </c>
      <c r="Z112" s="168">
        <v>2.9399999999999999E-2</v>
      </c>
      <c r="AA112" s="152" t="s">
        <v>2181</v>
      </c>
      <c r="AB112" s="152" t="s">
        <v>222</v>
      </c>
      <c r="AC112" s="152" t="s">
        <v>1626</v>
      </c>
      <c r="AD112" s="166">
        <v>482000</v>
      </c>
      <c r="AE112" s="168">
        <v>0.73</v>
      </c>
      <c r="AF112" s="152" t="s">
        <v>1878</v>
      </c>
      <c r="AG112" s="152" t="s">
        <v>72</v>
      </c>
      <c r="AH112" s="152"/>
      <c r="AI112" s="152" t="s">
        <v>2182</v>
      </c>
      <c r="AJ112" s="152" t="s">
        <v>373</v>
      </c>
      <c r="AK112" s="152" t="s">
        <v>1454</v>
      </c>
      <c r="AL112" s="152" t="s">
        <v>2174</v>
      </c>
      <c r="AM112" s="152" t="s">
        <v>1671</v>
      </c>
      <c r="AN112" s="160" t="s">
        <v>1455</v>
      </c>
      <c r="AO112" s="152" t="s">
        <v>1878</v>
      </c>
      <c r="AP112" s="161">
        <v>0</v>
      </c>
      <c r="AQ112" s="162">
        <v>5782.78</v>
      </c>
      <c r="AR112" s="170">
        <v>127.77</v>
      </c>
      <c r="AS112" s="171">
        <v>1</v>
      </c>
      <c r="AT112" s="166">
        <v>7.3890000000000002</v>
      </c>
      <c r="AU112" s="166">
        <v>7.3890000000000002</v>
      </c>
      <c r="AV112" s="152"/>
      <c r="AW112" s="152"/>
      <c r="AX112" t="s">
        <v>72</v>
      </c>
      <c r="AY112" t="s">
        <v>16</v>
      </c>
      <c r="AZ112" s="45">
        <v>6.6558023633523202E-3</v>
      </c>
      <c r="BA112" s="45">
        <v>4.91798406813604E-5</v>
      </c>
    </row>
    <row r="113" spans="1:53" x14ac:dyDescent="0.25">
      <c r="A113" s="152">
        <v>424</v>
      </c>
      <c r="B113" s="152">
        <v>7229</v>
      </c>
      <c r="C113" s="152">
        <v>513326439</v>
      </c>
      <c r="D113" s="152" t="s">
        <v>1721</v>
      </c>
      <c r="E113" s="152" t="s">
        <v>2185</v>
      </c>
      <c r="F113" s="152">
        <v>29215</v>
      </c>
      <c r="G113" s="152" t="s">
        <v>2165</v>
      </c>
      <c r="H113" s="152"/>
      <c r="I113" s="152" t="s">
        <v>71</v>
      </c>
      <c r="J113" s="152" t="s">
        <v>71</v>
      </c>
      <c r="K113" s="152" t="s">
        <v>234</v>
      </c>
      <c r="L113" s="152" t="s">
        <v>72</v>
      </c>
      <c r="M113" s="152" t="s">
        <v>373</v>
      </c>
      <c r="N113" s="152">
        <v>11898170</v>
      </c>
      <c r="O113" s="160" t="s">
        <v>2180</v>
      </c>
      <c r="P113" s="152" t="s">
        <v>228</v>
      </c>
      <c r="Q113" s="152" t="s">
        <v>219</v>
      </c>
      <c r="R113" s="152" t="s">
        <v>2168</v>
      </c>
      <c r="S113" s="152" t="s">
        <v>81</v>
      </c>
      <c r="T113" s="166">
        <v>3.01</v>
      </c>
      <c r="U113" s="152" t="s">
        <v>2184</v>
      </c>
      <c r="V113" s="161">
        <v>5.5E-2</v>
      </c>
      <c r="W113" s="152" t="s">
        <v>2169</v>
      </c>
      <c r="X113" s="152" t="s">
        <v>2120</v>
      </c>
      <c r="Y113" s="167">
        <v>0</v>
      </c>
      <c r="Z113" s="168">
        <v>3.15E-2</v>
      </c>
      <c r="AA113" s="152" t="s">
        <v>2181</v>
      </c>
      <c r="AB113" s="152" t="s">
        <v>222</v>
      </c>
      <c r="AC113" s="152" t="s">
        <v>1626</v>
      </c>
      <c r="AD113" s="166">
        <v>482000</v>
      </c>
      <c r="AE113" s="168">
        <v>0.73</v>
      </c>
      <c r="AF113" s="152" t="s">
        <v>1878</v>
      </c>
      <c r="AG113" s="152" t="s">
        <v>72</v>
      </c>
      <c r="AH113" s="152"/>
      <c r="AI113" s="152" t="s">
        <v>2182</v>
      </c>
      <c r="AJ113" s="152" t="s">
        <v>373</v>
      </c>
      <c r="AK113" s="152" t="s">
        <v>1454</v>
      </c>
      <c r="AL113" s="152" t="s">
        <v>2174</v>
      </c>
      <c r="AM113" s="152" t="s">
        <v>1671</v>
      </c>
      <c r="AN113" s="160" t="s">
        <v>1455</v>
      </c>
      <c r="AO113" s="152" t="s">
        <v>1878</v>
      </c>
      <c r="AP113" s="161">
        <v>0</v>
      </c>
      <c r="AQ113" s="162">
        <v>637.15</v>
      </c>
      <c r="AR113" s="170">
        <v>124.51</v>
      </c>
      <c r="AS113" s="171">
        <v>1</v>
      </c>
      <c r="AT113" s="166">
        <v>0.79300000000000004</v>
      </c>
      <c r="AU113" s="166">
        <v>0.79300000000000004</v>
      </c>
      <c r="AV113" s="152"/>
      <c r="AW113" s="152"/>
      <c r="AX113" t="s">
        <v>72</v>
      </c>
      <c r="AY113" t="s">
        <v>16</v>
      </c>
      <c r="AZ113" s="45">
        <v>7.1462922529952995E-4</v>
      </c>
      <c r="BA113" s="45">
        <v>5.2804079099448001E-6</v>
      </c>
    </row>
    <row r="114" spans="1:53" x14ac:dyDescent="0.25">
      <c r="A114" s="152">
        <v>424</v>
      </c>
      <c r="B114" s="152">
        <v>7229</v>
      </c>
      <c r="C114" s="152">
        <v>513326439</v>
      </c>
      <c r="D114" s="152" t="s">
        <v>1721</v>
      </c>
      <c r="E114" s="152" t="s">
        <v>2186</v>
      </c>
      <c r="F114" s="152">
        <v>97386</v>
      </c>
      <c r="G114" s="152" t="s">
        <v>2165</v>
      </c>
      <c r="H114" s="152"/>
      <c r="I114" s="152" t="s">
        <v>71</v>
      </c>
      <c r="J114" s="152" t="s">
        <v>71</v>
      </c>
      <c r="K114" s="152" t="s">
        <v>234</v>
      </c>
      <c r="L114" s="152" t="s">
        <v>72</v>
      </c>
      <c r="M114" s="152" t="s">
        <v>373</v>
      </c>
      <c r="N114" s="152">
        <v>11898511</v>
      </c>
      <c r="O114" s="160" t="s">
        <v>2187</v>
      </c>
      <c r="P114" s="152" t="s">
        <v>228</v>
      </c>
      <c r="Q114" s="152" t="s">
        <v>219</v>
      </c>
      <c r="R114" s="152" t="s">
        <v>2168</v>
      </c>
      <c r="S114" s="152" t="s">
        <v>81</v>
      </c>
      <c r="T114" s="166">
        <v>3.01</v>
      </c>
      <c r="U114" s="152" t="s">
        <v>286</v>
      </c>
      <c r="V114" s="161">
        <v>5.5300000000000002E-2</v>
      </c>
      <c r="W114" s="152" t="s">
        <v>2169</v>
      </c>
      <c r="X114" s="152" t="s">
        <v>2170</v>
      </c>
      <c r="Y114" s="167">
        <v>5.5300000000000002E-2</v>
      </c>
      <c r="Z114" s="168">
        <v>2.9399999999999999E-2</v>
      </c>
      <c r="AA114" s="152" t="s">
        <v>2188</v>
      </c>
      <c r="AB114" s="152" t="s">
        <v>222</v>
      </c>
      <c r="AC114" s="152" t="s">
        <v>1626</v>
      </c>
      <c r="AD114" s="166">
        <v>482000</v>
      </c>
      <c r="AE114" s="168">
        <v>0.73</v>
      </c>
      <c r="AF114" s="152" t="s">
        <v>1878</v>
      </c>
      <c r="AG114" s="152" t="s">
        <v>72</v>
      </c>
      <c r="AH114" s="152"/>
      <c r="AI114" s="152" t="s">
        <v>2182</v>
      </c>
      <c r="AJ114" s="152" t="s">
        <v>373</v>
      </c>
      <c r="AK114" s="152" t="s">
        <v>1454</v>
      </c>
      <c r="AL114" s="152" t="s">
        <v>2174</v>
      </c>
      <c r="AM114" s="152" t="s">
        <v>1671</v>
      </c>
      <c r="AN114" s="160" t="s">
        <v>1455</v>
      </c>
      <c r="AO114" s="152" t="s">
        <v>1878</v>
      </c>
      <c r="AP114" s="161">
        <v>0</v>
      </c>
      <c r="AQ114" s="162">
        <v>7962.72</v>
      </c>
      <c r="AR114" s="170">
        <v>129.37</v>
      </c>
      <c r="AS114" s="171">
        <v>1</v>
      </c>
      <c r="AT114" s="166">
        <v>10.301</v>
      </c>
      <c r="AU114" s="166">
        <v>10.301</v>
      </c>
      <c r="AV114" s="152"/>
      <c r="AW114" s="152"/>
      <c r="AX114" t="s">
        <v>72</v>
      </c>
      <c r="AY114" t="s">
        <v>16</v>
      </c>
      <c r="AZ114" s="45">
        <v>9.2796132243097903E-3</v>
      </c>
      <c r="BA114" s="45">
        <v>6.8567225263332695E-5</v>
      </c>
    </row>
    <row r="115" spans="1:53" x14ac:dyDescent="0.25">
      <c r="A115" s="152">
        <v>424</v>
      </c>
      <c r="B115" s="152">
        <v>7229</v>
      </c>
      <c r="C115" s="152">
        <v>513326439</v>
      </c>
      <c r="D115" s="152" t="s">
        <v>1721</v>
      </c>
      <c r="E115" s="152" t="s">
        <v>2189</v>
      </c>
      <c r="F115" s="152">
        <v>97378</v>
      </c>
      <c r="G115" s="152" t="s">
        <v>2165</v>
      </c>
      <c r="H115" s="152"/>
      <c r="I115" s="152" t="s">
        <v>71</v>
      </c>
      <c r="J115" s="152" t="s">
        <v>71</v>
      </c>
      <c r="K115" s="152" t="s">
        <v>234</v>
      </c>
      <c r="L115" s="152" t="s">
        <v>72</v>
      </c>
      <c r="M115" s="152" t="s">
        <v>373</v>
      </c>
      <c r="N115" s="152">
        <v>11898512</v>
      </c>
      <c r="O115" s="160" t="s">
        <v>2190</v>
      </c>
      <c r="P115" s="152" t="s">
        <v>228</v>
      </c>
      <c r="Q115" s="152" t="s">
        <v>219</v>
      </c>
      <c r="R115" s="152" t="s">
        <v>2168</v>
      </c>
      <c r="S115" s="152" t="s">
        <v>81</v>
      </c>
      <c r="T115" s="166">
        <v>3.01</v>
      </c>
      <c r="U115" s="152" t="s">
        <v>286</v>
      </c>
      <c r="V115" s="161">
        <v>5.5301000000000003E-2</v>
      </c>
      <c r="W115" s="152" t="s">
        <v>2169</v>
      </c>
      <c r="X115" s="152" t="s">
        <v>2170</v>
      </c>
      <c r="Y115" s="167">
        <v>5.5301000000000003E-2</v>
      </c>
      <c r="Z115" s="168">
        <v>2.9399999999999999E-2</v>
      </c>
      <c r="AA115" s="152" t="s">
        <v>2188</v>
      </c>
      <c r="AB115" s="152" t="s">
        <v>222</v>
      </c>
      <c r="AC115" s="152" t="s">
        <v>1626</v>
      </c>
      <c r="AD115" s="166">
        <v>482000</v>
      </c>
      <c r="AE115" s="168">
        <v>0.73</v>
      </c>
      <c r="AF115" s="152" t="s">
        <v>1878</v>
      </c>
      <c r="AG115" s="152" t="s">
        <v>72</v>
      </c>
      <c r="AH115" s="152"/>
      <c r="AI115" s="152" t="s">
        <v>2182</v>
      </c>
      <c r="AJ115" s="152" t="s">
        <v>373</v>
      </c>
      <c r="AK115" s="152" t="s">
        <v>1454</v>
      </c>
      <c r="AL115" s="152" t="s">
        <v>2174</v>
      </c>
      <c r="AM115" s="152" t="s">
        <v>1671</v>
      </c>
      <c r="AN115" s="160" t="s">
        <v>1455</v>
      </c>
      <c r="AO115" s="152" t="s">
        <v>1878</v>
      </c>
      <c r="AP115" s="161">
        <v>0</v>
      </c>
      <c r="AQ115" s="162">
        <v>7639.53</v>
      </c>
      <c r="AR115" s="170">
        <v>129.37</v>
      </c>
      <c r="AS115" s="171">
        <v>1</v>
      </c>
      <c r="AT115" s="166">
        <v>9.8829999999999991</v>
      </c>
      <c r="AU115" s="166">
        <v>9.8829999999999991</v>
      </c>
      <c r="AV115" s="152"/>
      <c r="AW115" s="152"/>
      <c r="AX115" t="s">
        <v>72</v>
      </c>
      <c r="AY115" t="s">
        <v>16</v>
      </c>
      <c r="AZ115" s="45">
        <v>8.9029733075521103E-3</v>
      </c>
      <c r="BA115" s="45">
        <v>6.5784226296540404E-5</v>
      </c>
    </row>
    <row r="116" spans="1:53" x14ac:dyDescent="0.25">
      <c r="A116" s="152">
        <v>424</v>
      </c>
      <c r="B116" s="152">
        <v>7229</v>
      </c>
      <c r="C116" s="152">
        <v>513326439</v>
      </c>
      <c r="D116" s="152" t="s">
        <v>1721</v>
      </c>
      <c r="E116" s="152" t="s">
        <v>2191</v>
      </c>
      <c r="F116" s="152">
        <v>97394</v>
      </c>
      <c r="G116" s="152" t="s">
        <v>2165</v>
      </c>
      <c r="H116" s="152"/>
      <c r="I116" s="152" t="s">
        <v>71</v>
      </c>
      <c r="J116" s="152" t="s">
        <v>71</v>
      </c>
      <c r="K116" s="152" t="s">
        <v>234</v>
      </c>
      <c r="L116" s="152" t="s">
        <v>72</v>
      </c>
      <c r="M116" s="152" t="s">
        <v>373</v>
      </c>
      <c r="N116" s="152">
        <v>11898517</v>
      </c>
      <c r="O116" s="160" t="s">
        <v>2192</v>
      </c>
      <c r="P116" s="152" t="s">
        <v>228</v>
      </c>
      <c r="Q116" s="152" t="s">
        <v>219</v>
      </c>
      <c r="R116" s="152" t="s">
        <v>2168</v>
      </c>
      <c r="S116" s="152" t="s">
        <v>81</v>
      </c>
      <c r="T116" s="166">
        <v>3.01</v>
      </c>
      <c r="U116" s="152" t="s">
        <v>286</v>
      </c>
      <c r="V116" s="161">
        <v>5.5300000000000002E-2</v>
      </c>
      <c r="W116" s="152" t="s">
        <v>2169</v>
      </c>
      <c r="X116" s="152" t="s">
        <v>2170</v>
      </c>
      <c r="Y116" s="167">
        <v>5.5300000000000002E-2</v>
      </c>
      <c r="Z116" s="168">
        <v>2.9399999999999999E-2</v>
      </c>
      <c r="AA116" s="152" t="s">
        <v>2188</v>
      </c>
      <c r="AB116" s="152" t="s">
        <v>222</v>
      </c>
      <c r="AC116" s="152" t="s">
        <v>1626</v>
      </c>
      <c r="AD116" s="166">
        <v>482000</v>
      </c>
      <c r="AE116" s="168">
        <v>0.73</v>
      </c>
      <c r="AF116" s="152" t="s">
        <v>1878</v>
      </c>
      <c r="AG116" s="152" t="s">
        <v>72</v>
      </c>
      <c r="AH116" s="152"/>
      <c r="AI116" s="152" t="s">
        <v>2182</v>
      </c>
      <c r="AJ116" s="152" t="s">
        <v>373</v>
      </c>
      <c r="AK116" s="152" t="s">
        <v>1454</v>
      </c>
      <c r="AL116" s="152" t="s">
        <v>2174</v>
      </c>
      <c r="AM116" s="152" t="s">
        <v>1671</v>
      </c>
      <c r="AN116" s="160" t="s">
        <v>1455</v>
      </c>
      <c r="AO116" s="152" t="s">
        <v>1878</v>
      </c>
      <c r="AP116" s="161">
        <v>0</v>
      </c>
      <c r="AQ116" s="162">
        <v>7683.13</v>
      </c>
      <c r="AR116" s="170">
        <v>127.77</v>
      </c>
      <c r="AS116" s="171">
        <v>1</v>
      </c>
      <c r="AT116" s="166">
        <v>9.8170000000000002</v>
      </c>
      <c r="AU116" s="166">
        <v>9.8170000000000002</v>
      </c>
      <c r="AV116" s="152"/>
      <c r="AW116" s="152"/>
      <c r="AX116" t="s">
        <v>72</v>
      </c>
      <c r="AY116" t="s">
        <v>16</v>
      </c>
      <c r="AZ116" s="45">
        <v>8.8430469102997403E-3</v>
      </c>
      <c r="BA116" s="45">
        <v>6.5341429093650595E-5</v>
      </c>
    </row>
    <row r="117" spans="1:53" x14ac:dyDescent="0.25">
      <c r="A117" s="152">
        <v>424</v>
      </c>
      <c r="B117" s="152">
        <v>7229</v>
      </c>
      <c r="C117" s="152">
        <v>513326439</v>
      </c>
      <c r="D117" s="152" t="s">
        <v>1721</v>
      </c>
      <c r="E117" s="152" t="s">
        <v>2193</v>
      </c>
      <c r="F117" s="152">
        <v>973031</v>
      </c>
      <c r="G117" s="152" t="s">
        <v>2165</v>
      </c>
      <c r="H117" s="152"/>
      <c r="I117" s="152" t="s">
        <v>71</v>
      </c>
      <c r="J117" s="152" t="s">
        <v>71</v>
      </c>
      <c r="K117" s="152" t="s">
        <v>234</v>
      </c>
      <c r="L117" s="152" t="s">
        <v>72</v>
      </c>
      <c r="M117" s="152" t="s">
        <v>373</v>
      </c>
      <c r="N117" s="152">
        <v>11898527</v>
      </c>
      <c r="O117" s="160" t="s">
        <v>2194</v>
      </c>
      <c r="P117" s="152" t="s">
        <v>228</v>
      </c>
      <c r="Q117" s="152" t="s">
        <v>219</v>
      </c>
      <c r="R117" s="152" t="s">
        <v>2168</v>
      </c>
      <c r="S117" s="152" t="s">
        <v>81</v>
      </c>
      <c r="T117" s="166">
        <v>3.01</v>
      </c>
      <c r="U117" s="152" t="s">
        <v>286</v>
      </c>
      <c r="V117" s="161">
        <v>5.5E-2</v>
      </c>
      <c r="W117" s="152" t="s">
        <v>2169</v>
      </c>
      <c r="X117" s="152" t="s">
        <v>2120</v>
      </c>
      <c r="Y117" s="167">
        <v>0</v>
      </c>
      <c r="Z117" s="168">
        <v>2.9399999999999999E-2</v>
      </c>
      <c r="AA117" s="152" t="s">
        <v>2188</v>
      </c>
      <c r="AB117" s="152" t="s">
        <v>222</v>
      </c>
      <c r="AC117" s="152" t="s">
        <v>1626</v>
      </c>
      <c r="AD117" s="166">
        <v>482000</v>
      </c>
      <c r="AE117" s="168">
        <v>0.73</v>
      </c>
      <c r="AF117" s="152" t="s">
        <v>1878</v>
      </c>
      <c r="AG117" s="152" t="s">
        <v>72</v>
      </c>
      <c r="AH117" s="152"/>
      <c r="AI117" s="152" t="s">
        <v>2182</v>
      </c>
      <c r="AJ117" s="152" t="s">
        <v>373</v>
      </c>
      <c r="AK117" s="152" t="s">
        <v>1454</v>
      </c>
      <c r="AL117" s="152" t="s">
        <v>2174</v>
      </c>
      <c r="AM117" s="152" t="s">
        <v>1671</v>
      </c>
      <c r="AN117" s="160" t="s">
        <v>1455</v>
      </c>
      <c r="AO117" s="152" t="s">
        <v>1878</v>
      </c>
      <c r="AP117" s="161">
        <v>0</v>
      </c>
      <c r="AQ117" s="162">
        <v>2426.2399999999998</v>
      </c>
      <c r="AR117" s="170">
        <v>127.26</v>
      </c>
      <c r="AS117" s="171">
        <v>1</v>
      </c>
      <c r="AT117" s="166">
        <v>3.0880000000000001</v>
      </c>
      <c r="AU117" s="166">
        <v>3.0880000000000001</v>
      </c>
      <c r="AV117" s="152"/>
      <c r="AW117" s="152"/>
      <c r="AX117" t="s">
        <v>72</v>
      </c>
      <c r="AY117" t="s">
        <v>16</v>
      </c>
      <c r="AZ117" s="45">
        <v>2.7813812957123698E-3</v>
      </c>
      <c r="BA117" s="45">
        <v>2.0551675294690501E-5</v>
      </c>
    </row>
    <row r="118" spans="1:53" x14ac:dyDescent="0.25">
      <c r="A118" s="152">
        <v>424</v>
      </c>
      <c r="B118" s="152">
        <v>7229</v>
      </c>
      <c r="C118" s="152">
        <v>513326439</v>
      </c>
      <c r="D118" s="152" t="s">
        <v>1721</v>
      </c>
      <c r="E118" s="152" t="s">
        <v>2195</v>
      </c>
      <c r="F118" s="152">
        <v>97261</v>
      </c>
      <c r="G118" s="152" t="s">
        <v>2165</v>
      </c>
      <c r="H118" s="152"/>
      <c r="I118" s="152" t="s">
        <v>71</v>
      </c>
      <c r="J118" s="152" t="s">
        <v>71</v>
      </c>
      <c r="K118" s="152" t="s">
        <v>234</v>
      </c>
      <c r="L118" s="152" t="s">
        <v>72</v>
      </c>
      <c r="M118" s="152" t="s">
        <v>373</v>
      </c>
      <c r="N118" s="152">
        <v>11898505</v>
      </c>
      <c r="O118" s="160" t="s">
        <v>2196</v>
      </c>
      <c r="P118" s="152" t="s">
        <v>228</v>
      </c>
      <c r="Q118" s="152" t="s">
        <v>219</v>
      </c>
      <c r="R118" s="152" t="s">
        <v>2168</v>
      </c>
      <c r="S118" s="152" t="s">
        <v>81</v>
      </c>
      <c r="T118" s="166">
        <v>3.01</v>
      </c>
      <c r="U118" s="152" t="s">
        <v>2184</v>
      </c>
      <c r="V118" s="161">
        <v>5.6132000000000001E-2</v>
      </c>
      <c r="W118" s="152" t="s">
        <v>2169</v>
      </c>
      <c r="X118" s="152" t="s">
        <v>2170</v>
      </c>
      <c r="Y118" s="167">
        <v>5.6132000000000001E-2</v>
      </c>
      <c r="Z118" s="168">
        <v>2.9399999999999999E-2</v>
      </c>
      <c r="AA118" s="152" t="s">
        <v>2188</v>
      </c>
      <c r="AB118" s="152" t="s">
        <v>222</v>
      </c>
      <c r="AC118" s="152" t="s">
        <v>1626</v>
      </c>
      <c r="AD118" s="166">
        <v>482000</v>
      </c>
      <c r="AE118" s="168">
        <v>0.73</v>
      </c>
      <c r="AF118" s="152" t="s">
        <v>1878</v>
      </c>
      <c r="AG118" s="152" t="s">
        <v>72</v>
      </c>
      <c r="AH118" s="152"/>
      <c r="AI118" s="152" t="s">
        <v>2182</v>
      </c>
      <c r="AJ118" s="152" t="s">
        <v>373</v>
      </c>
      <c r="AK118" s="152" t="s">
        <v>1454</v>
      </c>
      <c r="AL118" s="152" t="s">
        <v>2174</v>
      </c>
      <c r="AM118" s="152" t="s">
        <v>1671</v>
      </c>
      <c r="AN118" s="160" t="s">
        <v>1455</v>
      </c>
      <c r="AO118" s="152" t="s">
        <v>1878</v>
      </c>
      <c r="AP118" s="161">
        <v>0</v>
      </c>
      <c r="AQ118" s="162">
        <v>356.34</v>
      </c>
      <c r="AR118" s="170">
        <v>129.61000000000001</v>
      </c>
      <c r="AS118" s="171">
        <v>1</v>
      </c>
      <c r="AT118" s="166">
        <v>0.46200000000000002</v>
      </c>
      <c r="AU118" s="166">
        <v>0.46200000000000002</v>
      </c>
      <c r="AV118" s="152"/>
      <c r="AW118" s="152"/>
      <c r="AX118" t="s">
        <v>72</v>
      </c>
      <c r="AY118" t="s">
        <v>16</v>
      </c>
      <c r="AZ118" s="45">
        <v>4.1604273121216199E-4</v>
      </c>
      <c r="BA118" s="45">
        <v>3.0741470555544898E-6</v>
      </c>
    </row>
    <row r="119" spans="1:53" x14ac:dyDescent="0.25">
      <c r="A119" s="152">
        <v>424</v>
      </c>
      <c r="B119" s="152">
        <v>7229</v>
      </c>
      <c r="C119" s="152">
        <v>513326439</v>
      </c>
      <c r="D119" s="152" t="s">
        <v>1721</v>
      </c>
      <c r="E119" s="152" t="s">
        <v>2197</v>
      </c>
      <c r="F119" s="152">
        <v>29199</v>
      </c>
      <c r="G119" s="152" t="s">
        <v>2165</v>
      </c>
      <c r="H119" s="152"/>
      <c r="I119" s="152" t="s">
        <v>71</v>
      </c>
      <c r="J119" s="152" t="s">
        <v>71</v>
      </c>
      <c r="K119" s="152" t="s">
        <v>234</v>
      </c>
      <c r="L119" s="152" t="s">
        <v>72</v>
      </c>
      <c r="M119" s="152" t="s">
        <v>373</v>
      </c>
      <c r="N119" s="152">
        <v>11898506</v>
      </c>
      <c r="O119" s="160" t="s">
        <v>2180</v>
      </c>
      <c r="P119" s="152" t="s">
        <v>228</v>
      </c>
      <c r="Q119" s="152" t="s">
        <v>219</v>
      </c>
      <c r="R119" s="152" t="s">
        <v>2168</v>
      </c>
      <c r="S119" s="152" t="s">
        <v>81</v>
      </c>
      <c r="T119" s="166">
        <v>3.01</v>
      </c>
      <c r="U119" s="152" t="s">
        <v>2184</v>
      </c>
      <c r="V119" s="161">
        <v>5.6691999999999999E-2</v>
      </c>
      <c r="W119" s="152" t="s">
        <v>2169</v>
      </c>
      <c r="X119" s="152" t="s">
        <v>2120</v>
      </c>
      <c r="Y119" s="167">
        <v>0</v>
      </c>
      <c r="Z119" s="168">
        <v>2.93E-2</v>
      </c>
      <c r="AA119" s="152" t="s">
        <v>2198</v>
      </c>
      <c r="AB119" s="152" t="s">
        <v>222</v>
      </c>
      <c r="AC119" s="152" t="s">
        <v>1626</v>
      </c>
      <c r="AD119" s="166">
        <v>482000</v>
      </c>
      <c r="AE119" s="168">
        <v>0.73</v>
      </c>
      <c r="AF119" s="152" t="s">
        <v>1878</v>
      </c>
      <c r="AG119" s="152" t="s">
        <v>72</v>
      </c>
      <c r="AH119" s="152"/>
      <c r="AI119" s="152" t="s">
        <v>2182</v>
      </c>
      <c r="AJ119" s="152" t="s">
        <v>373</v>
      </c>
      <c r="AK119" s="152" t="s">
        <v>1454</v>
      </c>
      <c r="AL119" s="152" t="s">
        <v>2174</v>
      </c>
      <c r="AM119" s="152" t="s">
        <v>1671</v>
      </c>
      <c r="AN119" s="160" t="s">
        <v>1455</v>
      </c>
      <c r="AO119" s="152" t="s">
        <v>1878</v>
      </c>
      <c r="AP119" s="161">
        <v>0</v>
      </c>
      <c r="AQ119" s="162">
        <v>717.5</v>
      </c>
      <c r="AR119" s="170">
        <v>130.01</v>
      </c>
      <c r="AS119" s="171">
        <v>1</v>
      </c>
      <c r="AT119" s="166">
        <v>0.93300000000000005</v>
      </c>
      <c r="AU119" s="166">
        <v>0.93300000000000005</v>
      </c>
      <c r="AV119" s="152"/>
      <c r="AW119" s="152"/>
      <c r="AX119" t="s">
        <v>72</v>
      </c>
      <c r="AY119" t="s">
        <v>16</v>
      </c>
      <c r="AZ119" s="45">
        <v>8.4029836043225399E-4</v>
      </c>
      <c r="BA119" s="45">
        <v>6.2089793588841102E-6</v>
      </c>
    </row>
    <row r="120" spans="1:53" x14ac:dyDescent="0.25">
      <c r="A120" s="152">
        <v>424</v>
      </c>
      <c r="B120" s="152">
        <v>7229</v>
      </c>
      <c r="C120" s="152">
        <v>513326439</v>
      </c>
      <c r="D120" s="152" t="s">
        <v>1721</v>
      </c>
      <c r="E120" s="152" t="s">
        <v>2199</v>
      </c>
      <c r="F120" s="152">
        <v>97287</v>
      </c>
      <c r="G120" s="152" t="s">
        <v>2165</v>
      </c>
      <c r="H120" s="152"/>
      <c r="I120" s="152" t="s">
        <v>71</v>
      </c>
      <c r="J120" s="152" t="s">
        <v>71</v>
      </c>
      <c r="K120" s="152" t="s">
        <v>234</v>
      </c>
      <c r="L120" s="152" t="s">
        <v>72</v>
      </c>
      <c r="M120" s="152" t="s">
        <v>373</v>
      </c>
      <c r="N120" s="152">
        <v>11898509</v>
      </c>
      <c r="O120" s="160" t="s">
        <v>2200</v>
      </c>
      <c r="P120" s="152" t="s">
        <v>228</v>
      </c>
      <c r="Q120" s="152" t="s">
        <v>219</v>
      </c>
      <c r="R120" s="152" t="s">
        <v>2168</v>
      </c>
      <c r="S120" s="152" t="s">
        <v>81</v>
      </c>
      <c r="T120" s="166">
        <v>3.01</v>
      </c>
      <c r="U120" s="152" t="s">
        <v>2184</v>
      </c>
      <c r="V120" s="161">
        <v>5.5E-2</v>
      </c>
      <c r="W120" s="152" t="s">
        <v>2169</v>
      </c>
      <c r="X120" s="152" t="s">
        <v>2170</v>
      </c>
      <c r="Y120" s="167">
        <v>5.5E-2</v>
      </c>
      <c r="Z120" s="168">
        <v>2.9399999999999999E-2</v>
      </c>
      <c r="AA120" s="152" t="s">
        <v>2188</v>
      </c>
      <c r="AB120" s="152" t="s">
        <v>222</v>
      </c>
      <c r="AC120" s="152" t="s">
        <v>1626</v>
      </c>
      <c r="AD120" s="166">
        <v>482000</v>
      </c>
      <c r="AE120" s="168">
        <v>0.73</v>
      </c>
      <c r="AF120" s="152" t="s">
        <v>1878</v>
      </c>
      <c r="AG120" s="152" t="s">
        <v>72</v>
      </c>
      <c r="AH120" s="152"/>
      <c r="AI120" s="152" t="s">
        <v>2182</v>
      </c>
      <c r="AJ120" s="152" t="s">
        <v>373</v>
      </c>
      <c r="AK120" s="152" t="s">
        <v>1454</v>
      </c>
      <c r="AL120" s="152" t="s">
        <v>2174</v>
      </c>
      <c r="AM120" s="152" t="s">
        <v>1671</v>
      </c>
      <c r="AN120" s="160" t="s">
        <v>1455</v>
      </c>
      <c r="AO120" s="152" t="s">
        <v>1878</v>
      </c>
      <c r="AP120" s="161">
        <v>0</v>
      </c>
      <c r="AQ120" s="162">
        <v>430.53</v>
      </c>
      <c r="AR120" s="170">
        <v>129.97</v>
      </c>
      <c r="AS120" s="171">
        <v>1</v>
      </c>
      <c r="AT120" s="166">
        <v>0.56000000000000005</v>
      </c>
      <c r="AU120" s="166">
        <v>0.56000000000000005</v>
      </c>
      <c r="AV120" s="152"/>
      <c r="AW120" s="152"/>
      <c r="AX120" t="s">
        <v>72</v>
      </c>
      <c r="AY120" t="s">
        <v>16</v>
      </c>
      <c r="AZ120" s="45">
        <v>5.0405901980312199E-4</v>
      </c>
      <c r="BA120" s="45">
        <v>3.7245009594056702E-6</v>
      </c>
    </row>
    <row r="121" spans="1:53" x14ac:dyDescent="0.25">
      <c r="A121" s="152">
        <v>424</v>
      </c>
      <c r="B121" s="152">
        <v>7229</v>
      </c>
      <c r="C121" s="152">
        <v>513326439</v>
      </c>
      <c r="D121" s="152" t="s">
        <v>1721</v>
      </c>
      <c r="E121" s="152" t="s">
        <v>2201</v>
      </c>
      <c r="F121" s="152">
        <v>97345</v>
      </c>
      <c r="G121" s="152" t="s">
        <v>2165</v>
      </c>
      <c r="H121" s="152"/>
      <c r="I121" s="152" t="s">
        <v>71</v>
      </c>
      <c r="J121" s="152" t="s">
        <v>71</v>
      </c>
      <c r="K121" s="152" t="s">
        <v>234</v>
      </c>
      <c r="L121" s="152" t="s">
        <v>72</v>
      </c>
      <c r="M121" s="152" t="s">
        <v>373</v>
      </c>
      <c r="N121" s="152">
        <v>11898507</v>
      </c>
      <c r="O121" s="160" t="s">
        <v>2202</v>
      </c>
      <c r="P121" s="152" t="s">
        <v>228</v>
      </c>
      <c r="Q121" s="152" t="s">
        <v>219</v>
      </c>
      <c r="R121" s="152" t="s">
        <v>2168</v>
      </c>
      <c r="S121" s="152" t="s">
        <v>81</v>
      </c>
      <c r="T121" s="166">
        <v>3.01</v>
      </c>
      <c r="U121" s="152" t="s">
        <v>2184</v>
      </c>
      <c r="V121" s="161">
        <v>5.5E-2</v>
      </c>
      <c r="W121" s="152" t="s">
        <v>2169</v>
      </c>
      <c r="X121" s="152" t="s">
        <v>2170</v>
      </c>
      <c r="Y121" s="167">
        <v>5.5E-2</v>
      </c>
      <c r="Z121" s="168">
        <v>2.9399999999999999E-2</v>
      </c>
      <c r="AA121" s="152" t="s">
        <v>2188</v>
      </c>
      <c r="AB121" s="152" t="s">
        <v>222</v>
      </c>
      <c r="AC121" s="152" t="s">
        <v>1626</v>
      </c>
      <c r="AD121" s="166">
        <v>482000</v>
      </c>
      <c r="AE121" s="168">
        <v>0.73</v>
      </c>
      <c r="AF121" s="152" t="s">
        <v>1878</v>
      </c>
      <c r="AG121" s="152" t="s">
        <v>72</v>
      </c>
      <c r="AH121" s="152"/>
      <c r="AI121" s="152" t="s">
        <v>2182</v>
      </c>
      <c r="AJ121" s="152" t="s">
        <v>373</v>
      </c>
      <c r="AK121" s="152" t="s">
        <v>1454</v>
      </c>
      <c r="AL121" s="152" t="s">
        <v>2174</v>
      </c>
      <c r="AM121" s="152" t="s">
        <v>1671</v>
      </c>
      <c r="AN121" s="160" t="s">
        <v>1455</v>
      </c>
      <c r="AO121" s="152" t="s">
        <v>1878</v>
      </c>
      <c r="AP121" s="161">
        <v>0</v>
      </c>
      <c r="AQ121" s="162">
        <v>7753.64</v>
      </c>
      <c r="AR121" s="170">
        <v>129.93</v>
      </c>
      <c r="AS121" s="171">
        <v>1</v>
      </c>
      <c r="AT121" s="166">
        <v>10.074</v>
      </c>
      <c r="AU121" s="166">
        <v>10.074</v>
      </c>
      <c r="AV121" s="152"/>
      <c r="AW121" s="152"/>
      <c r="AX121" t="s">
        <v>72</v>
      </c>
      <c r="AY121" t="s">
        <v>16</v>
      </c>
      <c r="AZ121" s="45">
        <v>9.0750687508207896E-3</v>
      </c>
      <c r="BA121" s="45">
        <v>6.7055842552537302E-5</v>
      </c>
    </row>
    <row r="122" spans="1:53" x14ac:dyDescent="0.25">
      <c r="A122" s="152">
        <v>424</v>
      </c>
      <c r="B122" s="152">
        <v>7229</v>
      </c>
      <c r="C122" s="152">
        <v>513326439</v>
      </c>
      <c r="D122" s="152" t="s">
        <v>1721</v>
      </c>
      <c r="E122" s="152" t="s">
        <v>2203</v>
      </c>
      <c r="F122" s="152">
        <v>28415</v>
      </c>
      <c r="G122" s="152" t="s">
        <v>2165</v>
      </c>
      <c r="H122" s="152"/>
      <c r="I122" s="152" t="s">
        <v>71</v>
      </c>
      <c r="J122" s="152" t="s">
        <v>71</v>
      </c>
      <c r="K122" s="152" t="s">
        <v>234</v>
      </c>
      <c r="L122" s="152" t="s">
        <v>72</v>
      </c>
      <c r="M122" s="152" t="s">
        <v>373</v>
      </c>
      <c r="N122" s="152">
        <v>11898160</v>
      </c>
      <c r="O122" s="160" t="s">
        <v>2204</v>
      </c>
      <c r="P122" s="152" t="s">
        <v>228</v>
      </c>
      <c r="Q122" s="152" t="s">
        <v>219</v>
      </c>
      <c r="R122" s="152" t="s">
        <v>2168</v>
      </c>
      <c r="S122" s="152" t="s">
        <v>81</v>
      </c>
      <c r="T122" s="166">
        <v>3.01</v>
      </c>
      <c r="U122" s="152" t="s">
        <v>2184</v>
      </c>
      <c r="V122" s="161">
        <v>5.5E-2</v>
      </c>
      <c r="W122" s="152" t="s">
        <v>2169</v>
      </c>
      <c r="X122" s="152" t="s">
        <v>2170</v>
      </c>
      <c r="Y122" s="167">
        <v>5.5E-2</v>
      </c>
      <c r="Z122" s="168">
        <v>2.9399999999999999E-2</v>
      </c>
      <c r="AA122" s="152" t="s">
        <v>2181</v>
      </c>
      <c r="AB122" s="152" t="s">
        <v>222</v>
      </c>
      <c r="AC122" s="152" t="s">
        <v>1626</v>
      </c>
      <c r="AD122" s="166">
        <v>482000</v>
      </c>
      <c r="AE122" s="168">
        <v>0.73</v>
      </c>
      <c r="AF122" s="152" t="s">
        <v>1878</v>
      </c>
      <c r="AG122" s="152" t="s">
        <v>72</v>
      </c>
      <c r="AH122" s="152"/>
      <c r="AI122" s="152" t="s">
        <v>2182</v>
      </c>
      <c r="AJ122" s="152" t="s">
        <v>373</v>
      </c>
      <c r="AK122" s="152" t="s">
        <v>1454</v>
      </c>
      <c r="AL122" s="152" t="s">
        <v>2174</v>
      </c>
      <c r="AM122" s="152" t="s">
        <v>1671</v>
      </c>
      <c r="AN122" s="160" t="s">
        <v>1455</v>
      </c>
      <c r="AO122" s="152" t="s">
        <v>1878</v>
      </c>
      <c r="AP122" s="161">
        <v>0</v>
      </c>
      <c r="AQ122" s="162">
        <v>887.64</v>
      </c>
      <c r="AR122" s="170">
        <v>126.78</v>
      </c>
      <c r="AS122" s="171">
        <v>1</v>
      </c>
      <c r="AT122" s="166">
        <v>1.125</v>
      </c>
      <c r="AU122" s="166">
        <v>1.125</v>
      </c>
      <c r="AV122" s="152"/>
      <c r="AW122" s="152"/>
      <c r="AX122" t="s">
        <v>72</v>
      </c>
      <c r="AY122" t="s">
        <v>16</v>
      </c>
      <c r="AZ122" s="45">
        <v>1.0137303865288801E-3</v>
      </c>
      <c r="BA122" s="45">
        <v>7.49047164889584E-6</v>
      </c>
    </row>
    <row r="123" spans="1:53" x14ac:dyDescent="0.25">
      <c r="A123" s="152">
        <v>424</v>
      </c>
      <c r="B123" s="152">
        <v>7229</v>
      </c>
      <c r="C123" s="152">
        <v>513326439</v>
      </c>
      <c r="D123" s="152" t="s">
        <v>1721</v>
      </c>
      <c r="E123" s="152" t="s">
        <v>2205</v>
      </c>
      <c r="F123" s="152">
        <v>24836</v>
      </c>
      <c r="G123" s="152" t="s">
        <v>2165</v>
      </c>
      <c r="H123" s="152"/>
      <c r="I123" s="152" t="s">
        <v>71</v>
      </c>
      <c r="J123" s="152" t="s">
        <v>71</v>
      </c>
      <c r="K123" s="152" t="s">
        <v>234</v>
      </c>
      <c r="L123" s="152" t="s">
        <v>72</v>
      </c>
      <c r="M123" s="152" t="s">
        <v>373</v>
      </c>
      <c r="N123" s="152">
        <v>11898200</v>
      </c>
      <c r="O123" s="160" t="s">
        <v>2180</v>
      </c>
      <c r="P123" s="152" t="s">
        <v>228</v>
      </c>
      <c r="Q123" s="152" t="s">
        <v>219</v>
      </c>
      <c r="R123" s="152" t="s">
        <v>2168</v>
      </c>
      <c r="S123" s="152" t="s">
        <v>81</v>
      </c>
      <c r="T123" s="166">
        <v>3.02</v>
      </c>
      <c r="U123" s="152" t="s">
        <v>286</v>
      </c>
      <c r="V123" s="161">
        <v>5.5E-2</v>
      </c>
      <c r="W123" s="152" t="s">
        <v>2169</v>
      </c>
      <c r="X123" s="152" t="s">
        <v>2120</v>
      </c>
      <c r="Y123" s="167">
        <v>0</v>
      </c>
      <c r="Z123" s="168">
        <v>2.93E-2</v>
      </c>
      <c r="AA123" s="152" t="s">
        <v>2181</v>
      </c>
      <c r="AB123" s="152" t="s">
        <v>222</v>
      </c>
      <c r="AC123" s="152" t="s">
        <v>1626</v>
      </c>
      <c r="AD123" s="166">
        <v>482000</v>
      </c>
      <c r="AE123" s="168">
        <v>0.73</v>
      </c>
      <c r="AF123" s="152" t="s">
        <v>1878</v>
      </c>
      <c r="AG123" s="152" t="s">
        <v>72</v>
      </c>
      <c r="AH123" s="152"/>
      <c r="AI123" s="152" t="s">
        <v>2182</v>
      </c>
      <c r="AJ123" s="152" t="s">
        <v>373</v>
      </c>
      <c r="AK123" s="152" t="s">
        <v>1454</v>
      </c>
      <c r="AL123" s="152" t="s">
        <v>2174</v>
      </c>
      <c r="AM123" s="152" t="s">
        <v>1671</v>
      </c>
      <c r="AN123" s="160" t="s">
        <v>1455</v>
      </c>
      <c r="AO123" s="152" t="s">
        <v>1878</v>
      </c>
      <c r="AP123" s="161">
        <v>0</v>
      </c>
      <c r="AQ123" s="162">
        <v>735.22</v>
      </c>
      <c r="AR123" s="170">
        <v>126.72</v>
      </c>
      <c r="AS123" s="171">
        <v>1</v>
      </c>
      <c r="AT123" s="166">
        <v>0.93200000000000005</v>
      </c>
      <c r="AU123" s="166">
        <v>0.93200000000000005</v>
      </c>
      <c r="AV123" s="152"/>
      <c r="AW123" s="152"/>
      <c r="AX123" t="s">
        <v>72</v>
      </c>
      <c r="AY123" t="s">
        <v>16</v>
      </c>
      <c r="AZ123" s="45">
        <v>8.3926155480169005E-4</v>
      </c>
      <c r="BA123" s="45">
        <v>6.2013183838513398E-6</v>
      </c>
    </row>
    <row r="124" spans="1:53" x14ac:dyDescent="0.25">
      <c r="A124" s="152">
        <v>424</v>
      </c>
      <c r="B124" s="152">
        <v>7229</v>
      </c>
      <c r="C124" s="152">
        <v>513326439</v>
      </c>
      <c r="D124" s="152" t="s">
        <v>1721</v>
      </c>
      <c r="E124" s="152" t="s">
        <v>2206</v>
      </c>
      <c r="F124" s="152">
        <v>97329</v>
      </c>
      <c r="G124" s="152" t="s">
        <v>2165</v>
      </c>
      <c r="H124" s="152"/>
      <c r="I124" s="152" t="s">
        <v>71</v>
      </c>
      <c r="J124" s="152" t="s">
        <v>71</v>
      </c>
      <c r="K124" s="152" t="s">
        <v>234</v>
      </c>
      <c r="L124" s="152" t="s">
        <v>72</v>
      </c>
      <c r="M124" s="152" t="s">
        <v>373</v>
      </c>
      <c r="N124" s="152">
        <v>11898514</v>
      </c>
      <c r="O124" s="160" t="s">
        <v>2207</v>
      </c>
      <c r="P124" s="152" t="s">
        <v>228</v>
      </c>
      <c r="Q124" s="152" t="s">
        <v>219</v>
      </c>
      <c r="R124" s="152" t="s">
        <v>2168</v>
      </c>
      <c r="S124" s="152" t="s">
        <v>81</v>
      </c>
      <c r="T124" s="166">
        <v>3.01</v>
      </c>
      <c r="U124" s="152" t="s">
        <v>2184</v>
      </c>
      <c r="V124" s="161">
        <v>5.5E-2</v>
      </c>
      <c r="W124" s="152" t="s">
        <v>2169</v>
      </c>
      <c r="X124" s="152" t="s">
        <v>2170</v>
      </c>
      <c r="Y124" s="167">
        <v>5.5E-2</v>
      </c>
      <c r="Z124" s="168">
        <v>2.9399999999999999E-2</v>
      </c>
      <c r="AA124" s="152" t="s">
        <v>2188</v>
      </c>
      <c r="AB124" s="152" t="s">
        <v>222</v>
      </c>
      <c r="AC124" s="152" t="s">
        <v>1626</v>
      </c>
      <c r="AD124" s="166">
        <v>482000</v>
      </c>
      <c r="AE124" s="168">
        <v>0.73</v>
      </c>
      <c r="AF124" s="152" t="s">
        <v>1878</v>
      </c>
      <c r="AG124" s="152" t="s">
        <v>72</v>
      </c>
      <c r="AH124" s="152"/>
      <c r="AI124" s="152" t="s">
        <v>2182</v>
      </c>
      <c r="AJ124" s="152" t="s">
        <v>373</v>
      </c>
      <c r="AK124" s="152" t="s">
        <v>1454</v>
      </c>
      <c r="AL124" s="152" t="s">
        <v>2174</v>
      </c>
      <c r="AM124" s="152" t="s">
        <v>1671</v>
      </c>
      <c r="AN124" s="160" t="s">
        <v>1455</v>
      </c>
      <c r="AO124" s="152" t="s">
        <v>1878</v>
      </c>
      <c r="AP124" s="161">
        <v>0</v>
      </c>
      <c r="AQ124" s="162">
        <v>1681.04</v>
      </c>
      <c r="AR124" s="170">
        <v>128.94</v>
      </c>
      <c r="AS124" s="171">
        <v>1</v>
      </c>
      <c r="AT124" s="166">
        <v>2.1680000000000001</v>
      </c>
      <c r="AU124" s="166">
        <v>2.1680000000000001</v>
      </c>
      <c r="AV124" s="152"/>
      <c r="AW124" s="152"/>
      <c r="AX124" t="s">
        <v>72</v>
      </c>
      <c r="AY124" t="s">
        <v>16</v>
      </c>
      <c r="AZ124" s="45">
        <v>1.9525428152973999E-3</v>
      </c>
      <c r="BA124" s="45">
        <v>1.4427373190735201E-5</v>
      </c>
    </row>
    <row r="125" spans="1:53" x14ac:dyDescent="0.25">
      <c r="A125" s="152">
        <v>424</v>
      </c>
      <c r="B125" s="152">
        <v>7229</v>
      </c>
      <c r="C125" s="152">
        <v>513326439</v>
      </c>
      <c r="D125" s="152" t="s">
        <v>1721</v>
      </c>
      <c r="E125" s="152" t="s">
        <v>2208</v>
      </c>
      <c r="F125" s="152">
        <v>24869</v>
      </c>
      <c r="G125" s="152" t="s">
        <v>2165</v>
      </c>
      <c r="H125" s="152"/>
      <c r="I125" s="152" t="s">
        <v>71</v>
      </c>
      <c r="J125" s="152" t="s">
        <v>71</v>
      </c>
      <c r="K125" s="152" t="s">
        <v>234</v>
      </c>
      <c r="L125" s="152" t="s">
        <v>72</v>
      </c>
      <c r="M125" s="152" t="s">
        <v>373</v>
      </c>
      <c r="N125" s="152">
        <v>11898230</v>
      </c>
      <c r="O125" s="160" t="s">
        <v>2209</v>
      </c>
      <c r="P125" s="152" t="s">
        <v>228</v>
      </c>
      <c r="Q125" s="152" t="s">
        <v>219</v>
      </c>
      <c r="R125" s="152" t="s">
        <v>2168</v>
      </c>
      <c r="S125" s="152" t="s">
        <v>81</v>
      </c>
      <c r="T125" s="166">
        <v>3.01</v>
      </c>
      <c r="U125" s="152" t="s">
        <v>2184</v>
      </c>
      <c r="V125" s="161">
        <v>5.5E-2</v>
      </c>
      <c r="W125" s="152" t="s">
        <v>2169</v>
      </c>
      <c r="X125" s="152" t="s">
        <v>2170</v>
      </c>
      <c r="Y125" s="167">
        <v>5.5E-2</v>
      </c>
      <c r="Z125" s="168">
        <v>2.9399999999999999E-2</v>
      </c>
      <c r="AA125" s="152" t="s">
        <v>2181</v>
      </c>
      <c r="AB125" s="152" t="s">
        <v>222</v>
      </c>
      <c r="AC125" s="152" t="s">
        <v>1626</v>
      </c>
      <c r="AD125" s="166">
        <v>482000</v>
      </c>
      <c r="AE125" s="168">
        <v>0.73</v>
      </c>
      <c r="AF125" s="152" t="s">
        <v>1878</v>
      </c>
      <c r="AG125" s="152" t="s">
        <v>72</v>
      </c>
      <c r="AH125" s="152"/>
      <c r="AI125" s="152" t="s">
        <v>2182</v>
      </c>
      <c r="AJ125" s="152" t="s">
        <v>373</v>
      </c>
      <c r="AK125" s="152" t="s">
        <v>1454</v>
      </c>
      <c r="AL125" s="152" t="s">
        <v>234</v>
      </c>
      <c r="AM125" s="152" t="s">
        <v>1671</v>
      </c>
      <c r="AN125" s="160" t="s">
        <v>1455</v>
      </c>
      <c r="AO125" s="152" t="s">
        <v>1878</v>
      </c>
      <c r="AP125" s="161">
        <v>0</v>
      </c>
      <c r="AQ125" s="162">
        <v>6489.49</v>
      </c>
      <c r="AR125" s="170">
        <v>126.93</v>
      </c>
      <c r="AS125" s="171">
        <v>1</v>
      </c>
      <c r="AT125" s="166">
        <v>8.2370000000000001</v>
      </c>
      <c r="AU125" s="166">
        <v>8.2370000000000001</v>
      </c>
      <c r="AV125" s="152"/>
      <c r="AW125" s="152"/>
      <c r="AX125" t="s">
        <v>72</v>
      </c>
      <c r="AY125" t="s">
        <v>16</v>
      </c>
      <c r="AZ125" s="45">
        <v>7.4200990054935903E-3</v>
      </c>
      <c r="BA125" s="45">
        <v>5.4827242007573197E-5</v>
      </c>
    </row>
    <row r="126" spans="1:53" x14ac:dyDescent="0.25">
      <c r="A126" s="152">
        <v>424</v>
      </c>
      <c r="B126" s="152">
        <v>7229</v>
      </c>
      <c r="C126" s="152">
        <v>513326439</v>
      </c>
      <c r="D126" s="152" t="s">
        <v>1721</v>
      </c>
      <c r="E126" s="152" t="s">
        <v>2210</v>
      </c>
      <c r="F126" s="152">
        <v>78022</v>
      </c>
      <c r="G126" s="152" t="s">
        <v>2165</v>
      </c>
      <c r="H126" s="152"/>
      <c r="I126" s="152" t="s">
        <v>71</v>
      </c>
      <c r="J126" s="152" t="s">
        <v>71</v>
      </c>
      <c r="K126" s="152" t="s">
        <v>234</v>
      </c>
      <c r="L126" s="152" t="s">
        <v>72</v>
      </c>
      <c r="M126" s="152" t="s">
        <v>373</v>
      </c>
      <c r="N126" s="152">
        <v>11898515</v>
      </c>
      <c r="O126" s="160" t="s">
        <v>2180</v>
      </c>
      <c r="P126" s="152" t="s">
        <v>228</v>
      </c>
      <c r="Q126" s="152" t="s">
        <v>219</v>
      </c>
      <c r="R126" s="152" t="s">
        <v>2168</v>
      </c>
      <c r="S126" s="152" t="s">
        <v>81</v>
      </c>
      <c r="T126" s="166">
        <v>3.01</v>
      </c>
      <c r="U126" s="152" t="s">
        <v>2184</v>
      </c>
      <c r="V126" s="161">
        <v>5.5E-2</v>
      </c>
      <c r="W126" s="152" t="s">
        <v>2169</v>
      </c>
      <c r="X126" s="152" t="s">
        <v>2120</v>
      </c>
      <c r="Y126" s="167">
        <v>0</v>
      </c>
      <c r="Z126" s="168">
        <v>2.9399999999999999E-2</v>
      </c>
      <c r="AA126" s="152" t="s">
        <v>2188</v>
      </c>
      <c r="AB126" s="152" t="s">
        <v>222</v>
      </c>
      <c r="AC126" s="152" t="s">
        <v>1626</v>
      </c>
      <c r="AD126" s="166">
        <v>482000</v>
      </c>
      <c r="AE126" s="168">
        <v>0.73</v>
      </c>
      <c r="AF126" s="152" t="s">
        <v>1878</v>
      </c>
      <c r="AG126" s="152" t="s">
        <v>72</v>
      </c>
      <c r="AH126" s="152"/>
      <c r="AI126" s="152" t="s">
        <v>2182</v>
      </c>
      <c r="AJ126" s="152" t="s">
        <v>373</v>
      </c>
      <c r="AK126" s="152" t="s">
        <v>1454</v>
      </c>
      <c r="AL126" s="152" t="s">
        <v>2174</v>
      </c>
      <c r="AM126" s="152" t="s">
        <v>1671</v>
      </c>
      <c r="AN126" s="160" t="s">
        <v>1455</v>
      </c>
      <c r="AO126" s="152" t="s">
        <v>1878</v>
      </c>
      <c r="AP126" s="161">
        <v>0</v>
      </c>
      <c r="AQ126" s="162">
        <v>7882.45</v>
      </c>
      <c r="AR126" s="170">
        <v>128.9</v>
      </c>
      <c r="AS126" s="171">
        <v>1</v>
      </c>
      <c r="AT126" s="166">
        <v>10.16</v>
      </c>
      <c r="AU126" s="166">
        <v>10.16</v>
      </c>
      <c r="AV126" s="152"/>
      <c r="AW126" s="152"/>
      <c r="AX126" t="s">
        <v>72</v>
      </c>
      <c r="AY126" t="s">
        <v>16</v>
      </c>
      <c r="AZ126" s="45">
        <v>9.1526950852324294E-3</v>
      </c>
      <c r="BA126" s="45">
        <v>6.7629424902287196E-5</v>
      </c>
    </row>
    <row r="127" spans="1:53" x14ac:dyDescent="0.25">
      <c r="A127" s="152">
        <v>424</v>
      </c>
      <c r="B127" s="152">
        <v>7229</v>
      </c>
      <c r="C127" s="152">
        <v>513326439</v>
      </c>
      <c r="D127" s="152" t="s">
        <v>1721</v>
      </c>
      <c r="E127" s="152" t="s">
        <v>2211</v>
      </c>
      <c r="F127" s="152">
        <v>78006</v>
      </c>
      <c r="G127" s="152" t="s">
        <v>2165</v>
      </c>
      <c r="H127" s="152"/>
      <c r="I127" s="152" t="s">
        <v>71</v>
      </c>
      <c r="J127" s="152" t="s">
        <v>71</v>
      </c>
      <c r="K127" s="152" t="s">
        <v>234</v>
      </c>
      <c r="L127" s="152" t="s">
        <v>72</v>
      </c>
      <c r="M127" s="152" t="s">
        <v>373</v>
      </c>
      <c r="N127" s="152">
        <v>11898502</v>
      </c>
      <c r="O127" s="160" t="s">
        <v>2180</v>
      </c>
      <c r="P127" s="152" t="s">
        <v>228</v>
      </c>
      <c r="Q127" s="152" t="s">
        <v>219</v>
      </c>
      <c r="R127" s="152" t="s">
        <v>2168</v>
      </c>
      <c r="S127" s="152" t="s">
        <v>81</v>
      </c>
      <c r="T127" s="166">
        <v>3.01</v>
      </c>
      <c r="U127" s="152" t="s">
        <v>2184</v>
      </c>
      <c r="V127" s="161">
        <v>5.5888E-2</v>
      </c>
      <c r="W127" s="152" t="s">
        <v>2169</v>
      </c>
      <c r="X127" s="152" t="s">
        <v>2120</v>
      </c>
      <c r="Y127" s="167">
        <v>0</v>
      </c>
      <c r="Z127" s="168">
        <v>2.93E-2</v>
      </c>
      <c r="AA127" s="152" t="s">
        <v>2188</v>
      </c>
      <c r="AB127" s="152" t="s">
        <v>222</v>
      </c>
      <c r="AC127" s="152" t="s">
        <v>1626</v>
      </c>
      <c r="AD127" s="166">
        <v>482000</v>
      </c>
      <c r="AE127" s="168">
        <v>0.73</v>
      </c>
      <c r="AF127" s="152" t="s">
        <v>1878</v>
      </c>
      <c r="AG127" s="152" t="s">
        <v>72</v>
      </c>
      <c r="AH127" s="152"/>
      <c r="AI127" s="152" t="s">
        <v>2182</v>
      </c>
      <c r="AJ127" s="152" t="s">
        <v>373</v>
      </c>
      <c r="AK127" s="152" t="s">
        <v>1454</v>
      </c>
      <c r="AL127" s="152" t="s">
        <v>2174</v>
      </c>
      <c r="AM127" s="152" t="s">
        <v>1671</v>
      </c>
      <c r="AN127" s="160" t="s">
        <v>1455</v>
      </c>
      <c r="AO127" s="152" t="s">
        <v>1878</v>
      </c>
      <c r="AP127" s="161">
        <v>0</v>
      </c>
      <c r="AQ127" s="162">
        <v>1650.19</v>
      </c>
      <c r="AR127" s="170">
        <v>130.19</v>
      </c>
      <c r="AS127" s="171">
        <v>1</v>
      </c>
      <c r="AT127" s="166">
        <v>2.1480000000000001</v>
      </c>
      <c r="AU127" s="166">
        <v>2.1480000000000001</v>
      </c>
      <c r="AV127" s="152"/>
      <c r="AW127" s="152"/>
      <c r="AX127" t="s">
        <v>72</v>
      </c>
      <c r="AY127" t="s">
        <v>16</v>
      </c>
      <c r="AZ127" s="45">
        <v>1.93529168410779E-3</v>
      </c>
      <c r="BA127" s="45">
        <v>1.42999042790755E-5</v>
      </c>
    </row>
    <row r="128" spans="1:53" x14ac:dyDescent="0.25">
      <c r="A128" s="152">
        <v>424</v>
      </c>
      <c r="B128" s="152">
        <v>7229</v>
      </c>
      <c r="C128" s="152">
        <v>513326439</v>
      </c>
      <c r="D128" s="152" t="s">
        <v>1721</v>
      </c>
      <c r="E128" s="152" t="s">
        <v>2212</v>
      </c>
      <c r="F128" s="152">
        <v>97279</v>
      </c>
      <c r="G128" s="152" t="s">
        <v>2165</v>
      </c>
      <c r="H128" s="152"/>
      <c r="I128" s="152" t="s">
        <v>71</v>
      </c>
      <c r="J128" s="152" t="s">
        <v>71</v>
      </c>
      <c r="K128" s="152" t="s">
        <v>234</v>
      </c>
      <c r="L128" s="152" t="s">
        <v>72</v>
      </c>
      <c r="M128" s="152" t="s">
        <v>373</v>
      </c>
      <c r="N128" s="152">
        <v>11896120</v>
      </c>
      <c r="O128" s="160" t="s">
        <v>2213</v>
      </c>
      <c r="P128" s="152" t="s">
        <v>228</v>
      </c>
      <c r="Q128" s="152" t="s">
        <v>219</v>
      </c>
      <c r="R128" s="152" t="s">
        <v>2168</v>
      </c>
      <c r="S128" s="152" t="s">
        <v>81</v>
      </c>
      <c r="T128" s="166">
        <v>3.01</v>
      </c>
      <c r="U128" s="152" t="s">
        <v>2184</v>
      </c>
      <c r="V128" s="161">
        <v>5.6193E-2</v>
      </c>
      <c r="W128" s="152" t="s">
        <v>2169</v>
      </c>
      <c r="X128" s="152" t="s">
        <v>2170</v>
      </c>
      <c r="Y128" s="167">
        <v>5.6193E-2</v>
      </c>
      <c r="Z128" s="168">
        <v>2.9399999999999999E-2</v>
      </c>
      <c r="AA128" s="152" t="s">
        <v>2188</v>
      </c>
      <c r="AB128" s="152" t="s">
        <v>222</v>
      </c>
      <c r="AC128" s="152" t="s">
        <v>1626</v>
      </c>
      <c r="AD128" s="166">
        <v>482000</v>
      </c>
      <c r="AE128" s="168">
        <v>0.73</v>
      </c>
      <c r="AF128" s="152" t="s">
        <v>1878</v>
      </c>
      <c r="AG128" s="152" t="s">
        <v>72</v>
      </c>
      <c r="AH128" s="152"/>
      <c r="AI128" s="152" t="s">
        <v>2182</v>
      </c>
      <c r="AJ128" s="152" t="s">
        <v>373</v>
      </c>
      <c r="AK128" s="152" t="s">
        <v>1454</v>
      </c>
      <c r="AL128" s="152" t="s">
        <v>2174</v>
      </c>
      <c r="AM128" s="152" t="s">
        <v>1671</v>
      </c>
      <c r="AN128" s="160" t="s">
        <v>1455</v>
      </c>
      <c r="AO128" s="152" t="s">
        <v>1878</v>
      </c>
      <c r="AP128" s="161">
        <v>0</v>
      </c>
      <c r="AQ128" s="162">
        <v>2319.09</v>
      </c>
      <c r="AR128" s="170">
        <v>129.61000000000001</v>
      </c>
      <c r="AS128" s="171">
        <v>1</v>
      </c>
      <c r="AT128" s="166">
        <v>3.0059999999999998</v>
      </c>
      <c r="AU128" s="166">
        <v>3.0059999999999998</v>
      </c>
      <c r="AV128" s="152"/>
      <c r="AW128" s="152"/>
      <c r="AX128" t="s">
        <v>72</v>
      </c>
      <c r="AY128" t="s">
        <v>16</v>
      </c>
      <c r="AZ128" s="45">
        <v>2.70764028042547E-3</v>
      </c>
      <c r="BA128" s="45">
        <v>2.00068016362628E-5</v>
      </c>
    </row>
    <row r="129" spans="1:53" x14ac:dyDescent="0.25">
      <c r="A129" s="152">
        <v>424</v>
      </c>
      <c r="B129" s="152">
        <v>7229</v>
      </c>
      <c r="C129" s="152">
        <v>513326439</v>
      </c>
      <c r="D129" s="152" t="s">
        <v>1721</v>
      </c>
      <c r="E129" s="152" t="s">
        <v>2214</v>
      </c>
      <c r="F129" s="152">
        <v>28704</v>
      </c>
      <c r="G129" s="152" t="s">
        <v>2165</v>
      </c>
      <c r="H129" s="152"/>
      <c r="I129" s="152" t="s">
        <v>71</v>
      </c>
      <c r="J129" s="152" t="s">
        <v>71</v>
      </c>
      <c r="K129" s="152" t="s">
        <v>234</v>
      </c>
      <c r="L129" s="152" t="s">
        <v>72</v>
      </c>
      <c r="M129" s="152" t="s">
        <v>373</v>
      </c>
      <c r="N129" s="152">
        <v>11898300</v>
      </c>
      <c r="O129" s="160" t="s">
        <v>2180</v>
      </c>
      <c r="P129" s="152" t="s">
        <v>228</v>
      </c>
      <c r="Q129" s="152" t="s">
        <v>219</v>
      </c>
      <c r="R129" s="152" t="s">
        <v>2168</v>
      </c>
      <c r="S129" s="152" t="s">
        <v>81</v>
      </c>
      <c r="T129" s="166">
        <v>3.01</v>
      </c>
      <c r="U129" s="152" t="s">
        <v>286</v>
      </c>
      <c r="V129" s="161">
        <v>5.5E-2</v>
      </c>
      <c r="W129" s="152" t="s">
        <v>2169</v>
      </c>
      <c r="X129" s="152" t="s">
        <v>2120</v>
      </c>
      <c r="Y129" s="167">
        <v>0</v>
      </c>
      <c r="Z129" s="168">
        <v>3.15E-2</v>
      </c>
      <c r="AA129" s="152" t="s">
        <v>2181</v>
      </c>
      <c r="AB129" s="152" t="s">
        <v>222</v>
      </c>
      <c r="AC129" s="152" t="s">
        <v>1626</v>
      </c>
      <c r="AD129" s="166">
        <v>482000</v>
      </c>
      <c r="AE129" s="168">
        <v>0.73</v>
      </c>
      <c r="AF129" s="152" t="s">
        <v>1878</v>
      </c>
      <c r="AG129" s="152" t="s">
        <v>72</v>
      </c>
      <c r="AH129" s="152"/>
      <c r="AI129" s="152" t="s">
        <v>2182</v>
      </c>
      <c r="AJ129" s="152" t="s">
        <v>373</v>
      </c>
      <c r="AK129" s="152" t="s">
        <v>1454</v>
      </c>
      <c r="AL129" s="152" t="s">
        <v>2174</v>
      </c>
      <c r="AM129" s="152" t="s">
        <v>1671</v>
      </c>
      <c r="AN129" s="160" t="s">
        <v>1455</v>
      </c>
      <c r="AO129" s="152" t="s">
        <v>1878</v>
      </c>
      <c r="AP129" s="161">
        <v>0</v>
      </c>
      <c r="AQ129" s="162">
        <v>2937.62</v>
      </c>
      <c r="AR129" s="170">
        <v>124.26</v>
      </c>
      <c r="AS129" s="171">
        <v>1</v>
      </c>
      <c r="AT129" s="166">
        <v>3.65</v>
      </c>
      <c r="AU129" s="166">
        <v>3.65</v>
      </c>
      <c r="AV129" s="152"/>
      <c r="AW129" s="152"/>
      <c r="AX129" t="s">
        <v>72</v>
      </c>
      <c r="AY129" t="s">
        <v>16</v>
      </c>
      <c r="AZ129" s="45">
        <v>3.2882272043629002E-3</v>
      </c>
      <c r="BA129" s="45">
        <v>2.4296768624787101E-5</v>
      </c>
    </row>
    <row r="130" spans="1:53" x14ac:dyDescent="0.25">
      <c r="A130" s="152">
        <v>424</v>
      </c>
      <c r="B130" s="152">
        <v>7229</v>
      </c>
      <c r="C130" s="152">
        <v>513326439</v>
      </c>
      <c r="D130" s="152" t="s">
        <v>1721</v>
      </c>
      <c r="E130" s="152" t="s">
        <v>2215</v>
      </c>
      <c r="F130" s="152">
        <v>28548</v>
      </c>
      <c r="G130" s="152" t="s">
        <v>2165</v>
      </c>
      <c r="H130" s="152"/>
      <c r="I130" s="152" t="s">
        <v>71</v>
      </c>
      <c r="J130" s="152" t="s">
        <v>71</v>
      </c>
      <c r="K130" s="152" t="s">
        <v>234</v>
      </c>
      <c r="L130" s="152" t="s">
        <v>72</v>
      </c>
      <c r="M130" s="152" t="s">
        <v>373</v>
      </c>
      <c r="N130" s="152">
        <v>11898320</v>
      </c>
      <c r="O130" s="160" t="s">
        <v>2180</v>
      </c>
      <c r="P130" s="152" t="s">
        <v>228</v>
      </c>
      <c r="Q130" s="152" t="s">
        <v>219</v>
      </c>
      <c r="R130" s="152" t="s">
        <v>2168</v>
      </c>
      <c r="S130" s="152" t="s">
        <v>81</v>
      </c>
      <c r="T130" s="166">
        <v>3.01</v>
      </c>
      <c r="U130" s="152" t="s">
        <v>286</v>
      </c>
      <c r="V130" s="161">
        <v>5.5E-2</v>
      </c>
      <c r="W130" s="152" t="s">
        <v>2169</v>
      </c>
      <c r="X130" s="152" t="s">
        <v>2120</v>
      </c>
      <c r="Y130" s="167">
        <v>0</v>
      </c>
      <c r="Z130" s="168">
        <v>2.9399999999999999E-2</v>
      </c>
      <c r="AA130" s="152" t="s">
        <v>2181</v>
      </c>
      <c r="AB130" s="152" t="s">
        <v>222</v>
      </c>
      <c r="AC130" s="152" t="s">
        <v>1626</v>
      </c>
      <c r="AD130" s="166">
        <v>482000</v>
      </c>
      <c r="AE130" s="168">
        <v>0.73</v>
      </c>
      <c r="AF130" s="152" t="s">
        <v>1878</v>
      </c>
      <c r="AG130" s="152" t="s">
        <v>72</v>
      </c>
      <c r="AH130" s="152"/>
      <c r="AI130" s="152" t="s">
        <v>2182</v>
      </c>
      <c r="AJ130" s="152" t="s">
        <v>373</v>
      </c>
      <c r="AK130" s="152" t="s">
        <v>1454</v>
      </c>
      <c r="AL130" s="152" t="s">
        <v>2174</v>
      </c>
      <c r="AM130" s="152" t="s">
        <v>1671</v>
      </c>
      <c r="AN130" s="160" t="s">
        <v>1455</v>
      </c>
      <c r="AO130" s="152" t="s">
        <v>1878</v>
      </c>
      <c r="AP130" s="161">
        <v>0</v>
      </c>
      <c r="AQ130" s="162">
        <v>365</v>
      </c>
      <c r="AR130" s="170">
        <v>124.68</v>
      </c>
      <c r="AS130" s="171">
        <v>1</v>
      </c>
      <c r="AT130" s="166">
        <v>0.45500000000000002</v>
      </c>
      <c r="AU130" s="166">
        <v>0.45500000000000002</v>
      </c>
      <c r="AV130" s="152"/>
      <c r="AW130" s="152"/>
      <c r="AX130" t="s">
        <v>72</v>
      </c>
      <c r="AY130" t="s">
        <v>16</v>
      </c>
      <c r="AZ130" s="45">
        <v>4.0994397746646802E-4</v>
      </c>
      <c r="BA130" s="45">
        <v>3.02908325690272E-6</v>
      </c>
    </row>
    <row r="131" spans="1:53" x14ac:dyDescent="0.25">
      <c r="A131" s="152">
        <v>424</v>
      </c>
      <c r="B131" s="152">
        <v>7229</v>
      </c>
      <c r="C131" s="152">
        <v>513326439</v>
      </c>
      <c r="D131" s="152" t="s">
        <v>1721</v>
      </c>
      <c r="E131" s="152" t="s">
        <v>2216</v>
      </c>
      <c r="F131" s="152">
        <v>28589</v>
      </c>
      <c r="G131" s="152" t="s">
        <v>2165</v>
      </c>
      <c r="H131" s="152"/>
      <c r="I131" s="152" t="s">
        <v>71</v>
      </c>
      <c r="J131" s="152" t="s">
        <v>71</v>
      </c>
      <c r="K131" s="152" t="s">
        <v>234</v>
      </c>
      <c r="L131" s="152" t="s">
        <v>72</v>
      </c>
      <c r="M131" s="152" t="s">
        <v>373</v>
      </c>
      <c r="N131" s="152">
        <v>11898340</v>
      </c>
      <c r="O131" s="160" t="s">
        <v>2180</v>
      </c>
      <c r="P131" s="152" t="s">
        <v>228</v>
      </c>
      <c r="Q131" s="152" t="s">
        <v>219</v>
      </c>
      <c r="R131" s="152" t="s">
        <v>2168</v>
      </c>
      <c r="S131" s="152" t="s">
        <v>81</v>
      </c>
      <c r="T131" s="166">
        <v>3.01</v>
      </c>
      <c r="U131" s="152" t="s">
        <v>286</v>
      </c>
      <c r="V131" s="161">
        <v>5.5E-2</v>
      </c>
      <c r="W131" s="152" t="s">
        <v>2169</v>
      </c>
      <c r="X131" s="152" t="s">
        <v>2120</v>
      </c>
      <c r="Y131" s="167">
        <v>0</v>
      </c>
      <c r="Z131" s="168">
        <v>2.9399999999999999E-2</v>
      </c>
      <c r="AA131" s="152" t="s">
        <v>2181</v>
      </c>
      <c r="AB131" s="152" t="s">
        <v>222</v>
      </c>
      <c r="AC131" s="152" t="s">
        <v>1626</v>
      </c>
      <c r="AD131" s="166">
        <v>482000</v>
      </c>
      <c r="AE131" s="168">
        <v>0.73</v>
      </c>
      <c r="AF131" s="152" t="s">
        <v>1878</v>
      </c>
      <c r="AG131" s="152" t="s">
        <v>72</v>
      </c>
      <c r="AH131" s="152"/>
      <c r="AI131" s="152" t="s">
        <v>2182</v>
      </c>
      <c r="AJ131" s="152" t="s">
        <v>373</v>
      </c>
      <c r="AK131" s="152" t="s">
        <v>1454</v>
      </c>
      <c r="AL131" s="152" t="s">
        <v>2174</v>
      </c>
      <c r="AM131" s="152" t="s">
        <v>1671</v>
      </c>
      <c r="AN131" s="160" t="s">
        <v>1455</v>
      </c>
      <c r="AO131" s="152" t="s">
        <v>1878</v>
      </c>
      <c r="AP131" s="161">
        <v>0</v>
      </c>
      <c r="AQ131" s="162">
        <v>810.62</v>
      </c>
      <c r="AR131" s="170">
        <v>125.01</v>
      </c>
      <c r="AS131" s="171">
        <v>1</v>
      </c>
      <c r="AT131" s="166">
        <v>1.0129999999999999</v>
      </c>
      <c r="AU131" s="166">
        <v>1.0129999999999999</v>
      </c>
      <c r="AV131" s="152"/>
      <c r="AW131" s="152"/>
      <c r="AX131" t="s">
        <v>72</v>
      </c>
      <c r="AY131" t="s">
        <v>16</v>
      </c>
      <c r="AZ131" s="45">
        <v>9.1284475027805301E-4</v>
      </c>
      <c r="BA131" s="45">
        <v>6.74502590892428E-6</v>
      </c>
    </row>
    <row r="132" spans="1:53" x14ac:dyDescent="0.25">
      <c r="A132" s="152">
        <v>424</v>
      </c>
      <c r="B132" s="152">
        <v>7229</v>
      </c>
      <c r="C132" s="152">
        <v>513326439</v>
      </c>
      <c r="D132" s="152" t="s">
        <v>1721</v>
      </c>
      <c r="E132" s="152" t="s">
        <v>2217</v>
      </c>
      <c r="F132" s="152">
        <v>97360</v>
      </c>
      <c r="G132" s="152" t="s">
        <v>2165</v>
      </c>
      <c r="H132" s="152"/>
      <c r="I132" s="152" t="s">
        <v>71</v>
      </c>
      <c r="J132" s="152" t="s">
        <v>71</v>
      </c>
      <c r="K132" s="152" t="s">
        <v>234</v>
      </c>
      <c r="L132" s="152" t="s">
        <v>72</v>
      </c>
      <c r="M132" s="152" t="s">
        <v>373</v>
      </c>
      <c r="N132" s="152">
        <v>11898503</v>
      </c>
      <c r="O132" s="160" t="s">
        <v>2218</v>
      </c>
      <c r="P132" s="152" t="s">
        <v>228</v>
      </c>
      <c r="Q132" s="152" t="s">
        <v>219</v>
      </c>
      <c r="R132" s="152" t="s">
        <v>2168</v>
      </c>
      <c r="S132" s="152" t="s">
        <v>81</v>
      </c>
      <c r="T132" s="166">
        <v>3.01</v>
      </c>
      <c r="U132" s="152" t="s">
        <v>286</v>
      </c>
      <c r="V132" s="161">
        <v>5.7230999999999997E-2</v>
      </c>
      <c r="W132" s="152" t="s">
        <v>2169</v>
      </c>
      <c r="X132" s="152" t="s">
        <v>2170</v>
      </c>
      <c r="Y132" s="167">
        <v>5.7230999999999997E-2</v>
      </c>
      <c r="Z132" s="168">
        <v>2.9399999999999999E-2</v>
      </c>
      <c r="AA132" s="152" t="s">
        <v>2188</v>
      </c>
      <c r="AB132" s="152" t="s">
        <v>222</v>
      </c>
      <c r="AC132" s="152" t="s">
        <v>1626</v>
      </c>
      <c r="AD132" s="166">
        <v>482000</v>
      </c>
      <c r="AE132" s="168">
        <v>0.73</v>
      </c>
      <c r="AF132" s="152" t="s">
        <v>1878</v>
      </c>
      <c r="AG132" s="152" t="s">
        <v>72</v>
      </c>
      <c r="AH132" s="152"/>
      <c r="AI132" s="152" t="s">
        <v>2182</v>
      </c>
      <c r="AJ132" s="152" t="s">
        <v>373</v>
      </c>
      <c r="AK132" s="152" t="s">
        <v>1454</v>
      </c>
      <c r="AL132" s="152" t="s">
        <v>2174</v>
      </c>
      <c r="AM132" s="152" t="s">
        <v>1671</v>
      </c>
      <c r="AN132" s="160" t="s">
        <v>1455</v>
      </c>
      <c r="AO132" s="152" t="s">
        <v>1878</v>
      </c>
      <c r="AP132" s="161">
        <v>0</v>
      </c>
      <c r="AQ132" s="162">
        <v>7787.28</v>
      </c>
      <c r="AR132" s="170">
        <v>130.15</v>
      </c>
      <c r="AS132" s="171">
        <v>1</v>
      </c>
      <c r="AT132" s="166">
        <v>10.135</v>
      </c>
      <c r="AU132" s="166">
        <v>10.135</v>
      </c>
      <c r="AV132" s="152"/>
      <c r="AW132" s="152"/>
      <c r="AX132" t="s">
        <v>72</v>
      </c>
      <c r="AY132" t="s">
        <v>16</v>
      </c>
      <c r="AZ132" s="45">
        <v>9.1298746614980799E-3</v>
      </c>
      <c r="BA132" s="45">
        <v>6.7460804390098294E-5</v>
      </c>
    </row>
    <row r="133" spans="1:53" x14ac:dyDescent="0.25">
      <c r="A133" s="152">
        <v>424</v>
      </c>
      <c r="B133" s="152">
        <v>7229</v>
      </c>
      <c r="C133" s="152">
        <v>513326439</v>
      </c>
      <c r="D133" s="152" t="s">
        <v>1721</v>
      </c>
      <c r="E133" s="152" t="s">
        <v>2219</v>
      </c>
      <c r="F133" s="152">
        <v>33266</v>
      </c>
      <c r="G133" s="152" t="s">
        <v>2165</v>
      </c>
      <c r="H133" s="152"/>
      <c r="I133" s="152" t="s">
        <v>71</v>
      </c>
      <c r="J133" s="152" t="s">
        <v>71</v>
      </c>
      <c r="K133" s="152" t="s">
        <v>234</v>
      </c>
      <c r="L133" s="152" t="s">
        <v>72</v>
      </c>
      <c r="M133" s="152" t="s">
        <v>373</v>
      </c>
      <c r="N133" s="152">
        <v>11896130</v>
      </c>
      <c r="O133" s="160" t="s">
        <v>2180</v>
      </c>
      <c r="P133" s="152" t="s">
        <v>228</v>
      </c>
      <c r="Q133" s="152" t="s">
        <v>219</v>
      </c>
      <c r="R133" s="152" t="s">
        <v>2168</v>
      </c>
      <c r="S133" s="152" t="s">
        <v>81</v>
      </c>
      <c r="T133" s="166">
        <v>3</v>
      </c>
      <c r="U133" s="152" t="s">
        <v>2184</v>
      </c>
      <c r="V133" s="161">
        <v>5.6619999999999997E-2</v>
      </c>
      <c r="W133" s="152" t="s">
        <v>2169</v>
      </c>
      <c r="X133" s="152" t="s">
        <v>2120</v>
      </c>
      <c r="Y133" s="167">
        <v>0</v>
      </c>
      <c r="Z133" s="168">
        <v>3.15E-2</v>
      </c>
      <c r="AA133" s="152" t="s">
        <v>2181</v>
      </c>
      <c r="AB133" s="152" t="s">
        <v>222</v>
      </c>
      <c r="AC133" s="152" t="s">
        <v>1626</v>
      </c>
      <c r="AD133" s="166">
        <v>482000</v>
      </c>
      <c r="AE133" s="168">
        <v>0.73</v>
      </c>
      <c r="AF133" s="152" t="s">
        <v>1878</v>
      </c>
      <c r="AG133" s="152" t="s">
        <v>72</v>
      </c>
      <c r="AH133" s="152"/>
      <c r="AI133" s="152" t="s">
        <v>2182</v>
      </c>
      <c r="AJ133" s="152" t="s">
        <v>373</v>
      </c>
      <c r="AK133" s="152" t="s">
        <v>1454</v>
      </c>
      <c r="AL133" s="152" t="s">
        <v>2174</v>
      </c>
      <c r="AM133" s="152" t="s">
        <v>1671</v>
      </c>
      <c r="AN133" s="160" t="s">
        <v>1455</v>
      </c>
      <c r="AO133" s="152" t="s">
        <v>1878</v>
      </c>
      <c r="AP133" s="161">
        <v>0</v>
      </c>
      <c r="AQ133" s="162">
        <v>1751.11</v>
      </c>
      <c r="AR133" s="170">
        <v>129.26</v>
      </c>
      <c r="AS133" s="171">
        <v>1</v>
      </c>
      <c r="AT133" s="166">
        <v>2.2629999999999999</v>
      </c>
      <c r="AU133" s="166">
        <v>2.2629999999999999</v>
      </c>
      <c r="AV133" s="152"/>
      <c r="AW133" s="152"/>
      <c r="AX133" t="s">
        <v>72</v>
      </c>
      <c r="AY133" t="s">
        <v>16</v>
      </c>
      <c r="AZ133" s="45">
        <v>2.0389774944024998E-3</v>
      </c>
      <c r="BA133" s="45">
        <v>1.50660405542883E-5</v>
      </c>
    </row>
    <row r="134" spans="1:53" x14ac:dyDescent="0.25">
      <c r="A134" s="152">
        <v>424</v>
      </c>
      <c r="B134" s="152">
        <v>7229</v>
      </c>
      <c r="C134" s="152">
        <v>513326439</v>
      </c>
      <c r="D134" s="152" t="s">
        <v>1721</v>
      </c>
      <c r="E134" s="152" t="s">
        <v>2220</v>
      </c>
      <c r="F134" s="152">
        <v>28118</v>
      </c>
      <c r="G134" s="152" t="s">
        <v>2165</v>
      </c>
      <c r="H134" s="152"/>
      <c r="I134" s="152" t="s">
        <v>71</v>
      </c>
      <c r="J134" s="152" t="s">
        <v>71</v>
      </c>
      <c r="K134" s="152" t="s">
        <v>234</v>
      </c>
      <c r="L134" s="152" t="s">
        <v>72</v>
      </c>
      <c r="M134" s="152" t="s">
        <v>373</v>
      </c>
      <c r="N134" s="152">
        <v>11898422</v>
      </c>
      <c r="O134" s="160" t="s">
        <v>2221</v>
      </c>
      <c r="P134" s="152" t="s">
        <v>228</v>
      </c>
      <c r="Q134" s="152" t="s">
        <v>219</v>
      </c>
      <c r="R134" s="152" t="s">
        <v>2168</v>
      </c>
      <c r="S134" s="152" t="s">
        <v>81</v>
      </c>
      <c r="T134" s="166">
        <v>3.01</v>
      </c>
      <c r="U134" s="152" t="s">
        <v>2184</v>
      </c>
      <c r="V134" s="161">
        <v>5.5E-2</v>
      </c>
      <c r="W134" s="152" t="s">
        <v>2169</v>
      </c>
      <c r="X134" s="152" t="s">
        <v>2170</v>
      </c>
      <c r="Y134" s="167">
        <v>5.5E-2</v>
      </c>
      <c r="Z134" s="168">
        <v>2.9399999999999999E-2</v>
      </c>
      <c r="AA134" s="152" t="s">
        <v>2188</v>
      </c>
      <c r="AB134" s="152" t="s">
        <v>222</v>
      </c>
      <c r="AC134" s="152" t="s">
        <v>1626</v>
      </c>
      <c r="AD134" s="166">
        <v>482000</v>
      </c>
      <c r="AE134" s="168">
        <v>0.73</v>
      </c>
      <c r="AF134" s="152" t="s">
        <v>1878</v>
      </c>
      <c r="AG134" s="152" t="s">
        <v>72</v>
      </c>
      <c r="AH134" s="152"/>
      <c r="AI134" s="152" t="s">
        <v>2182</v>
      </c>
      <c r="AJ134" s="152" t="s">
        <v>373</v>
      </c>
      <c r="AK134" s="152" t="s">
        <v>1454</v>
      </c>
      <c r="AL134" s="152" t="s">
        <v>2174</v>
      </c>
      <c r="AM134" s="152" t="s">
        <v>1671</v>
      </c>
      <c r="AN134" s="160" t="s">
        <v>1455</v>
      </c>
      <c r="AO134" s="152" t="s">
        <v>1878</v>
      </c>
      <c r="AP134" s="161">
        <v>0</v>
      </c>
      <c r="AQ134" s="162">
        <v>10239.82</v>
      </c>
      <c r="AR134" s="170">
        <v>126.91</v>
      </c>
      <c r="AS134" s="171">
        <v>1</v>
      </c>
      <c r="AT134" s="166">
        <v>12.994999999999999</v>
      </c>
      <c r="AU134" s="166">
        <v>12.994999999999999</v>
      </c>
      <c r="AV134" s="152"/>
      <c r="AW134" s="152"/>
      <c r="AX134" t="s">
        <v>72</v>
      </c>
      <c r="AY134" t="s">
        <v>16</v>
      </c>
      <c r="AZ134" s="45">
        <v>1.1706390821164699E-2</v>
      </c>
      <c r="BA134" s="45">
        <v>8.6498727592723698E-5</v>
      </c>
    </row>
    <row r="135" spans="1:53" x14ac:dyDescent="0.25">
      <c r="A135" s="152">
        <v>424</v>
      </c>
      <c r="B135" s="152">
        <v>7229</v>
      </c>
      <c r="C135" s="152">
        <v>513326439</v>
      </c>
      <c r="D135" s="152" t="s">
        <v>1721</v>
      </c>
      <c r="E135" s="152" t="s">
        <v>2222</v>
      </c>
      <c r="F135" s="152">
        <v>24752</v>
      </c>
      <c r="G135" s="152" t="s">
        <v>2165</v>
      </c>
      <c r="H135" s="152"/>
      <c r="I135" s="152" t="s">
        <v>71</v>
      </c>
      <c r="J135" s="152" t="s">
        <v>71</v>
      </c>
      <c r="K135" s="152" t="s">
        <v>234</v>
      </c>
      <c r="L135" s="152" t="s">
        <v>72</v>
      </c>
      <c r="M135" s="152" t="s">
        <v>373</v>
      </c>
      <c r="N135" s="152">
        <v>11896140</v>
      </c>
      <c r="O135" s="160" t="s">
        <v>2223</v>
      </c>
      <c r="P135" s="152" t="s">
        <v>228</v>
      </c>
      <c r="Q135" s="152" t="s">
        <v>219</v>
      </c>
      <c r="R135" s="152" t="s">
        <v>2168</v>
      </c>
      <c r="S135" s="152" t="s">
        <v>81</v>
      </c>
      <c r="T135" s="166">
        <v>3.01</v>
      </c>
      <c r="U135" s="152" t="s">
        <v>2184</v>
      </c>
      <c r="V135" s="161">
        <v>5.5309999999999998E-2</v>
      </c>
      <c r="W135" s="152" t="s">
        <v>2169</v>
      </c>
      <c r="X135" s="152" t="s">
        <v>2170</v>
      </c>
      <c r="Y135" s="167">
        <v>5.5309999999999998E-2</v>
      </c>
      <c r="Z135" s="168">
        <v>2.9399999999999999E-2</v>
      </c>
      <c r="AA135" s="152" t="s">
        <v>2181</v>
      </c>
      <c r="AB135" s="152" t="s">
        <v>222</v>
      </c>
      <c r="AC135" s="152" t="s">
        <v>1626</v>
      </c>
      <c r="AD135" s="166">
        <v>203777.768205128</v>
      </c>
      <c r="AE135" s="168">
        <v>0.73</v>
      </c>
      <c r="AF135" s="152" t="s">
        <v>1878</v>
      </c>
      <c r="AG135" s="152" t="s">
        <v>72</v>
      </c>
      <c r="AH135" s="152"/>
      <c r="AI135" s="152" t="s">
        <v>2182</v>
      </c>
      <c r="AJ135" s="152" t="s">
        <v>373</v>
      </c>
      <c r="AK135" s="152" t="s">
        <v>1454</v>
      </c>
      <c r="AL135" s="152" t="s">
        <v>2174</v>
      </c>
      <c r="AM135" s="152" t="s">
        <v>1671</v>
      </c>
      <c r="AN135" s="160" t="s">
        <v>1455</v>
      </c>
      <c r="AO135" s="152" t="s">
        <v>1878</v>
      </c>
      <c r="AP135" s="161">
        <v>0</v>
      </c>
      <c r="AQ135" s="162">
        <v>7416.53</v>
      </c>
      <c r="AR135" s="170">
        <v>129.5</v>
      </c>
      <c r="AS135" s="171">
        <v>1</v>
      </c>
      <c r="AT135" s="166">
        <v>9.6039999999999992</v>
      </c>
      <c r="AU135" s="166">
        <v>9.6039999999999992</v>
      </c>
      <c r="AV135" s="152"/>
      <c r="AW135" s="152"/>
      <c r="AX135" t="s">
        <v>72</v>
      </c>
      <c r="AY135" t="s">
        <v>16</v>
      </c>
      <c r="AZ135" s="45">
        <v>8.65177822968872E-3</v>
      </c>
      <c r="BA135" s="45">
        <v>6.3928141449838105E-5</v>
      </c>
    </row>
    <row r="136" spans="1:53" x14ac:dyDescent="0.25">
      <c r="A136" s="152">
        <v>424</v>
      </c>
      <c r="B136" s="152">
        <v>7229</v>
      </c>
      <c r="C136" s="152">
        <v>513326439</v>
      </c>
      <c r="D136" s="152" t="s">
        <v>1721</v>
      </c>
      <c r="E136" s="152" t="s">
        <v>2224</v>
      </c>
      <c r="F136" s="152">
        <v>34819</v>
      </c>
      <c r="G136" s="152" t="s">
        <v>2165</v>
      </c>
      <c r="H136" s="152"/>
      <c r="I136" s="152" t="s">
        <v>71</v>
      </c>
      <c r="J136" s="152" t="s">
        <v>71</v>
      </c>
      <c r="K136" s="152" t="s">
        <v>234</v>
      </c>
      <c r="L136" s="152" t="s">
        <v>72</v>
      </c>
      <c r="M136" s="152" t="s">
        <v>373</v>
      </c>
      <c r="N136" s="152">
        <v>11898120</v>
      </c>
      <c r="O136" s="160" t="s">
        <v>2225</v>
      </c>
      <c r="P136" s="152" t="s">
        <v>228</v>
      </c>
      <c r="Q136" s="152" t="s">
        <v>219</v>
      </c>
      <c r="R136" s="152" t="s">
        <v>2168</v>
      </c>
      <c r="S136" s="152" t="s">
        <v>81</v>
      </c>
      <c r="T136" s="166">
        <v>3.02</v>
      </c>
      <c r="U136" s="152" t="s">
        <v>286</v>
      </c>
      <c r="V136" s="161">
        <v>5.5E-2</v>
      </c>
      <c r="W136" s="152" t="s">
        <v>2169</v>
      </c>
      <c r="X136" s="152" t="s">
        <v>2120</v>
      </c>
      <c r="Y136" s="167">
        <v>0</v>
      </c>
      <c r="Z136" s="168">
        <v>2.9399999999999999E-2</v>
      </c>
      <c r="AA136" s="152" t="s">
        <v>2188</v>
      </c>
      <c r="AB136" s="152" t="s">
        <v>222</v>
      </c>
      <c r="AC136" s="152" t="s">
        <v>1626</v>
      </c>
      <c r="AD136" s="166">
        <v>482000</v>
      </c>
      <c r="AE136" s="168">
        <v>0.73</v>
      </c>
      <c r="AF136" s="152" t="s">
        <v>1878</v>
      </c>
      <c r="AG136" s="152" t="s">
        <v>72</v>
      </c>
      <c r="AH136" s="152"/>
      <c r="AI136" s="152" t="s">
        <v>2182</v>
      </c>
      <c r="AJ136" s="152" t="s">
        <v>373</v>
      </c>
      <c r="AK136" s="152" t="s">
        <v>1454</v>
      </c>
      <c r="AL136" s="152" t="s">
        <v>2174</v>
      </c>
      <c r="AM136" s="152" t="s">
        <v>1671</v>
      </c>
      <c r="AN136" s="160" t="s">
        <v>1455</v>
      </c>
      <c r="AO136" s="152" t="s">
        <v>1878</v>
      </c>
      <c r="AP136" s="161">
        <v>0</v>
      </c>
      <c r="AQ136" s="162">
        <v>1768.98</v>
      </c>
      <c r="AR136" s="170">
        <v>127.56</v>
      </c>
      <c r="AS136" s="171">
        <v>1</v>
      </c>
      <c r="AT136" s="166">
        <v>2.2570000000000001</v>
      </c>
      <c r="AU136" s="166">
        <v>2.2570000000000001</v>
      </c>
      <c r="AV136" s="152"/>
      <c r="AW136" s="152"/>
      <c r="AX136" t="s">
        <v>72</v>
      </c>
      <c r="AY136" t="s">
        <v>16</v>
      </c>
      <c r="AZ136" s="45">
        <v>2.0326953134228798E-3</v>
      </c>
      <c r="BA136" s="45">
        <v>1.50196214085802E-5</v>
      </c>
    </row>
    <row r="137" spans="1:53" x14ac:dyDescent="0.25">
      <c r="A137" s="152">
        <v>424</v>
      </c>
      <c r="B137" s="152">
        <v>7229</v>
      </c>
      <c r="C137" s="152">
        <v>513326439</v>
      </c>
      <c r="D137" s="152" t="s">
        <v>1721</v>
      </c>
      <c r="E137" s="152" t="s">
        <v>2226</v>
      </c>
      <c r="F137" s="152">
        <v>34801</v>
      </c>
      <c r="G137" s="152" t="s">
        <v>2165</v>
      </c>
      <c r="H137" s="152"/>
      <c r="I137" s="152" t="s">
        <v>71</v>
      </c>
      <c r="J137" s="152" t="s">
        <v>71</v>
      </c>
      <c r="K137" s="152" t="s">
        <v>234</v>
      </c>
      <c r="L137" s="152" t="s">
        <v>72</v>
      </c>
      <c r="M137" s="152" t="s">
        <v>373</v>
      </c>
      <c r="N137" s="152">
        <v>11898130</v>
      </c>
      <c r="O137" s="160" t="s">
        <v>2227</v>
      </c>
      <c r="P137" s="152" t="s">
        <v>228</v>
      </c>
      <c r="Q137" s="152" t="s">
        <v>219</v>
      </c>
      <c r="R137" s="152" t="s">
        <v>2168</v>
      </c>
      <c r="S137" s="152" t="s">
        <v>81</v>
      </c>
      <c r="T137" s="166">
        <v>3.01</v>
      </c>
      <c r="U137" s="152" t="s">
        <v>2184</v>
      </c>
      <c r="V137" s="161">
        <v>5.5E-2</v>
      </c>
      <c r="W137" s="152" t="s">
        <v>2169</v>
      </c>
      <c r="X137" s="152" t="s">
        <v>2170</v>
      </c>
      <c r="Y137" s="167">
        <v>5.5E-2</v>
      </c>
      <c r="Z137" s="168">
        <v>2.9399999999999999E-2</v>
      </c>
      <c r="AA137" s="152" t="s">
        <v>2181</v>
      </c>
      <c r="AB137" s="152" t="s">
        <v>222</v>
      </c>
      <c r="AC137" s="152" t="s">
        <v>1626</v>
      </c>
      <c r="AD137" s="166">
        <v>482000</v>
      </c>
      <c r="AE137" s="168">
        <v>0.73</v>
      </c>
      <c r="AF137" s="152" t="s">
        <v>1878</v>
      </c>
      <c r="AG137" s="152" t="s">
        <v>72</v>
      </c>
      <c r="AH137" s="152"/>
      <c r="AI137" s="152" t="s">
        <v>2182</v>
      </c>
      <c r="AJ137" s="152" t="s">
        <v>373</v>
      </c>
      <c r="AK137" s="152" t="s">
        <v>1454</v>
      </c>
      <c r="AL137" s="152" t="s">
        <v>2174</v>
      </c>
      <c r="AM137" s="152" t="s">
        <v>1671</v>
      </c>
      <c r="AN137" s="160" t="s">
        <v>1455</v>
      </c>
      <c r="AO137" s="152" t="s">
        <v>1878</v>
      </c>
      <c r="AP137" s="161">
        <v>0</v>
      </c>
      <c r="AQ137" s="162">
        <v>3581.15</v>
      </c>
      <c r="AR137" s="170">
        <v>127.29</v>
      </c>
      <c r="AS137" s="171">
        <v>1</v>
      </c>
      <c r="AT137" s="166">
        <v>4.5579999999999998</v>
      </c>
      <c r="AU137" s="166">
        <v>4.5579999999999998</v>
      </c>
      <c r="AV137" s="152"/>
      <c r="AW137" s="152"/>
      <c r="AX137" t="s">
        <v>72</v>
      </c>
      <c r="AY137" t="s">
        <v>16</v>
      </c>
      <c r="AZ137" s="45">
        <v>4.1063092292495801E-3</v>
      </c>
      <c r="BA137" s="45">
        <v>3.03415910897299E-5</v>
      </c>
    </row>
    <row r="138" spans="1:53" x14ac:dyDescent="0.25">
      <c r="A138" s="152">
        <v>424</v>
      </c>
      <c r="B138" s="152">
        <v>7229</v>
      </c>
      <c r="C138" s="152">
        <v>513326439</v>
      </c>
      <c r="D138" s="152" t="s">
        <v>1721</v>
      </c>
      <c r="E138" s="152" t="s">
        <v>2228</v>
      </c>
      <c r="F138" s="152">
        <v>34843</v>
      </c>
      <c r="G138" s="152" t="s">
        <v>2165</v>
      </c>
      <c r="H138" s="152"/>
      <c r="I138" s="152" t="s">
        <v>71</v>
      </c>
      <c r="J138" s="152" t="s">
        <v>71</v>
      </c>
      <c r="K138" s="152" t="s">
        <v>234</v>
      </c>
      <c r="L138" s="152" t="s">
        <v>72</v>
      </c>
      <c r="M138" s="152" t="s">
        <v>373</v>
      </c>
      <c r="N138" s="152">
        <v>11898140</v>
      </c>
      <c r="O138" s="160" t="s">
        <v>2229</v>
      </c>
      <c r="P138" s="152" t="s">
        <v>228</v>
      </c>
      <c r="Q138" s="152" t="s">
        <v>219</v>
      </c>
      <c r="R138" s="152" t="s">
        <v>2168</v>
      </c>
      <c r="S138" s="152" t="s">
        <v>81</v>
      </c>
      <c r="T138" s="166">
        <v>3.01</v>
      </c>
      <c r="U138" s="152" t="s">
        <v>2184</v>
      </c>
      <c r="V138" s="161">
        <v>5.5E-2</v>
      </c>
      <c r="W138" s="152" t="s">
        <v>2169</v>
      </c>
      <c r="X138" s="152" t="s">
        <v>2170</v>
      </c>
      <c r="Y138" s="167">
        <v>5.5E-2</v>
      </c>
      <c r="Z138" s="168">
        <v>2.9399999999999999E-2</v>
      </c>
      <c r="AA138" s="152" t="s">
        <v>2181</v>
      </c>
      <c r="AB138" s="152" t="s">
        <v>222</v>
      </c>
      <c r="AC138" s="152" t="s">
        <v>1626</v>
      </c>
      <c r="AD138" s="166">
        <v>482000</v>
      </c>
      <c r="AE138" s="168">
        <v>0.73</v>
      </c>
      <c r="AF138" s="152" t="s">
        <v>1878</v>
      </c>
      <c r="AG138" s="152" t="s">
        <v>72</v>
      </c>
      <c r="AH138" s="152"/>
      <c r="AI138" s="152" t="s">
        <v>2182</v>
      </c>
      <c r="AJ138" s="152" t="s">
        <v>373</v>
      </c>
      <c r="AK138" s="152" t="s">
        <v>1454</v>
      </c>
      <c r="AL138" s="152" t="s">
        <v>2174</v>
      </c>
      <c r="AM138" s="152" t="s">
        <v>1671</v>
      </c>
      <c r="AN138" s="160" t="s">
        <v>1455</v>
      </c>
      <c r="AO138" s="152" t="s">
        <v>1878</v>
      </c>
      <c r="AP138" s="161">
        <v>0</v>
      </c>
      <c r="AQ138" s="162">
        <v>5552.92</v>
      </c>
      <c r="AR138" s="170">
        <v>127.51</v>
      </c>
      <c r="AS138" s="171">
        <v>1</v>
      </c>
      <c r="AT138" s="166">
        <v>7.0810000000000004</v>
      </c>
      <c r="AU138" s="166">
        <v>7.0810000000000004</v>
      </c>
      <c r="AV138" s="152"/>
      <c r="AW138" s="152"/>
      <c r="AX138" t="s">
        <v>72</v>
      </c>
      <c r="AY138" t="s">
        <v>16</v>
      </c>
      <c r="AZ138" s="45">
        <v>6.3782349787210599E-3</v>
      </c>
      <c r="BA138" s="45">
        <v>4.7128890396287401E-5</v>
      </c>
    </row>
    <row r="139" spans="1:53" x14ac:dyDescent="0.25">
      <c r="A139" s="152">
        <v>424</v>
      </c>
      <c r="B139" s="152">
        <v>7229</v>
      </c>
      <c r="C139" s="152">
        <v>513326439</v>
      </c>
      <c r="D139" s="152" t="s">
        <v>1721</v>
      </c>
      <c r="E139" s="152" t="s">
        <v>2230</v>
      </c>
      <c r="F139" s="152">
        <v>28423</v>
      </c>
      <c r="G139" s="152" t="s">
        <v>2165</v>
      </c>
      <c r="H139" s="152"/>
      <c r="I139" s="152" t="s">
        <v>71</v>
      </c>
      <c r="J139" s="152" t="s">
        <v>71</v>
      </c>
      <c r="K139" s="152" t="s">
        <v>234</v>
      </c>
      <c r="L139" s="152" t="s">
        <v>72</v>
      </c>
      <c r="M139" s="152" t="s">
        <v>373</v>
      </c>
      <c r="N139" s="152">
        <v>11898270</v>
      </c>
      <c r="O139" s="160" t="s">
        <v>2225</v>
      </c>
      <c r="P139" s="152" t="s">
        <v>228</v>
      </c>
      <c r="Q139" s="152" t="s">
        <v>219</v>
      </c>
      <c r="R139" s="152" t="s">
        <v>2168</v>
      </c>
      <c r="S139" s="152" t="s">
        <v>81</v>
      </c>
      <c r="T139" s="166">
        <v>3.02</v>
      </c>
      <c r="U139" s="152" t="s">
        <v>286</v>
      </c>
      <c r="V139" s="161">
        <v>5.5E-2</v>
      </c>
      <c r="W139" s="152" t="s">
        <v>2169</v>
      </c>
      <c r="X139" s="152" t="s">
        <v>2120</v>
      </c>
      <c r="Y139" s="167">
        <v>0</v>
      </c>
      <c r="Z139" s="168">
        <v>2.93E-2</v>
      </c>
      <c r="AA139" s="152" t="s">
        <v>2188</v>
      </c>
      <c r="AB139" s="152" t="s">
        <v>222</v>
      </c>
      <c r="AC139" s="152" t="s">
        <v>1626</v>
      </c>
      <c r="AD139" s="166">
        <v>482000</v>
      </c>
      <c r="AE139" s="168">
        <v>0.73</v>
      </c>
      <c r="AF139" s="152" t="s">
        <v>1878</v>
      </c>
      <c r="AG139" s="152" t="s">
        <v>72</v>
      </c>
      <c r="AH139" s="152"/>
      <c r="AI139" s="152" t="s">
        <v>2182</v>
      </c>
      <c r="AJ139" s="152" t="s">
        <v>373</v>
      </c>
      <c r="AK139" s="152" t="s">
        <v>1454</v>
      </c>
      <c r="AL139" s="152" t="s">
        <v>2174</v>
      </c>
      <c r="AM139" s="152" t="s">
        <v>1671</v>
      </c>
      <c r="AN139" s="160" t="s">
        <v>1455</v>
      </c>
      <c r="AO139" s="152" t="s">
        <v>1878</v>
      </c>
      <c r="AP139" s="161">
        <v>0</v>
      </c>
      <c r="AQ139" s="162">
        <v>1464.88</v>
      </c>
      <c r="AR139" s="170">
        <v>126.66</v>
      </c>
      <c r="AS139" s="171">
        <v>1</v>
      </c>
      <c r="AT139" s="166">
        <v>1.855</v>
      </c>
      <c r="AU139" s="166">
        <v>1.855</v>
      </c>
      <c r="AV139" s="152"/>
      <c r="AW139" s="152"/>
      <c r="AX139" t="s">
        <v>72</v>
      </c>
      <c r="AY139" t="s">
        <v>16</v>
      </c>
      <c r="AZ139" s="45">
        <v>1.6713845595265301E-3</v>
      </c>
      <c r="BA139" s="45">
        <v>1.23498898956789E-5</v>
      </c>
    </row>
    <row r="140" spans="1:53" x14ac:dyDescent="0.25">
      <c r="A140" s="152">
        <v>424</v>
      </c>
      <c r="B140" s="152">
        <v>7229</v>
      </c>
      <c r="C140" s="152">
        <v>513326439</v>
      </c>
      <c r="D140" s="152" t="s">
        <v>1721</v>
      </c>
      <c r="E140" s="152" t="s">
        <v>2231</v>
      </c>
      <c r="F140" s="152">
        <v>28456</v>
      </c>
      <c r="G140" s="152" t="s">
        <v>2165</v>
      </c>
      <c r="H140" s="152"/>
      <c r="I140" s="152" t="s">
        <v>71</v>
      </c>
      <c r="J140" s="152" t="s">
        <v>71</v>
      </c>
      <c r="K140" s="152" t="s">
        <v>234</v>
      </c>
      <c r="L140" s="152" t="s">
        <v>72</v>
      </c>
      <c r="M140" s="152" t="s">
        <v>373</v>
      </c>
      <c r="N140" s="152">
        <v>11898280</v>
      </c>
      <c r="O140" s="160" t="s">
        <v>2232</v>
      </c>
      <c r="P140" s="152" t="s">
        <v>228</v>
      </c>
      <c r="Q140" s="152" t="s">
        <v>219</v>
      </c>
      <c r="R140" s="152" t="s">
        <v>2168</v>
      </c>
      <c r="S140" s="152" t="s">
        <v>81</v>
      </c>
      <c r="T140" s="166">
        <v>3.02</v>
      </c>
      <c r="U140" s="152" t="s">
        <v>2184</v>
      </c>
      <c r="V140" s="161">
        <v>5.5E-2</v>
      </c>
      <c r="W140" s="152" t="s">
        <v>2169</v>
      </c>
      <c r="X140" s="152" t="s">
        <v>2170</v>
      </c>
      <c r="Y140" s="167">
        <v>5.5E-2</v>
      </c>
      <c r="Z140" s="168">
        <v>2.9399999999999999E-2</v>
      </c>
      <c r="AA140" s="152" t="s">
        <v>2181</v>
      </c>
      <c r="AB140" s="152" t="s">
        <v>222</v>
      </c>
      <c r="AC140" s="152" t="s">
        <v>1626</v>
      </c>
      <c r="AD140" s="166">
        <v>482000</v>
      </c>
      <c r="AE140" s="168">
        <v>0.73</v>
      </c>
      <c r="AF140" s="152" t="s">
        <v>1878</v>
      </c>
      <c r="AG140" s="152" t="s">
        <v>72</v>
      </c>
      <c r="AH140" s="152"/>
      <c r="AI140" s="152" t="s">
        <v>2182</v>
      </c>
      <c r="AJ140" s="152" t="s">
        <v>373</v>
      </c>
      <c r="AK140" s="152" t="s">
        <v>1454</v>
      </c>
      <c r="AL140" s="152" t="s">
        <v>2174</v>
      </c>
      <c r="AM140" s="152" t="s">
        <v>1671</v>
      </c>
      <c r="AN140" s="160" t="s">
        <v>1455</v>
      </c>
      <c r="AO140" s="152" t="s">
        <v>1878</v>
      </c>
      <c r="AP140" s="161">
        <v>0</v>
      </c>
      <c r="AQ140" s="162">
        <v>1285.82</v>
      </c>
      <c r="AR140" s="170">
        <v>125.66</v>
      </c>
      <c r="AS140" s="171">
        <v>1</v>
      </c>
      <c r="AT140" s="166">
        <v>1.6160000000000001</v>
      </c>
      <c r="AU140" s="166">
        <v>1.6160000000000001</v>
      </c>
      <c r="AV140" s="152"/>
      <c r="AW140" s="152"/>
      <c r="AX140" t="s">
        <v>72</v>
      </c>
      <c r="AY140" t="s">
        <v>16</v>
      </c>
      <c r="AZ140" s="45">
        <v>1.4554995800144101E-3</v>
      </c>
      <c r="BA140" s="45">
        <v>1.0754711986496299E-5</v>
      </c>
    </row>
    <row r="141" spans="1:53" x14ac:dyDescent="0.25">
      <c r="A141" s="152">
        <v>424</v>
      </c>
      <c r="B141" s="152">
        <v>7229</v>
      </c>
      <c r="C141" s="152">
        <v>513326439</v>
      </c>
      <c r="D141" s="152" t="s">
        <v>1721</v>
      </c>
      <c r="E141" s="152" t="s">
        <v>2233</v>
      </c>
      <c r="F141" s="152">
        <v>28522</v>
      </c>
      <c r="G141" s="152" t="s">
        <v>2165</v>
      </c>
      <c r="H141" s="152"/>
      <c r="I141" s="152" t="s">
        <v>71</v>
      </c>
      <c r="J141" s="152" t="s">
        <v>71</v>
      </c>
      <c r="K141" s="152" t="s">
        <v>234</v>
      </c>
      <c r="L141" s="152" t="s">
        <v>72</v>
      </c>
      <c r="M141" s="152" t="s">
        <v>373</v>
      </c>
      <c r="N141" s="152">
        <v>11898310</v>
      </c>
      <c r="O141" s="160" t="s">
        <v>2234</v>
      </c>
      <c r="P141" s="152" t="s">
        <v>228</v>
      </c>
      <c r="Q141" s="152" t="s">
        <v>219</v>
      </c>
      <c r="R141" s="152" t="s">
        <v>2168</v>
      </c>
      <c r="S141" s="152" t="s">
        <v>81</v>
      </c>
      <c r="T141" s="166">
        <v>3.02</v>
      </c>
      <c r="U141" s="152" t="s">
        <v>2184</v>
      </c>
      <c r="V141" s="161">
        <v>5.5E-2</v>
      </c>
      <c r="W141" s="152" t="s">
        <v>2169</v>
      </c>
      <c r="X141" s="152" t="s">
        <v>2170</v>
      </c>
      <c r="Y141" s="167">
        <v>5.5E-2</v>
      </c>
      <c r="Z141" s="168">
        <v>2.93E-2</v>
      </c>
      <c r="AA141" s="152" t="s">
        <v>2181</v>
      </c>
      <c r="AB141" s="152" t="s">
        <v>222</v>
      </c>
      <c r="AC141" s="152" t="s">
        <v>1626</v>
      </c>
      <c r="AD141" s="166">
        <v>482000</v>
      </c>
      <c r="AE141" s="168">
        <v>0.73</v>
      </c>
      <c r="AF141" s="152" t="s">
        <v>1878</v>
      </c>
      <c r="AG141" s="152" t="s">
        <v>72</v>
      </c>
      <c r="AH141" s="152"/>
      <c r="AI141" s="152" t="s">
        <v>2182</v>
      </c>
      <c r="AJ141" s="152" t="s">
        <v>373</v>
      </c>
      <c r="AK141" s="152" t="s">
        <v>1454</v>
      </c>
      <c r="AL141" s="152" t="s">
        <v>2174</v>
      </c>
      <c r="AM141" s="152" t="s">
        <v>1671</v>
      </c>
      <c r="AN141" s="160" t="s">
        <v>1455</v>
      </c>
      <c r="AO141" s="152" t="s">
        <v>1878</v>
      </c>
      <c r="AP141" s="161">
        <v>0</v>
      </c>
      <c r="AQ141" s="162">
        <v>1433.35</v>
      </c>
      <c r="AR141" s="170">
        <v>125.05</v>
      </c>
      <c r="AS141" s="171">
        <v>1</v>
      </c>
      <c r="AT141" s="166">
        <v>1.792</v>
      </c>
      <c r="AU141" s="166">
        <v>1.792</v>
      </c>
      <c r="AV141" s="152"/>
      <c r="AW141" s="152"/>
      <c r="AX141" t="s">
        <v>72</v>
      </c>
      <c r="AY141" t="s">
        <v>16</v>
      </c>
      <c r="AZ141" s="45">
        <v>1.61462175328183E-3</v>
      </c>
      <c r="BA141" s="45">
        <v>1.1930468522365299E-5</v>
      </c>
    </row>
    <row r="142" spans="1:53" x14ac:dyDescent="0.25">
      <c r="A142" s="152">
        <v>424</v>
      </c>
      <c r="B142" s="152">
        <v>7229</v>
      </c>
      <c r="C142" s="152">
        <v>513326439</v>
      </c>
      <c r="D142" s="152" t="s">
        <v>1721</v>
      </c>
      <c r="E142" s="152" t="s">
        <v>2235</v>
      </c>
      <c r="F142" s="152">
        <v>28563</v>
      </c>
      <c r="G142" s="152" t="s">
        <v>2165</v>
      </c>
      <c r="H142" s="152"/>
      <c r="I142" s="152" t="s">
        <v>71</v>
      </c>
      <c r="J142" s="152" t="s">
        <v>71</v>
      </c>
      <c r="K142" s="152" t="s">
        <v>234</v>
      </c>
      <c r="L142" s="152" t="s">
        <v>72</v>
      </c>
      <c r="M142" s="152" t="s">
        <v>373</v>
      </c>
      <c r="N142" s="152">
        <v>11898330</v>
      </c>
      <c r="O142" s="160" t="s">
        <v>2236</v>
      </c>
      <c r="P142" s="152" t="s">
        <v>228</v>
      </c>
      <c r="Q142" s="152" t="s">
        <v>219</v>
      </c>
      <c r="R142" s="152" t="s">
        <v>2168</v>
      </c>
      <c r="S142" s="152" t="s">
        <v>81</v>
      </c>
      <c r="T142" s="166">
        <v>3.01</v>
      </c>
      <c r="U142" s="152" t="s">
        <v>2184</v>
      </c>
      <c r="V142" s="161">
        <v>5.5E-2</v>
      </c>
      <c r="W142" s="152" t="s">
        <v>2169</v>
      </c>
      <c r="X142" s="152" t="s">
        <v>2170</v>
      </c>
      <c r="Y142" s="167">
        <v>5.5E-2</v>
      </c>
      <c r="Z142" s="168">
        <v>2.9399999999999999E-2</v>
      </c>
      <c r="AA142" s="152" t="s">
        <v>2181</v>
      </c>
      <c r="AB142" s="152" t="s">
        <v>222</v>
      </c>
      <c r="AC142" s="152" t="s">
        <v>1626</v>
      </c>
      <c r="AD142" s="166">
        <v>482000</v>
      </c>
      <c r="AE142" s="168">
        <v>0.73</v>
      </c>
      <c r="AF142" s="152" t="s">
        <v>1878</v>
      </c>
      <c r="AG142" s="152" t="s">
        <v>72</v>
      </c>
      <c r="AH142" s="152"/>
      <c r="AI142" s="152" t="s">
        <v>2182</v>
      </c>
      <c r="AJ142" s="152" t="s">
        <v>373</v>
      </c>
      <c r="AK142" s="152" t="s">
        <v>1454</v>
      </c>
      <c r="AL142" s="152" t="s">
        <v>2174</v>
      </c>
      <c r="AM142" s="152" t="s">
        <v>1671</v>
      </c>
      <c r="AN142" s="160" t="s">
        <v>1455</v>
      </c>
      <c r="AO142" s="152" t="s">
        <v>1878</v>
      </c>
      <c r="AP142" s="161">
        <v>0</v>
      </c>
      <c r="AQ142" s="162">
        <v>4208.5600000000004</v>
      </c>
      <c r="AR142" s="170">
        <v>125.14</v>
      </c>
      <c r="AS142" s="171">
        <v>1</v>
      </c>
      <c r="AT142" s="166">
        <v>5.2670000000000003</v>
      </c>
      <c r="AU142" s="166">
        <v>5.2670000000000003</v>
      </c>
      <c r="AV142" s="152"/>
      <c r="AW142" s="152"/>
      <c r="AX142" t="s">
        <v>72</v>
      </c>
      <c r="AY142" t="s">
        <v>16</v>
      </c>
      <c r="AZ142" s="45">
        <v>4.74421679085083E-3</v>
      </c>
      <c r="BA142" s="45">
        <v>3.5055101277731301E-5</v>
      </c>
    </row>
    <row r="143" spans="1:53" x14ac:dyDescent="0.25">
      <c r="A143" s="152">
        <v>424</v>
      </c>
      <c r="B143" s="152">
        <v>7229</v>
      </c>
      <c r="C143" s="152">
        <v>513326439</v>
      </c>
      <c r="D143" s="152" t="s">
        <v>1721</v>
      </c>
      <c r="E143" s="152" t="s">
        <v>2237</v>
      </c>
      <c r="F143" s="152">
        <v>28605</v>
      </c>
      <c r="G143" s="152" t="s">
        <v>2165</v>
      </c>
      <c r="H143" s="152"/>
      <c r="I143" s="152" t="s">
        <v>71</v>
      </c>
      <c r="J143" s="152" t="s">
        <v>71</v>
      </c>
      <c r="K143" s="152" t="s">
        <v>234</v>
      </c>
      <c r="L143" s="152" t="s">
        <v>72</v>
      </c>
      <c r="M143" s="152" t="s">
        <v>373</v>
      </c>
      <c r="N143" s="152">
        <v>11898350</v>
      </c>
      <c r="O143" s="160" t="s">
        <v>2238</v>
      </c>
      <c r="P143" s="152" t="s">
        <v>228</v>
      </c>
      <c r="Q143" s="152" t="s">
        <v>219</v>
      </c>
      <c r="R143" s="152" t="s">
        <v>2168</v>
      </c>
      <c r="S143" s="152" t="s">
        <v>81</v>
      </c>
      <c r="T143" s="166">
        <v>3.01</v>
      </c>
      <c r="U143" s="152" t="s">
        <v>2184</v>
      </c>
      <c r="V143" s="161">
        <v>5.5E-2</v>
      </c>
      <c r="W143" s="152" t="s">
        <v>2169</v>
      </c>
      <c r="X143" s="152" t="s">
        <v>2170</v>
      </c>
      <c r="Y143" s="167">
        <v>5.5E-2</v>
      </c>
      <c r="Z143" s="168">
        <v>2.9399999999999999E-2</v>
      </c>
      <c r="AA143" s="152" t="s">
        <v>2181</v>
      </c>
      <c r="AB143" s="152" t="s">
        <v>222</v>
      </c>
      <c r="AC143" s="152" t="s">
        <v>1626</v>
      </c>
      <c r="AD143" s="166">
        <v>482000</v>
      </c>
      <c r="AE143" s="168">
        <v>0.73</v>
      </c>
      <c r="AF143" s="152" t="s">
        <v>1878</v>
      </c>
      <c r="AG143" s="152" t="s">
        <v>72</v>
      </c>
      <c r="AH143" s="152"/>
      <c r="AI143" s="152" t="s">
        <v>2182</v>
      </c>
      <c r="AJ143" s="152" t="s">
        <v>373</v>
      </c>
      <c r="AK143" s="152" t="s">
        <v>1454</v>
      </c>
      <c r="AL143" s="152" t="s">
        <v>2174</v>
      </c>
      <c r="AM143" s="152" t="s">
        <v>1671</v>
      </c>
      <c r="AN143" s="160" t="s">
        <v>1455</v>
      </c>
      <c r="AO143" s="152" t="s">
        <v>1878</v>
      </c>
      <c r="AP143" s="161">
        <v>0</v>
      </c>
      <c r="AQ143" s="162">
        <v>781.21</v>
      </c>
      <c r="AR143" s="170">
        <v>125.76</v>
      </c>
      <c r="AS143" s="171">
        <v>1</v>
      </c>
      <c r="AT143" s="166">
        <v>0.98199999999999998</v>
      </c>
      <c r="AU143" s="166">
        <v>0.98199999999999998</v>
      </c>
      <c r="AV143" s="152"/>
      <c r="AW143" s="152"/>
      <c r="AX143" t="s">
        <v>72</v>
      </c>
      <c r="AY143" t="s">
        <v>16</v>
      </c>
      <c r="AZ143" s="45">
        <v>8.8500388070493301E-4</v>
      </c>
      <c r="BA143" s="45">
        <v>6.5393092341660901E-6</v>
      </c>
    </row>
    <row r="144" spans="1:53" x14ac:dyDescent="0.25">
      <c r="A144" s="152">
        <v>424</v>
      </c>
      <c r="B144" s="152">
        <v>7229</v>
      </c>
      <c r="C144" s="152">
        <v>513326439</v>
      </c>
      <c r="D144" s="152" t="s">
        <v>1721</v>
      </c>
      <c r="E144" s="152" t="s">
        <v>2239</v>
      </c>
      <c r="F144" s="152">
        <v>28639</v>
      </c>
      <c r="G144" s="152" t="s">
        <v>2165</v>
      </c>
      <c r="H144" s="152"/>
      <c r="I144" s="152" t="s">
        <v>71</v>
      </c>
      <c r="J144" s="152" t="s">
        <v>71</v>
      </c>
      <c r="K144" s="152" t="s">
        <v>234</v>
      </c>
      <c r="L144" s="152" t="s">
        <v>72</v>
      </c>
      <c r="M144" s="152" t="s">
        <v>373</v>
      </c>
      <c r="N144" s="152">
        <v>11898360</v>
      </c>
      <c r="O144" s="160" t="s">
        <v>2240</v>
      </c>
      <c r="P144" s="152" t="s">
        <v>228</v>
      </c>
      <c r="Q144" s="152" t="s">
        <v>219</v>
      </c>
      <c r="R144" s="152" t="s">
        <v>2168</v>
      </c>
      <c r="S144" s="152" t="s">
        <v>81</v>
      </c>
      <c r="T144" s="166">
        <v>3.01</v>
      </c>
      <c r="U144" s="152" t="s">
        <v>2184</v>
      </c>
      <c r="V144" s="161">
        <v>5.5E-2</v>
      </c>
      <c r="W144" s="152" t="s">
        <v>2169</v>
      </c>
      <c r="X144" s="152" t="s">
        <v>2170</v>
      </c>
      <c r="Y144" s="167">
        <v>5.5E-2</v>
      </c>
      <c r="Z144" s="168">
        <v>2.9399999999999999E-2</v>
      </c>
      <c r="AA144" s="152" t="s">
        <v>2241</v>
      </c>
      <c r="AB144" s="152" t="s">
        <v>222</v>
      </c>
      <c r="AC144" s="152" t="s">
        <v>1626</v>
      </c>
      <c r="AD144" s="166">
        <v>482000</v>
      </c>
      <c r="AE144" s="168">
        <v>0.73</v>
      </c>
      <c r="AF144" s="152" t="s">
        <v>1878</v>
      </c>
      <c r="AG144" s="152" t="s">
        <v>72</v>
      </c>
      <c r="AH144" s="152"/>
      <c r="AI144" s="152" t="s">
        <v>2182</v>
      </c>
      <c r="AJ144" s="152" t="s">
        <v>373</v>
      </c>
      <c r="AK144" s="152" t="s">
        <v>1454</v>
      </c>
      <c r="AL144" s="152" t="s">
        <v>2174</v>
      </c>
      <c r="AM144" s="152" t="s">
        <v>1671</v>
      </c>
      <c r="AN144" s="160" t="s">
        <v>1455</v>
      </c>
      <c r="AO144" s="152" t="s">
        <v>1878</v>
      </c>
      <c r="AP144" s="161">
        <v>0</v>
      </c>
      <c r="AQ144" s="162">
        <v>1558.97</v>
      </c>
      <c r="AR144" s="170">
        <v>126</v>
      </c>
      <c r="AS144" s="171">
        <v>1</v>
      </c>
      <c r="AT144" s="166">
        <v>1.964</v>
      </c>
      <c r="AU144" s="166">
        <v>1.964</v>
      </c>
      <c r="AV144" s="152"/>
      <c r="AW144" s="152"/>
      <c r="AX144" t="s">
        <v>72</v>
      </c>
      <c r="AY144" t="s">
        <v>16</v>
      </c>
      <c r="AZ144" s="45">
        <v>1.76946980283583E-3</v>
      </c>
      <c r="BA144" s="45">
        <v>1.30746434829705E-5</v>
      </c>
    </row>
    <row r="145" spans="1:53" x14ac:dyDescent="0.25">
      <c r="A145" s="152">
        <v>424</v>
      </c>
      <c r="B145" s="152">
        <v>7229</v>
      </c>
      <c r="C145" s="152">
        <v>513326439</v>
      </c>
      <c r="D145" s="152" t="s">
        <v>1721</v>
      </c>
      <c r="E145" s="152" t="s">
        <v>2242</v>
      </c>
      <c r="F145" s="152">
        <v>28654</v>
      </c>
      <c r="G145" s="152" t="s">
        <v>2165</v>
      </c>
      <c r="H145" s="152"/>
      <c r="I145" s="152" t="s">
        <v>71</v>
      </c>
      <c r="J145" s="152" t="s">
        <v>71</v>
      </c>
      <c r="K145" s="152" t="s">
        <v>234</v>
      </c>
      <c r="L145" s="152" t="s">
        <v>72</v>
      </c>
      <c r="M145" s="152" t="s">
        <v>373</v>
      </c>
      <c r="N145" s="152">
        <v>11898380</v>
      </c>
      <c r="O145" s="160" t="s">
        <v>2243</v>
      </c>
      <c r="P145" s="152" t="s">
        <v>228</v>
      </c>
      <c r="Q145" s="152" t="s">
        <v>219</v>
      </c>
      <c r="R145" s="152" t="s">
        <v>2168</v>
      </c>
      <c r="S145" s="152" t="s">
        <v>81</v>
      </c>
      <c r="T145" s="166">
        <v>3.01</v>
      </c>
      <c r="U145" s="152" t="s">
        <v>2184</v>
      </c>
      <c r="V145" s="161">
        <v>5.5E-2</v>
      </c>
      <c r="W145" s="152" t="s">
        <v>2169</v>
      </c>
      <c r="X145" s="152" t="s">
        <v>2170</v>
      </c>
      <c r="Y145" s="167">
        <v>5.5E-2</v>
      </c>
      <c r="Z145" s="168">
        <v>2.9399999999999999E-2</v>
      </c>
      <c r="AA145" s="152" t="s">
        <v>2181</v>
      </c>
      <c r="AB145" s="152" t="s">
        <v>222</v>
      </c>
      <c r="AC145" s="152" t="s">
        <v>1626</v>
      </c>
      <c r="AD145" s="166">
        <v>482000</v>
      </c>
      <c r="AE145" s="168">
        <v>0.73</v>
      </c>
      <c r="AF145" s="152" t="s">
        <v>1878</v>
      </c>
      <c r="AG145" s="152" t="s">
        <v>72</v>
      </c>
      <c r="AH145" s="152"/>
      <c r="AI145" s="152" t="s">
        <v>2182</v>
      </c>
      <c r="AJ145" s="152" t="s">
        <v>373</v>
      </c>
      <c r="AK145" s="152" t="s">
        <v>1454</v>
      </c>
      <c r="AL145" s="152" t="s">
        <v>2174</v>
      </c>
      <c r="AM145" s="152" t="s">
        <v>1671</v>
      </c>
      <c r="AN145" s="160" t="s">
        <v>1455</v>
      </c>
      <c r="AO145" s="152" t="s">
        <v>1878</v>
      </c>
      <c r="AP145" s="161">
        <v>0</v>
      </c>
      <c r="AQ145" s="162">
        <v>976.89</v>
      </c>
      <c r="AR145" s="170">
        <v>125.51</v>
      </c>
      <c r="AS145" s="171">
        <v>1</v>
      </c>
      <c r="AT145" s="166">
        <v>1.226</v>
      </c>
      <c r="AU145" s="166">
        <v>1.226</v>
      </c>
      <c r="AV145" s="152"/>
      <c r="AW145" s="152"/>
      <c r="AX145" t="s">
        <v>72</v>
      </c>
      <c r="AY145" t="s">
        <v>16</v>
      </c>
      <c r="AZ145" s="45">
        <v>1.1044825175726E-3</v>
      </c>
      <c r="BA145" s="45">
        <v>8.1610407407304408E-6</v>
      </c>
    </row>
    <row r="146" spans="1:53" x14ac:dyDescent="0.25">
      <c r="A146" s="152">
        <v>424</v>
      </c>
      <c r="B146" s="152">
        <v>7229</v>
      </c>
      <c r="C146" s="152">
        <v>513326439</v>
      </c>
      <c r="D146" s="152" t="s">
        <v>1721</v>
      </c>
      <c r="E146" s="152" t="s">
        <v>2244</v>
      </c>
      <c r="F146" s="152">
        <v>28670</v>
      </c>
      <c r="G146" s="152" t="s">
        <v>2165</v>
      </c>
      <c r="H146" s="152"/>
      <c r="I146" s="152" t="s">
        <v>71</v>
      </c>
      <c r="J146" s="152" t="s">
        <v>71</v>
      </c>
      <c r="K146" s="152" t="s">
        <v>234</v>
      </c>
      <c r="L146" s="152" t="s">
        <v>72</v>
      </c>
      <c r="M146" s="152" t="s">
        <v>373</v>
      </c>
      <c r="N146" s="152">
        <v>11898390</v>
      </c>
      <c r="O146" s="160" t="s">
        <v>2245</v>
      </c>
      <c r="P146" s="152" t="s">
        <v>228</v>
      </c>
      <c r="Q146" s="152" t="s">
        <v>219</v>
      </c>
      <c r="R146" s="152" t="s">
        <v>2168</v>
      </c>
      <c r="S146" s="152" t="s">
        <v>81</v>
      </c>
      <c r="T146" s="166">
        <v>3.01</v>
      </c>
      <c r="U146" s="152" t="s">
        <v>2184</v>
      </c>
      <c r="V146" s="161">
        <v>5.5E-2</v>
      </c>
      <c r="W146" s="152" t="s">
        <v>2169</v>
      </c>
      <c r="X146" s="152" t="s">
        <v>2170</v>
      </c>
      <c r="Y146" s="167">
        <v>5.5E-2</v>
      </c>
      <c r="Z146" s="168">
        <v>2.9399999999999999E-2</v>
      </c>
      <c r="AA146" s="152" t="s">
        <v>2188</v>
      </c>
      <c r="AB146" s="152" t="s">
        <v>222</v>
      </c>
      <c r="AC146" s="152" t="s">
        <v>1626</v>
      </c>
      <c r="AD146" s="166">
        <v>482000</v>
      </c>
      <c r="AE146" s="168">
        <v>0.73</v>
      </c>
      <c r="AF146" s="152" t="s">
        <v>1878</v>
      </c>
      <c r="AG146" s="152" t="s">
        <v>72</v>
      </c>
      <c r="AH146" s="152"/>
      <c r="AI146" s="152" t="s">
        <v>2182</v>
      </c>
      <c r="AJ146" s="152" t="s">
        <v>373</v>
      </c>
      <c r="AK146" s="152" t="s">
        <v>1454</v>
      </c>
      <c r="AL146" s="152" t="s">
        <v>2174</v>
      </c>
      <c r="AM146" s="152" t="s">
        <v>1671</v>
      </c>
      <c r="AN146" s="160" t="s">
        <v>1455</v>
      </c>
      <c r="AO146" s="152" t="s">
        <v>1878</v>
      </c>
      <c r="AP146" s="161">
        <v>0</v>
      </c>
      <c r="AQ146" s="162">
        <v>550.09</v>
      </c>
      <c r="AR146" s="170">
        <v>125.39</v>
      </c>
      <c r="AS146" s="171">
        <v>1</v>
      </c>
      <c r="AT146" s="166">
        <v>0.69</v>
      </c>
      <c r="AU146" s="166">
        <v>0.69</v>
      </c>
      <c r="AV146" s="152"/>
      <c r="AW146" s="152"/>
      <c r="AX146" t="s">
        <v>72</v>
      </c>
      <c r="AY146" t="s">
        <v>16</v>
      </c>
      <c r="AZ146" s="45">
        <v>6.2134313580335695E-4</v>
      </c>
      <c r="BA146" s="45">
        <v>4.5911153545543496E-6</v>
      </c>
    </row>
    <row r="147" spans="1:53" x14ac:dyDescent="0.25">
      <c r="A147" s="152">
        <v>424</v>
      </c>
      <c r="B147" s="152">
        <v>7229</v>
      </c>
      <c r="C147" s="152">
        <v>513326439</v>
      </c>
      <c r="D147" s="152" t="s">
        <v>1721</v>
      </c>
      <c r="E147" s="152" t="s">
        <v>2246</v>
      </c>
      <c r="F147" s="152">
        <v>28902</v>
      </c>
      <c r="G147" s="152" t="s">
        <v>2165</v>
      </c>
      <c r="H147" s="152"/>
      <c r="I147" s="152" t="s">
        <v>71</v>
      </c>
      <c r="J147" s="152" t="s">
        <v>71</v>
      </c>
      <c r="K147" s="152" t="s">
        <v>234</v>
      </c>
      <c r="L147" s="152" t="s">
        <v>72</v>
      </c>
      <c r="M147" s="152" t="s">
        <v>373</v>
      </c>
      <c r="N147" s="152">
        <v>11898400</v>
      </c>
      <c r="O147" s="160" t="s">
        <v>2247</v>
      </c>
      <c r="P147" s="152" t="s">
        <v>228</v>
      </c>
      <c r="Q147" s="152" t="s">
        <v>219</v>
      </c>
      <c r="R147" s="152" t="s">
        <v>2168</v>
      </c>
      <c r="S147" s="152" t="s">
        <v>81</v>
      </c>
      <c r="T147" s="166">
        <v>3.01</v>
      </c>
      <c r="U147" s="152" t="s">
        <v>2184</v>
      </c>
      <c r="V147" s="161">
        <v>5.5E-2</v>
      </c>
      <c r="W147" s="152" t="s">
        <v>2169</v>
      </c>
      <c r="X147" s="152" t="s">
        <v>2170</v>
      </c>
      <c r="Y147" s="167">
        <v>5.5E-2</v>
      </c>
      <c r="Z147" s="168">
        <v>2.9399999999999999E-2</v>
      </c>
      <c r="AA147" s="152" t="s">
        <v>2188</v>
      </c>
      <c r="AB147" s="152" t="s">
        <v>222</v>
      </c>
      <c r="AC147" s="152" t="s">
        <v>1626</v>
      </c>
      <c r="AD147" s="166">
        <v>482000</v>
      </c>
      <c r="AE147" s="168">
        <v>0.73</v>
      </c>
      <c r="AF147" s="152" t="s">
        <v>1878</v>
      </c>
      <c r="AG147" s="152" t="s">
        <v>72</v>
      </c>
      <c r="AH147" s="152"/>
      <c r="AI147" s="152" t="s">
        <v>2182</v>
      </c>
      <c r="AJ147" s="152" t="s">
        <v>373</v>
      </c>
      <c r="AK147" s="152" t="s">
        <v>1454</v>
      </c>
      <c r="AL147" s="152" t="s">
        <v>2174</v>
      </c>
      <c r="AM147" s="152" t="s">
        <v>1671</v>
      </c>
      <c r="AN147" s="160" t="s">
        <v>1455</v>
      </c>
      <c r="AO147" s="152" t="s">
        <v>1878</v>
      </c>
      <c r="AP147" s="161">
        <v>0</v>
      </c>
      <c r="AQ147" s="162">
        <v>1640.89</v>
      </c>
      <c r="AR147" s="170">
        <v>125.02</v>
      </c>
      <c r="AS147" s="171">
        <v>1</v>
      </c>
      <c r="AT147" s="166">
        <v>2.0510000000000002</v>
      </c>
      <c r="AU147" s="166">
        <v>2.0510000000000002</v>
      </c>
      <c r="AV147" s="152"/>
      <c r="AW147" s="152"/>
      <c r="AX147" t="s">
        <v>72</v>
      </c>
      <c r="AY147" t="s">
        <v>16</v>
      </c>
      <c r="AZ147" s="45">
        <v>1.8479653141100501E-3</v>
      </c>
      <c r="BA147" s="45">
        <v>1.36546481958394E-5</v>
      </c>
    </row>
    <row r="148" spans="1:53" x14ac:dyDescent="0.25">
      <c r="A148" s="152">
        <v>424</v>
      </c>
      <c r="B148" s="152">
        <v>7229</v>
      </c>
      <c r="C148" s="152">
        <v>513326439</v>
      </c>
      <c r="D148" s="152" t="s">
        <v>1721</v>
      </c>
      <c r="E148" s="152" t="s">
        <v>2248</v>
      </c>
      <c r="F148" s="152">
        <v>28928</v>
      </c>
      <c r="G148" s="152" t="s">
        <v>2165</v>
      </c>
      <c r="H148" s="152"/>
      <c r="I148" s="152" t="s">
        <v>71</v>
      </c>
      <c r="J148" s="152" t="s">
        <v>71</v>
      </c>
      <c r="K148" s="152" t="s">
        <v>234</v>
      </c>
      <c r="L148" s="152" t="s">
        <v>72</v>
      </c>
      <c r="M148" s="152" t="s">
        <v>373</v>
      </c>
      <c r="N148" s="152">
        <v>11898410</v>
      </c>
      <c r="O148" s="160" t="s">
        <v>2225</v>
      </c>
      <c r="P148" s="152" t="s">
        <v>228</v>
      </c>
      <c r="Q148" s="152" t="s">
        <v>219</v>
      </c>
      <c r="R148" s="152" t="s">
        <v>2168</v>
      </c>
      <c r="S148" s="152" t="s">
        <v>81</v>
      </c>
      <c r="T148" s="166">
        <v>3.01</v>
      </c>
      <c r="U148" s="152" t="s">
        <v>286</v>
      </c>
      <c r="V148" s="161">
        <v>5.5E-2</v>
      </c>
      <c r="W148" s="152" t="s">
        <v>2169</v>
      </c>
      <c r="X148" s="152" t="s">
        <v>2120</v>
      </c>
      <c r="Y148" s="167">
        <v>0</v>
      </c>
      <c r="Z148" s="168">
        <v>2.9399999999999999E-2</v>
      </c>
      <c r="AA148" s="152" t="s">
        <v>2188</v>
      </c>
      <c r="AB148" s="152" t="s">
        <v>222</v>
      </c>
      <c r="AC148" s="152" t="s">
        <v>1626</v>
      </c>
      <c r="AD148" s="166">
        <v>482000</v>
      </c>
      <c r="AE148" s="168">
        <v>0.73</v>
      </c>
      <c r="AF148" s="152" t="s">
        <v>1878</v>
      </c>
      <c r="AG148" s="152" t="s">
        <v>72</v>
      </c>
      <c r="AH148" s="152"/>
      <c r="AI148" s="152" t="s">
        <v>2182</v>
      </c>
      <c r="AJ148" s="152" t="s">
        <v>373</v>
      </c>
      <c r="AK148" s="152" t="s">
        <v>1454</v>
      </c>
      <c r="AL148" s="152" t="s">
        <v>2174</v>
      </c>
      <c r="AM148" s="152" t="s">
        <v>1671</v>
      </c>
      <c r="AN148" s="160" t="s">
        <v>1455</v>
      </c>
      <c r="AO148" s="152" t="s">
        <v>1878</v>
      </c>
      <c r="AP148" s="161">
        <v>0</v>
      </c>
      <c r="AQ148" s="162">
        <v>638.77</v>
      </c>
      <c r="AR148" s="170">
        <v>125.02</v>
      </c>
      <c r="AS148" s="171">
        <v>1</v>
      </c>
      <c r="AT148" s="166">
        <v>0.79900000000000004</v>
      </c>
      <c r="AU148" s="166">
        <v>0.79900000000000004</v>
      </c>
      <c r="AV148" s="152"/>
      <c r="AW148" s="152"/>
      <c r="AX148" t="s">
        <v>72</v>
      </c>
      <c r="AY148" t="s">
        <v>16</v>
      </c>
      <c r="AZ148" s="45">
        <v>7.1938082607248097E-4</v>
      </c>
      <c r="BA148" s="45">
        <v>5.3155175715960999E-6</v>
      </c>
    </row>
    <row r="149" spans="1:53" x14ac:dyDescent="0.25">
      <c r="A149" s="152">
        <v>424</v>
      </c>
      <c r="B149" s="152">
        <v>7229</v>
      </c>
      <c r="C149" s="152">
        <v>513326439</v>
      </c>
      <c r="D149" s="152" t="s">
        <v>1721</v>
      </c>
      <c r="E149" s="152" t="s">
        <v>2249</v>
      </c>
      <c r="F149" s="152">
        <v>28944</v>
      </c>
      <c r="G149" s="152" t="s">
        <v>2165</v>
      </c>
      <c r="H149" s="152"/>
      <c r="I149" s="152" t="s">
        <v>71</v>
      </c>
      <c r="J149" s="152" t="s">
        <v>71</v>
      </c>
      <c r="K149" s="152" t="s">
        <v>234</v>
      </c>
      <c r="L149" s="152" t="s">
        <v>72</v>
      </c>
      <c r="M149" s="152" t="s">
        <v>373</v>
      </c>
      <c r="N149" s="152">
        <v>11898420</v>
      </c>
      <c r="O149" s="160" t="s">
        <v>2250</v>
      </c>
      <c r="P149" s="152" t="s">
        <v>228</v>
      </c>
      <c r="Q149" s="152" t="s">
        <v>219</v>
      </c>
      <c r="R149" s="152" t="s">
        <v>2168</v>
      </c>
      <c r="S149" s="152" t="s">
        <v>81</v>
      </c>
      <c r="T149" s="166">
        <v>3.01</v>
      </c>
      <c r="U149" s="152" t="s">
        <v>2184</v>
      </c>
      <c r="V149" s="161">
        <v>5.5E-2</v>
      </c>
      <c r="W149" s="152" t="s">
        <v>2169</v>
      </c>
      <c r="X149" s="152" t="s">
        <v>2170</v>
      </c>
      <c r="Y149" s="167">
        <v>5.5E-2</v>
      </c>
      <c r="Z149" s="168">
        <v>2.9399999999999999E-2</v>
      </c>
      <c r="AA149" s="152" t="s">
        <v>2188</v>
      </c>
      <c r="AB149" s="152" t="s">
        <v>222</v>
      </c>
      <c r="AC149" s="152" t="s">
        <v>1626</v>
      </c>
      <c r="AD149" s="166">
        <v>482000</v>
      </c>
      <c r="AE149" s="168">
        <v>0.73</v>
      </c>
      <c r="AF149" s="152" t="s">
        <v>1878</v>
      </c>
      <c r="AG149" s="152" t="s">
        <v>72</v>
      </c>
      <c r="AH149" s="152"/>
      <c r="AI149" s="152" t="s">
        <v>2182</v>
      </c>
      <c r="AJ149" s="152" t="s">
        <v>373</v>
      </c>
      <c r="AK149" s="152" t="s">
        <v>1454</v>
      </c>
      <c r="AL149" s="152" t="s">
        <v>2174</v>
      </c>
      <c r="AM149" s="152" t="s">
        <v>1671</v>
      </c>
      <c r="AN149" s="160" t="s">
        <v>1455</v>
      </c>
      <c r="AO149" s="152" t="s">
        <v>1878</v>
      </c>
      <c r="AP149" s="161">
        <v>0</v>
      </c>
      <c r="AQ149" s="162">
        <v>4292.92</v>
      </c>
      <c r="AR149" s="170">
        <v>125.27</v>
      </c>
      <c r="AS149" s="171">
        <v>1</v>
      </c>
      <c r="AT149" s="166">
        <v>5.3780000000000001</v>
      </c>
      <c r="AU149" s="166">
        <v>5.3780000000000001</v>
      </c>
      <c r="AV149" s="152"/>
      <c r="AW149" s="152"/>
      <c r="AX149" t="s">
        <v>72</v>
      </c>
      <c r="AY149" t="s">
        <v>16</v>
      </c>
      <c r="AZ149" s="45">
        <v>4.84434121272869E-3</v>
      </c>
      <c r="BA149" s="45">
        <v>3.5794922391317701E-5</v>
      </c>
    </row>
    <row r="150" spans="1:53" x14ac:dyDescent="0.25">
      <c r="A150" s="152">
        <v>424</v>
      </c>
      <c r="B150" s="152">
        <v>7229</v>
      </c>
      <c r="C150" s="152">
        <v>513326439</v>
      </c>
      <c r="D150" s="152" t="s">
        <v>1721</v>
      </c>
      <c r="E150" s="152" t="s">
        <v>2251</v>
      </c>
      <c r="F150" s="152">
        <v>28969</v>
      </c>
      <c r="G150" s="152" t="s">
        <v>2165</v>
      </c>
      <c r="H150" s="152"/>
      <c r="I150" s="152" t="s">
        <v>71</v>
      </c>
      <c r="J150" s="152" t="s">
        <v>71</v>
      </c>
      <c r="K150" s="152" t="s">
        <v>234</v>
      </c>
      <c r="L150" s="152" t="s">
        <v>72</v>
      </c>
      <c r="M150" s="152" t="s">
        <v>373</v>
      </c>
      <c r="N150" s="152">
        <v>11898421</v>
      </c>
      <c r="O150" s="160" t="s">
        <v>2252</v>
      </c>
      <c r="P150" s="152" t="s">
        <v>228</v>
      </c>
      <c r="Q150" s="152" t="s">
        <v>219</v>
      </c>
      <c r="R150" s="152" t="s">
        <v>2168</v>
      </c>
      <c r="S150" s="152" t="s">
        <v>81</v>
      </c>
      <c r="T150" s="166">
        <v>3.01</v>
      </c>
      <c r="U150" s="152" t="s">
        <v>2184</v>
      </c>
      <c r="V150" s="161">
        <v>5.5E-2</v>
      </c>
      <c r="W150" s="152" t="s">
        <v>2169</v>
      </c>
      <c r="X150" s="152" t="s">
        <v>2170</v>
      </c>
      <c r="Y150" s="167">
        <v>5.5E-2</v>
      </c>
      <c r="Z150" s="168">
        <v>2.9399999999999999E-2</v>
      </c>
      <c r="AA150" s="152" t="s">
        <v>2188</v>
      </c>
      <c r="AB150" s="152" t="s">
        <v>222</v>
      </c>
      <c r="AC150" s="152" t="s">
        <v>1626</v>
      </c>
      <c r="AD150" s="166">
        <v>482000</v>
      </c>
      <c r="AE150" s="168">
        <v>0.73</v>
      </c>
      <c r="AF150" s="152" t="s">
        <v>1878</v>
      </c>
      <c r="AG150" s="152" t="s">
        <v>72</v>
      </c>
      <c r="AH150" s="152"/>
      <c r="AI150" s="152" t="s">
        <v>2182</v>
      </c>
      <c r="AJ150" s="152" t="s">
        <v>373</v>
      </c>
      <c r="AK150" s="152" t="s">
        <v>1454</v>
      </c>
      <c r="AL150" s="152" t="s">
        <v>2174</v>
      </c>
      <c r="AM150" s="152" t="s">
        <v>1671</v>
      </c>
      <c r="AN150" s="160" t="s">
        <v>1455</v>
      </c>
      <c r="AO150" s="152" t="s">
        <v>1878</v>
      </c>
      <c r="AP150" s="161">
        <v>0</v>
      </c>
      <c r="AQ150" s="162">
        <v>8385.7900000000009</v>
      </c>
      <c r="AR150" s="170">
        <v>126.4</v>
      </c>
      <c r="AS150" s="171">
        <v>1</v>
      </c>
      <c r="AT150" s="166">
        <v>10.6</v>
      </c>
      <c r="AU150" s="166">
        <v>10.6</v>
      </c>
      <c r="AV150" s="152"/>
      <c r="AW150" s="152"/>
      <c r="AX150" t="s">
        <v>72</v>
      </c>
      <c r="AY150" t="s">
        <v>16</v>
      </c>
      <c r="AZ150" s="45">
        <v>9.5482967706772594E-3</v>
      </c>
      <c r="BA150" s="45">
        <v>7.0552532711283896E-5</v>
      </c>
    </row>
    <row r="151" spans="1:53" x14ac:dyDescent="0.25">
      <c r="A151" s="152">
        <v>424</v>
      </c>
      <c r="B151" s="152">
        <v>7229</v>
      </c>
      <c r="C151" s="152">
        <v>513326439</v>
      </c>
      <c r="D151" s="152" t="s">
        <v>1721</v>
      </c>
      <c r="E151" s="152" t="s">
        <v>2253</v>
      </c>
      <c r="F151" s="152">
        <v>33233</v>
      </c>
      <c r="G151" s="152" t="s">
        <v>2165</v>
      </c>
      <c r="H151" s="152"/>
      <c r="I151" s="152" t="s">
        <v>71</v>
      </c>
      <c r="J151" s="152" t="s">
        <v>71</v>
      </c>
      <c r="K151" s="152" t="s">
        <v>234</v>
      </c>
      <c r="L151" s="152" t="s">
        <v>72</v>
      </c>
      <c r="M151" s="152" t="s">
        <v>373</v>
      </c>
      <c r="N151" s="152">
        <v>11896150</v>
      </c>
      <c r="O151" s="160" t="s">
        <v>2225</v>
      </c>
      <c r="P151" s="152" t="s">
        <v>228</v>
      </c>
      <c r="Q151" s="152" t="s">
        <v>219</v>
      </c>
      <c r="R151" s="152" t="s">
        <v>2168</v>
      </c>
      <c r="S151" s="152" t="s">
        <v>81</v>
      </c>
      <c r="T151" s="166">
        <v>3.01</v>
      </c>
      <c r="U151" s="152" t="s">
        <v>286</v>
      </c>
      <c r="V151" s="161">
        <v>5.5500000000000001E-2</v>
      </c>
      <c r="W151" s="152" t="s">
        <v>2169</v>
      </c>
      <c r="X151" s="152" t="s">
        <v>2120</v>
      </c>
      <c r="Y151" s="167">
        <v>0</v>
      </c>
      <c r="Z151" s="168">
        <v>2.9399999999999999E-2</v>
      </c>
      <c r="AA151" s="152" t="s">
        <v>2188</v>
      </c>
      <c r="AB151" s="152" t="s">
        <v>222</v>
      </c>
      <c r="AC151" s="152" t="s">
        <v>1626</v>
      </c>
      <c r="AD151" s="166">
        <v>482000</v>
      </c>
      <c r="AE151" s="168">
        <v>0.73</v>
      </c>
      <c r="AF151" s="152" t="s">
        <v>1878</v>
      </c>
      <c r="AG151" s="152" t="s">
        <v>72</v>
      </c>
      <c r="AH151" s="152"/>
      <c r="AI151" s="152" t="s">
        <v>2182</v>
      </c>
      <c r="AJ151" s="152" t="s">
        <v>373</v>
      </c>
      <c r="AK151" s="152" t="s">
        <v>1454</v>
      </c>
      <c r="AL151" s="152" t="s">
        <v>2174</v>
      </c>
      <c r="AM151" s="152" t="s">
        <v>1671</v>
      </c>
      <c r="AN151" s="160" t="s">
        <v>1455</v>
      </c>
      <c r="AO151" s="152" t="s">
        <v>1878</v>
      </c>
      <c r="AP151" s="161">
        <v>0</v>
      </c>
      <c r="AQ151" s="162">
        <v>6183.23</v>
      </c>
      <c r="AR151" s="170">
        <v>129.56</v>
      </c>
      <c r="AS151" s="171">
        <v>1</v>
      </c>
      <c r="AT151" s="166">
        <v>8.0109999999999992</v>
      </c>
      <c r="AU151" s="166">
        <v>8.0109999999999992</v>
      </c>
      <c r="AV151" s="152"/>
      <c r="AW151" s="152"/>
      <c r="AX151" t="s">
        <v>72</v>
      </c>
      <c r="AY151" t="s">
        <v>16</v>
      </c>
      <c r="AZ151" s="45">
        <v>7.2164098930915998E-3</v>
      </c>
      <c r="BA151" s="45">
        <v>5.3322179574888199E-5</v>
      </c>
    </row>
    <row r="152" spans="1:53" x14ac:dyDescent="0.25">
      <c r="A152" s="152">
        <v>424</v>
      </c>
      <c r="B152" s="152">
        <v>7229</v>
      </c>
      <c r="C152" s="152">
        <v>513326439</v>
      </c>
      <c r="D152" s="152" t="s">
        <v>1721</v>
      </c>
      <c r="E152" s="152" t="s">
        <v>2254</v>
      </c>
      <c r="F152" s="152">
        <v>24760</v>
      </c>
      <c r="G152" s="152" t="s">
        <v>2165</v>
      </c>
      <c r="H152" s="152"/>
      <c r="I152" s="152" t="s">
        <v>71</v>
      </c>
      <c r="J152" s="152" t="s">
        <v>71</v>
      </c>
      <c r="K152" s="152" t="s">
        <v>234</v>
      </c>
      <c r="L152" s="152" t="s">
        <v>72</v>
      </c>
      <c r="M152" s="152" t="s">
        <v>373</v>
      </c>
      <c r="N152" s="152">
        <v>11896160</v>
      </c>
      <c r="O152" s="160" t="s">
        <v>2255</v>
      </c>
      <c r="P152" s="152" t="s">
        <v>228</v>
      </c>
      <c r="Q152" s="152" t="s">
        <v>219</v>
      </c>
      <c r="R152" s="152" t="s">
        <v>2168</v>
      </c>
      <c r="S152" s="152" t="s">
        <v>81</v>
      </c>
      <c r="T152" s="166">
        <v>3.01</v>
      </c>
      <c r="U152" s="152" t="s">
        <v>2184</v>
      </c>
      <c r="V152" s="161">
        <v>5.5E-2</v>
      </c>
      <c r="W152" s="152" t="s">
        <v>2169</v>
      </c>
      <c r="X152" s="152" t="s">
        <v>2170</v>
      </c>
      <c r="Y152" s="167">
        <v>5.5E-2</v>
      </c>
      <c r="Z152" s="168">
        <v>2.9399999999999999E-2</v>
      </c>
      <c r="AA152" s="152" t="s">
        <v>2181</v>
      </c>
      <c r="AB152" s="152" t="s">
        <v>222</v>
      </c>
      <c r="AC152" s="152" t="s">
        <v>1626</v>
      </c>
      <c r="AD152" s="166">
        <v>203777.768205128</v>
      </c>
      <c r="AE152" s="168">
        <v>0.73</v>
      </c>
      <c r="AF152" s="152" t="s">
        <v>1878</v>
      </c>
      <c r="AG152" s="152" t="s">
        <v>72</v>
      </c>
      <c r="AH152" s="152"/>
      <c r="AI152" s="152" t="s">
        <v>2182</v>
      </c>
      <c r="AJ152" s="152" t="s">
        <v>373</v>
      </c>
      <c r="AK152" s="152" t="s">
        <v>1454</v>
      </c>
      <c r="AL152" s="152" t="s">
        <v>2174</v>
      </c>
      <c r="AM152" s="152" t="s">
        <v>1671</v>
      </c>
      <c r="AN152" s="160" t="s">
        <v>1455</v>
      </c>
      <c r="AO152" s="152" t="s">
        <v>1878</v>
      </c>
      <c r="AP152" s="161">
        <v>0</v>
      </c>
      <c r="AQ152" s="162">
        <v>2713.68</v>
      </c>
      <c r="AR152" s="170">
        <v>127.77</v>
      </c>
      <c r="AS152" s="171">
        <v>1</v>
      </c>
      <c r="AT152" s="166">
        <v>3.4670000000000001</v>
      </c>
      <c r="AU152" s="166">
        <v>3.4670000000000001</v>
      </c>
      <c r="AV152" s="152"/>
      <c r="AW152" s="152"/>
      <c r="AX152" t="s">
        <v>72</v>
      </c>
      <c r="AY152" t="s">
        <v>16</v>
      </c>
      <c r="AZ152" s="45">
        <v>3.1233624238483802E-3</v>
      </c>
      <c r="BA152" s="45">
        <v>2.30785798630061E-5</v>
      </c>
    </row>
    <row r="153" spans="1:53" x14ac:dyDescent="0.25">
      <c r="A153" s="152">
        <v>424</v>
      </c>
      <c r="B153" s="152">
        <v>7229</v>
      </c>
      <c r="C153" s="152">
        <v>513326439</v>
      </c>
      <c r="D153" s="152" t="s">
        <v>1721</v>
      </c>
      <c r="E153" s="152" t="s">
        <v>2256</v>
      </c>
      <c r="F153" s="152">
        <v>24810</v>
      </c>
      <c r="G153" s="152" t="s">
        <v>2165</v>
      </c>
      <c r="H153" s="152"/>
      <c r="I153" s="152" t="s">
        <v>71</v>
      </c>
      <c r="J153" s="152" t="s">
        <v>71</v>
      </c>
      <c r="K153" s="152" t="s">
        <v>234</v>
      </c>
      <c r="L153" s="152" t="s">
        <v>72</v>
      </c>
      <c r="M153" s="152" t="s">
        <v>373</v>
      </c>
      <c r="N153" s="152">
        <v>11898180</v>
      </c>
      <c r="O153" s="160" t="s">
        <v>2257</v>
      </c>
      <c r="P153" s="152" t="s">
        <v>228</v>
      </c>
      <c r="Q153" s="152" t="s">
        <v>219</v>
      </c>
      <c r="R153" s="152" t="s">
        <v>2168</v>
      </c>
      <c r="S153" s="152" t="s">
        <v>81</v>
      </c>
      <c r="T153" s="166">
        <v>3.01</v>
      </c>
      <c r="U153" s="152" t="s">
        <v>2184</v>
      </c>
      <c r="V153" s="161">
        <v>5.5E-2</v>
      </c>
      <c r="W153" s="152" t="s">
        <v>2169</v>
      </c>
      <c r="X153" s="152" t="s">
        <v>2170</v>
      </c>
      <c r="Y153" s="167">
        <v>5.5E-2</v>
      </c>
      <c r="Z153" s="168">
        <v>2.9399999999999999E-2</v>
      </c>
      <c r="AA153" s="152" t="s">
        <v>2181</v>
      </c>
      <c r="AB153" s="152" t="s">
        <v>222</v>
      </c>
      <c r="AC153" s="152" t="s">
        <v>1626</v>
      </c>
      <c r="AD153" s="166">
        <v>482000</v>
      </c>
      <c r="AE153" s="168">
        <v>0.73</v>
      </c>
      <c r="AF153" s="152" t="s">
        <v>1878</v>
      </c>
      <c r="AG153" s="152" t="s">
        <v>72</v>
      </c>
      <c r="AH153" s="152"/>
      <c r="AI153" s="152" t="s">
        <v>2182</v>
      </c>
      <c r="AJ153" s="152" t="s">
        <v>373</v>
      </c>
      <c r="AK153" s="152" t="s">
        <v>1454</v>
      </c>
      <c r="AL153" s="152" t="s">
        <v>2174</v>
      </c>
      <c r="AM153" s="152" t="s">
        <v>1671</v>
      </c>
      <c r="AN153" s="160" t="s">
        <v>1455</v>
      </c>
      <c r="AO153" s="152" t="s">
        <v>1878</v>
      </c>
      <c r="AP153" s="161">
        <v>0</v>
      </c>
      <c r="AQ153" s="162">
        <v>2533.2800000000002</v>
      </c>
      <c r="AR153" s="170">
        <v>128.13</v>
      </c>
      <c r="AS153" s="171">
        <v>1</v>
      </c>
      <c r="AT153" s="166">
        <v>3.246</v>
      </c>
      <c r="AU153" s="166">
        <v>3.246</v>
      </c>
      <c r="AV153" s="152"/>
      <c r="AW153" s="152"/>
      <c r="AX153" t="s">
        <v>72</v>
      </c>
      <c r="AY153" t="s">
        <v>16</v>
      </c>
      <c r="AZ153" s="45">
        <v>2.9239428040779701E-3</v>
      </c>
      <c r="BA153" s="45">
        <v>2.1605064786439601E-5</v>
      </c>
    </row>
    <row r="154" spans="1:53" x14ac:dyDescent="0.25">
      <c r="A154" s="152">
        <v>424</v>
      </c>
      <c r="B154" s="152">
        <v>7229</v>
      </c>
      <c r="C154" s="152">
        <v>513326439</v>
      </c>
      <c r="D154" s="152" t="s">
        <v>1721</v>
      </c>
      <c r="E154" s="152" t="s">
        <v>2258</v>
      </c>
      <c r="F154" s="152">
        <v>34330</v>
      </c>
      <c r="G154" s="152" t="s">
        <v>2165</v>
      </c>
      <c r="H154" s="152"/>
      <c r="I154" s="152" t="s">
        <v>71</v>
      </c>
      <c r="J154" s="152" t="s">
        <v>71</v>
      </c>
      <c r="K154" s="152" t="s">
        <v>234</v>
      </c>
      <c r="L154" s="152" t="s">
        <v>72</v>
      </c>
      <c r="M154" s="152" t="s">
        <v>373</v>
      </c>
      <c r="N154" s="152">
        <v>11898190</v>
      </c>
      <c r="O154" s="160" t="s">
        <v>2225</v>
      </c>
      <c r="P154" s="152" t="s">
        <v>228</v>
      </c>
      <c r="Q154" s="152" t="s">
        <v>219</v>
      </c>
      <c r="R154" s="152" t="s">
        <v>2168</v>
      </c>
      <c r="S154" s="152" t="s">
        <v>81</v>
      </c>
      <c r="T154" s="166">
        <v>3.01</v>
      </c>
      <c r="U154" s="152" t="s">
        <v>286</v>
      </c>
      <c r="V154" s="161">
        <v>5.5E-2</v>
      </c>
      <c r="W154" s="152" t="s">
        <v>2169</v>
      </c>
      <c r="X154" s="152" t="s">
        <v>2120</v>
      </c>
      <c r="Y154" s="167">
        <v>0</v>
      </c>
      <c r="Z154" s="168">
        <v>2.9399999999999999E-2</v>
      </c>
      <c r="AA154" s="152" t="s">
        <v>2188</v>
      </c>
      <c r="AB154" s="152" t="s">
        <v>222</v>
      </c>
      <c r="AC154" s="152" t="s">
        <v>1626</v>
      </c>
      <c r="AD154" s="166">
        <v>482000</v>
      </c>
      <c r="AE154" s="168">
        <v>0.73</v>
      </c>
      <c r="AF154" s="152" t="s">
        <v>1878</v>
      </c>
      <c r="AG154" s="152" t="s">
        <v>72</v>
      </c>
      <c r="AH154" s="152"/>
      <c r="AI154" s="152" t="s">
        <v>2182</v>
      </c>
      <c r="AJ154" s="152" t="s">
        <v>373</v>
      </c>
      <c r="AK154" s="152" t="s">
        <v>1454</v>
      </c>
      <c r="AL154" s="152" t="s">
        <v>2174</v>
      </c>
      <c r="AM154" s="152" t="s">
        <v>1671</v>
      </c>
      <c r="AN154" s="160" t="s">
        <v>1455</v>
      </c>
      <c r="AO154" s="152" t="s">
        <v>1878</v>
      </c>
      <c r="AP154" s="161">
        <v>0</v>
      </c>
      <c r="AQ154" s="162">
        <v>3243.02</v>
      </c>
      <c r="AR154" s="170">
        <v>126.69</v>
      </c>
      <c r="AS154" s="171">
        <v>1</v>
      </c>
      <c r="AT154" s="166">
        <v>4.109</v>
      </c>
      <c r="AU154" s="166">
        <v>4.109</v>
      </c>
      <c r="AV154" s="152"/>
      <c r="AW154" s="152"/>
      <c r="AX154" t="s">
        <v>72</v>
      </c>
      <c r="AY154" t="s">
        <v>16</v>
      </c>
      <c r="AZ154" s="45">
        <v>3.70106587912729E-3</v>
      </c>
      <c r="BA154" s="45">
        <v>2.7347240850917099E-5</v>
      </c>
    </row>
    <row r="155" spans="1:53" x14ac:dyDescent="0.25">
      <c r="A155" s="152">
        <v>424</v>
      </c>
      <c r="B155" s="152">
        <v>7229</v>
      </c>
      <c r="C155" s="152">
        <v>513184192</v>
      </c>
      <c r="D155" s="152" t="s">
        <v>1721</v>
      </c>
      <c r="E155" s="152" t="s">
        <v>2259</v>
      </c>
      <c r="F155" s="152">
        <v>44446</v>
      </c>
      <c r="G155" s="152" t="s">
        <v>2165</v>
      </c>
      <c r="H155" s="152"/>
      <c r="I155" s="152" t="s">
        <v>71</v>
      </c>
      <c r="J155" s="152" t="s">
        <v>71</v>
      </c>
      <c r="K155" s="152" t="s">
        <v>1626</v>
      </c>
      <c r="L155" s="152" t="s">
        <v>72</v>
      </c>
      <c r="M155" s="152" t="s">
        <v>373</v>
      </c>
      <c r="N155" s="152">
        <v>99999987</v>
      </c>
      <c r="O155" s="160" t="s">
        <v>2260</v>
      </c>
      <c r="P155" s="152" t="s">
        <v>228</v>
      </c>
      <c r="Q155" s="152" t="s">
        <v>219</v>
      </c>
      <c r="R155" s="152" t="s">
        <v>2168</v>
      </c>
      <c r="S155" s="152" t="s">
        <v>81</v>
      </c>
      <c r="T155" s="166">
        <v>1.68</v>
      </c>
      <c r="U155" s="152" t="s">
        <v>2184</v>
      </c>
      <c r="V155" s="161">
        <v>2.562E-2</v>
      </c>
      <c r="W155" s="152" t="s">
        <v>2169</v>
      </c>
      <c r="X155" s="152" t="s">
        <v>2170</v>
      </c>
      <c r="Y155" s="167">
        <v>2.562E-2</v>
      </c>
      <c r="Z155" s="168">
        <v>2.7900000000000001E-2</v>
      </c>
      <c r="AA155" s="152" t="s">
        <v>561</v>
      </c>
      <c r="AB155" s="152" t="s">
        <v>222</v>
      </c>
      <c r="AC155" s="152" t="s">
        <v>1626</v>
      </c>
      <c r="AD155" s="166">
        <v>60116.983060975603</v>
      </c>
      <c r="AE155" s="168">
        <v>0.82</v>
      </c>
      <c r="AF155" s="152" t="s">
        <v>1878</v>
      </c>
      <c r="AG155" s="152" t="s">
        <v>72</v>
      </c>
      <c r="AH155" s="152"/>
      <c r="AI155" s="152" t="s">
        <v>2261</v>
      </c>
      <c r="AJ155" s="152" t="s">
        <v>373</v>
      </c>
      <c r="AK155" s="152" t="s">
        <v>1454</v>
      </c>
      <c r="AL155" s="152" t="s">
        <v>2174</v>
      </c>
      <c r="AM155" s="152" t="s">
        <v>1671</v>
      </c>
      <c r="AN155" s="160" t="s">
        <v>1455</v>
      </c>
      <c r="AO155" s="152" t="s">
        <v>1878</v>
      </c>
      <c r="AP155" s="161">
        <v>0</v>
      </c>
      <c r="AQ155" s="162">
        <v>139898.92000000001</v>
      </c>
      <c r="AR155" s="170">
        <v>115.65</v>
      </c>
      <c r="AS155" s="171">
        <v>1</v>
      </c>
      <c r="AT155" s="166">
        <v>161.79300000000001</v>
      </c>
      <c r="AU155" s="166">
        <v>161.79300000000001</v>
      </c>
      <c r="AV155" s="152"/>
      <c r="AW155" s="152"/>
      <c r="AX155" t="s">
        <v>72</v>
      </c>
      <c r="AY155" t="s">
        <v>16</v>
      </c>
      <c r="AZ155" s="45">
        <v>0.14574539828509001</v>
      </c>
      <c r="BA155" s="45">
        <v>1.0769153103416299E-3</v>
      </c>
    </row>
    <row r="156" spans="1:53" x14ac:dyDescent="0.25">
      <c r="A156" s="152">
        <v>424</v>
      </c>
      <c r="B156" s="152">
        <v>7229</v>
      </c>
      <c r="C156" s="152">
        <v>516705795</v>
      </c>
      <c r="D156" s="152" t="s">
        <v>1721</v>
      </c>
      <c r="E156" s="152" t="s">
        <v>2269</v>
      </c>
      <c r="F156" s="152">
        <v>50007798</v>
      </c>
      <c r="G156" s="152" t="s">
        <v>2165</v>
      </c>
      <c r="H156" s="152" t="s">
        <v>2270</v>
      </c>
      <c r="I156" s="152" t="s">
        <v>71</v>
      </c>
      <c r="J156" s="152" t="s">
        <v>71</v>
      </c>
      <c r="K156" s="152" t="s">
        <v>515</v>
      </c>
      <c r="L156" s="152" t="s">
        <v>72</v>
      </c>
      <c r="M156" s="152" t="s">
        <v>373</v>
      </c>
      <c r="N156" s="152">
        <v>90552313</v>
      </c>
      <c r="O156" s="160" t="s">
        <v>2167</v>
      </c>
      <c r="P156" s="152" t="s">
        <v>2271</v>
      </c>
      <c r="Q156" s="152" t="s">
        <v>219</v>
      </c>
      <c r="R156" s="152" t="s">
        <v>2168</v>
      </c>
      <c r="S156" s="152" t="s">
        <v>81</v>
      </c>
      <c r="T156" s="166">
        <v>0.08</v>
      </c>
      <c r="U156" s="152" t="s">
        <v>2184</v>
      </c>
      <c r="V156" s="161">
        <v>0.08</v>
      </c>
      <c r="W156" s="152" t="s">
        <v>2169</v>
      </c>
      <c r="X156" s="152" t="s">
        <v>2120</v>
      </c>
      <c r="Y156" s="167">
        <v>0</v>
      </c>
      <c r="Z156" s="168">
        <v>8.0399999999999999E-2</v>
      </c>
      <c r="AA156" s="152" t="s">
        <v>2272</v>
      </c>
      <c r="AB156" s="152" t="s">
        <v>222</v>
      </c>
      <c r="AC156" s="152" t="s">
        <v>2171</v>
      </c>
      <c r="AD156" s="166">
        <v>782791</v>
      </c>
      <c r="AE156" s="168">
        <v>0.43</v>
      </c>
      <c r="AF156" s="152" t="s">
        <v>1878</v>
      </c>
      <c r="AG156" s="152" t="s">
        <v>373</v>
      </c>
      <c r="AH156" s="152" t="s">
        <v>2172</v>
      </c>
      <c r="AI156" s="152" t="s">
        <v>2273</v>
      </c>
      <c r="AJ156" s="152" t="s">
        <v>373</v>
      </c>
      <c r="AK156" s="152" t="s">
        <v>1454</v>
      </c>
      <c r="AL156" s="152" t="s">
        <v>2174</v>
      </c>
      <c r="AM156" s="152" t="s">
        <v>1671</v>
      </c>
      <c r="AN156" s="160" t="s">
        <v>1455</v>
      </c>
      <c r="AO156" s="152" t="s">
        <v>1878</v>
      </c>
      <c r="AP156" s="161">
        <v>0</v>
      </c>
      <c r="AQ156" s="162">
        <v>325000</v>
      </c>
      <c r="AR156" s="170">
        <v>101.91</v>
      </c>
      <c r="AS156" s="171">
        <v>1</v>
      </c>
      <c r="AT156" s="166">
        <v>331.20699999999999</v>
      </c>
      <c r="AU156" s="166">
        <v>331.20699999999999</v>
      </c>
      <c r="AV156" s="152"/>
      <c r="AW156" s="152"/>
      <c r="AX156" t="s">
        <v>72</v>
      </c>
      <c r="AY156" t="s">
        <v>16</v>
      </c>
      <c r="AZ156" s="45">
        <v>0.29835616420057298</v>
      </c>
      <c r="BA156" s="45">
        <v>2.2045589428072499E-3</v>
      </c>
    </row>
    <row r="157" spans="1:53" x14ac:dyDescent="0.25">
      <c r="A157" s="152">
        <v>424</v>
      </c>
      <c r="B157" s="152">
        <v>7229</v>
      </c>
      <c r="C157" s="152">
        <v>513926857</v>
      </c>
      <c r="D157" s="152" t="s">
        <v>1721</v>
      </c>
      <c r="E157" s="152" t="s">
        <v>2279</v>
      </c>
      <c r="F157" s="152">
        <v>50003409</v>
      </c>
      <c r="G157" s="152" t="s">
        <v>2165</v>
      </c>
      <c r="H157" s="152"/>
      <c r="I157" s="152" t="s">
        <v>71</v>
      </c>
      <c r="J157" s="152" t="s">
        <v>71</v>
      </c>
      <c r="K157" s="152" t="s">
        <v>234</v>
      </c>
      <c r="L157" s="152" t="s">
        <v>72</v>
      </c>
      <c r="M157" s="152" t="s">
        <v>373</v>
      </c>
      <c r="N157" s="152">
        <v>84666735</v>
      </c>
      <c r="O157" s="160" t="s">
        <v>2176</v>
      </c>
      <c r="P157" s="152" t="s">
        <v>246</v>
      </c>
      <c r="Q157" s="152" t="s">
        <v>219</v>
      </c>
      <c r="R157" s="152" t="s">
        <v>2168</v>
      </c>
      <c r="S157" s="152" t="s">
        <v>81</v>
      </c>
      <c r="T157" s="166">
        <v>4.59</v>
      </c>
      <c r="U157" s="152" t="s">
        <v>286</v>
      </c>
      <c r="V157" s="161">
        <v>3.5499999999999997E-2</v>
      </c>
      <c r="W157" s="152" t="s">
        <v>2169</v>
      </c>
      <c r="X157" s="152" t="s">
        <v>2170</v>
      </c>
      <c r="Y157" s="167">
        <v>3.5499999999999997E-2</v>
      </c>
      <c r="Z157" s="168">
        <v>3.8199999999999998E-2</v>
      </c>
      <c r="AA157" s="152" t="s">
        <v>2177</v>
      </c>
      <c r="AB157" s="152" t="s">
        <v>222</v>
      </c>
      <c r="AC157" s="152" t="s">
        <v>1626</v>
      </c>
      <c r="AD157" s="166">
        <v>104760.857253165</v>
      </c>
      <c r="AE157" s="168">
        <v>0.79</v>
      </c>
      <c r="AF157" s="152" t="s">
        <v>1878</v>
      </c>
      <c r="AG157" s="152" t="s">
        <v>373</v>
      </c>
      <c r="AH157" s="152"/>
      <c r="AI157" s="152" t="s">
        <v>2178</v>
      </c>
      <c r="AJ157" s="152" t="s">
        <v>373</v>
      </c>
      <c r="AK157" s="152" t="s">
        <v>1454</v>
      </c>
      <c r="AL157" s="152" t="s">
        <v>2174</v>
      </c>
      <c r="AM157" s="152" t="s">
        <v>1671</v>
      </c>
      <c r="AN157" s="160" t="s">
        <v>1455</v>
      </c>
      <c r="AO157" s="152" t="s">
        <v>1878</v>
      </c>
      <c r="AP157" s="161">
        <v>0</v>
      </c>
      <c r="AQ157" s="162">
        <v>250265.60000000001</v>
      </c>
      <c r="AR157" s="170">
        <v>109.86</v>
      </c>
      <c r="AS157" s="171">
        <v>1</v>
      </c>
      <c r="AT157" s="166">
        <v>274.94200000000001</v>
      </c>
      <c r="AU157" s="166">
        <v>274.94200000000001</v>
      </c>
      <c r="AV157" s="152"/>
      <c r="AW157" s="152"/>
      <c r="AX157" t="s">
        <v>72</v>
      </c>
      <c r="AY157" t="s">
        <v>16</v>
      </c>
      <c r="AZ157" s="45">
        <v>0.24767125531234699</v>
      </c>
      <c r="BA157" s="45">
        <v>1.8300472599187699E-3</v>
      </c>
    </row>
    <row r="158" spans="1:53" x14ac:dyDescent="0.25">
      <c r="A158" s="152">
        <v>969</v>
      </c>
      <c r="B158" s="152">
        <v>969</v>
      </c>
      <c r="C158" s="152">
        <v>514984558</v>
      </c>
      <c r="D158" s="152" t="s">
        <v>1721</v>
      </c>
      <c r="E158" s="152" t="s">
        <v>2164</v>
      </c>
      <c r="F158" s="152">
        <v>50007509</v>
      </c>
      <c r="G158" s="152" t="s">
        <v>2165</v>
      </c>
      <c r="H158" s="152" t="s">
        <v>2166</v>
      </c>
      <c r="I158" s="152" t="s">
        <v>71</v>
      </c>
      <c r="J158" s="152" t="s">
        <v>71</v>
      </c>
      <c r="K158" s="152" t="s">
        <v>1572</v>
      </c>
      <c r="L158" s="152" t="s">
        <v>72</v>
      </c>
      <c r="M158" s="152" t="s">
        <v>373</v>
      </c>
      <c r="N158" s="152">
        <v>90701004</v>
      </c>
      <c r="O158" s="160" t="s">
        <v>2167</v>
      </c>
      <c r="P158" s="152" t="s">
        <v>509</v>
      </c>
      <c r="Q158" s="152" t="s">
        <v>219</v>
      </c>
      <c r="R158" s="152" t="s">
        <v>2168</v>
      </c>
      <c r="S158" s="152" t="s">
        <v>81</v>
      </c>
      <c r="T158" s="166">
        <v>1.3</v>
      </c>
      <c r="U158" s="152" t="s">
        <v>286</v>
      </c>
      <c r="V158" s="161">
        <v>5.5E-2</v>
      </c>
      <c r="W158" s="152" t="s">
        <v>2169</v>
      </c>
      <c r="X158" s="152" t="s">
        <v>2170</v>
      </c>
      <c r="Y158" s="167">
        <v>5.5E-2</v>
      </c>
      <c r="Z158" s="168">
        <v>0.23249</v>
      </c>
      <c r="AA158" s="152" t="s">
        <v>391</v>
      </c>
      <c r="AB158" s="152" t="s">
        <v>222</v>
      </c>
      <c r="AC158" s="152" t="s">
        <v>2171</v>
      </c>
      <c r="AD158" s="166">
        <v>19935.854166666701</v>
      </c>
      <c r="AE158" s="168">
        <v>0.72</v>
      </c>
      <c r="AF158" s="152" t="s">
        <v>1878</v>
      </c>
      <c r="AG158" s="152" t="s">
        <v>373</v>
      </c>
      <c r="AH158" s="152" t="s">
        <v>2172</v>
      </c>
      <c r="AI158" s="152" t="s">
        <v>2173</v>
      </c>
      <c r="AJ158" s="152" t="s">
        <v>373</v>
      </c>
      <c r="AK158" s="152" t="s">
        <v>1454</v>
      </c>
      <c r="AL158" s="152" t="s">
        <v>2174</v>
      </c>
      <c r="AM158" s="152" t="s">
        <v>1671</v>
      </c>
      <c r="AN158" s="160" t="s">
        <v>1455</v>
      </c>
      <c r="AO158" s="152" t="s">
        <v>1878</v>
      </c>
      <c r="AP158" s="161">
        <v>0</v>
      </c>
      <c r="AQ158" s="162">
        <v>12665</v>
      </c>
      <c r="AR158" s="170">
        <v>81.349999999999994</v>
      </c>
      <c r="AS158" s="171">
        <v>1</v>
      </c>
      <c r="AT158" s="166">
        <v>10.303000000000001</v>
      </c>
      <c r="AU158" s="166">
        <v>10.303000000000001</v>
      </c>
      <c r="AV158" s="152"/>
      <c r="AW158" s="152"/>
      <c r="AX158" t="s">
        <v>373</v>
      </c>
      <c r="AY158" t="s">
        <v>16</v>
      </c>
      <c r="AZ158" s="45">
        <v>1.45973295837716E-2</v>
      </c>
      <c r="BA158" s="45">
        <v>1.4063687262066599E-4</v>
      </c>
    </row>
    <row r="159" spans="1:53" x14ac:dyDescent="0.25">
      <c r="A159" s="152">
        <v>969</v>
      </c>
      <c r="B159" s="152">
        <v>969</v>
      </c>
      <c r="C159" s="152">
        <v>513846667</v>
      </c>
      <c r="D159" s="152" t="s">
        <v>1721</v>
      </c>
      <c r="E159" s="152" t="s">
        <v>2175</v>
      </c>
      <c r="F159" s="152">
        <v>50003508</v>
      </c>
      <c r="G159" s="152" t="s">
        <v>2165</v>
      </c>
      <c r="H159" s="152"/>
      <c r="I159" s="152" t="s">
        <v>71</v>
      </c>
      <c r="J159" s="152" t="s">
        <v>71</v>
      </c>
      <c r="K159" s="152" t="s">
        <v>234</v>
      </c>
      <c r="L159" s="152" t="s">
        <v>72</v>
      </c>
      <c r="M159" s="152" t="s">
        <v>373</v>
      </c>
      <c r="N159" s="152">
        <v>84666734</v>
      </c>
      <c r="O159" s="160" t="s">
        <v>2176</v>
      </c>
      <c r="P159" s="152" t="s">
        <v>246</v>
      </c>
      <c r="Q159" s="152" t="s">
        <v>219</v>
      </c>
      <c r="R159" s="152" t="s">
        <v>2168</v>
      </c>
      <c r="S159" s="152" t="s">
        <v>81</v>
      </c>
      <c r="T159" s="166">
        <v>4.46</v>
      </c>
      <c r="U159" s="152" t="s">
        <v>286</v>
      </c>
      <c r="V159" s="161">
        <v>3.5499999999999997E-2</v>
      </c>
      <c r="W159" s="152" t="s">
        <v>2169</v>
      </c>
      <c r="X159" s="152" t="s">
        <v>2170</v>
      </c>
      <c r="Y159" s="167">
        <v>3.5499999999999997E-2</v>
      </c>
      <c r="Z159" s="168">
        <v>3.7999999999999999E-2</v>
      </c>
      <c r="AA159" s="152" t="s">
        <v>2177</v>
      </c>
      <c r="AB159" s="152" t="s">
        <v>222</v>
      </c>
      <c r="AC159" s="152" t="s">
        <v>1626</v>
      </c>
      <c r="AD159" s="166">
        <v>51249.677223684201</v>
      </c>
      <c r="AE159" s="168">
        <v>0.76</v>
      </c>
      <c r="AF159" s="152" t="s">
        <v>1878</v>
      </c>
      <c r="AG159" s="152" t="s">
        <v>373</v>
      </c>
      <c r="AH159" s="152"/>
      <c r="AI159" s="152" t="s">
        <v>2178</v>
      </c>
      <c r="AJ159" s="152" t="s">
        <v>373</v>
      </c>
      <c r="AK159" s="152" t="s">
        <v>1454</v>
      </c>
      <c r="AL159" s="152" t="s">
        <v>2174</v>
      </c>
      <c r="AM159" s="152" t="s">
        <v>1671</v>
      </c>
      <c r="AN159" s="160" t="s">
        <v>1455</v>
      </c>
      <c r="AO159" s="152" t="s">
        <v>1878</v>
      </c>
      <c r="AP159" s="161">
        <v>0</v>
      </c>
      <c r="AQ159" s="162">
        <v>74563.460000000006</v>
      </c>
      <c r="AR159" s="170">
        <v>109.6</v>
      </c>
      <c r="AS159" s="171">
        <v>1</v>
      </c>
      <c r="AT159" s="166">
        <v>81.721999999999994</v>
      </c>
      <c r="AU159" s="166">
        <v>81.721999999999994</v>
      </c>
      <c r="AV159" s="152"/>
      <c r="AW159" s="152"/>
      <c r="AX159" t="s">
        <v>72</v>
      </c>
      <c r="AY159" t="s">
        <v>16</v>
      </c>
      <c r="AZ159" s="45">
        <v>0.115783658750774</v>
      </c>
      <c r="BA159" s="45">
        <v>1.11550894112784E-3</v>
      </c>
    </row>
    <row r="160" spans="1:53" x14ac:dyDescent="0.25">
      <c r="A160" s="152">
        <v>969</v>
      </c>
      <c r="B160" s="152">
        <v>969</v>
      </c>
      <c r="C160" s="152">
        <v>513326439</v>
      </c>
      <c r="D160" s="152" t="s">
        <v>1721</v>
      </c>
      <c r="E160" s="152" t="s">
        <v>2179</v>
      </c>
      <c r="F160" s="152">
        <v>28472</v>
      </c>
      <c r="G160" s="152" t="s">
        <v>2165</v>
      </c>
      <c r="H160" s="152"/>
      <c r="I160" s="152" t="s">
        <v>71</v>
      </c>
      <c r="J160" s="152" t="s">
        <v>71</v>
      </c>
      <c r="K160" s="152" t="s">
        <v>234</v>
      </c>
      <c r="L160" s="152" t="s">
        <v>72</v>
      </c>
      <c r="M160" s="152" t="s">
        <v>373</v>
      </c>
      <c r="N160" s="152">
        <v>11898290</v>
      </c>
      <c r="O160" s="160" t="s">
        <v>2180</v>
      </c>
      <c r="P160" s="152" t="s">
        <v>228</v>
      </c>
      <c r="Q160" s="152" t="s">
        <v>219</v>
      </c>
      <c r="R160" s="152" t="s">
        <v>2168</v>
      </c>
      <c r="S160" s="152" t="s">
        <v>81</v>
      </c>
      <c r="T160" s="166">
        <v>3.01</v>
      </c>
      <c r="U160" s="152" t="s">
        <v>286</v>
      </c>
      <c r="V160" s="161">
        <v>5.5E-2</v>
      </c>
      <c r="W160" s="152" t="s">
        <v>2169</v>
      </c>
      <c r="X160" s="152" t="s">
        <v>2120</v>
      </c>
      <c r="Y160" s="167">
        <v>0</v>
      </c>
      <c r="Z160" s="168">
        <v>3.15E-2</v>
      </c>
      <c r="AA160" s="152" t="s">
        <v>2181</v>
      </c>
      <c r="AB160" s="152" t="s">
        <v>222</v>
      </c>
      <c r="AC160" s="152" t="s">
        <v>1626</v>
      </c>
      <c r="AD160" s="166">
        <v>482000</v>
      </c>
      <c r="AE160" s="168">
        <v>0.73</v>
      </c>
      <c r="AF160" s="152" t="s">
        <v>1878</v>
      </c>
      <c r="AG160" s="152" t="s">
        <v>72</v>
      </c>
      <c r="AH160" s="152"/>
      <c r="AI160" s="152" t="s">
        <v>2182</v>
      </c>
      <c r="AJ160" s="152" t="s">
        <v>373</v>
      </c>
      <c r="AK160" s="152" t="s">
        <v>1454</v>
      </c>
      <c r="AL160" s="152" t="s">
        <v>2174</v>
      </c>
      <c r="AM160" s="152" t="s">
        <v>1671</v>
      </c>
      <c r="AN160" s="160" t="s">
        <v>1455</v>
      </c>
      <c r="AO160" s="152" t="s">
        <v>1878</v>
      </c>
      <c r="AP160" s="161">
        <v>0</v>
      </c>
      <c r="AQ160" s="162">
        <v>2792.63</v>
      </c>
      <c r="AR160" s="170">
        <v>124.51</v>
      </c>
      <c r="AS160" s="171">
        <v>1</v>
      </c>
      <c r="AT160" s="166">
        <v>3.4769999999999999</v>
      </c>
      <c r="AU160" s="166">
        <v>3.4769999999999999</v>
      </c>
      <c r="AV160" s="152"/>
      <c r="AW160" s="152"/>
      <c r="AX160" t="s">
        <v>72</v>
      </c>
      <c r="AY160" t="s">
        <v>16</v>
      </c>
      <c r="AZ160" s="45">
        <v>4.9263843812028304E-3</v>
      </c>
      <c r="BA160" s="45">
        <v>4.7462879338553999E-5</v>
      </c>
    </row>
    <row r="161" spans="1:53" x14ac:dyDescent="0.25">
      <c r="A161" s="152">
        <v>969</v>
      </c>
      <c r="B161" s="152">
        <v>969</v>
      </c>
      <c r="C161" s="152">
        <v>513326439</v>
      </c>
      <c r="D161" s="152" t="s">
        <v>1721</v>
      </c>
      <c r="E161" s="152" t="s">
        <v>2183</v>
      </c>
      <c r="F161" s="152">
        <v>29207</v>
      </c>
      <c r="G161" s="152" t="s">
        <v>2165</v>
      </c>
      <c r="H161" s="152"/>
      <c r="I161" s="152" t="s">
        <v>71</v>
      </c>
      <c r="J161" s="152" t="s">
        <v>71</v>
      </c>
      <c r="K161" s="152" t="s">
        <v>234</v>
      </c>
      <c r="L161" s="152" t="s">
        <v>72</v>
      </c>
      <c r="M161" s="152" t="s">
        <v>373</v>
      </c>
      <c r="N161" s="152">
        <v>11898170</v>
      </c>
      <c r="O161" s="160" t="s">
        <v>2180</v>
      </c>
      <c r="P161" s="152" t="s">
        <v>228</v>
      </c>
      <c r="Q161" s="152" t="s">
        <v>219</v>
      </c>
      <c r="R161" s="152" t="s">
        <v>2168</v>
      </c>
      <c r="S161" s="152" t="s">
        <v>81</v>
      </c>
      <c r="T161" s="166">
        <v>3.01</v>
      </c>
      <c r="U161" s="152" t="s">
        <v>2184</v>
      </c>
      <c r="V161" s="161">
        <v>5.5E-2</v>
      </c>
      <c r="W161" s="152" t="s">
        <v>2169</v>
      </c>
      <c r="X161" s="152" t="s">
        <v>2120</v>
      </c>
      <c r="Y161" s="167">
        <v>0</v>
      </c>
      <c r="Z161" s="168">
        <v>2.9399999999999999E-2</v>
      </c>
      <c r="AA161" s="152" t="s">
        <v>2181</v>
      </c>
      <c r="AB161" s="152" t="s">
        <v>222</v>
      </c>
      <c r="AC161" s="152" t="s">
        <v>1626</v>
      </c>
      <c r="AD161" s="166">
        <v>482000</v>
      </c>
      <c r="AE161" s="168">
        <v>0.73</v>
      </c>
      <c r="AF161" s="152" t="s">
        <v>1878</v>
      </c>
      <c r="AG161" s="152" t="s">
        <v>72</v>
      </c>
      <c r="AH161" s="152"/>
      <c r="AI161" s="152" t="s">
        <v>2182</v>
      </c>
      <c r="AJ161" s="152" t="s">
        <v>373</v>
      </c>
      <c r="AK161" s="152" t="s">
        <v>1454</v>
      </c>
      <c r="AL161" s="152" t="s">
        <v>2174</v>
      </c>
      <c r="AM161" s="152" t="s">
        <v>1671</v>
      </c>
      <c r="AN161" s="160" t="s">
        <v>1455</v>
      </c>
      <c r="AO161" s="152" t="s">
        <v>1878</v>
      </c>
      <c r="AP161" s="161">
        <v>0</v>
      </c>
      <c r="AQ161" s="162">
        <v>4022.81</v>
      </c>
      <c r="AR161" s="170">
        <v>127.77</v>
      </c>
      <c r="AS161" s="171">
        <v>1</v>
      </c>
      <c r="AT161" s="166">
        <v>5.14</v>
      </c>
      <c r="AU161" s="166">
        <v>5.14</v>
      </c>
      <c r="AV161" s="152"/>
      <c r="AW161" s="152"/>
      <c r="AX161" t="s">
        <v>72</v>
      </c>
      <c r="AY161" t="s">
        <v>16</v>
      </c>
      <c r="AZ161" s="45">
        <v>7.2823085879232096E-3</v>
      </c>
      <c r="BA161" s="45">
        <v>7.0160853694961503E-5</v>
      </c>
    </row>
    <row r="162" spans="1:53" x14ac:dyDescent="0.25">
      <c r="A162" s="152">
        <v>969</v>
      </c>
      <c r="B162" s="152">
        <v>969</v>
      </c>
      <c r="C162" s="152">
        <v>513326439</v>
      </c>
      <c r="D162" s="152" t="s">
        <v>1721</v>
      </c>
      <c r="E162" s="152" t="s">
        <v>2185</v>
      </c>
      <c r="F162" s="152">
        <v>29215</v>
      </c>
      <c r="G162" s="152" t="s">
        <v>2165</v>
      </c>
      <c r="H162" s="152"/>
      <c r="I162" s="152" t="s">
        <v>71</v>
      </c>
      <c r="J162" s="152" t="s">
        <v>71</v>
      </c>
      <c r="K162" s="152" t="s">
        <v>234</v>
      </c>
      <c r="L162" s="152" t="s">
        <v>72</v>
      </c>
      <c r="M162" s="152" t="s">
        <v>373</v>
      </c>
      <c r="N162" s="152">
        <v>11898170</v>
      </c>
      <c r="O162" s="160" t="s">
        <v>2180</v>
      </c>
      <c r="P162" s="152" t="s">
        <v>228</v>
      </c>
      <c r="Q162" s="152" t="s">
        <v>219</v>
      </c>
      <c r="R162" s="152" t="s">
        <v>2168</v>
      </c>
      <c r="S162" s="152" t="s">
        <v>81</v>
      </c>
      <c r="T162" s="166">
        <v>3.01</v>
      </c>
      <c r="U162" s="152" t="s">
        <v>2184</v>
      </c>
      <c r="V162" s="161">
        <v>5.5E-2</v>
      </c>
      <c r="W162" s="152" t="s">
        <v>2169</v>
      </c>
      <c r="X162" s="152" t="s">
        <v>2120</v>
      </c>
      <c r="Y162" s="167">
        <v>0</v>
      </c>
      <c r="Z162" s="168">
        <v>3.15E-2</v>
      </c>
      <c r="AA162" s="152" t="s">
        <v>2181</v>
      </c>
      <c r="AB162" s="152" t="s">
        <v>222</v>
      </c>
      <c r="AC162" s="152" t="s">
        <v>1626</v>
      </c>
      <c r="AD162" s="166">
        <v>482000</v>
      </c>
      <c r="AE162" s="168">
        <v>0.73</v>
      </c>
      <c r="AF162" s="152" t="s">
        <v>1878</v>
      </c>
      <c r="AG162" s="152" t="s">
        <v>72</v>
      </c>
      <c r="AH162" s="152"/>
      <c r="AI162" s="152" t="s">
        <v>2182</v>
      </c>
      <c r="AJ162" s="152" t="s">
        <v>373</v>
      </c>
      <c r="AK162" s="152" t="s">
        <v>1454</v>
      </c>
      <c r="AL162" s="152" t="s">
        <v>2174</v>
      </c>
      <c r="AM162" s="152" t="s">
        <v>1671</v>
      </c>
      <c r="AN162" s="160" t="s">
        <v>1455</v>
      </c>
      <c r="AO162" s="152" t="s">
        <v>1878</v>
      </c>
      <c r="AP162" s="161">
        <v>0</v>
      </c>
      <c r="AQ162" s="162">
        <v>443.24</v>
      </c>
      <c r="AR162" s="170">
        <v>124.51</v>
      </c>
      <c r="AS162" s="171">
        <v>1</v>
      </c>
      <c r="AT162" s="166">
        <v>0.55200000000000005</v>
      </c>
      <c r="AU162" s="166">
        <v>0.55200000000000005</v>
      </c>
      <c r="AV162" s="152"/>
      <c r="AW162" s="152"/>
      <c r="AX162" t="s">
        <v>72</v>
      </c>
      <c r="AY162" t="s">
        <v>16</v>
      </c>
      <c r="AZ162" s="45">
        <v>7.8190473250102602E-4</v>
      </c>
      <c r="BA162" s="45">
        <v>7.5332022638232402E-6</v>
      </c>
    </row>
    <row r="163" spans="1:53" x14ac:dyDescent="0.25">
      <c r="A163" s="152">
        <v>969</v>
      </c>
      <c r="B163" s="152">
        <v>969</v>
      </c>
      <c r="C163" s="152">
        <v>513326439</v>
      </c>
      <c r="D163" s="152" t="s">
        <v>1721</v>
      </c>
      <c r="E163" s="152" t="s">
        <v>2186</v>
      </c>
      <c r="F163" s="152">
        <v>97386</v>
      </c>
      <c r="G163" s="152" t="s">
        <v>2165</v>
      </c>
      <c r="H163" s="152"/>
      <c r="I163" s="152" t="s">
        <v>71</v>
      </c>
      <c r="J163" s="152" t="s">
        <v>71</v>
      </c>
      <c r="K163" s="152" t="s">
        <v>234</v>
      </c>
      <c r="L163" s="152" t="s">
        <v>72</v>
      </c>
      <c r="M163" s="152" t="s">
        <v>373</v>
      </c>
      <c r="N163" s="152">
        <v>11898511</v>
      </c>
      <c r="O163" s="160" t="s">
        <v>2187</v>
      </c>
      <c r="P163" s="152" t="s">
        <v>228</v>
      </c>
      <c r="Q163" s="152" t="s">
        <v>219</v>
      </c>
      <c r="R163" s="152" t="s">
        <v>2168</v>
      </c>
      <c r="S163" s="152" t="s">
        <v>81</v>
      </c>
      <c r="T163" s="166">
        <v>3.01</v>
      </c>
      <c r="U163" s="152" t="s">
        <v>286</v>
      </c>
      <c r="V163" s="161">
        <v>5.5300000000000002E-2</v>
      </c>
      <c r="W163" s="152" t="s">
        <v>2169</v>
      </c>
      <c r="X163" s="152" t="s">
        <v>2170</v>
      </c>
      <c r="Y163" s="167">
        <v>5.5300000000000002E-2</v>
      </c>
      <c r="Z163" s="168">
        <v>2.9399999999999999E-2</v>
      </c>
      <c r="AA163" s="152" t="s">
        <v>2188</v>
      </c>
      <c r="AB163" s="152" t="s">
        <v>222</v>
      </c>
      <c r="AC163" s="152" t="s">
        <v>1626</v>
      </c>
      <c r="AD163" s="166">
        <v>482000</v>
      </c>
      <c r="AE163" s="168">
        <v>0.73</v>
      </c>
      <c r="AF163" s="152" t="s">
        <v>1878</v>
      </c>
      <c r="AG163" s="152" t="s">
        <v>72</v>
      </c>
      <c r="AH163" s="152"/>
      <c r="AI163" s="152" t="s">
        <v>2182</v>
      </c>
      <c r="AJ163" s="152" t="s">
        <v>373</v>
      </c>
      <c r="AK163" s="152" t="s">
        <v>1454</v>
      </c>
      <c r="AL163" s="152" t="s">
        <v>2174</v>
      </c>
      <c r="AM163" s="152" t="s">
        <v>1671</v>
      </c>
      <c r="AN163" s="160" t="s">
        <v>1455</v>
      </c>
      <c r="AO163" s="152" t="s">
        <v>1878</v>
      </c>
      <c r="AP163" s="161">
        <v>0</v>
      </c>
      <c r="AQ163" s="162">
        <v>5539.3</v>
      </c>
      <c r="AR163" s="170">
        <v>129.37</v>
      </c>
      <c r="AS163" s="171">
        <v>1</v>
      </c>
      <c r="AT163" s="166">
        <v>7.1660000000000004</v>
      </c>
      <c r="AU163" s="166">
        <v>7.1660000000000004</v>
      </c>
      <c r="AV163" s="152"/>
      <c r="AW163" s="152"/>
      <c r="AX163" t="s">
        <v>72</v>
      </c>
      <c r="AY163" t="s">
        <v>16</v>
      </c>
      <c r="AZ163" s="45">
        <v>1.0153110833202601E-2</v>
      </c>
      <c r="BA163" s="45">
        <v>9.7819381740894801E-5</v>
      </c>
    </row>
    <row r="164" spans="1:53" x14ac:dyDescent="0.25">
      <c r="A164" s="152">
        <v>969</v>
      </c>
      <c r="B164" s="152">
        <v>969</v>
      </c>
      <c r="C164" s="152">
        <v>513326439</v>
      </c>
      <c r="D164" s="152" t="s">
        <v>1721</v>
      </c>
      <c r="E164" s="152" t="s">
        <v>2189</v>
      </c>
      <c r="F164" s="152">
        <v>97378</v>
      </c>
      <c r="G164" s="152" t="s">
        <v>2165</v>
      </c>
      <c r="H164" s="152"/>
      <c r="I164" s="152" t="s">
        <v>71</v>
      </c>
      <c r="J164" s="152" t="s">
        <v>71</v>
      </c>
      <c r="K164" s="152" t="s">
        <v>234</v>
      </c>
      <c r="L164" s="152" t="s">
        <v>72</v>
      </c>
      <c r="M164" s="152" t="s">
        <v>373</v>
      </c>
      <c r="N164" s="152">
        <v>11898512</v>
      </c>
      <c r="O164" s="160" t="s">
        <v>2190</v>
      </c>
      <c r="P164" s="152" t="s">
        <v>228</v>
      </c>
      <c r="Q164" s="152" t="s">
        <v>219</v>
      </c>
      <c r="R164" s="152" t="s">
        <v>2168</v>
      </c>
      <c r="S164" s="152" t="s">
        <v>81</v>
      </c>
      <c r="T164" s="166">
        <v>3.01</v>
      </c>
      <c r="U164" s="152" t="s">
        <v>286</v>
      </c>
      <c r="V164" s="161">
        <v>5.5301000000000003E-2</v>
      </c>
      <c r="W164" s="152" t="s">
        <v>2169</v>
      </c>
      <c r="X164" s="152" t="s">
        <v>2170</v>
      </c>
      <c r="Y164" s="167">
        <v>5.5301000000000003E-2</v>
      </c>
      <c r="Z164" s="168">
        <v>2.9399999999999999E-2</v>
      </c>
      <c r="AA164" s="152" t="s">
        <v>2188</v>
      </c>
      <c r="AB164" s="152" t="s">
        <v>222</v>
      </c>
      <c r="AC164" s="152" t="s">
        <v>1626</v>
      </c>
      <c r="AD164" s="166">
        <v>482000</v>
      </c>
      <c r="AE164" s="168">
        <v>0.73</v>
      </c>
      <c r="AF164" s="152" t="s">
        <v>1878</v>
      </c>
      <c r="AG164" s="152" t="s">
        <v>72</v>
      </c>
      <c r="AH164" s="152"/>
      <c r="AI164" s="152" t="s">
        <v>2182</v>
      </c>
      <c r="AJ164" s="152" t="s">
        <v>373</v>
      </c>
      <c r="AK164" s="152" t="s">
        <v>1454</v>
      </c>
      <c r="AL164" s="152" t="s">
        <v>2174</v>
      </c>
      <c r="AM164" s="152" t="s">
        <v>1671</v>
      </c>
      <c r="AN164" s="160" t="s">
        <v>1455</v>
      </c>
      <c r="AO164" s="152" t="s">
        <v>1878</v>
      </c>
      <c r="AP164" s="161">
        <v>0</v>
      </c>
      <c r="AQ164" s="162">
        <v>5314.45</v>
      </c>
      <c r="AR164" s="170">
        <v>129.37</v>
      </c>
      <c r="AS164" s="171">
        <v>1</v>
      </c>
      <c r="AT164" s="166">
        <v>6.875</v>
      </c>
      <c r="AU164" s="166">
        <v>6.875</v>
      </c>
      <c r="AV164" s="152"/>
      <c r="AW164" s="152"/>
      <c r="AX164" t="s">
        <v>72</v>
      </c>
      <c r="AY164" t="s">
        <v>16</v>
      </c>
      <c r="AZ164" s="45">
        <v>9.7409780780087097E-3</v>
      </c>
      <c r="BA164" s="45">
        <v>9.3848719746700594E-5</v>
      </c>
    </row>
    <row r="165" spans="1:53" x14ac:dyDescent="0.25">
      <c r="A165" s="152">
        <v>969</v>
      </c>
      <c r="B165" s="152">
        <v>969</v>
      </c>
      <c r="C165" s="152">
        <v>513326439</v>
      </c>
      <c r="D165" s="152" t="s">
        <v>1721</v>
      </c>
      <c r="E165" s="152" t="s">
        <v>2191</v>
      </c>
      <c r="F165" s="152">
        <v>97394</v>
      </c>
      <c r="G165" s="152" t="s">
        <v>2165</v>
      </c>
      <c r="H165" s="152"/>
      <c r="I165" s="152" t="s">
        <v>71</v>
      </c>
      <c r="J165" s="152" t="s">
        <v>71</v>
      </c>
      <c r="K165" s="152" t="s">
        <v>234</v>
      </c>
      <c r="L165" s="152" t="s">
        <v>72</v>
      </c>
      <c r="M165" s="152" t="s">
        <v>373</v>
      </c>
      <c r="N165" s="152">
        <v>11898517</v>
      </c>
      <c r="O165" s="160" t="s">
        <v>2192</v>
      </c>
      <c r="P165" s="152" t="s">
        <v>228</v>
      </c>
      <c r="Q165" s="152" t="s">
        <v>219</v>
      </c>
      <c r="R165" s="152" t="s">
        <v>2168</v>
      </c>
      <c r="S165" s="152" t="s">
        <v>81</v>
      </c>
      <c r="T165" s="166">
        <v>3.01</v>
      </c>
      <c r="U165" s="152" t="s">
        <v>286</v>
      </c>
      <c r="V165" s="161">
        <v>5.5300000000000002E-2</v>
      </c>
      <c r="W165" s="152" t="s">
        <v>2169</v>
      </c>
      <c r="X165" s="152" t="s">
        <v>2170</v>
      </c>
      <c r="Y165" s="167">
        <v>5.5300000000000002E-2</v>
      </c>
      <c r="Z165" s="168">
        <v>2.9399999999999999E-2</v>
      </c>
      <c r="AA165" s="152" t="s">
        <v>2188</v>
      </c>
      <c r="AB165" s="152" t="s">
        <v>222</v>
      </c>
      <c r="AC165" s="152" t="s">
        <v>1626</v>
      </c>
      <c r="AD165" s="166">
        <v>482000</v>
      </c>
      <c r="AE165" s="168">
        <v>0.73</v>
      </c>
      <c r="AF165" s="152" t="s">
        <v>1878</v>
      </c>
      <c r="AG165" s="152" t="s">
        <v>72</v>
      </c>
      <c r="AH165" s="152"/>
      <c r="AI165" s="152" t="s">
        <v>2182</v>
      </c>
      <c r="AJ165" s="152" t="s">
        <v>373</v>
      </c>
      <c r="AK165" s="152" t="s">
        <v>1454</v>
      </c>
      <c r="AL165" s="152" t="s">
        <v>2174</v>
      </c>
      <c r="AM165" s="152" t="s">
        <v>1671</v>
      </c>
      <c r="AN165" s="160" t="s">
        <v>1455</v>
      </c>
      <c r="AO165" s="152" t="s">
        <v>1878</v>
      </c>
      <c r="AP165" s="161">
        <v>0</v>
      </c>
      <c r="AQ165" s="162">
        <v>5344.79</v>
      </c>
      <c r="AR165" s="170">
        <v>127.77</v>
      </c>
      <c r="AS165" s="171">
        <v>1</v>
      </c>
      <c r="AT165" s="166">
        <v>6.8289999999999997</v>
      </c>
      <c r="AU165" s="166">
        <v>6.8289999999999997</v>
      </c>
      <c r="AV165" s="152"/>
      <c r="AW165" s="152"/>
      <c r="AX165" t="s">
        <v>72</v>
      </c>
      <c r="AY165" t="s">
        <v>16</v>
      </c>
      <c r="AZ165" s="45">
        <v>9.6754283989664205E-3</v>
      </c>
      <c r="BA165" s="45">
        <v>9.3217186300196406E-5</v>
      </c>
    </row>
    <row r="166" spans="1:53" x14ac:dyDescent="0.25">
      <c r="A166" s="152">
        <v>969</v>
      </c>
      <c r="B166" s="152">
        <v>969</v>
      </c>
      <c r="C166" s="152">
        <v>513326439</v>
      </c>
      <c r="D166" s="152" t="s">
        <v>1721</v>
      </c>
      <c r="E166" s="152" t="s">
        <v>2193</v>
      </c>
      <c r="F166" s="152">
        <v>973031</v>
      </c>
      <c r="G166" s="152" t="s">
        <v>2165</v>
      </c>
      <c r="H166" s="152"/>
      <c r="I166" s="152" t="s">
        <v>71</v>
      </c>
      <c r="J166" s="152" t="s">
        <v>71</v>
      </c>
      <c r="K166" s="152" t="s">
        <v>234</v>
      </c>
      <c r="L166" s="152" t="s">
        <v>72</v>
      </c>
      <c r="M166" s="152" t="s">
        <v>373</v>
      </c>
      <c r="N166" s="152">
        <v>11898527</v>
      </c>
      <c r="O166" s="160" t="s">
        <v>2194</v>
      </c>
      <c r="P166" s="152" t="s">
        <v>228</v>
      </c>
      <c r="Q166" s="152" t="s">
        <v>219</v>
      </c>
      <c r="R166" s="152" t="s">
        <v>2168</v>
      </c>
      <c r="S166" s="152" t="s">
        <v>81</v>
      </c>
      <c r="T166" s="166">
        <v>3.01</v>
      </c>
      <c r="U166" s="152" t="s">
        <v>286</v>
      </c>
      <c r="V166" s="161">
        <v>5.5E-2</v>
      </c>
      <c r="W166" s="152" t="s">
        <v>2169</v>
      </c>
      <c r="X166" s="152" t="s">
        <v>2120</v>
      </c>
      <c r="Y166" s="167">
        <v>0</v>
      </c>
      <c r="Z166" s="168">
        <v>2.9399999999999999E-2</v>
      </c>
      <c r="AA166" s="152" t="s">
        <v>2188</v>
      </c>
      <c r="AB166" s="152" t="s">
        <v>222</v>
      </c>
      <c r="AC166" s="152" t="s">
        <v>1626</v>
      </c>
      <c r="AD166" s="166">
        <v>482000</v>
      </c>
      <c r="AE166" s="168">
        <v>0.73</v>
      </c>
      <c r="AF166" s="152" t="s">
        <v>1878</v>
      </c>
      <c r="AG166" s="152" t="s">
        <v>72</v>
      </c>
      <c r="AH166" s="152"/>
      <c r="AI166" s="152" t="s">
        <v>2182</v>
      </c>
      <c r="AJ166" s="152" t="s">
        <v>373</v>
      </c>
      <c r="AK166" s="152" t="s">
        <v>1454</v>
      </c>
      <c r="AL166" s="152" t="s">
        <v>2174</v>
      </c>
      <c r="AM166" s="152" t="s">
        <v>1671</v>
      </c>
      <c r="AN166" s="160" t="s">
        <v>1455</v>
      </c>
      <c r="AO166" s="152" t="s">
        <v>1878</v>
      </c>
      <c r="AP166" s="161">
        <v>0</v>
      </c>
      <c r="AQ166" s="162">
        <v>1687.82</v>
      </c>
      <c r="AR166" s="170">
        <v>127.26</v>
      </c>
      <c r="AS166" s="171">
        <v>1</v>
      </c>
      <c r="AT166" s="166">
        <v>2.1480000000000001</v>
      </c>
      <c r="AU166" s="166">
        <v>2.1480000000000001</v>
      </c>
      <c r="AV166" s="152"/>
      <c r="AW166" s="152"/>
      <c r="AX166" t="s">
        <v>72</v>
      </c>
      <c r="AY166" t="s">
        <v>16</v>
      </c>
      <c r="AZ166" s="45">
        <v>3.0431874909452599E-3</v>
      </c>
      <c r="BA166" s="45">
        <v>2.9319360713803199E-5</v>
      </c>
    </row>
    <row r="167" spans="1:53" x14ac:dyDescent="0.25">
      <c r="A167" s="152">
        <v>969</v>
      </c>
      <c r="B167" s="152">
        <v>969</v>
      </c>
      <c r="C167" s="152">
        <v>513326439</v>
      </c>
      <c r="D167" s="152" t="s">
        <v>1721</v>
      </c>
      <c r="E167" s="152" t="s">
        <v>2195</v>
      </c>
      <c r="F167" s="152">
        <v>97261</v>
      </c>
      <c r="G167" s="152" t="s">
        <v>2165</v>
      </c>
      <c r="H167" s="152"/>
      <c r="I167" s="152" t="s">
        <v>71</v>
      </c>
      <c r="J167" s="152" t="s">
        <v>71</v>
      </c>
      <c r="K167" s="152" t="s">
        <v>234</v>
      </c>
      <c r="L167" s="152" t="s">
        <v>72</v>
      </c>
      <c r="M167" s="152" t="s">
        <v>373</v>
      </c>
      <c r="N167" s="152">
        <v>11898505</v>
      </c>
      <c r="O167" s="160" t="s">
        <v>2196</v>
      </c>
      <c r="P167" s="152" t="s">
        <v>228</v>
      </c>
      <c r="Q167" s="152" t="s">
        <v>219</v>
      </c>
      <c r="R167" s="152" t="s">
        <v>2168</v>
      </c>
      <c r="S167" s="152" t="s">
        <v>81</v>
      </c>
      <c r="T167" s="166">
        <v>3.01</v>
      </c>
      <c r="U167" s="152" t="s">
        <v>2184</v>
      </c>
      <c r="V167" s="161">
        <v>5.6132000000000001E-2</v>
      </c>
      <c r="W167" s="152" t="s">
        <v>2169</v>
      </c>
      <c r="X167" s="152" t="s">
        <v>2170</v>
      </c>
      <c r="Y167" s="167">
        <v>5.6132000000000001E-2</v>
      </c>
      <c r="Z167" s="168">
        <v>2.9399999999999999E-2</v>
      </c>
      <c r="AA167" s="152" t="s">
        <v>2188</v>
      </c>
      <c r="AB167" s="152" t="s">
        <v>222</v>
      </c>
      <c r="AC167" s="152" t="s">
        <v>1626</v>
      </c>
      <c r="AD167" s="166">
        <v>482000</v>
      </c>
      <c r="AE167" s="168">
        <v>0.73</v>
      </c>
      <c r="AF167" s="152" t="s">
        <v>1878</v>
      </c>
      <c r="AG167" s="152" t="s">
        <v>72</v>
      </c>
      <c r="AH167" s="152"/>
      <c r="AI167" s="152" t="s">
        <v>2182</v>
      </c>
      <c r="AJ167" s="152" t="s">
        <v>373</v>
      </c>
      <c r="AK167" s="152" t="s">
        <v>1454</v>
      </c>
      <c r="AL167" s="152" t="s">
        <v>2174</v>
      </c>
      <c r="AM167" s="152" t="s">
        <v>1671</v>
      </c>
      <c r="AN167" s="160" t="s">
        <v>1455</v>
      </c>
      <c r="AO167" s="152" t="s">
        <v>1878</v>
      </c>
      <c r="AP167" s="161">
        <v>0</v>
      </c>
      <c r="AQ167" s="162">
        <v>247.88</v>
      </c>
      <c r="AR167" s="170">
        <v>129.61000000000001</v>
      </c>
      <c r="AS167" s="171">
        <v>1</v>
      </c>
      <c r="AT167" s="166">
        <v>0.32100000000000001</v>
      </c>
      <c r="AU167" s="166">
        <v>0.32100000000000001</v>
      </c>
      <c r="AV167" s="152"/>
      <c r="AW167" s="152"/>
      <c r="AX167" t="s">
        <v>72</v>
      </c>
      <c r="AY167" t="s">
        <v>16</v>
      </c>
      <c r="AZ167" s="45">
        <v>4.55187849218319E-4</v>
      </c>
      <c r="BA167" s="45">
        <v>4.3854730553018698E-6</v>
      </c>
    </row>
    <row r="168" spans="1:53" x14ac:dyDescent="0.25">
      <c r="A168" s="152">
        <v>969</v>
      </c>
      <c r="B168" s="152">
        <v>969</v>
      </c>
      <c r="C168" s="152">
        <v>513326439</v>
      </c>
      <c r="D168" s="152" t="s">
        <v>1721</v>
      </c>
      <c r="E168" s="152" t="s">
        <v>2197</v>
      </c>
      <c r="F168" s="152">
        <v>29199</v>
      </c>
      <c r="G168" s="152" t="s">
        <v>2165</v>
      </c>
      <c r="H168" s="152"/>
      <c r="I168" s="152" t="s">
        <v>71</v>
      </c>
      <c r="J168" s="152" t="s">
        <v>71</v>
      </c>
      <c r="K168" s="152" t="s">
        <v>234</v>
      </c>
      <c r="L168" s="152" t="s">
        <v>72</v>
      </c>
      <c r="M168" s="152" t="s">
        <v>373</v>
      </c>
      <c r="N168" s="152">
        <v>11898506</v>
      </c>
      <c r="O168" s="160" t="s">
        <v>2180</v>
      </c>
      <c r="P168" s="152" t="s">
        <v>228</v>
      </c>
      <c r="Q168" s="152" t="s">
        <v>219</v>
      </c>
      <c r="R168" s="152" t="s">
        <v>2168</v>
      </c>
      <c r="S168" s="152" t="s">
        <v>81</v>
      </c>
      <c r="T168" s="166">
        <v>3.01</v>
      </c>
      <c r="U168" s="152" t="s">
        <v>2184</v>
      </c>
      <c r="V168" s="161">
        <v>5.6691999999999999E-2</v>
      </c>
      <c r="W168" s="152" t="s">
        <v>2169</v>
      </c>
      <c r="X168" s="152" t="s">
        <v>2120</v>
      </c>
      <c r="Y168" s="167">
        <v>0</v>
      </c>
      <c r="Z168" s="168">
        <v>2.93E-2</v>
      </c>
      <c r="AA168" s="152" t="s">
        <v>2198</v>
      </c>
      <c r="AB168" s="152" t="s">
        <v>222</v>
      </c>
      <c r="AC168" s="152" t="s">
        <v>1626</v>
      </c>
      <c r="AD168" s="166">
        <v>482000</v>
      </c>
      <c r="AE168" s="168">
        <v>0.73</v>
      </c>
      <c r="AF168" s="152" t="s">
        <v>1878</v>
      </c>
      <c r="AG168" s="152" t="s">
        <v>72</v>
      </c>
      <c r="AH168" s="152"/>
      <c r="AI168" s="152" t="s">
        <v>2182</v>
      </c>
      <c r="AJ168" s="152" t="s">
        <v>373</v>
      </c>
      <c r="AK168" s="152" t="s">
        <v>1454</v>
      </c>
      <c r="AL168" s="152" t="s">
        <v>2174</v>
      </c>
      <c r="AM168" s="152" t="s">
        <v>1671</v>
      </c>
      <c r="AN168" s="160" t="s">
        <v>1455</v>
      </c>
      <c r="AO168" s="152" t="s">
        <v>1878</v>
      </c>
      <c r="AP168" s="161">
        <v>0</v>
      </c>
      <c r="AQ168" s="162">
        <v>499.13</v>
      </c>
      <c r="AR168" s="170">
        <v>130.01</v>
      </c>
      <c r="AS168" s="171">
        <v>1</v>
      </c>
      <c r="AT168" s="166">
        <v>0.64900000000000002</v>
      </c>
      <c r="AU168" s="166">
        <v>0.64900000000000002</v>
      </c>
      <c r="AV168" s="152"/>
      <c r="AW168" s="152"/>
      <c r="AX168" t="s">
        <v>72</v>
      </c>
      <c r="AY168" t="s">
        <v>16</v>
      </c>
      <c r="AZ168" s="45">
        <v>9.1939279166666505E-4</v>
      </c>
      <c r="BA168" s="45">
        <v>8.8578206162948297E-6</v>
      </c>
    </row>
    <row r="169" spans="1:53" x14ac:dyDescent="0.25">
      <c r="A169" s="152">
        <v>969</v>
      </c>
      <c r="B169" s="152">
        <v>969</v>
      </c>
      <c r="C169" s="152">
        <v>513326439</v>
      </c>
      <c r="D169" s="152" t="s">
        <v>1721</v>
      </c>
      <c r="E169" s="152" t="s">
        <v>2199</v>
      </c>
      <c r="F169" s="152">
        <v>97287</v>
      </c>
      <c r="G169" s="152" t="s">
        <v>2165</v>
      </c>
      <c r="H169" s="152"/>
      <c r="I169" s="152" t="s">
        <v>71</v>
      </c>
      <c r="J169" s="152" t="s">
        <v>71</v>
      </c>
      <c r="K169" s="152" t="s">
        <v>234</v>
      </c>
      <c r="L169" s="152" t="s">
        <v>72</v>
      </c>
      <c r="M169" s="152" t="s">
        <v>373</v>
      </c>
      <c r="N169" s="152">
        <v>11898509</v>
      </c>
      <c r="O169" s="160" t="s">
        <v>2200</v>
      </c>
      <c r="P169" s="152" t="s">
        <v>228</v>
      </c>
      <c r="Q169" s="152" t="s">
        <v>219</v>
      </c>
      <c r="R169" s="152" t="s">
        <v>2168</v>
      </c>
      <c r="S169" s="152" t="s">
        <v>81</v>
      </c>
      <c r="T169" s="166">
        <v>3.01</v>
      </c>
      <c r="U169" s="152" t="s">
        <v>2184</v>
      </c>
      <c r="V169" s="161">
        <v>5.5E-2</v>
      </c>
      <c r="W169" s="152" t="s">
        <v>2169</v>
      </c>
      <c r="X169" s="152" t="s">
        <v>2170</v>
      </c>
      <c r="Y169" s="167">
        <v>5.5E-2</v>
      </c>
      <c r="Z169" s="168">
        <v>2.9399999999999999E-2</v>
      </c>
      <c r="AA169" s="152" t="s">
        <v>2188</v>
      </c>
      <c r="AB169" s="152" t="s">
        <v>222</v>
      </c>
      <c r="AC169" s="152" t="s">
        <v>1626</v>
      </c>
      <c r="AD169" s="166">
        <v>482000</v>
      </c>
      <c r="AE169" s="168">
        <v>0.73</v>
      </c>
      <c r="AF169" s="152" t="s">
        <v>1878</v>
      </c>
      <c r="AG169" s="152" t="s">
        <v>72</v>
      </c>
      <c r="AH169" s="152"/>
      <c r="AI169" s="152" t="s">
        <v>2182</v>
      </c>
      <c r="AJ169" s="152" t="s">
        <v>373</v>
      </c>
      <c r="AK169" s="152" t="s">
        <v>1454</v>
      </c>
      <c r="AL169" s="152" t="s">
        <v>2174</v>
      </c>
      <c r="AM169" s="152" t="s">
        <v>1671</v>
      </c>
      <c r="AN169" s="160" t="s">
        <v>1455</v>
      </c>
      <c r="AO169" s="152" t="s">
        <v>1878</v>
      </c>
      <c r="AP169" s="161">
        <v>0</v>
      </c>
      <c r="AQ169" s="162">
        <v>299.5</v>
      </c>
      <c r="AR169" s="170">
        <v>129.97</v>
      </c>
      <c r="AS169" s="171">
        <v>1</v>
      </c>
      <c r="AT169" s="166">
        <v>0.38900000000000001</v>
      </c>
      <c r="AU169" s="166">
        <v>0.38900000000000001</v>
      </c>
      <c r="AV169" s="152"/>
      <c r="AW169" s="152"/>
      <c r="AX169" t="s">
        <v>72</v>
      </c>
      <c r="AY169" t="s">
        <v>16</v>
      </c>
      <c r="AZ169" s="45">
        <v>5.5150646532794903E-4</v>
      </c>
      <c r="BA169" s="45">
        <v>5.31344750892168E-6</v>
      </c>
    </row>
    <row r="170" spans="1:53" x14ac:dyDescent="0.25">
      <c r="A170" s="152">
        <v>969</v>
      </c>
      <c r="B170" s="152">
        <v>969</v>
      </c>
      <c r="C170" s="152">
        <v>513326439</v>
      </c>
      <c r="D170" s="152" t="s">
        <v>1721</v>
      </c>
      <c r="E170" s="152" t="s">
        <v>2201</v>
      </c>
      <c r="F170" s="152">
        <v>97345</v>
      </c>
      <c r="G170" s="152" t="s">
        <v>2165</v>
      </c>
      <c r="H170" s="152"/>
      <c r="I170" s="152" t="s">
        <v>71</v>
      </c>
      <c r="J170" s="152" t="s">
        <v>71</v>
      </c>
      <c r="K170" s="152" t="s">
        <v>234</v>
      </c>
      <c r="L170" s="152" t="s">
        <v>72</v>
      </c>
      <c r="M170" s="152" t="s">
        <v>373</v>
      </c>
      <c r="N170" s="152">
        <v>11898507</v>
      </c>
      <c r="O170" s="160" t="s">
        <v>2202</v>
      </c>
      <c r="P170" s="152" t="s">
        <v>228</v>
      </c>
      <c r="Q170" s="152" t="s">
        <v>219</v>
      </c>
      <c r="R170" s="152" t="s">
        <v>2168</v>
      </c>
      <c r="S170" s="152" t="s">
        <v>81</v>
      </c>
      <c r="T170" s="166">
        <v>3.01</v>
      </c>
      <c r="U170" s="152" t="s">
        <v>2184</v>
      </c>
      <c r="V170" s="161">
        <v>5.5E-2</v>
      </c>
      <c r="W170" s="152" t="s">
        <v>2169</v>
      </c>
      <c r="X170" s="152" t="s">
        <v>2170</v>
      </c>
      <c r="Y170" s="167">
        <v>5.5E-2</v>
      </c>
      <c r="Z170" s="168">
        <v>2.9399999999999999E-2</v>
      </c>
      <c r="AA170" s="152" t="s">
        <v>2188</v>
      </c>
      <c r="AB170" s="152" t="s">
        <v>222</v>
      </c>
      <c r="AC170" s="152" t="s">
        <v>1626</v>
      </c>
      <c r="AD170" s="166">
        <v>482000</v>
      </c>
      <c r="AE170" s="168">
        <v>0.73</v>
      </c>
      <c r="AF170" s="152" t="s">
        <v>1878</v>
      </c>
      <c r="AG170" s="152" t="s">
        <v>72</v>
      </c>
      <c r="AH170" s="152"/>
      <c r="AI170" s="152" t="s">
        <v>2182</v>
      </c>
      <c r="AJ170" s="152" t="s">
        <v>373</v>
      </c>
      <c r="AK170" s="152" t="s">
        <v>1454</v>
      </c>
      <c r="AL170" s="152" t="s">
        <v>2174</v>
      </c>
      <c r="AM170" s="152" t="s">
        <v>1671</v>
      </c>
      <c r="AN170" s="160" t="s">
        <v>1455</v>
      </c>
      <c r="AO170" s="152" t="s">
        <v>1878</v>
      </c>
      <c r="AP170" s="161">
        <v>0</v>
      </c>
      <c r="AQ170" s="162">
        <v>5393.82</v>
      </c>
      <c r="AR170" s="170">
        <v>129.93</v>
      </c>
      <c r="AS170" s="171">
        <v>1</v>
      </c>
      <c r="AT170" s="166">
        <v>7.008</v>
      </c>
      <c r="AU170" s="166">
        <v>7.008</v>
      </c>
      <c r="AV170" s="152"/>
      <c r="AW170" s="152"/>
      <c r="AX170" t="s">
        <v>72</v>
      </c>
      <c r="AY170" t="s">
        <v>16</v>
      </c>
      <c r="AZ170" s="45">
        <v>9.9292523908182904E-3</v>
      </c>
      <c r="BA170" s="45">
        <v>9.5662634435438002E-5</v>
      </c>
    </row>
    <row r="171" spans="1:53" x14ac:dyDescent="0.25">
      <c r="A171" s="152">
        <v>969</v>
      </c>
      <c r="B171" s="152">
        <v>969</v>
      </c>
      <c r="C171" s="152">
        <v>513326439</v>
      </c>
      <c r="D171" s="152" t="s">
        <v>1721</v>
      </c>
      <c r="E171" s="152" t="s">
        <v>2203</v>
      </c>
      <c r="F171" s="152">
        <v>28415</v>
      </c>
      <c r="G171" s="152" t="s">
        <v>2165</v>
      </c>
      <c r="H171" s="152"/>
      <c r="I171" s="152" t="s">
        <v>71</v>
      </c>
      <c r="J171" s="152" t="s">
        <v>71</v>
      </c>
      <c r="K171" s="152" t="s">
        <v>234</v>
      </c>
      <c r="L171" s="152" t="s">
        <v>72</v>
      </c>
      <c r="M171" s="152" t="s">
        <v>373</v>
      </c>
      <c r="N171" s="152">
        <v>11898160</v>
      </c>
      <c r="O171" s="160" t="s">
        <v>2204</v>
      </c>
      <c r="P171" s="152" t="s">
        <v>228</v>
      </c>
      <c r="Q171" s="152" t="s">
        <v>219</v>
      </c>
      <c r="R171" s="152" t="s">
        <v>2168</v>
      </c>
      <c r="S171" s="152" t="s">
        <v>81</v>
      </c>
      <c r="T171" s="166">
        <v>3.01</v>
      </c>
      <c r="U171" s="152" t="s">
        <v>2184</v>
      </c>
      <c r="V171" s="161">
        <v>5.5E-2</v>
      </c>
      <c r="W171" s="152" t="s">
        <v>2169</v>
      </c>
      <c r="X171" s="152" t="s">
        <v>2170</v>
      </c>
      <c r="Y171" s="167">
        <v>5.5E-2</v>
      </c>
      <c r="Z171" s="168">
        <v>2.9399999999999999E-2</v>
      </c>
      <c r="AA171" s="152" t="s">
        <v>2181</v>
      </c>
      <c r="AB171" s="152" t="s">
        <v>222</v>
      </c>
      <c r="AC171" s="152" t="s">
        <v>1626</v>
      </c>
      <c r="AD171" s="166">
        <v>482000</v>
      </c>
      <c r="AE171" s="168">
        <v>0.73</v>
      </c>
      <c r="AF171" s="152" t="s">
        <v>1878</v>
      </c>
      <c r="AG171" s="152" t="s">
        <v>72</v>
      </c>
      <c r="AH171" s="152"/>
      <c r="AI171" s="152" t="s">
        <v>2182</v>
      </c>
      <c r="AJ171" s="152" t="s">
        <v>373</v>
      </c>
      <c r="AK171" s="152" t="s">
        <v>1454</v>
      </c>
      <c r="AL171" s="152" t="s">
        <v>2174</v>
      </c>
      <c r="AM171" s="152" t="s">
        <v>1671</v>
      </c>
      <c r="AN171" s="160" t="s">
        <v>1455</v>
      </c>
      <c r="AO171" s="152" t="s">
        <v>1878</v>
      </c>
      <c r="AP171" s="161">
        <v>0</v>
      </c>
      <c r="AQ171" s="162">
        <v>617.48</v>
      </c>
      <c r="AR171" s="170">
        <v>126.78</v>
      </c>
      <c r="AS171" s="171">
        <v>1</v>
      </c>
      <c r="AT171" s="166">
        <v>0.78300000000000003</v>
      </c>
      <c r="AU171" s="166">
        <v>0.78300000000000003</v>
      </c>
      <c r="AV171" s="152"/>
      <c r="AW171" s="152"/>
      <c r="AX171" t="s">
        <v>72</v>
      </c>
      <c r="AY171" t="s">
        <v>16</v>
      </c>
      <c r="AZ171" s="45">
        <v>1.10913473223685E-3</v>
      </c>
      <c r="BA171" s="45">
        <v>1.0685875054171899E-5</v>
      </c>
    </row>
    <row r="172" spans="1:53" x14ac:dyDescent="0.25">
      <c r="A172" s="152">
        <v>969</v>
      </c>
      <c r="B172" s="152">
        <v>969</v>
      </c>
      <c r="C172" s="152">
        <v>513326439</v>
      </c>
      <c r="D172" s="152" t="s">
        <v>1721</v>
      </c>
      <c r="E172" s="152" t="s">
        <v>2205</v>
      </c>
      <c r="F172" s="152">
        <v>24836</v>
      </c>
      <c r="G172" s="152" t="s">
        <v>2165</v>
      </c>
      <c r="H172" s="152"/>
      <c r="I172" s="152" t="s">
        <v>71</v>
      </c>
      <c r="J172" s="152" t="s">
        <v>71</v>
      </c>
      <c r="K172" s="152" t="s">
        <v>234</v>
      </c>
      <c r="L172" s="152" t="s">
        <v>72</v>
      </c>
      <c r="M172" s="152" t="s">
        <v>373</v>
      </c>
      <c r="N172" s="152">
        <v>11898200</v>
      </c>
      <c r="O172" s="160" t="s">
        <v>2180</v>
      </c>
      <c r="P172" s="152" t="s">
        <v>228</v>
      </c>
      <c r="Q172" s="152" t="s">
        <v>219</v>
      </c>
      <c r="R172" s="152" t="s">
        <v>2168</v>
      </c>
      <c r="S172" s="152" t="s">
        <v>81</v>
      </c>
      <c r="T172" s="166">
        <v>3.02</v>
      </c>
      <c r="U172" s="152" t="s">
        <v>286</v>
      </c>
      <c r="V172" s="161">
        <v>5.5E-2</v>
      </c>
      <c r="W172" s="152" t="s">
        <v>2169</v>
      </c>
      <c r="X172" s="152" t="s">
        <v>2120</v>
      </c>
      <c r="Y172" s="167">
        <v>0</v>
      </c>
      <c r="Z172" s="168">
        <v>2.93E-2</v>
      </c>
      <c r="AA172" s="152" t="s">
        <v>2181</v>
      </c>
      <c r="AB172" s="152" t="s">
        <v>222</v>
      </c>
      <c r="AC172" s="152" t="s">
        <v>1626</v>
      </c>
      <c r="AD172" s="166">
        <v>482000</v>
      </c>
      <c r="AE172" s="168">
        <v>0.73</v>
      </c>
      <c r="AF172" s="152" t="s">
        <v>1878</v>
      </c>
      <c r="AG172" s="152" t="s">
        <v>72</v>
      </c>
      <c r="AH172" s="152"/>
      <c r="AI172" s="152" t="s">
        <v>2182</v>
      </c>
      <c r="AJ172" s="152" t="s">
        <v>373</v>
      </c>
      <c r="AK172" s="152" t="s">
        <v>1454</v>
      </c>
      <c r="AL172" s="152" t="s">
        <v>2174</v>
      </c>
      <c r="AM172" s="152" t="s">
        <v>1671</v>
      </c>
      <c r="AN172" s="160" t="s">
        <v>1455</v>
      </c>
      <c r="AO172" s="152" t="s">
        <v>1878</v>
      </c>
      <c r="AP172" s="161">
        <v>0</v>
      </c>
      <c r="AQ172" s="162">
        <v>511.45</v>
      </c>
      <c r="AR172" s="170">
        <v>126.72</v>
      </c>
      <c r="AS172" s="171">
        <v>1</v>
      </c>
      <c r="AT172" s="166">
        <v>0.64800000000000002</v>
      </c>
      <c r="AU172" s="166">
        <v>0.64800000000000002</v>
      </c>
      <c r="AV172" s="152"/>
      <c r="AW172" s="152"/>
      <c r="AX172" t="s">
        <v>72</v>
      </c>
      <c r="AY172" t="s">
        <v>16</v>
      </c>
      <c r="AZ172" s="45">
        <v>9.18245924737162E-4</v>
      </c>
      <c r="BA172" s="45">
        <v>8.8467712132275192E-6</v>
      </c>
    </row>
    <row r="173" spans="1:53" x14ac:dyDescent="0.25">
      <c r="A173" s="152">
        <v>969</v>
      </c>
      <c r="B173" s="152">
        <v>969</v>
      </c>
      <c r="C173" s="152">
        <v>513326439</v>
      </c>
      <c r="D173" s="152" t="s">
        <v>1721</v>
      </c>
      <c r="E173" s="152" t="s">
        <v>2206</v>
      </c>
      <c r="F173" s="152">
        <v>97329</v>
      </c>
      <c r="G173" s="152" t="s">
        <v>2165</v>
      </c>
      <c r="H173" s="152"/>
      <c r="I173" s="152" t="s">
        <v>71</v>
      </c>
      <c r="J173" s="152" t="s">
        <v>71</v>
      </c>
      <c r="K173" s="152" t="s">
        <v>234</v>
      </c>
      <c r="L173" s="152" t="s">
        <v>72</v>
      </c>
      <c r="M173" s="152" t="s">
        <v>373</v>
      </c>
      <c r="N173" s="152">
        <v>11898514</v>
      </c>
      <c r="O173" s="160" t="s">
        <v>2207</v>
      </c>
      <c r="P173" s="152" t="s">
        <v>228</v>
      </c>
      <c r="Q173" s="152" t="s">
        <v>219</v>
      </c>
      <c r="R173" s="152" t="s">
        <v>2168</v>
      </c>
      <c r="S173" s="152" t="s">
        <v>81</v>
      </c>
      <c r="T173" s="166">
        <v>3.01</v>
      </c>
      <c r="U173" s="152" t="s">
        <v>2184</v>
      </c>
      <c r="V173" s="161">
        <v>5.5E-2</v>
      </c>
      <c r="W173" s="152" t="s">
        <v>2169</v>
      </c>
      <c r="X173" s="152" t="s">
        <v>2170</v>
      </c>
      <c r="Y173" s="167">
        <v>5.5E-2</v>
      </c>
      <c r="Z173" s="168">
        <v>2.9399999999999999E-2</v>
      </c>
      <c r="AA173" s="152" t="s">
        <v>2188</v>
      </c>
      <c r="AB173" s="152" t="s">
        <v>222</v>
      </c>
      <c r="AC173" s="152" t="s">
        <v>1626</v>
      </c>
      <c r="AD173" s="166">
        <v>482000</v>
      </c>
      <c r="AE173" s="168">
        <v>0.73</v>
      </c>
      <c r="AF173" s="152" t="s">
        <v>1878</v>
      </c>
      <c r="AG173" s="152" t="s">
        <v>72</v>
      </c>
      <c r="AH173" s="152"/>
      <c r="AI173" s="152" t="s">
        <v>2182</v>
      </c>
      <c r="AJ173" s="152" t="s">
        <v>373</v>
      </c>
      <c r="AK173" s="152" t="s">
        <v>1454</v>
      </c>
      <c r="AL173" s="152" t="s">
        <v>2174</v>
      </c>
      <c r="AM173" s="152" t="s">
        <v>1671</v>
      </c>
      <c r="AN173" s="160" t="s">
        <v>1455</v>
      </c>
      <c r="AO173" s="152" t="s">
        <v>1878</v>
      </c>
      <c r="AP173" s="161">
        <v>0</v>
      </c>
      <c r="AQ173" s="162">
        <v>1169.43</v>
      </c>
      <c r="AR173" s="170">
        <v>128.94</v>
      </c>
      <c r="AS173" s="171">
        <v>1</v>
      </c>
      <c r="AT173" s="166">
        <v>1.508</v>
      </c>
      <c r="AU173" s="166">
        <v>1.508</v>
      </c>
      <c r="AV173" s="152"/>
      <c r="AW173" s="152"/>
      <c r="AX173" t="s">
        <v>72</v>
      </c>
      <c r="AY173" t="s">
        <v>16</v>
      </c>
      <c r="AZ173" s="45">
        <v>2.1363507579495798E-3</v>
      </c>
      <c r="BA173" s="45">
        <v>2.0582510499237999E-5</v>
      </c>
    </row>
    <row r="174" spans="1:53" x14ac:dyDescent="0.25">
      <c r="A174" s="152">
        <v>969</v>
      </c>
      <c r="B174" s="152">
        <v>969</v>
      </c>
      <c r="C174" s="152">
        <v>513326439</v>
      </c>
      <c r="D174" s="152" t="s">
        <v>1721</v>
      </c>
      <c r="E174" s="152" t="s">
        <v>2208</v>
      </c>
      <c r="F174" s="152">
        <v>24869</v>
      </c>
      <c r="G174" s="152" t="s">
        <v>2165</v>
      </c>
      <c r="H174" s="152"/>
      <c r="I174" s="152" t="s">
        <v>71</v>
      </c>
      <c r="J174" s="152" t="s">
        <v>71</v>
      </c>
      <c r="K174" s="152" t="s">
        <v>234</v>
      </c>
      <c r="L174" s="152" t="s">
        <v>72</v>
      </c>
      <c r="M174" s="152" t="s">
        <v>373</v>
      </c>
      <c r="N174" s="152">
        <v>11898230</v>
      </c>
      <c r="O174" s="160" t="s">
        <v>2209</v>
      </c>
      <c r="P174" s="152" t="s">
        <v>228</v>
      </c>
      <c r="Q174" s="152" t="s">
        <v>219</v>
      </c>
      <c r="R174" s="152" t="s">
        <v>2168</v>
      </c>
      <c r="S174" s="152" t="s">
        <v>81</v>
      </c>
      <c r="T174" s="166">
        <v>3.01</v>
      </c>
      <c r="U174" s="152" t="s">
        <v>2184</v>
      </c>
      <c r="V174" s="161">
        <v>5.5E-2</v>
      </c>
      <c r="W174" s="152" t="s">
        <v>2169</v>
      </c>
      <c r="X174" s="152" t="s">
        <v>2170</v>
      </c>
      <c r="Y174" s="167">
        <v>5.5E-2</v>
      </c>
      <c r="Z174" s="168">
        <v>2.9399999999999999E-2</v>
      </c>
      <c r="AA174" s="152" t="s">
        <v>2181</v>
      </c>
      <c r="AB174" s="152" t="s">
        <v>222</v>
      </c>
      <c r="AC174" s="152" t="s">
        <v>1626</v>
      </c>
      <c r="AD174" s="166">
        <v>482000</v>
      </c>
      <c r="AE174" s="168">
        <v>0.73</v>
      </c>
      <c r="AF174" s="152" t="s">
        <v>1878</v>
      </c>
      <c r="AG174" s="152" t="s">
        <v>72</v>
      </c>
      <c r="AH174" s="152"/>
      <c r="AI174" s="152" t="s">
        <v>2182</v>
      </c>
      <c r="AJ174" s="152" t="s">
        <v>373</v>
      </c>
      <c r="AK174" s="152" t="s">
        <v>1454</v>
      </c>
      <c r="AL174" s="152" t="s">
        <v>234</v>
      </c>
      <c r="AM174" s="152" t="s">
        <v>1671</v>
      </c>
      <c r="AN174" s="160" t="s">
        <v>1455</v>
      </c>
      <c r="AO174" s="152" t="s">
        <v>1878</v>
      </c>
      <c r="AP174" s="161">
        <v>0</v>
      </c>
      <c r="AQ174" s="162">
        <v>4514.41</v>
      </c>
      <c r="AR174" s="170">
        <v>126.93</v>
      </c>
      <c r="AS174" s="171">
        <v>1</v>
      </c>
      <c r="AT174" s="166">
        <v>5.73</v>
      </c>
      <c r="AU174" s="166">
        <v>5.73</v>
      </c>
      <c r="AV174" s="152"/>
      <c r="AW174" s="152"/>
      <c r="AX174" t="s">
        <v>72</v>
      </c>
      <c r="AY174" t="s">
        <v>16</v>
      </c>
      <c r="AZ174" s="45">
        <v>8.1185027424660796E-3</v>
      </c>
      <c r="BA174" s="45">
        <v>7.8217103307173403E-5</v>
      </c>
    </row>
    <row r="175" spans="1:53" x14ac:dyDescent="0.25">
      <c r="A175" s="152">
        <v>969</v>
      </c>
      <c r="B175" s="152">
        <v>969</v>
      </c>
      <c r="C175" s="152">
        <v>513326439</v>
      </c>
      <c r="D175" s="152" t="s">
        <v>1721</v>
      </c>
      <c r="E175" s="152" t="s">
        <v>2210</v>
      </c>
      <c r="F175" s="152">
        <v>78022</v>
      </c>
      <c r="G175" s="152" t="s">
        <v>2165</v>
      </c>
      <c r="H175" s="152"/>
      <c r="I175" s="152" t="s">
        <v>71</v>
      </c>
      <c r="J175" s="152" t="s">
        <v>71</v>
      </c>
      <c r="K175" s="152" t="s">
        <v>234</v>
      </c>
      <c r="L175" s="152" t="s">
        <v>72</v>
      </c>
      <c r="M175" s="152" t="s">
        <v>373</v>
      </c>
      <c r="N175" s="152">
        <v>11898515</v>
      </c>
      <c r="O175" s="160" t="s">
        <v>2180</v>
      </c>
      <c r="P175" s="152" t="s">
        <v>228</v>
      </c>
      <c r="Q175" s="152" t="s">
        <v>219</v>
      </c>
      <c r="R175" s="152" t="s">
        <v>2168</v>
      </c>
      <c r="S175" s="152" t="s">
        <v>81</v>
      </c>
      <c r="T175" s="166">
        <v>3.01</v>
      </c>
      <c r="U175" s="152" t="s">
        <v>2184</v>
      </c>
      <c r="V175" s="161">
        <v>5.5E-2</v>
      </c>
      <c r="W175" s="152" t="s">
        <v>2169</v>
      </c>
      <c r="X175" s="152" t="s">
        <v>2120</v>
      </c>
      <c r="Y175" s="167">
        <v>0</v>
      </c>
      <c r="Z175" s="168">
        <v>2.9399999999999999E-2</v>
      </c>
      <c r="AA175" s="152" t="s">
        <v>2188</v>
      </c>
      <c r="AB175" s="152" t="s">
        <v>222</v>
      </c>
      <c r="AC175" s="152" t="s">
        <v>1626</v>
      </c>
      <c r="AD175" s="166">
        <v>482000</v>
      </c>
      <c r="AE175" s="168">
        <v>0.73</v>
      </c>
      <c r="AF175" s="152" t="s">
        <v>1878</v>
      </c>
      <c r="AG175" s="152" t="s">
        <v>72</v>
      </c>
      <c r="AH175" s="152"/>
      <c r="AI175" s="152" t="s">
        <v>2182</v>
      </c>
      <c r="AJ175" s="152" t="s">
        <v>373</v>
      </c>
      <c r="AK175" s="152" t="s">
        <v>1454</v>
      </c>
      <c r="AL175" s="152" t="s">
        <v>2174</v>
      </c>
      <c r="AM175" s="152" t="s">
        <v>1671</v>
      </c>
      <c r="AN175" s="160" t="s">
        <v>1455</v>
      </c>
      <c r="AO175" s="152" t="s">
        <v>1878</v>
      </c>
      <c r="AP175" s="161">
        <v>0</v>
      </c>
      <c r="AQ175" s="162">
        <v>5483.45</v>
      </c>
      <c r="AR175" s="170">
        <v>128.9</v>
      </c>
      <c r="AS175" s="171">
        <v>1</v>
      </c>
      <c r="AT175" s="166">
        <v>7.0679999999999996</v>
      </c>
      <c r="AU175" s="166">
        <v>7.0679999999999996</v>
      </c>
      <c r="AV175" s="152"/>
      <c r="AW175" s="152"/>
      <c r="AX175" t="s">
        <v>72</v>
      </c>
      <c r="AY175" t="s">
        <v>16</v>
      </c>
      <c r="AZ175" s="45">
        <v>1.00142278270534E-2</v>
      </c>
      <c r="BA175" s="45">
        <v>9.6481323876756496E-5</v>
      </c>
    </row>
    <row r="176" spans="1:53" x14ac:dyDescent="0.25">
      <c r="A176" s="152">
        <v>969</v>
      </c>
      <c r="B176" s="152">
        <v>969</v>
      </c>
      <c r="C176" s="152">
        <v>513326439</v>
      </c>
      <c r="D176" s="152" t="s">
        <v>1721</v>
      </c>
      <c r="E176" s="152" t="s">
        <v>2211</v>
      </c>
      <c r="F176" s="152">
        <v>78006</v>
      </c>
      <c r="G176" s="152" t="s">
        <v>2165</v>
      </c>
      <c r="H176" s="152"/>
      <c r="I176" s="152" t="s">
        <v>71</v>
      </c>
      <c r="J176" s="152" t="s">
        <v>71</v>
      </c>
      <c r="K176" s="152" t="s">
        <v>234</v>
      </c>
      <c r="L176" s="152" t="s">
        <v>72</v>
      </c>
      <c r="M176" s="152" t="s">
        <v>373</v>
      </c>
      <c r="N176" s="152">
        <v>11898502</v>
      </c>
      <c r="O176" s="160" t="s">
        <v>2180</v>
      </c>
      <c r="P176" s="152" t="s">
        <v>228</v>
      </c>
      <c r="Q176" s="152" t="s">
        <v>219</v>
      </c>
      <c r="R176" s="152" t="s">
        <v>2168</v>
      </c>
      <c r="S176" s="152" t="s">
        <v>81</v>
      </c>
      <c r="T176" s="166">
        <v>3.01</v>
      </c>
      <c r="U176" s="152" t="s">
        <v>2184</v>
      </c>
      <c r="V176" s="161">
        <v>5.5888E-2</v>
      </c>
      <c r="W176" s="152" t="s">
        <v>2169</v>
      </c>
      <c r="X176" s="152" t="s">
        <v>2120</v>
      </c>
      <c r="Y176" s="167">
        <v>0</v>
      </c>
      <c r="Z176" s="168">
        <v>2.93E-2</v>
      </c>
      <c r="AA176" s="152" t="s">
        <v>2188</v>
      </c>
      <c r="AB176" s="152" t="s">
        <v>222</v>
      </c>
      <c r="AC176" s="152" t="s">
        <v>1626</v>
      </c>
      <c r="AD176" s="166">
        <v>482000</v>
      </c>
      <c r="AE176" s="168">
        <v>0.73</v>
      </c>
      <c r="AF176" s="152" t="s">
        <v>1878</v>
      </c>
      <c r="AG176" s="152" t="s">
        <v>72</v>
      </c>
      <c r="AH176" s="152"/>
      <c r="AI176" s="152" t="s">
        <v>2182</v>
      </c>
      <c r="AJ176" s="152" t="s">
        <v>373</v>
      </c>
      <c r="AK176" s="152" t="s">
        <v>1454</v>
      </c>
      <c r="AL176" s="152" t="s">
        <v>2174</v>
      </c>
      <c r="AM176" s="152" t="s">
        <v>1671</v>
      </c>
      <c r="AN176" s="160" t="s">
        <v>1455</v>
      </c>
      <c r="AO176" s="152" t="s">
        <v>1878</v>
      </c>
      <c r="AP176" s="161">
        <v>0</v>
      </c>
      <c r="AQ176" s="162">
        <v>1147.97</v>
      </c>
      <c r="AR176" s="170">
        <v>130.19</v>
      </c>
      <c r="AS176" s="171">
        <v>1</v>
      </c>
      <c r="AT176" s="166">
        <v>1.4950000000000001</v>
      </c>
      <c r="AU176" s="166">
        <v>1.4950000000000001</v>
      </c>
      <c r="AV176" s="152"/>
      <c r="AW176" s="152"/>
      <c r="AX176" t="s">
        <v>72</v>
      </c>
      <c r="AY176" t="s">
        <v>16</v>
      </c>
      <c r="AZ176" s="45">
        <v>2.11747761636938E-3</v>
      </c>
      <c r="BA176" s="45">
        <v>2.0400678637928399E-5</v>
      </c>
    </row>
    <row r="177" spans="1:53" x14ac:dyDescent="0.25">
      <c r="A177" s="152">
        <v>969</v>
      </c>
      <c r="B177" s="152">
        <v>969</v>
      </c>
      <c r="C177" s="152">
        <v>513326439</v>
      </c>
      <c r="D177" s="152" t="s">
        <v>1721</v>
      </c>
      <c r="E177" s="152" t="s">
        <v>2212</v>
      </c>
      <c r="F177" s="152">
        <v>97279</v>
      </c>
      <c r="G177" s="152" t="s">
        <v>2165</v>
      </c>
      <c r="H177" s="152"/>
      <c r="I177" s="152" t="s">
        <v>71</v>
      </c>
      <c r="J177" s="152" t="s">
        <v>71</v>
      </c>
      <c r="K177" s="152" t="s">
        <v>234</v>
      </c>
      <c r="L177" s="152" t="s">
        <v>72</v>
      </c>
      <c r="M177" s="152" t="s">
        <v>373</v>
      </c>
      <c r="N177" s="152">
        <v>11896120</v>
      </c>
      <c r="O177" s="160" t="s">
        <v>2213</v>
      </c>
      <c r="P177" s="152" t="s">
        <v>228</v>
      </c>
      <c r="Q177" s="152" t="s">
        <v>219</v>
      </c>
      <c r="R177" s="152" t="s">
        <v>2168</v>
      </c>
      <c r="S177" s="152" t="s">
        <v>81</v>
      </c>
      <c r="T177" s="166">
        <v>3.01</v>
      </c>
      <c r="U177" s="152" t="s">
        <v>2184</v>
      </c>
      <c r="V177" s="161">
        <v>5.6193E-2</v>
      </c>
      <c r="W177" s="152" t="s">
        <v>2169</v>
      </c>
      <c r="X177" s="152" t="s">
        <v>2170</v>
      </c>
      <c r="Y177" s="167">
        <v>5.6193E-2</v>
      </c>
      <c r="Z177" s="168">
        <v>2.9399999999999999E-2</v>
      </c>
      <c r="AA177" s="152" t="s">
        <v>2188</v>
      </c>
      <c r="AB177" s="152" t="s">
        <v>222</v>
      </c>
      <c r="AC177" s="152" t="s">
        <v>1626</v>
      </c>
      <c r="AD177" s="166">
        <v>482000</v>
      </c>
      <c r="AE177" s="168">
        <v>0.73</v>
      </c>
      <c r="AF177" s="152" t="s">
        <v>1878</v>
      </c>
      <c r="AG177" s="152" t="s">
        <v>72</v>
      </c>
      <c r="AH177" s="152"/>
      <c r="AI177" s="152" t="s">
        <v>2182</v>
      </c>
      <c r="AJ177" s="152" t="s">
        <v>373</v>
      </c>
      <c r="AK177" s="152" t="s">
        <v>1454</v>
      </c>
      <c r="AL177" s="152" t="s">
        <v>2174</v>
      </c>
      <c r="AM177" s="152" t="s">
        <v>1671</v>
      </c>
      <c r="AN177" s="160" t="s">
        <v>1455</v>
      </c>
      <c r="AO177" s="152" t="s">
        <v>1878</v>
      </c>
      <c r="AP177" s="161">
        <v>0</v>
      </c>
      <c r="AQ177" s="162">
        <v>1613.28</v>
      </c>
      <c r="AR177" s="170">
        <v>129.61000000000001</v>
      </c>
      <c r="AS177" s="171">
        <v>1</v>
      </c>
      <c r="AT177" s="166">
        <v>2.0910000000000002</v>
      </c>
      <c r="AU177" s="166">
        <v>2.0910000000000002</v>
      </c>
      <c r="AV177" s="152"/>
      <c r="AW177" s="152"/>
      <c r="AX177" t="s">
        <v>72</v>
      </c>
      <c r="AY177" t="s">
        <v>16</v>
      </c>
      <c r="AZ177" s="45">
        <v>2.9625038461631799E-3</v>
      </c>
      <c r="BA177" s="45">
        <v>2.8542020214044701E-5</v>
      </c>
    </row>
    <row r="178" spans="1:53" x14ac:dyDescent="0.25">
      <c r="A178" s="152">
        <v>969</v>
      </c>
      <c r="B178" s="152">
        <v>969</v>
      </c>
      <c r="C178" s="152">
        <v>513326439</v>
      </c>
      <c r="D178" s="152" t="s">
        <v>1721</v>
      </c>
      <c r="E178" s="152" t="s">
        <v>2214</v>
      </c>
      <c r="F178" s="152">
        <v>28704</v>
      </c>
      <c r="G178" s="152" t="s">
        <v>2165</v>
      </c>
      <c r="H178" s="152"/>
      <c r="I178" s="152" t="s">
        <v>71</v>
      </c>
      <c r="J178" s="152" t="s">
        <v>71</v>
      </c>
      <c r="K178" s="152" t="s">
        <v>234</v>
      </c>
      <c r="L178" s="152" t="s">
        <v>72</v>
      </c>
      <c r="M178" s="152" t="s">
        <v>373</v>
      </c>
      <c r="N178" s="152">
        <v>11898300</v>
      </c>
      <c r="O178" s="160" t="s">
        <v>2180</v>
      </c>
      <c r="P178" s="152" t="s">
        <v>228</v>
      </c>
      <c r="Q178" s="152" t="s">
        <v>219</v>
      </c>
      <c r="R178" s="152" t="s">
        <v>2168</v>
      </c>
      <c r="S178" s="152" t="s">
        <v>81</v>
      </c>
      <c r="T178" s="166">
        <v>3.01</v>
      </c>
      <c r="U178" s="152" t="s">
        <v>286</v>
      </c>
      <c r="V178" s="161">
        <v>5.5E-2</v>
      </c>
      <c r="W178" s="152" t="s">
        <v>2169</v>
      </c>
      <c r="X178" s="152" t="s">
        <v>2120</v>
      </c>
      <c r="Y178" s="167">
        <v>0</v>
      </c>
      <c r="Z178" s="168">
        <v>3.15E-2</v>
      </c>
      <c r="AA178" s="152" t="s">
        <v>2181</v>
      </c>
      <c r="AB178" s="152" t="s">
        <v>222</v>
      </c>
      <c r="AC178" s="152" t="s">
        <v>1626</v>
      </c>
      <c r="AD178" s="166">
        <v>482000</v>
      </c>
      <c r="AE178" s="168">
        <v>0.73</v>
      </c>
      <c r="AF178" s="152" t="s">
        <v>1878</v>
      </c>
      <c r="AG178" s="152" t="s">
        <v>72</v>
      </c>
      <c r="AH178" s="152"/>
      <c r="AI178" s="152" t="s">
        <v>2182</v>
      </c>
      <c r="AJ178" s="152" t="s">
        <v>373</v>
      </c>
      <c r="AK178" s="152" t="s">
        <v>1454</v>
      </c>
      <c r="AL178" s="152" t="s">
        <v>2174</v>
      </c>
      <c r="AM178" s="152" t="s">
        <v>1671</v>
      </c>
      <c r="AN178" s="160" t="s">
        <v>1455</v>
      </c>
      <c r="AO178" s="152" t="s">
        <v>1878</v>
      </c>
      <c r="AP178" s="161">
        <v>0</v>
      </c>
      <c r="AQ178" s="162">
        <v>2043.55</v>
      </c>
      <c r="AR178" s="170">
        <v>124.26</v>
      </c>
      <c r="AS178" s="171">
        <v>1</v>
      </c>
      <c r="AT178" s="166">
        <v>2.5390000000000001</v>
      </c>
      <c r="AU178" s="166">
        <v>2.5390000000000001</v>
      </c>
      <c r="AV178" s="152"/>
      <c r="AW178" s="152"/>
      <c r="AX178" t="s">
        <v>72</v>
      </c>
      <c r="AY178" t="s">
        <v>16</v>
      </c>
      <c r="AZ178" s="45">
        <v>3.5977193320475402E-3</v>
      </c>
      <c r="BA178" s="45">
        <v>3.4661955977796299E-5</v>
      </c>
    </row>
    <row r="179" spans="1:53" x14ac:dyDescent="0.25">
      <c r="A179" s="152">
        <v>969</v>
      </c>
      <c r="B179" s="152">
        <v>969</v>
      </c>
      <c r="C179" s="152">
        <v>513326439</v>
      </c>
      <c r="D179" s="152" t="s">
        <v>1721</v>
      </c>
      <c r="E179" s="152" t="s">
        <v>2215</v>
      </c>
      <c r="F179" s="152">
        <v>28548</v>
      </c>
      <c r="G179" s="152" t="s">
        <v>2165</v>
      </c>
      <c r="H179" s="152"/>
      <c r="I179" s="152" t="s">
        <v>71</v>
      </c>
      <c r="J179" s="152" t="s">
        <v>71</v>
      </c>
      <c r="K179" s="152" t="s">
        <v>234</v>
      </c>
      <c r="L179" s="152" t="s">
        <v>72</v>
      </c>
      <c r="M179" s="152" t="s">
        <v>373</v>
      </c>
      <c r="N179" s="152">
        <v>11898320</v>
      </c>
      <c r="O179" s="160" t="s">
        <v>2180</v>
      </c>
      <c r="P179" s="152" t="s">
        <v>228</v>
      </c>
      <c r="Q179" s="152" t="s">
        <v>219</v>
      </c>
      <c r="R179" s="152" t="s">
        <v>2168</v>
      </c>
      <c r="S179" s="152" t="s">
        <v>81</v>
      </c>
      <c r="T179" s="166">
        <v>3.01</v>
      </c>
      <c r="U179" s="152" t="s">
        <v>286</v>
      </c>
      <c r="V179" s="161">
        <v>5.5E-2</v>
      </c>
      <c r="W179" s="152" t="s">
        <v>2169</v>
      </c>
      <c r="X179" s="152" t="s">
        <v>2120</v>
      </c>
      <c r="Y179" s="167">
        <v>0</v>
      </c>
      <c r="Z179" s="168">
        <v>2.9399999999999999E-2</v>
      </c>
      <c r="AA179" s="152" t="s">
        <v>2181</v>
      </c>
      <c r="AB179" s="152" t="s">
        <v>222</v>
      </c>
      <c r="AC179" s="152" t="s">
        <v>1626</v>
      </c>
      <c r="AD179" s="166">
        <v>482000</v>
      </c>
      <c r="AE179" s="168">
        <v>0.73</v>
      </c>
      <c r="AF179" s="152" t="s">
        <v>1878</v>
      </c>
      <c r="AG179" s="152" t="s">
        <v>72</v>
      </c>
      <c r="AH179" s="152"/>
      <c r="AI179" s="152" t="s">
        <v>2182</v>
      </c>
      <c r="AJ179" s="152" t="s">
        <v>373</v>
      </c>
      <c r="AK179" s="152" t="s">
        <v>1454</v>
      </c>
      <c r="AL179" s="152" t="s">
        <v>2174</v>
      </c>
      <c r="AM179" s="152" t="s">
        <v>1671</v>
      </c>
      <c r="AN179" s="160" t="s">
        <v>1455</v>
      </c>
      <c r="AO179" s="152" t="s">
        <v>1878</v>
      </c>
      <c r="AP179" s="161">
        <v>0</v>
      </c>
      <c r="AQ179" s="162">
        <v>253.92</v>
      </c>
      <c r="AR179" s="170">
        <v>124.68</v>
      </c>
      <c r="AS179" s="171">
        <v>1</v>
      </c>
      <c r="AT179" s="166">
        <v>0.317</v>
      </c>
      <c r="AU179" s="166">
        <v>0.317</v>
      </c>
      <c r="AV179" s="152"/>
      <c r="AW179" s="152"/>
      <c r="AX179" t="s">
        <v>72</v>
      </c>
      <c r="AY179" t="s">
        <v>16</v>
      </c>
      <c r="AZ179" s="45">
        <v>4.4854329123011297E-4</v>
      </c>
      <c r="BA179" s="45">
        <v>4.3214565617339798E-6</v>
      </c>
    </row>
    <row r="180" spans="1:53" x14ac:dyDescent="0.25">
      <c r="A180" s="152">
        <v>969</v>
      </c>
      <c r="B180" s="152">
        <v>969</v>
      </c>
      <c r="C180" s="152">
        <v>513326439</v>
      </c>
      <c r="D180" s="152" t="s">
        <v>1721</v>
      </c>
      <c r="E180" s="152" t="s">
        <v>2216</v>
      </c>
      <c r="F180" s="152">
        <v>28589</v>
      </c>
      <c r="G180" s="152" t="s">
        <v>2165</v>
      </c>
      <c r="H180" s="152"/>
      <c r="I180" s="152" t="s">
        <v>71</v>
      </c>
      <c r="J180" s="152" t="s">
        <v>71</v>
      </c>
      <c r="K180" s="152" t="s">
        <v>234</v>
      </c>
      <c r="L180" s="152" t="s">
        <v>72</v>
      </c>
      <c r="M180" s="152" t="s">
        <v>373</v>
      </c>
      <c r="N180" s="152">
        <v>11898340</v>
      </c>
      <c r="O180" s="160" t="s">
        <v>2180</v>
      </c>
      <c r="P180" s="152" t="s">
        <v>228</v>
      </c>
      <c r="Q180" s="152" t="s">
        <v>219</v>
      </c>
      <c r="R180" s="152" t="s">
        <v>2168</v>
      </c>
      <c r="S180" s="152" t="s">
        <v>81</v>
      </c>
      <c r="T180" s="166">
        <v>3.01</v>
      </c>
      <c r="U180" s="152" t="s">
        <v>286</v>
      </c>
      <c r="V180" s="161">
        <v>5.5E-2</v>
      </c>
      <c r="W180" s="152" t="s">
        <v>2169</v>
      </c>
      <c r="X180" s="152" t="s">
        <v>2120</v>
      </c>
      <c r="Y180" s="167">
        <v>0</v>
      </c>
      <c r="Z180" s="168">
        <v>2.9399999999999999E-2</v>
      </c>
      <c r="AA180" s="152" t="s">
        <v>2181</v>
      </c>
      <c r="AB180" s="152" t="s">
        <v>222</v>
      </c>
      <c r="AC180" s="152" t="s">
        <v>1626</v>
      </c>
      <c r="AD180" s="166">
        <v>482000</v>
      </c>
      <c r="AE180" s="168">
        <v>0.73</v>
      </c>
      <c r="AF180" s="152" t="s">
        <v>1878</v>
      </c>
      <c r="AG180" s="152" t="s">
        <v>72</v>
      </c>
      <c r="AH180" s="152"/>
      <c r="AI180" s="152" t="s">
        <v>2182</v>
      </c>
      <c r="AJ180" s="152" t="s">
        <v>373</v>
      </c>
      <c r="AK180" s="152" t="s">
        <v>1454</v>
      </c>
      <c r="AL180" s="152" t="s">
        <v>2174</v>
      </c>
      <c r="AM180" s="152" t="s">
        <v>1671</v>
      </c>
      <c r="AN180" s="160" t="s">
        <v>1455</v>
      </c>
      <c r="AO180" s="152" t="s">
        <v>1878</v>
      </c>
      <c r="AP180" s="161">
        <v>0</v>
      </c>
      <c r="AQ180" s="162">
        <v>563.89</v>
      </c>
      <c r="AR180" s="170">
        <v>125.01</v>
      </c>
      <c r="AS180" s="171">
        <v>1</v>
      </c>
      <c r="AT180" s="166">
        <v>0.70499999999999996</v>
      </c>
      <c r="AU180" s="166">
        <v>0.70499999999999996</v>
      </c>
      <c r="AV180" s="152"/>
      <c r="AW180" s="152"/>
      <c r="AX180" t="s">
        <v>72</v>
      </c>
      <c r="AY180" t="s">
        <v>16</v>
      </c>
      <c r="AZ180" s="45">
        <v>9.9873394390690806E-4</v>
      </c>
      <c r="BA180" s="45">
        <v>9.6222269727555999E-6</v>
      </c>
    </row>
    <row r="181" spans="1:53" x14ac:dyDescent="0.25">
      <c r="A181" s="152">
        <v>969</v>
      </c>
      <c r="B181" s="152">
        <v>969</v>
      </c>
      <c r="C181" s="152">
        <v>513326439</v>
      </c>
      <c r="D181" s="152" t="s">
        <v>1721</v>
      </c>
      <c r="E181" s="152" t="s">
        <v>2217</v>
      </c>
      <c r="F181" s="152">
        <v>97360</v>
      </c>
      <c r="G181" s="152" t="s">
        <v>2165</v>
      </c>
      <c r="H181" s="152"/>
      <c r="I181" s="152" t="s">
        <v>71</v>
      </c>
      <c r="J181" s="152" t="s">
        <v>71</v>
      </c>
      <c r="K181" s="152" t="s">
        <v>234</v>
      </c>
      <c r="L181" s="152" t="s">
        <v>72</v>
      </c>
      <c r="M181" s="152" t="s">
        <v>373</v>
      </c>
      <c r="N181" s="152">
        <v>11898503</v>
      </c>
      <c r="O181" s="160" t="s">
        <v>2218</v>
      </c>
      <c r="P181" s="152" t="s">
        <v>228</v>
      </c>
      <c r="Q181" s="152" t="s">
        <v>219</v>
      </c>
      <c r="R181" s="152" t="s">
        <v>2168</v>
      </c>
      <c r="S181" s="152" t="s">
        <v>81</v>
      </c>
      <c r="T181" s="166">
        <v>3.01</v>
      </c>
      <c r="U181" s="152" t="s">
        <v>286</v>
      </c>
      <c r="V181" s="161">
        <v>5.7230999999999997E-2</v>
      </c>
      <c r="W181" s="152" t="s">
        <v>2169</v>
      </c>
      <c r="X181" s="152" t="s">
        <v>2170</v>
      </c>
      <c r="Y181" s="167">
        <v>5.7230999999999997E-2</v>
      </c>
      <c r="Z181" s="168">
        <v>2.9399999999999999E-2</v>
      </c>
      <c r="AA181" s="152" t="s">
        <v>2188</v>
      </c>
      <c r="AB181" s="152" t="s">
        <v>222</v>
      </c>
      <c r="AC181" s="152" t="s">
        <v>1626</v>
      </c>
      <c r="AD181" s="166">
        <v>482000</v>
      </c>
      <c r="AE181" s="168">
        <v>0.73</v>
      </c>
      <c r="AF181" s="152" t="s">
        <v>1878</v>
      </c>
      <c r="AG181" s="152" t="s">
        <v>72</v>
      </c>
      <c r="AH181" s="152"/>
      <c r="AI181" s="152" t="s">
        <v>2182</v>
      </c>
      <c r="AJ181" s="152" t="s">
        <v>373</v>
      </c>
      <c r="AK181" s="152" t="s">
        <v>1454</v>
      </c>
      <c r="AL181" s="152" t="s">
        <v>2174</v>
      </c>
      <c r="AM181" s="152" t="s">
        <v>1671</v>
      </c>
      <c r="AN181" s="160" t="s">
        <v>1455</v>
      </c>
      <c r="AO181" s="152" t="s">
        <v>1878</v>
      </c>
      <c r="AP181" s="161">
        <v>0</v>
      </c>
      <c r="AQ181" s="162">
        <v>5417.24</v>
      </c>
      <c r="AR181" s="170">
        <v>130.15</v>
      </c>
      <c r="AS181" s="171">
        <v>1</v>
      </c>
      <c r="AT181" s="166">
        <v>7.0510000000000002</v>
      </c>
      <c r="AU181" s="166">
        <v>7.0510000000000002</v>
      </c>
      <c r="AV181" s="152"/>
      <c r="AW181" s="152"/>
      <c r="AX181" t="s">
        <v>72</v>
      </c>
      <c r="AY181" t="s">
        <v>16</v>
      </c>
      <c r="AZ181" s="45">
        <v>9.9892506690692096E-3</v>
      </c>
      <c r="BA181" s="45">
        <v>9.6240683329066698E-5</v>
      </c>
    </row>
    <row r="182" spans="1:53" x14ac:dyDescent="0.25">
      <c r="A182" s="152">
        <v>969</v>
      </c>
      <c r="B182" s="152">
        <v>969</v>
      </c>
      <c r="C182" s="152">
        <v>513326439</v>
      </c>
      <c r="D182" s="152" t="s">
        <v>1721</v>
      </c>
      <c r="E182" s="152" t="s">
        <v>2219</v>
      </c>
      <c r="F182" s="152">
        <v>33266</v>
      </c>
      <c r="G182" s="152" t="s">
        <v>2165</v>
      </c>
      <c r="H182" s="152"/>
      <c r="I182" s="152" t="s">
        <v>71</v>
      </c>
      <c r="J182" s="152" t="s">
        <v>71</v>
      </c>
      <c r="K182" s="152" t="s">
        <v>234</v>
      </c>
      <c r="L182" s="152" t="s">
        <v>72</v>
      </c>
      <c r="M182" s="152" t="s">
        <v>373</v>
      </c>
      <c r="N182" s="152">
        <v>11896130</v>
      </c>
      <c r="O182" s="160" t="s">
        <v>2180</v>
      </c>
      <c r="P182" s="152" t="s">
        <v>228</v>
      </c>
      <c r="Q182" s="152" t="s">
        <v>219</v>
      </c>
      <c r="R182" s="152" t="s">
        <v>2168</v>
      </c>
      <c r="S182" s="152" t="s">
        <v>81</v>
      </c>
      <c r="T182" s="166">
        <v>3</v>
      </c>
      <c r="U182" s="152" t="s">
        <v>2184</v>
      </c>
      <c r="V182" s="161">
        <v>5.6619999999999997E-2</v>
      </c>
      <c r="W182" s="152" t="s">
        <v>2169</v>
      </c>
      <c r="X182" s="152" t="s">
        <v>2120</v>
      </c>
      <c r="Y182" s="167">
        <v>0</v>
      </c>
      <c r="Z182" s="168">
        <v>3.15E-2</v>
      </c>
      <c r="AA182" s="152" t="s">
        <v>2181</v>
      </c>
      <c r="AB182" s="152" t="s">
        <v>222</v>
      </c>
      <c r="AC182" s="152" t="s">
        <v>1626</v>
      </c>
      <c r="AD182" s="166">
        <v>482000</v>
      </c>
      <c r="AE182" s="168">
        <v>0.73</v>
      </c>
      <c r="AF182" s="152" t="s">
        <v>1878</v>
      </c>
      <c r="AG182" s="152" t="s">
        <v>72</v>
      </c>
      <c r="AH182" s="152"/>
      <c r="AI182" s="152" t="s">
        <v>2182</v>
      </c>
      <c r="AJ182" s="152" t="s">
        <v>373</v>
      </c>
      <c r="AK182" s="152" t="s">
        <v>1454</v>
      </c>
      <c r="AL182" s="152" t="s">
        <v>2174</v>
      </c>
      <c r="AM182" s="152" t="s">
        <v>1671</v>
      </c>
      <c r="AN182" s="160" t="s">
        <v>1455</v>
      </c>
      <c r="AO182" s="152" t="s">
        <v>1878</v>
      </c>
      <c r="AP182" s="161">
        <v>0</v>
      </c>
      <c r="AQ182" s="162">
        <v>1218.1600000000001</v>
      </c>
      <c r="AR182" s="170">
        <v>129.26</v>
      </c>
      <c r="AS182" s="171">
        <v>1</v>
      </c>
      <c r="AT182" s="166">
        <v>1.575</v>
      </c>
      <c r="AU182" s="166">
        <v>1.575</v>
      </c>
      <c r="AV182" s="152"/>
      <c r="AW182" s="152"/>
      <c r="AX182" t="s">
        <v>72</v>
      </c>
      <c r="AY182" t="s">
        <v>16</v>
      </c>
      <c r="AZ182" s="45">
        <v>2.2308950954473801E-3</v>
      </c>
      <c r="BA182" s="45">
        <v>2.1493390799184499E-5</v>
      </c>
    </row>
    <row r="183" spans="1:53" x14ac:dyDescent="0.25">
      <c r="A183" s="152">
        <v>969</v>
      </c>
      <c r="B183" s="152">
        <v>969</v>
      </c>
      <c r="C183" s="152">
        <v>513326439</v>
      </c>
      <c r="D183" s="152" t="s">
        <v>1721</v>
      </c>
      <c r="E183" s="152" t="s">
        <v>2220</v>
      </c>
      <c r="F183" s="152">
        <v>28118</v>
      </c>
      <c r="G183" s="152" t="s">
        <v>2165</v>
      </c>
      <c r="H183" s="152"/>
      <c r="I183" s="152" t="s">
        <v>71</v>
      </c>
      <c r="J183" s="152" t="s">
        <v>71</v>
      </c>
      <c r="K183" s="152" t="s">
        <v>234</v>
      </c>
      <c r="L183" s="152" t="s">
        <v>72</v>
      </c>
      <c r="M183" s="152" t="s">
        <v>373</v>
      </c>
      <c r="N183" s="152">
        <v>11898422</v>
      </c>
      <c r="O183" s="160" t="s">
        <v>2221</v>
      </c>
      <c r="P183" s="152" t="s">
        <v>228</v>
      </c>
      <c r="Q183" s="152" t="s">
        <v>219</v>
      </c>
      <c r="R183" s="152" t="s">
        <v>2168</v>
      </c>
      <c r="S183" s="152" t="s">
        <v>81</v>
      </c>
      <c r="T183" s="166">
        <v>3.01</v>
      </c>
      <c r="U183" s="152" t="s">
        <v>2184</v>
      </c>
      <c r="V183" s="161">
        <v>5.5E-2</v>
      </c>
      <c r="W183" s="152" t="s">
        <v>2169</v>
      </c>
      <c r="X183" s="152" t="s">
        <v>2170</v>
      </c>
      <c r="Y183" s="167">
        <v>5.5E-2</v>
      </c>
      <c r="Z183" s="168">
        <v>2.9399999999999999E-2</v>
      </c>
      <c r="AA183" s="152" t="s">
        <v>2188</v>
      </c>
      <c r="AB183" s="152" t="s">
        <v>222</v>
      </c>
      <c r="AC183" s="152" t="s">
        <v>1626</v>
      </c>
      <c r="AD183" s="166">
        <v>482000</v>
      </c>
      <c r="AE183" s="168">
        <v>0.73</v>
      </c>
      <c r="AF183" s="152" t="s">
        <v>1878</v>
      </c>
      <c r="AG183" s="152" t="s">
        <v>72</v>
      </c>
      <c r="AH183" s="152"/>
      <c r="AI183" s="152" t="s">
        <v>2182</v>
      </c>
      <c r="AJ183" s="152" t="s">
        <v>373</v>
      </c>
      <c r="AK183" s="152" t="s">
        <v>1454</v>
      </c>
      <c r="AL183" s="152" t="s">
        <v>2174</v>
      </c>
      <c r="AM183" s="152" t="s">
        <v>1671</v>
      </c>
      <c r="AN183" s="160" t="s">
        <v>1455</v>
      </c>
      <c r="AO183" s="152" t="s">
        <v>1878</v>
      </c>
      <c r="AP183" s="161">
        <v>0</v>
      </c>
      <c r="AQ183" s="162">
        <v>7123.32</v>
      </c>
      <c r="AR183" s="170">
        <v>126.91</v>
      </c>
      <c r="AS183" s="171">
        <v>1</v>
      </c>
      <c r="AT183" s="166">
        <v>9.0399999999999991</v>
      </c>
      <c r="AU183" s="166">
        <v>9.0399999999999991</v>
      </c>
      <c r="AV183" s="152"/>
      <c r="AW183" s="152"/>
      <c r="AX183" t="s">
        <v>72</v>
      </c>
      <c r="AY183" t="s">
        <v>16</v>
      </c>
      <c r="AZ183" s="45">
        <v>1.28082253798924E-2</v>
      </c>
      <c r="BA183" s="45">
        <v>1.2339988289716201E-4</v>
      </c>
    </row>
    <row r="184" spans="1:53" x14ac:dyDescent="0.25">
      <c r="A184" s="152">
        <v>969</v>
      </c>
      <c r="B184" s="152">
        <v>969</v>
      </c>
      <c r="C184" s="152">
        <v>513326439</v>
      </c>
      <c r="D184" s="152" t="s">
        <v>1721</v>
      </c>
      <c r="E184" s="152" t="s">
        <v>2222</v>
      </c>
      <c r="F184" s="152">
        <v>24752</v>
      </c>
      <c r="G184" s="152" t="s">
        <v>2165</v>
      </c>
      <c r="H184" s="152"/>
      <c r="I184" s="152" t="s">
        <v>71</v>
      </c>
      <c r="J184" s="152" t="s">
        <v>71</v>
      </c>
      <c r="K184" s="152" t="s">
        <v>234</v>
      </c>
      <c r="L184" s="152" t="s">
        <v>72</v>
      </c>
      <c r="M184" s="152" t="s">
        <v>373</v>
      </c>
      <c r="N184" s="152">
        <v>11896140</v>
      </c>
      <c r="O184" s="160" t="s">
        <v>2223</v>
      </c>
      <c r="P184" s="152" t="s">
        <v>228</v>
      </c>
      <c r="Q184" s="152" t="s">
        <v>219</v>
      </c>
      <c r="R184" s="152" t="s">
        <v>2168</v>
      </c>
      <c r="S184" s="152" t="s">
        <v>81</v>
      </c>
      <c r="T184" s="166">
        <v>3.01</v>
      </c>
      <c r="U184" s="152" t="s">
        <v>2184</v>
      </c>
      <c r="V184" s="161">
        <v>5.5309999999999998E-2</v>
      </c>
      <c r="W184" s="152" t="s">
        <v>2169</v>
      </c>
      <c r="X184" s="152" t="s">
        <v>2170</v>
      </c>
      <c r="Y184" s="167">
        <v>5.5309999999999998E-2</v>
      </c>
      <c r="Z184" s="168">
        <v>2.9399999999999999E-2</v>
      </c>
      <c r="AA184" s="152" t="s">
        <v>2181</v>
      </c>
      <c r="AB184" s="152" t="s">
        <v>222</v>
      </c>
      <c r="AC184" s="152" t="s">
        <v>1626</v>
      </c>
      <c r="AD184" s="166">
        <v>203777.768205128</v>
      </c>
      <c r="AE184" s="168">
        <v>0.73</v>
      </c>
      <c r="AF184" s="152" t="s">
        <v>1878</v>
      </c>
      <c r="AG184" s="152" t="s">
        <v>72</v>
      </c>
      <c r="AH184" s="152"/>
      <c r="AI184" s="152" t="s">
        <v>2182</v>
      </c>
      <c r="AJ184" s="152" t="s">
        <v>373</v>
      </c>
      <c r="AK184" s="152" t="s">
        <v>1454</v>
      </c>
      <c r="AL184" s="152" t="s">
        <v>2174</v>
      </c>
      <c r="AM184" s="152" t="s">
        <v>1671</v>
      </c>
      <c r="AN184" s="160" t="s">
        <v>1455</v>
      </c>
      <c r="AO184" s="152" t="s">
        <v>1878</v>
      </c>
      <c r="AP184" s="161">
        <v>0</v>
      </c>
      <c r="AQ184" s="162">
        <v>5159.32</v>
      </c>
      <c r="AR184" s="170">
        <v>129.5</v>
      </c>
      <c r="AS184" s="171">
        <v>1</v>
      </c>
      <c r="AT184" s="166">
        <v>6.681</v>
      </c>
      <c r="AU184" s="166">
        <v>6.681</v>
      </c>
      <c r="AV184" s="152"/>
      <c r="AW184" s="152"/>
      <c r="AX184" t="s">
        <v>72</v>
      </c>
      <c r="AY184" t="s">
        <v>16</v>
      </c>
      <c r="AZ184" s="45">
        <v>9.4661394083649496E-3</v>
      </c>
      <c r="BA184" s="45">
        <v>9.1200807280786701E-5</v>
      </c>
    </row>
    <row r="185" spans="1:53" x14ac:dyDescent="0.25">
      <c r="A185" s="152">
        <v>969</v>
      </c>
      <c r="B185" s="152">
        <v>969</v>
      </c>
      <c r="C185" s="152">
        <v>513326439</v>
      </c>
      <c r="D185" s="152" t="s">
        <v>1721</v>
      </c>
      <c r="E185" s="152" t="s">
        <v>2224</v>
      </c>
      <c r="F185" s="152">
        <v>34819</v>
      </c>
      <c r="G185" s="152" t="s">
        <v>2165</v>
      </c>
      <c r="H185" s="152"/>
      <c r="I185" s="152" t="s">
        <v>71</v>
      </c>
      <c r="J185" s="152" t="s">
        <v>71</v>
      </c>
      <c r="K185" s="152" t="s">
        <v>234</v>
      </c>
      <c r="L185" s="152" t="s">
        <v>72</v>
      </c>
      <c r="M185" s="152" t="s">
        <v>373</v>
      </c>
      <c r="N185" s="152">
        <v>11898120</v>
      </c>
      <c r="O185" s="160" t="s">
        <v>2225</v>
      </c>
      <c r="P185" s="152" t="s">
        <v>228</v>
      </c>
      <c r="Q185" s="152" t="s">
        <v>219</v>
      </c>
      <c r="R185" s="152" t="s">
        <v>2168</v>
      </c>
      <c r="S185" s="152" t="s">
        <v>81</v>
      </c>
      <c r="T185" s="166">
        <v>3.02</v>
      </c>
      <c r="U185" s="152" t="s">
        <v>286</v>
      </c>
      <c r="V185" s="161">
        <v>5.5E-2</v>
      </c>
      <c r="W185" s="152" t="s">
        <v>2169</v>
      </c>
      <c r="X185" s="152" t="s">
        <v>2120</v>
      </c>
      <c r="Y185" s="167">
        <v>0</v>
      </c>
      <c r="Z185" s="168">
        <v>2.9399999999999999E-2</v>
      </c>
      <c r="AA185" s="152" t="s">
        <v>2188</v>
      </c>
      <c r="AB185" s="152" t="s">
        <v>222</v>
      </c>
      <c r="AC185" s="152" t="s">
        <v>1626</v>
      </c>
      <c r="AD185" s="166">
        <v>482000</v>
      </c>
      <c r="AE185" s="168">
        <v>0.73</v>
      </c>
      <c r="AF185" s="152" t="s">
        <v>1878</v>
      </c>
      <c r="AG185" s="152" t="s">
        <v>72</v>
      </c>
      <c r="AH185" s="152"/>
      <c r="AI185" s="152" t="s">
        <v>2182</v>
      </c>
      <c r="AJ185" s="152" t="s">
        <v>373</v>
      </c>
      <c r="AK185" s="152" t="s">
        <v>1454</v>
      </c>
      <c r="AL185" s="152" t="s">
        <v>2174</v>
      </c>
      <c r="AM185" s="152" t="s">
        <v>1671</v>
      </c>
      <c r="AN185" s="160" t="s">
        <v>1455</v>
      </c>
      <c r="AO185" s="152" t="s">
        <v>1878</v>
      </c>
      <c r="AP185" s="161">
        <v>0</v>
      </c>
      <c r="AQ185" s="162">
        <v>1230.6099999999999</v>
      </c>
      <c r="AR185" s="170">
        <v>127.56</v>
      </c>
      <c r="AS185" s="171">
        <v>1</v>
      </c>
      <c r="AT185" s="166">
        <v>1.57</v>
      </c>
      <c r="AU185" s="166">
        <v>1.57</v>
      </c>
      <c r="AV185" s="152"/>
      <c r="AW185" s="152"/>
      <c r="AX185" t="s">
        <v>72</v>
      </c>
      <c r="AY185" t="s">
        <v>16</v>
      </c>
      <c r="AZ185" s="45">
        <v>2.2240554601511199E-3</v>
      </c>
      <c r="BA185" s="45">
        <v>2.1427494847982401E-5</v>
      </c>
    </row>
    <row r="186" spans="1:53" x14ac:dyDescent="0.25">
      <c r="A186" s="152">
        <v>969</v>
      </c>
      <c r="B186" s="152">
        <v>969</v>
      </c>
      <c r="C186" s="152">
        <v>513326439</v>
      </c>
      <c r="D186" s="152" t="s">
        <v>1721</v>
      </c>
      <c r="E186" s="152" t="s">
        <v>2226</v>
      </c>
      <c r="F186" s="152">
        <v>34801</v>
      </c>
      <c r="G186" s="152" t="s">
        <v>2165</v>
      </c>
      <c r="H186" s="152"/>
      <c r="I186" s="152" t="s">
        <v>71</v>
      </c>
      <c r="J186" s="152" t="s">
        <v>71</v>
      </c>
      <c r="K186" s="152" t="s">
        <v>234</v>
      </c>
      <c r="L186" s="152" t="s">
        <v>72</v>
      </c>
      <c r="M186" s="152" t="s">
        <v>373</v>
      </c>
      <c r="N186" s="152">
        <v>11898130</v>
      </c>
      <c r="O186" s="160" t="s">
        <v>2227</v>
      </c>
      <c r="P186" s="152" t="s">
        <v>228</v>
      </c>
      <c r="Q186" s="152" t="s">
        <v>219</v>
      </c>
      <c r="R186" s="152" t="s">
        <v>2168</v>
      </c>
      <c r="S186" s="152" t="s">
        <v>81</v>
      </c>
      <c r="T186" s="166">
        <v>3.01</v>
      </c>
      <c r="U186" s="152" t="s">
        <v>2184</v>
      </c>
      <c r="V186" s="161">
        <v>5.5E-2</v>
      </c>
      <c r="W186" s="152" t="s">
        <v>2169</v>
      </c>
      <c r="X186" s="152" t="s">
        <v>2170</v>
      </c>
      <c r="Y186" s="167">
        <v>5.5E-2</v>
      </c>
      <c r="Z186" s="168">
        <v>2.9399999999999999E-2</v>
      </c>
      <c r="AA186" s="152" t="s">
        <v>2181</v>
      </c>
      <c r="AB186" s="152" t="s">
        <v>222</v>
      </c>
      <c r="AC186" s="152" t="s">
        <v>1626</v>
      </c>
      <c r="AD186" s="166">
        <v>482000</v>
      </c>
      <c r="AE186" s="168">
        <v>0.73</v>
      </c>
      <c r="AF186" s="152" t="s">
        <v>1878</v>
      </c>
      <c r="AG186" s="152" t="s">
        <v>72</v>
      </c>
      <c r="AH186" s="152"/>
      <c r="AI186" s="152" t="s">
        <v>2182</v>
      </c>
      <c r="AJ186" s="152" t="s">
        <v>373</v>
      </c>
      <c r="AK186" s="152" t="s">
        <v>1454</v>
      </c>
      <c r="AL186" s="152" t="s">
        <v>2174</v>
      </c>
      <c r="AM186" s="152" t="s">
        <v>1671</v>
      </c>
      <c r="AN186" s="160" t="s">
        <v>1455</v>
      </c>
      <c r="AO186" s="152" t="s">
        <v>1878</v>
      </c>
      <c r="AP186" s="161">
        <v>0</v>
      </c>
      <c r="AQ186" s="162">
        <v>2491.25</v>
      </c>
      <c r="AR186" s="170">
        <v>127.29</v>
      </c>
      <c r="AS186" s="171">
        <v>1</v>
      </c>
      <c r="AT186" s="166">
        <v>3.1709999999999998</v>
      </c>
      <c r="AU186" s="166">
        <v>3.1709999999999998</v>
      </c>
      <c r="AV186" s="152"/>
      <c r="AW186" s="152"/>
      <c r="AX186" t="s">
        <v>72</v>
      </c>
      <c r="AY186" t="s">
        <v>16</v>
      </c>
      <c r="AZ186" s="45">
        <v>4.4928535305176999E-3</v>
      </c>
      <c r="BA186" s="45">
        <v>4.32860590047365E-5</v>
      </c>
    </row>
    <row r="187" spans="1:53" x14ac:dyDescent="0.25">
      <c r="A187" s="152">
        <v>969</v>
      </c>
      <c r="B187" s="152">
        <v>969</v>
      </c>
      <c r="C187" s="152">
        <v>513326439</v>
      </c>
      <c r="D187" s="152" t="s">
        <v>1721</v>
      </c>
      <c r="E187" s="152" t="s">
        <v>2228</v>
      </c>
      <c r="F187" s="152">
        <v>34843</v>
      </c>
      <c r="G187" s="152" t="s">
        <v>2165</v>
      </c>
      <c r="H187" s="152"/>
      <c r="I187" s="152" t="s">
        <v>71</v>
      </c>
      <c r="J187" s="152" t="s">
        <v>71</v>
      </c>
      <c r="K187" s="152" t="s">
        <v>234</v>
      </c>
      <c r="L187" s="152" t="s">
        <v>72</v>
      </c>
      <c r="M187" s="152" t="s">
        <v>373</v>
      </c>
      <c r="N187" s="152">
        <v>11898140</v>
      </c>
      <c r="O187" s="160" t="s">
        <v>2229</v>
      </c>
      <c r="P187" s="152" t="s">
        <v>228</v>
      </c>
      <c r="Q187" s="152" t="s">
        <v>219</v>
      </c>
      <c r="R187" s="152" t="s">
        <v>2168</v>
      </c>
      <c r="S187" s="152" t="s">
        <v>81</v>
      </c>
      <c r="T187" s="166">
        <v>3.01</v>
      </c>
      <c r="U187" s="152" t="s">
        <v>2184</v>
      </c>
      <c r="V187" s="161">
        <v>5.5E-2</v>
      </c>
      <c r="W187" s="152" t="s">
        <v>2169</v>
      </c>
      <c r="X187" s="152" t="s">
        <v>2170</v>
      </c>
      <c r="Y187" s="167">
        <v>5.5E-2</v>
      </c>
      <c r="Z187" s="168">
        <v>2.9399999999999999E-2</v>
      </c>
      <c r="AA187" s="152" t="s">
        <v>2181</v>
      </c>
      <c r="AB187" s="152" t="s">
        <v>222</v>
      </c>
      <c r="AC187" s="152" t="s">
        <v>1626</v>
      </c>
      <c r="AD187" s="166">
        <v>482000</v>
      </c>
      <c r="AE187" s="168">
        <v>0.73</v>
      </c>
      <c r="AF187" s="152" t="s">
        <v>1878</v>
      </c>
      <c r="AG187" s="152" t="s">
        <v>72</v>
      </c>
      <c r="AH187" s="152"/>
      <c r="AI187" s="152" t="s">
        <v>2182</v>
      </c>
      <c r="AJ187" s="152" t="s">
        <v>373</v>
      </c>
      <c r="AK187" s="152" t="s">
        <v>1454</v>
      </c>
      <c r="AL187" s="152" t="s">
        <v>2174</v>
      </c>
      <c r="AM187" s="152" t="s">
        <v>1671</v>
      </c>
      <c r="AN187" s="160" t="s">
        <v>1455</v>
      </c>
      <c r="AO187" s="152" t="s">
        <v>1878</v>
      </c>
      <c r="AP187" s="161">
        <v>0</v>
      </c>
      <c r="AQ187" s="162">
        <v>3862.9</v>
      </c>
      <c r="AR187" s="170">
        <v>127.51</v>
      </c>
      <c r="AS187" s="171">
        <v>1</v>
      </c>
      <c r="AT187" s="166">
        <v>4.9260000000000002</v>
      </c>
      <c r="AU187" s="166">
        <v>4.9260000000000002</v>
      </c>
      <c r="AV187" s="152"/>
      <c r="AW187" s="152"/>
      <c r="AX187" t="s">
        <v>72</v>
      </c>
      <c r="AY187" t="s">
        <v>16</v>
      </c>
      <c r="AZ187" s="45">
        <v>6.9786010864444801E-3</v>
      </c>
      <c r="BA187" s="45">
        <v>6.7234806642705499E-5</v>
      </c>
    </row>
    <row r="188" spans="1:53" x14ac:dyDescent="0.25">
      <c r="A188" s="152">
        <v>969</v>
      </c>
      <c r="B188" s="152">
        <v>969</v>
      </c>
      <c r="C188" s="152">
        <v>513326439</v>
      </c>
      <c r="D188" s="152" t="s">
        <v>1721</v>
      </c>
      <c r="E188" s="152" t="s">
        <v>2230</v>
      </c>
      <c r="F188" s="152">
        <v>28423</v>
      </c>
      <c r="G188" s="152" t="s">
        <v>2165</v>
      </c>
      <c r="H188" s="152"/>
      <c r="I188" s="152" t="s">
        <v>71</v>
      </c>
      <c r="J188" s="152" t="s">
        <v>71</v>
      </c>
      <c r="K188" s="152" t="s">
        <v>234</v>
      </c>
      <c r="L188" s="152" t="s">
        <v>72</v>
      </c>
      <c r="M188" s="152" t="s">
        <v>373</v>
      </c>
      <c r="N188" s="152">
        <v>11898270</v>
      </c>
      <c r="O188" s="160" t="s">
        <v>2225</v>
      </c>
      <c r="P188" s="152" t="s">
        <v>228</v>
      </c>
      <c r="Q188" s="152" t="s">
        <v>219</v>
      </c>
      <c r="R188" s="152" t="s">
        <v>2168</v>
      </c>
      <c r="S188" s="152" t="s">
        <v>81</v>
      </c>
      <c r="T188" s="166">
        <v>3.02</v>
      </c>
      <c r="U188" s="152" t="s">
        <v>286</v>
      </c>
      <c r="V188" s="161">
        <v>5.5E-2</v>
      </c>
      <c r="W188" s="152" t="s">
        <v>2169</v>
      </c>
      <c r="X188" s="152" t="s">
        <v>2120</v>
      </c>
      <c r="Y188" s="167">
        <v>0</v>
      </c>
      <c r="Z188" s="168">
        <v>2.93E-2</v>
      </c>
      <c r="AA188" s="152" t="s">
        <v>2188</v>
      </c>
      <c r="AB188" s="152" t="s">
        <v>222</v>
      </c>
      <c r="AC188" s="152" t="s">
        <v>1626</v>
      </c>
      <c r="AD188" s="166">
        <v>482000</v>
      </c>
      <c r="AE188" s="168">
        <v>0.73</v>
      </c>
      <c r="AF188" s="152" t="s">
        <v>1878</v>
      </c>
      <c r="AG188" s="152" t="s">
        <v>72</v>
      </c>
      <c r="AH188" s="152"/>
      <c r="AI188" s="152" t="s">
        <v>2182</v>
      </c>
      <c r="AJ188" s="152" t="s">
        <v>373</v>
      </c>
      <c r="AK188" s="152" t="s">
        <v>1454</v>
      </c>
      <c r="AL188" s="152" t="s">
        <v>2174</v>
      </c>
      <c r="AM188" s="152" t="s">
        <v>1671</v>
      </c>
      <c r="AN188" s="160" t="s">
        <v>1455</v>
      </c>
      <c r="AO188" s="152" t="s">
        <v>1878</v>
      </c>
      <c r="AP188" s="161">
        <v>0</v>
      </c>
      <c r="AQ188" s="162">
        <v>1019.05</v>
      </c>
      <c r="AR188" s="170">
        <v>126.66</v>
      </c>
      <c r="AS188" s="171">
        <v>1</v>
      </c>
      <c r="AT188" s="166">
        <v>1.2909999999999999</v>
      </c>
      <c r="AU188" s="166">
        <v>1.2909999999999999</v>
      </c>
      <c r="AV188" s="152"/>
      <c r="AW188" s="152"/>
      <c r="AX188" t="s">
        <v>72</v>
      </c>
      <c r="AY188" t="s">
        <v>16</v>
      </c>
      <c r="AZ188" s="45">
        <v>1.8287133670876201E-3</v>
      </c>
      <c r="BA188" s="45">
        <v>1.7618601223660199E-5</v>
      </c>
    </row>
    <row r="189" spans="1:53" x14ac:dyDescent="0.25">
      <c r="A189" s="152">
        <v>969</v>
      </c>
      <c r="B189" s="152">
        <v>969</v>
      </c>
      <c r="C189" s="152">
        <v>513326439</v>
      </c>
      <c r="D189" s="152" t="s">
        <v>1721</v>
      </c>
      <c r="E189" s="152" t="s">
        <v>2231</v>
      </c>
      <c r="F189" s="152">
        <v>28456</v>
      </c>
      <c r="G189" s="152" t="s">
        <v>2165</v>
      </c>
      <c r="H189" s="152"/>
      <c r="I189" s="152" t="s">
        <v>71</v>
      </c>
      <c r="J189" s="152" t="s">
        <v>71</v>
      </c>
      <c r="K189" s="152" t="s">
        <v>234</v>
      </c>
      <c r="L189" s="152" t="s">
        <v>72</v>
      </c>
      <c r="M189" s="152" t="s">
        <v>373</v>
      </c>
      <c r="N189" s="152">
        <v>11898280</v>
      </c>
      <c r="O189" s="160" t="s">
        <v>2232</v>
      </c>
      <c r="P189" s="152" t="s">
        <v>228</v>
      </c>
      <c r="Q189" s="152" t="s">
        <v>219</v>
      </c>
      <c r="R189" s="152" t="s">
        <v>2168</v>
      </c>
      <c r="S189" s="152" t="s">
        <v>81</v>
      </c>
      <c r="T189" s="166">
        <v>3.02</v>
      </c>
      <c r="U189" s="152" t="s">
        <v>2184</v>
      </c>
      <c r="V189" s="161">
        <v>5.5E-2</v>
      </c>
      <c r="W189" s="152" t="s">
        <v>2169</v>
      </c>
      <c r="X189" s="152" t="s">
        <v>2170</v>
      </c>
      <c r="Y189" s="167">
        <v>5.5E-2</v>
      </c>
      <c r="Z189" s="168">
        <v>2.9399999999999999E-2</v>
      </c>
      <c r="AA189" s="152" t="s">
        <v>2181</v>
      </c>
      <c r="AB189" s="152" t="s">
        <v>222</v>
      </c>
      <c r="AC189" s="152" t="s">
        <v>1626</v>
      </c>
      <c r="AD189" s="166">
        <v>482000</v>
      </c>
      <c r="AE189" s="168">
        <v>0.73</v>
      </c>
      <c r="AF189" s="152" t="s">
        <v>1878</v>
      </c>
      <c r="AG189" s="152" t="s">
        <v>72</v>
      </c>
      <c r="AH189" s="152"/>
      <c r="AI189" s="152" t="s">
        <v>2182</v>
      </c>
      <c r="AJ189" s="152" t="s">
        <v>373</v>
      </c>
      <c r="AK189" s="152" t="s">
        <v>1454</v>
      </c>
      <c r="AL189" s="152" t="s">
        <v>2174</v>
      </c>
      <c r="AM189" s="152" t="s">
        <v>1671</v>
      </c>
      <c r="AN189" s="160" t="s">
        <v>1455</v>
      </c>
      <c r="AO189" s="152" t="s">
        <v>1878</v>
      </c>
      <c r="AP189" s="161">
        <v>0</v>
      </c>
      <c r="AQ189" s="162">
        <v>894.48</v>
      </c>
      <c r="AR189" s="170">
        <v>125.66</v>
      </c>
      <c r="AS189" s="171">
        <v>1</v>
      </c>
      <c r="AT189" s="166">
        <v>1.1240000000000001</v>
      </c>
      <c r="AU189" s="166">
        <v>1.1240000000000001</v>
      </c>
      <c r="AV189" s="152"/>
      <c r="AW189" s="152"/>
      <c r="AX189" t="s">
        <v>72</v>
      </c>
      <c r="AY189" t="s">
        <v>16</v>
      </c>
      <c r="AZ189" s="45">
        <v>1.5924960076280201E-3</v>
      </c>
      <c r="BA189" s="45">
        <v>1.53427828623317E-5</v>
      </c>
    </row>
    <row r="190" spans="1:53" x14ac:dyDescent="0.25">
      <c r="A190" s="152">
        <v>969</v>
      </c>
      <c r="B190" s="152">
        <v>969</v>
      </c>
      <c r="C190" s="152">
        <v>513326439</v>
      </c>
      <c r="D190" s="152" t="s">
        <v>1721</v>
      </c>
      <c r="E190" s="152" t="s">
        <v>2233</v>
      </c>
      <c r="F190" s="152">
        <v>28522</v>
      </c>
      <c r="G190" s="152" t="s">
        <v>2165</v>
      </c>
      <c r="H190" s="152"/>
      <c r="I190" s="152" t="s">
        <v>71</v>
      </c>
      <c r="J190" s="152" t="s">
        <v>71</v>
      </c>
      <c r="K190" s="152" t="s">
        <v>234</v>
      </c>
      <c r="L190" s="152" t="s">
        <v>72</v>
      </c>
      <c r="M190" s="152" t="s">
        <v>373</v>
      </c>
      <c r="N190" s="152">
        <v>11898310</v>
      </c>
      <c r="O190" s="160" t="s">
        <v>2234</v>
      </c>
      <c r="P190" s="152" t="s">
        <v>228</v>
      </c>
      <c r="Q190" s="152" t="s">
        <v>219</v>
      </c>
      <c r="R190" s="152" t="s">
        <v>2168</v>
      </c>
      <c r="S190" s="152" t="s">
        <v>81</v>
      </c>
      <c r="T190" s="166">
        <v>3.02</v>
      </c>
      <c r="U190" s="152" t="s">
        <v>2184</v>
      </c>
      <c r="V190" s="161">
        <v>5.5E-2</v>
      </c>
      <c r="W190" s="152" t="s">
        <v>2169</v>
      </c>
      <c r="X190" s="152" t="s">
        <v>2170</v>
      </c>
      <c r="Y190" s="167">
        <v>5.5E-2</v>
      </c>
      <c r="Z190" s="168">
        <v>2.93E-2</v>
      </c>
      <c r="AA190" s="152" t="s">
        <v>2181</v>
      </c>
      <c r="AB190" s="152" t="s">
        <v>222</v>
      </c>
      <c r="AC190" s="152" t="s">
        <v>1626</v>
      </c>
      <c r="AD190" s="166">
        <v>482000</v>
      </c>
      <c r="AE190" s="168">
        <v>0.73</v>
      </c>
      <c r="AF190" s="152" t="s">
        <v>1878</v>
      </c>
      <c r="AG190" s="152" t="s">
        <v>72</v>
      </c>
      <c r="AH190" s="152"/>
      <c r="AI190" s="152" t="s">
        <v>2182</v>
      </c>
      <c r="AJ190" s="152" t="s">
        <v>373</v>
      </c>
      <c r="AK190" s="152" t="s">
        <v>1454</v>
      </c>
      <c r="AL190" s="152" t="s">
        <v>2174</v>
      </c>
      <c r="AM190" s="152" t="s">
        <v>1671</v>
      </c>
      <c r="AN190" s="160" t="s">
        <v>1455</v>
      </c>
      <c r="AO190" s="152" t="s">
        <v>1878</v>
      </c>
      <c r="AP190" s="161">
        <v>0</v>
      </c>
      <c r="AQ190" s="162">
        <v>997.11</v>
      </c>
      <c r="AR190" s="170">
        <v>125.05</v>
      </c>
      <c r="AS190" s="171">
        <v>1</v>
      </c>
      <c r="AT190" s="166">
        <v>1.2470000000000001</v>
      </c>
      <c r="AU190" s="166">
        <v>1.2470000000000001</v>
      </c>
      <c r="AV190" s="152"/>
      <c r="AW190" s="152"/>
      <c r="AX190" t="s">
        <v>72</v>
      </c>
      <c r="AY190" t="s">
        <v>16</v>
      </c>
      <c r="AZ190" s="45">
        <v>1.7665967627556001E-3</v>
      </c>
      <c r="BA190" s="45">
        <v>1.7020143476923901E-5</v>
      </c>
    </row>
    <row r="191" spans="1:53" x14ac:dyDescent="0.25">
      <c r="A191" s="152">
        <v>969</v>
      </c>
      <c r="B191" s="152">
        <v>969</v>
      </c>
      <c r="C191" s="152">
        <v>513326439</v>
      </c>
      <c r="D191" s="152" t="s">
        <v>1721</v>
      </c>
      <c r="E191" s="152" t="s">
        <v>2235</v>
      </c>
      <c r="F191" s="152">
        <v>28563</v>
      </c>
      <c r="G191" s="152" t="s">
        <v>2165</v>
      </c>
      <c r="H191" s="152"/>
      <c r="I191" s="152" t="s">
        <v>71</v>
      </c>
      <c r="J191" s="152" t="s">
        <v>71</v>
      </c>
      <c r="K191" s="152" t="s">
        <v>234</v>
      </c>
      <c r="L191" s="152" t="s">
        <v>72</v>
      </c>
      <c r="M191" s="152" t="s">
        <v>373</v>
      </c>
      <c r="N191" s="152">
        <v>11898330</v>
      </c>
      <c r="O191" s="160" t="s">
        <v>2236</v>
      </c>
      <c r="P191" s="152" t="s">
        <v>228</v>
      </c>
      <c r="Q191" s="152" t="s">
        <v>219</v>
      </c>
      <c r="R191" s="152" t="s">
        <v>2168</v>
      </c>
      <c r="S191" s="152" t="s">
        <v>81</v>
      </c>
      <c r="T191" s="166">
        <v>3.01</v>
      </c>
      <c r="U191" s="152" t="s">
        <v>2184</v>
      </c>
      <c r="V191" s="161">
        <v>5.5E-2</v>
      </c>
      <c r="W191" s="152" t="s">
        <v>2169</v>
      </c>
      <c r="X191" s="152" t="s">
        <v>2170</v>
      </c>
      <c r="Y191" s="167">
        <v>5.5E-2</v>
      </c>
      <c r="Z191" s="168">
        <v>2.9399999999999999E-2</v>
      </c>
      <c r="AA191" s="152" t="s">
        <v>2181</v>
      </c>
      <c r="AB191" s="152" t="s">
        <v>222</v>
      </c>
      <c r="AC191" s="152" t="s">
        <v>1626</v>
      </c>
      <c r="AD191" s="166">
        <v>482000</v>
      </c>
      <c r="AE191" s="168">
        <v>0.73</v>
      </c>
      <c r="AF191" s="152" t="s">
        <v>1878</v>
      </c>
      <c r="AG191" s="152" t="s">
        <v>72</v>
      </c>
      <c r="AH191" s="152"/>
      <c r="AI191" s="152" t="s">
        <v>2182</v>
      </c>
      <c r="AJ191" s="152" t="s">
        <v>373</v>
      </c>
      <c r="AK191" s="152" t="s">
        <v>1454</v>
      </c>
      <c r="AL191" s="152" t="s">
        <v>2174</v>
      </c>
      <c r="AM191" s="152" t="s">
        <v>1671</v>
      </c>
      <c r="AN191" s="160" t="s">
        <v>1455</v>
      </c>
      <c r="AO191" s="152" t="s">
        <v>1878</v>
      </c>
      <c r="AP191" s="161">
        <v>0</v>
      </c>
      <c r="AQ191" s="162">
        <v>2927.7</v>
      </c>
      <c r="AR191" s="170">
        <v>125.14</v>
      </c>
      <c r="AS191" s="171">
        <v>1</v>
      </c>
      <c r="AT191" s="166">
        <v>3.6640000000000001</v>
      </c>
      <c r="AU191" s="166">
        <v>3.6640000000000001</v>
      </c>
      <c r="AV191" s="152"/>
      <c r="AW191" s="152"/>
      <c r="AX191" t="s">
        <v>72</v>
      </c>
      <c r="AY191" t="s">
        <v>16</v>
      </c>
      <c r="AZ191" s="45">
        <v>5.1907891209664004E-3</v>
      </c>
      <c r="BA191" s="45">
        <v>5.0010266892766003E-5</v>
      </c>
    </row>
    <row r="192" spans="1:53" x14ac:dyDescent="0.25">
      <c r="A192" s="152">
        <v>969</v>
      </c>
      <c r="B192" s="152">
        <v>969</v>
      </c>
      <c r="C192" s="152">
        <v>513326439</v>
      </c>
      <c r="D192" s="152" t="s">
        <v>1721</v>
      </c>
      <c r="E192" s="152" t="s">
        <v>2237</v>
      </c>
      <c r="F192" s="152">
        <v>28605</v>
      </c>
      <c r="G192" s="152" t="s">
        <v>2165</v>
      </c>
      <c r="H192" s="152"/>
      <c r="I192" s="152" t="s">
        <v>71</v>
      </c>
      <c r="J192" s="152" t="s">
        <v>71</v>
      </c>
      <c r="K192" s="152" t="s">
        <v>234</v>
      </c>
      <c r="L192" s="152" t="s">
        <v>72</v>
      </c>
      <c r="M192" s="152" t="s">
        <v>373</v>
      </c>
      <c r="N192" s="152">
        <v>11898350</v>
      </c>
      <c r="O192" s="160" t="s">
        <v>2238</v>
      </c>
      <c r="P192" s="152" t="s">
        <v>228</v>
      </c>
      <c r="Q192" s="152" t="s">
        <v>219</v>
      </c>
      <c r="R192" s="152" t="s">
        <v>2168</v>
      </c>
      <c r="S192" s="152" t="s">
        <v>81</v>
      </c>
      <c r="T192" s="166">
        <v>3.01</v>
      </c>
      <c r="U192" s="152" t="s">
        <v>2184</v>
      </c>
      <c r="V192" s="161">
        <v>5.5E-2</v>
      </c>
      <c r="W192" s="152" t="s">
        <v>2169</v>
      </c>
      <c r="X192" s="152" t="s">
        <v>2170</v>
      </c>
      <c r="Y192" s="167">
        <v>5.5E-2</v>
      </c>
      <c r="Z192" s="168">
        <v>2.9399999999999999E-2</v>
      </c>
      <c r="AA192" s="152" t="s">
        <v>2181</v>
      </c>
      <c r="AB192" s="152" t="s">
        <v>222</v>
      </c>
      <c r="AC192" s="152" t="s">
        <v>1626</v>
      </c>
      <c r="AD192" s="166">
        <v>482000</v>
      </c>
      <c r="AE192" s="168">
        <v>0.73</v>
      </c>
      <c r="AF192" s="152" t="s">
        <v>1878</v>
      </c>
      <c r="AG192" s="152" t="s">
        <v>72</v>
      </c>
      <c r="AH192" s="152"/>
      <c r="AI192" s="152" t="s">
        <v>2182</v>
      </c>
      <c r="AJ192" s="152" t="s">
        <v>373</v>
      </c>
      <c r="AK192" s="152" t="s">
        <v>1454</v>
      </c>
      <c r="AL192" s="152" t="s">
        <v>2174</v>
      </c>
      <c r="AM192" s="152" t="s">
        <v>1671</v>
      </c>
      <c r="AN192" s="160" t="s">
        <v>1455</v>
      </c>
      <c r="AO192" s="152" t="s">
        <v>1878</v>
      </c>
      <c r="AP192" s="161">
        <v>0</v>
      </c>
      <c r="AQ192" s="162">
        <v>543.45000000000005</v>
      </c>
      <c r="AR192" s="170">
        <v>125.76</v>
      </c>
      <c r="AS192" s="171">
        <v>1</v>
      </c>
      <c r="AT192" s="166">
        <v>0.68300000000000005</v>
      </c>
      <c r="AU192" s="166">
        <v>0.68300000000000005</v>
      </c>
      <c r="AV192" s="152"/>
      <c r="AW192" s="152"/>
      <c r="AX192" t="s">
        <v>72</v>
      </c>
      <c r="AY192" t="s">
        <v>16</v>
      </c>
      <c r="AZ192" s="45">
        <v>9.68306359542119E-4</v>
      </c>
      <c r="BA192" s="45">
        <v>9.3290747025470199E-6</v>
      </c>
    </row>
    <row r="193" spans="1:53" x14ac:dyDescent="0.25">
      <c r="A193" s="152">
        <v>969</v>
      </c>
      <c r="B193" s="152">
        <v>969</v>
      </c>
      <c r="C193" s="152">
        <v>513326439</v>
      </c>
      <c r="D193" s="152" t="s">
        <v>1721</v>
      </c>
      <c r="E193" s="152" t="s">
        <v>2239</v>
      </c>
      <c r="F193" s="152">
        <v>28639</v>
      </c>
      <c r="G193" s="152" t="s">
        <v>2165</v>
      </c>
      <c r="H193" s="152"/>
      <c r="I193" s="152" t="s">
        <v>71</v>
      </c>
      <c r="J193" s="152" t="s">
        <v>71</v>
      </c>
      <c r="K193" s="152" t="s">
        <v>234</v>
      </c>
      <c r="L193" s="152" t="s">
        <v>72</v>
      </c>
      <c r="M193" s="152" t="s">
        <v>373</v>
      </c>
      <c r="N193" s="152">
        <v>11898360</v>
      </c>
      <c r="O193" s="160" t="s">
        <v>2240</v>
      </c>
      <c r="P193" s="152" t="s">
        <v>228</v>
      </c>
      <c r="Q193" s="152" t="s">
        <v>219</v>
      </c>
      <c r="R193" s="152" t="s">
        <v>2168</v>
      </c>
      <c r="S193" s="152" t="s">
        <v>81</v>
      </c>
      <c r="T193" s="166">
        <v>3.01</v>
      </c>
      <c r="U193" s="152" t="s">
        <v>2184</v>
      </c>
      <c r="V193" s="161">
        <v>5.5E-2</v>
      </c>
      <c r="W193" s="152" t="s">
        <v>2169</v>
      </c>
      <c r="X193" s="152" t="s">
        <v>2170</v>
      </c>
      <c r="Y193" s="167">
        <v>5.5E-2</v>
      </c>
      <c r="Z193" s="168">
        <v>2.9399999999999999E-2</v>
      </c>
      <c r="AA193" s="152" t="s">
        <v>2241</v>
      </c>
      <c r="AB193" s="152" t="s">
        <v>222</v>
      </c>
      <c r="AC193" s="152" t="s">
        <v>1626</v>
      </c>
      <c r="AD193" s="166">
        <v>482000</v>
      </c>
      <c r="AE193" s="168">
        <v>0.73</v>
      </c>
      <c r="AF193" s="152" t="s">
        <v>1878</v>
      </c>
      <c r="AG193" s="152" t="s">
        <v>72</v>
      </c>
      <c r="AH193" s="152"/>
      <c r="AI193" s="152" t="s">
        <v>2182</v>
      </c>
      <c r="AJ193" s="152" t="s">
        <v>373</v>
      </c>
      <c r="AK193" s="152" t="s">
        <v>1454</v>
      </c>
      <c r="AL193" s="152" t="s">
        <v>2174</v>
      </c>
      <c r="AM193" s="152" t="s">
        <v>1671</v>
      </c>
      <c r="AN193" s="160" t="s">
        <v>1455</v>
      </c>
      <c r="AO193" s="152" t="s">
        <v>1878</v>
      </c>
      <c r="AP193" s="161">
        <v>0</v>
      </c>
      <c r="AQ193" s="162">
        <v>1084.49</v>
      </c>
      <c r="AR193" s="170">
        <v>126</v>
      </c>
      <c r="AS193" s="171">
        <v>1</v>
      </c>
      <c r="AT193" s="166">
        <v>1.3660000000000001</v>
      </c>
      <c r="AU193" s="166">
        <v>1.3660000000000001</v>
      </c>
      <c r="AV193" s="152"/>
      <c r="AW193" s="152"/>
      <c r="AX193" t="s">
        <v>72</v>
      </c>
      <c r="AY193" t="s">
        <v>16</v>
      </c>
      <c r="AZ193" s="45">
        <v>1.93600626905996E-3</v>
      </c>
      <c r="BA193" s="45">
        <v>1.8652306608003899E-5</v>
      </c>
    </row>
    <row r="194" spans="1:53" x14ac:dyDescent="0.25">
      <c r="A194" s="152">
        <v>969</v>
      </c>
      <c r="B194" s="152">
        <v>969</v>
      </c>
      <c r="C194" s="152">
        <v>513326439</v>
      </c>
      <c r="D194" s="152" t="s">
        <v>1721</v>
      </c>
      <c r="E194" s="152" t="s">
        <v>2242</v>
      </c>
      <c r="F194" s="152">
        <v>28654</v>
      </c>
      <c r="G194" s="152" t="s">
        <v>2165</v>
      </c>
      <c r="H194" s="152"/>
      <c r="I194" s="152" t="s">
        <v>71</v>
      </c>
      <c r="J194" s="152" t="s">
        <v>71</v>
      </c>
      <c r="K194" s="152" t="s">
        <v>234</v>
      </c>
      <c r="L194" s="152" t="s">
        <v>72</v>
      </c>
      <c r="M194" s="152" t="s">
        <v>373</v>
      </c>
      <c r="N194" s="152">
        <v>11898380</v>
      </c>
      <c r="O194" s="160" t="s">
        <v>2243</v>
      </c>
      <c r="P194" s="152" t="s">
        <v>228</v>
      </c>
      <c r="Q194" s="152" t="s">
        <v>219</v>
      </c>
      <c r="R194" s="152" t="s">
        <v>2168</v>
      </c>
      <c r="S194" s="152" t="s">
        <v>81</v>
      </c>
      <c r="T194" s="166">
        <v>3.01</v>
      </c>
      <c r="U194" s="152" t="s">
        <v>2184</v>
      </c>
      <c r="V194" s="161">
        <v>5.5E-2</v>
      </c>
      <c r="W194" s="152" t="s">
        <v>2169</v>
      </c>
      <c r="X194" s="152" t="s">
        <v>2170</v>
      </c>
      <c r="Y194" s="167">
        <v>5.5E-2</v>
      </c>
      <c r="Z194" s="168">
        <v>2.9399999999999999E-2</v>
      </c>
      <c r="AA194" s="152" t="s">
        <v>2181</v>
      </c>
      <c r="AB194" s="152" t="s">
        <v>222</v>
      </c>
      <c r="AC194" s="152" t="s">
        <v>1626</v>
      </c>
      <c r="AD194" s="166">
        <v>482000</v>
      </c>
      <c r="AE194" s="168">
        <v>0.73</v>
      </c>
      <c r="AF194" s="152" t="s">
        <v>1878</v>
      </c>
      <c r="AG194" s="152" t="s">
        <v>72</v>
      </c>
      <c r="AH194" s="152"/>
      <c r="AI194" s="152" t="s">
        <v>2182</v>
      </c>
      <c r="AJ194" s="152" t="s">
        <v>373</v>
      </c>
      <c r="AK194" s="152" t="s">
        <v>1454</v>
      </c>
      <c r="AL194" s="152" t="s">
        <v>2174</v>
      </c>
      <c r="AM194" s="152" t="s">
        <v>1671</v>
      </c>
      <c r="AN194" s="160" t="s">
        <v>1455</v>
      </c>
      <c r="AO194" s="152" t="s">
        <v>1878</v>
      </c>
      <c r="AP194" s="161">
        <v>0</v>
      </c>
      <c r="AQ194" s="162">
        <v>679.57</v>
      </c>
      <c r="AR194" s="170">
        <v>125.51</v>
      </c>
      <c r="AS194" s="171">
        <v>1</v>
      </c>
      <c r="AT194" s="166">
        <v>0.85299999999999998</v>
      </c>
      <c r="AU194" s="166">
        <v>0.85299999999999998</v>
      </c>
      <c r="AV194" s="152"/>
      <c r="AW194" s="152"/>
      <c r="AX194" t="s">
        <v>72</v>
      </c>
      <c r="AY194" t="s">
        <v>16</v>
      </c>
      <c r="AZ194" s="45">
        <v>1.2084347081809501E-3</v>
      </c>
      <c r="BA194" s="45">
        <v>1.1642573194605E-5</v>
      </c>
    </row>
    <row r="195" spans="1:53" x14ac:dyDescent="0.25">
      <c r="A195" s="152">
        <v>969</v>
      </c>
      <c r="B195" s="152">
        <v>969</v>
      </c>
      <c r="C195" s="152">
        <v>513326439</v>
      </c>
      <c r="D195" s="152" t="s">
        <v>1721</v>
      </c>
      <c r="E195" s="152" t="s">
        <v>2244</v>
      </c>
      <c r="F195" s="152">
        <v>28670</v>
      </c>
      <c r="G195" s="152" t="s">
        <v>2165</v>
      </c>
      <c r="H195" s="152"/>
      <c r="I195" s="152" t="s">
        <v>71</v>
      </c>
      <c r="J195" s="152" t="s">
        <v>71</v>
      </c>
      <c r="K195" s="152" t="s">
        <v>234</v>
      </c>
      <c r="L195" s="152" t="s">
        <v>72</v>
      </c>
      <c r="M195" s="152" t="s">
        <v>373</v>
      </c>
      <c r="N195" s="152">
        <v>11898390</v>
      </c>
      <c r="O195" s="160" t="s">
        <v>2245</v>
      </c>
      <c r="P195" s="152" t="s">
        <v>228</v>
      </c>
      <c r="Q195" s="152" t="s">
        <v>219</v>
      </c>
      <c r="R195" s="152" t="s">
        <v>2168</v>
      </c>
      <c r="S195" s="152" t="s">
        <v>81</v>
      </c>
      <c r="T195" s="166">
        <v>3.01</v>
      </c>
      <c r="U195" s="152" t="s">
        <v>2184</v>
      </c>
      <c r="V195" s="161">
        <v>5.5E-2</v>
      </c>
      <c r="W195" s="152" t="s">
        <v>2169</v>
      </c>
      <c r="X195" s="152" t="s">
        <v>2170</v>
      </c>
      <c r="Y195" s="167">
        <v>5.5E-2</v>
      </c>
      <c r="Z195" s="168">
        <v>2.9399999999999999E-2</v>
      </c>
      <c r="AA195" s="152" t="s">
        <v>2188</v>
      </c>
      <c r="AB195" s="152" t="s">
        <v>222</v>
      </c>
      <c r="AC195" s="152" t="s">
        <v>1626</v>
      </c>
      <c r="AD195" s="166">
        <v>482000</v>
      </c>
      <c r="AE195" s="168">
        <v>0.73</v>
      </c>
      <c r="AF195" s="152" t="s">
        <v>1878</v>
      </c>
      <c r="AG195" s="152" t="s">
        <v>72</v>
      </c>
      <c r="AH195" s="152"/>
      <c r="AI195" s="152" t="s">
        <v>2182</v>
      </c>
      <c r="AJ195" s="152" t="s">
        <v>373</v>
      </c>
      <c r="AK195" s="152" t="s">
        <v>1454</v>
      </c>
      <c r="AL195" s="152" t="s">
        <v>2174</v>
      </c>
      <c r="AM195" s="152" t="s">
        <v>1671</v>
      </c>
      <c r="AN195" s="160" t="s">
        <v>1455</v>
      </c>
      <c r="AO195" s="152" t="s">
        <v>1878</v>
      </c>
      <c r="AP195" s="161">
        <v>0</v>
      </c>
      <c r="AQ195" s="162">
        <v>382.68</v>
      </c>
      <c r="AR195" s="170">
        <v>125.39</v>
      </c>
      <c r="AS195" s="171">
        <v>1</v>
      </c>
      <c r="AT195" s="166">
        <v>0.48</v>
      </c>
      <c r="AU195" s="166">
        <v>0.48</v>
      </c>
      <c r="AV195" s="152"/>
      <c r="AW195" s="152"/>
      <c r="AX195" t="s">
        <v>72</v>
      </c>
      <c r="AY195" t="s">
        <v>16</v>
      </c>
      <c r="AZ195" s="45">
        <v>6.7984409556646401E-4</v>
      </c>
      <c r="BA195" s="45">
        <v>6.5499067429693799E-6</v>
      </c>
    </row>
    <row r="196" spans="1:53" x14ac:dyDescent="0.25">
      <c r="A196" s="152">
        <v>969</v>
      </c>
      <c r="B196" s="152">
        <v>969</v>
      </c>
      <c r="C196" s="152">
        <v>513326439</v>
      </c>
      <c r="D196" s="152" t="s">
        <v>1721</v>
      </c>
      <c r="E196" s="152" t="s">
        <v>2246</v>
      </c>
      <c r="F196" s="152">
        <v>28902</v>
      </c>
      <c r="G196" s="152" t="s">
        <v>2165</v>
      </c>
      <c r="H196" s="152"/>
      <c r="I196" s="152" t="s">
        <v>71</v>
      </c>
      <c r="J196" s="152" t="s">
        <v>71</v>
      </c>
      <c r="K196" s="152" t="s">
        <v>234</v>
      </c>
      <c r="L196" s="152" t="s">
        <v>72</v>
      </c>
      <c r="M196" s="152" t="s">
        <v>373</v>
      </c>
      <c r="N196" s="152">
        <v>11898400</v>
      </c>
      <c r="O196" s="160" t="s">
        <v>2247</v>
      </c>
      <c r="P196" s="152" t="s">
        <v>228</v>
      </c>
      <c r="Q196" s="152" t="s">
        <v>219</v>
      </c>
      <c r="R196" s="152" t="s">
        <v>2168</v>
      </c>
      <c r="S196" s="152" t="s">
        <v>81</v>
      </c>
      <c r="T196" s="166">
        <v>3.01</v>
      </c>
      <c r="U196" s="152" t="s">
        <v>2184</v>
      </c>
      <c r="V196" s="161">
        <v>5.5E-2</v>
      </c>
      <c r="W196" s="152" t="s">
        <v>2169</v>
      </c>
      <c r="X196" s="152" t="s">
        <v>2170</v>
      </c>
      <c r="Y196" s="167">
        <v>5.5E-2</v>
      </c>
      <c r="Z196" s="168">
        <v>2.9399999999999999E-2</v>
      </c>
      <c r="AA196" s="152" t="s">
        <v>2188</v>
      </c>
      <c r="AB196" s="152" t="s">
        <v>222</v>
      </c>
      <c r="AC196" s="152" t="s">
        <v>1626</v>
      </c>
      <c r="AD196" s="166">
        <v>482000</v>
      </c>
      <c r="AE196" s="168">
        <v>0.73</v>
      </c>
      <c r="AF196" s="152" t="s">
        <v>1878</v>
      </c>
      <c r="AG196" s="152" t="s">
        <v>72</v>
      </c>
      <c r="AH196" s="152"/>
      <c r="AI196" s="152" t="s">
        <v>2182</v>
      </c>
      <c r="AJ196" s="152" t="s">
        <v>373</v>
      </c>
      <c r="AK196" s="152" t="s">
        <v>1454</v>
      </c>
      <c r="AL196" s="152" t="s">
        <v>2174</v>
      </c>
      <c r="AM196" s="152" t="s">
        <v>1671</v>
      </c>
      <c r="AN196" s="160" t="s">
        <v>1455</v>
      </c>
      <c r="AO196" s="152" t="s">
        <v>1878</v>
      </c>
      <c r="AP196" s="161">
        <v>0</v>
      </c>
      <c r="AQ196" s="162">
        <v>1141.47</v>
      </c>
      <c r="AR196" s="170">
        <v>125.02</v>
      </c>
      <c r="AS196" s="171">
        <v>1</v>
      </c>
      <c r="AT196" s="166">
        <v>1.427</v>
      </c>
      <c r="AU196" s="166">
        <v>1.427</v>
      </c>
      <c r="AV196" s="152"/>
      <c r="AW196" s="152"/>
      <c r="AX196" t="s">
        <v>72</v>
      </c>
      <c r="AY196" t="s">
        <v>16</v>
      </c>
      <c r="AZ196" s="45">
        <v>2.0218766597078098E-3</v>
      </c>
      <c r="BA196" s="45">
        <v>1.9479618420217499E-5</v>
      </c>
    </row>
    <row r="197" spans="1:53" x14ac:dyDescent="0.25">
      <c r="A197" s="152">
        <v>969</v>
      </c>
      <c r="B197" s="152">
        <v>969</v>
      </c>
      <c r="C197" s="152">
        <v>513326439</v>
      </c>
      <c r="D197" s="152" t="s">
        <v>1721</v>
      </c>
      <c r="E197" s="152" t="s">
        <v>2248</v>
      </c>
      <c r="F197" s="152">
        <v>28928</v>
      </c>
      <c r="G197" s="152" t="s">
        <v>2165</v>
      </c>
      <c r="H197" s="152"/>
      <c r="I197" s="152" t="s">
        <v>71</v>
      </c>
      <c r="J197" s="152" t="s">
        <v>71</v>
      </c>
      <c r="K197" s="152" t="s">
        <v>234</v>
      </c>
      <c r="L197" s="152" t="s">
        <v>72</v>
      </c>
      <c r="M197" s="152" t="s">
        <v>373</v>
      </c>
      <c r="N197" s="152">
        <v>11898410</v>
      </c>
      <c r="O197" s="160" t="s">
        <v>2225</v>
      </c>
      <c r="P197" s="152" t="s">
        <v>228</v>
      </c>
      <c r="Q197" s="152" t="s">
        <v>219</v>
      </c>
      <c r="R197" s="152" t="s">
        <v>2168</v>
      </c>
      <c r="S197" s="152" t="s">
        <v>81</v>
      </c>
      <c r="T197" s="166">
        <v>3.01</v>
      </c>
      <c r="U197" s="152" t="s">
        <v>286</v>
      </c>
      <c r="V197" s="161">
        <v>5.5E-2</v>
      </c>
      <c r="W197" s="152" t="s">
        <v>2169</v>
      </c>
      <c r="X197" s="152" t="s">
        <v>2120</v>
      </c>
      <c r="Y197" s="167">
        <v>0</v>
      </c>
      <c r="Z197" s="168">
        <v>2.9399999999999999E-2</v>
      </c>
      <c r="AA197" s="152" t="s">
        <v>2188</v>
      </c>
      <c r="AB197" s="152" t="s">
        <v>222</v>
      </c>
      <c r="AC197" s="152" t="s">
        <v>1626</v>
      </c>
      <c r="AD197" s="166">
        <v>482000</v>
      </c>
      <c r="AE197" s="168">
        <v>0.73</v>
      </c>
      <c r="AF197" s="152" t="s">
        <v>1878</v>
      </c>
      <c r="AG197" s="152" t="s">
        <v>72</v>
      </c>
      <c r="AH197" s="152"/>
      <c r="AI197" s="152" t="s">
        <v>2182</v>
      </c>
      <c r="AJ197" s="152" t="s">
        <v>373</v>
      </c>
      <c r="AK197" s="152" t="s">
        <v>1454</v>
      </c>
      <c r="AL197" s="152" t="s">
        <v>2174</v>
      </c>
      <c r="AM197" s="152" t="s">
        <v>1671</v>
      </c>
      <c r="AN197" s="160" t="s">
        <v>1455</v>
      </c>
      <c r="AO197" s="152" t="s">
        <v>1878</v>
      </c>
      <c r="AP197" s="161">
        <v>0</v>
      </c>
      <c r="AQ197" s="162">
        <v>444.37</v>
      </c>
      <c r="AR197" s="170">
        <v>125.02</v>
      </c>
      <c r="AS197" s="171">
        <v>1</v>
      </c>
      <c r="AT197" s="166">
        <v>0.55600000000000005</v>
      </c>
      <c r="AU197" s="166">
        <v>0.55600000000000005</v>
      </c>
      <c r="AV197" s="152"/>
      <c r="AW197" s="152"/>
      <c r="AX197" t="s">
        <v>72</v>
      </c>
      <c r="AY197" t="s">
        <v>16</v>
      </c>
      <c r="AZ197" s="45">
        <v>7.8710901843619303E-4</v>
      </c>
      <c r="BA197" s="45">
        <v>7.58334256475603E-6</v>
      </c>
    </row>
    <row r="198" spans="1:53" x14ac:dyDescent="0.25">
      <c r="A198" s="152">
        <v>969</v>
      </c>
      <c r="B198" s="152">
        <v>969</v>
      </c>
      <c r="C198" s="152">
        <v>513326439</v>
      </c>
      <c r="D198" s="152" t="s">
        <v>1721</v>
      </c>
      <c r="E198" s="152" t="s">
        <v>2249</v>
      </c>
      <c r="F198" s="152">
        <v>28944</v>
      </c>
      <c r="G198" s="152" t="s">
        <v>2165</v>
      </c>
      <c r="H198" s="152"/>
      <c r="I198" s="152" t="s">
        <v>71</v>
      </c>
      <c r="J198" s="152" t="s">
        <v>71</v>
      </c>
      <c r="K198" s="152" t="s">
        <v>234</v>
      </c>
      <c r="L198" s="152" t="s">
        <v>72</v>
      </c>
      <c r="M198" s="152" t="s">
        <v>373</v>
      </c>
      <c r="N198" s="152">
        <v>11898420</v>
      </c>
      <c r="O198" s="160" t="s">
        <v>2250</v>
      </c>
      <c r="P198" s="152" t="s">
        <v>228</v>
      </c>
      <c r="Q198" s="152" t="s">
        <v>219</v>
      </c>
      <c r="R198" s="152" t="s">
        <v>2168</v>
      </c>
      <c r="S198" s="152" t="s">
        <v>81</v>
      </c>
      <c r="T198" s="166">
        <v>3.01</v>
      </c>
      <c r="U198" s="152" t="s">
        <v>2184</v>
      </c>
      <c r="V198" s="161">
        <v>5.5E-2</v>
      </c>
      <c r="W198" s="152" t="s">
        <v>2169</v>
      </c>
      <c r="X198" s="152" t="s">
        <v>2170</v>
      </c>
      <c r="Y198" s="167">
        <v>5.5E-2</v>
      </c>
      <c r="Z198" s="168">
        <v>2.9399999999999999E-2</v>
      </c>
      <c r="AA198" s="152" t="s">
        <v>2188</v>
      </c>
      <c r="AB198" s="152" t="s">
        <v>222</v>
      </c>
      <c r="AC198" s="152" t="s">
        <v>1626</v>
      </c>
      <c r="AD198" s="166">
        <v>482000</v>
      </c>
      <c r="AE198" s="168">
        <v>0.73</v>
      </c>
      <c r="AF198" s="152" t="s">
        <v>1878</v>
      </c>
      <c r="AG198" s="152" t="s">
        <v>72</v>
      </c>
      <c r="AH198" s="152"/>
      <c r="AI198" s="152" t="s">
        <v>2182</v>
      </c>
      <c r="AJ198" s="152" t="s">
        <v>373</v>
      </c>
      <c r="AK198" s="152" t="s">
        <v>1454</v>
      </c>
      <c r="AL198" s="152" t="s">
        <v>2174</v>
      </c>
      <c r="AM198" s="152" t="s">
        <v>1671</v>
      </c>
      <c r="AN198" s="160" t="s">
        <v>1455</v>
      </c>
      <c r="AO198" s="152" t="s">
        <v>1878</v>
      </c>
      <c r="AP198" s="161">
        <v>0</v>
      </c>
      <c r="AQ198" s="162">
        <v>2986.37</v>
      </c>
      <c r="AR198" s="170">
        <v>125.27</v>
      </c>
      <c r="AS198" s="171">
        <v>1</v>
      </c>
      <c r="AT198" s="166">
        <v>3.7410000000000001</v>
      </c>
      <c r="AU198" s="166">
        <v>3.7410000000000001</v>
      </c>
      <c r="AV198" s="152"/>
      <c r="AW198" s="152"/>
      <c r="AX198" t="s">
        <v>72</v>
      </c>
      <c r="AY198" t="s">
        <v>16</v>
      </c>
      <c r="AZ198" s="45">
        <v>5.3003110129729598E-3</v>
      </c>
      <c r="BA198" s="45">
        <v>5.1065447313739997E-5</v>
      </c>
    </row>
    <row r="199" spans="1:53" x14ac:dyDescent="0.25">
      <c r="A199" s="152">
        <v>969</v>
      </c>
      <c r="B199" s="152">
        <v>969</v>
      </c>
      <c r="C199" s="152">
        <v>513326439</v>
      </c>
      <c r="D199" s="152" t="s">
        <v>1721</v>
      </c>
      <c r="E199" s="152" t="s">
        <v>2251</v>
      </c>
      <c r="F199" s="152">
        <v>28969</v>
      </c>
      <c r="G199" s="152" t="s">
        <v>2165</v>
      </c>
      <c r="H199" s="152"/>
      <c r="I199" s="152" t="s">
        <v>71</v>
      </c>
      <c r="J199" s="152" t="s">
        <v>71</v>
      </c>
      <c r="K199" s="152" t="s">
        <v>234</v>
      </c>
      <c r="L199" s="152" t="s">
        <v>72</v>
      </c>
      <c r="M199" s="152" t="s">
        <v>373</v>
      </c>
      <c r="N199" s="152">
        <v>11898421</v>
      </c>
      <c r="O199" s="160" t="s">
        <v>2252</v>
      </c>
      <c r="P199" s="152" t="s">
        <v>228</v>
      </c>
      <c r="Q199" s="152" t="s">
        <v>219</v>
      </c>
      <c r="R199" s="152" t="s">
        <v>2168</v>
      </c>
      <c r="S199" s="152" t="s">
        <v>81</v>
      </c>
      <c r="T199" s="166">
        <v>3.01</v>
      </c>
      <c r="U199" s="152" t="s">
        <v>2184</v>
      </c>
      <c r="V199" s="161">
        <v>5.5E-2</v>
      </c>
      <c r="W199" s="152" t="s">
        <v>2169</v>
      </c>
      <c r="X199" s="152" t="s">
        <v>2170</v>
      </c>
      <c r="Y199" s="167">
        <v>5.5E-2</v>
      </c>
      <c r="Z199" s="168">
        <v>2.9399999999999999E-2</v>
      </c>
      <c r="AA199" s="152" t="s">
        <v>2188</v>
      </c>
      <c r="AB199" s="152" t="s">
        <v>222</v>
      </c>
      <c r="AC199" s="152" t="s">
        <v>1626</v>
      </c>
      <c r="AD199" s="166">
        <v>482000</v>
      </c>
      <c r="AE199" s="168">
        <v>0.73</v>
      </c>
      <c r="AF199" s="152" t="s">
        <v>1878</v>
      </c>
      <c r="AG199" s="152" t="s">
        <v>72</v>
      </c>
      <c r="AH199" s="152"/>
      <c r="AI199" s="152" t="s">
        <v>2182</v>
      </c>
      <c r="AJ199" s="152" t="s">
        <v>373</v>
      </c>
      <c r="AK199" s="152" t="s">
        <v>1454</v>
      </c>
      <c r="AL199" s="152" t="s">
        <v>2174</v>
      </c>
      <c r="AM199" s="152" t="s">
        <v>1671</v>
      </c>
      <c r="AN199" s="160" t="s">
        <v>1455</v>
      </c>
      <c r="AO199" s="152" t="s">
        <v>1878</v>
      </c>
      <c r="AP199" s="161">
        <v>0</v>
      </c>
      <c r="AQ199" s="162">
        <v>5833.59</v>
      </c>
      <c r="AR199" s="170">
        <v>126.4</v>
      </c>
      <c r="AS199" s="171">
        <v>1</v>
      </c>
      <c r="AT199" s="166">
        <v>7.3739999999999997</v>
      </c>
      <c r="AU199" s="166">
        <v>7.3739999999999997</v>
      </c>
      <c r="AV199" s="152"/>
      <c r="AW199" s="152"/>
      <c r="AX199" t="s">
        <v>72</v>
      </c>
      <c r="AY199" t="s">
        <v>16</v>
      </c>
      <c r="AZ199" s="45">
        <v>1.0447049172014101E-2</v>
      </c>
      <c r="BA199" s="45">
        <v>1.00651308531102E-4</v>
      </c>
    </row>
    <row r="200" spans="1:53" x14ac:dyDescent="0.25">
      <c r="A200" s="152">
        <v>969</v>
      </c>
      <c r="B200" s="152">
        <v>969</v>
      </c>
      <c r="C200" s="152">
        <v>513326439</v>
      </c>
      <c r="D200" s="152" t="s">
        <v>1721</v>
      </c>
      <c r="E200" s="152" t="s">
        <v>2253</v>
      </c>
      <c r="F200" s="152">
        <v>33233</v>
      </c>
      <c r="G200" s="152" t="s">
        <v>2165</v>
      </c>
      <c r="H200" s="152"/>
      <c r="I200" s="152" t="s">
        <v>71</v>
      </c>
      <c r="J200" s="152" t="s">
        <v>71</v>
      </c>
      <c r="K200" s="152" t="s">
        <v>234</v>
      </c>
      <c r="L200" s="152" t="s">
        <v>72</v>
      </c>
      <c r="M200" s="152" t="s">
        <v>373</v>
      </c>
      <c r="N200" s="152">
        <v>11896150</v>
      </c>
      <c r="O200" s="160" t="s">
        <v>2225</v>
      </c>
      <c r="P200" s="152" t="s">
        <v>228</v>
      </c>
      <c r="Q200" s="152" t="s">
        <v>219</v>
      </c>
      <c r="R200" s="152" t="s">
        <v>2168</v>
      </c>
      <c r="S200" s="152" t="s">
        <v>81</v>
      </c>
      <c r="T200" s="166">
        <v>3.01</v>
      </c>
      <c r="U200" s="152" t="s">
        <v>286</v>
      </c>
      <c r="V200" s="161">
        <v>5.5500000000000001E-2</v>
      </c>
      <c r="W200" s="152" t="s">
        <v>2169</v>
      </c>
      <c r="X200" s="152" t="s">
        <v>2120</v>
      </c>
      <c r="Y200" s="167">
        <v>0</v>
      </c>
      <c r="Z200" s="168">
        <v>2.9399999999999999E-2</v>
      </c>
      <c r="AA200" s="152" t="s">
        <v>2188</v>
      </c>
      <c r="AB200" s="152" t="s">
        <v>222</v>
      </c>
      <c r="AC200" s="152" t="s">
        <v>1626</v>
      </c>
      <c r="AD200" s="166">
        <v>482000</v>
      </c>
      <c r="AE200" s="168">
        <v>0.73</v>
      </c>
      <c r="AF200" s="152" t="s">
        <v>1878</v>
      </c>
      <c r="AG200" s="152" t="s">
        <v>72</v>
      </c>
      <c r="AH200" s="152"/>
      <c r="AI200" s="152" t="s">
        <v>2182</v>
      </c>
      <c r="AJ200" s="152" t="s">
        <v>373</v>
      </c>
      <c r="AK200" s="152" t="s">
        <v>1454</v>
      </c>
      <c r="AL200" s="152" t="s">
        <v>2174</v>
      </c>
      <c r="AM200" s="152" t="s">
        <v>1671</v>
      </c>
      <c r="AN200" s="160" t="s">
        <v>1455</v>
      </c>
      <c r="AO200" s="152" t="s">
        <v>1878</v>
      </c>
      <c r="AP200" s="161">
        <v>0</v>
      </c>
      <c r="AQ200" s="162">
        <v>4301.37</v>
      </c>
      <c r="AR200" s="170">
        <v>129.56</v>
      </c>
      <c r="AS200" s="171">
        <v>1</v>
      </c>
      <c r="AT200" s="166">
        <v>5.5730000000000004</v>
      </c>
      <c r="AU200" s="166">
        <v>5.5730000000000004</v>
      </c>
      <c r="AV200" s="152"/>
      <c r="AW200" s="152"/>
      <c r="AX200" t="s">
        <v>72</v>
      </c>
      <c r="AY200" t="s">
        <v>16</v>
      </c>
      <c r="AZ200" s="45">
        <v>7.8956593614655998E-3</v>
      </c>
      <c r="BA200" s="45">
        <v>7.6070135534179998E-5</v>
      </c>
    </row>
    <row r="201" spans="1:53" x14ac:dyDescent="0.25">
      <c r="A201" s="152">
        <v>969</v>
      </c>
      <c r="B201" s="152">
        <v>969</v>
      </c>
      <c r="C201" s="152">
        <v>513326439</v>
      </c>
      <c r="D201" s="152" t="s">
        <v>1721</v>
      </c>
      <c r="E201" s="152" t="s">
        <v>2254</v>
      </c>
      <c r="F201" s="152">
        <v>24760</v>
      </c>
      <c r="G201" s="152" t="s">
        <v>2165</v>
      </c>
      <c r="H201" s="152"/>
      <c r="I201" s="152" t="s">
        <v>71</v>
      </c>
      <c r="J201" s="152" t="s">
        <v>71</v>
      </c>
      <c r="K201" s="152" t="s">
        <v>234</v>
      </c>
      <c r="L201" s="152" t="s">
        <v>72</v>
      </c>
      <c r="M201" s="152" t="s">
        <v>373</v>
      </c>
      <c r="N201" s="152">
        <v>11896160</v>
      </c>
      <c r="O201" s="160" t="s">
        <v>2255</v>
      </c>
      <c r="P201" s="152" t="s">
        <v>228</v>
      </c>
      <c r="Q201" s="152" t="s">
        <v>219</v>
      </c>
      <c r="R201" s="152" t="s">
        <v>2168</v>
      </c>
      <c r="S201" s="152" t="s">
        <v>81</v>
      </c>
      <c r="T201" s="166">
        <v>3.01</v>
      </c>
      <c r="U201" s="152" t="s">
        <v>2184</v>
      </c>
      <c r="V201" s="161">
        <v>5.5E-2</v>
      </c>
      <c r="W201" s="152" t="s">
        <v>2169</v>
      </c>
      <c r="X201" s="152" t="s">
        <v>2170</v>
      </c>
      <c r="Y201" s="167">
        <v>5.5E-2</v>
      </c>
      <c r="Z201" s="168">
        <v>2.9399999999999999E-2</v>
      </c>
      <c r="AA201" s="152" t="s">
        <v>2181</v>
      </c>
      <c r="AB201" s="152" t="s">
        <v>222</v>
      </c>
      <c r="AC201" s="152" t="s">
        <v>1626</v>
      </c>
      <c r="AD201" s="166">
        <v>203777.768205128</v>
      </c>
      <c r="AE201" s="168">
        <v>0.73</v>
      </c>
      <c r="AF201" s="152" t="s">
        <v>1878</v>
      </c>
      <c r="AG201" s="152" t="s">
        <v>72</v>
      </c>
      <c r="AH201" s="152"/>
      <c r="AI201" s="152" t="s">
        <v>2182</v>
      </c>
      <c r="AJ201" s="152" t="s">
        <v>373</v>
      </c>
      <c r="AK201" s="152" t="s">
        <v>1454</v>
      </c>
      <c r="AL201" s="152" t="s">
        <v>2174</v>
      </c>
      <c r="AM201" s="152" t="s">
        <v>1671</v>
      </c>
      <c r="AN201" s="160" t="s">
        <v>1455</v>
      </c>
      <c r="AO201" s="152" t="s">
        <v>1878</v>
      </c>
      <c r="AP201" s="161">
        <v>0</v>
      </c>
      <c r="AQ201" s="162">
        <v>1887.79</v>
      </c>
      <c r="AR201" s="170">
        <v>127.77</v>
      </c>
      <c r="AS201" s="171">
        <v>1</v>
      </c>
      <c r="AT201" s="166">
        <v>2.4119999999999999</v>
      </c>
      <c r="AU201" s="166">
        <v>2.4119999999999999</v>
      </c>
      <c r="AV201" s="152"/>
      <c r="AW201" s="152"/>
      <c r="AX201" t="s">
        <v>72</v>
      </c>
      <c r="AY201" t="s">
        <v>16</v>
      </c>
      <c r="AZ201" s="45">
        <v>3.4173797244203799E-3</v>
      </c>
      <c r="BA201" s="45">
        <v>3.2924487608614698E-5</v>
      </c>
    </row>
    <row r="202" spans="1:53" x14ac:dyDescent="0.25">
      <c r="A202" s="152">
        <v>969</v>
      </c>
      <c r="B202" s="152">
        <v>969</v>
      </c>
      <c r="C202" s="152">
        <v>513326439</v>
      </c>
      <c r="D202" s="152" t="s">
        <v>1721</v>
      </c>
      <c r="E202" s="152" t="s">
        <v>2256</v>
      </c>
      <c r="F202" s="152">
        <v>24810</v>
      </c>
      <c r="G202" s="152" t="s">
        <v>2165</v>
      </c>
      <c r="H202" s="152"/>
      <c r="I202" s="152" t="s">
        <v>71</v>
      </c>
      <c r="J202" s="152" t="s">
        <v>71</v>
      </c>
      <c r="K202" s="152" t="s">
        <v>234</v>
      </c>
      <c r="L202" s="152" t="s">
        <v>72</v>
      </c>
      <c r="M202" s="152" t="s">
        <v>373</v>
      </c>
      <c r="N202" s="152">
        <v>11898180</v>
      </c>
      <c r="O202" s="160" t="s">
        <v>2257</v>
      </c>
      <c r="P202" s="152" t="s">
        <v>228</v>
      </c>
      <c r="Q202" s="152" t="s">
        <v>219</v>
      </c>
      <c r="R202" s="152" t="s">
        <v>2168</v>
      </c>
      <c r="S202" s="152" t="s">
        <v>81</v>
      </c>
      <c r="T202" s="166">
        <v>3.01</v>
      </c>
      <c r="U202" s="152" t="s">
        <v>2184</v>
      </c>
      <c r="V202" s="161">
        <v>5.5E-2</v>
      </c>
      <c r="W202" s="152" t="s">
        <v>2169</v>
      </c>
      <c r="X202" s="152" t="s">
        <v>2170</v>
      </c>
      <c r="Y202" s="167">
        <v>5.5E-2</v>
      </c>
      <c r="Z202" s="168">
        <v>2.9399999999999999E-2</v>
      </c>
      <c r="AA202" s="152" t="s">
        <v>2181</v>
      </c>
      <c r="AB202" s="152" t="s">
        <v>222</v>
      </c>
      <c r="AC202" s="152" t="s">
        <v>1626</v>
      </c>
      <c r="AD202" s="166">
        <v>482000</v>
      </c>
      <c r="AE202" s="168">
        <v>0.73</v>
      </c>
      <c r="AF202" s="152" t="s">
        <v>1878</v>
      </c>
      <c r="AG202" s="152" t="s">
        <v>72</v>
      </c>
      <c r="AH202" s="152"/>
      <c r="AI202" s="152" t="s">
        <v>2182</v>
      </c>
      <c r="AJ202" s="152" t="s">
        <v>373</v>
      </c>
      <c r="AK202" s="152" t="s">
        <v>1454</v>
      </c>
      <c r="AL202" s="152" t="s">
        <v>2174</v>
      </c>
      <c r="AM202" s="152" t="s">
        <v>1671</v>
      </c>
      <c r="AN202" s="160" t="s">
        <v>1455</v>
      </c>
      <c r="AO202" s="152" t="s">
        <v>1878</v>
      </c>
      <c r="AP202" s="161">
        <v>0</v>
      </c>
      <c r="AQ202" s="162">
        <v>1762.29</v>
      </c>
      <c r="AR202" s="170">
        <v>128.13</v>
      </c>
      <c r="AS202" s="171">
        <v>1</v>
      </c>
      <c r="AT202" s="166">
        <v>2.258</v>
      </c>
      <c r="AU202" s="166">
        <v>2.258</v>
      </c>
      <c r="AV202" s="152"/>
      <c r="AW202" s="152"/>
      <c r="AX202" t="s">
        <v>72</v>
      </c>
      <c r="AY202" t="s">
        <v>16</v>
      </c>
      <c r="AZ202" s="45">
        <v>3.1991813944206499E-3</v>
      </c>
      <c r="BA202" s="45">
        <v>3.0822272229691498E-5</v>
      </c>
    </row>
    <row r="203" spans="1:53" x14ac:dyDescent="0.25">
      <c r="A203" s="152">
        <v>969</v>
      </c>
      <c r="B203" s="152">
        <v>969</v>
      </c>
      <c r="C203" s="152">
        <v>513326439</v>
      </c>
      <c r="D203" s="152" t="s">
        <v>1721</v>
      </c>
      <c r="E203" s="152" t="s">
        <v>2258</v>
      </c>
      <c r="F203" s="152">
        <v>34330</v>
      </c>
      <c r="G203" s="152" t="s">
        <v>2165</v>
      </c>
      <c r="H203" s="152"/>
      <c r="I203" s="152" t="s">
        <v>71</v>
      </c>
      <c r="J203" s="152" t="s">
        <v>71</v>
      </c>
      <c r="K203" s="152" t="s">
        <v>234</v>
      </c>
      <c r="L203" s="152" t="s">
        <v>72</v>
      </c>
      <c r="M203" s="152" t="s">
        <v>373</v>
      </c>
      <c r="N203" s="152">
        <v>11898190</v>
      </c>
      <c r="O203" s="160" t="s">
        <v>2225</v>
      </c>
      <c r="P203" s="152" t="s">
        <v>228</v>
      </c>
      <c r="Q203" s="152" t="s">
        <v>219</v>
      </c>
      <c r="R203" s="152" t="s">
        <v>2168</v>
      </c>
      <c r="S203" s="152" t="s">
        <v>81</v>
      </c>
      <c r="T203" s="166">
        <v>3.01</v>
      </c>
      <c r="U203" s="152" t="s">
        <v>286</v>
      </c>
      <c r="V203" s="161">
        <v>5.5E-2</v>
      </c>
      <c r="W203" s="152" t="s">
        <v>2169</v>
      </c>
      <c r="X203" s="152" t="s">
        <v>2120</v>
      </c>
      <c r="Y203" s="167">
        <v>0</v>
      </c>
      <c r="Z203" s="168">
        <v>2.9399999999999999E-2</v>
      </c>
      <c r="AA203" s="152" t="s">
        <v>2188</v>
      </c>
      <c r="AB203" s="152" t="s">
        <v>222</v>
      </c>
      <c r="AC203" s="152" t="s">
        <v>1626</v>
      </c>
      <c r="AD203" s="166">
        <v>482000</v>
      </c>
      <c r="AE203" s="168">
        <v>0.73</v>
      </c>
      <c r="AF203" s="152" t="s">
        <v>1878</v>
      </c>
      <c r="AG203" s="152" t="s">
        <v>72</v>
      </c>
      <c r="AH203" s="152"/>
      <c r="AI203" s="152" t="s">
        <v>2182</v>
      </c>
      <c r="AJ203" s="152" t="s">
        <v>373</v>
      </c>
      <c r="AK203" s="152" t="s">
        <v>1454</v>
      </c>
      <c r="AL203" s="152" t="s">
        <v>2174</v>
      </c>
      <c r="AM203" s="152" t="s">
        <v>1671</v>
      </c>
      <c r="AN203" s="160" t="s">
        <v>1455</v>
      </c>
      <c r="AO203" s="152" t="s">
        <v>1878</v>
      </c>
      <c r="AP203" s="161">
        <v>0</v>
      </c>
      <c r="AQ203" s="162">
        <v>2256.02</v>
      </c>
      <c r="AR203" s="170">
        <v>126.69</v>
      </c>
      <c r="AS203" s="171">
        <v>1</v>
      </c>
      <c r="AT203" s="166">
        <v>2.8580000000000001</v>
      </c>
      <c r="AU203" s="166">
        <v>2.8580000000000001</v>
      </c>
      <c r="AV203" s="152"/>
      <c r="AW203" s="152"/>
      <c r="AX203" t="s">
        <v>72</v>
      </c>
      <c r="AY203" t="s">
        <v>16</v>
      </c>
      <c r="AZ203" s="45">
        <v>4.0494490956634399E-3</v>
      </c>
      <c r="BA203" s="45">
        <v>3.9014112367773299E-5</v>
      </c>
    </row>
    <row r="204" spans="1:53" x14ac:dyDescent="0.25">
      <c r="A204" s="152">
        <v>969</v>
      </c>
      <c r="B204" s="152">
        <v>969</v>
      </c>
      <c r="C204" s="152">
        <v>513184192</v>
      </c>
      <c r="D204" s="152" t="s">
        <v>1721</v>
      </c>
      <c r="E204" s="152" t="s">
        <v>2259</v>
      </c>
      <c r="F204" s="152">
        <v>44446</v>
      </c>
      <c r="G204" s="152" t="s">
        <v>2165</v>
      </c>
      <c r="H204" s="152"/>
      <c r="I204" s="152" t="s">
        <v>71</v>
      </c>
      <c r="J204" s="152" t="s">
        <v>71</v>
      </c>
      <c r="K204" s="152" t="s">
        <v>1626</v>
      </c>
      <c r="L204" s="152" t="s">
        <v>72</v>
      </c>
      <c r="M204" s="152" t="s">
        <v>373</v>
      </c>
      <c r="N204" s="152">
        <v>99999987</v>
      </c>
      <c r="O204" s="160" t="s">
        <v>2260</v>
      </c>
      <c r="P204" s="152" t="s">
        <v>228</v>
      </c>
      <c r="Q204" s="152" t="s">
        <v>219</v>
      </c>
      <c r="R204" s="152" t="s">
        <v>2168</v>
      </c>
      <c r="S204" s="152" t="s">
        <v>81</v>
      </c>
      <c r="T204" s="166">
        <v>1.68</v>
      </c>
      <c r="U204" s="152" t="s">
        <v>2184</v>
      </c>
      <c r="V204" s="161">
        <v>2.562E-2</v>
      </c>
      <c r="W204" s="152" t="s">
        <v>2169</v>
      </c>
      <c r="X204" s="152" t="s">
        <v>2170</v>
      </c>
      <c r="Y204" s="167">
        <v>2.562E-2</v>
      </c>
      <c r="Z204" s="168">
        <v>2.7900000000000001E-2</v>
      </c>
      <c r="AA204" s="152" t="s">
        <v>561</v>
      </c>
      <c r="AB204" s="152" t="s">
        <v>222</v>
      </c>
      <c r="AC204" s="152" t="s">
        <v>1626</v>
      </c>
      <c r="AD204" s="166">
        <v>60116.983060975603</v>
      </c>
      <c r="AE204" s="168">
        <v>0.82</v>
      </c>
      <c r="AF204" s="152" t="s">
        <v>1878</v>
      </c>
      <c r="AG204" s="152" t="s">
        <v>72</v>
      </c>
      <c r="AH204" s="152"/>
      <c r="AI204" s="152" t="s">
        <v>2261</v>
      </c>
      <c r="AJ204" s="152" t="s">
        <v>373</v>
      </c>
      <c r="AK204" s="152" t="s">
        <v>1454</v>
      </c>
      <c r="AL204" s="152" t="s">
        <v>2174</v>
      </c>
      <c r="AM204" s="152" t="s">
        <v>1671</v>
      </c>
      <c r="AN204" s="160" t="s">
        <v>1455</v>
      </c>
      <c r="AO204" s="152" t="s">
        <v>1878</v>
      </c>
      <c r="AP204" s="161">
        <v>0</v>
      </c>
      <c r="AQ204" s="162">
        <v>139898.92000000001</v>
      </c>
      <c r="AR204" s="170">
        <v>115.65</v>
      </c>
      <c r="AS204" s="171">
        <v>1</v>
      </c>
      <c r="AT204" s="166">
        <v>161.79300000000001</v>
      </c>
      <c r="AU204" s="166">
        <v>161.79300000000001</v>
      </c>
      <c r="AV204" s="152"/>
      <c r="AW204" s="152"/>
      <c r="AX204" t="s">
        <v>72</v>
      </c>
      <c r="AY204" t="s">
        <v>16</v>
      </c>
      <c r="AZ204" s="45">
        <v>0.229229581389021</v>
      </c>
      <c r="BA204" s="45">
        <v>2.2084951397231302E-3</v>
      </c>
    </row>
    <row r="205" spans="1:53" x14ac:dyDescent="0.25">
      <c r="A205" s="152">
        <v>969</v>
      </c>
      <c r="B205" s="152">
        <v>969</v>
      </c>
      <c r="C205" s="152">
        <v>516705795</v>
      </c>
      <c r="D205" s="152" t="s">
        <v>1721</v>
      </c>
      <c r="E205" s="152" t="s">
        <v>2269</v>
      </c>
      <c r="F205" s="152">
        <v>50007798</v>
      </c>
      <c r="G205" s="152" t="s">
        <v>2165</v>
      </c>
      <c r="H205" s="152" t="s">
        <v>2270</v>
      </c>
      <c r="I205" s="152" t="s">
        <v>71</v>
      </c>
      <c r="J205" s="152" t="s">
        <v>71</v>
      </c>
      <c r="K205" s="152" t="s">
        <v>515</v>
      </c>
      <c r="L205" s="152" t="s">
        <v>72</v>
      </c>
      <c r="M205" s="152" t="s">
        <v>373</v>
      </c>
      <c r="N205" s="152">
        <v>90552313</v>
      </c>
      <c r="O205" s="160" t="s">
        <v>2167</v>
      </c>
      <c r="P205" s="152" t="s">
        <v>2271</v>
      </c>
      <c r="Q205" s="152" t="s">
        <v>219</v>
      </c>
      <c r="R205" s="152" t="s">
        <v>2168</v>
      </c>
      <c r="S205" s="152" t="s">
        <v>81</v>
      </c>
      <c r="T205" s="166">
        <v>0.08</v>
      </c>
      <c r="U205" s="152" t="s">
        <v>2184</v>
      </c>
      <c r="V205" s="161">
        <v>0.08</v>
      </c>
      <c r="W205" s="152" t="s">
        <v>2169</v>
      </c>
      <c r="X205" s="152" t="s">
        <v>2120</v>
      </c>
      <c r="Y205" s="167">
        <v>0</v>
      </c>
      <c r="Z205" s="168">
        <v>8.0399999999999999E-2</v>
      </c>
      <c r="AA205" s="152" t="s">
        <v>2272</v>
      </c>
      <c r="AB205" s="152" t="s">
        <v>222</v>
      </c>
      <c r="AC205" s="152" t="s">
        <v>2171</v>
      </c>
      <c r="AD205" s="166">
        <v>782791</v>
      </c>
      <c r="AE205" s="168">
        <v>0.43</v>
      </c>
      <c r="AF205" s="152" t="s">
        <v>1878</v>
      </c>
      <c r="AG205" s="152" t="s">
        <v>373</v>
      </c>
      <c r="AH205" s="152" t="s">
        <v>2172</v>
      </c>
      <c r="AI205" s="152" t="s">
        <v>2273</v>
      </c>
      <c r="AJ205" s="152" t="s">
        <v>373</v>
      </c>
      <c r="AK205" s="152" t="s">
        <v>1454</v>
      </c>
      <c r="AL205" s="152" t="s">
        <v>2174</v>
      </c>
      <c r="AM205" s="152" t="s">
        <v>1671</v>
      </c>
      <c r="AN205" s="160" t="s">
        <v>1455</v>
      </c>
      <c r="AO205" s="152" t="s">
        <v>1878</v>
      </c>
      <c r="AP205" s="161">
        <v>0</v>
      </c>
      <c r="AQ205" s="162">
        <v>140000</v>
      </c>
      <c r="AR205" s="170">
        <v>101.91</v>
      </c>
      <c r="AS205" s="171">
        <v>1</v>
      </c>
      <c r="AT205" s="166">
        <v>142.67400000000001</v>
      </c>
      <c r="AU205" s="166">
        <v>142.67400000000001</v>
      </c>
      <c r="AV205" s="152"/>
      <c r="AW205" s="152"/>
      <c r="AX205" t="s">
        <v>72</v>
      </c>
      <c r="AY205" t="s">
        <v>16</v>
      </c>
      <c r="AZ205" s="45">
        <v>0.20214150725215499</v>
      </c>
      <c r="BA205" s="45">
        <v>1.9475171293231301E-3</v>
      </c>
    </row>
    <row r="206" spans="1:53" x14ac:dyDescent="0.25">
      <c r="A206" s="152">
        <v>969</v>
      </c>
      <c r="B206" s="152">
        <v>969</v>
      </c>
      <c r="C206" s="152">
        <v>513926857</v>
      </c>
      <c r="D206" s="152" t="s">
        <v>1721</v>
      </c>
      <c r="E206" s="152" t="s">
        <v>2279</v>
      </c>
      <c r="F206" s="152">
        <v>50003409</v>
      </c>
      <c r="G206" s="152" t="s">
        <v>2165</v>
      </c>
      <c r="H206" s="152"/>
      <c r="I206" s="152" t="s">
        <v>71</v>
      </c>
      <c r="J206" s="152" t="s">
        <v>71</v>
      </c>
      <c r="K206" s="152" t="s">
        <v>234</v>
      </c>
      <c r="L206" s="152" t="s">
        <v>72</v>
      </c>
      <c r="M206" s="152" t="s">
        <v>373</v>
      </c>
      <c r="N206" s="152">
        <v>84666735</v>
      </c>
      <c r="O206" s="160" t="s">
        <v>2176</v>
      </c>
      <c r="P206" s="152" t="s">
        <v>246</v>
      </c>
      <c r="Q206" s="152" t="s">
        <v>219</v>
      </c>
      <c r="R206" s="152" t="s">
        <v>2168</v>
      </c>
      <c r="S206" s="152" t="s">
        <v>81</v>
      </c>
      <c r="T206" s="166">
        <v>4.59</v>
      </c>
      <c r="U206" s="152" t="s">
        <v>286</v>
      </c>
      <c r="V206" s="161">
        <v>3.5499999999999997E-2</v>
      </c>
      <c r="W206" s="152" t="s">
        <v>2169</v>
      </c>
      <c r="X206" s="152" t="s">
        <v>2170</v>
      </c>
      <c r="Y206" s="167">
        <v>3.5499999999999997E-2</v>
      </c>
      <c r="Z206" s="168">
        <v>3.8199999999999998E-2</v>
      </c>
      <c r="AA206" s="152" t="s">
        <v>2177</v>
      </c>
      <c r="AB206" s="152" t="s">
        <v>222</v>
      </c>
      <c r="AC206" s="152" t="s">
        <v>1626</v>
      </c>
      <c r="AD206" s="166">
        <v>104760.857253165</v>
      </c>
      <c r="AE206" s="168">
        <v>0.79</v>
      </c>
      <c r="AF206" s="152" t="s">
        <v>1878</v>
      </c>
      <c r="AG206" s="152" t="s">
        <v>373</v>
      </c>
      <c r="AH206" s="152"/>
      <c r="AI206" s="152" t="s">
        <v>2178</v>
      </c>
      <c r="AJ206" s="152" t="s">
        <v>373</v>
      </c>
      <c r="AK206" s="152" t="s">
        <v>1454</v>
      </c>
      <c r="AL206" s="152" t="s">
        <v>2174</v>
      </c>
      <c r="AM206" s="152" t="s">
        <v>1671</v>
      </c>
      <c r="AN206" s="160" t="s">
        <v>1455</v>
      </c>
      <c r="AO206" s="152" t="s">
        <v>1878</v>
      </c>
      <c r="AP206" s="161">
        <v>0</v>
      </c>
      <c r="AQ206" s="162">
        <v>159259.85999999999</v>
      </c>
      <c r="AR206" s="170">
        <v>109.86</v>
      </c>
      <c r="AS206" s="171">
        <v>1</v>
      </c>
      <c r="AT206" s="166">
        <v>174.96299999999999</v>
      </c>
      <c r="AU206" s="166">
        <v>174.96299999999999</v>
      </c>
      <c r="AV206" s="152"/>
      <c r="AW206" s="152"/>
      <c r="AX206" t="s">
        <v>72</v>
      </c>
      <c r="AY206" t="s">
        <v>16</v>
      </c>
      <c r="AZ206" s="45">
        <v>0.24788861825056099</v>
      </c>
      <c r="BA206" s="45">
        <v>2.38826422524395E-3</v>
      </c>
    </row>
    <row r="207" spans="1:53" x14ac:dyDescent="0.25">
      <c r="AE207" s="49"/>
    </row>
    <row r="208" spans="1:53" x14ac:dyDescent="0.25">
      <c r="AE208" s="49"/>
    </row>
    <row r="209" spans="31:31" x14ac:dyDescent="0.25">
      <c r="AE209" s="49"/>
    </row>
    <row r="210" spans="31:31" x14ac:dyDescent="0.25">
      <c r="AE210" s="49"/>
    </row>
    <row r="211" spans="31:31" x14ac:dyDescent="0.25">
      <c r="AE211" s="49"/>
    </row>
    <row r="212" spans="31:31" x14ac:dyDescent="0.25">
      <c r="AE212" s="49"/>
    </row>
    <row r="213" spans="31:31" x14ac:dyDescent="0.25">
      <c r="AE213" s="49"/>
    </row>
    <row r="214" spans="31:31" x14ac:dyDescent="0.25">
      <c r="AE214" s="49"/>
    </row>
    <row r="215" spans="31:31" x14ac:dyDescent="0.25">
      <c r="AE215" s="49"/>
    </row>
    <row r="216" spans="31:31" x14ac:dyDescent="0.25">
      <c r="AE216" s="49"/>
    </row>
    <row r="217" spans="31:31" x14ac:dyDescent="0.25">
      <c r="AE217" s="49"/>
    </row>
    <row r="218" spans="31:31" x14ac:dyDescent="0.25">
      <c r="AE218" s="49"/>
    </row>
    <row r="219" spans="31:31" x14ac:dyDescent="0.25">
      <c r="AE219" s="49"/>
    </row>
    <row r="220" spans="31:31" x14ac:dyDescent="0.25">
      <c r="AE220" s="49"/>
    </row>
    <row r="221" spans="31:31" x14ac:dyDescent="0.25">
      <c r="AE221" s="49"/>
    </row>
    <row r="222" spans="31:31" x14ac:dyDescent="0.25">
      <c r="AE222" s="49"/>
    </row>
    <row r="223" spans="31:31" x14ac:dyDescent="0.25">
      <c r="AE223" s="49"/>
    </row>
    <row r="224" spans="31:31" x14ac:dyDescent="0.25">
      <c r="AE224" s="49"/>
    </row>
    <row r="225" spans="31:31" x14ac:dyDescent="0.25">
      <c r="AE225" s="49"/>
    </row>
    <row r="226" spans="31:31" x14ac:dyDescent="0.25">
      <c r="AE226" s="49"/>
    </row>
    <row r="227" spans="31:31" x14ac:dyDescent="0.25">
      <c r="AE227" s="49"/>
    </row>
    <row r="228" spans="31:31" x14ac:dyDescent="0.25">
      <c r="AE228" s="49"/>
    </row>
    <row r="229" spans="31:31" x14ac:dyDescent="0.25">
      <c r="AE229" s="49"/>
    </row>
    <row r="230" spans="31:31" x14ac:dyDescent="0.25">
      <c r="AE230" s="49"/>
    </row>
    <row r="231" spans="31:31" x14ac:dyDescent="0.25">
      <c r="AE231" s="49"/>
    </row>
    <row r="232" spans="31:31" x14ac:dyDescent="0.25">
      <c r="AE232" s="49"/>
    </row>
    <row r="233" spans="31:31" x14ac:dyDescent="0.25">
      <c r="AE233" s="49"/>
    </row>
    <row r="234" spans="31:31" x14ac:dyDescent="0.25">
      <c r="AE234" s="49"/>
    </row>
    <row r="235" spans="31:31" x14ac:dyDescent="0.25">
      <c r="AE235" s="49"/>
    </row>
    <row r="236" spans="31:31" x14ac:dyDescent="0.25">
      <c r="AE236" s="49"/>
    </row>
    <row r="237" spans="31:31" x14ac:dyDescent="0.25">
      <c r="AE237" s="49"/>
    </row>
    <row r="238" spans="31:31" x14ac:dyDescent="0.25">
      <c r="AE238" s="49"/>
    </row>
    <row r="239" spans="31:31" x14ac:dyDescent="0.25">
      <c r="AE239" s="49"/>
    </row>
    <row r="240" spans="31:31" x14ac:dyDescent="0.25">
      <c r="AE240" s="49"/>
    </row>
    <row r="241" spans="31:31" x14ac:dyDescent="0.25">
      <c r="AE241" s="49"/>
    </row>
    <row r="242" spans="31:31" x14ac:dyDescent="0.25">
      <c r="AE242" s="49"/>
    </row>
    <row r="243" spans="31:31" x14ac:dyDescent="0.25">
      <c r="AE243" s="49"/>
    </row>
    <row r="244" spans="31:31" x14ac:dyDescent="0.25">
      <c r="AE244" s="49"/>
    </row>
    <row r="245" spans="31:31" x14ac:dyDescent="0.25">
      <c r="AE245" s="49"/>
    </row>
    <row r="246" spans="31:31" x14ac:dyDescent="0.25">
      <c r="AE246" s="49"/>
    </row>
    <row r="247" spans="31:31" x14ac:dyDescent="0.25">
      <c r="AE247" s="49"/>
    </row>
    <row r="248" spans="31:31" x14ac:dyDescent="0.25">
      <c r="AE248" s="49"/>
    </row>
    <row r="249" spans="31:31" x14ac:dyDescent="0.25">
      <c r="AE249" s="49"/>
    </row>
    <row r="250" spans="31:31" x14ac:dyDescent="0.25">
      <c r="AE250" s="49"/>
    </row>
    <row r="251" spans="31:31" x14ac:dyDescent="0.25">
      <c r="AE251" s="49"/>
    </row>
    <row r="252" spans="31:31" x14ac:dyDescent="0.25">
      <c r="AE252" s="49"/>
    </row>
    <row r="253" spans="31:31" x14ac:dyDescent="0.25">
      <c r="AE253" s="49"/>
    </row>
    <row r="254" spans="31:31" x14ac:dyDescent="0.25">
      <c r="AE254" s="49"/>
    </row>
    <row r="255" spans="31:31" x14ac:dyDescent="0.25">
      <c r="AE255" s="49"/>
    </row>
    <row r="256" spans="31:31" x14ac:dyDescent="0.25">
      <c r="AE256" s="49"/>
    </row>
    <row r="257" spans="31:31" x14ac:dyDescent="0.25">
      <c r="AE257" s="49"/>
    </row>
    <row r="258" spans="31:31" x14ac:dyDescent="0.25">
      <c r="AE258" s="49"/>
    </row>
    <row r="259" spans="31:31" x14ac:dyDescent="0.25">
      <c r="AE259" s="49"/>
    </row>
    <row r="260" spans="31:31" x14ac:dyDescent="0.25">
      <c r="AE260" s="49"/>
    </row>
    <row r="261" spans="31:31" x14ac:dyDescent="0.25">
      <c r="AE261" s="49"/>
    </row>
    <row r="262" spans="31:31" x14ac:dyDescent="0.25">
      <c r="AE262" s="49"/>
    </row>
    <row r="263" spans="31:31" x14ac:dyDescent="0.25">
      <c r="AE263" s="49"/>
    </row>
    <row r="264" spans="31:31" x14ac:dyDescent="0.25">
      <c r="AE264" s="49"/>
    </row>
    <row r="265" spans="31:31" x14ac:dyDescent="0.25">
      <c r="AE265" s="49"/>
    </row>
    <row r="266" spans="31:31" x14ac:dyDescent="0.25">
      <c r="AE266" s="49"/>
    </row>
    <row r="267" spans="31:31" x14ac:dyDescent="0.25">
      <c r="AE267" s="49"/>
    </row>
    <row r="268" spans="31:31" x14ac:dyDescent="0.25">
      <c r="AE268" s="49"/>
    </row>
    <row r="269" spans="31:31" x14ac:dyDescent="0.25">
      <c r="AE269" s="49"/>
    </row>
    <row r="270" spans="31:31" x14ac:dyDescent="0.25">
      <c r="AE270" s="49"/>
    </row>
    <row r="271" spans="31:31" x14ac:dyDescent="0.25">
      <c r="AE271" s="49"/>
    </row>
    <row r="272" spans="31:31" x14ac:dyDescent="0.25">
      <c r="AE272" s="49"/>
    </row>
    <row r="273" spans="31:31" x14ac:dyDescent="0.25">
      <c r="AE273" s="49"/>
    </row>
    <row r="274" spans="31:31" x14ac:dyDescent="0.25">
      <c r="AE274" s="49"/>
    </row>
    <row r="275" spans="31:31" x14ac:dyDescent="0.25">
      <c r="AE275" s="49"/>
    </row>
    <row r="276" spans="31:31" x14ac:dyDescent="0.25">
      <c r="AE276" s="49"/>
    </row>
    <row r="277" spans="31:31" x14ac:dyDescent="0.25">
      <c r="AE277" s="49"/>
    </row>
    <row r="278" spans="31:31" x14ac:dyDescent="0.25">
      <c r="AE278" s="49"/>
    </row>
    <row r="279" spans="31:31" x14ac:dyDescent="0.25">
      <c r="AE279" s="49"/>
    </row>
    <row r="280" spans="31:31" x14ac:dyDescent="0.25">
      <c r="AE280" s="49"/>
    </row>
    <row r="281" spans="31:31" x14ac:dyDescent="0.25">
      <c r="AE281" s="49"/>
    </row>
    <row r="282" spans="31:31" x14ac:dyDescent="0.25">
      <c r="AE282" s="49"/>
    </row>
    <row r="283" spans="31:31" x14ac:dyDescent="0.25">
      <c r="AE283" s="49"/>
    </row>
    <row r="284" spans="31:31" x14ac:dyDescent="0.25">
      <c r="AE284" s="49"/>
    </row>
    <row r="285" spans="31:31" x14ac:dyDescent="0.25">
      <c r="AE285" s="49"/>
    </row>
    <row r="286" spans="31:31" x14ac:dyDescent="0.25">
      <c r="AE286" s="49"/>
    </row>
    <row r="287" spans="31:31" x14ac:dyDescent="0.25">
      <c r="AE287" s="49"/>
    </row>
    <row r="288" spans="31:31" x14ac:dyDescent="0.25">
      <c r="AE288" s="49"/>
    </row>
    <row r="289" spans="31:31" x14ac:dyDescent="0.25">
      <c r="AE289" s="49"/>
    </row>
    <row r="290" spans="31:31" x14ac:dyDescent="0.25">
      <c r="AE290" s="49"/>
    </row>
    <row r="291" spans="31:31" x14ac:dyDescent="0.25">
      <c r="AE291" s="49"/>
    </row>
    <row r="292" spans="31:31" x14ac:dyDescent="0.25">
      <c r="AE292" s="49"/>
    </row>
    <row r="293" spans="31:31" x14ac:dyDescent="0.25">
      <c r="AE293" s="49"/>
    </row>
    <row r="294" spans="31:31" x14ac:dyDescent="0.25">
      <c r="AE294" s="49"/>
    </row>
    <row r="295" spans="31:31" x14ac:dyDescent="0.25">
      <c r="AE295" s="49"/>
    </row>
    <row r="296" spans="31:31" x14ac:dyDescent="0.25">
      <c r="AE296" s="49"/>
    </row>
    <row r="297" spans="31:31" x14ac:dyDescent="0.25">
      <c r="AE297" s="49"/>
    </row>
    <row r="298" spans="31:31" x14ac:dyDescent="0.25">
      <c r="AE298" s="49"/>
    </row>
    <row r="299" spans="31:31" x14ac:dyDescent="0.25">
      <c r="AE299" s="49"/>
    </row>
    <row r="300" spans="31:31" x14ac:dyDescent="0.25">
      <c r="AE300" s="49"/>
    </row>
    <row r="301" spans="31:31" x14ac:dyDescent="0.25">
      <c r="AE301" s="49"/>
    </row>
    <row r="302" spans="31:31" x14ac:dyDescent="0.25">
      <c r="AE302" s="49"/>
    </row>
    <row r="303" spans="31:31" x14ac:dyDescent="0.25">
      <c r="AE303" s="49"/>
    </row>
    <row r="304" spans="31:31" x14ac:dyDescent="0.25">
      <c r="AE304" s="49"/>
    </row>
    <row r="305" spans="31:31" x14ac:dyDescent="0.25">
      <c r="AE305" s="49"/>
    </row>
    <row r="306" spans="31:31" x14ac:dyDescent="0.25">
      <c r="AE306" s="49"/>
    </row>
    <row r="307" spans="31:31" x14ac:dyDescent="0.25">
      <c r="AE307" s="49"/>
    </row>
    <row r="308" spans="31:31" x14ac:dyDescent="0.25">
      <c r="AE308" s="49"/>
    </row>
    <row r="309" spans="31:31" x14ac:dyDescent="0.25">
      <c r="AE309" s="49"/>
    </row>
    <row r="310" spans="31:31" x14ac:dyDescent="0.25">
      <c r="AE310" s="49"/>
    </row>
    <row r="311" spans="31:31" x14ac:dyDescent="0.25">
      <c r="AE311" s="49"/>
    </row>
    <row r="312" spans="31:31" x14ac:dyDescent="0.25">
      <c r="AE312" s="49"/>
    </row>
    <row r="313" spans="31:31" x14ac:dyDescent="0.25">
      <c r="AE313" s="49"/>
    </row>
    <row r="314" spans="31:31" x14ac:dyDescent="0.25">
      <c r="AE314" s="49"/>
    </row>
    <row r="315" spans="31:31" x14ac:dyDescent="0.25">
      <c r="AE315" s="49"/>
    </row>
    <row r="316" spans="31:31" x14ac:dyDescent="0.25">
      <c r="AE316" s="49"/>
    </row>
    <row r="317" spans="31:31" x14ac:dyDescent="0.25">
      <c r="AE317" s="49"/>
    </row>
    <row r="318" spans="31:31" x14ac:dyDescent="0.25">
      <c r="AE318" s="49"/>
    </row>
    <row r="319" spans="31:31" x14ac:dyDescent="0.25">
      <c r="AE319" s="49"/>
    </row>
    <row r="320" spans="31:31" x14ac:dyDescent="0.25">
      <c r="AE320" s="49"/>
    </row>
    <row r="321" spans="31:31" x14ac:dyDescent="0.25">
      <c r="AE321" s="49"/>
    </row>
    <row r="322" spans="31:31" x14ac:dyDescent="0.25">
      <c r="AE322" s="49"/>
    </row>
    <row r="323" spans="31:31" x14ac:dyDescent="0.25">
      <c r="AE323" s="49"/>
    </row>
    <row r="324" spans="31:31" x14ac:dyDescent="0.25">
      <c r="AE324" s="49"/>
    </row>
    <row r="325" spans="31:31" x14ac:dyDescent="0.25">
      <c r="AE325" s="49"/>
    </row>
    <row r="326" spans="31:31" x14ac:dyDescent="0.25">
      <c r="AE326" s="49"/>
    </row>
    <row r="327" spans="31:31" x14ac:dyDescent="0.25">
      <c r="AE327" s="49"/>
    </row>
    <row r="328" spans="31:31" x14ac:dyDescent="0.25">
      <c r="AE328" s="49"/>
    </row>
    <row r="329" spans="31:31" x14ac:dyDescent="0.25">
      <c r="AE329" s="49"/>
    </row>
    <row r="330" spans="31:31" x14ac:dyDescent="0.25">
      <c r="AE330" s="49"/>
    </row>
    <row r="331" spans="31:31" x14ac:dyDescent="0.25">
      <c r="AE331" s="49"/>
    </row>
    <row r="332" spans="31:31" x14ac:dyDescent="0.25">
      <c r="AE332" s="49"/>
    </row>
    <row r="333" spans="31:31" x14ac:dyDescent="0.25">
      <c r="AE333" s="49"/>
    </row>
    <row r="334" spans="31:31" x14ac:dyDescent="0.25">
      <c r="AE334" s="49"/>
    </row>
    <row r="335" spans="31:31" x14ac:dyDescent="0.25">
      <c r="AE335" s="49"/>
    </row>
    <row r="336" spans="31:31" x14ac:dyDescent="0.25">
      <c r="AE336" s="49"/>
    </row>
    <row r="337" spans="31:31" x14ac:dyDescent="0.25">
      <c r="AE337" s="49"/>
    </row>
    <row r="338" spans="31:31" x14ac:dyDescent="0.25">
      <c r="AE338" s="49"/>
    </row>
    <row r="339" spans="31:31" x14ac:dyDescent="0.25">
      <c r="AE339" s="49"/>
    </row>
    <row r="340" spans="31:31" x14ac:dyDescent="0.25">
      <c r="AE340" s="49"/>
    </row>
    <row r="341" spans="31:31" x14ac:dyDescent="0.25">
      <c r="AE341" s="49"/>
    </row>
    <row r="342" spans="31:31" x14ac:dyDescent="0.25">
      <c r="AE342" s="49"/>
    </row>
    <row r="343" spans="31:31" x14ac:dyDescent="0.25">
      <c r="AE343" s="49"/>
    </row>
    <row r="344" spans="31:31" x14ac:dyDescent="0.25">
      <c r="AE344" s="49"/>
    </row>
    <row r="345" spans="31:31" x14ac:dyDescent="0.25">
      <c r="AE345" s="49"/>
    </row>
    <row r="346" spans="31:31" x14ac:dyDescent="0.25">
      <c r="AE346" s="49"/>
    </row>
    <row r="347" spans="31:31" x14ac:dyDescent="0.25">
      <c r="AE347" s="49"/>
    </row>
    <row r="348" spans="31:31" x14ac:dyDescent="0.25">
      <c r="AE348" s="49"/>
    </row>
    <row r="349" spans="31:31" x14ac:dyDescent="0.25">
      <c r="AE349" s="49"/>
    </row>
    <row r="350" spans="31:31" x14ac:dyDescent="0.25">
      <c r="AE350" s="49"/>
    </row>
    <row r="351" spans="31:31" x14ac:dyDescent="0.25">
      <c r="AE351" s="49"/>
    </row>
    <row r="352" spans="31:31" x14ac:dyDescent="0.25">
      <c r="AE352" s="49"/>
    </row>
    <row r="353" spans="31:31" x14ac:dyDescent="0.25">
      <c r="AE353" s="49"/>
    </row>
    <row r="354" spans="31:31" x14ac:dyDescent="0.25">
      <c r="AE354" s="49"/>
    </row>
    <row r="355" spans="31:31" x14ac:dyDescent="0.25">
      <c r="AE355" s="49"/>
    </row>
    <row r="356" spans="31:31" x14ac:dyDescent="0.25">
      <c r="AE356" s="49"/>
    </row>
    <row r="357" spans="31:31" x14ac:dyDescent="0.25">
      <c r="AE357" s="49"/>
    </row>
    <row r="358" spans="31:31" x14ac:dyDescent="0.25">
      <c r="AE358" s="49"/>
    </row>
    <row r="359" spans="31:31" x14ac:dyDescent="0.25">
      <c r="AE359" s="49"/>
    </row>
    <row r="360" spans="31:31" x14ac:dyDescent="0.25">
      <c r="AE360" s="49"/>
    </row>
    <row r="361" spans="31:31" x14ac:dyDescent="0.25">
      <c r="AE361" s="49"/>
    </row>
    <row r="362" spans="31:31" x14ac:dyDescent="0.25">
      <c r="AE362" s="49"/>
    </row>
    <row r="363" spans="31:31" x14ac:dyDescent="0.25">
      <c r="AE363" s="49"/>
    </row>
    <row r="364" spans="31:31" x14ac:dyDescent="0.25">
      <c r="AE364" s="49"/>
    </row>
    <row r="365" spans="31:31" x14ac:dyDescent="0.25">
      <c r="AE365" s="49"/>
    </row>
    <row r="366" spans="31:31" x14ac:dyDescent="0.25">
      <c r="AE366" s="49"/>
    </row>
    <row r="367" spans="31:31" x14ac:dyDescent="0.25">
      <c r="AE367" s="49"/>
    </row>
    <row r="368" spans="31:31" x14ac:dyDescent="0.25">
      <c r="AE368" s="49"/>
    </row>
    <row r="369" spans="31:31" x14ac:dyDescent="0.25">
      <c r="AE369" s="49"/>
    </row>
    <row r="370" spans="31:31" x14ac:dyDescent="0.25">
      <c r="AE370" s="49"/>
    </row>
    <row r="371" spans="31:31" x14ac:dyDescent="0.25">
      <c r="AE371" s="49"/>
    </row>
    <row r="372" spans="31:31" x14ac:dyDescent="0.25">
      <c r="AE372" s="49"/>
    </row>
    <row r="373" spans="31:31" x14ac:dyDescent="0.25">
      <c r="AE373" s="49"/>
    </row>
    <row r="374" spans="31:31" x14ac:dyDescent="0.25">
      <c r="AE374" s="49"/>
    </row>
    <row r="375" spans="31:31" x14ac:dyDescent="0.25">
      <c r="AE375" s="49"/>
    </row>
    <row r="376" spans="31:31" x14ac:dyDescent="0.25">
      <c r="AE376" s="49"/>
    </row>
    <row r="377" spans="31:31" x14ac:dyDescent="0.25">
      <c r="AE377" s="49"/>
    </row>
    <row r="378" spans="31:31" x14ac:dyDescent="0.25">
      <c r="AE378" s="49"/>
    </row>
    <row r="379" spans="31:31" x14ac:dyDescent="0.25">
      <c r="AE379" s="49"/>
    </row>
    <row r="380" spans="31:31" x14ac:dyDescent="0.25">
      <c r="AE380" s="49"/>
    </row>
    <row r="381" spans="31:31" x14ac:dyDescent="0.25">
      <c r="AE381" s="49"/>
    </row>
    <row r="382" spans="31:31" x14ac:dyDescent="0.25">
      <c r="AE382" s="49"/>
    </row>
    <row r="383" spans="31:31" x14ac:dyDescent="0.25">
      <c r="AE383" s="49"/>
    </row>
    <row r="384" spans="31:31" x14ac:dyDescent="0.25">
      <c r="AE384" s="49"/>
    </row>
    <row r="385" spans="31:31" x14ac:dyDescent="0.25">
      <c r="AE385" s="49"/>
    </row>
    <row r="386" spans="31:31" x14ac:dyDescent="0.25">
      <c r="AE386" s="49"/>
    </row>
    <row r="387" spans="31:31" x14ac:dyDescent="0.25">
      <c r="AE387" s="49"/>
    </row>
    <row r="388" spans="31:31" x14ac:dyDescent="0.25">
      <c r="AE388" s="49"/>
    </row>
    <row r="389" spans="31:31" x14ac:dyDescent="0.25">
      <c r="AE389" s="49"/>
    </row>
    <row r="390" spans="31:31" x14ac:dyDescent="0.25">
      <c r="AE390" s="49"/>
    </row>
    <row r="391" spans="31:31" x14ac:dyDescent="0.25">
      <c r="AE391" s="49"/>
    </row>
    <row r="392" spans="31:31" x14ac:dyDescent="0.25">
      <c r="AE392" s="49"/>
    </row>
    <row r="393" spans="31:31" x14ac:dyDescent="0.25">
      <c r="AE393" s="49"/>
    </row>
    <row r="394" spans="31:31" x14ac:dyDescent="0.25">
      <c r="AE394" s="49"/>
    </row>
    <row r="395" spans="31:31" x14ac:dyDescent="0.25">
      <c r="AE395" s="49"/>
    </row>
    <row r="396" spans="31:31" x14ac:dyDescent="0.25">
      <c r="AE396" s="49"/>
    </row>
    <row r="397" spans="31:31" x14ac:dyDescent="0.25">
      <c r="AE397" s="49"/>
    </row>
    <row r="398" spans="31:31" x14ac:dyDescent="0.25">
      <c r="AE398" s="49"/>
    </row>
    <row r="399" spans="31:31" x14ac:dyDescent="0.25">
      <c r="AE399" s="49"/>
    </row>
    <row r="400" spans="31:31" x14ac:dyDescent="0.25">
      <c r="AE400" s="49"/>
    </row>
    <row r="401" spans="31:31" x14ac:dyDescent="0.25">
      <c r="AE401" s="49"/>
    </row>
    <row r="402" spans="31:31" x14ac:dyDescent="0.25">
      <c r="AE402" s="49"/>
    </row>
    <row r="403" spans="31:31" x14ac:dyDescent="0.25">
      <c r="AE403" s="49"/>
    </row>
    <row r="404" spans="31:31" x14ac:dyDescent="0.25">
      <c r="AE404" s="49"/>
    </row>
    <row r="405" spans="31:31" x14ac:dyDescent="0.25">
      <c r="AE405" s="49"/>
    </row>
    <row r="406" spans="31:31" x14ac:dyDescent="0.25">
      <c r="AE406" s="49"/>
    </row>
    <row r="407" spans="31:31" x14ac:dyDescent="0.25">
      <c r="AE407" s="49"/>
    </row>
    <row r="408" spans="31:31" x14ac:dyDescent="0.25">
      <c r="AE408" s="49"/>
    </row>
    <row r="409" spans="31:31" x14ac:dyDescent="0.25">
      <c r="AE409" s="49"/>
    </row>
    <row r="410" spans="31:31" x14ac:dyDescent="0.25">
      <c r="AE410" s="49"/>
    </row>
    <row r="411" spans="31:31" x14ac:dyDescent="0.25">
      <c r="AE411" s="49"/>
    </row>
    <row r="412" spans="31:31" x14ac:dyDescent="0.25">
      <c r="AE412" s="49"/>
    </row>
    <row r="413" spans="31:31" x14ac:dyDescent="0.25">
      <c r="AE413" s="49"/>
    </row>
    <row r="414" spans="31:31" x14ac:dyDescent="0.25">
      <c r="AE414" s="49"/>
    </row>
    <row r="415" spans="31:31" x14ac:dyDescent="0.25">
      <c r="AE415" s="49"/>
    </row>
    <row r="416" spans="31:31" x14ac:dyDescent="0.25">
      <c r="AE416" s="49"/>
    </row>
    <row r="417" spans="31:31" x14ac:dyDescent="0.25">
      <c r="AE417" s="49"/>
    </row>
    <row r="418" spans="31:31" x14ac:dyDescent="0.25">
      <c r="AE418" s="49"/>
    </row>
    <row r="419" spans="31:31" x14ac:dyDescent="0.25">
      <c r="AE419" s="49"/>
    </row>
    <row r="420" spans="31:31" x14ac:dyDescent="0.25">
      <c r="AE420" s="49"/>
    </row>
    <row r="421" spans="31:31" x14ac:dyDescent="0.25">
      <c r="AE421" s="49"/>
    </row>
    <row r="422" spans="31:31" x14ac:dyDescent="0.25">
      <c r="AE422" s="49"/>
    </row>
    <row r="423" spans="31:31" x14ac:dyDescent="0.25">
      <c r="AE423" s="49"/>
    </row>
    <row r="424" spans="31:31" x14ac:dyDescent="0.25">
      <c r="AE424" s="49"/>
    </row>
    <row r="425" spans="31:31" x14ac:dyDescent="0.25">
      <c r="AE425" s="49"/>
    </row>
    <row r="426" spans="31:31" x14ac:dyDescent="0.25">
      <c r="AE426" s="49"/>
    </row>
    <row r="427" spans="31:31" x14ac:dyDescent="0.25">
      <c r="AE427" s="49"/>
    </row>
    <row r="428" spans="31:31" x14ac:dyDescent="0.25">
      <c r="AE428" s="49"/>
    </row>
    <row r="429" spans="31:31" x14ac:dyDescent="0.25">
      <c r="AE429" s="49"/>
    </row>
    <row r="430" spans="31:31" x14ac:dyDescent="0.25">
      <c r="AE430" s="49"/>
    </row>
    <row r="431" spans="31:31" x14ac:dyDescent="0.25">
      <c r="AE431" s="49"/>
    </row>
    <row r="432" spans="31:31" x14ac:dyDescent="0.25">
      <c r="AE432" s="49"/>
    </row>
    <row r="433" spans="31:31" x14ac:dyDescent="0.25">
      <c r="AE433" s="49"/>
    </row>
    <row r="434" spans="31:31" x14ac:dyDescent="0.25">
      <c r="AE434" s="49"/>
    </row>
    <row r="435" spans="31:31" x14ac:dyDescent="0.25">
      <c r="AE435" s="49"/>
    </row>
    <row r="436" spans="31:31" x14ac:dyDescent="0.25">
      <c r="AE436" s="49"/>
    </row>
    <row r="437" spans="31:31" x14ac:dyDescent="0.25">
      <c r="AE437" s="49"/>
    </row>
    <row r="438" spans="31:31" x14ac:dyDescent="0.25">
      <c r="AE438" s="49"/>
    </row>
    <row r="439" spans="31:31" x14ac:dyDescent="0.25">
      <c r="AE439" s="49"/>
    </row>
    <row r="440" spans="31:31" x14ac:dyDescent="0.25">
      <c r="AE440" s="49"/>
    </row>
    <row r="441" spans="31:31" x14ac:dyDescent="0.25">
      <c r="AE441" s="49"/>
    </row>
    <row r="442" spans="31:31" x14ac:dyDescent="0.25">
      <c r="AE442" s="49"/>
    </row>
    <row r="443" spans="31:31" x14ac:dyDescent="0.25">
      <c r="AE443" s="49"/>
    </row>
    <row r="444" spans="31:31" x14ac:dyDescent="0.25">
      <c r="AE444" s="49"/>
    </row>
    <row r="445" spans="31:31" x14ac:dyDescent="0.25">
      <c r="AE445" s="49"/>
    </row>
    <row r="446" spans="31:31" x14ac:dyDescent="0.25">
      <c r="AE446" s="49"/>
    </row>
    <row r="447" spans="31:31" x14ac:dyDescent="0.25">
      <c r="AE447" s="49"/>
    </row>
    <row r="448" spans="31:31" x14ac:dyDescent="0.25">
      <c r="AE448" s="49"/>
    </row>
    <row r="449" spans="31:31" x14ac:dyDescent="0.25">
      <c r="AE449" s="49"/>
    </row>
    <row r="450" spans="31:31" x14ac:dyDescent="0.25">
      <c r="AE450" s="49"/>
    </row>
    <row r="451" spans="31:31" x14ac:dyDescent="0.25">
      <c r="AE451" s="49"/>
    </row>
    <row r="452" spans="31:31" x14ac:dyDescent="0.25">
      <c r="AE452" s="49"/>
    </row>
    <row r="453" spans="31:31" x14ac:dyDescent="0.25">
      <c r="AE453" s="49"/>
    </row>
    <row r="454" spans="31:31" x14ac:dyDescent="0.25">
      <c r="AE454" s="49"/>
    </row>
    <row r="455" spans="31:31" x14ac:dyDescent="0.25">
      <c r="AE455" s="49"/>
    </row>
    <row r="456" spans="31:31" x14ac:dyDescent="0.25">
      <c r="AE456" s="49"/>
    </row>
    <row r="457" spans="31:31" x14ac:dyDescent="0.25">
      <c r="AE457" s="49"/>
    </row>
    <row r="458" spans="31:31" x14ac:dyDescent="0.25">
      <c r="AE458" s="49"/>
    </row>
    <row r="459" spans="31:31" x14ac:dyDescent="0.25">
      <c r="AE459" s="49"/>
    </row>
    <row r="460" spans="31:31" x14ac:dyDescent="0.25">
      <c r="AE460" s="49"/>
    </row>
    <row r="461" spans="31:31" x14ac:dyDescent="0.25">
      <c r="AE461" s="49"/>
    </row>
    <row r="462" spans="31:31" x14ac:dyDescent="0.25">
      <c r="AE462" s="49"/>
    </row>
    <row r="463" spans="31:31" x14ac:dyDescent="0.25">
      <c r="AE463" s="49"/>
    </row>
    <row r="464" spans="31:31" x14ac:dyDescent="0.25">
      <c r="AE464" s="49"/>
    </row>
    <row r="465" spans="31:31" x14ac:dyDescent="0.25">
      <c r="AE465" s="49"/>
    </row>
    <row r="466" spans="31:31" x14ac:dyDescent="0.25">
      <c r="AE466" s="49"/>
    </row>
    <row r="467" spans="31:31" x14ac:dyDescent="0.25">
      <c r="AE467" s="49"/>
    </row>
    <row r="468" spans="31:31" x14ac:dyDescent="0.25">
      <c r="AE468" s="49"/>
    </row>
    <row r="469" spans="31:31" x14ac:dyDescent="0.25">
      <c r="AE469" s="49"/>
    </row>
    <row r="470" spans="31:31" x14ac:dyDescent="0.25">
      <c r="AE470" s="49"/>
    </row>
    <row r="471" spans="31:31" x14ac:dyDescent="0.25">
      <c r="AE471" s="49"/>
    </row>
    <row r="472" spans="31:31" x14ac:dyDescent="0.25">
      <c r="AE472" s="49"/>
    </row>
    <row r="473" spans="31:31" x14ac:dyDescent="0.25">
      <c r="AE473" s="49"/>
    </row>
    <row r="474" spans="31:31" x14ac:dyDescent="0.25">
      <c r="AE474" s="49"/>
    </row>
    <row r="475" spans="31:31" x14ac:dyDescent="0.25">
      <c r="AE475" s="49"/>
    </row>
    <row r="476" spans="31:31" x14ac:dyDescent="0.25">
      <c r="AE476" s="49"/>
    </row>
    <row r="477" spans="31:31" x14ac:dyDescent="0.25">
      <c r="AE477" s="49"/>
    </row>
    <row r="478" spans="31:31" x14ac:dyDescent="0.25">
      <c r="AE478" s="49"/>
    </row>
    <row r="479" spans="31:31" x14ac:dyDescent="0.25">
      <c r="AE479" s="49"/>
    </row>
    <row r="480" spans="31:31" x14ac:dyDescent="0.25">
      <c r="AE480" s="49"/>
    </row>
    <row r="481" spans="31:31" x14ac:dyDescent="0.25">
      <c r="AE481" s="49"/>
    </row>
    <row r="482" spans="31:31" x14ac:dyDescent="0.25">
      <c r="AE482" s="49"/>
    </row>
    <row r="483" spans="31:31" x14ac:dyDescent="0.25">
      <c r="AE483" s="49"/>
    </row>
    <row r="484" spans="31:31" x14ac:dyDescent="0.25">
      <c r="AE484" s="49"/>
    </row>
    <row r="485" spans="31:31" x14ac:dyDescent="0.25">
      <c r="AE485" s="49"/>
    </row>
    <row r="486" spans="31:31" x14ac:dyDescent="0.25">
      <c r="AE486" s="49"/>
    </row>
    <row r="487" spans="31:31" x14ac:dyDescent="0.25">
      <c r="AE487" s="49"/>
    </row>
    <row r="488" spans="31:31" x14ac:dyDescent="0.25">
      <c r="AE488" s="49"/>
    </row>
    <row r="489" spans="31:31" x14ac:dyDescent="0.25">
      <c r="AE489" s="49"/>
    </row>
    <row r="490" spans="31:31" x14ac:dyDescent="0.25">
      <c r="AE490" s="49"/>
    </row>
    <row r="491" spans="31:31" x14ac:dyDescent="0.25">
      <c r="AE491" s="49"/>
    </row>
    <row r="492" spans="31:31" x14ac:dyDescent="0.25">
      <c r="AE492" s="49"/>
    </row>
    <row r="493" spans="31:31" x14ac:dyDescent="0.25">
      <c r="AE493" s="49"/>
    </row>
    <row r="494" spans="31:31" x14ac:dyDescent="0.25">
      <c r="AE494" s="49"/>
    </row>
    <row r="495" spans="31:31" x14ac:dyDescent="0.25">
      <c r="AE495" s="49"/>
    </row>
    <row r="496" spans="31:31" x14ac:dyDescent="0.25">
      <c r="AE496" s="49"/>
    </row>
    <row r="497" spans="31:31" x14ac:dyDescent="0.25">
      <c r="AE497" s="49"/>
    </row>
    <row r="498" spans="31:31" x14ac:dyDescent="0.25">
      <c r="AE498" s="49"/>
    </row>
    <row r="499" spans="31:31" x14ac:dyDescent="0.25">
      <c r="AE499" s="49"/>
    </row>
    <row r="500" spans="31:31" x14ac:dyDescent="0.25">
      <c r="AE500" s="49"/>
    </row>
    <row r="501" spans="31:31" x14ac:dyDescent="0.25">
      <c r="AE501" s="49"/>
    </row>
    <row r="502" spans="31:31" x14ac:dyDescent="0.25">
      <c r="AE502" s="49"/>
    </row>
    <row r="503" spans="31:31" x14ac:dyDescent="0.25">
      <c r="AE503" s="49"/>
    </row>
    <row r="504" spans="31:31" x14ac:dyDescent="0.25">
      <c r="AE504" s="49"/>
    </row>
    <row r="505" spans="31:31" x14ac:dyDescent="0.25">
      <c r="AE505" s="49"/>
    </row>
    <row r="506" spans="31:31" x14ac:dyDescent="0.25">
      <c r="AE506" s="49"/>
    </row>
    <row r="507" spans="31:31" x14ac:dyDescent="0.25">
      <c r="AE507" s="49"/>
    </row>
    <row r="508" spans="31:31" x14ac:dyDescent="0.25">
      <c r="AE508" s="49"/>
    </row>
    <row r="509" spans="31:31" x14ac:dyDescent="0.25">
      <c r="AE509" s="49"/>
    </row>
    <row r="510" spans="31:31" x14ac:dyDescent="0.25">
      <c r="AE510" s="49"/>
    </row>
    <row r="511" spans="31:31" x14ac:dyDescent="0.25">
      <c r="AE511" s="49"/>
    </row>
    <row r="512" spans="31:31" x14ac:dyDescent="0.25">
      <c r="AE512" s="49"/>
    </row>
    <row r="513" spans="31:31" x14ac:dyDescent="0.25">
      <c r="AE513" s="49"/>
    </row>
    <row r="514" spans="31:31" x14ac:dyDescent="0.25">
      <c r="AE514" s="49"/>
    </row>
    <row r="515" spans="31:31" x14ac:dyDescent="0.25">
      <c r="AE515" s="49"/>
    </row>
    <row r="516" spans="31:31" x14ac:dyDescent="0.25">
      <c r="AE516" s="49"/>
    </row>
    <row r="517" spans="31:31" x14ac:dyDescent="0.25">
      <c r="AE517" s="49"/>
    </row>
    <row r="518" spans="31:31" x14ac:dyDescent="0.25">
      <c r="AE518" s="49"/>
    </row>
    <row r="519" spans="31:31" x14ac:dyDescent="0.25">
      <c r="AE519" s="49"/>
    </row>
    <row r="520" spans="31:31" x14ac:dyDescent="0.25">
      <c r="AE520" s="49"/>
    </row>
    <row r="521" spans="31:31" x14ac:dyDescent="0.25">
      <c r="AE521" s="49"/>
    </row>
    <row r="522" spans="31:31" x14ac:dyDescent="0.25">
      <c r="AE522" s="49"/>
    </row>
    <row r="523" spans="31:31" x14ac:dyDescent="0.25">
      <c r="AE523" s="49"/>
    </row>
    <row r="524" spans="31:31" x14ac:dyDescent="0.25">
      <c r="AE524" s="49"/>
    </row>
    <row r="525" spans="31:31" x14ac:dyDescent="0.25">
      <c r="AE525" s="49"/>
    </row>
    <row r="526" spans="31:31" x14ac:dyDescent="0.25">
      <c r="AE526" s="49"/>
    </row>
    <row r="527" spans="31:31" x14ac:dyDescent="0.25">
      <c r="AE527" s="49"/>
    </row>
    <row r="528" spans="31:31" x14ac:dyDescent="0.25">
      <c r="AE528" s="49"/>
    </row>
    <row r="529" spans="31:31" x14ac:dyDescent="0.25">
      <c r="AE529" s="49"/>
    </row>
    <row r="530" spans="31:31" x14ac:dyDescent="0.25">
      <c r="AE530" s="49"/>
    </row>
    <row r="531" spans="31:31" x14ac:dyDescent="0.25">
      <c r="AE531" s="49"/>
    </row>
    <row r="532" spans="31:31" x14ac:dyDescent="0.25">
      <c r="AE532" s="49"/>
    </row>
    <row r="533" spans="31:31" x14ac:dyDescent="0.25">
      <c r="AE533" s="49"/>
    </row>
    <row r="534" spans="31:31" x14ac:dyDescent="0.25">
      <c r="AE534" s="49"/>
    </row>
    <row r="535" spans="31:31" x14ac:dyDescent="0.25">
      <c r="AE535" s="49"/>
    </row>
    <row r="536" spans="31:31" x14ac:dyDescent="0.25">
      <c r="AE536" s="49"/>
    </row>
    <row r="537" spans="31:31" x14ac:dyDescent="0.25">
      <c r="AE537" s="49"/>
    </row>
    <row r="538" spans="31:31" x14ac:dyDescent="0.25">
      <c r="AE538" s="49"/>
    </row>
    <row r="539" spans="31:31" x14ac:dyDescent="0.25">
      <c r="AE539" s="49"/>
    </row>
    <row r="540" spans="31:31" x14ac:dyDescent="0.25">
      <c r="AE540" s="49"/>
    </row>
    <row r="541" spans="31:31" x14ac:dyDescent="0.25">
      <c r="AE541" s="49"/>
    </row>
    <row r="542" spans="31:31" x14ac:dyDescent="0.25">
      <c r="AE542" s="49"/>
    </row>
    <row r="543" spans="31:31" x14ac:dyDescent="0.25">
      <c r="AE543" s="49"/>
    </row>
    <row r="544" spans="31:31" x14ac:dyDescent="0.25">
      <c r="AE544" s="49"/>
    </row>
    <row r="545" spans="31:31" x14ac:dyDescent="0.25">
      <c r="AE545" s="49"/>
    </row>
    <row r="546" spans="31:31" x14ac:dyDescent="0.25">
      <c r="AE546" s="49"/>
    </row>
    <row r="547" spans="31:31" x14ac:dyDescent="0.25">
      <c r="AE547" s="49"/>
    </row>
    <row r="548" spans="31:31" x14ac:dyDescent="0.25">
      <c r="AE548" s="49"/>
    </row>
    <row r="549" spans="31:31" x14ac:dyDescent="0.25">
      <c r="AE549" s="49"/>
    </row>
    <row r="550" spans="31:31" x14ac:dyDescent="0.25">
      <c r="AE550" s="49"/>
    </row>
    <row r="551" spans="31:31" x14ac:dyDescent="0.25">
      <c r="AE551" s="49"/>
    </row>
    <row r="552" spans="31:31" x14ac:dyDescent="0.25">
      <c r="AE552" s="49"/>
    </row>
    <row r="553" spans="31:31" x14ac:dyDescent="0.25">
      <c r="AE553" s="49"/>
    </row>
    <row r="554" spans="31:31" x14ac:dyDescent="0.25">
      <c r="AE554" s="49"/>
    </row>
    <row r="555" spans="31:31" x14ac:dyDescent="0.25">
      <c r="AE555" s="49"/>
    </row>
    <row r="556" spans="31:31" x14ac:dyDescent="0.25">
      <c r="AE556" s="49"/>
    </row>
    <row r="557" spans="31:31" x14ac:dyDescent="0.25">
      <c r="AE557" s="49"/>
    </row>
    <row r="558" spans="31:31" x14ac:dyDescent="0.25">
      <c r="AE558" s="49"/>
    </row>
    <row r="559" spans="31:31" x14ac:dyDescent="0.25">
      <c r="AE559" s="49"/>
    </row>
    <row r="560" spans="31:31" x14ac:dyDescent="0.25">
      <c r="AE560" s="49"/>
    </row>
    <row r="561" spans="31:31" x14ac:dyDescent="0.25">
      <c r="AE561" s="49"/>
    </row>
    <row r="562" spans="31:31" x14ac:dyDescent="0.25">
      <c r="AE562" s="49"/>
    </row>
    <row r="563" spans="31:31" x14ac:dyDescent="0.25">
      <c r="AE563" s="49"/>
    </row>
    <row r="564" spans="31:31" x14ac:dyDescent="0.25">
      <c r="AE564" s="49"/>
    </row>
    <row r="565" spans="31:31" x14ac:dyDescent="0.25">
      <c r="AE565" s="49"/>
    </row>
    <row r="566" spans="31:31" x14ac:dyDescent="0.25">
      <c r="AE566" s="49"/>
    </row>
    <row r="567" spans="31:31" x14ac:dyDescent="0.25">
      <c r="AE567" s="49"/>
    </row>
    <row r="568" spans="31:31" x14ac:dyDescent="0.25">
      <c r="AE568" s="49"/>
    </row>
    <row r="569" spans="31:31" x14ac:dyDescent="0.25">
      <c r="AE569" s="49"/>
    </row>
    <row r="570" spans="31:31" x14ac:dyDescent="0.25">
      <c r="AE570" s="49"/>
    </row>
    <row r="571" spans="31:31" x14ac:dyDescent="0.25">
      <c r="AE571" s="49"/>
    </row>
    <row r="572" spans="31:31" x14ac:dyDescent="0.25">
      <c r="AE572" s="49"/>
    </row>
    <row r="573" spans="31:31" x14ac:dyDescent="0.25">
      <c r="AE573" s="49"/>
    </row>
    <row r="574" spans="31:31" x14ac:dyDescent="0.25">
      <c r="AE574" s="49"/>
    </row>
    <row r="575" spans="31:31" x14ac:dyDescent="0.25">
      <c r="AE575" s="49"/>
    </row>
    <row r="576" spans="31:31" x14ac:dyDescent="0.25">
      <c r="AE576" s="49"/>
    </row>
    <row r="577" spans="31:31" x14ac:dyDescent="0.25">
      <c r="AE577" s="49"/>
    </row>
    <row r="578" spans="31:31" x14ac:dyDescent="0.25">
      <c r="AE578" s="49"/>
    </row>
    <row r="579" spans="31:31" x14ac:dyDescent="0.25">
      <c r="AE579" s="49"/>
    </row>
    <row r="580" spans="31:31" x14ac:dyDescent="0.25">
      <c r="AE580" s="49"/>
    </row>
    <row r="581" spans="31:31" x14ac:dyDescent="0.25">
      <c r="AE581" s="49"/>
    </row>
    <row r="582" spans="31:31" x14ac:dyDescent="0.25">
      <c r="AE582" s="49"/>
    </row>
    <row r="583" spans="31:31" x14ac:dyDescent="0.25">
      <c r="AE583" s="49"/>
    </row>
    <row r="584" spans="31:31" x14ac:dyDescent="0.25">
      <c r="AE584" s="49"/>
    </row>
    <row r="585" spans="31:31" x14ac:dyDescent="0.25">
      <c r="AE585" s="49"/>
    </row>
    <row r="586" spans="31:31" x14ac:dyDescent="0.25">
      <c r="AE586" s="49"/>
    </row>
    <row r="587" spans="31:31" x14ac:dyDescent="0.25">
      <c r="AE587" s="49"/>
    </row>
    <row r="588" spans="31:31" x14ac:dyDescent="0.25">
      <c r="AE588" s="49"/>
    </row>
    <row r="589" spans="31:31" x14ac:dyDescent="0.25">
      <c r="AE589" s="49"/>
    </row>
    <row r="590" spans="31:31" x14ac:dyDescent="0.25">
      <c r="AE590" s="49"/>
    </row>
    <row r="591" spans="31:31" x14ac:dyDescent="0.25">
      <c r="AE591" s="49"/>
    </row>
    <row r="592" spans="31:31" x14ac:dyDescent="0.25">
      <c r="AE592" s="49"/>
    </row>
    <row r="593" spans="31:31" x14ac:dyDescent="0.25">
      <c r="AE593" s="49"/>
    </row>
    <row r="594" spans="31:31" x14ac:dyDescent="0.25">
      <c r="AE594" s="49"/>
    </row>
    <row r="595" spans="31:31" x14ac:dyDescent="0.25">
      <c r="AE595" s="49"/>
    </row>
    <row r="596" spans="31:31" x14ac:dyDescent="0.25">
      <c r="AE596" s="49"/>
    </row>
    <row r="597" spans="31:31" x14ac:dyDescent="0.25">
      <c r="AE597" s="49"/>
    </row>
    <row r="598" spans="31:31" x14ac:dyDescent="0.25">
      <c r="AE598" s="49"/>
    </row>
    <row r="599" spans="31:31" x14ac:dyDescent="0.25">
      <c r="AE599" s="49"/>
    </row>
    <row r="600" spans="31:31" x14ac:dyDescent="0.25">
      <c r="AE600" s="49"/>
    </row>
    <row r="601" spans="31:31" x14ac:dyDescent="0.25">
      <c r="AE601" s="49"/>
    </row>
    <row r="602" spans="31:31" x14ac:dyDescent="0.25">
      <c r="AE602" s="49"/>
    </row>
    <row r="603" spans="31:31" x14ac:dyDescent="0.25">
      <c r="AE603" s="49"/>
    </row>
    <row r="604" spans="31:31" x14ac:dyDescent="0.25">
      <c r="AE604" s="49"/>
    </row>
    <row r="605" spans="31:31" x14ac:dyDescent="0.25">
      <c r="AE605" s="49"/>
    </row>
    <row r="606" spans="31:31" x14ac:dyDescent="0.25">
      <c r="AE606" s="49"/>
    </row>
    <row r="607" spans="31:31" x14ac:dyDescent="0.25">
      <c r="AE607" s="49"/>
    </row>
    <row r="608" spans="31:31" x14ac:dyDescent="0.25">
      <c r="AE608" s="49"/>
    </row>
    <row r="609" spans="31:31" x14ac:dyDescent="0.25">
      <c r="AE609" s="49"/>
    </row>
    <row r="610" spans="31:31" x14ac:dyDescent="0.25">
      <c r="AE610" s="49"/>
    </row>
    <row r="611" spans="31:31" x14ac:dyDescent="0.25">
      <c r="AE611" s="49"/>
    </row>
    <row r="612" spans="31:31" x14ac:dyDescent="0.25">
      <c r="AE612" s="49"/>
    </row>
    <row r="613" spans="31:31" x14ac:dyDescent="0.25">
      <c r="AE613" s="49"/>
    </row>
    <row r="614" spans="31:31" x14ac:dyDescent="0.25">
      <c r="AE614" s="49"/>
    </row>
    <row r="615" spans="31:31" x14ac:dyDescent="0.25">
      <c r="AE615" s="49"/>
    </row>
    <row r="616" spans="31:31" x14ac:dyDescent="0.25">
      <c r="AE616" s="49"/>
    </row>
    <row r="617" spans="31:31" x14ac:dyDescent="0.25">
      <c r="AE617" s="49"/>
    </row>
    <row r="618" spans="31:31" x14ac:dyDescent="0.25">
      <c r="AE618" s="49"/>
    </row>
    <row r="619" spans="31:31" x14ac:dyDescent="0.25">
      <c r="AE619" s="49"/>
    </row>
    <row r="620" spans="31:31" x14ac:dyDescent="0.25">
      <c r="AE620" s="49"/>
    </row>
    <row r="621" spans="31:31" x14ac:dyDescent="0.25">
      <c r="AE621" s="49"/>
    </row>
    <row r="622" spans="31:31" x14ac:dyDescent="0.25">
      <c r="AE622" s="49"/>
    </row>
    <row r="623" spans="31:31" x14ac:dyDescent="0.25">
      <c r="AE623" s="49"/>
    </row>
    <row r="624" spans="31:31" x14ac:dyDescent="0.25">
      <c r="AE624" s="49"/>
    </row>
    <row r="625" spans="31:31" x14ac:dyDescent="0.25">
      <c r="AE625" s="49"/>
    </row>
    <row r="626" spans="31:31" x14ac:dyDescent="0.25">
      <c r="AE626" s="49"/>
    </row>
    <row r="627" spans="31:31" x14ac:dyDescent="0.25">
      <c r="AE627" s="49"/>
    </row>
    <row r="628" spans="31:31" x14ac:dyDescent="0.25">
      <c r="AE628" s="49"/>
    </row>
    <row r="629" spans="31:31" x14ac:dyDescent="0.25">
      <c r="AE629" s="49"/>
    </row>
    <row r="630" spans="31:31" x14ac:dyDescent="0.25">
      <c r="AE630" s="49"/>
    </row>
    <row r="631" spans="31:31" x14ac:dyDescent="0.25">
      <c r="AE631" s="49"/>
    </row>
    <row r="632" spans="31:31" x14ac:dyDescent="0.25">
      <c r="AE632" s="49"/>
    </row>
    <row r="633" spans="31:31" x14ac:dyDescent="0.25">
      <c r="AE633" s="49"/>
    </row>
    <row r="634" spans="31:31" x14ac:dyDescent="0.25">
      <c r="AE634" s="49"/>
    </row>
    <row r="635" spans="31:31" x14ac:dyDescent="0.25">
      <c r="AE635" s="49"/>
    </row>
    <row r="636" spans="31:31" x14ac:dyDescent="0.25">
      <c r="AE636" s="49"/>
    </row>
    <row r="637" spans="31:31" x14ac:dyDescent="0.25">
      <c r="AE637" s="49"/>
    </row>
    <row r="638" spans="31:31" x14ac:dyDescent="0.25">
      <c r="AE638" s="49"/>
    </row>
    <row r="639" spans="31:31" x14ac:dyDescent="0.25">
      <c r="AE639" s="49"/>
    </row>
    <row r="640" spans="31:31" x14ac:dyDescent="0.25">
      <c r="AE640" s="49"/>
    </row>
    <row r="641" spans="31:31" x14ac:dyDescent="0.25">
      <c r="AE641" s="49"/>
    </row>
    <row r="642" spans="31:31" x14ac:dyDescent="0.25">
      <c r="AE642" s="49"/>
    </row>
    <row r="643" spans="31:31" x14ac:dyDescent="0.25">
      <c r="AE643" s="49"/>
    </row>
    <row r="644" spans="31:31" x14ac:dyDescent="0.25">
      <c r="AE644" s="49"/>
    </row>
    <row r="645" spans="31:31" x14ac:dyDescent="0.25">
      <c r="AE645" s="49"/>
    </row>
    <row r="646" spans="31:31" x14ac:dyDescent="0.25">
      <c r="AE646" s="49"/>
    </row>
    <row r="647" spans="31:31" x14ac:dyDescent="0.25">
      <c r="AE647" s="49"/>
    </row>
    <row r="648" spans="31:31" x14ac:dyDescent="0.25">
      <c r="AE648" s="49"/>
    </row>
    <row r="649" spans="31:31" x14ac:dyDescent="0.25">
      <c r="AE649" s="49"/>
    </row>
    <row r="650" spans="31:31" x14ac:dyDescent="0.25">
      <c r="AE650" s="49"/>
    </row>
    <row r="651" spans="31:31" x14ac:dyDescent="0.25">
      <c r="AE651" s="49"/>
    </row>
    <row r="652" spans="31:31" x14ac:dyDescent="0.25">
      <c r="AE652" s="49"/>
    </row>
    <row r="653" spans="31:31" x14ac:dyDescent="0.25">
      <c r="AE653" s="49"/>
    </row>
    <row r="654" spans="31:31" x14ac:dyDescent="0.25">
      <c r="AE654" s="49"/>
    </row>
    <row r="655" spans="31:31" x14ac:dyDescent="0.25">
      <c r="AE655" s="49"/>
    </row>
    <row r="656" spans="31:31" x14ac:dyDescent="0.25">
      <c r="AE656" s="49"/>
    </row>
    <row r="657" spans="31:31" x14ac:dyDescent="0.25">
      <c r="AE657" s="49"/>
    </row>
    <row r="658" spans="31:31" x14ac:dyDescent="0.25">
      <c r="AE658" s="49"/>
    </row>
    <row r="659" spans="31:31" x14ac:dyDescent="0.25">
      <c r="AE659" s="49"/>
    </row>
    <row r="660" spans="31:31" x14ac:dyDescent="0.25">
      <c r="AE660" s="49"/>
    </row>
    <row r="661" spans="31:31" x14ac:dyDescent="0.25">
      <c r="AE661" s="49"/>
    </row>
    <row r="662" spans="31:31" x14ac:dyDescent="0.25">
      <c r="AE662" s="49"/>
    </row>
    <row r="663" spans="31:31" x14ac:dyDescent="0.25">
      <c r="AE663" s="49"/>
    </row>
    <row r="664" spans="31:31" x14ac:dyDescent="0.25">
      <c r="AE664" s="49"/>
    </row>
    <row r="665" spans="31:31" x14ac:dyDescent="0.25">
      <c r="AE665" s="49"/>
    </row>
    <row r="666" spans="31:31" x14ac:dyDescent="0.25">
      <c r="AE666" s="49"/>
    </row>
    <row r="667" spans="31:31" x14ac:dyDescent="0.25">
      <c r="AE667" s="49"/>
    </row>
    <row r="668" spans="31:31" x14ac:dyDescent="0.25">
      <c r="AE668" s="49"/>
    </row>
    <row r="669" spans="31:31" x14ac:dyDescent="0.25">
      <c r="AE669" s="49"/>
    </row>
    <row r="670" spans="31:31" x14ac:dyDescent="0.25">
      <c r="AE670" s="49"/>
    </row>
    <row r="671" spans="31:31" x14ac:dyDescent="0.25">
      <c r="AE671" s="49"/>
    </row>
    <row r="672" spans="31:31" x14ac:dyDescent="0.25">
      <c r="AE672" s="49"/>
    </row>
    <row r="673" spans="31:31" x14ac:dyDescent="0.25">
      <c r="AE673" s="49"/>
    </row>
    <row r="674" spans="31:31" x14ac:dyDescent="0.25">
      <c r="AE674" s="49"/>
    </row>
    <row r="675" spans="31:31" x14ac:dyDescent="0.25">
      <c r="AE675" s="49"/>
    </row>
    <row r="676" spans="31:31" x14ac:dyDescent="0.25">
      <c r="AE676" s="49"/>
    </row>
    <row r="677" spans="31:31" x14ac:dyDescent="0.25">
      <c r="AE677" s="49"/>
    </row>
    <row r="678" spans="31:31" x14ac:dyDescent="0.25">
      <c r="AE678" s="49"/>
    </row>
    <row r="679" spans="31:31" x14ac:dyDescent="0.25">
      <c r="AE679" s="49"/>
    </row>
    <row r="680" spans="31:31" x14ac:dyDescent="0.25">
      <c r="AE680" s="49"/>
    </row>
    <row r="681" spans="31:31" x14ac:dyDescent="0.25">
      <c r="AE681" s="49"/>
    </row>
    <row r="682" spans="31:31" x14ac:dyDescent="0.25">
      <c r="AE682" s="49"/>
    </row>
    <row r="683" spans="31:31" x14ac:dyDescent="0.25">
      <c r="AE683" s="49"/>
    </row>
    <row r="684" spans="31:31" x14ac:dyDescent="0.25">
      <c r="AE684" s="49"/>
    </row>
    <row r="685" spans="31:31" x14ac:dyDescent="0.25">
      <c r="AE685" s="49"/>
    </row>
    <row r="686" spans="31:31" x14ac:dyDescent="0.25">
      <c r="AE686" s="49"/>
    </row>
    <row r="687" spans="31:31" x14ac:dyDescent="0.25">
      <c r="AE687" s="49"/>
    </row>
    <row r="688" spans="31:31" x14ac:dyDescent="0.25">
      <c r="AE688" s="49"/>
    </row>
    <row r="689" spans="31:31" x14ac:dyDescent="0.25">
      <c r="AE689" s="49"/>
    </row>
    <row r="690" spans="31:31" x14ac:dyDescent="0.25">
      <c r="AE690" s="49"/>
    </row>
    <row r="691" spans="31:31" x14ac:dyDescent="0.25">
      <c r="AE691" s="49"/>
    </row>
    <row r="692" spans="31:31" x14ac:dyDescent="0.25">
      <c r="AE692" s="49"/>
    </row>
    <row r="693" spans="31:31" x14ac:dyDescent="0.25">
      <c r="AE693" s="49"/>
    </row>
    <row r="694" spans="31:31" x14ac:dyDescent="0.25">
      <c r="AE694" s="49"/>
    </row>
    <row r="695" spans="31:31" x14ac:dyDescent="0.25">
      <c r="AE695" s="49"/>
    </row>
    <row r="696" spans="31:31" x14ac:dyDescent="0.25">
      <c r="AE696" s="49"/>
    </row>
    <row r="697" spans="31:31" x14ac:dyDescent="0.25">
      <c r="AE697" s="49"/>
    </row>
    <row r="698" spans="31:31" x14ac:dyDescent="0.25">
      <c r="AE698" s="49"/>
    </row>
    <row r="699" spans="31:31" x14ac:dyDescent="0.25">
      <c r="AE699" s="49"/>
    </row>
    <row r="700" spans="31:31" x14ac:dyDescent="0.25">
      <c r="AE700" s="49"/>
    </row>
    <row r="701" spans="31:31" x14ac:dyDescent="0.25">
      <c r="AE701" s="49"/>
    </row>
    <row r="702" spans="31:31" x14ac:dyDescent="0.25">
      <c r="AE702" s="49"/>
    </row>
    <row r="703" spans="31:31" x14ac:dyDescent="0.25">
      <c r="AE703" s="49"/>
    </row>
    <row r="704" spans="31:31" x14ac:dyDescent="0.25">
      <c r="AE704" s="49"/>
    </row>
    <row r="705" spans="31:31" x14ac:dyDescent="0.25">
      <c r="AE705" s="49"/>
    </row>
    <row r="706" spans="31:31" x14ac:dyDescent="0.25">
      <c r="AE706" s="49"/>
    </row>
    <row r="707" spans="31:31" x14ac:dyDescent="0.25">
      <c r="AE707" s="49"/>
    </row>
    <row r="708" spans="31:31" x14ac:dyDescent="0.25">
      <c r="AE708" s="49"/>
    </row>
    <row r="709" spans="31:31" x14ac:dyDescent="0.25">
      <c r="AE709" s="49"/>
    </row>
    <row r="710" spans="31:31" x14ac:dyDescent="0.25">
      <c r="AE710" s="49"/>
    </row>
    <row r="711" spans="31:31" x14ac:dyDescent="0.25">
      <c r="AE711" s="49"/>
    </row>
    <row r="712" spans="31:31" x14ac:dyDescent="0.25">
      <c r="AE712" s="49"/>
    </row>
    <row r="713" spans="31:31" x14ac:dyDescent="0.25">
      <c r="AE713" s="49"/>
    </row>
    <row r="714" spans="31:31" x14ac:dyDescent="0.25">
      <c r="AE714" s="49"/>
    </row>
    <row r="715" spans="31:31" x14ac:dyDescent="0.25">
      <c r="AE715" s="49"/>
    </row>
    <row r="716" spans="31:31" x14ac:dyDescent="0.25">
      <c r="AE716" s="49"/>
    </row>
    <row r="717" spans="31:31" x14ac:dyDescent="0.25">
      <c r="AE717" s="49"/>
    </row>
    <row r="718" spans="31:31" x14ac:dyDescent="0.25">
      <c r="AE718" s="49"/>
    </row>
    <row r="719" spans="31:31" x14ac:dyDescent="0.25">
      <c r="AE719" s="49"/>
    </row>
    <row r="720" spans="31:31" x14ac:dyDescent="0.25">
      <c r="AE720" s="49"/>
    </row>
    <row r="721" spans="31:31" x14ac:dyDescent="0.25">
      <c r="AE721" s="49"/>
    </row>
    <row r="722" spans="31:31" x14ac:dyDescent="0.25">
      <c r="AE722" s="49"/>
    </row>
    <row r="723" spans="31:31" x14ac:dyDescent="0.25">
      <c r="AE723" s="49"/>
    </row>
    <row r="724" spans="31:31" x14ac:dyDescent="0.25">
      <c r="AE724" s="49"/>
    </row>
    <row r="725" spans="31:31" x14ac:dyDescent="0.25">
      <c r="AE725" s="49"/>
    </row>
    <row r="726" spans="31:31" x14ac:dyDescent="0.25">
      <c r="AE726" s="49"/>
    </row>
    <row r="727" spans="31:31" x14ac:dyDescent="0.25">
      <c r="AE727" s="49"/>
    </row>
    <row r="728" spans="31:31" x14ac:dyDescent="0.25">
      <c r="AE728" s="49"/>
    </row>
    <row r="729" spans="31:31" x14ac:dyDescent="0.25">
      <c r="AE729" s="49"/>
    </row>
    <row r="730" spans="31:31" x14ac:dyDescent="0.25">
      <c r="AE730" s="49"/>
    </row>
    <row r="731" spans="31:31" x14ac:dyDescent="0.25">
      <c r="AE731" s="49"/>
    </row>
    <row r="732" spans="31:31" x14ac:dyDescent="0.25">
      <c r="AE732" s="49"/>
    </row>
    <row r="733" spans="31:31" x14ac:dyDescent="0.25">
      <c r="AE733" s="49"/>
    </row>
    <row r="734" spans="31:31" x14ac:dyDescent="0.25">
      <c r="AE734" s="49"/>
    </row>
    <row r="735" spans="31:31" x14ac:dyDescent="0.25">
      <c r="AE735" s="49"/>
    </row>
    <row r="736" spans="31:31" x14ac:dyDescent="0.25">
      <c r="AE736" s="49"/>
    </row>
    <row r="737" spans="31:31" x14ac:dyDescent="0.25">
      <c r="AE737" s="49"/>
    </row>
    <row r="738" spans="31:31" x14ac:dyDescent="0.25">
      <c r="AE738" s="49"/>
    </row>
    <row r="739" spans="31:31" x14ac:dyDescent="0.25">
      <c r="AE739" s="49"/>
    </row>
    <row r="740" spans="31:31" x14ac:dyDescent="0.25">
      <c r="AE740" s="49"/>
    </row>
    <row r="741" spans="31:31" x14ac:dyDescent="0.25">
      <c r="AE741" s="49"/>
    </row>
    <row r="742" spans="31:31" x14ac:dyDescent="0.25">
      <c r="AE742" s="49"/>
    </row>
    <row r="743" spans="31:31" x14ac:dyDescent="0.25">
      <c r="AE743" s="49"/>
    </row>
    <row r="744" spans="31:31" x14ac:dyDescent="0.25">
      <c r="AE744" s="49"/>
    </row>
    <row r="745" spans="31:31" x14ac:dyDescent="0.25">
      <c r="AE745" s="49"/>
    </row>
    <row r="746" spans="31:31" x14ac:dyDescent="0.25">
      <c r="AE746" s="49"/>
    </row>
    <row r="747" spans="31:31" x14ac:dyDescent="0.25">
      <c r="AE747" s="49"/>
    </row>
    <row r="748" spans="31:31" x14ac:dyDescent="0.25">
      <c r="AE748" s="49"/>
    </row>
    <row r="749" spans="31:31" x14ac:dyDescent="0.25">
      <c r="AE749" s="49"/>
    </row>
    <row r="750" spans="31:31" x14ac:dyDescent="0.25">
      <c r="AE750" s="49"/>
    </row>
    <row r="751" spans="31:31" x14ac:dyDescent="0.25">
      <c r="AE751" s="49"/>
    </row>
    <row r="752" spans="31:31" x14ac:dyDescent="0.25">
      <c r="AE752" s="49"/>
    </row>
    <row r="753" spans="31:31" x14ac:dyDescent="0.25">
      <c r="AE753" s="49"/>
    </row>
    <row r="754" spans="31:31" x14ac:dyDescent="0.25">
      <c r="AE754" s="49"/>
    </row>
    <row r="755" spans="31:31" x14ac:dyDescent="0.25">
      <c r="AE755" s="49"/>
    </row>
    <row r="756" spans="31:31" x14ac:dyDescent="0.25">
      <c r="AE756" s="49"/>
    </row>
    <row r="757" spans="31:31" x14ac:dyDescent="0.25">
      <c r="AE757" s="49"/>
    </row>
    <row r="758" spans="31:31" x14ac:dyDescent="0.25">
      <c r="AE758" s="49"/>
    </row>
    <row r="759" spans="31:31" x14ac:dyDescent="0.25">
      <c r="AE759" s="49"/>
    </row>
    <row r="760" spans="31:31" x14ac:dyDescent="0.25">
      <c r="AE760" s="49"/>
    </row>
    <row r="761" spans="31:31" x14ac:dyDescent="0.25">
      <c r="AE761" s="49"/>
    </row>
    <row r="762" spans="31:31" x14ac:dyDescent="0.25">
      <c r="AE762" s="49"/>
    </row>
    <row r="763" spans="31:31" x14ac:dyDescent="0.25">
      <c r="AE763" s="49"/>
    </row>
    <row r="764" spans="31:31" x14ac:dyDescent="0.25">
      <c r="AE764" s="49"/>
    </row>
    <row r="765" spans="31:31" x14ac:dyDescent="0.25">
      <c r="AE765" s="49"/>
    </row>
    <row r="766" spans="31:31" x14ac:dyDescent="0.25">
      <c r="AE766" s="49"/>
    </row>
    <row r="767" spans="31:31" x14ac:dyDescent="0.25">
      <c r="AE767" s="49"/>
    </row>
    <row r="768" spans="31:31" x14ac:dyDescent="0.25">
      <c r="AE768" s="49"/>
    </row>
    <row r="769" spans="31:31" x14ac:dyDescent="0.25">
      <c r="AE769" s="49"/>
    </row>
    <row r="770" spans="31:31" x14ac:dyDescent="0.25">
      <c r="AE770" s="49"/>
    </row>
    <row r="771" spans="31:31" x14ac:dyDescent="0.25">
      <c r="AE771" s="49"/>
    </row>
    <row r="772" spans="31:31" x14ac:dyDescent="0.25">
      <c r="AE772" s="49"/>
    </row>
    <row r="773" spans="31:31" x14ac:dyDescent="0.25">
      <c r="AE773" s="49"/>
    </row>
    <row r="774" spans="31:31" x14ac:dyDescent="0.25">
      <c r="AE774" s="49"/>
    </row>
    <row r="775" spans="31:31" x14ac:dyDescent="0.25">
      <c r="AE775" s="49"/>
    </row>
    <row r="776" spans="31:31" x14ac:dyDescent="0.25">
      <c r="AE776" s="49"/>
    </row>
    <row r="777" spans="31:31" x14ac:dyDescent="0.25">
      <c r="AE777" s="49"/>
    </row>
    <row r="778" spans="31:31" x14ac:dyDescent="0.25">
      <c r="AE778" s="49"/>
    </row>
    <row r="779" spans="31:31" x14ac:dyDescent="0.25">
      <c r="AE779" s="49"/>
    </row>
    <row r="780" spans="31:31" x14ac:dyDescent="0.25">
      <c r="AE780" s="49"/>
    </row>
    <row r="781" spans="31:31" x14ac:dyDescent="0.25">
      <c r="AE781" s="49"/>
    </row>
    <row r="782" spans="31:31" x14ac:dyDescent="0.25">
      <c r="AE782" s="49"/>
    </row>
    <row r="783" spans="31:31" x14ac:dyDescent="0.25">
      <c r="AE783" s="49"/>
    </row>
    <row r="784" spans="31:31" x14ac:dyDescent="0.25">
      <c r="AE784" s="49"/>
    </row>
    <row r="785" spans="31:31" x14ac:dyDescent="0.25">
      <c r="AE785" s="49"/>
    </row>
    <row r="786" spans="31:31" x14ac:dyDescent="0.25">
      <c r="AE786" s="49"/>
    </row>
    <row r="787" spans="31:31" x14ac:dyDescent="0.25">
      <c r="AE787" s="49"/>
    </row>
    <row r="788" spans="31:31" x14ac:dyDescent="0.25">
      <c r="AE788" s="49"/>
    </row>
    <row r="789" spans="31:31" x14ac:dyDescent="0.25">
      <c r="AE789" s="49"/>
    </row>
    <row r="790" spans="31:31" x14ac:dyDescent="0.25">
      <c r="AE790" s="49"/>
    </row>
    <row r="791" spans="31:31" x14ac:dyDescent="0.25">
      <c r="AE791" s="49"/>
    </row>
    <row r="792" spans="31:31" x14ac:dyDescent="0.25">
      <c r="AE792" s="49"/>
    </row>
    <row r="793" spans="31:31" x14ac:dyDescent="0.25">
      <c r="AE793" s="49"/>
    </row>
    <row r="794" spans="31:31" x14ac:dyDescent="0.25">
      <c r="AE794" s="49"/>
    </row>
    <row r="795" spans="31:31" x14ac:dyDescent="0.25">
      <c r="AE795" s="49"/>
    </row>
    <row r="796" spans="31:31" x14ac:dyDescent="0.25">
      <c r="AE796" s="49"/>
    </row>
    <row r="797" spans="31:31" x14ac:dyDescent="0.25">
      <c r="AE797" s="49"/>
    </row>
    <row r="798" spans="31:31" x14ac:dyDescent="0.25">
      <c r="AE798" s="49"/>
    </row>
    <row r="799" spans="31:31" x14ac:dyDescent="0.25">
      <c r="AE799" s="49"/>
    </row>
    <row r="800" spans="31:31" x14ac:dyDescent="0.25">
      <c r="AE800" s="49"/>
    </row>
    <row r="801" spans="31:31" x14ac:dyDescent="0.25">
      <c r="AE801" s="49"/>
    </row>
    <row r="802" spans="31:31" x14ac:dyDescent="0.25">
      <c r="AE802" s="49"/>
    </row>
  </sheetData>
  <autoFilter ref="A1:BA206" xr:uid="{00000000-0009-0000-0000-000017000000}"/>
  <dataValidations count="21">
    <dataValidation type="list" allowBlank="1" showInputMessage="1" showErrorMessage="1" sqref="L2:L20" xr:uid="{00000000-0002-0000-1700-000000000000}">
      <formula1>Holding_interest</formula1>
      <formula2>0</formula2>
    </dataValidation>
    <dataValidation type="list" allowBlank="1" showInputMessage="1" showErrorMessage="1" sqref="K2:K20" xr:uid="{00000000-0002-0000-1700-000001000000}">
      <formula1>Industry_sectors</formula1>
      <formula2>0</formula2>
    </dataValidation>
    <dataValidation type="list" allowBlank="1" showInputMessage="1" showErrorMessage="1" sqref="Q2:Q20" xr:uid="{00000000-0002-0000-1700-000002000000}">
      <formula1>Rating_Agency</formula1>
      <formula2>0</formula2>
    </dataValidation>
    <dataValidation type="list" allowBlank="1" showInputMessage="1" showErrorMessage="1" sqref="M2:M20" xr:uid="{00000000-0002-0000-1700-000003000000}">
      <formula1>Consortium</formula1>
      <formula2>0</formula2>
    </dataValidation>
    <dataValidation type="list" allowBlank="1" showInputMessage="1" showErrorMessage="1" sqref="W2:W20" xr:uid="{00000000-0002-0000-1700-000004000000}">
      <formula1>Linked_Type</formula1>
      <formula2>0</formula2>
    </dataValidation>
    <dataValidation type="list" allowBlank="1" showInputMessage="1" showErrorMessage="1" sqref="AC2:AC20" xr:uid="{00000000-0002-0000-1700-000005000000}">
      <formula1>Type_of_Security</formula1>
      <formula2>0</formula2>
    </dataValidation>
    <dataValidation type="list" allowBlank="1" showInputMessage="1" showErrorMessage="1" sqref="AM2:AM20" xr:uid="{00000000-0002-0000-1700-000006000000}">
      <formula1>Dependence_Independence</formula1>
      <formula2>0</formula2>
    </dataValidation>
    <dataValidation type="list" allowBlank="1" showInputMessage="1" showErrorMessage="1" sqref="J2:J20" xr:uid="{00000000-0002-0000-1700-000007000000}">
      <formula1>Country_list</formula1>
      <formula2>0</formula2>
    </dataValidation>
    <dataValidation type="list" allowBlank="1" showInputMessage="1" showErrorMessage="1" sqref="AH2:AH20" xr:uid="{00000000-0002-0000-1700-000008000000}">
      <formula1>Amoritization</formula1>
      <formula2>0</formula2>
    </dataValidation>
    <dataValidation type="list" allowBlank="1" showInputMessage="1" showErrorMessage="1" sqref="U2:U20" xr:uid="{00000000-0002-0000-1700-000009000000}">
      <formula1>Type_of_Interest_Rate</formula1>
      <formula2>0</formula2>
    </dataValidation>
    <dataValidation type="list" allowBlank="1" showInputMessage="1" showErrorMessage="1" sqref="AK2:AK20" xr:uid="{00000000-0002-0000-1700-00000A000000}">
      <formula1>Valuation_Loans</formula1>
      <formula2>0</formula2>
    </dataValidation>
    <dataValidation type="list" allowBlank="1" showInputMessage="1" showErrorMessage="1" sqref="X2:X20" xr:uid="{00000000-0002-0000-1700-00000B000000}">
      <formula1>Underlying_Interest_Rates</formula1>
      <formula2>0</formula2>
    </dataValidation>
    <dataValidation type="list" allowBlank="1" showInputMessage="1" showErrorMessage="1" sqref="AB2:AB20" xr:uid="{00000000-0002-0000-1700-00000C000000}">
      <formula1>Subordination_Risk</formula1>
      <formula2>0</formula2>
    </dataValidation>
    <dataValidation type="list" allowBlank="1" showInputMessage="1" showErrorMessage="1" sqref="AX2:AX20" xr:uid="{00000000-0002-0000-1700-00000D000000}">
      <formula1>Yes_No_Bad_Debt</formula1>
      <formula2>0</formula2>
    </dataValidation>
    <dataValidation type="list" allowBlank="1" showInputMessage="1" showErrorMessage="1" sqref="AG2:AG20" xr:uid="{00000000-0002-0000-1700-00000E000000}">
      <formula1>Recourse_Nonrecourse</formula1>
      <formula2>0</formula2>
    </dataValidation>
    <dataValidation type="list" allowBlank="1" showInputMessage="1" showErrorMessage="1" sqref="AJ2:AJ20" xr:uid="{00000000-0002-0000-1700-00000F000000}">
      <formula1>Repayment_Rights</formula1>
      <formula2>0</formula2>
    </dataValidation>
    <dataValidation type="list" allowBlank="1" showInputMessage="1" showErrorMessage="1" sqref="D2:D20" xr:uid="{00000000-0002-0000-1700-000010000000}">
      <formula1>issuer_number_loan</formula1>
      <formula2>0</formula2>
    </dataValidation>
    <dataValidation type="list" allowBlank="1" showInputMessage="1" showErrorMessage="1" sqref="H2:H20" xr:uid="{00000000-0002-0000-1700-000011000000}">
      <formula1>real_estate_loans</formula1>
      <formula2>0</formula2>
    </dataValidation>
    <dataValidation type="list" allowBlank="1" showInputMessage="1" showErrorMessage="1" sqref="I2:I20" xr:uid="{00000000-0002-0000-1700-000012000000}">
      <formula1>israel_abroad</formula1>
      <formula2>0</formula2>
    </dataValidation>
    <dataValidation type="list" allowBlank="1" showInputMessage="1" showErrorMessage="1" sqref="AY2:AY20" xr:uid="{00000000-0002-0000-1700-000013000000}">
      <formula1>In_the_books</formula1>
      <formula2>0</formula2>
    </dataValidation>
    <dataValidation type="list" allowBlank="1" showInputMessage="1" showErrorMessage="1" sqref="R2:R20" xr:uid="{00000000-0002-0000-1700-000014000000}">
      <formula1>what_is_rated_loans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0"/>
  <sheetViews>
    <sheetView rightToLeft="1" zoomScale="70" zoomScaleNormal="70" workbookViewId="0">
      <selection activeCell="A2" sqref="A2"/>
    </sheetView>
  </sheetViews>
  <sheetFormatPr defaultColWidth="9" defaultRowHeight="13.8" x14ac:dyDescent="0.25"/>
  <cols>
    <col min="1" max="16" width="11.59765625" customWidth="1"/>
    <col min="17" max="17" width="13.3984375" customWidth="1"/>
    <col min="18" max="19" width="11.59765625" customWidth="1"/>
    <col min="20" max="20" width="11.59765625" style="35" customWidth="1"/>
    <col min="21" max="30" width="11.59765625" customWidth="1"/>
  </cols>
  <sheetData>
    <row r="1" spans="1:30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57</v>
      </c>
      <c r="M1" s="36" t="s">
        <v>1389</v>
      </c>
      <c r="N1" s="36" t="s">
        <v>1402</v>
      </c>
      <c r="O1" s="36" t="s">
        <v>96</v>
      </c>
      <c r="P1" s="36" t="s">
        <v>59</v>
      </c>
      <c r="Q1" s="36" t="s">
        <v>202</v>
      </c>
      <c r="R1" s="36" t="s">
        <v>60</v>
      </c>
      <c r="S1" s="36" t="s">
        <v>97</v>
      </c>
      <c r="T1" s="50" t="s">
        <v>63</v>
      </c>
      <c r="U1" s="36" t="s">
        <v>99</v>
      </c>
      <c r="V1" s="36" t="s">
        <v>1408</v>
      </c>
      <c r="W1" s="36" t="s">
        <v>1409</v>
      </c>
      <c r="X1" s="36" t="s">
        <v>1411</v>
      </c>
      <c r="Y1" s="36" t="s">
        <v>101</v>
      </c>
      <c r="Z1" s="36" t="s">
        <v>62</v>
      </c>
      <c r="AA1" s="36" t="s">
        <v>102</v>
      </c>
      <c r="AB1" s="36" t="s">
        <v>64</v>
      </c>
      <c r="AC1" s="36" t="s">
        <v>65</v>
      </c>
      <c r="AD1" s="36" t="s">
        <v>66</v>
      </c>
    </row>
    <row r="2" spans="1:3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51"/>
      <c r="U2" s="10"/>
      <c r="V2" s="10"/>
      <c r="W2" s="10"/>
      <c r="Y2" s="10"/>
      <c r="Z2" s="10"/>
      <c r="AA2" s="10"/>
      <c r="AB2" s="10"/>
      <c r="AC2" s="10"/>
      <c r="AD2" s="10"/>
    </row>
    <row r="3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51"/>
      <c r="U3" s="10"/>
      <c r="V3" s="10"/>
      <c r="W3" s="10"/>
      <c r="Y3" s="10"/>
      <c r="Z3" s="10"/>
      <c r="AA3" s="10"/>
      <c r="AB3" s="10"/>
      <c r="AC3" s="10"/>
      <c r="AD3" s="10"/>
    </row>
    <row r="4" spans="1:30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51"/>
      <c r="U4" s="10"/>
      <c r="V4" s="10"/>
      <c r="W4" s="10"/>
      <c r="Y4" s="10"/>
      <c r="Z4" s="10"/>
      <c r="AA4" s="10"/>
      <c r="AB4" s="10"/>
      <c r="AC4" s="10"/>
      <c r="AD4" s="10"/>
    </row>
    <row r="5" spans="1:30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51"/>
      <c r="U5" s="10"/>
      <c r="V5" s="10"/>
      <c r="W5" s="10"/>
      <c r="Y5" s="10"/>
      <c r="Z5" s="10"/>
      <c r="AA5" s="10"/>
      <c r="AB5" s="10"/>
      <c r="AC5" s="10"/>
      <c r="AD5" s="10"/>
    </row>
    <row r="6" spans="1:3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51"/>
      <c r="U6" s="10"/>
      <c r="V6" s="10"/>
      <c r="W6" s="10"/>
      <c r="Y6" s="10"/>
      <c r="Z6" s="10"/>
      <c r="AA6" s="10"/>
      <c r="AB6" s="10"/>
      <c r="AC6" s="10"/>
      <c r="AD6" s="10"/>
    </row>
    <row r="7" spans="1:3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51"/>
      <c r="U7" s="10"/>
      <c r="V7" s="10"/>
      <c r="W7" s="10"/>
      <c r="Y7" s="10"/>
      <c r="Z7" s="10"/>
      <c r="AA7" s="10"/>
      <c r="AB7" s="10"/>
      <c r="AC7" s="10"/>
      <c r="AD7" s="10"/>
    </row>
    <row r="8" spans="1:3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51"/>
      <c r="U8" s="10"/>
      <c r="V8" s="10"/>
      <c r="W8" s="10"/>
      <c r="Y8" s="10"/>
      <c r="Z8" s="10"/>
      <c r="AA8" s="10"/>
      <c r="AB8" s="10"/>
      <c r="AC8" s="10"/>
      <c r="AD8" s="10"/>
    </row>
    <row r="9" spans="1:3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51"/>
      <c r="U9" s="10"/>
      <c r="V9" s="10"/>
      <c r="W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51"/>
      <c r="U10" s="10"/>
      <c r="V10" s="10"/>
      <c r="W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51"/>
      <c r="U11" s="10"/>
      <c r="V11" s="10"/>
      <c r="W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51"/>
      <c r="U12" s="10"/>
      <c r="V12" s="10"/>
      <c r="W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51"/>
      <c r="U13" s="10"/>
      <c r="V13" s="10"/>
      <c r="W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51"/>
      <c r="U14" s="10"/>
      <c r="V14" s="10"/>
      <c r="W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51"/>
      <c r="U15" s="10"/>
      <c r="V15" s="10"/>
      <c r="W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51"/>
      <c r="U16" s="10"/>
      <c r="V16" s="10"/>
      <c r="W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51"/>
      <c r="U17" s="10"/>
      <c r="V17" s="10"/>
      <c r="W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51"/>
      <c r="U18" s="10"/>
      <c r="V18" s="10"/>
      <c r="W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51"/>
      <c r="U19" s="10"/>
      <c r="V19" s="10"/>
      <c r="W19" s="10"/>
      <c r="Y19" s="10"/>
      <c r="Z19" s="10"/>
      <c r="AA19" s="10"/>
      <c r="AB19" s="10"/>
      <c r="AC19" s="10"/>
      <c r="AD19" s="10"/>
    </row>
    <row r="20" spans="1:30" x14ac:dyDescent="0.25">
      <c r="E20" s="10"/>
      <c r="H20" s="10"/>
      <c r="I20" s="10"/>
      <c r="J20" s="10"/>
      <c r="K20" s="10"/>
      <c r="L20" s="10"/>
      <c r="M20" s="10"/>
      <c r="P20" s="10"/>
      <c r="Q20" s="10"/>
      <c r="V20" s="10"/>
      <c r="W20" s="10"/>
    </row>
  </sheetData>
  <dataValidations count="12">
    <dataValidation type="list" allowBlank="1" showInputMessage="1" showErrorMessage="1" sqref="J2:J20" xr:uid="{00000000-0002-0000-1800-000000000000}">
      <formula1>israel_abroad</formula1>
      <formula2>0</formula2>
    </dataValidation>
    <dataValidation type="list" allowBlank="1" showInputMessage="1" showErrorMessage="1" sqref="L2:L20" xr:uid="{00000000-0002-0000-1800-000001000000}">
      <formula1>Holding_interest</formula1>
      <formula2>0</formula2>
    </dataValidation>
    <dataValidation type="list" allowBlank="1" showInputMessage="1" showErrorMessage="1" sqref="P2:P20" xr:uid="{00000000-0002-0000-1800-000002000000}">
      <formula1>Rating_Agency</formula1>
      <formula2>0</formula2>
    </dataValidation>
    <dataValidation type="list" allowBlank="1" showInputMessage="1" showErrorMessage="1" sqref="Q2:Q20" xr:uid="{00000000-0002-0000-1800-000003000000}">
      <formula1>What_is_rated</formula1>
      <formula2>0</formula2>
    </dataValidation>
    <dataValidation type="list" allowBlank="1" showInputMessage="1" showErrorMessage="1" sqref="V2:V20" xr:uid="{00000000-0002-0000-1800-000004000000}">
      <formula1>Valuation</formula1>
      <formula2>0</formula2>
    </dataValidation>
    <dataValidation type="list" allowBlank="1" showInputMessage="1" showErrorMessage="1" sqref="W2:W20" xr:uid="{00000000-0002-0000-1800-000005000000}">
      <formula1>Dependence_Independence</formula1>
      <formula2>0</formula2>
    </dataValidation>
    <dataValidation type="list" allowBlank="1" showInputMessage="1" showErrorMessage="1" sqref="K2:K20" xr:uid="{00000000-0002-0000-1800-000006000000}">
      <formula1>Country_list</formula1>
      <formula2>0</formula2>
    </dataValidation>
    <dataValidation type="list" allowBlank="1" showInputMessage="1" showErrorMessage="1" sqref="H2:H20" xr:uid="{00000000-0002-0000-1800-000007000000}">
      <formula1>Type_of_Security_ID_Fund</formula1>
      <formula2>0</formula2>
    </dataValidation>
    <dataValidation type="list" allowBlank="1" showInputMessage="1" showErrorMessage="1" sqref="M3:M20" xr:uid="{00000000-0002-0000-1800-000008000000}">
      <formula1>Underlying_Asset</formula1>
      <formula2>0</formula2>
    </dataValidation>
    <dataValidation type="list" allowBlank="1" showInputMessage="1" showErrorMessage="1" sqref="E2" xr:uid="{00000000-0002-0000-1800-000009000000}">
      <formula1>Issuer_Number_Type_3</formula1>
      <formula2>0</formula2>
    </dataValidation>
    <dataValidation type="list" allowBlank="1" showInputMessage="1" showErrorMessage="1" sqref="E3:E20" xr:uid="{00000000-0002-0000-1800-00000A000000}">
      <formula1>Issuer_Number_Type_2</formula1>
      <formula2>0</formula2>
    </dataValidation>
    <dataValidation type="list" allowBlank="1" showInputMessage="1" showErrorMessage="1" sqref="M2" xr:uid="{00000000-0002-0000-1800-00000B000000}">
      <formula1>Underlying_Asset_Structured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0"/>
  <sheetViews>
    <sheetView rightToLeft="1" zoomScale="70" zoomScaleNormal="70" workbookViewId="0">
      <selection activeCell="A2" sqref="A2"/>
    </sheetView>
  </sheetViews>
  <sheetFormatPr defaultColWidth="9" defaultRowHeight="13.8" x14ac:dyDescent="0.25"/>
  <cols>
    <col min="1" max="14" width="11.59765625" customWidth="1"/>
    <col min="15" max="15" width="11.59765625" style="35" customWidth="1"/>
    <col min="16" max="22" width="11.59765625" customWidth="1"/>
  </cols>
  <sheetData>
    <row r="1" spans="1:22" ht="66.75" customHeight="1" x14ac:dyDescent="0.25">
      <c r="A1" s="36" t="s">
        <v>50</v>
      </c>
      <c r="B1" s="36" t="s">
        <v>51</v>
      </c>
      <c r="C1" s="36" t="s">
        <v>52</v>
      </c>
      <c r="D1" s="36" t="s">
        <v>53</v>
      </c>
      <c r="E1" s="36" t="s">
        <v>54</v>
      </c>
      <c r="F1" s="36" t="s">
        <v>55</v>
      </c>
      <c r="G1" s="60" t="s">
        <v>2286</v>
      </c>
      <c r="H1" s="36" t="s">
        <v>56</v>
      </c>
      <c r="I1" s="36" t="s">
        <v>94</v>
      </c>
      <c r="J1" s="36" t="s">
        <v>57</v>
      </c>
      <c r="K1" s="36" t="s">
        <v>58</v>
      </c>
      <c r="L1" s="36" t="s">
        <v>59</v>
      </c>
      <c r="M1" s="36" t="s">
        <v>60</v>
      </c>
      <c r="N1" s="36" t="s">
        <v>97</v>
      </c>
      <c r="O1" s="38" t="s">
        <v>63</v>
      </c>
      <c r="P1" s="39" t="s">
        <v>99</v>
      </c>
      <c r="Q1" s="36" t="s">
        <v>61</v>
      </c>
      <c r="R1" s="37" t="s">
        <v>62</v>
      </c>
      <c r="S1" s="47" t="s">
        <v>2287</v>
      </c>
      <c r="T1" s="36" t="s">
        <v>64</v>
      </c>
      <c r="U1" s="39" t="s">
        <v>65</v>
      </c>
      <c r="V1" s="39" t="s">
        <v>66</v>
      </c>
    </row>
    <row r="2" spans="1:22" x14ac:dyDescent="0.25">
      <c r="A2" s="10">
        <v>1182</v>
      </c>
      <c r="B2" s="10">
        <v>1182</v>
      </c>
      <c r="C2" s="10" t="s">
        <v>67</v>
      </c>
      <c r="D2" t="s">
        <v>68</v>
      </c>
      <c r="E2" s="10" t="s">
        <v>69</v>
      </c>
      <c r="F2" s="10" t="s">
        <v>603</v>
      </c>
      <c r="G2" s="61" t="s">
        <v>2288</v>
      </c>
      <c r="H2" s="10" t="s">
        <v>71</v>
      </c>
      <c r="I2" s="10"/>
      <c r="J2" s="10" t="s">
        <v>72</v>
      </c>
      <c r="K2" s="10" t="s">
        <v>73</v>
      </c>
      <c r="L2" t="s">
        <v>74</v>
      </c>
      <c r="M2" s="10" t="s">
        <v>75</v>
      </c>
      <c r="N2" s="52">
        <v>0.75</v>
      </c>
      <c r="O2" s="53">
        <v>5.7500000000000002E-2</v>
      </c>
      <c r="P2" s="54">
        <v>4.9549999999999997E-2</v>
      </c>
      <c r="Q2" s="44">
        <v>2200</v>
      </c>
      <c r="R2" s="55">
        <v>3.718</v>
      </c>
      <c r="S2" s="56">
        <v>103.828</v>
      </c>
      <c r="T2" s="52">
        <v>8492.723</v>
      </c>
      <c r="U2" s="54">
        <v>1</v>
      </c>
      <c r="V2" s="54">
        <v>1.9614781045932301E-2</v>
      </c>
    </row>
    <row r="3" spans="1:22" x14ac:dyDescent="0.25">
      <c r="A3" s="10">
        <v>1182</v>
      </c>
      <c r="B3" s="10">
        <v>14769</v>
      </c>
      <c r="C3" s="10" t="s">
        <v>67</v>
      </c>
      <c r="D3" t="s">
        <v>68</v>
      </c>
      <c r="E3" s="10" t="s">
        <v>69</v>
      </c>
      <c r="F3" s="10" t="s">
        <v>603</v>
      </c>
      <c r="G3" s="61" t="s">
        <v>2288</v>
      </c>
      <c r="H3" s="10" t="s">
        <v>71</v>
      </c>
      <c r="I3" s="10"/>
      <c r="J3" s="10" t="s">
        <v>72</v>
      </c>
      <c r="K3" s="10" t="s">
        <v>73</v>
      </c>
      <c r="L3" t="s">
        <v>74</v>
      </c>
      <c r="M3" s="10" t="s">
        <v>75</v>
      </c>
      <c r="N3" s="52">
        <v>0.75</v>
      </c>
      <c r="O3" s="53">
        <v>5.7500000000000002E-2</v>
      </c>
      <c r="P3" s="54">
        <v>4.9549999999999997E-2</v>
      </c>
      <c r="Q3" s="44">
        <v>40</v>
      </c>
      <c r="R3" s="55">
        <v>3.718</v>
      </c>
      <c r="S3" s="48">
        <v>103.827</v>
      </c>
      <c r="T3" s="52">
        <v>154.41200000000001</v>
      </c>
      <c r="U3" s="54">
        <v>1</v>
      </c>
      <c r="V3" s="54">
        <v>6.6659722783036397E-3</v>
      </c>
    </row>
    <row r="4" spans="1:22" x14ac:dyDescent="0.25">
      <c r="A4" s="10">
        <v>12904</v>
      </c>
      <c r="B4" s="10">
        <v>12905</v>
      </c>
      <c r="C4" s="10" t="s">
        <v>67</v>
      </c>
      <c r="D4" t="s">
        <v>68</v>
      </c>
      <c r="E4" s="10" t="s">
        <v>69</v>
      </c>
      <c r="F4" s="10" t="s">
        <v>603</v>
      </c>
      <c r="G4" s="61" t="s">
        <v>2288</v>
      </c>
      <c r="H4" s="10" t="s">
        <v>71</v>
      </c>
      <c r="I4" s="10"/>
      <c r="J4" s="10" t="s">
        <v>72</v>
      </c>
      <c r="K4" s="10" t="s">
        <v>73</v>
      </c>
      <c r="L4" t="s">
        <v>74</v>
      </c>
      <c r="M4" s="10" t="s">
        <v>75</v>
      </c>
      <c r="N4" s="52">
        <v>0.75</v>
      </c>
      <c r="O4" s="53">
        <v>5.7500000000000002E-2</v>
      </c>
      <c r="P4" s="54">
        <v>4.9549999999999997E-2</v>
      </c>
      <c r="Q4" s="44">
        <v>130</v>
      </c>
      <c r="R4" s="55">
        <v>3.718</v>
      </c>
      <c r="S4" s="48">
        <v>103.828</v>
      </c>
      <c r="T4" s="52">
        <v>501.84300000000002</v>
      </c>
      <c r="U4" s="54">
        <v>1</v>
      </c>
      <c r="V4" s="54">
        <v>1.1732395048114901E-2</v>
      </c>
    </row>
    <row r="5" spans="1:22" x14ac:dyDescent="0.25">
      <c r="A5" s="10">
        <v>12904</v>
      </c>
      <c r="B5" s="10">
        <v>13680</v>
      </c>
      <c r="C5" s="10" t="s">
        <v>67</v>
      </c>
      <c r="D5" t="s">
        <v>68</v>
      </c>
      <c r="E5" s="10" t="s">
        <v>69</v>
      </c>
      <c r="F5" s="10" t="s">
        <v>603</v>
      </c>
      <c r="G5" s="61" t="s">
        <v>2288</v>
      </c>
      <c r="H5" s="10" t="s">
        <v>71</v>
      </c>
      <c r="I5" s="10"/>
      <c r="J5" s="10" t="s">
        <v>72</v>
      </c>
      <c r="K5" s="10" t="s">
        <v>73</v>
      </c>
      <c r="L5" t="s">
        <v>74</v>
      </c>
      <c r="M5" s="10" t="s">
        <v>75</v>
      </c>
      <c r="N5" s="52">
        <v>0.75</v>
      </c>
      <c r="O5" s="53">
        <v>5.7500000000000002E-2</v>
      </c>
      <c r="P5" s="54">
        <v>4.9549999999999997E-2</v>
      </c>
      <c r="Q5" s="44">
        <v>200</v>
      </c>
      <c r="R5" s="55">
        <v>3.718</v>
      </c>
      <c r="S5" s="48">
        <v>103.828</v>
      </c>
      <c r="T5" s="52">
        <v>772.06899999999996</v>
      </c>
      <c r="U5" s="54">
        <v>1</v>
      </c>
      <c r="V5" s="54">
        <v>1.6605109476778301E-2</v>
      </c>
    </row>
    <row r="6" spans="1:22" x14ac:dyDescent="0.25">
      <c r="A6" s="10">
        <v>424</v>
      </c>
      <c r="B6" s="10">
        <v>7228</v>
      </c>
      <c r="C6" s="10" t="s">
        <v>67</v>
      </c>
      <c r="D6" t="s">
        <v>68</v>
      </c>
      <c r="E6" s="10" t="s">
        <v>69</v>
      </c>
      <c r="F6" s="10" t="s">
        <v>214</v>
      </c>
      <c r="G6" s="61" t="s">
        <v>2289</v>
      </c>
      <c r="H6" s="10" t="s">
        <v>71</v>
      </c>
      <c r="I6" s="10" t="s">
        <v>71</v>
      </c>
      <c r="J6" s="10" t="s">
        <v>72</v>
      </c>
      <c r="K6" s="10" t="s">
        <v>73</v>
      </c>
      <c r="L6" t="s">
        <v>74</v>
      </c>
      <c r="M6" s="10" t="s">
        <v>81</v>
      </c>
      <c r="N6" s="52">
        <v>4.38</v>
      </c>
      <c r="O6" s="53">
        <v>5.2999999999999999E-2</v>
      </c>
      <c r="P6" s="54">
        <v>2.3009999999999999E-2</v>
      </c>
      <c r="Q6" s="44">
        <v>250</v>
      </c>
      <c r="R6" s="55">
        <v>1</v>
      </c>
      <c r="S6" s="48">
        <v>165.86</v>
      </c>
      <c r="T6" s="52">
        <v>414.65</v>
      </c>
      <c r="U6" s="54">
        <v>9.1747963585977494E-3</v>
      </c>
      <c r="V6" s="54">
        <v>1.6894628499029301E-4</v>
      </c>
    </row>
    <row r="7" spans="1:22" x14ac:dyDescent="0.25">
      <c r="A7" s="10">
        <v>424</v>
      </c>
      <c r="B7" s="10">
        <v>7228</v>
      </c>
      <c r="C7" s="10" t="s">
        <v>67</v>
      </c>
      <c r="D7" t="s">
        <v>68</v>
      </c>
      <c r="E7" s="10" t="s">
        <v>69</v>
      </c>
      <c r="F7" s="10" t="s">
        <v>603</v>
      </c>
      <c r="G7" s="61" t="s">
        <v>2288</v>
      </c>
      <c r="H7" s="10" t="s">
        <v>71</v>
      </c>
      <c r="I7" s="10"/>
      <c r="J7" s="10" t="s">
        <v>72</v>
      </c>
      <c r="K7" s="10" t="s">
        <v>73</v>
      </c>
      <c r="L7" t="s">
        <v>74</v>
      </c>
      <c r="M7" s="10" t="s">
        <v>75</v>
      </c>
      <c r="N7" s="52">
        <v>0.75</v>
      </c>
      <c r="O7" s="53">
        <v>5.7500000000000002E-2</v>
      </c>
      <c r="P7" s="54">
        <v>4.9549999999999997E-2</v>
      </c>
      <c r="Q7" s="44">
        <v>11600</v>
      </c>
      <c r="R7" s="55">
        <v>3.718</v>
      </c>
      <c r="S7" s="56">
        <v>103.828</v>
      </c>
      <c r="T7" s="52">
        <v>44779.813999999998</v>
      </c>
      <c r="U7" s="54">
        <v>0.99082520364140203</v>
      </c>
      <c r="V7" s="54">
        <v>1.8245226453783601E-2</v>
      </c>
    </row>
    <row r="8" spans="1:22" x14ac:dyDescent="0.25">
      <c r="A8" s="10">
        <v>424</v>
      </c>
      <c r="B8" s="10">
        <v>7229</v>
      </c>
      <c r="C8" s="10" t="s">
        <v>67</v>
      </c>
      <c r="D8" t="s">
        <v>68</v>
      </c>
      <c r="E8" s="10" t="s">
        <v>69</v>
      </c>
      <c r="F8" s="10" t="s">
        <v>603</v>
      </c>
      <c r="G8" s="61" t="s">
        <v>2288</v>
      </c>
      <c r="H8" s="10" t="s">
        <v>71</v>
      </c>
      <c r="I8" s="10"/>
      <c r="J8" s="10" t="s">
        <v>72</v>
      </c>
      <c r="K8" s="10" t="s">
        <v>73</v>
      </c>
      <c r="L8" t="s">
        <v>74</v>
      </c>
      <c r="M8" s="10" t="s">
        <v>75</v>
      </c>
      <c r="N8" s="52">
        <v>0.75</v>
      </c>
      <c r="O8" s="53">
        <v>5.7500000000000002E-2</v>
      </c>
      <c r="P8" s="54">
        <v>4.9549999999999997E-2</v>
      </c>
      <c r="Q8" s="44">
        <v>950</v>
      </c>
      <c r="R8" s="55">
        <v>3.718</v>
      </c>
      <c r="S8" s="56">
        <v>103.828</v>
      </c>
      <c r="T8" s="52">
        <v>3667.3119999999999</v>
      </c>
      <c r="U8" s="54">
        <v>1</v>
      </c>
      <c r="V8" s="54">
        <v>2.44100938878004E-2</v>
      </c>
    </row>
    <row r="9" spans="1:22" x14ac:dyDescent="0.25">
      <c r="A9" s="10">
        <v>969</v>
      </c>
      <c r="B9" s="10">
        <v>969</v>
      </c>
      <c r="C9" s="10" t="s">
        <v>67</v>
      </c>
      <c r="D9" t="s">
        <v>68</v>
      </c>
      <c r="E9" s="10" t="s">
        <v>69</v>
      </c>
      <c r="F9" s="10" t="s">
        <v>603</v>
      </c>
      <c r="G9" s="61" t="s">
        <v>2288</v>
      </c>
      <c r="H9" s="10" t="s">
        <v>71</v>
      </c>
      <c r="I9" s="10"/>
      <c r="J9" s="10" t="s">
        <v>72</v>
      </c>
      <c r="K9" s="10" t="s">
        <v>73</v>
      </c>
      <c r="L9" t="s">
        <v>74</v>
      </c>
      <c r="M9" s="10" t="s">
        <v>75</v>
      </c>
      <c r="N9" s="52">
        <v>0.75</v>
      </c>
      <c r="O9" s="53">
        <v>5.7500000000000002E-2</v>
      </c>
      <c r="P9" s="54">
        <v>4.9549999999999997E-2</v>
      </c>
      <c r="Q9" s="44">
        <v>380</v>
      </c>
      <c r="R9" s="55">
        <v>3.718</v>
      </c>
      <c r="S9" s="56">
        <v>103.828</v>
      </c>
      <c r="T9" s="52">
        <v>1466.922</v>
      </c>
      <c r="U9" s="54">
        <v>1</v>
      </c>
      <c r="V9" s="54">
        <v>2.0023661786511899E-2</v>
      </c>
    </row>
    <row r="10" spans="1:22" x14ac:dyDescent="0.25">
      <c r="A10" s="10"/>
      <c r="B10" s="10"/>
      <c r="C10" s="10"/>
      <c r="E10" s="10"/>
      <c r="F10" s="10"/>
      <c r="G10" s="10"/>
      <c r="H10" s="10"/>
      <c r="I10" s="10"/>
      <c r="J10" s="10"/>
      <c r="K10" s="10"/>
      <c r="M10" s="10"/>
      <c r="N10" s="10"/>
      <c r="O10" s="51"/>
      <c r="P10" s="10"/>
      <c r="R10" s="10"/>
      <c r="S10" s="10"/>
      <c r="T10" s="10"/>
      <c r="U10" s="10"/>
      <c r="V10" s="10"/>
    </row>
    <row r="11" spans="1:22" x14ac:dyDescent="0.25">
      <c r="A11" s="10"/>
      <c r="B11" s="10"/>
      <c r="C11" s="10"/>
      <c r="E11" s="10"/>
      <c r="F11" s="10"/>
      <c r="G11" s="10"/>
      <c r="H11" s="10"/>
      <c r="I11" s="10"/>
      <c r="J11" s="10"/>
      <c r="K11" s="10"/>
      <c r="M11" s="10"/>
      <c r="N11" s="10"/>
      <c r="O11" s="51"/>
      <c r="P11" s="10"/>
      <c r="R11" s="10"/>
      <c r="S11" s="10"/>
      <c r="T11" s="10"/>
      <c r="U11" s="10"/>
      <c r="V11" s="10"/>
    </row>
    <row r="12" spans="1:22" x14ac:dyDescent="0.25">
      <c r="A12" s="10"/>
      <c r="B12" s="10"/>
      <c r="C12" s="10"/>
      <c r="E12" s="10"/>
      <c r="F12" s="10"/>
      <c r="G12" s="10"/>
      <c r="H12" s="10"/>
      <c r="I12" s="10"/>
      <c r="J12" s="10"/>
      <c r="K12" s="10"/>
      <c r="M12" s="10"/>
      <c r="N12" s="10"/>
      <c r="O12" s="51"/>
      <c r="P12" s="10"/>
      <c r="R12" s="10"/>
      <c r="S12" s="10"/>
      <c r="T12" s="10"/>
      <c r="U12" s="10"/>
      <c r="V12" s="10"/>
    </row>
    <row r="13" spans="1:22" x14ac:dyDescent="0.25">
      <c r="A13" s="10"/>
      <c r="B13" s="10"/>
      <c r="C13" s="10"/>
      <c r="E13" s="10"/>
      <c r="F13" s="10"/>
      <c r="G13" s="10"/>
      <c r="H13" s="10"/>
      <c r="I13" s="10"/>
      <c r="J13" s="10"/>
      <c r="K13" s="10"/>
      <c r="M13" s="10"/>
      <c r="N13" s="10"/>
      <c r="O13" s="51"/>
      <c r="P13" s="10"/>
      <c r="R13" s="10"/>
      <c r="S13" s="10"/>
      <c r="T13" s="10"/>
      <c r="U13" s="10"/>
      <c r="V13" s="10"/>
    </row>
    <row r="14" spans="1:22" x14ac:dyDescent="0.25">
      <c r="A14" s="10"/>
      <c r="B14" s="10"/>
      <c r="C14" s="10"/>
      <c r="E14" s="10"/>
      <c r="F14" s="10"/>
      <c r="G14" s="10"/>
      <c r="H14" s="10"/>
      <c r="I14" s="10"/>
      <c r="J14" s="10"/>
      <c r="K14" s="10"/>
      <c r="M14" s="10"/>
      <c r="N14" s="10"/>
      <c r="O14" s="51"/>
      <c r="P14" s="10"/>
      <c r="R14" s="10"/>
      <c r="S14" s="10"/>
      <c r="T14" s="10"/>
      <c r="U14" s="10"/>
      <c r="V14" s="10"/>
    </row>
    <row r="15" spans="1:22" x14ac:dyDescent="0.25">
      <c r="A15" s="10"/>
      <c r="B15" s="10"/>
      <c r="C15" s="10"/>
      <c r="E15" s="10"/>
      <c r="F15" s="10"/>
      <c r="G15" s="10"/>
      <c r="H15" s="10"/>
      <c r="I15" s="10"/>
      <c r="J15" s="10"/>
      <c r="K15" s="10"/>
      <c r="M15" s="10"/>
      <c r="N15" s="10"/>
      <c r="O15" s="51"/>
      <c r="P15" s="10"/>
      <c r="R15" s="10"/>
      <c r="S15" s="10"/>
      <c r="T15" s="10"/>
      <c r="U15" s="10"/>
      <c r="V15" s="10"/>
    </row>
    <row r="16" spans="1:22" x14ac:dyDescent="0.25">
      <c r="A16" s="10"/>
      <c r="B16" s="10"/>
      <c r="C16" s="10"/>
      <c r="E16" s="10"/>
      <c r="F16" s="10"/>
      <c r="G16" s="10"/>
      <c r="H16" s="10"/>
      <c r="I16" s="10"/>
      <c r="J16" s="10"/>
      <c r="K16" s="10"/>
      <c r="M16" s="10"/>
      <c r="N16" s="10"/>
      <c r="O16" s="51"/>
      <c r="P16" s="10"/>
      <c r="R16" s="10"/>
      <c r="S16" s="10"/>
      <c r="T16" s="10"/>
      <c r="U16" s="10"/>
      <c r="V16" s="10"/>
    </row>
    <row r="17" spans="1:22" x14ac:dyDescent="0.25">
      <c r="A17" s="10"/>
      <c r="B17" s="10"/>
      <c r="C17" s="10"/>
      <c r="E17" s="10"/>
      <c r="F17" s="10"/>
      <c r="G17" s="10"/>
      <c r="H17" s="10"/>
      <c r="I17" s="10"/>
      <c r="J17" s="10"/>
      <c r="K17" s="10"/>
      <c r="M17" s="10"/>
      <c r="N17" s="10"/>
      <c r="O17" s="51"/>
      <c r="P17" s="10"/>
      <c r="R17" s="10"/>
      <c r="S17" s="10"/>
      <c r="T17" s="10"/>
      <c r="U17" s="10"/>
      <c r="V17" s="10"/>
    </row>
    <row r="18" spans="1:22" x14ac:dyDescent="0.25">
      <c r="A18" s="10"/>
      <c r="B18" s="10"/>
      <c r="C18" s="10"/>
      <c r="E18" s="10"/>
      <c r="F18" s="10"/>
      <c r="G18" s="10"/>
      <c r="H18" s="10"/>
      <c r="I18" s="10"/>
      <c r="J18" s="10"/>
      <c r="K18" s="10"/>
      <c r="M18" s="10"/>
      <c r="N18" s="10"/>
      <c r="O18" s="51"/>
      <c r="P18" s="10"/>
      <c r="R18" s="10"/>
      <c r="S18" s="10"/>
      <c r="T18" s="10"/>
      <c r="U18" s="10"/>
      <c r="V18" s="10"/>
    </row>
    <row r="19" spans="1:22" x14ac:dyDescent="0.25">
      <c r="A19" s="10"/>
      <c r="B19" s="10"/>
      <c r="C19" s="10"/>
      <c r="E19" s="10"/>
      <c r="F19" s="10"/>
      <c r="G19" s="10"/>
      <c r="H19" s="10"/>
      <c r="I19" s="10"/>
      <c r="J19" s="10"/>
      <c r="K19" s="10"/>
      <c r="M19" s="10"/>
      <c r="N19" s="10"/>
      <c r="O19" s="51"/>
      <c r="P19" s="10"/>
      <c r="R19" s="10"/>
      <c r="S19" s="10"/>
      <c r="T19" s="10"/>
      <c r="U19" s="10"/>
      <c r="V19" s="10"/>
    </row>
    <row r="20" spans="1:22" x14ac:dyDescent="0.25">
      <c r="E20" s="10"/>
      <c r="F20" s="10"/>
      <c r="H20" s="10"/>
      <c r="I20" s="10"/>
      <c r="J20" s="10"/>
    </row>
  </sheetData>
  <dataValidations count="5">
    <dataValidation type="list" allowBlank="1" showInputMessage="1" showErrorMessage="1" sqref="H2:H20" xr:uid="{00000000-0002-0000-1900-000000000000}">
      <formula1>israel_abroad</formula1>
      <formula2>0</formula2>
    </dataValidation>
    <dataValidation type="list" allowBlank="1" showInputMessage="1" showErrorMessage="1" sqref="J2:J20" xr:uid="{00000000-0002-0000-1900-000001000000}">
      <formula1>Holding_interest</formula1>
      <formula2>0</formula2>
    </dataValidation>
    <dataValidation type="list" allowBlank="1" showInputMessage="1" showErrorMessage="1" sqref="I2:I20" xr:uid="{00000000-0002-0000-1900-000002000000}">
      <formula1>Country_list</formula1>
      <formula2>0</formula2>
    </dataValidation>
    <dataValidation type="list" allowBlank="1" showInputMessage="1" showErrorMessage="1" sqref="E2:E20" xr:uid="{00000000-0002-0000-1900-000003000000}">
      <formula1>Issuer_Number_Banks</formula1>
      <formula2>0</formula2>
    </dataValidation>
    <dataValidation type="list" allowBlank="1" showInputMessage="1" showErrorMessage="1" sqref="L2:L20" xr:uid="{00000000-0002-0000-1900-000004000000}">
      <formula1>Rating_Agency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61"/>
  <sheetViews>
    <sheetView rightToLeft="1" topLeftCell="E1" zoomScale="70" zoomScaleNormal="70" workbookViewId="0">
      <selection activeCell="M17" sqref="M17"/>
    </sheetView>
  </sheetViews>
  <sheetFormatPr defaultColWidth="9" defaultRowHeight="13.8" x14ac:dyDescent="0.25"/>
  <cols>
    <col min="1" max="24" width="11.59765625" customWidth="1"/>
  </cols>
  <sheetData>
    <row r="1" spans="1:24" ht="66.75" customHeight="1" x14ac:dyDescent="0.25">
      <c r="A1" s="36" t="s">
        <v>50</v>
      </c>
      <c r="B1" s="36" t="s">
        <v>51</v>
      </c>
      <c r="C1" s="36" t="s">
        <v>2290</v>
      </c>
      <c r="D1" s="36" t="s">
        <v>55</v>
      </c>
      <c r="E1" s="36" t="s">
        <v>2291</v>
      </c>
      <c r="F1" s="36" t="s">
        <v>57</v>
      </c>
      <c r="G1" s="60" t="s">
        <v>1402</v>
      </c>
      <c r="H1" s="36" t="s">
        <v>2292</v>
      </c>
      <c r="I1" s="36" t="s">
        <v>2293</v>
      </c>
      <c r="J1" s="36" t="s">
        <v>2294</v>
      </c>
      <c r="K1" s="73" t="s">
        <v>2295</v>
      </c>
      <c r="L1" s="36" t="s">
        <v>2296</v>
      </c>
      <c r="M1" s="36" t="s">
        <v>1408</v>
      </c>
      <c r="N1" s="36" t="s">
        <v>1410</v>
      </c>
      <c r="O1" s="36" t="s">
        <v>1409</v>
      </c>
      <c r="P1" s="60" t="s">
        <v>1411</v>
      </c>
      <c r="Q1" s="36" t="s">
        <v>60</v>
      </c>
      <c r="R1" s="36" t="s">
        <v>2163</v>
      </c>
      <c r="S1" s="36" t="s">
        <v>64</v>
      </c>
      <c r="T1" s="36" t="s">
        <v>103</v>
      </c>
      <c r="U1" s="36" t="s">
        <v>206</v>
      </c>
      <c r="V1" s="36" t="s">
        <v>18</v>
      </c>
      <c r="W1" s="39" t="s">
        <v>65</v>
      </c>
      <c r="X1" s="39" t="s">
        <v>66</v>
      </c>
    </row>
    <row r="2" spans="1:24" x14ac:dyDescent="0.25">
      <c r="A2" s="10">
        <v>424</v>
      </c>
      <c r="B2" s="10">
        <v>7228</v>
      </c>
      <c r="C2" s="74" t="s">
        <v>2297</v>
      </c>
      <c r="D2" s="10" t="s">
        <v>2298</v>
      </c>
      <c r="E2" s="10" t="s">
        <v>71</v>
      </c>
      <c r="F2" s="10" t="s">
        <v>72</v>
      </c>
      <c r="G2" s="61">
        <v>30317</v>
      </c>
      <c r="H2" s="10" t="s">
        <v>2299</v>
      </c>
      <c r="I2" s="10" t="s">
        <v>2300</v>
      </c>
      <c r="J2" s="74" t="s">
        <v>2297</v>
      </c>
      <c r="K2" s="35">
        <v>0</v>
      </c>
      <c r="L2" s="10" t="s">
        <v>2301</v>
      </c>
      <c r="M2" s="10" t="s">
        <v>1574</v>
      </c>
      <c r="N2" s="10" t="s">
        <v>2302</v>
      </c>
      <c r="O2" s="10" t="s">
        <v>1671</v>
      </c>
      <c r="P2" s="75">
        <v>45505</v>
      </c>
      <c r="Q2" s="10" t="s">
        <v>81</v>
      </c>
      <c r="R2" s="76">
        <v>2375788</v>
      </c>
      <c r="S2" s="77">
        <v>2375.788</v>
      </c>
      <c r="T2" s="10"/>
      <c r="U2" s="10"/>
      <c r="V2" s="10" t="s">
        <v>16</v>
      </c>
      <c r="W2" s="51">
        <v>6.1743533442052299E-3</v>
      </c>
      <c r="X2" s="51">
        <v>9.7150946991034703E-4</v>
      </c>
    </row>
    <row r="3" spans="1:24" x14ac:dyDescent="0.25">
      <c r="A3" s="10">
        <v>424</v>
      </c>
      <c r="B3" s="10">
        <v>7228</v>
      </c>
      <c r="C3" s="74" t="s">
        <v>2303</v>
      </c>
      <c r="D3" s="10" t="s">
        <v>2298</v>
      </c>
      <c r="E3" s="10" t="s">
        <v>71</v>
      </c>
      <c r="F3" s="10" t="s">
        <v>72</v>
      </c>
      <c r="G3" s="61">
        <v>30317</v>
      </c>
      <c r="H3" s="10" t="s">
        <v>2304</v>
      </c>
      <c r="I3" s="10" t="s">
        <v>2300</v>
      </c>
      <c r="J3" s="74" t="s">
        <v>2303</v>
      </c>
      <c r="K3" s="35">
        <v>0</v>
      </c>
      <c r="L3" s="10" t="s">
        <v>2301</v>
      </c>
      <c r="M3" s="10" t="s">
        <v>1574</v>
      </c>
      <c r="N3" s="10" t="s">
        <v>2302</v>
      </c>
      <c r="O3" s="10" t="s">
        <v>1671</v>
      </c>
      <c r="P3" s="75">
        <v>45717</v>
      </c>
      <c r="Q3" s="10" t="s">
        <v>81</v>
      </c>
      <c r="R3" s="76">
        <v>2179230</v>
      </c>
      <c r="S3" s="77">
        <v>2179.23</v>
      </c>
      <c r="V3" s="10" t="s">
        <v>16</v>
      </c>
      <c r="W3" s="51">
        <v>5.6635255495407696E-3</v>
      </c>
      <c r="X3" s="51">
        <v>8.9113278714798004E-4</v>
      </c>
    </row>
    <row r="4" spans="1:24" x14ac:dyDescent="0.25">
      <c r="A4" s="10">
        <v>424</v>
      </c>
      <c r="B4" s="10">
        <v>7228</v>
      </c>
      <c r="C4" s="74" t="s">
        <v>2305</v>
      </c>
      <c r="D4" s="10" t="s">
        <v>2298</v>
      </c>
      <c r="E4" s="10" t="s">
        <v>71</v>
      </c>
      <c r="F4" s="10" t="s">
        <v>72</v>
      </c>
      <c r="G4" s="61">
        <v>30317</v>
      </c>
      <c r="H4" s="10" t="s">
        <v>2299</v>
      </c>
      <c r="I4" s="10" t="s">
        <v>2300</v>
      </c>
      <c r="J4" s="74" t="s">
        <v>2305</v>
      </c>
      <c r="K4" s="35">
        <v>4.2535318823978499E-2</v>
      </c>
      <c r="L4" s="10" t="s">
        <v>2301</v>
      </c>
      <c r="M4" s="10" t="s">
        <v>1574</v>
      </c>
      <c r="N4" s="10" t="s">
        <v>2302</v>
      </c>
      <c r="O4" s="10" t="s">
        <v>1671</v>
      </c>
      <c r="P4" s="75">
        <v>45689</v>
      </c>
      <c r="Q4" s="10" t="s">
        <v>81</v>
      </c>
      <c r="R4" s="76">
        <v>29167498</v>
      </c>
      <c r="S4" s="77">
        <v>29167.498</v>
      </c>
      <c r="V4" s="10" t="s">
        <v>16</v>
      </c>
      <c r="W4" s="51">
        <v>7.5802402747382897E-2</v>
      </c>
      <c r="X4" s="51">
        <v>1.1927200794258999E-2</v>
      </c>
    </row>
    <row r="5" spans="1:24" x14ac:dyDescent="0.25">
      <c r="A5" s="10">
        <v>424</v>
      </c>
      <c r="B5" s="10">
        <v>7228</v>
      </c>
      <c r="C5" s="74" t="s">
        <v>2306</v>
      </c>
      <c r="D5" s="10" t="s">
        <v>2298</v>
      </c>
      <c r="E5" s="10" t="s">
        <v>71</v>
      </c>
      <c r="F5" s="10" t="s">
        <v>72</v>
      </c>
      <c r="G5" s="61">
        <v>30317</v>
      </c>
      <c r="H5" s="10" t="s">
        <v>2299</v>
      </c>
      <c r="I5" s="10" t="s">
        <v>2300</v>
      </c>
      <c r="J5" s="74" t="s">
        <v>2306</v>
      </c>
      <c r="K5" s="35">
        <v>0</v>
      </c>
      <c r="L5" s="10" t="s">
        <v>2301</v>
      </c>
      <c r="M5" s="10" t="s">
        <v>1574</v>
      </c>
      <c r="N5" s="10" t="s">
        <v>2302</v>
      </c>
      <c r="O5" s="10" t="s">
        <v>1671</v>
      </c>
      <c r="P5" s="75">
        <v>45717</v>
      </c>
      <c r="Q5" s="10" t="s">
        <v>81</v>
      </c>
      <c r="R5" s="76">
        <v>31962040</v>
      </c>
      <c r="S5" s="77">
        <v>31962.04</v>
      </c>
      <c r="V5" s="10" t="s">
        <v>16</v>
      </c>
      <c r="W5" s="51">
        <v>8.3065041393264594E-2</v>
      </c>
      <c r="X5" s="51">
        <v>1.3069947544837E-2</v>
      </c>
    </row>
    <row r="6" spans="1:24" x14ac:dyDescent="0.25">
      <c r="A6" s="10">
        <v>424</v>
      </c>
      <c r="B6" s="10">
        <v>7228</v>
      </c>
      <c r="C6" s="74" t="s">
        <v>2307</v>
      </c>
      <c r="D6" s="10" t="s">
        <v>2298</v>
      </c>
      <c r="E6" s="10" t="s">
        <v>71</v>
      </c>
      <c r="F6" s="10" t="s">
        <v>72</v>
      </c>
      <c r="G6" s="61">
        <v>30317</v>
      </c>
      <c r="H6" s="10" t="s">
        <v>2299</v>
      </c>
      <c r="I6" s="10" t="s">
        <v>2300</v>
      </c>
      <c r="J6" s="74" t="s">
        <v>2307</v>
      </c>
      <c r="K6" s="35">
        <v>0</v>
      </c>
      <c r="L6" s="10" t="s">
        <v>2301</v>
      </c>
      <c r="M6" s="10" t="s">
        <v>1574</v>
      </c>
      <c r="N6" s="10" t="s">
        <v>2302</v>
      </c>
      <c r="O6" s="10" t="s">
        <v>1671</v>
      </c>
      <c r="P6" s="75">
        <v>45717</v>
      </c>
      <c r="Q6" s="10" t="s">
        <v>81</v>
      </c>
      <c r="R6" s="76">
        <v>28372720</v>
      </c>
      <c r="S6" s="77">
        <v>28372.720000000001</v>
      </c>
      <c r="T6" s="10"/>
      <c r="U6" s="10"/>
      <c r="V6" s="10" t="s">
        <v>16</v>
      </c>
      <c r="W6" s="51">
        <v>7.3736881664609205E-2</v>
      </c>
      <c r="X6" s="51">
        <v>1.16021994248286E-2</v>
      </c>
    </row>
    <row r="7" spans="1:24" x14ac:dyDescent="0.25">
      <c r="A7" s="10">
        <v>424</v>
      </c>
      <c r="B7" s="10">
        <v>7228</v>
      </c>
      <c r="C7" s="74" t="s">
        <v>2308</v>
      </c>
      <c r="D7" s="10" t="s">
        <v>2298</v>
      </c>
      <c r="E7" s="10" t="s">
        <v>71</v>
      </c>
      <c r="F7" s="10" t="s">
        <v>72</v>
      </c>
      <c r="G7" s="61">
        <v>30317</v>
      </c>
      <c r="H7" s="10" t="s">
        <v>2299</v>
      </c>
      <c r="I7" s="10" t="s">
        <v>2300</v>
      </c>
      <c r="J7" s="74" t="s">
        <v>2308</v>
      </c>
      <c r="K7" s="35">
        <v>0</v>
      </c>
      <c r="L7" s="10" t="s">
        <v>2301</v>
      </c>
      <c r="M7" s="10" t="s">
        <v>1574</v>
      </c>
      <c r="N7" s="10" t="s">
        <v>2302</v>
      </c>
      <c r="O7" s="10" t="s">
        <v>1671</v>
      </c>
      <c r="P7" s="75">
        <v>45717</v>
      </c>
      <c r="Q7" s="10" t="s">
        <v>81</v>
      </c>
      <c r="R7" s="76">
        <v>8759650</v>
      </c>
      <c r="S7" s="77">
        <v>8759.65</v>
      </c>
      <c r="T7" s="10"/>
      <c r="U7" s="10"/>
      <c r="V7" s="10" t="s">
        <v>16</v>
      </c>
      <c r="W7" s="51">
        <v>2.2765151718742299E-2</v>
      </c>
      <c r="X7" s="51">
        <v>3.5820043404967798E-3</v>
      </c>
    </row>
    <row r="8" spans="1:24" x14ac:dyDescent="0.25">
      <c r="A8" s="10">
        <v>424</v>
      </c>
      <c r="B8" s="10">
        <v>7228</v>
      </c>
      <c r="C8" s="78" t="s">
        <v>2309</v>
      </c>
      <c r="D8" s="10" t="s">
        <v>2298</v>
      </c>
      <c r="E8" s="10" t="s">
        <v>71</v>
      </c>
      <c r="F8" s="10" t="s">
        <v>72</v>
      </c>
      <c r="G8" s="61">
        <v>30317</v>
      </c>
      <c r="H8" s="10" t="s">
        <v>2299</v>
      </c>
      <c r="I8" s="10" t="s">
        <v>2300</v>
      </c>
      <c r="J8" s="78" t="s">
        <v>2309</v>
      </c>
      <c r="K8" s="35">
        <v>0</v>
      </c>
      <c r="L8" s="10" t="s">
        <v>2301</v>
      </c>
      <c r="M8" s="10" t="s">
        <v>1574</v>
      </c>
      <c r="N8" s="10" t="s">
        <v>2302</v>
      </c>
      <c r="O8" s="10" t="s">
        <v>1671</v>
      </c>
      <c r="P8" s="75">
        <v>45597</v>
      </c>
      <c r="Q8" s="10" t="s">
        <v>81</v>
      </c>
      <c r="R8" s="76">
        <v>12212234</v>
      </c>
      <c r="S8" s="77">
        <v>12212.234</v>
      </c>
      <c r="T8" s="10"/>
      <c r="U8" s="10"/>
      <c r="V8" s="10" t="s">
        <v>16</v>
      </c>
      <c r="W8" s="51">
        <v>3.1737952981544103E-2</v>
      </c>
      <c r="X8" s="51">
        <v>4.9938382464096596E-3</v>
      </c>
    </row>
    <row r="9" spans="1:24" x14ac:dyDescent="0.25">
      <c r="A9" s="10">
        <v>424</v>
      </c>
      <c r="B9" s="10">
        <v>7228</v>
      </c>
      <c r="C9" s="78" t="s">
        <v>2310</v>
      </c>
      <c r="D9" s="10" t="s">
        <v>2298</v>
      </c>
      <c r="E9" s="10" t="s">
        <v>71</v>
      </c>
      <c r="F9" s="10" t="s">
        <v>72</v>
      </c>
      <c r="G9" s="61">
        <v>30317</v>
      </c>
      <c r="H9" s="10" t="s">
        <v>2299</v>
      </c>
      <c r="I9" s="10" t="s">
        <v>2300</v>
      </c>
      <c r="J9" s="78" t="s">
        <v>2310</v>
      </c>
      <c r="K9" s="35">
        <v>0</v>
      </c>
      <c r="L9" s="10" t="s">
        <v>2301</v>
      </c>
      <c r="M9" s="10" t="s">
        <v>1574</v>
      </c>
      <c r="N9" s="10" t="s">
        <v>2302</v>
      </c>
      <c r="O9" s="10" t="s">
        <v>1671</v>
      </c>
      <c r="P9" s="75">
        <v>45597</v>
      </c>
      <c r="Q9" s="10" t="s">
        <v>81</v>
      </c>
      <c r="R9" s="76">
        <v>40593500</v>
      </c>
      <c r="S9" s="77">
        <v>40593.5</v>
      </c>
      <c r="T9" s="10"/>
      <c r="U9" s="10"/>
      <c r="V9" s="10" t="s">
        <v>16</v>
      </c>
      <c r="W9" s="51">
        <v>0.105497044550269</v>
      </c>
      <c r="X9" s="51">
        <v>1.6599532309619199E-2</v>
      </c>
    </row>
    <row r="10" spans="1:24" x14ac:dyDescent="0.25">
      <c r="A10" s="10">
        <v>424</v>
      </c>
      <c r="B10" s="10">
        <v>7228</v>
      </c>
      <c r="C10" s="74" t="s">
        <v>2311</v>
      </c>
      <c r="D10" s="10" t="s">
        <v>2298</v>
      </c>
      <c r="E10" s="10" t="s">
        <v>71</v>
      </c>
      <c r="F10" s="10" t="s">
        <v>72</v>
      </c>
      <c r="G10" s="61">
        <v>30317</v>
      </c>
      <c r="H10" s="10" t="s">
        <v>2299</v>
      </c>
      <c r="I10" s="10" t="s">
        <v>2300</v>
      </c>
      <c r="J10" s="74" t="s">
        <v>2311</v>
      </c>
      <c r="K10" s="35">
        <v>0</v>
      </c>
      <c r="L10" s="10" t="s">
        <v>2301</v>
      </c>
      <c r="M10" s="10" t="s">
        <v>1574</v>
      </c>
      <c r="N10" s="10" t="s">
        <v>2302</v>
      </c>
      <c r="O10" s="10" t="s">
        <v>1671</v>
      </c>
      <c r="P10" s="75">
        <v>45717</v>
      </c>
      <c r="Q10" s="10" t="s">
        <v>81</v>
      </c>
      <c r="R10" s="76">
        <v>10468850</v>
      </c>
      <c r="S10" s="77">
        <v>10468.85</v>
      </c>
      <c r="T10" s="10"/>
      <c r="U10" s="10"/>
      <c r="V10" s="10" t="s">
        <v>16</v>
      </c>
      <c r="W10" s="51">
        <v>2.72071325419115E-2</v>
      </c>
      <c r="X10" s="51">
        <v>4.2809320166912797E-3</v>
      </c>
    </row>
    <row r="11" spans="1:24" x14ac:dyDescent="0.25">
      <c r="A11" s="10">
        <v>424</v>
      </c>
      <c r="B11" s="10">
        <v>7228</v>
      </c>
      <c r="C11" s="74" t="s">
        <v>2312</v>
      </c>
      <c r="D11" s="10" t="s">
        <v>2298</v>
      </c>
      <c r="E11" s="10" t="s">
        <v>71</v>
      </c>
      <c r="F11" s="10" t="s">
        <v>72</v>
      </c>
      <c r="G11" s="61">
        <v>30317</v>
      </c>
      <c r="H11" s="10" t="s">
        <v>2299</v>
      </c>
      <c r="I11" s="10" t="s">
        <v>2300</v>
      </c>
      <c r="J11" s="74" t="s">
        <v>2312</v>
      </c>
      <c r="K11" s="35">
        <v>0</v>
      </c>
      <c r="L11" s="10" t="s">
        <v>2301</v>
      </c>
      <c r="M11" s="10" t="s">
        <v>1574</v>
      </c>
      <c r="N11" s="10" t="s">
        <v>2302</v>
      </c>
      <c r="O11" s="10" t="s">
        <v>1671</v>
      </c>
      <c r="P11" s="75">
        <v>45717</v>
      </c>
      <c r="Q11" s="10" t="s">
        <v>81</v>
      </c>
      <c r="R11" s="76">
        <v>11146554.6368</v>
      </c>
      <c r="S11" s="77">
        <v>11146.5546368</v>
      </c>
      <c r="T11" s="10"/>
      <c r="U11" s="10"/>
      <c r="V11" s="10" t="s">
        <v>16</v>
      </c>
      <c r="W11" s="51">
        <v>2.8968395706221398E-2</v>
      </c>
      <c r="X11" s="51">
        <v>4.5580596360131004E-3</v>
      </c>
    </row>
    <row r="12" spans="1:24" x14ac:dyDescent="0.25">
      <c r="A12" s="10">
        <v>424</v>
      </c>
      <c r="B12" s="10">
        <v>7228</v>
      </c>
      <c r="C12" s="78" t="s">
        <v>2313</v>
      </c>
      <c r="D12" s="10" t="s">
        <v>2298</v>
      </c>
      <c r="E12" s="10" t="s">
        <v>71</v>
      </c>
      <c r="F12" s="10" t="s">
        <v>72</v>
      </c>
      <c r="G12" s="61">
        <v>30317</v>
      </c>
      <c r="H12" s="10" t="s">
        <v>2299</v>
      </c>
      <c r="I12" s="10" t="s">
        <v>2300</v>
      </c>
      <c r="J12" s="78" t="s">
        <v>2313</v>
      </c>
      <c r="K12" s="35">
        <v>0</v>
      </c>
      <c r="L12" s="10" t="s">
        <v>2301</v>
      </c>
      <c r="M12" s="10" t="s">
        <v>1574</v>
      </c>
      <c r="N12" s="10" t="s">
        <v>2302</v>
      </c>
      <c r="O12" s="10" t="s">
        <v>1671</v>
      </c>
      <c r="P12" s="75">
        <v>45717</v>
      </c>
      <c r="Q12" s="10" t="s">
        <v>81</v>
      </c>
      <c r="R12" s="76">
        <v>29270050</v>
      </c>
      <c r="S12" s="77">
        <v>29270.05</v>
      </c>
      <c r="T12" s="10"/>
      <c r="U12" s="10"/>
      <c r="V12" s="10" t="s">
        <v>16</v>
      </c>
      <c r="W12" s="51">
        <v>7.6068921596773101E-2</v>
      </c>
      <c r="X12" s="51">
        <v>1.1969136454830699E-2</v>
      </c>
    </row>
    <row r="13" spans="1:24" x14ac:dyDescent="0.25">
      <c r="A13" s="10">
        <v>424</v>
      </c>
      <c r="B13" s="10">
        <v>7228</v>
      </c>
      <c r="C13" s="74" t="s">
        <v>2314</v>
      </c>
      <c r="D13" s="10" t="s">
        <v>2298</v>
      </c>
      <c r="E13" s="10" t="s">
        <v>71</v>
      </c>
      <c r="F13" s="10" t="s">
        <v>72</v>
      </c>
      <c r="G13" s="61">
        <v>30317</v>
      </c>
      <c r="H13" s="10" t="s">
        <v>2299</v>
      </c>
      <c r="I13" s="10" t="s">
        <v>2300</v>
      </c>
      <c r="J13" s="74" t="s">
        <v>2314</v>
      </c>
      <c r="K13" s="35">
        <v>0</v>
      </c>
      <c r="L13" s="10" t="s">
        <v>2301</v>
      </c>
      <c r="M13" s="10" t="s">
        <v>1574</v>
      </c>
      <c r="N13" s="10" t="s">
        <v>2302</v>
      </c>
      <c r="O13" s="10" t="s">
        <v>1671</v>
      </c>
      <c r="P13" s="75">
        <v>45717</v>
      </c>
      <c r="Q13" s="10" t="s">
        <v>81</v>
      </c>
      <c r="R13" s="76">
        <v>21023160</v>
      </c>
      <c r="S13" s="77">
        <v>21023.16</v>
      </c>
      <c r="T13" s="10"/>
      <c r="U13" s="10"/>
      <c r="V13" s="10" t="s">
        <v>16</v>
      </c>
      <c r="W13" s="51">
        <v>5.4636364124981497E-2</v>
      </c>
      <c r="X13" s="51">
        <v>8.5968104171922806E-3</v>
      </c>
    </row>
    <row r="14" spans="1:24" x14ac:dyDescent="0.25">
      <c r="A14" s="10">
        <v>424</v>
      </c>
      <c r="B14" s="10">
        <v>7228</v>
      </c>
      <c r="C14" s="78" t="s">
        <v>2315</v>
      </c>
      <c r="D14" s="10" t="s">
        <v>2298</v>
      </c>
      <c r="E14" s="10" t="s">
        <v>71</v>
      </c>
      <c r="F14" s="10" t="s">
        <v>72</v>
      </c>
      <c r="G14" s="61">
        <v>30317</v>
      </c>
      <c r="H14" s="10" t="s">
        <v>2299</v>
      </c>
      <c r="I14" s="10" t="s">
        <v>2300</v>
      </c>
      <c r="J14" s="78" t="s">
        <v>2315</v>
      </c>
      <c r="K14" s="35">
        <v>6.5013470138434795E-2</v>
      </c>
      <c r="L14" s="10" t="s">
        <v>2301</v>
      </c>
      <c r="M14" s="10" t="s">
        <v>1574</v>
      </c>
      <c r="N14" s="10" t="s">
        <v>2302</v>
      </c>
      <c r="O14" s="10" t="s">
        <v>1671</v>
      </c>
      <c r="P14" s="75">
        <v>45689</v>
      </c>
      <c r="Q14" s="10" t="s">
        <v>81</v>
      </c>
      <c r="R14" s="76">
        <v>60878774.431199998</v>
      </c>
      <c r="S14" s="77">
        <v>60878.7744312</v>
      </c>
      <c r="T14" s="10"/>
      <c r="U14" s="10"/>
      <c r="V14" s="10" t="s">
        <v>16</v>
      </c>
      <c r="W14" s="51">
        <v>0.15821574336615701</v>
      </c>
      <c r="X14" s="51">
        <v>2.4894605864010901E-2</v>
      </c>
    </row>
    <row r="15" spans="1:24" x14ac:dyDescent="0.25">
      <c r="A15" s="10">
        <v>424</v>
      </c>
      <c r="B15" s="10">
        <v>7228</v>
      </c>
      <c r="C15" s="74" t="s">
        <v>2316</v>
      </c>
      <c r="D15" s="10" t="s">
        <v>2298</v>
      </c>
      <c r="E15" s="10" t="s">
        <v>71</v>
      </c>
      <c r="F15" s="10" t="s">
        <v>72</v>
      </c>
      <c r="G15" s="61">
        <v>30317</v>
      </c>
      <c r="H15" s="10" t="s">
        <v>2299</v>
      </c>
      <c r="I15" s="10" t="s">
        <v>2300</v>
      </c>
      <c r="J15" s="74" t="s">
        <v>2316</v>
      </c>
      <c r="K15" s="35">
        <v>0</v>
      </c>
      <c r="L15" s="10" t="s">
        <v>2301</v>
      </c>
      <c r="M15" s="10" t="s">
        <v>1574</v>
      </c>
      <c r="N15" s="10" t="s">
        <v>2302</v>
      </c>
      <c r="O15" s="10" t="s">
        <v>1671</v>
      </c>
      <c r="P15" s="75">
        <v>45717</v>
      </c>
      <c r="Q15" s="10" t="s">
        <v>81</v>
      </c>
      <c r="R15" s="76">
        <v>30765600</v>
      </c>
      <c r="S15" s="77">
        <v>30765.599999999999</v>
      </c>
      <c r="T15" s="10"/>
      <c r="U15" s="10"/>
      <c r="V15" s="10" t="s">
        <v>16</v>
      </c>
      <c r="W15" s="51">
        <v>7.9955654817046098E-2</v>
      </c>
      <c r="X15" s="51">
        <v>1.25806981715009E-2</v>
      </c>
    </row>
    <row r="16" spans="1:24" x14ac:dyDescent="0.25">
      <c r="A16" s="10">
        <v>424</v>
      </c>
      <c r="B16" s="10">
        <v>7228</v>
      </c>
      <c r="C16" s="78" t="s">
        <v>2317</v>
      </c>
      <c r="D16" s="10" t="s">
        <v>2298</v>
      </c>
      <c r="E16" s="10" t="s">
        <v>71</v>
      </c>
      <c r="F16" s="10" t="s">
        <v>72</v>
      </c>
      <c r="G16" s="61">
        <v>30317</v>
      </c>
      <c r="H16" s="10" t="s">
        <v>2299</v>
      </c>
      <c r="I16" s="10" t="s">
        <v>2300</v>
      </c>
      <c r="J16" s="78" t="s">
        <v>2317</v>
      </c>
      <c r="K16" s="35">
        <v>0</v>
      </c>
      <c r="L16" s="10" t="s">
        <v>2301</v>
      </c>
      <c r="M16" s="10" t="s">
        <v>1574</v>
      </c>
      <c r="N16" s="10" t="s">
        <v>2302</v>
      </c>
      <c r="O16" s="10" t="s">
        <v>1671</v>
      </c>
      <c r="P16" s="75">
        <v>45717</v>
      </c>
      <c r="Q16" s="10" t="s">
        <v>81</v>
      </c>
      <c r="R16" s="76">
        <v>65607642</v>
      </c>
      <c r="S16" s="77">
        <v>65607.642000000007</v>
      </c>
      <c r="T16" s="10"/>
      <c r="U16" s="10"/>
      <c r="V16" s="10" t="s">
        <v>16</v>
      </c>
      <c r="W16" s="51">
        <v>0.17050543389735101</v>
      </c>
      <c r="X16" s="51">
        <v>2.6828338850725698E-2</v>
      </c>
    </row>
    <row r="17" spans="1:24" x14ac:dyDescent="0.25">
      <c r="A17" s="10">
        <v>424</v>
      </c>
      <c r="B17" s="10">
        <v>7229</v>
      </c>
      <c r="C17" s="74" t="s">
        <v>2297</v>
      </c>
      <c r="D17" s="10" t="s">
        <v>2298</v>
      </c>
      <c r="E17" s="10" t="s">
        <v>71</v>
      </c>
      <c r="F17" s="10" t="s">
        <v>72</v>
      </c>
      <c r="G17" s="61">
        <v>30317</v>
      </c>
      <c r="H17" s="10" t="s">
        <v>2299</v>
      </c>
      <c r="I17" s="10" t="s">
        <v>2300</v>
      </c>
      <c r="J17" s="74" t="s">
        <v>2297</v>
      </c>
      <c r="K17" s="35">
        <v>0</v>
      </c>
      <c r="L17" s="10" t="s">
        <v>2301</v>
      </c>
      <c r="M17" s="10" t="s">
        <v>1574</v>
      </c>
      <c r="N17" s="10" t="s">
        <v>2302</v>
      </c>
      <c r="O17" s="10" t="s">
        <v>1671</v>
      </c>
      <c r="P17" s="75">
        <v>45505</v>
      </c>
      <c r="Q17" s="10" t="s">
        <v>81</v>
      </c>
      <c r="R17" s="76">
        <v>155680</v>
      </c>
      <c r="S17" s="77">
        <v>155.68</v>
      </c>
      <c r="T17" s="10"/>
      <c r="U17" s="10"/>
      <c r="V17" s="10" t="s">
        <v>16</v>
      </c>
      <c r="W17" s="51">
        <v>6.1743533442052299E-3</v>
      </c>
      <c r="X17" s="51">
        <v>1.0384026218424E-3</v>
      </c>
    </row>
    <row r="18" spans="1:24" x14ac:dyDescent="0.25">
      <c r="A18" s="10">
        <v>424</v>
      </c>
      <c r="B18" s="10">
        <v>7229</v>
      </c>
      <c r="C18" s="74" t="s">
        <v>2303</v>
      </c>
      <c r="D18" s="10" t="s">
        <v>2298</v>
      </c>
      <c r="E18" s="10" t="s">
        <v>71</v>
      </c>
      <c r="F18" s="10" t="s">
        <v>72</v>
      </c>
      <c r="G18" s="61">
        <v>30317</v>
      </c>
      <c r="H18" s="10" t="s">
        <v>2304</v>
      </c>
      <c r="I18" s="10" t="s">
        <v>2300</v>
      </c>
      <c r="J18" s="74" t="s">
        <v>2303</v>
      </c>
      <c r="K18" s="35">
        <v>0</v>
      </c>
      <c r="L18" s="10" t="s">
        <v>2301</v>
      </c>
      <c r="M18" s="10" t="s">
        <v>1574</v>
      </c>
      <c r="N18" s="10" t="s">
        <v>2302</v>
      </c>
      <c r="O18" s="10" t="s">
        <v>1671</v>
      </c>
      <c r="P18" s="75">
        <v>45717</v>
      </c>
      <c r="Q18" s="10" t="s">
        <v>81</v>
      </c>
      <c r="R18" s="76">
        <v>142800</v>
      </c>
      <c r="S18" s="77">
        <v>142.80000000000001</v>
      </c>
      <c r="T18" s="10"/>
      <c r="U18" s="10"/>
      <c r="V18" s="10" t="s">
        <v>16</v>
      </c>
      <c r="W18" s="51">
        <v>5.6635255495407696E-3</v>
      </c>
      <c r="X18" s="51">
        <v>9.5249161356047096E-4</v>
      </c>
    </row>
    <row r="19" spans="1:24" x14ac:dyDescent="0.25">
      <c r="A19" s="10">
        <v>424</v>
      </c>
      <c r="B19" s="10">
        <v>7229</v>
      </c>
      <c r="C19" s="74" t="s">
        <v>2305</v>
      </c>
      <c r="D19" s="10" t="s">
        <v>2298</v>
      </c>
      <c r="E19" s="10" t="s">
        <v>71</v>
      </c>
      <c r="F19" s="10" t="s">
        <v>72</v>
      </c>
      <c r="G19" s="61">
        <v>30317</v>
      </c>
      <c r="H19" s="10" t="s">
        <v>2299</v>
      </c>
      <c r="I19" s="10" t="s">
        <v>2300</v>
      </c>
      <c r="J19" s="74" t="s">
        <v>2305</v>
      </c>
      <c r="K19" s="35">
        <v>4.2535318823978499E-2</v>
      </c>
      <c r="L19" s="10" t="s">
        <v>2301</v>
      </c>
      <c r="M19" s="10" t="s">
        <v>1574</v>
      </c>
      <c r="N19" s="10" t="s">
        <v>2302</v>
      </c>
      <c r="O19" s="10" t="s">
        <v>1671</v>
      </c>
      <c r="P19" s="75">
        <v>45689</v>
      </c>
      <c r="Q19" s="10" t="s">
        <v>81</v>
      </c>
      <c r="R19" s="76">
        <v>1911280</v>
      </c>
      <c r="S19" s="77">
        <v>1911.28</v>
      </c>
      <c r="T19" s="10"/>
      <c r="U19" s="10"/>
      <c r="V19" s="10" t="s">
        <v>16</v>
      </c>
      <c r="W19" s="51">
        <v>7.5802402747382897E-2</v>
      </c>
      <c r="X19" s="51">
        <v>1.27484465767917E-2</v>
      </c>
    </row>
    <row r="20" spans="1:24" x14ac:dyDescent="0.25">
      <c r="A20" s="10">
        <v>424</v>
      </c>
      <c r="B20" s="10">
        <v>7229</v>
      </c>
      <c r="C20" s="74" t="s">
        <v>2306</v>
      </c>
      <c r="D20" s="10" t="s">
        <v>2298</v>
      </c>
      <c r="E20" s="10" t="s">
        <v>71</v>
      </c>
      <c r="F20" s="10" t="s">
        <v>72</v>
      </c>
      <c r="G20" s="61">
        <v>30317</v>
      </c>
      <c r="H20" s="10" t="s">
        <v>2299</v>
      </c>
      <c r="I20" s="10" t="s">
        <v>2300</v>
      </c>
      <c r="J20" s="74" t="s">
        <v>2306</v>
      </c>
      <c r="K20" s="35">
        <v>0</v>
      </c>
      <c r="L20" s="10" t="s">
        <v>2301</v>
      </c>
      <c r="M20" s="10" t="s">
        <v>1574</v>
      </c>
      <c r="N20" s="10" t="s">
        <v>2302</v>
      </c>
      <c r="O20" s="10" t="s">
        <v>1671</v>
      </c>
      <c r="P20" s="75">
        <v>45717</v>
      </c>
      <c r="Q20" s="10" t="s">
        <v>81</v>
      </c>
      <c r="R20" s="76">
        <v>2094400</v>
      </c>
      <c r="S20" s="77">
        <v>2094.4</v>
      </c>
      <c r="V20" s="10" t="s">
        <v>16</v>
      </c>
      <c r="W20" s="51">
        <v>8.3065041393264594E-2</v>
      </c>
      <c r="X20" s="51">
        <v>1.3969876998886899E-2</v>
      </c>
    </row>
    <row r="21" spans="1:24" x14ac:dyDescent="0.25">
      <c r="A21" s="10">
        <v>424</v>
      </c>
      <c r="B21" s="10">
        <v>7229</v>
      </c>
      <c r="C21" s="74" t="s">
        <v>2307</v>
      </c>
      <c r="D21" s="10" t="s">
        <v>2298</v>
      </c>
      <c r="E21" s="10" t="s">
        <v>71</v>
      </c>
      <c r="F21" s="10" t="s">
        <v>72</v>
      </c>
      <c r="G21" s="61">
        <v>30317</v>
      </c>
      <c r="H21" s="10" t="s">
        <v>2299</v>
      </c>
      <c r="I21" s="10" t="s">
        <v>2300</v>
      </c>
      <c r="J21" s="74" t="s">
        <v>2307</v>
      </c>
      <c r="K21" s="35">
        <v>0</v>
      </c>
      <c r="L21" s="10" t="s">
        <v>2301</v>
      </c>
      <c r="M21" s="10" t="s">
        <v>1574</v>
      </c>
      <c r="N21" s="10" t="s">
        <v>2302</v>
      </c>
      <c r="O21" s="10" t="s">
        <v>1671</v>
      </c>
      <c r="P21" s="75">
        <v>45717</v>
      </c>
      <c r="Q21" s="10" t="s">
        <v>81</v>
      </c>
      <c r="R21" s="76">
        <v>1859200</v>
      </c>
      <c r="S21" s="77">
        <v>1859.2</v>
      </c>
      <c r="V21" s="10" t="s">
        <v>16</v>
      </c>
      <c r="W21" s="51">
        <v>7.3736881664609205E-2</v>
      </c>
      <c r="X21" s="51">
        <v>1.2401067282434401E-2</v>
      </c>
    </row>
    <row r="22" spans="1:24" x14ac:dyDescent="0.25">
      <c r="A22" s="10">
        <v>424</v>
      </c>
      <c r="B22" s="10">
        <v>7229</v>
      </c>
      <c r="C22" s="74" t="s">
        <v>2308</v>
      </c>
      <c r="D22" s="10" t="s">
        <v>2298</v>
      </c>
      <c r="E22" s="10" t="s">
        <v>71</v>
      </c>
      <c r="F22" s="10" t="s">
        <v>72</v>
      </c>
      <c r="G22" s="61">
        <v>30317</v>
      </c>
      <c r="H22" s="10" t="s">
        <v>2299</v>
      </c>
      <c r="I22" s="10" t="s">
        <v>2300</v>
      </c>
      <c r="J22" s="74" t="s">
        <v>2308</v>
      </c>
      <c r="K22" s="35">
        <v>0</v>
      </c>
      <c r="L22" s="10" t="s">
        <v>2301</v>
      </c>
      <c r="M22" s="10" t="s">
        <v>1574</v>
      </c>
      <c r="N22" s="10" t="s">
        <v>2302</v>
      </c>
      <c r="O22" s="10" t="s">
        <v>1671</v>
      </c>
      <c r="P22" s="75">
        <v>45717</v>
      </c>
      <c r="Q22" s="10" t="s">
        <v>81</v>
      </c>
      <c r="R22" s="76">
        <v>574000</v>
      </c>
      <c r="S22" s="77">
        <v>574</v>
      </c>
      <c r="V22" s="10" t="s">
        <v>16</v>
      </c>
      <c r="W22" s="51">
        <v>2.2765151718742299E-2</v>
      </c>
      <c r="X22" s="51">
        <v>3.8286427603901299E-3</v>
      </c>
    </row>
    <row r="23" spans="1:24" x14ac:dyDescent="0.25">
      <c r="A23" s="10">
        <v>424</v>
      </c>
      <c r="B23" s="10">
        <v>7229</v>
      </c>
      <c r="C23" s="78" t="s">
        <v>2309</v>
      </c>
      <c r="D23" s="10" t="s">
        <v>2298</v>
      </c>
      <c r="E23" s="10" t="s">
        <v>71</v>
      </c>
      <c r="F23" s="10" t="s">
        <v>72</v>
      </c>
      <c r="G23" s="61">
        <v>30317</v>
      </c>
      <c r="H23" s="10" t="s">
        <v>2299</v>
      </c>
      <c r="I23" s="10" t="s">
        <v>2300</v>
      </c>
      <c r="J23" s="78" t="s">
        <v>2309</v>
      </c>
      <c r="K23" s="35">
        <v>0</v>
      </c>
      <c r="L23" s="10" t="s">
        <v>2301</v>
      </c>
      <c r="M23" s="10" t="s">
        <v>1574</v>
      </c>
      <c r="N23" s="10" t="s">
        <v>2302</v>
      </c>
      <c r="O23" s="10" t="s">
        <v>1671</v>
      </c>
      <c r="P23" s="75">
        <v>45597</v>
      </c>
      <c r="Q23" s="10" t="s">
        <v>81</v>
      </c>
      <c r="R23" s="76">
        <v>800240</v>
      </c>
      <c r="S23" s="77">
        <v>800.24</v>
      </c>
      <c r="V23" s="10" t="s">
        <v>16</v>
      </c>
      <c r="W23" s="51">
        <v>3.1737952981544103E-2</v>
      </c>
      <c r="X23" s="51">
        <v>5.3376882971682901E-3</v>
      </c>
    </row>
    <row r="24" spans="1:24" x14ac:dyDescent="0.25">
      <c r="A24" s="10">
        <v>424</v>
      </c>
      <c r="B24" s="10">
        <v>7229</v>
      </c>
      <c r="C24" s="78" t="s">
        <v>2310</v>
      </c>
      <c r="D24" s="10" t="s">
        <v>2298</v>
      </c>
      <c r="E24" s="10" t="s">
        <v>71</v>
      </c>
      <c r="F24" s="10" t="s">
        <v>72</v>
      </c>
      <c r="G24" s="61">
        <v>30317</v>
      </c>
      <c r="H24" s="10" t="s">
        <v>2299</v>
      </c>
      <c r="I24" s="10" t="s">
        <v>2300</v>
      </c>
      <c r="J24" s="78" t="s">
        <v>2310</v>
      </c>
      <c r="K24" s="35">
        <v>0</v>
      </c>
      <c r="L24" s="10" t="s">
        <v>2301</v>
      </c>
      <c r="M24" s="10" t="s">
        <v>1574</v>
      </c>
      <c r="N24" s="10" t="s">
        <v>2302</v>
      </c>
      <c r="O24" s="10" t="s">
        <v>1671</v>
      </c>
      <c r="P24" s="75">
        <v>45597</v>
      </c>
      <c r="Q24" s="10" t="s">
        <v>81</v>
      </c>
      <c r="R24" s="76">
        <v>2660000</v>
      </c>
      <c r="S24" s="77">
        <v>2660</v>
      </c>
      <c r="V24" s="10" t="s">
        <v>16</v>
      </c>
      <c r="W24" s="51">
        <v>0.105497044550269</v>
      </c>
      <c r="X24" s="51">
        <v>1.7742490840832299E-2</v>
      </c>
    </row>
    <row r="25" spans="1:24" x14ac:dyDescent="0.25">
      <c r="A25" s="10">
        <v>424</v>
      </c>
      <c r="B25" s="10">
        <v>7229</v>
      </c>
      <c r="C25" s="74" t="s">
        <v>2311</v>
      </c>
      <c r="D25" s="10" t="s">
        <v>2298</v>
      </c>
      <c r="E25" s="10" t="s">
        <v>71</v>
      </c>
      <c r="F25" s="10" t="s">
        <v>72</v>
      </c>
      <c r="G25" s="61">
        <v>30317</v>
      </c>
      <c r="H25" s="10" t="s">
        <v>2299</v>
      </c>
      <c r="I25" s="10" t="s">
        <v>2300</v>
      </c>
      <c r="J25" s="74" t="s">
        <v>2311</v>
      </c>
      <c r="K25" s="35">
        <v>0</v>
      </c>
      <c r="L25" s="10" t="s">
        <v>2301</v>
      </c>
      <c r="M25" s="10" t="s">
        <v>1574</v>
      </c>
      <c r="N25" s="10" t="s">
        <v>2302</v>
      </c>
      <c r="O25" s="10" t="s">
        <v>1671</v>
      </c>
      <c r="P25" s="75">
        <v>45717</v>
      </c>
      <c r="Q25" s="10" t="s">
        <v>81</v>
      </c>
      <c r="R25" s="76">
        <v>686000</v>
      </c>
      <c r="S25" s="77">
        <v>686</v>
      </c>
      <c r="V25" s="10" t="s">
        <v>16</v>
      </c>
      <c r="W25" s="51">
        <v>2.72071325419115E-2</v>
      </c>
      <c r="X25" s="51">
        <v>4.5756950063199102E-3</v>
      </c>
    </row>
    <row r="26" spans="1:24" x14ac:dyDescent="0.25">
      <c r="A26" s="10">
        <v>424</v>
      </c>
      <c r="B26" s="10">
        <v>7229</v>
      </c>
      <c r="C26" s="74" t="s">
        <v>2312</v>
      </c>
      <c r="D26" s="10" t="s">
        <v>2298</v>
      </c>
      <c r="E26" s="10" t="s">
        <v>71</v>
      </c>
      <c r="F26" s="10" t="s">
        <v>72</v>
      </c>
      <c r="G26" s="61">
        <v>30317</v>
      </c>
      <c r="H26" s="10" t="s">
        <v>2299</v>
      </c>
      <c r="I26" s="10" t="s">
        <v>2300</v>
      </c>
      <c r="J26" s="74" t="s">
        <v>2312</v>
      </c>
      <c r="K26" s="35">
        <v>0</v>
      </c>
      <c r="L26" s="10" t="s">
        <v>2301</v>
      </c>
      <c r="M26" s="10" t="s">
        <v>1574</v>
      </c>
      <c r="N26" s="10" t="s">
        <v>2302</v>
      </c>
      <c r="O26" s="10" t="s">
        <v>1671</v>
      </c>
      <c r="P26" s="75">
        <v>45717</v>
      </c>
      <c r="Q26" s="10" t="s">
        <v>81</v>
      </c>
      <c r="R26" s="76">
        <v>730408.44799999997</v>
      </c>
      <c r="S26" s="77">
        <v>730.40844800000002</v>
      </c>
      <c r="V26" s="10" t="s">
        <v>16</v>
      </c>
      <c r="W26" s="51">
        <v>2.8968395706221398E-2</v>
      </c>
      <c r="X26" s="51">
        <v>4.8719042100400503E-3</v>
      </c>
    </row>
    <row r="27" spans="1:24" x14ac:dyDescent="0.25">
      <c r="A27" s="10">
        <v>424</v>
      </c>
      <c r="B27" s="10">
        <v>7229</v>
      </c>
      <c r="C27" s="78" t="s">
        <v>2313</v>
      </c>
      <c r="D27" s="10" t="s">
        <v>2298</v>
      </c>
      <c r="E27" s="10" t="s">
        <v>71</v>
      </c>
      <c r="F27" s="10" t="s">
        <v>72</v>
      </c>
      <c r="G27" s="61">
        <v>30317</v>
      </c>
      <c r="H27" s="10" t="s">
        <v>2299</v>
      </c>
      <c r="I27" s="10" t="s">
        <v>2300</v>
      </c>
      <c r="J27" s="78" t="s">
        <v>2313</v>
      </c>
      <c r="K27" s="35">
        <v>0</v>
      </c>
      <c r="L27" s="10" t="s">
        <v>2301</v>
      </c>
      <c r="M27" s="10" t="s">
        <v>1574</v>
      </c>
      <c r="N27" s="10" t="s">
        <v>2302</v>
      </c>
      <c r="O27" s="10" t="s">
        <v>1671</v>
      </c>
      <c r="P27" s="75">
        <v>45717</v>
      </c>
      <c r="Q27" s="10" t="s">
        <v>81</v>
      </c>
      <c r="R27" s="76">
        <v>1918000</v>
      </c>
      <c r="S27" s="77">
        <v>1918</v>
      </c>
      <c r="V27" s="10" t="s">
        <v>16</v>
      </c>
      <c r="W27" s="51">
        <v>7.6068921596773101E-2</v>
      </c>
      <c r="X27" s="51">
        <v>1.2793269711547499E-2</v>
      </c>
    </row>
    <row r="28" spans="1:24" x14ac:dyDescent="0.25">
      <c r="A28" s="10">
        <v>424</v>
      </c>
      <c r="B28" s="10">
        <v>7229</v>
      </c>
      <c r="C28" s="74" t="s">
        <v>2314</v>
      </c>
      <c r="D28" s="10" t="s">
        <v>2298</v>
      </c>
      <c r="E28" s="10" t="s">
        <v>71</v>
      </c>
      <c r="F28" s="10" t="s">
        <v>72</v>
      </c>
      <c r="G28" s="61">
        <v>30317</v>
      </c>
      <c r="H28" s="10" t="s">
        <v>2299</v>
      </c>
      <c r="I28" s="10" t="s">
        <v>2300</v>
      </c>
      <c r="J28" s="74" t="s">
        <v>2314</v>
      </c>
      <c r="K28" s="35">
        <v>0</v>
      </c>
      <c r="L28" s="10" t="s">
        <v>2301</v>
      </c>
      <c r="M28" s="10" t="s">
        <v>1574</v>
      </c>
      <c r="N28" s="10" t="s">
        <v>2302</v>
      </c>
      <c r="O28" s="10" t="s">
        <v>1671</v>
      </c>
      <c r="P28" s="75">
        <v>45717</v>
      </c>
      <c r="Q28" s="10" t="s">
        <v>81</v>
      </c>
      <c r="R28" s="76">
        <v>1377600</v>
      </c>
      <c r="S28" s="77">
        <v>1377.6</v>
      </c>
      <c r="V28" s="10" t="s">
        <v>16</v>
      </c>
      <c r="W28" s="51">
        <v>5.4636364124981497E-2</v>
      </c>
      <c r="X28" s="51">
        <v>9.1887426249363108E-3</v>
      </c>
    </row>
    <row r="29" spans="1:24" x14ac:dyDescent="0.25">
      <c r="A29" s="10">
        <v>424</v>
      </c>
      <c r="B29" s="10">
        <v>7229</v>
      </c>
      <c r="C29" s="78" t="s">
        <v>2315</v>
      </c>
      <c r="D29" s="10" t="s">
        <v>2298</v>
      </c>
      <c r="E29" s="10" t="s">
        <v>71</v>
      </c>
      <c r="F29" s="10" t="s">
        <v>72</v>
      </c>
      <c r="G29" s="61">
        <v>30317</v>
      </c>
      <c r="H29" s="10" t="s">
        <v>2299</v>
      </c>
      <c r="I29" s="10" t="s">
        <v>2300</v>
      </c>
      <c r="J29" s="78" t="s">
        <v>2315</v>
      </c>
      <c r="K29" s="35">
        <v>6.5013470138434795E-2</v>
      </c>
      <c r="L29" s="10" t="s">
        <v>2301</v>
      </c>
      <c r="M29" s="10" t="s">
        <v>1574</v>
      </c>
      <c r="N29" s="10" t="s">
        <v>2302</v>
      </c>
      <c r="O29" s="10" t="s">
        <v>1671</v>
      </c>
      <c r="P29" s="75">
        <v>45689</v>
      </c>
      <c r="Q29" s="10" t="s">
        <v>81</v>
      </c>
      <c r="R29" s="76">
        <v>3989248.0320000001</v>
      </c>
      <c r="S29" s="77">
        <v>3989.248032</v>
      </c>
      <c r="V29" s="10" t="s">
        <v>16</v>
      </c>
      <c r="W29" s="51">
        <v>0.15821574336615701</v>
      </c>
      <c r="X29" s="51">
        <v>2.6608720552469298E-2</v>
      </c>
    </row>
    <row r="30" spans="1:24" x14ac:dyDescent="0.25">
      <c r="A30" s="10">
        <v>424</v>
      </c>
      <c r="B30" s="10">
        <v>7229</v>
      </c>
      <c r="C30" s="74" t="s">
        <v>2316</v>
      </c>
      <c r="D30" s="10" t="s">
        <v>2298</v>
      </c>
      <c r="E30" s="10" t="s">
        <v>71</v>
      </c>
      <c r="F30" s="10" t="s">
        <v>72</v>
      </c>
      <c r="G30" s="61">
        <v>30317</v>
      </c>
      <c r="H30" s="10" t="s">
        <v>2299</v>
      </c>
      <c r="I30" s="10" t="s">
        <v>2300</v>
      </c>
      <c r="J30" s="74" t="s">
        <v>2316</v>
      </c>
      <c r="K30" s="35">
        <v>0</v>
      </c>
      <c r="L30" s="10" t="s">
        <v>2301</v>
      </c>
      <c r="M30" s="10" t="s">
        <v>1574</v>
      </c>
      <c r="N30" s="10" t="s">
        <v>2302</v>
      </c>
      <c r="O30" s="10" t="s">
        <v>1671</v>
      </c>
      <c r="P30" s="75">
        <v>45717</v>
      </c>
      <c r="Q30" s="10" t="s">
        <v>81</v>
      </c>
      <c r="R30" s="76">
        <v>2016000</v>
      </c>
      <c r="S30" s="77">
        <v>2016</v>
      </c>
      <c r="V30" s="10" t="s">
        <v>16</v>
      </c>
      <c r="W30" s="51">
        <v>7.9955654817046098E-2</v>
      </c>
      <c r="X30" s="51">
        <v>1.3446940426736101E-2</v>
      </c>
    </row>
    <row r="31" spans="1:24" x14ac:dyDescent="0.25">
      <c r="A31" s="10">
        <v>424</v>
      </c>
      <c r="B31" s="10">
        <v>7229</v>
      </c>
      <c r="C31" s="78" t="s">
        <v>2317</v>
      </c>
      <c r="D31" s="10" t="s">
        <v>2298</v>
      </c>
      <c r="E31" s="10" t="s">
        <v>71</v>
      </c>
      <c r="F31" s="10" t="s">
        <v>72</v>
      </c>
      <c r="G31" s="61">
        <v>30317</v>
      </c>
      <c r="H31" s="10" t="s">
        <v>2299</v>
      </c>
      <c r="I31" s="10" t="s">
        <v>2300</v>
      </c>
      <c r="J31" s="78" t="s">
        <v>2317</v>
      </c>
      <c r="K31" s="35">
        <v>0</v>
      </c>
      <c r="L31" s="10" t="s">
        <v>2301</v>
      </c>
      <c r="M31" s="10" t="s">
        <v>1574</v>
      </c>
      <c r="N31" s="10" t="s">
        <v>2302</v>
      </c>
      <c r="O31" s="10" t="s">
        <v>1671</v>
      </c>
      <c r="P31" s="75">
        <v>45717</v>
      </c>
      <c r="Q31" s="10" t="s">
        <v>81</v>
      </c>
      <c r="R31" s="76">
        <v>4299120</v>
      </c>
      <c r="S31" s="77">
        <v>4299.12</v>
      </c>
      <c r="V31" s="10" t="s">
        <v>16</v>
      </c>
      <c r="W31" s="51">
        <v>0.17050543389735101</v>
      </c>
      <c r="X31" s="51">
        <v>2.8675600460014699E-2</v>
      </c>
    </row>
    <row r="32" spans="1:24" x14ac:dyDescent="0.25">
      <c r="A32" s="10">
        <v>1182</v>
      </c>
      <c r="B32" s="10">
        <v>1182</v>
      </c>
      <c r="C32" s="74" t="s">
        <v>2297</v>
      </c>
      <c r="D32" s="10" t="s">
        <v>2298</v>
      </c>
      <c r="E32" s="10" t="s">
        <v>71</v>
      </c>
      <c r="F32" s="10" t="s">
        <v>72</v>
      </c>
      <c r="G32" s="61">
        <v>30317</v>
      </c>
      <c r="H32" s="10" t="s">
        <v>2299</v>
      </c>
      <c r="I32" s="10" t="s">
        <v>2300</v>
      </c>
      <c r="J32" s="74" t="s">
        <v>2297</v>
      </c>
      <c r="K32" s="35">
        <v>0</v>
      </c>
      <c r="L32" s="10" t="s">
        <v>2301</v>
      </c>
      <c r="M32" s="10" t="s">
        <v>1574</v>
      </c>
      <c r="N32" s="10" t="s">
        <v>2302</v>
      </c>
      <c r="O32" s="10" t="s">
        <v>1671</v>
      </c>
      <c r="P32" s="75">
        <v>45505</v>
      </c>
      <c r="Q32" s="10" t="s">
        <v>81</v>
      </c>
      <c r="R32" s="76">
        <v>236578</v>
      </c>
      <c r="S32" s="77">
        <v>236.578</v>
      </c>
      <c r="V32" s="10" t="s">
        <v>16</v>
      </c>
      <c r="W32" s="51">
        <v>6.1743533442052299E-3</v>
      </c>
      <c r="X32" s="51">
        <v>5.5922562949139304E-4</v>
      </c>
    </row>
    <row r="33" spans="1:24" x14ac:dyDescent="0.25">
      <c r="A33" s="10">
        <v>1182</v>
      </c>
      <c r="B33" s="10">
        <v>1182</v>
      </c>
      <c r="C33" s="74" t="s">
        <v>2303</v>
      </c>
      <c r="D33" s="10" t="s">
        <v>2298</v>
      </c>
      <c r="E33" s="10" t="s">
        <v>71</v>
      </c>
      <c r="F33" s="10" t="s">
        <v>72</v>
      </c>
      <c r="G33" s="61">
        <v>30317</v>
      </c>
      <c r="H33" s="10" t="s">
        <v>2304</v>
      </c>
      <c r="I33" s="10" t="s">
        <v>2300</v>
      </c>
      <c r="J33" s="74" t="s">
        <v>2303</v>
      </c>
      <c r="K33" s="35">
        <v>0</v>
      </c>
      <c r="L33" s="10" t="s">
        <v>2301</v>
      </c>
      <c r="M33" s="10" t="s">
        <v>1574</v>
      </c>
      <c r="N33" s="10" t="s">
        <v>2302</v>
      </c>
      <c r="O33" s="10" t="s">
        <v>1671</v>
      </c>
      <c r="P33" s="75">
        <v>45717</v>
      </c>
      <c r="Q33" s="10" t="s">
        <v>81</v>
      </c>
      <c r="R33" s="76">
        <v>217005</v>
      </c>
      <c r="S33" s="77">
        <v>217.005</v>
      </c>
      <c r="V33" s="10" t="s">
        <v>16</v>
      </c>
      <c r="W33" s="51">
        <v>5.6635255495407696E-3</v>
      </c>
      <c r="X33" s="51">
        <v>5.1295876086440804E-4</v>
      </c>
    </row>
    <row r="34" spans="1:24" x14ac:dyDescent="0.25">
      <c r="A34" s="10">
        <v>1182</v>
      </c>
      <c r="B34" s="10">
        <v>1182</v>
      </c>
      <c r="C34" s="74" t="s">
        <v>2305</v>
      </c>
      <c r="D34" s="10" t="s">
        <v>2298</v>
      </c>
      <c r="E34" s="10" t="s">
        <v>71</v>
      </c>
      <c r="F34" s="10" t="s">
        <v>72</v>
      </c>
      <c r="G34" s="61">
        <v>30317</v>
      </c>
      <c r="H34" s="10" t="s">
        <v>2299</v>
      </c>
      <c r="I34" s="10" t="s">
        <v>2300</v>
      </c>
      <c r="J34" s="74" t="s">
        <v>2305</v>
      </c>
      <c r="K34" s="35">
        <v>4.2535318823978499E-2</v>
      </c>
      <c r="L34" s="10" t="s">
        <v>2301</v>
      </c>
      <c r="M34" s="10" t="s">
        <v>1574</v>
      </c>
      <c r="N34" s="10" t="s">
        <v>2302</v>
      </c>
      <c r="O34" s="10" t="s">
        <v>1671</v>
      </c>
      <c r="P34" s="75">
        <v>45689</v>
      </c>
      <c r="Q34" s="10" t="s">
        <v>81</v>
      </c>
      <c r="R34" s="76">
        <v>2904463</v>
      </c>
      <c r="S34" s="77">
        <v>2904.4630000000002</v>
      </c>
      <c r="V34" s="10" t="s">
        <v>16</v>
      </c>
      <c r="W34" s="51">
        <v>7.5802402747382897E-2</v>
      </c>
      <c r="X34" s="51">
        <v>6.86560098364793E-3</v>
      </c>
    </row>
    <row r="35" spans="1:24" x14ac:dyDescent="0.25">
      <c r="A35" s="10">
        <v>1182</v>
      </c>
      <c r="B35" s="10">
        <v>1182</v>
      </c>
      <c r="C35" s="74" t="s">
        <v>2306</v>
      </c>
      <c r="D35" s="10" t="s">
        <v>2298</v>
      </c>
      <c r="E35" s="10" t="s">
        <v>71</v>
      </c>
      <c r="F35" s="10" t="s">
        <v>72</v>
      </c>
      <c r="G35" s="61">
        <v>30317</v>
      </c>
      <c r="H35" s="10" t="s">
        <v>2299</v>
      </c>
      <c r="I35" s="10" t="s">
        <v>2300</v>
      </c>
      <c r="J35" s="74" t="s">
        <v>2306</v>
      </c>
      <c r="K35" s="35">
        <v>0</v>
      </c>
      <c r="L35" s="10" t="s">
        <v>2301</v>
      </c>
      <c r="M35" s="10" t="s">
        <v>1574</v>
      </c>
      <c r="N35" s="10" t="s">
        <v>2302</v>
      </c>
      <c r="O35" s="10" t="s">
        <v>1671</v>
      </c>
      <c r="P35" s="75">
        <v>45717</v>
      </c>
      <c r="Q35" s="10" t="s">
        <v>81</v>
      </c>
      <c r="R35" s="76">
        <v>3182740</v>
      </c>
      <c r="S35" s="77">
        <v>3182.74</v>
      </c>
      <c r="V35" s="10" t="s">
        <v>16</v>
      </c>
      <c r="W35" s="51">
        <v>8.3065041393264594E-2</v>
      </c>
      <c r="X35" s="51">
        <v>7.5233951593446403E-3</v>
      </c>
    </row>
    <row r="36" spans="1:24" x14ac:dyDescent="0.25">
      <c r="A36" s="10">
        <v>1182</v>
      </c>
      <c r="B36" s="10">
        <v>1182</v>
      </c>
      <c r="C36" s="74" t="s">
        <v>2307</v>
      </c>
      <c r="D36" s="10" t="s">
        <v>2298</v>
      </c>
      <c r="E36" s="10" t="s">
        <v>71</v>
      </c>
      <c r="F36" s="10" t="s">
        <v>72</v>
      </c>
      <c r="G36" s="61">
        <v>30317</v>
      </c>
      <c r="H36" s="10" t="s">
        <v>2299</v>
      </c>
      <c r="I36" s="10" t="s">
        <v>2300</v>
      </c>
      <c r="J36" s="74" t="s">
        <v>2307</v>
      </c>
      <c r="K36" s="35">
        <v>0</v>
      </c>
      <c r="L36" s="10" t="s">
        <v>2301</v>
      </c>
      <c r="M36" s="10" t="s">
        <v>1574</v>
      </c>
      <c r="N36" s="10" t="s">
        <v>2302</v>
      </c>
      <c r="O36" s="10" t="s">
        <v>1671</v>
      </c>
      <c r="P36" s="75">
        <v>45717</v>
      </c>
      <c r="Q36" s="10" t="s">
        <v>81</v>
      </c>
      <c r="R36" s="76">
        <v>2825320</v>
      </c>
      <c r="S36" s="77">
        <v>2825.32</v>
      </c>
      <c r="V36" s="10" t="s">
        <v>16</v>
      </c>
      <c r="W36" s="51">
        <v>7.3736881664609205E-2</v>
      </c>
      <c r="X36" s="51">
        <v>6.6785219061562097E-3</v>
      </c>
    </row>
    <row r="37" spans="1:24" x14ac:dyDescent="0.25">
      <c r="A37" s="10">
        <v>1182</v>
      </c>
      <c r="B37" s="10">
        <v>1182</v>
      </c>
      <c r="C37" s="74" t="s">
        <v>2308</v>
      </c>
      <c r="D37" s="10" t="s">
        <v>2298</v>
      </c>
      <c r="E37" s="10" t="s">
        <v>71</v>
      </c>
      <c r="F37" s="10" t="s">
        <v>72</v>
      </c>
      <c r="G37" s="61">
        <v>30317</v>
      </c>
      <c r="H37" s="10" t="s">
        <v>2299</v>
      </c>
      <c r="I37" s="10" t="s">
        <v>2300</v>
      </c>
      <c r="J37" s="74" t="s">
        <v>2308</v>
      </c>
      <c r="K37" s="35">
        <v>0</v>
      </c>
      <c r="L37" s="10" t="s">
        <v>2301</v>
      </c>
      <c r="M37" s="10" t="s">
        <v>1574</v>
      </c>
      <c r="N37" s="10" t="s">
        <v>2302</v>
      </c>
      <c r="O37" s="10" t="s">
        <v>1671</v>
      </c>
      <c r="P37" s="75">
        <v>45717</v>
      </c>
      <c r="Q37" s="10" t="s">
        <v>81</v>
      </c>
      <c r="R37" s="76">
        <v>872275</v>
      </c>
      <c r="S37" s="77">
        <v>872.27499999999998</v>
      </c>
      <c r="V37" s="10" t="s">
        <v>16</v>
      </c>
      <c r="W37" s="51">
        <v>2.2765151718742299E-2</v>
      </c>
      <c r="X37" s="51">
        <v>2.0618930583765401E-3</v>
      </c>
    </row>
    <row r="38" spans="1:24" x14ac:dyDescent="0.25">
      <c r="A38" s="10">
        <v>1182</v>
      </c>
      <c r="B38" s="10">
        <v>1182</v>
      </c>
      <c r="C38" s="78" t="s">
        <v>2309</v>
      </c>
      <c r="D38" s="10" t="s">
        <v>2298</v>
      </c>
      <c r="E38" s="10" t="s">
        <v>71</v>
      </c>
      <c r="F38" s="10" t="s">
        <v>72</v>
      </c>
      <c r="G38" s="61">
        <v>30317</v>
      </c>
      <c r="H38" s="10" t="s">
        <v>2299</v>
      </c>
      <c r="I38" s="10" t="s">
        <v>2300</v>
      </c>
      <c r="J38" s="78" t="s">
        <v>2309</v>
      </c>
      <c r="K38" s="35">
        <v>0</v>
      </c>
      <c r="L38" s="10" t="s">
        <v>2301</v>
      </c>
      <c r="M38" s="10" t="s">
        <v>1574</v>
      </c>
      <c r="N38" s="10" t="s">
        <v>2302</v>
      </c>
      <c r="O38" s="10" t="s">
        <v>1671</v>
      </c>
      <c r="P38" s="75">
        <v>45597</v>
      </c>
      <c r="Q38" s="10" t="s">
        <v>81</v>
      </c>
      <c r="R38" s="76">
        <v>1216079</v>
      </c>
      <c r="S38" s="77">
        <v>1216.079</v>
      </c>
      <c r="V38" s="10" t="s">
        <v>16</v>
      </c>
      <c r="W38" s="51">
        <v>3.1737952981544103E-2</v>
      </c>
      <c r="X38" s="51">
        <v>2.8745806638244601E-3</v>
      </c>
    </row>
    <row r="39" spans="1:24" x14ac:dyDescent="0.25">
      <c r="A39" s="10">
        <v>1182</v>
      </c>
      <c r="B39" s="10">
        <v>1182</v>
      </c>
      <c r="C39" s="78" t="s">
        <v>2310</v>
      </c>
      <c r="D39" s="10" t="s">
        <v>2298</v>
      </c>
      <c r="E39" s="10" t="s">
        <v>71</v>
      </c>
      <c r="F39" s="10" t="s">
        <v>72</v>
      </c>
      <c r="G39" s="61">
        <v>30317</v>
      </c>
      <c r="H39" s="10" t="s">
        <v>2299</v>
      </c>
      <c r="I39" s="10" t="s">
        <v>2300</v>
      </c>
      <c r="J39" s="78" t="s">
        <v>2310</v>
      </c>
      <c r="K39" s="35">
        <v>0</v>
      </c>
      <c r="L39" s="10" t="s">
        <v>2301</v>
      </c>
      <c r="M39" s="10" t="s">
        <v>1574</v>
      </c>
      <c r="N39" s="10" t="s">
        <v>2302</v>
      </c>
      <c r="O39" s="10" t="s">
        <v>1671</v>
      </c>
      <c r="P39" s="75">
        <v>45597</v>
      </c>
      <c r="Q39" s="10" t="s">
        <v>81</v>
      </c>
      <c r="R39" s="76">
        <v>4042250</v>
      </c>
      <c r="S39" s="77">
        <v>4042.25</v>
      </c>
      <c r="V39" s="10" t="s">
        <v>16</v>
      </c>
      <c r="W39" s="51">
        <v>0.105497044550269</v>
      </c>
      <c r="X39" s="51">
        <v>9.55511417296445E-3</v>
      </c>
    </row>
    <row r="40" spans="1:24" x14ac:dyDescent="0.25">
      <c r="A40" s="10">
        <v>1182</v>
      </c>
      <c r="B40" s="10">
        <v>1182</v>
      </c>
      <c r="C40" s="74" t="s">
        <v>2311</v>
      </c>
      <c r="D40" s="10" t="s">
        <v>2298</v>
      </c>
      <c r="E40" s="10" t="s">
        <v>71</v>
      </c>
      <c r="F40" s="10" t="s">
        <v>72</v>
      </c>
      <c r="G40" s="61">
        <v>30317</v>
      </c>
      <c r="H40" s="10" t="s">
        <v>2299</v>
      </c>
      <c r="I40" s="10" t="s">
        <v>2300</v>
      </c>
      <c r="J40" s="74" t="s">
        <v>2311</v>
      </c>
      <c r="K40" s="35">
        <v>0</v>
      </c>
      <c r="L40" s="10" t="s">
        <v>2301</v>
      </c>
      <c r="M40" s="10" t="s">
        <v>1574</v>
      </c>
      <c r="N40" s="10" t="s">
        <v>2302</v>
      </c>
      <c r="O40" s="10" t="s">
        <v>1671</v>
      </c>
      <c r="P40" s="75">
        <v>45717</v>
      </c>
      <c r="Q40" s="10" t="s">
        <v>81</v>
      </c>
      <c r="R40" s="76">
        <v>1042475</v>
      </c>
      <c r="S40" s="77">
        <v>1042.4749999999999</v>
      </c>
      <c r="V40" s="10" t="s">
        <v>16</v>
      </c>
      <c r="W40" s="51">
        <v>2.72071325419115E-2</v>
      </c>
      <c r="X40" s="51">
        <v>2.4642136551329399E-3</v>
      </c>
    </row>
    <row r="41" spans="1:24" x14ac:dyDescent="0.25">
      <c r="A41" s="10">
        <v>1182</v>
      </c>
      <c r="B41" s="10">
        <v>1182</v>
      </c>
      <c r="C41" s="74" t="s">
        <v>2312</v>
      </c>
      <c r="D41" s="10" t="s">
        <v>2298</v>
      </c>
      <c r="E41" s="10" t="s">
        <v>71</v>
      </c>
      <c r="F41" s="10" t="s">
        <v>72</v>
      </c>
      <c r="G41" s="61">
        <v>30317</v>
      </c>
      <c r="H41" s="10" t="s">
        <v>2299</v>
      </c>
      <c r="I41" s="10" t="s">
        <v>2300</v>
      </c>
      <c r="J41" s="74" t="s">
        <v>2312</v>
      </c>
      <c r="K41" s="35">
        <v>0</v>
      </c>
      <c r="L41" s="10" t="s">
        <v>2301</v>
      </c>
      <c r="M41" s="10" t="s">
        <v>1574</v>
      </c>
      <c r="N41" s="10" t="s">
        <v>2302</v>
      </c>
      <c r="O41" s="10" t="s">
        <v>1671</v>
      </c>
      <c r="P41" s="75">
        <v>45717</v>
      </c>
      <c r="Q41" s="10" t="s">
        <v>81</v>
      </c>
      <c r="R41" s="76">
        <v>1109959.9808</v>
      </c>
      <c r="S41" s="77">
        <v>1109.9599808</v>
      </c>
      <c r="V41" s="10" t="s">
        <v>16</v>
      </c>
      <c r="W41" s="51">
        <v>2.8968395706221398E-2</v>
      </c>
      <c r="X41" s="51">
        <v>2.6237353810292401E-3</v>
      </c>
    </row>
    <row r="42" spans="1:24" x14ac:dyDescent="0.25">
      <c r="A42" s="10">
        <v>1182</v>
      </c>
      <c r="B42" s="10">
        <v>1182</v>
      </c>
      <c r="C42" s="78" t="s">
        <v>2313</v>
      </c>
      <c r="D42" s="10" t="s">
        <v>2298</v>
      </c>
      <c r="E42" s="10" t="s">
        <v>71</v>
      </c>
      <c r="F42" s="10" t="s">
        <v>72</v>
      </c>
      <c r="G42" s="61">
        <v>30317</v>
      </c>
      <c r="H42" s="10" t="s">
        <v>2299</v>
      </c>
      <c r="I42" s="10" t="s">
        <v>2300</v>
      </c>
      <c r="J42" s="78" t="s">
        <v>2313</v>
      </c>
      <c r="K42" s="35">
        <v>0</v>
      </c>
      <c r="L42" s="10" t="s">
        <v>2301</v>
      </c>
      <c r="M42" s="10" t="s">
        <v>1574</v>
      </c>
      <c r="N42" s="10" t="s">
        <v>2302</v>
      </c>
      <c r="O42" s="10" t="s">
        <v>1671</v>
      </c>
      <c r="P42" s="75">
        <v>45717</v>
      </c>
      <c r="Q42" s="10" t="s">
        <v>81</v>
      </c>
      <c r="R42" s="76">
        <v>2914675</v>
      </c>
      <c r="S42" s="77">
        <v>2914.6750000000002</v>
      </c>
      <c r="V42" s="10" t="s">
        <v>16</v>
      </c>
      <c r="W42" s="51">
        <v>7.6068921596773101E-2</v>
      </c>
      <c r="X42" s="51">
        <v>6.8897402194533202E-3</v>
      </c>
    </row>
    <row r="43" spans="1:24" x14ac:dyDescent="0.25">
      <c r="A43" s="10">
        <v>1182</v>
      </c>
      <c r="B43" s="10">
        <v>1182</v>
      </c>
      <c r="C43" s="74" t="s">
        <v>2314</v>
      </c>
      <c r="D43" s="10" t="s">
        <v>2298</v>
      </c>
      <c r="E43" s="10" t="s">
        <v>71</v>
      </c>
      <c r="F43" s="10" t="s">
        <v>72</v>
      </c>
      <c r="G43" s="61">
        <v>30317</v>
      </c>
      <c r="H43" s="10" t="s">
        <v>2299</v>
      </c>
      <c r="I43" s="10" t="s">
        <v>2300</v>
      </c>
      <c r="J43" s="74" t="s">
        <v>2314</v>
      </c>
      <c r="K43" s="35">
        <v>0</v>
      </c>
      <c r="L43" s="10" t="s">
        <v>2301</v>
      </c>
      <c r="M43" s="10" t="s">
        <v>1574</v>
      </c>
      <c r="N43" s="10" t="s">
        <v>2302</v>
      </c>
      <c r="O43" s="10" t="s">
        <v>1671</v>
      </c>
      <c r="P43" s="75">
        <v>45717</v>
      </c>
      <c r="Q43" s="10" t="s">
        <v>81</v>
      </c>
      <c r="R43" s="76">
        <v>2093460</v>
      </c>
      <c r="S43" s="77">
        <v>2093.46</v>
      </c>
      <c r="V43" s="10" t="s">
        <v>16</v>
      </c>
      <c r="W43" s="51">
        <v>5.4636364124981497E-2</v>
      </c>
      <c r="X43" s="51">
        <v>4.9485433401037001E-3</v>
      </c>
    </row>
    <row r="44" spans="1:24" x14ac:dyDescent="0.25">
      <c r="A44" s="10">
        <v>1182</v>
      </c>
      <c r="B44" s="10">
        <v>1182</v>
      </c>
      <c r="C44" s="78" t="s">
        <v>2315</v>
      </c>
      <c r="D44" s="10" t="s">
        <v>2298</v>
      </c>
      <c r="E44" s="10" t="s">
        <v>71</v>
      </c>
      <c r="F44" s="10" t="s">
        <v>72</v>
      </c>
      <c r="G44" s="61">
        <v>30317</v>
      </c>
      <c r="H44" s="10" t="s">
        <v>2299</v>
      </c>
      <c r="I44" s="10" t="s">
        <v>2300</v>
      </c>
      <c r="J44" s="78" t="s">
        <v>2315</v>
      </c>
      <c r="K44" s="35">
        <v>6.5013470138434795E-2</v>
      </c>
      <c r="L44" s="10" t="s">
        <v>2301</v>
      </c>
      <c r="M44" s="10" t="s">
        <v>1574</v>
      </c>
      <c r="N44" s="10" t="s">
        <v>2302</v>
      </c>
      <c r="O44" s="10" t="s">
        <v>1671</v>
      </c>
      <c r="P44" s="75">
        <v>45689</v>
      </c>
      <c r="Q44" s="10" t="s">
        <v>81</v>
      </c>
      <c r="R44" s="76">
        <v>6062232.2772000004</v>
      </c>
      <c r="S44" s="77">
        <v>6062.2322771999998</v>
      </c>
      <c r="V44" s="10" t="s">
        <v>16</v>
      </c>
      <c r="W44" s="51">
        <v>0.15821574336615701</v>
      </c>
      <c r="X44" s="51">
        <v>1.43299700789601E-2</v>
      </c>
    </row>
    <row r="45" spans="1:24" x14ac:dyDescent="0.25">
      <c r="A45" s="10">
        <v>1182</v>
      </c>
      <c r="B45" s="10">
        <v>1182</v>
      </c>
      <c r="C45" s="74" t="s">
        <v>2316</v>
      </c>
      <c r="D45" s="10" t="s">
        <v>2298</v>
      </c>
      <c r="E45" s="10" t="s">
        <v>71</v>
      </c>
      <c r="F45" s="10" t="s">
        <v>72</v>
      </c>
      <c r="G45" s="61">
        <v>30317</v>
      </c>
      <c r="H45" s="10" t="s">
        <v>2299</v>
      </c>
      <c r="I45" s="10" t="s">
        <v>2300</v>
      </c>
      <c r="J45" s="74" t="s">
        <v>2316</v>
      </c>
      <c r="K45" s="35">
        <v>0</v>
      </c>
      <c r="L45" s="10" t="s">
        <v>2301</v>
      </c>
      <c r="M45" s="10" t="s">
        <v>1574</v>
      </c>
      <c r="N45" s="10" t="s">
        <v>2302</v>
      </c>
      <c r="O45" s="10" t="s">
        <v>1671</v>
      </c>
      <c r="P45" s="75">
        <v>45717</v>
      </c>
      <c r="Q45" s="10" t="s">
        <v>81</v>
      </c>
      <c r="R45" s="76">
        <v>3063600</v>
      </c>
      <c r="S45" s="77">
        <v>3063.6</v>
      </c>
      <c r="V45" s="10" t="s">
        <v>16</v>
      </c>
      <c r="W45" s="51">
        <v>7.9955654817046098E-2</v>
      </c>
      <c r="X45" s="51">
        <v>7.2417707416151701E-3</v>
      </c>
    </row>
    <row r="46" spans="1:24" x14ac:dyDescent="0.25">
      <c r="A46" s="10">
        <v>1182</v>
      </c>
      <c r="B46" s="10">
        <v>1182</v>
      </c>
      <c r="C46" s="78" t="s">
        <v>2317</v>
      </c>
      <c r="D46" s="10" t="s">
        <v>2298</v>
      </c>
      <c r="E46" s="10" t="s">
        <v>71</v>
      </c>
      <c r="F46" s="10" t="s">
        <v>72</v>
      </c>
      <c r="G46" s="61">
        <v>30317</v>
      </c>
      <c r="H46" s="10" t="s">
        <v>2299</v>
      </c>
      <c r="I46" s="10" t="s">
        <v>2300</v>
      </c>
      <c r="J46" s="78" t="s">
        <v>2317</v>
      </c>
      <c r="K46" s="35">
        <v>0</v>
      </c>
      <c r="L46" s="10" t="s">
        <v>2301</v>
      </c>
      <c r="M46" s="10" t="s">
        <v>1574</v>
      </c>
      <c r="N46" s="10" t="s">
        <v>2302</v>
      </c>
      <c r="O46" s="10" t="s">
        <v>1671</v>
      </c>
      <c r="P46" s="75">
        <v>45717</v>
      </c>
      <c r="Q46" s="10" t="s">
        <v>81</v>
      </c>
      <c r="R46" s="76">
        <v>6533127</v>
      </c>
      <c r="S46" s="77">
        <v>6533.1270000000004</v>
      </c>
      <c r="V46" s="10" t="s">
        <v>16</v>
      </c>
      <c r="W46" s="51">
        <v>0.17050543389735101</v>
      </c>
      <c r="X46" s="51">
        <v>1.54430761064943E-2</v>
      </c>
    </row>
    <row r="47" spans="1:24" x14ac:dyDescent="0.25">
      <c r="A47" s="10">
        <v>12904</v>
      </c>
      <c r="B47" s="10">
        <v>12905</v>
      </c>
      <c r="C47" s="74" t="s">
        <v>2297</v>
      </c>
      <c r="D47" s="10" t="s">
        <v>2298</v>
      </c>
      <c r="E47" s="10" t="s">
        <v>71</v>
      </c>
      <c r="F47" s="10" t="s">
        <v>72</v>
      </c>
      <c r="G47" s="61">
        <v>30317</v>
      </c>
      <c r="H47" s="10" t="s">
        <v>2299</v>
      </c>
      <c r="I47" s="10" t="s">
        <v>2300</v>
      </c>
      <c r="J47" s="74" t="s">
        <v>2297</v>
      </c>
      <c r="K47" s="35">
        <v>0</v>
      </c>
      <c r="L47" s="10" t="s">
        <v>2301</v>
      </c>
      <c r="M47" s="10" t="s">
        <v>1574</v>
      </c>
      <c r="N47" s="10" t="s">
        <v>2302</v>
      </c>
      <c r="O47" s="10" t="s">
        <v>1671</v>
      </c>
      <c r="P47" s="75">
        <v>45505</v>
      </c>
      <c r="Q47" s="10" t="s">
        <v>81</v>
      </c>
      <c r="R47" s="76">
        <v>11954</v>
      </c>
      <c r="S47" s="77">
        <v>11.954000000000001</v>
      </c>
      <c r="V47" s="10" t="s">
        <v>16</v>
      </c>
      <c r="W47" s="51">
        <v>6.1743533442052299E-3</v>
      </c>
      <c r="X47" s="51">
        <v>3.0621779639020098E-4</v>
      </c>
    </row>
    <row r="48" spans="1:24" x14ac:dyDescent="0.25">
      <c r="A48" s="10">
        <v>12904</v>
      </c>
      <c r="B48" s="10">
        <v>12905</v>
      </c>
      <c r="C48" s="74" t="s">
        <v>2303</v>
      </c>
      <c r="D48" s="10" t="s">
        <v>2298</v>
      </c>
      <c r="E48" s="10" t="s">
        <v>71</v>
      </c>
      <c r="F48" s="10" t="s">
        <v>72</v>
      </c>
      <c r="G48" s="61">
        <v>30317</v>
      </c>
      <c r="H48" s="10" t="s">
        <v>2304</v>
      </c>
      <c r="I48" s="10" t="s">
        <v>2300</v>
      </c>
      <c r="J48" s="74" t="s">
        <v>2303</v>
      </c>
      <c r="K48" s="35">
        <v>0</v>
      </c>
      <c r="L48" s="10" t="s">
        <v>2301</v>
      </c>
      <c r="M48" s="10" t="s">
        <v>1574</v>
      </c>
      <c r="N48" s="10" t="s">
        <v>2302</v>
      </c>
      <c r="O48" s="10" t="s">
        <v>1671</v>
      </c>
      <c r="P48" s="75">
        <v>45717</v>
      </c>
      <c r="Q48" s="10" t="s">
        <v>81</v>
      </c>
      <c r="R48" s="76">
        <v>10965</v>
      </c>
      <c r="S48" s="77">
        <v>10.965</v>
      </c>
      <c r="V48" s="10" t="s">
        <v>16</v>
      </c>
      <c r="W48" s="51">
        <v>5.6635255495407696E-3</v>
      </c>
      <c r="X48" s="51">
        <v>2.8088323050180298E-4</v>
      </c>
    </row>
    <row r="49" spans="1:24" x14ac:dyDescent="0.25">
      <c r="A49" s="10">
        <v>12904</v>
      </c>
      <c r="B49" s="10">
        <v>12905</v>
      </c>
      <c r="C49" s="74" t="s">
        <v>2305</v>
      </c>
      <c r="D49" s="10" t="s">
        <v>2298</v>
      </c>
      <c r="E49" s="10" t="s">
        <v>71</v>
      </c>
      <c r="F49" s="10" t="s">
        <v>72</v>
      </c>
      <c r="G49" s="61">
        <v>30317</v>
      </c>
      <c r="H49" s="10" t="s">
        <v>2299</v>
      </c>
      <c r="I49" s="10" t="s">
        <v>2300</v>
      </c>
      <c r="J49" s="74" t="s">
        <v>2305</v>
      </c>
      <c r="K49" s="35">
        <v>4.2535318823978499E-2</v>
      </c>
      <c r="L49" s="10" t="s">
        <v>2301</v>
      </c>
      <c r="M49" s="10" t="s">
        <v>1574</v>
      </c>
      <c r="N49" s="10" t="s">
        <v>2302</v>
      </c>
      <c r="O49" s="10" t="s">
        <v>1671</v>
      </c>
      <c r="P49" s="75">
        <v>45689</v>
      </c>
      <c r="Q49" s="10" t="s">
        <v>81</v>
      </c>
      <c r="R49" s="76">
        <v>146759</v>
      </c>
      <c r="S49" s="77">
        <v>146.75899999999999</v>
      </c>
      <c r="V49" s="10" t="s">
        <v>16</v>
      </c>
      <c r="W49" s="51">
        <v>7.5802402747382897E-2</v>
      </c>
      <c r="X49" s="51">
        <v>3.75942927726531E-3</v>
      </c>
    </row>
    <row r="50" spans="1:24" x14ac:dyDescent="0.25">
      <c r="A50" s="10">
        <v>12904</v>
      </c>
      <c r="B50" s="10">
        <v>12905</v>
      </c>
      <c r="C50" s="74" t="s">
        <v>2306</v>
      </c>
      <c r="D50" s="10" t="s">
        <v>2298</v>
      </c>
      <c r="E50" s="10" t="s">
        <v>71</v>
      </c>
      <c r="F50" s="10" t="s">
        <v>72</v>
      </c>
      <c r="G50" s="61">
        <v>30317</v>
      </c>
      <c r="H50" s="10" t="s">
        <v>2299</v>
      </c>
      <c r="I50" s="10" t="s">
        <v>2300</v>
      </c>
      <c r="J50" s="74" t="s">
        <v>2306</v>
      </c>
      <c r="K50" s="35">
        <v>0</v>
      </c>
      <c r="L50" s="10" t="s">
        <v>2301</v>
      </c>
      <c r="M50" s="10" t="s">
        <v>1574</v>
      </c>
      <c r="N50" s="10" t="s">
        <v>2302</v>
      </c>
      <c r="O50" s="10" t="s">
        <v>1671</v>
      </c>
      <c r="P50" s="75">
        <v>45717</v>
      </c>
      <c r="Q50" s="10" t="s">
        <v>81</v>
      </c>
      <c r="R50" s="76">
        <v>160820</v>
      </c>
      <c r="S50" s="77">
        <v>160.82</v>
      </c>
      <c r="V50" s="10" t="s">
        <v>16</v>
      </c>
      <c r="W50" s="51">
        <v>8.3065041393264594E-2</v>
      </c>
      <c r="X50" s="51">
        <v>4.11962071402645E-3</v>
      </c>
    </row>
    <row r="51" spans="1:24" x14ac:dyDescent="0.25">
      <c r="A51" s="10">
        <v>12904</v>
      </c>
      <c r="B51" s="10">
        <v>12905</v>
      </c>
      <c r="C51" s="74" t="s">
        <v>2307</v>
      </c>
      <c r="D51" s="10" t="s">
        <v>2298</v>
      </c>
      <c r="E51" s="10" t="s">
        <v>71</v>
      </c>
      <c r="F51" s="10" t="s">
        <v>72</v>
      </c>
      <c r="G51" s="61">
        <v>30317</v>
      </c>
      <c r="H51" s="10" t="s">
        <v>2299</v>
      </c>
      <c r="I51" s="10" t="s">
        <v>2300</v>
      </c>
      <c r="J51" s="74" t="s">
        <v>2307</v>
      </c>
      <c r="K51" s="35">
        <v>0</v>
      </c>
      <c r="L51" s="10" t="s">
        <v>2301</v>
      </c>
      <c r="M51" s="10" t="s">
        <v>1574</v>
      </c>
      <c r="N51" s="10" t="s">
        <v>2302</v>
      </c>
      <c r="O51" s="10" t="s">
        <v>1671</v>
      </c>
      <c r="P51" s="75">
        <v>45717</v>
      </c>
      <c r="Q51" s="10" t="s">
        <v>81</v>
      </c>
      <c r="R51" s="76">
        <v>142760</v>
      </c>
      <c r="S51" s="77">
        <v>142.76</v>
      </c>
      <c r="V51" s="10" t="s">
        <v>16</v>
      </c>
      <c r="W51" s="51">
        <v>7.3736881664609205E-2</v>
      </c>
      <c r="X51" s="51">
        <v>3.6569895108470099E-3</v>
      </c>
    </row>
    <row r="52" spans="1:24" x14ac:dyDescent="0.25">
      <c r="A52" s="10">
        <v>12904</v>
      </c>
      <c r="B52" s="10">
        <v>12905</v>
      </c>
      <c r="C52" s="74" t="s">
        <v>2308</v>
      </c>
      <c r="D52" s="10" t="s">
        <v>2298</v>
      </c>
      <c r="E52" s="10" t="s">
        <v>71</v>
      </c>
      <c r="F52" s="10" t="s">
        <v>72</v>
      </c>
      <c r="G52" s="61">
        <v>30317</v>
      </c>
      <c r="H52" s="10" t="s">
        <v>2299</v>
      </c>
      <c r="I52" s="10" t="s">
        <v>2300</v>
      </c>
      <c r="J52" s="74" t="s">
        <v>2308</v>
      </c>
      <c r="K52" s="35">
        <v>0</v>
      </c>
      <c r="L52" s="10" t="s">
        <v>2301</v>
      </c>
      <c r="M52" s="10" t="s">
        <v>1574</v>
      </c>
      <c r="N52" s="10" t="s">
        <v>2302</v>
      </c>
      <c r="O52" s="10" t="s">
        <v>1671</v>
      </c>
      <c r="P52" s="75">
        <v>45717</v>
      </c>
      <c r="Q52" s="10" t="s">
        <v>81</v>
      </c>
      <c r="R52" s="76">
        <v>44075</v>
      </c>
      <c r="S52" s="77">
        <v>44.075000000000003</v>
      </c>
      <c r="V52" s="10" t="s">
        <v>16</v>
      </c>
      <c r="W52" s="51">
        <v>2.2765151718742299E-2</v>
      </c>
      <c r="X52" s="51">
        <v>1.1290404363307801E-3</v>
      </c>
    </row>
    <row r="53" spans="1:24" x14ac:dyDescent="0.25">
      <c r="A53" s="10">
        <v>12904</v>
      </c>
      <c r="B53" s="10">
        <v>12905</v>
      </c>
      <c r="C53" s="78" t="s">
        <v>2309</v>
      </c>
      <c r="D53" s="10" t="s">
        <v>2298</v>
      </c>
      <c r="E53" s="10" t="s">
        <v>71</v>
      </c>
      <c r="F53" s="10" t="s">
        <v>72</v>
      </c>
      <c r="G53" s="61">
        <v>30317</v>
      </c>
      <c r="H53" s="10" t="s">
        <v>2299</v>
      </c>
      <c r="I53" s="10" t="s">
        <v>2300</v>
      </c>
      <c r="J53" s="78" t="s">
        <v>2309</v>
      </c>
      <c r="K53" s="35">
        <v>0</v>
      </c>
      <c r="L53" s="10" t="s">
        <v>2301</v>
      </c>
      <c r="M53" s="10" t="s">
        <v>1574</v>
      </c>
      <c r="N53" s="10" t="s">
        <v>2302</v>
      </c>
      <c r="O53" s="10" t="s">
        <v>1671</v>
      </c>
      <c r="P53" s="75">
        <v>45597</v>
      </c>
      <c r="Q53" s="10" t="s">
        <v>81</v>
      </c>
      <c r="R53" s="76">
        <v>61447</v>
      </c>
      <c r="S53" s="77">
        <v>61.447000000000003</v>
      </c>
      <c r="V53" s="10" t="s">
        <v>16</v>
      </c>
      <c r="W53" s="51">
        <v>3.1737952981544103E-2</v>
      </c>
      <c r="X53" s="51">
        <v>1.5740475936748099E-3</v>
      </c>
    </row>
    <row r="54" spans="1:24" x14ac:dyDescent="0.25">
      <c r="A54" s="10">
        <v>12904</v>
      </c>
      <c r="B54" s="10">
        <v>12905</v>
      </c>
      <c r="C54" s="78" t="s">
        <v>2310</v>
      </c>
      <c r="D54" s="10" t="s">
        <v>2298</v>
      </c>
      <c r="E54" s="10" t="s">
        <v>71</v>
      </c>
      <c r="F54" s="10" t="s">
        <v>72</v>
      </c>
      <c r="G54" s="61">
        <v>30317</v>
      </c>
      <c r="H54" s="10" t="s">
        <v>2299</v>
      </c>
      <c r="I54" s="10" t="s">
        <v>2300</v>
      </c>
      <c r="J54" s="78" t="s">
        <v>2310</v>
      </c>
      <c r="K54" s="35">
        <v>0</v>
      </c>
      <c r="L54" s="10" t="s">
        <v>2301</v>
      </c>
      <c r="M54" s="10" t="s">
        <v>1574</v>
      </c>
      <c r="N54" s="10" t="s">
        <v>2302</v>
      </c>
      <c r="O54" s="10" t="s">
        <v>1671</v>
      </c>
      <c r="P54" s="75">
        <v>45597</v>
      </c>
      <c r="Q54" s="10" t="s">
        <v>81</v>
      </c>
      <c r="R54" s="76">
        <v>204250</v>
      </c>
      <c r="S54" s="77">
        <v>204.25</v>
      </c>
      <c r="V54" s="10" t="s">
        <v>16</v>
      </c>
      <c r="W54" s="51">
        <v>0.105497044550269</v>
      </c>
      <c r="X54" s="51">
        <v>5.2321386073865299E-3</v>
      </c>
    </row>
    <row r="55" spans="1:24" x14ac:dyDescent="0.25">
      <c r="A55" s="10">
        <v>12904</v>
      </c>
      <c r="B55" s="10">
        <v>12905</v>
      </c>
      <c r="C55" s="74" t="s">
        <v>2311</v>
      </c>
      <c r="D55" s="10" t="s">
        <v>2298</v>
      </c>
      <c r="E55" s="10" t="s">
        <v>71</v>
      </c>
      <c r="F55" s="10" t="s">
        <v>72</v>
      </c>
      <c r="G55" s="61">
        <v>30317</v>
      </c>
      <c r="H55" s="10" t="s">
        <v>2299</v>
      </c>
      <c r="I55" s="10" t="s">
        <v>2300</v>
      </c>
      <c r="J55" s="74" t="s">
        <v>2311</v>
      </c>
      <c r="K55" s="35">
        <v>0</v>
      </c>
      <c r="L55" s="10" t="s">
        <v>2301</v>
      </c>
      <c r="M55" s="10" t="s">
        <v>1574</v>
      </c>
      <c r="N55" s="10" t="s">
        <v>2302</v>
      </c>
      <c r="O55" s="10" t="s">
        <v>1671</v>
      </c>
      <c r="P55" s="75">
        <v>45717</v>
      </c>
      <c r="Q55" s="10" t="s">
        <v>81</v>
      </c>
      <c r="R55" s="76">
        <v>52675</v>
      </c>
      <c r="S55" s="77">
        <v>52.674999999999997</v>
      </c>
      <c r="V55" s="10" t="s">
        <v>16</v>
      </c>
      <c r="W55" s="51">
        <v>2.72071325419115E-2</v>
      </c>
      <c r="X55" s="51">
        <v>1.34934100927337E-3</v>
      </c>
    </row>
    <row r="56" spans="1:24" x14ac:dyDescent="0.25">
      <c r="A56" s="10">
        <v>12904</v>
      </c>
      <c r="B56" s="10">
        <v>12905</v>
      </c>
      <c r="C56" s="74" t="s">
        <v>2312</v>
      </c>
      <c r="D56" s="10" t="s">
        <v>2298</v>
      </c>
      <c r="E56" s="10" t="s">
        <v>71</v>
      </c>
      <c r="F56" s="10" t="s">
        <v>72</v>
      </c>
      <c r="G56" s="61">
        <v>30317</v>
      </c>
      <c r="H56" s="10" t="s">
        <v>2299</v>
      </c>
      <c r="I56" s="10" t="s">
        <v>2300</v>
      </c>
      <c r="J56" s="74" t="s">
        <v>2312</v>
      </c>
      <c r="K56" s="35">
        <v>0</v>
      </c>
      <c r="L56" s="10" t="s">
        <v>2301</v>
      </c>
      <c r="M56" s="10" t="s">
        <v>1574</v>
      </c>
      <c r="N56" s="10" t="s">
        <v>2302</v>
      </c>
      <c r="O56" s="10" t="s">
        <v>1671</v>
      </c>
      <c r="P56" s="75">
        <v>45717</v>
      </c>
      <c r="Q56" s="10" t="s">
        <v>81</v>
      </c>
      <c r="R56" s="76">
        <v>56084.934399999998</v>
      </c>
      <c r="S56" s="77">
        <v>56.084934400000002</v>
      </c>
      <c r="V56" s="10" t="s">
        <v>16</v>
      </c>
      <c r="W56" s="51">
        <v>2.8968395706221398E-2</v>
      </c>
      <c r="X56" s="51">
        <v>1.4366910676474E-3</v>
      </c>
    </row>
    <row r="57" spans="1:24" x14ac:dyDescent="0.25">
      <c r="A57" s="10">
        <v>12904</v>
      </c>
      <c r="B57" s="10">
        <v>12905</v>
      </c>
      <c r="C57" s="78" t="s">
        <v>2313</v>
      </c>
      <c r="D57" s="10" t="s">
        <v>2298</v>
      </c>
      <c r="E57" s="10" t="s">
        <v>71</v>
      </c>
      <c r="F57" s="10" t="s">
        <v>72</v>
      </c>
      <c r="G57" s="61">
        <v>30317</v>
      </c>
      <c r="H57" s="10" t="s">
        <v>2299</v>
      </c>
      <c r="I57" s="10" t="s">
        <v>2300</v>
      </c>
      <c r="J57" s="78" t="s">
        <v>2313</v>
      </c>
      <c r="K57" s="35">
        <v>0</v>
      </c>
      <c r="L57" s="10" t="s">
        <v>2301</v>
      </c>
      <c r="M57" s="10" t="s">
        <v>1574</v>
      </c>
      <c r="N57" s="10" t="s">
        <v>2302</v>
      </c>
      <c r="O57" s="10" t="s">
        <v>1671</v>
      </c>
      <c r="P57" s="75">
        <v>45717</v>
      </c>
      <c r="Q57" s="10" t="s">
        <v>81</v>
      </c>
      <c r="R57" s="76">
        <v>147275</v>
      </c>
      <c r="S57" s="77">
        <v>147.27500000000001</v>
      </c>
      <c r="V57" s="10" t="s">
        <v>16</v>
      </c>
      <c r="W57" s="51">
        <v>7.6068921596773101E-2</v>
      </c>
      <c r="X57" s="51">
        <v>3.7726473116418699E-3</v>
      </c>
    </row>
    <row r="58" spans="1:24" x14ac:dyDescent="0.25">
      <c r="A58" s="10">
        <v>12904</v>
      </c>
      <c r="B58" s="10">
        <v>12905</v>
      </c>
      <c r="C58" s="74" t="s">
        <v>2314</v>
      </c>
      <c r="D58" s="10" t="s">
        <v>2298</v>
      </c>
      <c r="E58" s="10" t="s">
        <v>71</v>
      </c>
      <c r="F58" s="10" t="s">
        <v>72</v>
      </c>
      <c r="G58" s="61">
        <v>30317</v>
      </c>
      <c r="H58" s="10" t="s">
        <v>2299</v>
      </c>
      <c r="I58" s="10" t="s">
        <v>2300</v>
      </c>
      <c r="J58" s="74" t="s">
        <v>2314</v>
      </c>
      <c r="K58" s="35">
        <v>0</v>
      </c>
      <c r="L58" s="10" t="s">
        <v>2301</v>
      </c>
      <c r="M58" s="10" t="s">
        <v>1574</v>
      </c>
      <c r="N58" s="10" t="s">
        <v>2302</v>
      </c>
      <c r="O58" s="10" t="s">
        <v>1671</v>
      </c>
      <c r="P58" s="75">
        <v>45717</v>
      </c>
      <c r="Q58" s="10" t="s">
        <v>81</v>
      </c>
      <c r="R58" s="76">
        <v>105780</v>
      </c>
      <c r="S58" s="77">
        <v>105.78</v>
      </c>
      <c r="V58" s="10" t="s">
        <v>16</v>
      </c>
      <c r="W58" s="51">
        <v>5.4636364124981497E-2</v>
      </c>
      <c r="X58" s="51">
        <v>2.70969704719387E-3</v>
      </c>
    </row>
    <row r="59" spans="1:24" x14ac:dyDescent="0.25">
      <c r="A59" s="10">
        <v>12904</v>
      </c>
      <c r="B59" s="10">
        <v>12905</v>
      </c>
      <c r="C59" s="78" t="s">
        <v>2315</v>
      </c>
      <c r="D59" s="10" t="s">
        <v>2298</v>
      </c>
      <c r="E59" s="10" t="s">
        <v>71</v>
      </c>
      <c r="F59" s="10" t="s">
        <v>72</v>
      </c>
      <c r="G59" s="61">
        <v>30317</v>
      </c>
      <c r="H59" s="10" t="s">
        <v>2299</v>
      </c>
      <c r="I59" s="10" t="s">
        <v>2300</v>
      </c>
      <c r="J59" s="78" t="s">
        <v>2315</v>
      </c>
      <c r="K59" s="35">
        <v>6.5013470138434795E-2</v>
      </c>
      <c r="L59" s="10" t="s">
        <v>2301</v>
      </c>
      <c r="M59" s="10" t="s">
        <v>1574</v>
      </c>
      <c r="N59" s="10" t="s">
        <v>2302</v>
      </c>
      <c r="O59" s="10" t="s">
        <v>1671</v>
      </c>
      <c r="P59" s="75">
        <v>45689</v>
      </c>
      <c r="Q59" s="10" t="s">
        <v>81</v>
      </c>
      <c r="R59" s="76">
        <v>306317.25959999999</v>
      </c>
      <c r="S59" s="77">
        <v>306.3172596</v>
      </c>
      <c r="V59" s="10" t="s">
        <v>16</v>
      </c>
      <c r="W59" s="51">
        <v>0.15821574336615701</v>
      </c>
      <c r="X59" s="51">
        <v>7.84672881303306E-3</v>
      </c>
    </row>
    <row r="60" spans="1:24" x14ac:dyDescent="0.25">
      <c r="A60" s="10">
        <v>12904</v>
      </c>
      <c r="B60" s="10">
        <v>12905</v>
      </c>
      <c r="C60" s="74" t="s">
        <v>2316</v>
      </c>
      <c r="D60" s="10" t="s">
        <v>2298</v>
      </c>
      <c r="E60" s="10" t="s">
        <v>71</v>
      </c>
      <c r="F60" s="10" t="s">
        <v>72</v>
      </c>
      <c r="G60" s="61">
        <v>30317</v>
      </c>
      <c r="H60" s="10" t="s">
        <v>2299</v>
      </c>
      <c r="I60" s="10" t="s">
        <v>2300</v>
      </c>
      <c r="J60" s="74" t="s">
        <v>2316</v>
      </c>
      <c r="K60" s="35">
        <v>0</v>
      </c>
      <c r="L60" s="10" t="s">
        <v>2301</v>
      </c>
      <c r="M60" s="10" t="s">
        <v>1574</v>
      </c>
      <c r="N60" s="10" t="s">
        <v>2302</v>
      </c>
      <c r="O60" s="10" t="s">
        <v>1671</v>
      </c>
      <c r="P60" s="75">
        <v>45717</v>
      </c>
      <c r="Q60" s="10" t="s">
        <v>81</v>
      </c>
      <c r="R60" s="76">
        <v>154800</v>
      </c>
      <c r="S60" s="77">
        <v>154.80000000000001</v>
      </c>
      <c r="V60" s="10" t="s">
        <v>16</v>
      </c>
      <c r="W60" s="51">
        <v>7.9955654817046098E-2</v>
      </c>
      <c r="X60" s="51">
        <v>3.9654103129666404E-3</v>
      </c>
    </row>
    <row r="61" spans="1:24" x14ac:dyDescent="0.25">
      <c r="A61" s="10">
        <v>12904</v>
      </c>
      <c r="B61" s="10">
        <v>12905</v>
      </c>
      <c r="C61" s="78" t="s">
        <v>2317</v>
      </c>
      <c r="D61" s="10" t="s">
        <v>2298</v>
      </c>
      <c r="E61" s="10" t="s">
        <v>71</v>
      </c>
      <c r="F61" s="10" t="s">
        <v>72</v>
      </c>
      <c r="G61" s="61">
        <v>30317</v>
      </c>
      <c r="H61" s="10" t="s">
        <v>2299</v>
      </c>
      <c r="I61" s="10" t="s">
        <v>2300</v>
      </c>
      <c r="J61" s="78" t="s">
        <v>2317</v>
      </c>
      <c r="K61" s="35">
        <v>0</v>
      </c>
      <c r="L61" s="10" t="s">
        <v>2301</v>
      </c>
      <c r="M61" s="10" t="s">
        <v>1574</v>
      </c>
      <c r="N61" s="10" t="s">
        <v>2302</v>
      </c>
      <c r="O61" s="10" t="s">
        <v>1671</v>
      </c>
      <c r="P61" s="75">
        <v>45717</v>
      </c>
      <c r="Q61" s="10" t="s">
        <v>81</v>
      </c>
      <c r="R61" s="76">
        <v>330111</v>
      </c>
      <c r="S61" s="77">
        <v>330.11099999999999</v>
      </c>
      <c r="V61" s="10" t="s">
        <v>16</v>
      </c>
      <c r="W61" s="51">
        <v>0.17050543389735101</v>
      </c>
      <c r="X61" s="51">
        <v>8.4562374924013507E-3</v>
      </c>
    </row>
  </sheetData>
  <dataValidations count="8">
    <dataValidation type="list" allowBlank="1" showInputMessage="1" showErrorMessage="1" sqref="F2:F20" xr:uid="{00000000-0002-0000-1A00-000000000000}">
      <formula1>Holding_interest</formula1>
      <formula2>0</formula2>
    </dataValidation>
    <dataValidation type="list" allowBlank="1" showInputMessage="1" showErrorMessage="1" sqref="V2:V20" xr:uid="{00000000-0002-0000-1A00-000001000000}">
      <formula1>In_the_books</formula1>
      <formula2>0</formula2>
    </dataValidation>
    <dataValidation type="list" allowBlank="1" showInputMessage="1" showErrorMessage="1" sqref="L2:L20" xr:uid="{00000000-0002-0000-1A00-000002000000}">
      <formula1>Valuation_Method</formula1>
      <formula2>0</formula2>
    </dataValidation>
    <dataValidation type="list" allowBlank="1" showInputMessage="1" showErrorMessage="1" sqref="O2:O20" xr:uid="{00000000-0002-0000-1A00-000003000000}">
      <formula1>Dependence_Independence</formula1>
      <formula2>0</formula2>
    </dataValidation>
    <dataValidation type="list" allowBlank="1" showInputMessage="1" showErrorMessage="1" sqref="E2:E21" xr:uid="{00000000-0002-0000-1A00-000004000000}">
      <formula1>Country_list</formula1>
      <formula2>0</formula2>
    </dataValidation>
    <dataValidation type="list" allowBlank="1" showInputMessage="1" showErrorMessage="1" sqref="I2:I20" xr:uid="{00000000-0002-0000-1A00-000005000000}">
      <formula1>real_estate_lifestage</formula1>
      <formula2>0</formula2>
    </dataValidation>
    <dataValidation type="list" allowBlank="1" showInputMessage="1" showErrorMessage="1" sqref="M2:M20" xr:uid="{00000000-0002-0000-1A00-000006000000}">
      <formula1>Valuation_Realestate</formula1>
      <formula2>0</formula2>
    </dataValidation>
    <dataValidation type="list" allowBlank="1" showInputMessage="1" showErrorMessage="1" sqref="H2:H20" xr:uid="{00000000-0002-0000-1A00-000007000000}">
      <formula1>Real_Estate_Main_Use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0"/>
  <sheetViews>
    <sheetView rightToLeft="1" zoomScale="70" zoomScaleNormal="70" workbookViewId="0"/>
  </sheetViews>
  <sheetFormatPr defaultColWidth="9" defaultRowHeight="13.8" x14ac:dyDescent="0.25"/>
  <cols>
    <col min="1" max="23" width="11.59765625" customWidth="1"/>
  </cols>
  <sheetData>
    <row r="1" spans="1:23" ht="66.75" customHeight="1" x14ac:dyDescent="0.25">
      <c r="A1" s="36" t="s">
        <v>50</v>
      </c>
      <c r="B1" s="36" t="s">
        <v>51</v>
      </c>
      <c r="C1" s="36" t="s">
        <v>91</v>
      </c>
      <c r="D1" s="36" t="s">
        <v>198</v>
      </c>
      <c r="E1" s="36" t="s">
        <v>199</v>
      </c>
      <c r="F1" s="36" t="s">
        <v>92</v>
      </c>
      <c r="G1" s="36" t="s">
        <v>93</v>
      </c>
      <c r="H1" s="36" t="s">
        <v>200</v>
      </c>
      <c r="I1" s="36" t="s">
        <v>55</v>
      </c>
      <c r="J1" s="36" t="s">
        <v>56</v>
      </c>
      <c r="K1" s="36" t="s">
        <v>94</v>
      </c>
      <c r="L1" s="36" t="s">
        <v>201</v>
      </c>
      <c r="M1" s="36" t="s">
        <v>57</v>
      </c>
      <c r="N1" s="36" t="s">
        <v>60</v>
      </c>
      <c r="O1" s="36" t="s">
        <v>1408</v>
      </c>
      <c r="P1" s="36" t="s">
        <v>1409</v>
      </c>
      <c r="Q1" s="36" t="s">
        <v>1411</v>
      </c>
      <c r="R1" s="36" t="s">
        <v>1412</v>
      </c>
      <c r="S1" s="36" t="s">
        <v>2318</v>
      </c>
      <c r="T1" s="36" t="s">
        <v>2319</v>
      </c>
      <c r="U1" s="36" t="s">
        <v>64</v>
      </c>
      <c r="V1" s="36" t="s">
        <v>65</v>
      </c>
      <c r="W1" s="36" t="s">
        <v>66</v>
      </c>
    </row>
    <row r="2" spans="1:23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5" customHeight="1" x14ac:dyDescent="0.25">
      <c r="A16" s="7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5">
      <c r="A19" s="10"/>
      <c r="B19" s="10"/>
      <c r="C19" s="10"/>
      <c r="D19" s="10"/>
      <c r="E19" s="10"/>
      <c r="F19" s="10"/>
      <c r="G19" s="10"/>
      <c r="H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x14ac:dyDescent="0.25">
      <c r="E20" s="10"/>
      <c r="H20" s="10"/>
      <c r="I20" s="10"/>
      <c r="J20" s="10"/>
      <c r="K20" s="10"/>
      <c r="L20" s="10"/>
      <c r="M20" s="10"/>
      <c r="O20" s="10"/>
      <c r="P20" s="10"/>
    </row>
  </sheetData>
  <dataValidations count="10">
    <dataValidation type="list" allowBlank="1" showInputMessage="1" showErrorMessage="1" sqref="J2:J20" xr:uid="{00000000-0002-0000-1B00-000000000000}">
      <formula1>israel_abroad</formula1>
      <formula2>0</formula2>
    </dataValidation>
    <dataValidation type="list" allowBlank="1" showInputMessage="1" showErrorMessage="1" sqref="M2:M20" xr:uid="{00000000-0002-0000-1B00-000001000000}">
      <formula1>Holding_interest</formula1>
      <formula2>0</formula2>
    </dataValidation>
    <dataValidation type="list" allowBlank="1" showInputMessage="1" showErrorMessage="1" sqref="O2:O20" xr:uid="{00000000-0002-0000-1B00-000002000000}">
      <formula1>Valuation</formula1>
      <formula2>0</formula2>
    </dataValidation>
    <dataValidation type="list" allowBlank="1" showInputMessage="1" showErrorMessage="1" sqref="P2:P20" xr:uid="{00000000-0002-0000-1B00-000003000000}">
      <formula1>Dependence_Independence</formula1>
      <formula2>0</formula2>
    </dataValidation>
    <dataValidation type="list" allowBlank="1" showInputMessage="1" showErrorMessage="1" sqref="K2:K20" xr:uid="{00000000-0002-0000-1B00-000004000000}">
      <formula1>Country_list</formula1>
      <formula2>0</formula2>
    </dataValidation>
    <dataValidation type="list" allowBlank="1" showInputMessage="1" showErrorMessage="1" sqref="E3:E20" xr:uid="{00000000-0002-0000-1B00-000005000000}">
      <formula1>Issuer_Number_Type_2</formula1>
      <formula2>0</formula2>
    </dataValidation>
    <dataValidation type="list" allowBlank="1" showInputMessage="1" showErrorMessage="1" sqref="E2" xr:uid="{00000000-0002-0000-1B00-000006000000}">
      <formula1>Issuer_Number_Type_3</formula1>
      <formula2>0</formula2>
    </dataValidation>
    <dataValidation type="list" allowBlank="1" showInputMessage="1" showErrorMessage="1" sqref="H2:H20" xr:uid="{00000000-0002-0000-1B00-000007000000}">
      <formula1>Type_of_Security_ID_Fund</formula1>
      <formula2>0</formula2>
    </dataValidation>
    <dataValidation type="list" allowBlank="1" showInputMessage="1" showErrorMessage="1" sqref="I20" xr:uid="{00000000-0002-0000-1B00-000008000000}">
      <formula1>$C$862:$C$864</formula1>
      <formula2>0</formula2>
    </dataValidation>
    <dataValidation type="list" allowBlank="1" showInputMessage="1" showErrorMessage="1" sqref="L2:L20" xr:uid="{00000000-0002-0000-1B00-000009000000}">
      <formula1>Industry_Sector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7"/>
  <sheetViews>
    <sheetView rightToLeft="1" zoomScale="70" zoomScaleNormal="70" workbookViewId="0"/>
  </sheetViews>
  <sheetFormatPr defaultColWidth="9" defaultRowHeight="13.8" x14ac:dyDescent="0.25"/>
  <cols>
    <col min="1" max="18" width="11.59765625" customWidth="1"/>
  </cols>
  <sheetData>
    <row r="1" spans="1:18" ht="66.75" customHeight="1" x14ac:dyDescent="0.25">
      <c r="A1" s="36" t="s">
        <v>50</v>
      </c>
      <c r="B1" s="36" t="s">
        <v>51</v>
      </c>
      <c r="C1" s="36" t="s">
        <v>2320</v>
      </c>
      <c r="D1" s="36" t="s">
        <v>2321</v>
      </c>
      <c r="E1" s="36" t="s">
        <v>55</v>
      </c>
      <c r="F1" s="36" t="s">
        <v>56</v>
      </c>
      <c r="G1" s="36" t="s">
        <v>94</v>
      </c>
      <c r="H1" s="36" t="s">
        <v>57</v>
      </c>
      <c r="I1" s="60" t="s">
        <v>2322</v>
      </c>
      <c r="J1" s="36" t="s">
        <v>60</v>
      </c>
      <c r="K1" s="60" t="s">
        <v>1411</v>
      </c>
      <c r="L1" s="36" t="s">
        <v>61</v>
      </c>
      <c r="M1" s="37" t="s">
        <v>62</v>
      </c>
      <c r="N1" s="36" t="s">
        <v>64</v>
      </c>
      <c r="O1" s="36" t="s">
        <v>103</v>
      </c>
      <c r="P1" s="36" t="s">
        <v>18</v>
      </c>
      <c r="Q1" s="39" t="s">
        <v>65</v>
      </c>
      <c r="R1" s="39" t="s">
        <v>66</v>
      </c>
    </row>
    <row r="2" spans="1:18" x14ac:dyDescent="0.25">
      <c r="A2" s="10">
        <v>1182</v>
      </c>
      <c r="B2" s="10">
        <v>1182</v>
      </c>
      <c r="C2" s="10" t="s">
        <v>2323</v>
      </c>
      <c r="D2" s="10" t="s">
        <v>2324</v>
      </c>
      <c r="E2" s="10" t="s">
        <v>2325</v>
      </c>
      <c r="F2" s="10" t="s">
        <v>71</v>
      </c>
      <c r="G2" s="10" t="s">
        <v>71</v>
      </c>
      <c r="H2" s="10" t="s">
        <v>72</v>
      </c>
      <c r="I2" s="10"/>
      <c r="J2" s="10" t="s">
        <v>81</v>
      </c>
      <c r="K2" s="61" t="s">
        <v>1455</v>
      </c>
      <c r="L2" s="44">
        <v>-163.30500000000001</v>
      </c>
      <c r="M2" s="55">
        <v>1</v>
      </c>
      <c r="N2" s="52">
        <v>-163.30500000000001</v>
      </c>
      <c r="O2" s="10"/>
      <c r="P2" s="10" t="s">
        <v>16</v>
      </c>
      <c r="Q2" s="54">
        <v>0.81689644491674895</v>
      </c>
      <c r="R2" s="54">
        <v>-3.7716826949302598E-4</v>
      </c>
    </row>
    <row r="3" spans="1:18" x14ac:dyDescent="0.25">
      <c r="A3" s="10">
        <v>1182</v>
      </c>
      <c r="B3" s="10">
        <v>1182</v>
      </c>
      <c r="C3" s="10" t="s">
        <v>2326</v>
      </c>
      <c r="D3" s="10" t="s">
        <v>2327</v>
      </c>
      <c r="E3" s="10" t="s">
        <v>2325</v>
      </c>
      <c r="F3" s="10" t="s">
        <v>71</v>
      </c>
      <c r="G3" s="10" t="s">
        <v>71</v>
      </c>
      <c r="H3" s="10" t="s">
        <v>72</v>
      </c>
      <c r="I3" s="10"/>
      <c r="J3" s="10" t="s">
        <v>81</v>
      </c>
      <c r="K3" s="61" t="s">
        <v>1455</v>
      </c>
      <c r="L3" s="44">
        <v>8.0000000000000002E-3</v>
      </c>
      <c r="M3" s="55">
        <v>1</v>
      </c>
      <c r="N3" s="52">
        <v>8.0000000000000002E-3</v>
      </c>
      <c r="O3" s="10"/>
      <c r="P3" s="10" t="s">
        <v>16</v>
      </c>
      <c r="Q3" s="54">
        <v>-4.0018272343151898E-5</v>
      </c>
      <c r="R3" s="54">
        <v>1.84767881188483E-8</v>
      </c>
    </row>
    <row r="4" spans="1:18" x14ac:dyDescent="0.25">
      <c r="A4" s="10">
        <v>1182</v>
      </c>
      <c r="B4" s="10">
        <v>1182</v>
      </c>
      <c r="C4" s="10" t="s">
        <v>2328</v>
      </c>
      <c r="D4" s="10" t="s">
        <v>2329</v>
      </c>
      <c r="E4" s="10" t="s">
        <v>2330</v>
      </c>
      <c r="F4" s="10" t="s">
        <v>71</v>
      </c>
      <c r="G4" s="10" t="s">
        <v>71</v>
      </c>
      <c r="H4" s="10" t="s">
        <v>72</v>
      </c>
      <c r="I4" s="10"/>
      <c r="J4" s="10" t="s">
        <v>81</v>
      </c>
      <c r="K4" s="61" t="s">
        <v>1455</v>
      </c>
      <c r="L4" s="44">
        <v>-36.612000000000002</v>
      </c>
      <c r="M4" s="55">
        <v>1</v>
      </c>
      <c r="N4" s="52">
        <v>-36.612000000000002</v>
      </c>
      <c r="O4" s="10"/>
      <c r="P4" s="10" t="s">
        <v>16</v>
      </c>
      <c r="Q4" s="54">
        <v>0.183143573355594</v>
      </c>
      <c r="R4" s="54">
        <v>-8.4558997729924096E-5</v>
      </c>
    </row>
    <row r="5" spans="1:18" x14ac:dyDescent="0.25">
      <c r="A5" s="10">
        <v>1182</v>
      </c>
      <c r="B5" s="10">
        <v>14769</v>
      </c>
      <c r="C5" s="10" t="s">
        <v>2323</v>
      </c>
      <c r="D5" s="10" t="s">
        <v>2324</v>
      </c>
      <c r="E5" s="10" t="s">
        <v>2325</v>
      </c>
      <c r="F5" s="10" t="s">
        <v>71</v>
      </c>
      <c r="G5" s="10" t="s">
        <v>71</v>
      </c>
      <c r="H5" s="10" t="s">
        <v>72</v>
      </c>
      <c r="I5" s="10"/>
      <c r="J5" s="10" t="s">
        <v>81</v>
      </c>
      <c r="K5" s="61" t="s">
        <v>1455</v>
      </c>
      <c r="L5" s="44">
        <v>-7.5209999999999999</v>
      </c>
      <c r="M5" s="55">
        <v>1</v>
      </c>
      <c r="N5" s="52">
        <v>-7.5209999999999999</v>
      </c>
      <c r="O5" s="10"/>
      <c r="P5" s="10" t="s">
        <v>16</v>
      </c>
      <c r="Q5" s="54">
        <v>1.00056004299427</v>
      </c>
      <c r="R5" s="54">
        <v>-3.2470342284106199E-4</v>
      </c>
    </row>
    <row r="6" spans="1:18" x14ac:dyDescent="0.25">
      <c r="A6" s="10">
        <v>1182</v>
      </c>
      <c r="B6" s="10">
        <v>14769</v>
      </c>
      <c r="C6" s="10" t="s">
        <v>2326</v>
      </c>
      <c r="D6" s="10" t="s">
        <v>2327</v>
      </c>
      <c r="E6" s="10" t="s">
        <v>2325</v>
      </c>
      <c r="F6" s="10" t="s">
        <v>71</v>
      </c>
      <c r="G6" s="10" t="s">
        <v>71</v>
      </c>
      <c r="H6" s="10" t="s">
        <v>72</v>
      </c>
      <c r="I6" s="10"/>
      <c r="J6" s="10" t="s">
        <v>81</v>
      </c>
      <c r="K6" s="61" t="s">
        <v>1455</v>
      </c>
      <c r="L6" s="44">
        <v>4.0000000000000001E-3</v>
      </c>
      <c r="M6" s="55">
        <v>1</v>
      </c>
      <c r="N6" s="52">
        <v>4.0000000000000001E-3</v>
      </c>
      <c r="O6" s="10"/>
      <c r="P6" s="10" t="s">
        <v>16</v>
      </c>
      <c r="Q6" s="54">
        <v>-5.4807057871996301E-4</v>
      </c>
      <c r="R6" s="54">
        <v>1.77860783183276E-7</v>
      </c>
    </row>
    <row r="7" spans="1:18" x14ac:dyDescent="0.25">
      <c r="A7" s="10">
        <v>1182</v>
      </c>
      <c r="B7" s="10">
        <v>14769</v>
      </c>
      <c r="C7" s="10" t="s">
        <v>2328</v>
      </c>
      <c r="D7" s="10" t="s">
        <v>2329</v>
      </c>
      <c r="E7" s="10" t="s">
        <v>2330</v>
      </c>
      <c r="F7" s="10" t="s">
        <v>71</v>
      </c>
      <c r="G7" s="10" t="s">
        <v>71</v>
      </c>
      <c r="H7" s="10" t="s">
        <v>72</v>
      </c>
      <c r="I7" s="10"/>
      <c r="J7" s="10" t="s">
        <v>81</v>
      </c>
      <c r="K7" s="61" t="s">
        <v>1455</v>
      </c>
      <c r="L7" s="44">
        <v>0</v>
      </c>
      <c r="M7" s="55">
        <v>1</v>
      </c>
      <c r="N7" s="52">
        <v>0</v>
      </c>
      <c r="O7" s="10"/>
      <c r="P7" s="10" t="s">
        <v>16</v>
      </c>
      <c r="Q7" s="54">
        <v>-1.19724155545623E-5</v>
      </c>
      <c r="R7" s="54">
        <v>3.8853083705084498E-9</v>
      </c>
    </row>
    <row r="8" spans="1:18" x14ac:dyDescent="0.25">
      <c r="A8" s="10">
        <v>12904</v>
      </c>
      <c r="B8" s="10">
        <v>12905</v>
      </c>
      <c r="C8" s="10" t="s">
        <v>2323</v>
      </c>
      <c r="D8" s="10" t="s">
        <v>2324</v>
      </c>
      <c r="E8" s="10" t="s">
        <v>2325</v>
      </c>
      <c r="F8" s="10" t="s">
        <v>71</v>
      </c>
      <c r="G8" s="10" t="s">
        <v>71</v>
      </c>
      <c r="H8" s="10" t="s">
        <v>72</v>
      </c>
      <c r="I8" s="10"/>
      <c r="J8" s="10" t="s">
        <v>81</v>
      </c>
      <c r="K8" s="61" t="s">
        <v>1455</v>
      </c>
      <c r="L8" s="44">
        <v>-14.359</v>
      </c>
      <c r="M8" s="55">
        <v>1</v>
      </c>
      <c r="N8" s="52">
        <v>-14.359</v>
      </c>
      <c r="O8" s="10"/>
      <c r="P8" s="10" t="s">
        <v>16</v>
      </c>
      <c r="Q8" s="54">
        <v>0.99329065194608401</v>
      </c>
      <c r="R8" s="54">
        <v>-3.3569247098521601E-4</v>
      </c>
    </row>
    <row r="9" spans="1:18" x14ac:dyDescent="0.25">
      <c r="A9" s="10">
        <v>12904</v>
      </c>
      <c r="B9" s="10">
        <v>12905</v>
      </c>
      <c r="C9" s="10" t="s">
        <v>2326</v>
      </c>
      <c r="D9" s="10" t="s">
        <v>2327</v>
      </c>
      <c r="E9" s="10" t="s">
        <v>2325</v>
      </c>
      <c r="F9" s="10" t="s">
        <v>71</v>
      </c>
      <c r="G9" s="10" t="s">
        <v>71</v>
      </c>
      <c r="H9" s="10" t="s">
        <v>72</v>
      </c>
      <c r="I9" s="10"/>
      <c r="J9" s="10" t="s">
        <v>81</v>
      </c>
      <c r="K9" s="61" t="s">
        <v>1455</v>
      </c>
      <c r="L9" s="44">
        <v>3.2000000000000001E-2</v>
      </c>
      <c r="M9" s="55">
        <v>1</v>
      </c>
      <c r="N9" s="52">
        <v>3.2000000000000001E-2</v>
      </c>
      <c r="O9" s="10"/>
      <c r="P9" s="10" t="s">
        <v>16</v>
      </c>
      <c r="Q9" s="54">
        <v>-2.21777192090454E-3</v>
      </c>
      <c r="R9" s="54">
        <v>7.4951811411035605E-7</v>
      </c>
    </row>
    <row r="10" spans="1:18" x14ac:dyDescent="0.25">
      <c r="A10" s="10">
        <v>12904</v>
      </c>
      <c r="B10" s="10">
        <v>12905</v>
      </c>
      <c r="C10" s="10" t="s">
        <v>2328</v>
      </c>
      <c r="D10" s="10" t="s">
        <v>2329</v>
      </c>
      <c r="E10" s="10" t="s">
        <v>2330</v>
      </c>
      <c r="F10" s="10" t="s">
        <v>71</v>
      </c>
      <c r="G10" s="10" t="s">
        <v>71</v>
      </c>
      <c r="H10" s="10" t="s">
        <v>72</v>
      </c>
      <c r="I10" s="10"/>
      <c r="J10" s="10" t="s">
        <v>81</v>
      </c>
      <c r="K10" s="61" t="s">
        <v>1455</v>
      </c>
      <c r="L10" s="44">
        <v>-0.129</v>
      </c>
      <c r="M10" s="55">
        <v>1</v>
      </c>
      <c r="N10" s="52">
        <v>-0.129</v>
      </c>
      <c r="O10" s="10"/>
      <c r="P10" s="10" t="s">
        <v>16</v>
      </c>
      <c r="Q10" s="54">
        <v>8.9271199748200605E-3</v>
      </c>
      <c r="R10" s="54">
        <v>-3.0170091274467102E-6</v>
      </c>
    </row>
    <row r="11" spans="1:18" x14ac:dyDescent="0.25">
      <c r="A11" s="10">
        <v>12904</v>
      </c>
      <c r="B11" s="10">
        <v>13680</v>
      </c>
      <c r="C11" s="10" t="s">
        <v>2323</v>
      </c>
      <c r="D11" s="10" t="s">
        <v>2324</v>
      </c>
      <c r="E11" s="10" t="s">
        <v>2325</v>
      </c>
      <c r="F11" s="10" t="s">
        <v>71</v>
      </c>
      <c r="G11" s="10" t="s">
        <v>71</v>
      </c>
      <c r="H11" s="10" t="s">
        <v>72</v>
      </c>
      <c r="I11" s="10"/>
      <c r="J11" s="10" t="s">
        <v>81</v>
      </c>
      <c r="K11" s="61" t="s">
        <v>1455</v>
      </c>
      <c r="L11" s="44">
        <v>-15.757</v>
      </c>
      <c r="M11" s="55">
        <v>1</v>
      </c>
      <c r="N11" s="52">
        <v>-15.757</v>
      </c>
      <c r="O11" s="10"/>
      <c r="P11" s="10" t="s">
        <v>16</v>
      </c>
      <c r="Q11" s="54">
        <v>0.94888605059667397</v>
      </c>
      <c r="R11" s="54">
        <v>-3.3889947275441801E-4</v>
      </c>
    </row>
    <row r="12" spans="1:18" x14ac:dyDescent="0.25">
      <c r="A12" s="10">
        <v>12904</v>
      </c>
      <c r="B12" s="10">
        <v>13680</v>
      </c>
      <c r="C12" s="10" t="s">
        <v>2326</v>
      </c>
      <c r="D12" s="10" t="s">
        <v>2327</v>
      </c>
      <c r="E12" s="10" t="s">
        <v>2325</v>
      </c>
      <c r="F12" s="10" t="s">
        <v>71</v>
      </c>
      <c r="G12" s="10" t="s">
        <v>71</v>
      </c>
      <c r="H12" s="10" t="s">
        <v>72</v>
      </c>
      <c r="I12" s="10"/>
      <c r="J12" s="10" t="s">
        <v>81</v>
      </c>
      <c r="K12" s="61" t="s">
        <v>1455</v>
      </c>
      <c r="L12" s="44">
        <v>5.2999999999999999E-2</v>
      </c>
      <c r="M12" s="55">
        <v>1</v>
      </c>
      <c r="N12" s="52">
        <v>5.2999999999999999E-2</v>
      </c>
      <c r="O12" s="10"/>
      <c r="P12" s="10" t="s">
        <v>16</v>
      </c>
      <c r="Q12" s="54">
        <v>-3.19578856850712E-3</v>
      </c>
      <c r="R12" s="54">
        <v>1.1413921199712301E-6</v>
      </c>
    </row>
    <row r="13" spans="1:18" x14ac:dyDescent="0.25">
      <c r="A13" s="10">
        <v>12904</v>
      </c>
      <c r="B13" s="10">
        <v>13680</v>
      </c>
      <c r="C13" s="10" t="s">
        <v>2328</v>
      </c>
      <c r="D13" s="10" t="s">
        <v>2329</v>
      </c>
      <c r="E13" s="10" t="s">
        <v>2330</v>
      </c>
      <c r="F13" s="10" t="s">
        <v>71</v>
      </c>
      <c r="G13" s="10" t="s">
        <v>71</v>
      </c>
      <c r="H13" s="10" t="s">
        <v>72</v>
      </c>
      <c r="I13" s="10"/>
      <c r="J13" s="10" t="s">
        <v>81</v>
      </c>
      <c r="K13" s="61" t="s">
        <v>1455</v>
      </c>
      <c r="L13" s="44">
        <v>-0.90200000000000002</v>
      </c>
      <c r="M13" s="55">
        <v>1</v>
      </c>
      <c r="N13" s="52">
        <v>-0.90200000000000002</v>
      </c>
      <c r="O13" s="10"/>
      <c r="P13" s="10" t="s">
        <v>16</v>
      </c>
      <c r="Q13" s="54">
        <v>5.4309737971833499E-2</v>
      </c>
      <c r="R13" s="54">
        <v>-1.9396998778210801E-5</v>
      </c>
    </row>
    <row r="14" spans="1:18" x14ac:dyDescent="0.25">
      <c r="A14" s="10">
        <v>424</v>
      </c>
      <c r="B14" s="10">
        <v>7228</v>
      </c>
      <c r="C14" s="10" t="s">
        <v>2323</v>
      </c>
      <c r="D14" s="10" t="s">
        <v>2324</v>
      </c>
      <c r="E14" s="10" t="s">
        <v>2325</v>
      </c>
      <c r="F14" s="10" t="s">
        <v>71</v>
      </c>
      <c r="G14" s="10" t="s">
        <v>71</v>
      </c>
      <c r="H14" s="10" t="s">
        <v>72</v>
      </c>
      <c r="I14" s="10"/>
      <c r="J14" s="10" t="s">
        <v>81</v>
      </c>
      <c r="K14" s="61" t="s">
        <v>1455</v>
      </c>
      <c r="L14" s="44">
        <v>368.01100000000002</v>
      </c>
      <c r="M14" s="55">
        <v>1</v>
      </c>
      <c r="N14" s="52">
        <v>368.01100000000002</v>
      </c>
      <c r="O14" s="10"/>
      <c r="P14" s="10" t="s">
        <v>16</v>
      </c>
      <c r="Q14" s="54">
        <v>0.219794388131587</v>
      </c>
      <c r="R14" s="54">
        <v>1.49943501028509E-4</v>
      </c>
    </row>
    <row r="15" spans="1:18" x14ac:dyDescent="0.25">
      <c r="A15" s="10">
        <v>424</v>
      </c>
      <c r="B15" s="10">
        <v>7228</v>
      </c>
      <c r="C15" s="10" t="s">
        <v>2326</v>
      </c>
      <c r="D15" s="10" t="s">
        <v>2327</v>
      </c>
      <c r="E15" s="10" t="s">
        <v>2325</v>
      </c>
      <c r="F15" s="10" t="s">
        <v>71</v>
      </c>
      <c r="G15" s="10" t="s">
        <v>71</v>
      </c>
      <c r="H15" s="10" t="s">
        <v>72</v>
      </c>
      <c r="I15" s="10"/>
      <c r="J15" s="10" t="s">
        <v>81</v>
      </c>
      <c r="K15" s="61" t="s">
        <v>1455</v>
      </c>
      <c r="L15" s="44">
        <v>1749.28</v>
      </c>
      <c r="M15" s="55">
        <v>1</v>
      </c>
      <c r="N15" s="52">
        <v>1749.28</v>
      </c>
      <c r="O15" s="10"/>
      <c r="P15" s="10" t="s">
        <v>16</v>
      </c>
      <c r="Q15" s="54">
        <v>1.0447570185762201</v>
      </c>
      <c r="R15" s="54">
        <v>7.1273214216751896E-4</v>
      </c>
    </row>
    <row r="16" spans="1:18" x14ac:dyDescent="0.25">
      <c r="A16" s="10">
        <v>424</v>
      </c>
      <c r="B16" s="10">
        <v>7228</v>
      </c>
      <c r="C16" s="10" t="s">
        <v>2331</v>
      </c>
      <c r="D16" s="10" t="s">
        <v>2332</v>
      </c>
      <c r="E16" s="10" t="s">
        <v>2333</v>
      </c>
      <c r="F16" s="10" t="s">
        <v>71</v>
      </c>
      <c r="G16" s="10"/>
      <c r="H16" s="10" t="s">
        <v>72</v>
      </c>
      <c r="I16" s="10" t="s">
        <v>2334</v>
      </c>
      <c r="J16" s="10" t="s">
        <v>81</v>
      </c>
      <c r="K16" s="61" t="s">
        <v>1455</v>
      </c>
      <c r="L16" s="44">
        <v>286.06700000000001</v>
      </c>
      <c r="M16" s="55">
        <v>1</v>
      </c>
      <c r="N16" s="52">
        <v>286.06700000000001</v>
      </c>
      <c r="O16" s="10"/>
      <c r="P16" s="10" t="s">
        <v>16</v>
      </c>
      <c r="Q16" s="54">
        <v>0.17085342564085201</v>
      </c>
      <c r="R16" s="54">
        <v>1.1655602775429399E-4</v>
      </c>
    </row>
    <row r="17" spans="1:18" x14ac:dyDescent="0.25">
      <c r="A17" s="10">
        <v>424</v>
      </c>
      <c r="B17" s="10">
        <v>7228</v>
      </c>
      <c r="C17" s="10" t="s">
        <v>2335</v>
      </c>
      <c r="D17" s="10" t="s">
        <v>2336</v>
      </c>
      <c r="E17" s="10" t="s">
        <v>2333</v>
      </c>
      <c r="F17" s="10" t="s">
        <v>71</v>
      </c>
      <c r="G17" s="10"/>
      <c r="H17" s="10" t="s">
        <v>72</v>
      </c>
      <c r="I17" s="10" t="s">
        <v>2337</v>
      </c>
      <c r="J17" s="10" t="s">
        <v>81</v>
      </c>
      <c r="K17" s="61" t="s">
        <v>1455</v>
      </c>
      <c r="L17" s="44">
        <v>-286.06700000000001</v>
      </c>
      <c r="M17" s="55">
        <v>1</v>
      </c>
      <c r="N17" s="52">
        <v>-286.06700000000001</v>
      </c>
      <c r="O17" s="10"/>
      <c r="P17" s="10" t="s">
        <v>16</v>
      </c>
      <c r="Q17" s="54">
        <v>-0.17085342564085201</v>
      </c>
      <c r="R17" s="54">
        <v>-1.1655602775429399E-4</v>
      </c>
    </row>
    <row r="18" spans="1:18" x14ac:dyDescent="0.25">
      <c r="A18" s="10">
        <v>424</v>
      </c>
      <c r="B18" s="10">
        <v>7228</v>
      </c>
      <c r="C18" s="10" t="s">
        <v>2338</v>
      </c>
      <c r="D18" s="10" t="s">
        <v>2339</v>
      </c>
      <c r="E18" s="10" t="s">
        <v>2333</v>
      </c>
      <c r="F18" s="10"/>
      <c r="G18" s="10" t="s">
        <v>71</v>
      </c>
      <c r="H18" s="10" t="s">
        <v>72</v>
      </c>
      <c r="I18" s="10" t="s">
        <v>1440</v>
      </c>
      <c r="J18" s="10" t="s">
        <v>81</v>
      </c>
      <c r="K18" s="61" t="s">
        <v>1455</v>
      </c>
      <c r="L18" s="44">
        <v>1.3959999999999999</v>
      </c>
      <c r="M18" s="55">
        <v>1</v>
      </c>
      <c r="N18" s="52">
        <v>0</v>
      </c>
      <c r="O18" s="10"/>
      <c r="P18" s="10" t="s">
        <v>16</v>
      </c>
      <c r="Q18" s="54">
        <v>8.33653055326249E-10</v>
      </c>
      <c r="R18" s="54">
        <v>5.6871723987736701E-13</v>
      </c>
    </row>
    <row r="19" spans="1:18" x14ac:dyDescent="0.25">
      <c r="A19" s="10">
        <v>424</v>
      </c>
      <c r="B19" s="10">
        <v>7228</v>
      </c>
      <c r="C19" s="10" t="s">
        <v>2328</v>
      </c>
      <c r="D19" s="10" t="s">
        <v>2329</v>
      </c>
      <c r="E19" s="10" t="s">
        <v>2330</v>
      </c>
      <c r="F19" s="10" t="s">
        <v>71</v>
      </c>
      <c r="G19" s="10" t="s">
        <v>71</v>
      </c>
      <c r="H19" s="10" t="s">
        <v>72</v>
      </c>
      <c r="I19" s="10"/>
      <c r="J19" s="10" t="s">
        <v>81</v>
      </c>
      <c r="K19" s="61" t="s">
        <v>1455</v>
      </c>
      <c r="L19" s="44">
        <v>-442.94900000000001</v>
      </c>
      <c r="M19" s="55">
        <v>1</v>
      </c>
      <c r="N19" s="52">
        <v>-442.94900000000001</v>
      </c>
      <c r="O19" s="10"/>
      <c r="P19" s="10" t="s">
        <v>16</v>
      </c>
      <c r="Q19" s="54">
        <v>-0.26455140754146</v>
      </c>
      <c r="R19" s="54">
        <v>-1.8047669272173601E-4</v>
      </c>
    </row>
    <row r="20" spans="1:18" x14ac:dyDescent="0.25">
      <c r="A20">
        <v>424</v>
      </c>
      <c r="B20">
        <v>7229</v>
      </c>
      <c r="C20" t="s">
        <v>2323</v>
      </c>
      <c r="D20" t="s">
        <v>2324</v>
      </c>
      <c r="E20" s="10" t="s">
        <v>2325</v>
      </c>
      <c r="F20" s="10" t="s">
        <v>71</v>
      </c>
      <c r="G20" s="10" t="s">
        <v>71</v>
      </c>
      <c r="H20" s="10" t="s">
        <v>72</v>
      </c>
      <c r="J20" t="s">
        <v>81</v>
      </c>
      <c r="K20" s="63" t="s">
        <v>1455</v>
      </c>
      <c r="L20" s="44">
        <v>-57.095999999999997</v>
      </c>
      <c r="M20" s="42">
        <v>1</v>
      </c>
      <c r="N20" s="44">
        <v>-57.095999999999997</v>
      </c>
      <c r="P20" s="10" t="s">
        <v>16</v>
      </c>
      <c r="Q20" s="45">
        <v>0.99996865033016102</v>
      </c>
      <c r="R20" s="45">
        <v>-3.8003885133765702E-4</v>
      </c>
    </row>
    <row r="21" spans="1:18" x14ac:dyDescent="0.25">
      <c r="A21">
        <v>424</v>
      </c>
      <c r="B21">
        <v>7229</v>
      </c>
      <c r="C21" t="s">
        <v>2326</v>
      </c>
      <c r="D21" t="s">
        <v>2327</v>
      </c>
      <c r="E21" t="s">
        <v>2325</v>
      </c>
      <c r="F21" t="s">
        <v>71</v>
      </c>
      <c r="G21" t="s">
        <v>71</v>
      </c>
      <c r="H21" t="s">
        <v>72</v>
      </c>
      <c r="J21" t="s">
        <v>81</v>
      </c>
      <c r="K21" s="63" t="s">
        <v>1455</v>
      </c>
      <c r="L21" s="44">
        <v>0</v>
      </c>
      <c r="M21" s="42">
        <v>1</v>
      </c>
      <c r="N21" s="44">
        <v>0</v>
      </c>
      <c r="P21" t="s">
        <v>16</v>
      </c>
      <c r="Q21" s="45">
        <v>4.9038589692193497E-6</v>
      </c>
      <c r="R21" s="45">
        <v>-1.8637153566450901E-9</v>
      </c>
    </row>
    <row r="22" spans="1:18" x14ac:dyDescent="0.25">
      <c r="A22">
        <v>424</v>
      </c>
      <c r="B22">
        <v>7229</v>
      </c>
      <c r="C22" t="s">
        <v>2328</v>
      </c>
      <c r="D22" t="s">
        <v>2329</v>
      </c>
      <c r="E22" t="s">
        <v>2330</v>
      </c>
      <c r="F22" t="s">
        <v>71</v>
      </c>
      <c r="G22" t="s">
        <v>71</v>
      </c>
      <c r="H22" t="s">
        <v>72</v>
      </c>
      <c r="J22" t="s">
        <v>81</v>
      </c>
      <c r="K22" s="63" t="s">
        <v>1455</v>
      </c>
      <c r="L22" s="44">
        <v>-2E-3</v>
      </c>
      <c r="M22" s="42">
        <v>1</v>
      </c>
      <c r="N22" s="44">
        <v>-2E-3</v>
      </c>
      <c r="P22" t="s">
        <v>16</v>
      </c>
      <c r="Q22" s="45">
        <v>2.6445810869718699E-5</v>
      </c>
      <c r="R22" s="45">
        <v>-1.0050750673336E-8</v>
      </c>
    </row>
    <row r="23" spans="1:18" x14ac:dyDescent="0.25">
      <c r="A23">
        <v>424</v>
      </c>
      <c r="B23">
        <v>9817</v>
      </c>
      <c r="C23" t="s">
        <v>2323</v>
      </c>
      <c r="D23" t="s">
        <v>2324</v>
      </c>
      <c r="E23" t="s">
        <v>2325</v>
      </c>
      <c r="F23" t="s">
        <v>71</v>
      </c>
      <c r="G23" t="s">
        <v>71</v>
      </c>
      <c r="H23" t="s">
        <v>72</v>
      </c>
      <c r="J23" t="s">
        <v>81</v>
      </c>
      <c r="K23" s="63" t="s">
        <v>1455</v>
      </c>
      <c r="L23" s="44">
        <v>-0.67300000000000004</v>
      </c>
      <c r="M23" s="42">
        <v>1</v>
      </c>
      <c r="N23" s="44">
        <v>-0.67300000000000004</v>
      </c>
      <c r="P23" t="s">
        <v>16</v>
      </c>
      <c r="Q23" s="45">
        <v>1</v>
      </c>
      <c r="R23" s="45">
        <v>-3.5013077412891498E-4</v>
      </c>
    </row>
    <row r="24" spans="1:18" x14ac:dyDescent="0.25">
      <c r="A24">
        <v>424</v>
      </c>
      <c r="B24">
        <v>15416</v>
      </c>
      <c r="C24" t="s">
        <v>2323</v>
      </c>
      <c r="D24" t="s">
        <v>2324</v>
      </c>
      <c r="E24" t="s">
        <v>2325</v>
      </c>
      <c r="F24" t="s">
        <v>71</v>
      </c>
      <c r="G24" t="s">
        <v>71</v>
      </c>
      <c r="H24" t="s">
        <v>72</v>
      </c>
      <c r="J24" t="s">
        <v>81</v>
      </c>
      <c r="K24" s="63" t="s">
        <v>1455</v>
      </c>
      <c r="L24" s="44">
        <v>-2.6360000000000001</v>
      </c>
      <c r="M24" s="42">
        <v>1</v>
      </c>
      <c r="N24" s="44">
        <v>-2.6360000000000001</v>
      </c>
      <c r="P24" t="s">
        <v>16</v>
      </c>
      <c r="Q24" s="45">
        <v>1</v>
      </c>
      <c r="R24" s="45">
        <v>-3.3045692006864797E-4</v>
      </c>
    </row>
    <row r="25" spans="1:18" x14ac:dyDescent="0.25">
      <c r="A25">
        <v>969</v>
      </c>
      <c r="B25">
        <v>969</v>
      </c>
      <c r="C25" t="s">
        <v>2323</v>
      </c>
      <c r="D25" t="s">
        <v>2324</v>
      </c>
      <c r="E25" t="s">
        <v>2325</v>
      </c>
      <c r="F25" t="s">
        <v>71</v>
      </c>
      <c r="G25" t="s">
        <v>71</v>
      </c>
      <c r="H25" t="s">
        <v>72</v>
      </c>
      <c r="J25" t="s">
        <v>81</v>
      </c>
      <c r="K25" s="63" t="s">
        <v>1455</v>
      </c>
      <c r="L25" s="44">
        <v>-29.245000000000001</v>
      </c>
      <c r="M25" s="42">
        <v>1</v>
      </c>
      <c r="N25" s="44">
        <v>-29.245000000000001</v>
      </c>
      <c r="P25" t="s">
        <v>16</v>
      </c>
      <c r="Q25" s="45">
        <v>0.22235941851311999</v>
      </c>
      <c r="R25" s="45">
        <v>-3.9920238167345801E-4</v>
      </c>
    </row>
    <row r="26" spans="1:18" x14ac:dyDescent="0.25">
      <c r="A26">
        <v>969</v>
      </c>
      <c r="B26">
        <v>969</v>
      </c>
      <c r="C26" t="s">
        <v>2326</v>
      </c>
      <c r="D26" t="s">
        <v>2327</v>
      </c>
      <c r="E26" t="s">
        <v>2325</v>
      </c>
      <c r="F26" t="s">
        <v>71</v>
      </c>
      <c r="G26" t="s">
        <v>71</v>
      </c>
      <c r="H26" t="s">
        <v>72</v>
      </c>
      <c r="J26" t="s">
        <v>81</v>
      </c>
      <c r="K26" s="63" t="s">
        <v>1455</v>
      </c>
      <c r="L26" s="44">
        <v>-4.0000000000000001E-3</v>
      </c>
      <c r="M26" s="42">
        <v>1</v>
      </c>
      <c r="N26" s="44">
        <v>-4.0000000000000001E-3</v>
      </c>
      <c r="P26" t="s">
        <v>16</v>
      </c>
      <c r="Q26" s="45">
        <v>2.8664225062675401E-5</v>
      </c>
      <c r="R26" s="45">
        <v>-5.1460949980712799E-8</v>
      </c>
    </row>
    <row r="27" spans="1:18" x14ac:dyDescent="0.25">
      <c r="A27">
        <v>969</v>
      </c>
      <c r="B27">
        <v>969</v>
      </c>
      <c r="C27" t="s">
        <v>2328</v>
      </c>
      <c r="D27" t="s">
        <v>2329</v>
      </c>
      <c r="E27" t="s">
        <v>2330</v>
      </c>
      <c r="F27" t="s">
        <v>71</v>
      </c>
      <c r="G27" t="s">
        <v>71</v>
      </c>
      <c r="H27" t="s">
        <v>72</v>
      </c>
      <c r="J27" t="s">
        <v>81</v>
      </c>
      <c r="K27" s="63" t="s">
        <v>1455</v>
      </c>
      <c r="L27" s="44">
        <v>-102.274</v>
      </c>
      <c r="M27" s="42">
        <v>1</v>
      </c>
      <c r="N27" s="44">
        <v>-102.274</v>
      </c>
      <c r="P27" t="s">
        <v>16</v>
      </c>
      <c r="Q27" s="45">
        <v>0.777611917261817</v>
      </c>
      <c r="R27" s="45">
        <v>-1.39604848521523E-3</v>
      </c>
    </row>
  </sheetData>
  <dataValidations count="5">
    <dataValidation type="list" allowBlank="1" showInputMessage="1" showErrorMessage="1" sqref="F2:F20" xr:uid="{00000000-0002-0000-1C00-000000000000}">
      <formula1>israel_abroad</formula1>
      <formula2>0</formula2>
    </dataValidation>
    <dataValidation type="list" allowBlank="1" showInputMessage="1" showErrorMessage="1" sqref="H2:H20" xr:uid="{00000000-0002-0000-1C00-000001000000}">
      <formula1>Holding_interest</formula1>
      <formula2>0</formula2>
    </dataValidation>
    <dataValidation type="list" allowBlank="1" showInputMessage="1" showErrorMessage="1" sqref="P2:P20" xr:uid="{00000000-0002-0000-1C00-000002000000}">
      <formula1>In_the_books</formula1>
      <formula2>0</formula2>
    </dataValidation>
    <dataValidation type="list" allowBlank="1" showInputMessage="1" showErrorMessage="1" sqref="G2:G20" xr:uid="{00000000-0002-0000-1C00-000003000000}">
      <formula1>Country_list</formula1>
      <formula2>0</formula2>
    </dataValidation>
    <dataValidation type="list" allowBlank="1" showInputMessage="1" showErrorMessage="1" sqref="E2:E20" xr:uid="{00000000-0002-0000-1C00-000004000000}">
      <formula1>other_investments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0"/>
  <sheetViews>
    <sheetView rightToLeft="1" zoomScale="70" zoomScaleNormal="70" workbookViewId="0">
      <selection activeCell="A2" sqref="A2"/>
    </sheetView>
  </sheetViews>
  <sheetFormatPr defaultColWidth="11.59765625" defaultRowHeight="13.8" x14ac:dyDescent="0.25"/>
  <cols>
    <col min="16" max="16" width="11.59765625" style="35"/>
  </cols>
  <sheetData>
    <row r="1" spans="1:20" ht="66.75" customHeight="1" x14ac:dyDescent="0.25">
      <c r="A1" s="36" t="s">
        <v>50</v>
      </c>
      <c r="B1" s="36" t="s">
        <v>51</v>
      </c>
      <c r="C1" s="36" t="s">
        <v>2141</v>
      </c>
      <c r="D1" s="36" t="s">
        <v>2142</v>
      </c>
      <c r="E1" s="36" t="s">
        <v>2143</v>
      </c>
      <c r="F1" s="36" t="s">
        <v>2144</v>
      </c>
      <c r="G1" s="36" t="s">
        <v>2340</v>
      </c>
      <c r="H1" s="36" t="s">
        <v>56</v>
      </c>
      <c r="I1" s="36" t="s">
        <v>94</v>
      </c>
      <c r="J1" s="36" t="s">
        <v>57</v>
      </c>
      <c r="K1" s="36" t="s">
        <v>96</v>
      </c>
      <c r="L1" s="36" t="s">
        <v>59</v>
      </c>
      <c r="M1" s="36" t="s">
        <v>2149</v>
      </c>
      <c r="N1" s="36" t="s">
        <v>60</v>
      </c>
      <c r="O1" s="36" t="s">
        <v>62</v>
      </c>
      <c r="P1" s="50" t="s">
        <v>63</v>
      </c>
      <c r="Q1" s="36" t="s">
        <v>2150</v>
      </c>
      <c r="R1" s="36" t="s">
        <v>2341</v>
      </c>
      <c r="S1" s="36" t="s">
        <v>2342</v>
      </c>
      <c r="T1" s="36" t="s">
        <v>2343</v>
      </c>
    </row>
    <row r="2" spans="1:20" ht="13.5" customHeight="1" x14ac:dyDescent="0.25">
      <c r="D2" s="10"/>
      <c r="G2" s="10"/>
      <c r="H2" s="10"/>
      <c r="I2" s="10"/>
      <c r="J2" s="10"/>
      <c r="K2" s="10"/>
      <c r="L2" s="10"/>
      <c r="M2" s="10"/>
      <c r="Q2" s="10"/>
      <c r="R2" s="10"/>
      <c r="S2" s="10"/>
      <c r="T2" s="10"/>
    </row>
    <row r="3" spans="1:20" ht="13.5" customHeight="1" x14ac:dyDescent="0.25">
      <c r="D3" s="10"/>
      <c r="H3" s="10"/>
      <c r="I3" s="10"/>
      <c r="J3" s="10"/>
      <c r="K3" s="10"/>
      <c r="L3" s="10"/>
      <c r="M3" s="10"/>
      <c r="Q3" s="10"/>
    </row>
    <row r="4" spans="1:20" ht="13.5" customHeight="1" x14ac:dyDescent="0.25">
      <c r="D4" s="10"/>
      <c r="H4" s="10"/>
      <c r="I4" s="10"/>
      <c r="J4" s="10"/>
      <c r="K4" s="10"/>
      <c r="L4" s="10"/>
      <c r="M4" s="10"/>
      <c r="Q4" s="10"/>
    </row>
    <row r="5" spans="1:20" ht="13.5" customHeight="1" x14ac:dyDescent="0.25">
      <c r="D5" s="10"/>
      <c r="H5" s="10"/>
      <c r="I5" s="10"/>
      <c r="J5" s="10"/>
      <c r="K5" s="10"/>
      <c r="L5" s="10"/>
      <c r="M5" s="10"/>
      <c r="Q5" s="10"/>
    </row>
    <row r="6" spans="1:20" ht="13.5" customHeight="1" x14ac:dyDescent="0.25">
      <c r="D6" s="10"/>
      <c r="H6" s="10"/>
      <c r="I6" s="10"/>
      <c r="J6" s="10"/>
      <c r="K6" s="10"/>
      <c r="L6" s="10"/>
      <c r="M6" s="10"/>
      <c r="Q6" s="10"/>
    </row>
    <row r="7" spans="1:20" ht="13.5" customHeight="1" x14ac:dyDescent="0.25">
      <c r="D7" s="10"/>
      <c r="H7" s="10"/>
      <c r="I7" s="10"/>
      <c r="J7" s="10"/>
      <c r="K7" s="10"/>
      <c r="L7" s="10"/>
      <c r="M7" s="10"/>
      <c r="Q7" s="10"/>
    </row>
    <row r="8" spans="1:20" ht="13.5" customHeight="1" x14ac:dyDescent="0.25">
      <c r="D8" s="10"/>
      <c r="H8" s="10"/>
      <c r="I8" s="10"/>
      <c r="J8" s="10"/>
      <c r="K8" s="10"/>
      <c r="L8" s="10"/>
      <c r="M8" s="10"/>
      <c r="Q8" s="10"/>
    </row>
    <row r="9" spans="1:20" ht="13.5" customHeight="1" x14ac:dyDescent="0.25">
      <c r="D9" s="10"/>
      <c r="H9" s="10"/>
      <c r="I9" s="10"/>
      <c r="J9" s="10"/>
      <c r="K9" s="10"/>
      <c r="L9" s="10"/>
      <c r="M9" s="10"/>
      <c r="Q9" s="10"/>
    </row>
    <row r="10" spans="1:20" ht="13.5" customHeight="1" x14ac:dyDescent="0.25">
      <c r="D10" s="10"/>
      <c r="H10" s="10"/>
      <c r="I10" s="10"/>
      <c r="J10" s="10"/>
      <c r="K10" s="10"/>
      <c r="L10" s="10"/>
      <c r="M10" s="10"/>
      <c r="Q10" s="10"/>
    </row>
    <row r="11" spans="1:20" ht="13.5" customHeight="1" x14ac:dyDescent="0.25">
      <c r="D11" s="10"/>
      <c r="H11" s="10"/>
      <c r="I11" s="10"/>
      <c r="J11" s="10"/>
      <c r="K11" s="10"/>
      <c r="L11" s="10"/>
      <c r="M11" s="10"/>
      <c r="Q11" s="10"/>
    </row>
    <row r="12" spans="1:20" ht="13.5" customHeight="1" x14ac:dyDescent="0.25">
      <c r="D12" s="10"/>
      <c r="H12" s="10"/>
      <c r="I12" s="10"/>
      <c r="J12" s="10"/>
      <c r="K12" s="10"/>
      <c r="L12" s="10"/>
      <c r="M12" s="10"/>
      <c r="Q12" s="10"/>
    </row>
    <row r="13" spans="1:20" ht="13.5" customHeight="1" x14ac:dyDescent="0.25">
      <c r="D13" s="10"/>
      <c r="H13" s="10"/>
      <c r="I13" s="10"/>
      <c r="J13" s="10"/>
      <c r="K13" s="10"/>
      <c r="L13" s="10"/>
      <c r="M13" s="10"/>
      <c r="Q13" s="10"/>
    </row>
    <row r="14" spans="1:20" ht="13.5" customHeight="1" x14ac:dyDescent="0.25">
      <c r="D14" s="10"/>
      <c r="H14" s="10"/>
      <c r="I14" s="10"/>
      <c r="J14" s="10"/>
      <c r="K14" s="10"/>
      <c r="L14" s="10"/>
      <c r="M14" s="10"/>
      <c r="Q14" s="10"/>
    </row>
    <row r="15" spans="1:20" ht="13.5" customHeight="1" x14ac:dyDescent="0.25">
      <c r="D15" s="10"/>
      <c r="H15" s="10"/>
      <c r="I15" s="10"/>
      <c r="J15" s="10"/>
      <c r="K15" s="10"/>
      <c r="L15" s="10"/>
      <c r="M15" s="10"/>
      <c r="Q15" s="10"/>
    </row>
    <row r="16" spans="1:20" ht="13.5" customHeight="1" x14ac:dyDescent="0.25">
      <c r="D16" s="10"/>
      <c r="H16" s="10"/>
      <c r="I16" s="10"/>
      <c r="J16" s="10"/>
      <c r="K16" s="10"/>
      <c r="L16" s="10"/>
      <c r="M16" s="10"/>
      <c r="Q16" s="10"/>
    </row>
    <row r="17" spans="4:17" ht="13.5" customHeight="1" x14ac:dyDescent="0.25">
      <c r="D17" s="10"/>
      <c r="H17" s="10"/>
      <c r="I17" s="10"/>
      <c r="J17" s="10"/>
      <c r="K17" s="10"/>
      <c r="L17" s="10"/>
      <c r="M17" s="10"/>
      <c r="Q17" s="10"/>
    </row>
    <row r="18" spans="4:17" ht="13.5" customHeight="1" x14ac:dyDescent="0.25">
      <c r="D18" s="10"/>
      <c r="H18" s="10"/>
      <c r="I18" s="10"/>
      <c r="J18" s="10"/>
      <c r="K18" s="10"/>
      <c r="L18" s="10"/>
      <c r="M18" s="10"/>
      <c r="Q18" s="10"/>
    </row>
    <row r="19" spans="4:17" ht="13.5" customHeight="1" x14ac:dyDescent="0.25">
      <c r="D19" s="10"/>
      <c r="H19" s="10"/>
      <c r="I19" s="10"/>
      <c r="J19" s="10"/>
      <c r="K19" s="10"/>
      <c r="L19" s="10"/>
      <c r="M19" s="10"/>
      <c r="Q19" s="10"/>
    </row>
    <row r="20" spans="4:17" ht="13.5" customHeight="1" x14ac:dyDescent="0.25">
      <c r="D20" s="10"/>
      <c r="H20" s="10"/>
      <c r="I20" s="10"/>
      <c r="J20" s="10"/>
      <c r="L20" s="10"/>
      <c r="M20" s="10"/>
      <c r="Q20" s="10"/>
    </row>
  </sheetData>
  <dataValidations count="8">
    <dataValidation type="list" allowBlank="1" showInputMessage="1" showErrorMessage="1" sqref="H2:H20" xr:uid="{00000000-0002-0000-1D00-000000000000}">
      <formula1>israel_abroad</formula1>
      <formula2>0</formula2>
    </dataValidation>
    <dataValidation type="list" allowBlank="1" showInputMessage="1" showErrorMessage="1" sqref="I2:I20" xr:uid="{00000000-0002-0000-1D00-000001000000}">
      <formula1>Country_list</formula1>
      <formula2>0</formula2>
    </dataValidation>
    <dataValidation type="list" allowBlank="1" showInputMessage="1" showErrorMessage="1" sqref="C8" xr:uid="{00000000-0002-0000-1D00-000002000000}">
      <formula1>#REF!</formula1>
      <formula2>0</formula2>
    </dataValidation>
    <dataValidation type="list" allowBlank="1" showInputMessage="1" showErrorMessage="1" sqref="D2:D20" xr:uid="{00000000-0002-0000-1D00-000003000000}">
      <formula1>issuer_number_loan</formula1>
      <formula2>0</formula2>
    </dataValidation>
    <dataValidation type="list" allowBlank="1" showInputMessage="1" showErrorMessage="1" sqref="L2:L20" xr:uid="{00000000-0002-0000-1D00-000004000000}">
      <formula1>Rating_Agency</formula1>
      <formula2>0</formula2>
    </dataValidation>
    <dataValidation type="list" allowBlank="1" showInputMessage="1" showErrorMessage="1" sqref="Q2:Q20" xr:uid="{00000000-0002-0000-1D00-000005000000}">
      <formula1>Type_of_Interest_Rate</formula1>
      <formula2>0</formula2>
    </dataValidation>
    <dataValidation type="list" allowBlank="1" showInputMessage="1" showErrorMessage="1" sqref="J2:J20" xr:uid="{00000000-0002-0000-1D00-000006000000}">
      <formula1>Holding_interest</formula1>
      <formula2>0</formula2>
    </dataValidation>
    <dataValidation type="list" allowBlank="1" showInputMessage="1" showErrorMessage="1" sqref="M2:M20" xr:uid="{00000000-0002-0000-1D00-000007000000}">
      <formula1>what_is_rated_loans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219"/>
  <sheetViews>
    <sheetView rightToLeft="1" zoomScale="70" zoomScaleNormal="70" workbookViewId="0">
      <selection activeCell="O193" sqref="O193"/>
    </sheetView>
  </sheetViews>
  <sheetFormatPr defaultColWidth="11.59765625" defaultRowHeight="13.8" x14ac:dyDescent="0.25"/>
  <cols>
    <col min="7" max="7" width="48.5" customWidth="1"/>
    <col min="9" max="9" width="12.59765625" customWidth="1"/>
  </cols>
  <sheetData>
    <row r="1" spans="1:22" ht="66.75" customHeight="1" x14ac:dyDescent="0.25">
      <c r="A1" s="36" t="s">
        <v>50</v>
      </c>
      <c r="B1" s="36" t="s">
        <v>51</v>
      </c>
      <c r="C1" s="36" t="s">
        <v>55</v>
      </c>
      <c r="D1" s="36" t="s">
        <v>1654</v>
      </c>
      <c r="E1" s="36" t="s">
        <v>1655</v>
      </c>
      <c r="F1" s="36" t="s">
        <v>1656</v>
      </c>
      <c r="G1" s="36" t="s">
        <v>1657</v>
      </c>
      <c r="H1" s="36" t="s">
        <v>1658</v>
      </c>
      <c r="I1" s="36" t="s">
        <v>1659</v>
      </c>
      <c r="J1" s="36" t="s">
        <v>60</v>
      </c>
      <c r="K1" s="36" t="s">
        <v>2344</v>
      </c>
      <c r="L1" s="36" t="s">
        <v>2345</v>
      </c>
      <c r="M1" s="36" t="s">
        <v>2346</v>
      </c>
      <c r="N1" s="36" t="s">
        <v>2347</v>
      </c>
      <c r="O1" s="36" t="s">
        <v>2348</v>
      </c>
      <c r="P1" s="36" t="s">
        <v>2349</v>
      </c>
      <c r="Q1" s="36" t="s">
        <v>2350</v>
      </c>
    </row>
    <row r="2" spans="1:22" ht="13.5" customHeight="1" x14ac:dyDescent="0.25">
      <c r="A2" s="10">
        <v>424</v>
      </c>
      <c r="B2">
        <v>7228</v>
      </c>
      <c r="C2" t="s">
        <v>1668</v>
      </c>
      <c r="D2" s="10" t="s">
        <v>2023</v>
      </c>
      <c r="E2" s="10" t="s">
        <v>2024</v>
      </c>
      <c r="F2" s="10" t="s">
        <v>111</v>
      </c>
      <c r="G2" s="10" t="s">
        <v>2025</v>
      </c>
      <c r="H2">
        <v>60345527</v>
      </c>
      <c r="I2" s="10" t="s">
        <v>111</v>
      </c>
      <c r="J2" s="10" t="s">
        <v>75</v>
      </c>
      <c r="K2" s="63" t="s">
        <v>1424</v>
      </c>
      <c r="L2" s="76">
        <v>500000</v>
      </c>
      <c r="M2" s="80">
        <v>1859</v>
      </c>
      <c r="N2" s="80">
        <v>10000</v>
      </c>
      <c r="O2" s="80">
        <v>37.18</v>
      </c>
      <c r="P2" s="81">
        <v>0.02</v>
      </c>
      <c r="V2" s="10"/>
    </row>
    <row r="3" spans="1:22" ht="13.5" customHeight="1" x14ac:dyDescent="0.25">
      <c r="A3" s="10">
        <v>424</v>
      </c>
      <c r="B3">
        <v>7228</v>
      </c>
      <c r="C3" t="s">
        <v>1668</v>
      </c>
      <c r="D3" s="10" t="s">
        <v>1706</v>
      </c>
      <c r="E3" s="10" t="s">
        <v>1707</v>
      </c>
      <c r="F3" s="10" t="s">
        <v>111</v>
      </c>
      <c r="G3" s="10" t="s">
        <v>1706</v>
      </c>
      <c r="H3">
        <v>60401809</v>
      </c>
      <c r="I3" s="10" t="s">
        <v>111</v>
      </c>
      <c r="J3" s="10" t="s">
        <v>75</v>
      </c>
      <c r="K3" s="63" t="s">
        <v>1709</v>
      </c>
      <c r="L3" s="76">
        <v>800000</v>
      </c>
      <c r="M3" s="80">
        <v>2974.4</v>
      </c>
      <c r="N3" s="80">
        <v>8000</v>
      </c>
      <c r="O3" s="80">
        <v>29.744</v>
      </c>
      <c r="P3" s="81">
        <v>0.01</v>
      </c>
      <c r="V3" s="10"/>
    </row>
    <row r="4" spans="1:22" ht="13.5" customHeight="1" x14ac:dyDescent="0.25">
      <c r="A4" s="10">
        <v>424</v>
      </c>
      <c r="B4">
        <v>7228</v>
      </c>
      <c r="C4" t="s">
        <v>1668</v>
      </c>
      <c r="D4" s="10" t="s">
        <v>2040</v>
      </c>
      <c r="E4" s="10" t="s">
        <v>2041</v>
      </c>
      <c r="F4" s="10" t="s">
        <v>111</v>
      </c>
      <c r="G4" s="10" t="s">
        <v>2042</v>
      </c>
      <c r="H4">
        <v>9840809</v>
      </c>
      <c r="I4" s="10" t="s">
        <v>111</v>
      </c>
      <c r="J4" s="10" t="s">
        <v>75</v>
      </c>
      <c r="K4" s="63" t="s">
        <v>1424</v>
      </c>
      <c r="L4" s="76">
        <v>750000</v>
      </c>
      <c r="M4" s="80">
        <v>2788.5</v>
      </c>
      <c r="N4" s="80">
        <v>37500</v>
      </c>
      <c r="O4" s="80">
        <v>139.42500000000001</v>
      </c>
      <c r="P4" s="81">
        <v>0.05</v>
      </c>
      <c r="V4" s="10"/>
    </row>
    <row r="5" spans="1:22" ht="13.5" customHeight="1" x14ac:dyDescent="0.25">
      <c r="A5" s="10">
        <v>424</v>
      </c>
      <c r="B5">
        <v>7228</v>
      </c>
      <c r="C5" t="s">
        <v>1668</v>
      </c>
      <c r="D5" s="10" t="s">
        <v>1979</v>
      </c>
      <c r="E5" s="10" t="s">
        <v>1980</v>
      </c>
      <c r="F5" s="10" t="s">
        <v>111</v>
      </c>
      <c r="G5" s="10" t="s">
        <v>1981</v>
      </c>
      <c r="H5">
        <v>62006366</v>
      </c>
      <c r="I5" s="10" t="s">
        <v>111</v>
      </c>
      <c r="J5" s="10" t="s">
        <v>75</v>
      </c>
      <c r="K5" s="63" t="s">
        <v>1983</v>
      </c>
      <c r="L5" s="76">
        <v>400000</v>
      </c>
      <c r="M5" s="80">
        <v>1487.2</v>
      </c>
      <c r="N5" s="80">
        <v>32000</v>
      </c>
      <c r="O5" s="80">
        <v>118.976</v>
      </c>
      <c r="P5" s="81">
        <v>0.08</v>
      </c>
      <c r="V5" s="10"/>
    </row>
    <row r="6" spans="1:22" ht="13.5" customHeight="1" x14ac:dyDescent="0.25">
      <c r="A6" s="10">
        <v>424</v>
      </c>
      <c r="B6">
        <v>7228</v>
      </c>
      <c r="C6" t="s">
        <v>1668</v>
      </c>
      <c r="D6" s="10" t="s">
        <v>2055</v>
      </c>
      <c r="E6" s="10" t="s">
        <v>2056</v>
      </c>
      <c r="F6" s="10" t="s">
        <v>210</v>
      </c>
      <c r="G6" s="10" t="s">
        <v>2057</v>
      </c>
      <c r="H6">
        <v>9840936</v>
      </c>
      <c r="I6" s="10" t="s">
        <v>111</v>
      </c>
      <c r="J6" s="10" t="s">
        <v>75</v>
      </c>
      <c r="K6" s="63" t="s">
        <v>1424</v>
      </c>
      <c r="L6" s="76">
        <v>600000</v>
      </c>
      <c r="M6" s="80">
        <v>2230.8000000000002</v>
      </c>
      <c r="N6" s="80">
        <v>12100</v>
      </c>
      <c r="O6" s="80">
        <v>44.9878</v>
      </c>
      <c r="P6" s="81">
        <v>2.0166666666666701E-2</v>
      </c>
      <c r="V6" s="10"/>
    </row>
    <row r="7" spans="1:22" ht="13.5" customHeight="1" x14ac:dyDescent="0.25">
      <c r="A7" s="10">
        <v>424</v>
      </c>
      <c r="B7">
        <v>7228</v>
      </c>
      <c r="C7" t="s">
        <v>1668</v>
      </c>
      <c r="D7" s="10" t="s">
        <v>1719</v>
      </c>
      <c r="E7" s="10" t="s">
        <v>1720</v>
      </c>
      <c r="F7" s="10" t="s">
        <v>1721</v>
      </c>
      <c r="G7" s="10" t="s">
        <v>1723</v>
      </c>
      <c r="H7">
        <v>62002785</v>
      </c>
      <c r="I7" s="10" t="s">
        <v>111</v>
      </c>
      <c r="J7" s="10" t="s">
        <v>75</v>
      </c>
      <c r="K7" s="63" t="s">
        <v>1724</v>
      </c>
      <c r="L7" s="76">
        <v>800000</v>
      </c>
      <c r="M7" s="80">
        <v>2974.4</v>
      </c>
      <c r="N7" s="80">
        <v>36000</v>
      </c>
      <c r="O7" s="80">
        <v>133.84800000000001</v>
      </c>
      <c r="P7" s="81">
        <v>4.4999999999999998E-2</v>
      </c>
      <c r="V7" s="10"/>
    </row>
    <row r="8" spans="1:22" ht="13.5" customHeight="1" x14ac:dyDescent="0.25">
      <c r="A8" s="10">
        <v>424</v>
      </c>
      <c r="B8">
        <v>7228</v>
      </c>
      <c r="C8" t="s">
        <v>1668</v>
      </c>
      <c r="D8" s="10" t="s">
        <v>1719</v>
      </c>
      <c r="E8" s="10" t="s">
        <v>1720</v>
      </c>
      <c r="F8" s="10" t="s">
        <v>1721</v>
      </c>
      <c r="G8" s="10" t="s">
        <v>1725</v>
      </c>
      <c r="H8">
        <v>62017827</v>
      </c>
      <c r="I8" s="10" t="s">
        <v>111</v>
      </c>
      <c r="J8" s="10" t="s">
        <v>75</v>
      </c>
      <c r="K8" s="63" t="s">
        <v>1726</v>
      </c>
      <c r="L8" s="76">
        <v>600000</v>
      </c>
      <c r="M8" s="80">
        <v>2230.8000000000002</v>
      </c>
      <c r="N8" s="80">
        <v>78000</v>
      </c>
      <c r="O8" s="80">
        <v>290.00400000000002</v>
      </c>
      <c r="P8" s="81">
        <v>0.13</v>
      </c>
      <c r="V8" s="10"/>
    </row>
    <row r="9" spans="1:22" ht="13.5" customHeight="1" x14ac:dyDescent="0.25">
      <c r="A9" s="10">
        <v>424</v>
      </c>
      <c r="B9">
        <v>7228</v>
      </c>
      <c r="C9" t="s">
        <v>1668</v>
      </c>
      <c r="D9" s="10" t="s">
        <v>1719</v>
      </c>
      <c r="E9" s="10" t="s">
        <v>1720</v>
      </c>
      <c r="F9" s="10" t="s">
        <v>1721</v>
      </c>
      <c r="G9" s="10" t="s">
        <v>1727</v>
      </c>
      <c r="H9">
        <v>62018247</v>
      </c>
      <c r="I9" s="10" t="s">
        <v>111</v>
      </c>
      <c r="J9" s="10" t="s">
        <v>75</v>
      </c>
      <c r="K9" s="63" t="s">
        <v>1728</v>
      </c>
      <c r="L9" s="76">
        <v>1200000</v>
      </c>
      <c r="M9" s="80">
        <v>4461.6000000000004</v>
      </c>
      <c r="N9" s="80">
        <v>180000</v>
      </c>
      <c r="O9" s="80">
        <v>669.24</v>
      </c>
      <c r="P9" s="81">
        <v>0.15</v>
      </c>
      <c r="V9" s="10"/>
    </row>
    <row r="10" spans="1:22" ht="13.5" customHeight="1" x14ac:dyDescent="0.25">
      <c r="A10" s="10">
        <v>424</v>
      </c>
      <c r="B10">
        <v>7228</v>
      </c>
      <c r="C10" t="s">
        <v>1668</v>
      </c>
      <c r="D10" s="10" t="s">
        <v>1741</v>
      </c>
      <c r="E10" s="10" t="s">
        <v>1742</v>
      </c>
      <c r="F10" s="10" t="s">
        <v>613</v>
      </c>
      <c r="G10" s="10" t="s">
        <v>2032</v>
      </c>
      <c r="H10">
        <v>60382116</v>
      </c>
      <c r="I10" s="10" t="s">
        <v>111</v>
      </c>
      <c r="J10" s="10" t="s">
        <v>75</v>
      </c>
      <c r="K10" s="63" t="s">
        <v>2033</v>
      </c>
      <c r="L10" s="76">
        <v>500000</v>
      </c>
      <c r="M10" s="80">
        <v>1859</v>
      </c>
      <c r="N10" s="80">
        <v>25000</v>
      </c>
      <c r="O10" s="80">
        <v>92.95</v>
      </c>
      <c r="P10" s="81">
        <v>0.05</v>
      </c>
      <c r="V10" s="10"/>
    </row>
    <row r="11" spans="1:22" ht="13.5" customHeight="1" x14ac:dyDescent="0.25">
      <c r="A11" s="10">
        <v>424</v>
      </c>
      <c r="B11">
        <v>7228</v>
      </c>
      <c r="C11" t="s">
        <v>1668</v>
      </c>
      <c r="D11" s="10" t="s">
        <v>1741</v>
      </c>
      <c r="E11" s="10" t="s">
        <v>1742</v>
      </c>
      <c r="F11" s="10" t="s">
        <v>613</v>
      </c>
      <c r="G11" s="10" t="s">
        <v>1743</v>
      </c>
      <c r="H11">
        <v>62013024</v>
      </c>
      <c r="I11" s="10" t="s">
        <v>111</v>
      </c>
      <c r="J11" s="10" t="s">
        <v>75</v>
      </c>
      <c r="K11" s="63" t="s">
        <v>1744</v>
      </c>
      <c r="L11" s="76">
        <v>800000</v>
      </c>
      <c r="M11" s="80">
        <v>2974.4</v>
      </c>
      <c r="N11" s="80">
        <v>240000</v>
      </c>
      <c r="O11" s="80">
        <v>892.32</v>
      </c>
      <c r="P11" s="81">
        <v>0.3</v>
      </c>
    </row>
    <row r="12" spans="1:22" ht="13.5" customHeight="1" x14ac:dyDescent="0.25">
      <c r="A12" s="10">
        <v>424</v>
      </c>
      <c r="B12">
        <v>7228</v>
      </c>
      <c r="C12" t="s">
        <v>1668</v>
      </c>
      <c r="D12" s="10" t="s">
        <v>1677</v>
      </c>
      <c r="E12" s="10" t="s">
        <v>1678</v>
      </c>
      <c r="F12" s="10" t="s">
        <v>111</v>
      </c>
      <c r="G12" s="10" t="s">
        <v>1685</v>
      </c>
      <c r="H12">
        <v>62000563</v>
      </c>
      <c r="I12" s="10" t="s">
        <v>111</v>
      </c>
      <c r="J12" s="10" t="s">
        <v>75</v>
      </c>
      <c r="K12" s="63" t="s">
        <v>1686</v>
      </c>
      <c r="L12" s="76">
        <v>900000</v>
      </c>
      <c r="M12" s="80">
        <v>3346.2</v>
      </c>
      <c r="N12" s="80">
        <v>6750</v>
      </c>
      <c r="O12" s="80">
        <v>25.096499999999999</v>
      </c>
      <c r="P12" s="81">
        <v>7.4999999999999997E-3</v>
      </c>
    </row>
    <row r="13" spans="1:22" ht="13.5" customHeight="1" x14ac:dyDescent="0.25">
      <c r="A13" s="10">
        <v>424</v>
      </c>
      <c r="B13">
        <v>7228</v>
      </c>
      <c r="C13" t="s">
        <v>1668</v>
      </c>
      <c r="D13" s="10" t="s">
        <v>1677</v>
      </c>
      <c r="E13" s="10" t="s">
        <v>1678</v>
      </c>
      <c r="F13" s="10" t="s">
        <v>111</v>
      </c>
      <c r="G13" s="10" t="s">
        <v>1683</v>
      </c>
      <c r="H13">
        <v>62019724</v>
      </c>
      <c r="I13" s="10" t="s">
        <v>111</v>
      </c>
      <c r="J13" s="10" t="s">
        <v>75</v>
      </c>
      <c r="K13" s="63" t="s">
        <v>1684</v>
      </c>
      <c r="L13" s="76">
        <v>900000</v>
      </c>
      <c r="M13" s="80">
        <v>3346.2</v>
      </c>
      <c r="N13" s="80">
        <v>135000</v>
      </c>
      <c r="O13" s="80">
        <v>501.93</v>
      </c>
      <c r="P13" s="81">
        <v>0.15</v>
      </c>
    </row>
    <row r="14" spans="1:22" ht="13.5" customHeight="1" x14ac:dyDescent="0.25">
      <c r="A14" s="10">
        <v>424</v>
      </c>
      <c r="B14">
        <v>7228</v>
      </c>
      <c r="C14" t="s">
        <v>1668</v>
      </c>
      <c r="D14" s="10" t="s">
        <v>1677</v>
      </c>
      <c r="E14" s="10" t="s">
        <v>1678</v>
      </c>
      <c r="F14" s="10" t="s">
        <v>111</v>
      </c>
      <c r="G14" s="10" t="s">
        <v>1717</v>
      </c>
      <c r="H14">
        <v>62013347</v>
      </c>
      <c r="I14" s="10" t="s">
        <v>111</v>
      </c>
      <c r="J14" s="10" t="s">
        <v>75</v>
      </c>
      <c r="K14" s="63" t="s">
        <v>1718</v>
      </c>
      <c r="L14" s="76">
        <v>800000</v>
      </c>
      <c r="M14" s="80">
        <v>2974.4</v>
      </c>
      <c r="N14" s="80">
        <v>20445</v>
      </c>
      <c r="O14" s="80">
        <v>76.014510000000001</v>
      </c>
      <c r="P14" s="81">
        <v>2.5556249999999999E-2</v>
      </c>
    </row>
    <row r="15" spans="1:22" ht="13.5" customHeight="1" x14ac:dyDescent="0.25">
      <c r="A15" s="10">
        <v>424</v>
      </c>
      <c r="B15">
        <v>7228</v>
      </c>
      <c r="C15" t="s">
        <v>1668</v>
      </c>
      <c r="D15" s="10" t="s">
        <v>2036</v>
      </c>
      <c r="E15" s="10" t="s">
        <v>2037</v>
      </c>
      <c r="F15" s="10" t="s">
        <v>286</v>
      </c>
      <c r="G15" s="10" t="s">
        <v>2038</v>
      </c>
      <c r="H15">
        <v>60335908</v>
      </c>
      <c r="I15" s="10" t="s">
        <v>111</v>
      </c>
      <c r="J15" s="10" t="s">
        <v>75</v>
      </c>
      <c r="K15" s="63" t="s">
        <v>1424</v>
      </c>
      <c r="L15" s="76">
        <v>500000</v>
      </c>
      <c r="M15" s="80">
        <v>1859</v>
      </c>
      <c r="N15" s="80">
        <v>20026</v>
      </c>
      <c r="O15" s="80">
        <v>74.456667999999993</v>
      </c>
      <c r="P15" s="81">
        <v>4.0051999999999997E-2</v>
      </c>
    </row>
    <row r="16" spans="1:22" ht="13.5" customHeight="1" x14ac:dyDescent="0.25">
      <c r="A16" s="10">
        <v>424</v>
      </c>
      <c r="B16">
        <v>7228</v>
      </c>
      <c r="C16" t="s">
        <v>1668</v>
      </c>
      <c r="D16" s="10" t="s">
        <v>1745</v>
      </c>
      <c r="E16" s="10" t="s">
        <v>1746</v>
      </c>
      <c r="F16" s="10" t="s">
        <v>286</v>
      </c>
      <c r="G16" s="10" t="s">
        <v>1747</v>
      </c>
      <c r="H16">
        <v>60406600</v>
      </c>
      <c r="I16" s="10" t="s">
        <v>111</v>
      </c>
      <c r="J16" s="10" t="s">
        <v>75</v>
      </c>
      <c r="K16" s="63" t="s">
        <v>1749</v>
      </c>
      <c r="L16" s="76">
        <v>1000000</v>
      </c>
      <c r="M16" s="80">
        <v>3718</v>
      </c>
      <c r="N16" s="80">
        <v>79979</v>
      </c>
      <c r="O16" s="80">
        <v>297.36192199999999</v>
      </c>
      <c r="P16" s="81">
        <v>7.9978999999999995E-2</v>
      </c>
    </row>
    <row r="17" spans="1:16" ht="13.5" customHeight="1" x14ac:dyDescent="0.25">
      <c r="A17" s="10">
        <v>424</v>
      </c>
      <c r="B17">
        <v>7228</v>
      </c>
      <c r="C17" t="s">
        <v>1668</v>
      </c>
      <c r="D17" s="10" t="s">
        <v>1769</v>
      </c>
      <c r="E17" s="10">
        <v>0</v>
      </c>
      <c r="F17" s="10" t="s">
        <v>286</v>
      </c>
      <c r="G17" s="10" t="s">
        <v>1772</v>
      </c>
      <c r="H17">
        <v>62007349</v>
      </c>
      <c r="I17" s="10" t="s">
        <v>111</v>
      </c>
      <c r="J17" s="10" t="s">
        <v>75</v>
      </c>
      <c r="K17" s="63" t="s">
        <v>1773</v>
      </c>
      <c r="L17" s="76">
        <v>800000</v>
      </c>
      <c r="M17" s="80">
        <v>2974.4</v>
      </c>
      <c r="N17" s="80">
        <v>79999</v>
      </c>
      <c r="O17" s="80">
        <v>297.43628200000001</v>
      </c>
      <c r="P17" s="81">
        <v>9.9998749999999997E-2</v>
      </c>
    </row>
    <row r="18" spans="1:16" ht="13.5" customHeight="1" x14ac:dyDescent="0.25">
      <c r="A18" s="10">
        <v>424</v>
      </c>
      <c r="B18">
        <v>7228</v>
      </c>
      <c r="C18" t="s">
        <v>1668</v>
      </c>
      <c r="D18" s="10" t="s">
        <v>1774</v>
      </c>
      <c r="E18" s="10" t="s">
        <v>1775</v>
      </c>
      <c r="F18" s="10" t="s">
        <v>286</v>
      </c>
      <c r="G18" s="10" t="s">
        <v>1776</v>
      </c>
      <c r="H18">
        <v>62020755</v>
      </c>
      <c r="I18" s="10" t="s">
        <v>111</v>
      </c>
      <c r="J18" s="10" t="s">
        <v>75</v>
      </c>
      <c r="K18" s="63" t="s">
        <v>1768</v>
      </c>
      <c r="L18" s="76">
        <v>1600000</v>
      </c>
      <c r="M18" s="80">
        <v>5948.8</v>
      </c>
      <c r="N18" s="80">
        <v>1072000</v>
      </c>
      <c r="O18" s="80">
        <v>3985.6959999999999</v>
      </c>
      <c r="P18" s="81">
        <v>0.67</v>
      </c>
    </row>
    <row r="19" spans="1:16" ht="13.5" customHeight="1" x14ac:dyDescent="0.25">
      <c r="A19" s="10">
        <v>424</v>
      </c>
      <c r="B19">
        <v>7228</v>
      </c>
      <c r="C19" t="s">
        <v>1668</v>
      </c>
      <c r="D19" s="10" t="s">
        <v>1750</v>
      </c>
      <c r="E19" s="10" t="s">
        <v>1751</v>
      </c>
      <c r="F19" s="10" t="s">
        <v>286</v>
      </c>
      <c r="G19" s="10" t="s">
        <v>1752</v>
      </c>
      <c r="H19">
        <v>62009048</v>
      </c>
      <c r="I19" s="10" t="s">
        <v>111</v>
      </c>
      <c r="J19" s="10" t="s">
        <v>75</v>
      </c>
      <c r="K19" s="63" t="s">
        <v>1753</v>
      </c>
      <c r="L19" s="76">
        <v>800000</v>
      </c>
      <c r="M19" s="80">
        <v>2974.4</v>
      </c>
      <c r="N19" s="80">
        <v>24000</v>
      </c>
      <c r="O19" s="80">
        <v>89.231999999999999</v>
      </c>
      <c r="P19" s="81">
        <v>0.03</v>
      </c>
    </row>
    <row r="20" spans="1:16" ht="13.5" customHeight="1" x14ac:dyDescent="0.25">
      <c r="A20" s="10">
        <v>424</v>
      </c>
      <c r="B20">
        <v>7228</v>
      </c>
      <c r="C20" t="s">
        <v>1668</v>
      </c>
      <c r="D20" s="10" t="s">
        <v>1769</v>
      </c>
      <c r="E20" s="10">
        <v>0</v>
      </c>
      <c r="F20" s="10" t="s">
        <v>286</v>
      </c>
      <c r="G20" s="10" t="s">
        <v>1770</v>
      </c>
      <c r="H20">
        <v>62015151</v>
      </c>
      <c r="I20" s="10" t="s">
        <v>111</v>
      </c>
      <c r="J20" s="10" t="s">
        <v>75</v>
      </c>
      <c r="K20" s="63" t="s">
        <v>1771</v>
      </c>
      <c r="L20" s="76">
        <v>1000000</v>
      </c>
      <c r="M20" s="80">
        <v>3718</v>
      </c>
      <c r="N20" s="80">
        <v>285000</v>
      </c>
      <c r="O20" s="80">
        <v>1059.6300000000001</v>
      </c>
      <c r="P20" s="81">
        <v>0.28499999999999998</v>
      </c>
    </row>
    <row r="21" spans="1:16" ht="13.5" customHeight="1" x14ac:dyDescent="0.25">
      <c r="A21" s="10">
        <v>424</v>
      </c>
      <c r="B21">
        <v>7228</v>
      </c>
      <c r="C21" t="s">
        <v>1668</v>
      </c>
      <c r="D21" s="10" t="s">
        <v>1754</v>
      </c>
      <c r="E21" s="10" t="s">
        <v>1755</v>
      </c>
      <c r="F21" s="10" t="s">
        <v>286</v>
      </c>
      <c r="G21" s="10" t="s">
        <v>1756</v>
      </c>
      <c r="H21">
        <v>62015334</v>
      </c>
      <c r="I21" s="10" t="s">
        <v>111</v>
      </c>
      <c r="J21" s="10" t="s">
        <v>75</v>
      </c>
      <c r="K21" s="63" t="s">
        <v>1757</v>
      </c>
      <c r="L21" s="76">
        <v>1200000</v>
      </c>
      <c r="M21" s="80">
        <v>4461.6000000000004</v>
      </c>
      <c r="N21" s="80">
        <v>180000</v>
      </c>
      <c r="O21" s="80">
        <v>669.24</v>
      </c>
      <c r="P21" s="81">
        <v>0.15</v>
      </c>
    </row>
    <row r="22" spans="1:16" ht="13.5" customHeight="1" x14ac:dyDescent="0.25">
      <c r="A22" s="10">
        <v>424</v>
      </c>
      <c r="B22">
        <v>7228</v>
      </c>
      <c r="C22" t="s">
        <v>1668</v>
      </c>
      <c r="D22" s="10" t="s">
        <v>1758</v>
      </c>
      <c r="E22" s="10" t="s">
        <v>1759</v>
      </c>
      <c r="F22" s="10" t="s">
        <v>286</v>
      </c>
      <c r="G22" s="10" t="s">
        <v>1760</v>
      </c>
      <c r="H22">
        <v>62017835</v>
      </c>
      <c r="I22" s="10" t="s">
        <v>111</v>
      </c>
      <c r="J22" s="10" t="s">
        <v>75</v>
      </c>
      <c r="K22" s="63" t="s">
        <v>1726</v>
      </c>
      <c r="L22" s="76">
        <v>800000</v>
      </c>
      <c r="M22" s="80">
        <v>2974.4</v>
      </c>
      <c r="N22" s="80">
        <v>84000</v>
      </c>
      <c r="O22" s="80">
        <v>312.31200000000001</v>
      </c>
      <c r="P22" s="81">
        <v>0.105</v>
      </c>
    </row>
    <row r="23" spans="1:16" ht="13.5" customHeight="1" x14ac:dyDescent="0.25">
      <c r="A23" s="10">
        <v>424</v>
      </c>
      <c r="B23">
        <v>7228</v>
      </c>
      <c r="C23" t="s">
        <v>1668</v>
      </c>
      <c r="D23" s="10" t="s">
        <v>1761</v>
      </c>
      <c r="E23" s="10" t="s">
        <v>1762</v>
      </c>
      <c r="F23" s="10" t="s">
        <v>286</v>
      </c>
      <c r="G23" s="10" t="s">
        <v>1763</v>
      </c>
      <c r="H23">
        <v>62020011</v>
      </c>
      <c r="I23" s="10" t="s">
        <v>111</v>
      </c>
      <c r="J23" s="10" t="s">
        <v>75</v>
      </c>
      <c r="K23" s="63" t="s">
        <v>1764</v>
      </c>
      <c r="L23" s="76">
        <v>1200000</v>
      </c>
      <c r="M23" s="80">
        <v>4461.6000000000004</v>
      </c>
      <c r="N23" s="80">
        <v>576000</v>
      </c>
      <c r="O23" s="80">
        <v>2141.5680000000002</v>
      </c>
      <c r="P23" s="81">
        <v>0.48</v>
      </c>
    </row>
    <row r="24" spans="1:16" ht="13.5" customHeight="1" x14ac:dyDescent="0.25">
      <c r="A24" s="10">
        <v>424</v>
      </c>
      <c r="B24">
        <v>7228</v>
      </c>
      <c r="C24" t="s">
        <v>1668</v>
      </c>
      <c r="D24" s="10" t="s">
        <v>1765</v>
      </c>
      <c r="E24" s="10" t="s">
        <v>1766</v>
      </c>
      <c r="F24" s="10" t="s">
        <v>286</v>
      </c>
      <c r="G24" s="10" t="s">
        <v>1767</v>
      </c>
      <c r="H24">
        <v>62020748</v>
      </c>
      <c r="I24" s="10" t="s">
        <v>111</v>
      </c>
      <c r="J24" s="10" t="s">
        <v>75</v>
      </c>
      <c r="K24" s="63" t="s">
        <v>1768</v>
      </c>
      <c r="L24" s="76">
        <v>1250000</v>
      </c>
      <c r="M24" s="80">
        <v>4647.5</v>
      </c>
      <c r="N24" s="80">
        <v>875000</v>
      </c>
      <c r="O24" s="80">
        <v>3253.25</v>
      </c>
      <c r="P24" s="81">
        <v>0.7</v>
      </c>
    </row>
    <row r="25" spans="1:16" ht="13.5" customHeight="1" x14ac:dyDescent="0.25">
      <c r="A25" s="10">
        <v>424</v>
      </c>
      <c r="B25">
        <v>7228</v>
      </c>
      <c r="C25" t="s">
        <v>1668</v>
      </c>
      <c r="D25" s="10" t="s">
        <v>2006</v>
      </c>
      <c r="E25" s="10" t="s">
        <v>2007</v>
      </c>
      <c r="F25" s="10" t="s">
        <v>286</v>
      </c>
      <c r="G25" s="10" t="s">
        <v>2008</v>
      </c>
      <c r="H25">
        <v>62020995</v>
      </c>
      <c r="I25" s="10" t="s">
        <v>111</v>
      </c>
      <c r="J25" s="10" t="s">
        <v>75</v>
      </c>
      <c r="K25" s="63" t="s">
        <v>2009</v>
      </c>
      <c r="L25" s="76">
        <v>1250000</v>
      </c>
      <c r="M25" s="80">
        <v>4647.5</v>
      </c>
      <c r="N25" s="80">
        <v>856250</v>
      </c>
      <c r="O25" s="80">
        <v>3183.5374999999999</v>
      </c>
      <c r="P25" s="81">
        <v>0.68500000000000005</v>
      </c>
    </row>
    <row r="26" spans="1:16" ht="13.5" customHeight="1" x14ac:dyDescent="0.25">
      <c r="A26" s="10">
        <v>424</v>
      </c>
      <c r="B26">
        <v>7228</v>
      </c>
      <c r="C26" t="s">
        <v>1668</v>
      </c>
      <c r="D26" s="10" t="s">
        <v>1927</v>
      </c>
      <c r="E26" s="10" t="s">
        <v>1928</v>
      </c>
      <c r="F26" s="10" t="s">
        <v>540</v>
      </c>
      <c r="G26" s="10" t="s">
        <v>1929</v>
      </c>
      <c r="H26">
        <v>62020953</v>
      </c>
      <c r="I26" s="10" t="s">
        <v>111</v>
      </c>
      <c r="J26" s="10" t="s">
        <v>75</v>
      </c>
      <c r="K26" s="63" t="s">
        <v>1930</v>
      </c>
      <c r="L26" s="76">
        <v>1800000</v>
      </c>
      <c r="M26" s="80">
        <v>6692.4</v>
      </c>
      <c r="N26" s="80">
        <v>900000</v>
      </c>
      <c r="O26" s="80">
        <v>3346.2</v>
      </c>
      <c r="P26" s="81">
        <v>0.5</v>
      </c>
    </row>
    <row r="27" spans="1:16" ht="13.5" customHeight="1" x14ac:dyDescent="0.25">
      <c r="A27" s="10">
        <v>424</v>
      </c>
      <c r="B27">
        <v>7228</v>
      </c>
      <c r="C27" t="s">
        <v>1668</v>
      </c>
      <c r="D27" s="10" t="s">
        <v>1672</v>
      </c>
      <c r="E27" s="10" t="s">
        <v>1673</v>
      </c>
      <c r="F27" s="10" t="s">
        <v>420</v>
      </c>
      <c r="G27" s="10" t="s">
        <v>2048</v>
      </c>
      <c r="H27">
        <v>9840906</v>
      </c>
      <c r="I27" s="10" t="s">
        <v>111</v>
      </c>
      <c r="J27" s="10" t="s">
        <v>75</v>
      </c>
      <c r="K27" s="63" t="s">
        <v>1424</v>
      </c>
      <c r="L27" s="76">
        <v>1000000</v>
      </c>
      <c r="M27" s="80">
        <v>3718</v>
      </c>
      <c r="N27" s="80">
        <v>113280</v>
      </c>
      <c r="O27" s="80">
        <v>421.17504000000002</v>
      </c>
      <c r="P27" s="81">
        <v>0.11328000000000001</v>
      </c>
    </row>
    <row r="28" spans="1:16" ht="13.5" customHeight="1" x14ac:dyDescent="0.25">
      <c r="A28" s="10">
        <v>424</v>
      </c>
      <c r="B28">
        <v>7228</v>
      </c>
      <c r="C28" t="s">
        <v>1668</v>
      </c>
      <c r="D28" s="10" t="s">
        <v>1672</v>
      </c>
      <c r="E28" s="10" t="s">
        <v>1673</v>
      </c>
      <c r="F28" s="10" t="s">
        <v>420</v>
      </c>
      <c r="G28" s="10" t="s">
        <v>2016</v>
      </c>
      <c r="H28">
        <v>60305448</v>
      </c>
      <c r="I28" s="10" t="s">
        <v>111</v>
      </c>
      <c r="J28" s="10" t="s">
        <v>75</v>
      </c>
      <c r="K28" s="63" t="s">
        <v>1424</v>
      </c>
      <c r="L28" s="76">
        <v>2000000</v>
      </c>
      <c r="M28" s="80">
        <v>7436</v>
      </c>
      <c r="N28" s="80">
        <v>180567</v>
      </c>
      <c r="O28" s="80">
        <v>671.34810600000003</v>
      </c>
      <c r="P28" s="81">
        <v>9.0283500000000003E-2</v>
      </c>
    </row>
    <row r="29" spans="1:16" ht="13.5" customHeight="1" x14ac:dyDescent="0.25">
      <c r="A29" s="10">
        <v>424</v>
      </c>
      <c r="B29">
        <v>7228</v>
      </c>
      <c r="C29" t="s">
        <v>1668</v>
      </c>
      <c r="D29" s="10" t="s">
        <v>1672</v>
      </c>
      <c r="E29" s="10" t="s">
        <v>1673</v>
      </c>
      <c r="F29" s="10" t="s">
        <v>420</v>
      </c>
      <c r="G29" s="10" t="s">
        <v>1794</v>
      </c>
      <c r="H29">
        <v>60400892</v>
      </c>
      <c r="I29" s="10" t="s">
        <v>111</v>
      </c>
      <c r="J29" s="10" t="s">
        <v>75</v>
      </c>
      <c r="K29" s="63" t="s">
        <v>1795</v>
      </c>
      <c r="L29" s="76">
        <v>2000000</v>
      </c>
      <c r="M29" s="80">
        <v>7436</v>
      </c>
      <c r="N29" s="80">
        <v>214547</v>
      </c>
      <c r="O29" s="80">
        <v>797.68574599999999</v>
      </c>
      <c r="P29" s="81">
        <v>0.10727349999999999</v>
      </c>
    </row>
    <row r="30" spans="1:16" ht="13.5" customHeight="1" x14ac:dyDescent="0.25">
      <c r="A30" s="10">
        <v>424</v>
      </c>
      <c r="B30">
        <v>7228</v>
      </c>
      <c r="C30" t="s">
        <v>1668</v>
      </c>
      <c r="D30" s="10" t="s">
        <v>1672</v>
      </c>
      <c r="E30" s="10" t="s">
        <v>1673</v>
      </c>
      <c r="F30" s="10" t="s">
        <v>420</v>
      </c>
      <c r="G30" s="10" t="s">
        <v>1674</v>
      </c>
      <c r="H30">
        <v>62018312</v>
      </c>
      <c r="I30" s="10" t="s">
        <v>111</v>
      </c>
      <c r="J30" s="10" t="s">
        <v>75</v>
      </c>
      <c r="K30" s="63" t="s">
        <v>1676</v>
      </c>
      <c r="L30" s="76">
        <v>2000000</v>
      </c>
      <c r="M30" s="80">
        <v>7436</v>
      </c>
      <c r="N30" s="80">
        <v>945600</v>
      </c>
      <c r="O30" s="80">
        <v>3515.7408</v>
      </c>
      <c r="P30" s="81">
        <v>0.4728</v>
      </c>
    </row>
    <row r="31" spans="1:16" ht="13.5" customHeight="1" x14ac:dyDescent="0.25">
      <c r="A31" s="10">
        <v>424</v>
      </c>
      <c r="B31">
        <v>7228</v>
      </c>
      <c r="C31" t="s">
        <v>1668</v>
      </c>
      <c r="D31" s="10" t="s">
        <v>2061</v>
      </c>
      <c r="E31" s="10" t="s">
        <v>2062</v>
      </c>
      <c r="F31" s="10" t="s">
        <v>210</v>
      </c>
      <c r="G31" s="10" t="s">
        <v>2063</v>
      </c>
      <c r="H31">
        <v>9840947</v>
      </c>
      <c r="I31" s="10" t="s">
        <v>111</v>
      </c>
      <c r="J31" s="10" t="s">
        <v>75</v>
      </c>
      <c r="K31" s="63" t="s">
        <v>1424</v>
      </c>
      <c r="L31" s="76">
        <v>1000000</v>
      </c>
      <c r="M31" s="80">
        <v>3718</v>
      </c>
      <c r="N31" s="80">
        <v>64979</v>
      </c>
      <c r="O31" s="80">
        <v>241.59192200000001</v>
      </c>
      <c r="P31" s="81">
        <v>6.4978999999999995E-2</v>
      </c>
    </row>
    <row r="32" spans="1:16" ht="13.5" customHeight="1" x14ac:dyDescent="0.25">
      <c r="A32" s="10">
        <v>424</v>
      </c>
      <c r="B32">
        <v>7228</v>
      </c>
      <c r="C32" t="s">
        <v>1668</v>
      </c>
      <c r="D32" s="10" t="s">
        <v>2017</v>
      </c>
      <c r="E32" s="10" t="s">
        <v>2018</v>
      </c>
      <c r="F32" s="10" t="s">
        <v>111</v>
      </c>
      <c r="G32" s="10" t="s">
        <v>2019</v>
      </c>
      <c r="H32">
        <v>60283439</v>
      </c>
      <c r="I32" s="10" t="s">
        <v>111</v>
      </c>
      <c r="J32" s="10" t="s">
        <v>75</v>
      </c>
      <c r="K32" s="63" t="s">
        <v>1424</v>
      </c>
      <c r="L32" s="76">
        <v>1000000</v>
      </c>
      <c r="M32" s="80">
        <v>3718</v>
      </c>
      <c r="N32" s="80">
        <v>10000</v>
      </c>
      <c r="O32" s="80">
        <v>37.18</v>
      </c>
      <c r="P32" s="81">
        <v>0.01</v>
      </c>
    </row>
    <row r="33" spans="1:16" ht="13.5" customHeight="1" x14ac:dyDescent="0.25">
      <c r="A33" s="10">
        <v>424</v>
      </c>
      <c r="B33">
        <v>7228</v>
      </c>
      <c r="C33" t="s">
        <v>1668</v>
      </c>
      <c r="D33" s="10" t="s">
        <v>1697</v>
      </c>
      <c r="E33" s="10" t="s">
        <v>1698</v>
      </c>
      <c r="F33" s="10" t="s">
        <v>111</v>
      </c>
      <c r="G33" s="10" t="s">
        <v>1699</v>
      </c>
      <c r="H33">
        <v>62017538</v>
      </c>
      <c r="I33" s="10" t="s">
        <v>111</v>
      </c>
      <c r="J33" s="10" t="s">
        <v>75</v>
      </c>
      <c r="K33" s="63" t="s">
        <v>1700</v>
      </c>
      <c r="L33" s="76">
        <v>4600000</v>
      </c>
      <c r="M33" s="80">
        <v>17102.8</v>
      </c>
      <c r="N33" s="80">
        <v>644000</v>
      </c>
      <c r="O33" s="80">
        <v>2394.3919999999998</v>
      </c>
      <c r="P33" s="81">
        <v>0.14000000000000001</v>
      </c>
    </row>
    <row r="34" spans="1:16" ht="13.5" customHeight="1" x14ac:dyDescent="0.25">
      <c r="A34" s="10">
        <v>424</v>
      </c>
      <c r="B34">
        <v>7228</v>
      </c>
      <c r="C34" t="s">
        <v>1668</v>
      </c>
      <c r="D34" s="10" t="s">
        <v>2010</v>
      </c>
      <c r="E34" s="10" t="s">
        <v>2011</v>
      </c>
      <c r="F34" s="10" t="s">
        <v>210</v>
      </c>
      <c r="G34" s="10" t="s">
        <v>2012</v>
      </c>
      <c r="H34">
        <v>9840847</v>
      </c>
      <c r="I34" s="10" t="s">
        <v>111</v>
      </c>
      <c r="J34" s="10" t="s">
        <v>75</v>
      </c>
      <c r="K34" s="63" t="s">
        <v>1424</v>
      </c>
      <c r="L34" s="76">
        <v>500000</v>
      </c>
      <c r="M34" s="80">
        <v>1859</v>
      </c>
      <c r="N34" s="80">
        <v>20000</v>
      </c>
      <c r="O34" s="80">
        <v>74.36</v>
      </c>
      <c r="P34" s="81">
        <v>0.04</v>
      </c>
    </row>
    <row r="35" spans="1:16" ht="13.5" customHeight="1" x14ac:dyDescent="0.25">
      <c r="A35" s="10">
        <v>424</v>
      </c>
      <c r="B35">
        <v>7228</v>
      </c>
      <c r="C35" t="s">
        <v>1668</v>
      </c>
      <c r="D35" s="10" t="s">
        <v>2029</v>
      </c>
      <c r="E35" s="10" t="s">
        <v>2030</v>
      </c>
      <c r="F35" s="10" t="s">
        <v>613</v>
      </c>
      <c r="G35" s="10" t="s">
        <v>2031</v>
      </c>
      <c r="H35">
        <v>60346871</v>
      </c>
      <c r="I35" s="10" t="s">
        <v>111</v>
      </c>
      <c r="J35" s="10" t="s">
        <v>75</v>
      </c>
      <c r="K35" s="63" t="s">
        <v>1424</v>
      </c>
      <c r="L35" s="76">
        <v>500000</v>
      </c>
      <c r="M35" s="80">
        <v>1859</v>
      </c>
      <c r="N35" s="80">
        <v>43279</v>
      </c>
      <c r="O35" s="80">
        <v>160.91132200000001</v>
      </c>
      <c r="P35" s="81">
        <v>8.6557999999999996E-2</v>
      </c>
    </row>
    <row r="36" spans="1:16" ht="13.5" customHeight="1" x14ac:dyDescent="0.25">
      <c r="A36" s="10">
        <v>424</v>
      </c>
      <c r="B36">
        <v>7228</v>
      </c>
      <c r="C36" t="s">
        <v>1668</v>
      </c>
      <c r="D36" s="10" t="s">
        <v>1834</v>
      </c>
      <c r="E36" s="10" t="s">
        <v>1835</v>
      </c>
      <c r="F36" s="10" t="s">
        <v>540</v>
      </c>
      <c r="G36" s="10" t="s">
        <v>1836</v>
      </c>
      <c r="H36">
        <v>60419041</v>
      </c>
      <c r="I36" s="10" t="s">
        <v>111</v>
      </c>
      <c r="J36" s="10" t="s">
        <v>75</v>
      </c>
      <c r="K36" s="63" t="s">
        <v>1837</v>
      </c>
      <c r="L36" s="76">
        <v>1000000</v>
      </c>
      <c r="M36" s="80">
        <v>3718</v>
      </c>
      <c r="N36" s="80">
        <v>90000</v>
      </c>
      <c r="O36" s="80">
        <v>334.62</v>
      </c>
      <c r="P36" s="81">
        <v>0.09</v>
      </c>
    </row>
    <row r="37" spans="1:16" ht="13.5" customHeight="1" x14ac:dyDescent="0.25">
      <c r="A37" s="10">
        <v>424</v>
      </c>
      <c r="B37">
        <v>7228</v>
      </c>
      <c r="C37" t="s">
        <v>1668</v>
      </c>
      <c r="D37" s="10" t="s">
        <v>1838</v>
      </c>
      <c r="E37" s="10" t="s">
        <v>1839</v>
      </c>
      <c r="F37" s="10" t="s">
        <v>540</v>
      </c>
      <c r="G37" s="10" t="s">
        <v>1840</v>
      </c>
      <c r="H37">
        <v>62016654</v>
      </c>
      <c r="I37" s="10" t="s">
        <v>111</v>
      </c>
      <c r="J37" s="10" t="s">
        <v>75</v>
      </c>
      <c r="K37" s="63" t="s">
        <v>1841</v>
      </c>
      <c r="L37" s="76">
        <v>2250000</v>
      </c>
      <c r="M37" s="80">
        <v>8365.5</v>
      </c>
      <c r="N37" s="80">
        <v>427500</v>
      </c>
      <c r="O37" s="80">
        <v>1589.4449999999999</v>
      </c>
      <c r="P37" s="81">
        <v>0.19</v>
      </c>
    </row>
    <row r="38" spans="1:16" ht="13.5" customHeight="1" x14ac:dyDescent="0.25">
      <c r="A38" s="10">
        <v>424</v>
      </c>
      <c r="B38">
        <v>7228</v>
      </c>
      <c r="C38" t="s">
        <v>1668</v>
      </c>
      <c r="D38" s="10" t="s">
        <v>1842</v>
      </c>
      <c r="E38" s="10" t="s">
        <v>1843</v>
      </c>
      <c r="F38" s="10" t="s">
        <v>613</v>
      </c>
      <c r="G38" s="10" t="s">
        <v>1844</v>
      </c>
      <c r="H38">
        <v>62021241</v>
      </c>
      <c r="I38" s="10" t="s">
        <v>111</v>
      </c>
      <c r="J38" s="10" t="s">
        <v>75</v>
      </c>
      <c r="K38" s="63" t="s">
        <v>1845</v>
      </c>
      <c r="L38" s="76">
        <v>1600000</v>
      </c>
      <c r="M38" s="80">
        <v>5948.8</v>
      </c>
      <c r="N38" s="80">
        <v>1120000</v>
      </c>
      <c r="O38" s="80">
        <v>4164.16</v>
      </c>
      <c r="P38" s="81">
        <v>0.7</v>
      </c>
    </row>
    <row r="39" spans="1:16" ht="13.5" customHeight="1" x14ac:dyDescent="0.25">
      <c r="A39" s="10">
        <v>424</v>
      </c>
      <c r="B39">
        <v>7228</v>
      </c>
      <c r="C39" t="s">
        <v>1668</v>
      </c>
      <c r="D39" s="10" t="s">
        <v>1872</v>
      </c>
      <c r="E39" s="10" t="s">
        <v>1873</v>
      </c>
      <c r="F39" s="10" t="s">
        <v>613</v>
      </c>
      <c r="G39" s="10" t="s">
        <v>1874</v>
      </c>
      <c r="H39">
        <v>62003800</v>
      </c>
      <c r="I39" s="10" t="s">
        <v>111</v>
      </c>
      <c r="J39" s="10" t="s">
        <v>75</v>
      </c>
      <c r="K39" s="63" t="s">
        <v>1876</v>
      </c>
      <c r="L39" s="76">
        <v>3000000</v>
      </c>
      <c r="M39" s="80">
        <v>11154</v>
      </c>
      <c r="N39" s="80">
        <v>480000</v>
      </c>
      <c r="O39" s="80">
        <v>1784.64</v>
      </c>
      <c r="P39" s="81">
        <v>0.16</v>
      </c>
    </row>
    <row r="40" spans="1:16" ht="13.5" customHeight="1" x14ac:dyDescent="0.25">
      <c r="A40" s="10">
        <v>424</v>
      </c>
      <c r="B40">
        <v>7228</v>
      </c>
      <c r="C40" t="s">
        <v>1668</v>
      </c>
      <c r="D40" s="10" t="s">
        <v>1872</v>
      </c>
      <c r="E40" s="10" t="s">
        <v>1873</v>
      </c>
      <c r="F40" s="10" t="s">
        <v>613</v>
      </c>
      <c r="G40" s="10" t="s">
        <v>1877</v>
      </c>
      <c r="H40">
        <v>620101031</v>
      </c>
      <c r="I40" s="10" t="s">
        <v>111</v>
      </c>
      <c r="J40" s="10" t="s">
        <v>75</v>
      </c>
      <c r="K40" s="63" t="s">
        <v>1732</v>
      </c>
      <c r="L40" s="76">
        <v>1500000</v>
      </c>
      <c r="M40" s="80">
        <v>5577</v>
      </c>
      <c r="N40" s="80">
        <v>217500</v>
      </c>
      <c r="O40" s="80">
        <v>808.66499999999996</v>
      </c>
      <c r="P40" s="81">
        <v>0.14499999999999999</v>
      </c>
    </row>
    <row r="41" spans="1:16" ht="13.5" customHeight="1" x14ac:dyDescent="0.25">
      <c r="A41" s="10">
        <v>424</v>
      </c>
      <c r="B41">
        <v>7228</v>
      </c>
      <c r="C41" t="s">
        <v>1668</v>
      </c>
      <c r="D41" s="10" t="s">
        <v>1872</v>
      </c>
      <c r="E41" s="10" t="s">
        <v>1873</v>
      </c>
      <c r="F41" s="10" t="s">
        <v>613</v>
      </c>
      <c r="G41" s="10" t="s">
        <v>1879</v>
      </c>
      <c r="H41">
        <v>62014857</v>
      </c>
      <c r="I41" s="10" t="s">
        <v>111</v>
      </c>
      <c r="J41" s="10" t="s">
        <v>75</v>
      </c>
      <c r="K41" s="63" t="s">
        <v>1880</v>
      </c>
      <c r="L41" s="76">
        <v>1500000</v>
      </c>
      <c r="M41" s="80">
        <v>5577</v>
      </c>
      <c r="N41" s="80">
        <v>330000</v>
      </c>
      <c r="O41" s="80">
        <v>1226.94</v>
      </c>
      <c r="P41" s="81">
        <v>0.22</v>
      </c>
    </row>
    <row r="42" spans="1:16" ht="13.5" customHeight="1" x14ac:dyDescent="0.25">
      <c r="A42" s="10">
        <v>424</v>
      </c>
      <c r="B42">
        <v>7228</v>
      </c>
      <c r="C42" t="s">
        <v>1668</v>
      </c>
      <c r="D42" s="10" t="s">
        <v>1872</v>
      </c>
      <c r="E42" s="10" t="s">
        <v>1873</v>
      </c>
      <c r="F42" s="10" t="s">
        <v>613</v>
      </c>
      <c r="G42" s="10" t="s">
        <v>1881</v>
      </c>
      <c r="H42">
        <v>62019476</v>
      </c>
      <c r="I42" s="10" t="s">
        <v>111</v>
      </c>
      <c r="J42" s="10" t="s">
        <v>75</v>
      </c>
      <c r="K42" s="63" t="s">
        <v>1785</v>
      </c>
      <c r="L42" s="76">
        <v>1750000</v>
      </c>
      <c r="M42" s="80">
        <v>6506.5</v>
      </c>
      <c r="N42" s="80">
        <v>598311</v>
      </c>
      <c r="O42" s="80">
        <v>2224.5202979999999</v>
      </c>
      <c r="P42" s="81">
        <v>0.34189199999999997</v>
      </c>
    </row>
    <row r="43" spans="1:16" ht="13.5" customHeight="1" x14ac:dyDescent="0.25">
      <c r="A43" s="10">
        <v>424</v>
      </c>
      <c r="B43">
        <v>7228</v>
      </c>
      <c r="C43" t="s">
        <v>1668</v>
      </c>
      <c r="D43" s="10" t="s">
        <v>1882</v>
      </c>
      <c r="E43" s="10" t="s">
        <v>1883</v>
      </c>
      <c r="F43" s="10" t="s">
        <v>111</v>
      </c>
      <c r="G43" s="10" t="s">
        <v>1884</v>
      </c>
      <c r="H43">
        <v>62022074</v>
      </c>
      <c r="I43" s="10" t="s">
        <v>111</v>
      </c>
      <c r="J43" s="10" t="s">
        <v>75</v>
      </c>
      <c r="K43" s="63" t="s">
        <v>1885</v>
      </c>
      <c r="L43" s="76">
        <v>1700000</v>
      </c>
      <c r="M43" s="80">
        <v>6320.6</v>
      </c>
      <c r="N43" s="80">
        <v>1632000</v>
      </c>
      <c r="O43" s="80">
        <v>6067.7759999999998</v>
      </c>
      <c r="P43" s="81">
        <v>0.96</v>
      </c>
    </row>
    <row r="44" spans="1:16" ht="13.5" customHeight="1" x14ac:dyDescent="0.25">
      <c r="A44" s="10">
        <v>424</v>
      </c>
      <c r="B44">
        <v>7228</v>
      </c>
      <c r="C44" t="s">
        <v>1668</v>
      </c>
      <c r="D44" s="10" t="s">
        <v>1872</v>
      </c>
      <c r="E44" s="10" t="s">
        <v>1873</v>
      </c>
      <c r="F44" s="10" t="s">
        <v>613</v>
      </c>
      <c r="G44" s="10" t="s">
        <v>1888</v>
      </c>
      <c r="H44">
        <v>62017678</v>
      </c>
      <c r="I44" s="10" t="s">
        <v>111</v>
      </c>
      <c r="J44" s="10" t="s">
        <v>75</v>
      </c>
      <c r="K44" s="63" t="s">
        <v>1889</v>
      </c>
      <c r="L44" s="76">
        <v>3000000</v>
      </c>
      <c r="M44" s="80">
        <v>11154</v>
      </c>
      <c r="N44" s="80">
        <v>90000</v>
      </c>
      <c r="O44" s="80">
        <v>334.62</v>
      </c>
      <c r="P44" s="81">
        <v>0.03</v>
      </c>
    </row>
    <row r="45" spans="1:16" ht="13.5" customHeight="1" x14ac:dyDescent="0.25">
      <c r="A45" s="10">
        <v>424</v>
      </c>
      <c r="B45">
        <v>7228</v>
      </c>
      <c r="C45" t="s">
        <v>1668</v>
      </c>
      <c r="D45" s="10" t="s">
        <v>1872</v>
      </c>
      <c r="E45" s="10" t="s">
        <v>1873</v>
      </c>
      <c r="F45" s="10" t="s">
        <v>613</v>
      </c>
      <c r="G45" s="10" t="s">
        <v>1890</v>
      </c>
      <c r="H45">
        <v>62019237</v>
      </c>
      <c r="I45" s="10" t="s">
        <v>111</v>
      </c>
      <c r="J45" s="10" t="s">
        <v>75</v>
      </c>
      <c r="K45" s="63" t="s">
        <v>1891</v>
      </c>
      <c r="L45" s="76">
        <v>3000000</v>
      </c>
      <c r="M45" s="80">
        <v>11154</v>
      </c>
      <c r="N45" s="80">
        <v>300000</v>
      </c>
      <c r="O45" s="80">
        <v>1115.4000000000001</v>
      </c>
      <c r="P45" s="81">
        <v>0.1</v>
      </c>
    </row>
    <row r="46" spans="1:16" ht="13.5" customHeight="1" x14ac:dyDescent="0.25">
      <c r="A46" s="10">
        <v>424</v>
      </c>
      <c r="B46">
        <v>7228</v>
      </c>
      <c r="C46" t="s">
        <v>1668</v>
      </c>
      <c r="D46" s="10" t="s">
        <v>1882</v>
      </c>
      <c r="E46" s="10" t="s">
        <v>1883</v>
      </c>
      <c r="F46" s="10" t="s">
        <v>111</v>
      </c>
      <c r="G46" s="10" t="s">
        <v>1892</v>
      </c>
      <c r="H46">
        <v>62021845</v>
      </c>
      <c r="I46" s="10" t="s">
        <v>111</v>
      </c>
      <c r="J46" s="10" t="s">
        <v>75</v>
      </c>
      <c r="K46" s="63" t="s">
        <v>1893</v>
      </c>
      <c r="L46" s="76">
        <v>1500000</v>
      </c>
      <c r="M46" s="80">
        <v>5577</v>
      </c>
      <c r="N46" s="80">
        <v>1200000</v>
      </c>
      <c r="O46" s="80">
        <v>4461.6000000000004</v>
      </c>
      <c r="P46" s="81">
        <v>0.8</v>
      </c>
    </row>
    <row r="47" spans="1:16" ht="13.5" customHeight="1" x14ac:dyDescent="0.25">
      <c r="A47" s="10">
        <v>424</v>
      </c>
      <c r="B47">
        <v>7228</v>
      </c>
      <c r="C47" t="s">
        <v>1668</v>
      </c>
      <c r="D47" s="10" t="s">
        <v>1872</v>
      </c>
      <c r="E47" s="10" t="s">
        <v>1873</v>
      </c>
      <c r="F47" s="10" t="s">
        <v>613</v>
      </c>
      <c r="G47" s="10" t="s">
        <v>1886</v>
      </c>
      <c r="H47">
        <v>62020458</v>
      </c>
      <c r="I47" s="10" t="s">
        <v>111</v>
      </c>
      <c r="J47" s="10" t="s">
        <v>75</v>
      </c>
      <c r="K47" s="63" t="s">
        <v>1887</v>
      </c>
      <c r="L47" s="76">
        <v>1000000</v>
      </c>
      <c r="M47" s="80">
        <v>3718</v>
      </c>
      <c r="N47" s="80">
        <v>150000</v>
      </c>
      <c r="O47" s="80">
        <v>557.70000000000005</v>
      </c>
      <c r="P47" s="81">
        <v>0.15</v>
      </c>
    </row>
    <row r="48" spans="1:16" ht="13.5" customHeight="1" x14ac:dyDescent="0.25">
      <c r="A48" s="10">
        <v>424</v>
      </c>
      <c r="B48">
        <v>7228</v>
      </c>
      <c r="C48" t="s">
        <v>1668</v>
      </c>
      <c r="D48" s="10" t="s">
        <v>1701</v>
      </c>
      <c r="E48" s="10" t="s">
        <v>1702</v>
      </c>
      <c r="F48" s="10" t="s">
        <v>111</v>
      </c>
      <c r="G48" s="10" t="s">
        <v>1703</v>
      </c>
      <c r="H48">
        <v>62001189</v>
      </c>
      <c r="I48" s="10" t="s">
        <v>111</v>
      </c>
      <c r="J48" s="10" t="s">
        <v>75</v>
      </c>
      <c r="K48" s="63" t="s">
        <v>1705</v>
      </c>
      <c r="L48" s="76">
        <v>730000</v>
      </c>
      <c r="M48" s="80">
        <v>2714.14</v>
      </c>
      <c r="N48" s="80">
        <v>40150</v>
      </c>
      <c r="O48" s="80">
        <v>149.27770000000001</v>
      </c>
      <c r="P48" s="81">
        <v>5.5E-2</v>
      </c>
    </row>
    <row r="49" spans="1:16" ht="13.5" customHeight="1" x14ac:dyDescent="0.25">
      <c r="A49" s="10">
        <v>424</v>
      </c>
      <c r="B49">
        <v>7228</v>
      </c>
      <c r="C49" t="s">
        <v>1668</v>
      </c>
      <c r="D49" s="10" t="s">
        <v>2066</v>
      </c>
      <c r="E49" s="10" t="s">
        <v>2067</v>
      </c>
      <c r="F49" s="10" t="s">
        <v>540</v>
      </c>
      <c r="G49" s="10" t="s">
        <v>2068</v>
      </c>
      <c r="H49">
        <v>62001875</v>
      </c>
      <c r="I49" s="10" t="s">
        <v>111</v>
      </c>
      <c r="J49" s="10" t="s">
        <v>75</v>
      </c>
      <c r="K49" s="63" t="s">
        <v>2069</v>
      </c>
      <c r="L49" s="76">
        <v>1000000</v>
      </c>
      <c r="M49" s="80">
        <v>3718</v>
      </c>
      <c r="N49" s="80">
        <v>241075</v>
      </c>
      <c r="O49" s="80">
        <v>896.31685000000004</v>
      </c>
      <c r="P49" s="81">
        <v>0.24107500000000001</v>
      </c>
    </row>
    <row r="50" spans="1:16" ht="13.5" customHeight="1" x14ac:dyDescent="0.25">
      <c r="A50" s="10">
        <v>424</v>
      </c>
      <c r="B50">
        <v>7228</v>
      </c>
      <c r="C50" t="s">
        <v>1668</v>
      </c>
      <c r="D50" s="10" t="s">
        <v>1914</v>
      </c>
      <c r="E50" s="10" t="s">
        <v>1915</v>
      </c>
      <c r="F50" s="10" t="s">
        <v>540</v>
      </c>
      <c r="G50" s="10" t="s">
        <v>1916</v>
      </c>
      <c r="H50">
        <v>62006705</v>
      </c>
      <c r="I50" s="10" t="s">
        <v>111</v>
      </c>
      <c r="J50" s="10" t="s">
        <v>75</v>
      </c>
      <c r="K50" s="63" t="s">
        <v>1917</v>
      </c>
      <c r="L50" s="76">
        <v>1000000</v>
      </c>
      <c r="M50" s="80">
        <v>3718</v>
      </c>
      <c r="N50" s="80">
        <v>26665.8500000001</v>
      </c>
      <c r="O50" s="80">
        <v>99.143630300000396</v>
      </c>
      <c r="P50" s="81">
        <v>2.6665850000000099E-2</v>
      </c>
    </row>
    <row r="51" spans="1:16" ht="13.5" customHeight="1" x14ac:dyDescent="0.25">
      <c r="A51" s="10">
        <v>424</v>
      </c>
      <c r="B51">
        <v>7228</v>
      </c>
      <c r="C51" t="s">
        <v>1668</v>
      </c>
      <c r="D51" s="10" t="s">
        <v>1910</v>
      </c>
      <c r="E51" s="10" t="s">
        <v>1911</v>
      </c>
      <c r="F51" s="10" t="s">
        <v>540</v>
      </c>
      <c r="G51" s="10" t="s">
        <v>1912</v>
      </c>
      <c r="H51">
        <v>62019013</v>
      </c>
      <c r="I51" s="10" t="s">
        <v>111</v>
      </c>
      <c r="J51" s="10" t="s">
        <v>75</v>
      </c>
      <c r="K51" s="63" t="s">
        <v>1913</v>
      </c>
      <c r="L51" s="76">
        <v>2700000</v>
      </c>
      <c r="M51" s="80">
        <v>10038.6</v>
      </c>
      <c r="N51" s="80">
        <v>76101.620000000097</v>
      </c>
      <c r="O51" s="80">
        <v>282.94582315999997</v>
      </c>
      <c r="P51" s="81">
        <v>2.8185785185185198E-2</v>
      </c>
    </row>
    <row r="52" spans="1:16" ht="13.5" customHeight="1" x14ac:dyDescent="0.25">
      <c r="A52" s="10">
        <v>424</v>
      </c>
      <c r="B52">
        <v>7228</v>
      </c>
      <c r="C52" t="s">
        <v>1668</v>
      </c>
      <c r="D52" s="10" t="s">
        <v>1781</v>
      </c>
      <c r="E52" s="10" t="s">
        <v>1782</v>
      </c>
      <c r="F52" s="10" t="s">
        <v>210</v>
      </c>
      <c r="G52" s="10" t="s">
        <v>1781</v>
      </c>
      <c r="H52">
        <v>18952</v>
      </c>
      <c r="I52" s="10" t="s">
        <v>111</v>
      </c>
      <c r="J52" s="10" t="s">
        <v>81</v>
      </c>
      <c r="K52" s="63" t="s">
        <v>1796</v>
      </c>
      <c r="L52" s="76">
        <v>3250000</v>
      </c>
      <c r="M52" s="80">
        <v>3250</v>
      </c>
      <c r="N52" s="80">
        <v>550402</v>
      </c>
      <c r="O52" s="80">
        <v>550.40200000000004</v>
      </c>
      <c r="P52" s="81">
        <v>0.16935446153846201</v>
      </c>
    </row>
    <row r="53" spans="1:16" ht="13.5" customHeight="1" x14ac:dyDescent="0.25">
      <c r="A53" s="10">
        <v>424</v>
      </c>
      <c r="B53">
        <v>7228</v>
      </c>
      <c r="C53" t="s">
        <v>1668</v>
      </c>
      <c r="D53" s="10" t="s">
        <v>1781</v>
      </c>
      <c r="E53" s="10" t="s">
        <v>1782</v>
      </c>
      <c r="F53" s="10" t="s">
        <v>210</v>
      </c>
      <c r="G53" s="10" t="s">
        <v>1783</v>
      </c>
      <c r="H53">
        <v>50007004</v>
      </c>
      <c r="I53" s="10" t="s">
        <v>111</v>
      </c>
      <c r="J53" s="10" t="s">
        <v>81</v>
      </c>
      <c r="K53" s="63" t="s">
        <v>1785</v>
      </c>
      <c r="L53" s="76">
        <v>8000000</v>
      </c>
      <c r="M53" s="80">
        <v>8000</v>
      </c>
      <c r="N53" s="80">
        <v>2442822</v>
      </c>
      <c r="O53" s="80">
        <v>2442.8220000000001</v>
      </c>
      <c r="P53" s="81">
        <v>0.30535275000000001</v>
      </c>
    </row>
    <row r="54" spans="1:16" ht="13.5" customHeight="1" x14ac:dyDescent="0.25">
      <c r="A54" s="10">
        <v>424</v>
      </c>
      <c r="B54">
        <v>7228</v>
      </c>
      <c r="C54" t="s">
        <v>1668</v>
      </c>
      <c r="D54" s="10" t="s">
        <v>1710</v>
      </c>
      <c r="E54" s="10" t="s">
        <v>1711</v>
      </c>
      <c r="F54" s="10" t="s">
        <v>540</v>
      </c>
      <c r="G54" s="10" t="s">
        <v>1712</v>
      </c>
      <c r="H54">
        <v>50000983</v>
      </c>
      <c r="I54" s="10" t="s">
        <v>111</v>
      </c>
      <c r="J54" s="10" t="s">
        <v>81</v>
      </c>
      <c r="K54" s="63" t="s">
        <v>1714</v>
      </c>
      <c r="L54" s="76">
        <v>6000000</v>
      </c>
      <c r="M54" s="80">
        <v>6000</v>
      </c>
      <c r="N54" s="80">
        <v>1800000</v>
      </c>
      <c r="O54" s="80">
        <v>1800</v>
      </c>
      <c r="P54" s="81">
        <v>0.3</v>
      </c>
    </row>
    <row r="55" spans="1:16" ht="13.5" customHeight="1" x14ac:dyDescent="0.25">
      <c r="A55" s="10">
        <v>424</v>
      </c>
      <c r="B55">
        <v>7228</v>
      </c>
      <c r="C55" t="s">
        <v>1668</v>
      </c>
      <c r="D55" s="10" t="s">
        <v>1710</v>
      </c>
      <c r="E55" s="10" t="s">
        <v>1711</v>
      </c>
      <c r="F55" s="10" t="s">
        <v>540</v>
      </c>
      <c r="G55" s="10" t="s">
        <v>1715</v>
      </c>
      <c r="H55">
        <v>50007897</v>
      </c>
      <c r="I55" s="10" t="s">
        <v>111</v>
      </c>
      <c r="J55" s="10" t="s">
        <v>81</v>
      </c>
      <c r="K55" s="63" t="s">
        <v>1716</v>
      </c>
      <c r="L55" s="76">
        <v>9900000</v>
      </c>
      <c r="M55" s="80">
        <v>9900</v>
      </c>
      <c r="N55" s="80">
        <v>6930000</v>
      </c>
      <c r="O55" s="80">
        <v>6930</v>
      </c>
      <c r="P55" s="81">
        <v>0.7</v>
      </c>
    </row>
    <row r="56" spans="1:16" ht="13.5" customHeight="1" x14ac:dyDescent="0.25">
      <c r="A56" s="10">
        <v>424</v>
      </c>
      <c r="B56">
        <v>7228</v>
      </c>
      <c r="C56" t="s">
        <v>1668</v>
      </c>
      <c r="D56" s="10" t="s">
        <v>1902</v>
      </c>
      <c r="E56" s="10" t="s">
        <v>1903</v>
      </c>
      <c r="F56" s="10" t="s">
        <v>540</v>
      </c>
      <c r="G56" s="10" t="s">
        <v>2070</v>
      </c>
      <c r="H56">
        <v>62006754</v>
      </c>
      <c r="I56" s="10" t="s">
        <v>111</v>
      </c>
      <c r="J56" s="10" t="s">
        <v>75</v>
      </c>
      <c r="K56" s="63" t="s">
        <v>2071</v>
      </c>
      <c r="L56" s="76">
        <v>750000</v>
      </c>
      <c r="M56" s="80">
        <v>2788.5</v>
      </c>
      <c r="N56" s="80">
        <v>62130.039999999797</v>
      </c>
      <c r="O56" s="80">
        <v>230.99948871999899</v>
      </c>
      <c r="P56" s="81">
        <v>8.2840053333333094E-2</v>
      </c>
    </row>
    <row r="57" spans="1:16" ht="13.5" customHeight="1" x14ac:dyDescent="0.25">
      <c r="A57" s="10">
        <v>424</v>
      </c>
      <c r="B57">
        <v>7228</v>
      </c>
      <c r="C57" t="s">
        <v>1668</v>
      </c>
      <c r="D57" s="10" t="s">
        <v>1961</v>
      </c>
      <c r="E57" s="10" t="s">
        <v>1962</v>
      </c>
      <c r="F57" s="10" t="s">
        <v>540</v>
      </c>
      <c r="G57" s="10" t="s">
        <v>1963</v>
      </c>
      <c r="H57">
        <v>62009204</v>
      </c>
      <c r="I57" s="10" t="s">
        <v>111</v>
      </c>
      <c r="J57" s="10" t="s">
        <v>75</v>
      </c>
      <c r="K57" s="63" t="s">
        <v>1964</v>
      </c>
      <c r="L57" s="76">
        <v>1500000</v>
      </c>
      <c r="M57" s="80">
        <v>5577</v>
      </c>
      <c r="N57" s="80">
        <v>130128</v>
      </c>
      <c r="O57" s="80">
        <v>483.81590399999999</v>
      </c>
      <c r="P57" s="81">
        <v>8.6751999999999996E-2</v>
      </c>
    </row>
    <row r="58" spans="1:16" ht="13.5" customHeight="1" x14ac:dyDescent="0.25">
      <c r="A58" s="10">
        <v>424</v>
      </c>
      <c r="B58">
        <v>7228</v>
      </c>
      <c r="C58" t="s">
        <v>1668</v>
      </c>
      <c r="D58" s="10" t="s">
        <v>1975</v>
      </c>
      <c r="E58" s="10" t="s">
        <v>1976</v>
      </c>
      <c r="F58" s="10" t="s">
        <v>540</v>
      </c>
      <c r="G58" s="10" t="s">
        <v>1977</v>
      </c>
      <c r="H58">
        <v>62010137</v>
      </c>
      <c r="I58" s="10" t="s">
        <v>111</v>
      </c>
      <c r="J58" s="10" t="s">
        <v>75</v>
      </c>
      <c r="K58" s="63" t="s">
        <v>1978</v>
      </c>
      <c r="L58" s="76">
        <v>1500000</v>
      </c>
      <c r="M58" s="80">
        <v>5577</v>
      </c>
      <c r="N58" s="80">
        <v>408393</v>
      </c>
      <c r="O58" s="80">
        <v>1518.405174</v>
      </c>
      <c r="P58" s="81">
        <v>0.272262</v>
      </c>
    </row>
    <row r="59" spans="1:16" ht="13.5" customHeight="1" x14ac:dyDescent="0.25">
      <c r="A59" s="10">
        <v>424</v>
      </c>
      <c r="B59">
        <v>7228</v>
      </c>
      <c r="C59" t="s">
        <v>1668</v>
      </c>
      <c r="D59" s="10" t="s">
        <v>1971</v>
      </c>
      <c r="E59" s="10" t="s">
        <v>1972</v>
      </c>
      <c r="F59" s="10" t="s">
        <v>540</v>
      </c>
      <c r="G59" s="10" t="s">
        <v>1973</v>
      </c>
      <c r="H59">
        <v>62020813</v>
      </c>
      <c r="I59" s="10" t="s">
        <v>111</v>
      </c>
      <c r="J59" s="10" t="s">
        <v>75</v>
      </c>
      <c r="K59" s="63" t="s">
        <v>1974</v>
      </c>
      <c r="L59" s="76">
        <v>2200000</v>
      </c>
      <c r="M59" s="80">
        <v>8179.6</v>
      </c>
      <c r="N59" s="80">
        <v>1171267</v>
      </c>
      <c r="O59" s="80">
        <v>4354.7707060000002</v>
      </c>
      <c r="P59" s="81">
        <v>0.53239409090909096</v>
      </c>
    </row>
    <row r="60" spans="1:16" ht="13.5" customHeight="1" x14ac:dyDescent="0.25">
      <c r="A60" s="10">
        <v>424</v>
      </c>
      <c r="B60">
        <v>7228</v>
      </c>
      <c r="C60" t="s">
        <v>1668</v>
      </c>
      <c r="D60" s="10" t="s">
        <v>1965</v>
      </c>
      <c r="E60" s="10" t="s">
        <v>1966</v>
      </c>
      <c r="F60" s="10" t="s">
        <v>540</v>
      </c>
      <c r="G60" s="10" t="s">
        <v>1967</v>
      </c>
      <c r="H60">
        <v>62019807</v>
      </c>
      <c r="I60" s="10" t="s">
        <v>111</v>
      </c>
      <c r="J60" s="10" t="s">
        <v>75</v>
      </c>
      <c r="K60" s="63" t="s">
        <v>1819</v>
      </c>
      <c r="L60" s="76">
        <v>2700000</v>
      </c>
      <c r="M60" s="80">
        <v>10038.6</v>
      </c>
      <c r="N60" s="80">
        <v>499021</v>
      </c>
      <c r="O60" s="80">
        <v>1855.3600779999999</v>
      </c>
      <c r="P60" s="81">
        <v>0.18482259259259301</v>
      </c>
    </row>
    <row r="61" spans="1:16" ht="13.5" customHeight="1" x14ac:dyDescent="0.25">
      <c r="A61" s="10">
        <v>424</v>
      </c>
      <c r="B61">
        <v>7228</v>
      </c>
      <c r="C61" t="s">
        <v>1668</v>
      </c>
      <c r="D61" s="10" t="s">
        <v>1953</v>
      </c>
      <c r="E61" s="10" t="s">
        <v>1954</v>
      </c>
      <c r="F61" s="10" t="s">
        <v>540</v>
      </c>
      <c r="G61" s="10" t="s">
        <v>1955</v>
      </c>
      <c r="H61">
        <v>62019849</v>
      </c>
      <c r="I61" s="10" t="s">
        <v>111</v>
      </c>
      <c r="J61" s="10" t="s">
        <v>75</v>
      </c>
      <c r="K61" s="63" t="s">
        <v>1956</v>
      </c>
      <c r="L61" s="76">
        <v>2800000</v>
      </c>
      <c r="M61" s="80">
        <v>10410.4</v>
      </c>
      <c r="N61" s="80">
        <v>584447.31999999995</v>
      </c>
      <c r="O61" s="80">
        <v>2172.9751357599998</v>
      </c>
      <c r="P61" s="81">
        <v>0.208731185714286</v>
      </c>
    </row>
    <row r="62" spans="1:16" ht="13.5" customHeight="1" x14ac:dyDescent="0.25">
      <c r="A62" s="10">
        <v>424</v>
      </c>
      <c r="B62">
        <v>7228</v>
      </c>
      <c r="C62" t="s">
        <v>1668</v>
      </c>
      <c r="D62" s="10" t="s">
        <v>1968</v>
      </c>
      <c r="E62" s="10" t="s">
        <v>1962</v>
      </c>
      <c r="F62" s="10" t="s">
        <v>540</v>
      </c>
      <c r="G62" s="10" t="s">
        <v>1969</v>
      </c>
      <c r="H62">
        <v>62020615</v>
      </c>
      <c r="I62" s="10" t="s">
        <v>111</v>
      </c>
      <c r="J62" s="10" t="s">
        <v>75</v>
      </c>
      <c r="K62" s="63" t="s">
        <v>1970</v>
      </c>
      <c r="L62" s="76">
        <v>2600000</v>
      </c>
      <c r="M62" s="80">
        <v>9666.7999999999993</v>
      </c>
      <c r="N62" s="80">
        <v>890533</v>
      </c>
      <c r="O62" s="80">
        <v>3311.001694</v>
      </c>
      <c r="P62" s="81">
        <v>0.34251269230769199</v>
      </c>
    </row>
    <row r="63" spans="1:16" ht="13.5" customHeight="1" x14ac:dyDescent="0.25">
      <c r="A63" s="10">
        <v>424</v>
      </c>
      <c r="B63">
        <v>7228</v>
      </c>
      <c r="C63" t="s">
        <v>1668</v>
      </c>
      <c r="D63" s="10" t="s">
        <v>1949</v>
      </c>
      <c r="E63" s="10" t="s">
        <v>1950</v>
      </c>
      <c r="F63" s="10" t="s">
        <v>613</v>
      </c>
      <c r="G63" s="10" t="s">
        <v>1951</v>
      </c>
      <c r="H63">
        <v>62021571</v>
      </c>
      <c r="I63" s="10" t="s">
        <v>111</v>
      </c>
      <c r="J63" s="10" t="s">
        <v>77</v>
      </c>
      <c r="K63" s="63" t="s">
        <v>1952</v>
      </c>
      <c r="L63" s="76">
        <v>1600000</v>
      </c>
      <c r="M63" s="80">
        <v>6435.04</v>
      </c>
      <c r="N63" s="80">
        <v>712815.32</v>
      </c>
      <c r="O63" s="80">
        <v>2866.8719355080002</v>
      </c>
      <c r="P63" s="81">
        <v>0.44550957499999999</v>
      </c>
    </row>
    <row r="64" spans="1:16" ht="13.5" customHeight="1" x14ac:dyDescent="0.25">
      <c r="A64" s="10">
        <v>424</v>
      </c>
      <c r="B64">
        <v>7228</v>
      </c>
      <c r="C64" t="s">
        <v>1668</v>
      </c>
      <c r="D64" s="10" t="s">
        <v>1946</v>
      </c>
      <c r="E64" s="10">
        <v>0</v>
      </c>
      <c r="F64" s="10" t="s">
        <v>613</v>
      </c>
      <c r="G64" s="10" t="s">
        <v>1947</v>
      </c>
      <c r="H64">
        <v>62021894</v>
      </c>
      <c r="I64" s="10" t="s">
        <v>111</v>
      </c>
      <c r="J64" s="10" t="s">
        <v>75</v>
      </c>
      <c r="K64" s="63" t="s">
        <v>1948</v>
      </c>
      <c r="L64" s="76">
        <v>1500000</v>
      </c>
      <c r="M64" s="80">
        <v>5577</v>
      </c>
      <c r="N64" s="80">
        <v>1422111.94</v>
      </c>
      <c r="O64" s="80">
        <v>5287.4121929200001</v>
      </c>
      <c r="P64" s="81">
        <v>0.94807462666666698</v>
      </c>
    </row>
    <row r="65" spans="1:16" ht="13.5" customHeight="1" x14ac:dyDescent="0.25">
      <c r="A65" s="10">
        <v>424</v>
      </c>
      <c r="B65">
        <v>7228</v>
      </c>
      <c r="C65" t="s">
        <v>1668</v>
      </c>
      <c r="D65" s="10" t="s">
        <v>1957</v>
      </c>
      <c r="E65" s="10" t="s">
        <v>1958</v>
      </c>
      <c r="F65" s="10" t="s">
        <v>540</v>
      </c>
      <c r="G65" s="10" t="s">
        <v>1959</v>
      </c>
      <c r="H65">
        <v>62021944</v>
      </c>
      <c r="I65" s="10" t="s">
        <v>111</v>
      </c>
      <c r="J65" s="10" t="s">
        <v>75</v>
      </c>
      <c r="K65" s="63" t="s">
        <v>1960</v>
      </c>
      <c r="L65" s="76">
        <v>1500000</v>
      </c>
      <c r="M65" s="80">
        <v>5577</v>
      </c>
      <c r="N65" s="80">
        <v>1280135.98</v>
      </c>
      <c r="O65" s="80">
        <v>4759.5455736399999</v>
      </c>
      <c r="P65" s="81">
        <v>0.85342398666666697</v>
      </c>
    </row>
    <row r="66" spans="1:16" ht="13.5" customHeight="1" x14ac:dyDescent="0.25">
      <c r="A66" s="10">
        <v>424</v>
      </c>
      <c r="B66">
        <v>7228</v>
      </c>
      <c r="C66" t="s">
        <v>1668</v>
      </c>
      <c r="D66" s="10" t="s">
        <v>1860</v>
      </c>
      <c r="E66" s="10" t="s">
        <v>1861</v>
      </c>
      <c r="F66" s="10" t="s">
        <v>613</v>
      </c>
      <c r="G66" s="10" t="s">
        <v>1862</v>
      </c>
      <c r="H66">
        <v>62020946</v>
      </c>
      <c r="I66" s="10" t="s">
        <v>111</v>
      </c>
      <c r="J66" s="10" t="s">
        <v>75</v>
      </c>
      <c r="K66" s="63" t="s">
        <v>1863</v>
      </c>
      <c r="L66" s="76">
        <v>2700000</v>
      </c>
      <c r="M66" s="80">
        <v>10038.6</v>
      </c>
      <c r="N66" s="80">
        <v>972015</v>
      </c>
      <c r="O66" s="80">
        <v>3613.9517700000001</v>
      </c>
      <c r="P66" s="81">
        <v>0.36000555555555602</v>
      </c>
    </row>
    <row r="67" spans="1:16" ht="13.5" customHeight="1" x14ac:dyDescent="0.25">
      <c r="A67" s="10">
        <v>424</v>
      </c>
      <c r="B67">
        <v>7228</v>
      </c>
      <c r="C67" t="s">
        <v>1668</v>
      </c>
      <c r="D67" s="10" t="s">
        <v>1918</v>
      </c>
      <c r="E67" s="10" t="s">
        <v>1919</v>
      </c>
      <c r="F67" s="10" t="s">
        <v>540</v>
      </c>
      <c r="G67" s="10" t="s">
        <v>1920</v>
      </c>
      <c r="H67">
        <v>62017652</v>
      </c>
      <c r="I67" s="10" t="s">
        <v>111</v>
      </c>
      <c r="J67" s="10" t="s">
        <v>75</v>
      </c>
      <c r="K67" s="63" t="s">
        <v>1922</v>
      </c>
      <c r="L67" s="76">
        <v>2200000</v>
      </c>
      <c r="M67" s="80">
        <v>8179.6</v>
      </c>
      <c r="N67" s="80">
        <v>677862.36</v>
      </c>
      <c r="O67" s="80">
        <v>2520.2922544799999</v>
      </c>
      <c r="P67" s="81">
        <v>0.30811925454545502</v>
      </c>
    </row>
    <row r="68" spans="1:16" ht="13.5" customHeight="1" x14ac:dyDescent="0.25">
      <c r="A68" s="10">
        <v>424</v>
      </c>
      <c r="B68">
        <v>7228</v>
      </c>
      <c r="C68" t="s">
        <v>1668</v>
      </c>
      <c r="D68" s="10" t="s">
        <v>1923</v>
      </c>
      <c r="E68" s="10" t="s">
        <v>1924</v>
      </c>
      <c r="F68" s="10" t="s">
        <v>540</v>
      </c>
      <c r="G68" s="10" t="s">
        <v>1925</v>
      </c>
      <c r="H68">
        <v>62021142</v>
      </c>
      <c r="I68" s="10" t="s">
        <v>111</v>
      </c>
      <c r="J68" s="10" t="s">
        <v>75</v>
      </c>
      <c r="K68" s="63" t="s">
        <v>1926</v>
      </c>
      <c r="L68" s="76">
        <v>2800000</v>
      </c>
      <c r="M68" s="80">
        <v>10410.4</v>
      </c>
      <c r="N68" s="80">
        <v>812000</v>
      </c>
      <c r="O68" s="80">
        <v>3019.0160000000001</v>
      </c>
      <c r="P68" s="81">
        <v>0.28999999999999998</v>
      </c>
    </row>
    <row r="69" spans="1:16" ht="13.5" customHeight="1" x14ac:dyDescent="0.25">
      <c r="A69" s="10">
        <v>424</v>
      </c>
      <c r="B69">
        <v>7228</v>
      </c>
      <c r="C69" t="s">
        <v>1668</v>
      </c>
      <c r="D69" s="10" t="s">
        <v>1897</v>
      </c>
      <c r="E69" s="10" t="s">
        <v>1898</v>
      </c>
      <c r="F69" s="10" t="s">
        <v>540</v>
      </c>
      <c r="G69" s="10" t="s">
        <v>1899</v>
      </c>
      <c r="H69">
        <v>62017702</v>
      </c>
      <c r="I69" s="10" t="s">
        <v>111</v>
      </c>
      <c r="J69" s="10" t="s">
        <v>75</v>
      </c>
      <c r="K69" s="63" t="s">
        <v>1901</v>
      </c>
      <c r="L69" s="76">
        <v>2500000</v>
      </c>
      <c r="M69" s="80">
        <v>9295</v>
      </c>
      <c r="N69" s="80">
        <v>141529</v>
      </c>
      <c r="O69" s="80">
        <v>526.20482200000004</v>
      </c>
      <c r="P69" s="81">
        <v>5.6611599999999998E-2</v>
      </c>
    </row>
    <row r="70" spans="1:16" ht="13.5" customHeight="1" x14ac:dyDescent="0.25">
      <c r="A70" s="10">
        <v>424</v>
      </c>
      <c r="B70">
        <v>7228</v>
      </c>
      <c r="C70" t="s">
        <v>1668</v>
      </c>
      <c r="D70" s="10" t="s">
        <v>1984</v>
      </c>
      <c r="E70" s="10" t="s">
        <v>1985</v>
      </c>
      <c r="F70" s="10" t="s">
        <v>540</v>
      </c>
      <c r="G70" s="10" t="s">
        <v>1986</v>
      </c>
      <c r="H70">
        <v>62018387</v>
      </c>
      <c r="I70" s="10" t="s">
        <v>111</v>
      </c>
      <c r="J70" s="10" t="s">
        <v>75</v>
      </c>
      <c r="K70" s="63" t="s">
        <v>1987</v>
      </c>
      <c r="L70" s="76">
        <v>1500000</v>
      </c>
      <c r="M70" s="80">
        <v>5577</v>
      </c>
      <c r="N70" s="80">
        <v>204917.96</v>
      </c>
      <c r="O70" s="80">
        <v>761.88497528000005</v>
      </c>
      <c r="P70" s="81">
        <v>0.136611973333333</v>
      </c>
    </row>
    <row r="71" spans="1:16" ht="13.5" customHeight="1" x14ac:dyDescent="0.25">
      <c r="A71" s="10">
        <v>424</v>
      </c>
      <c r="B71">
        <v>7228</v>
      </c>
      <c r="C71" t="s">
        <v>1668</v>
      </c>
      <c r="D71" s="10" t="s">
        <v>1846</v>
      </c>
      <c r="E71" s="10" t="s">
        <v>1847</v>
      </c>
      <c r="F71" s="10" t="s">
        <v>613</v>
      </c>
      <c r="G71" s="10" t="s">
        <v>1848</v>
      </c>
      <c r="H71">
        <v>62018064</v>
      </c>
      <c r="I71" s="10" t="s">
        <v>111</v>
      </c>
      <c r="J71" s="10" t="s">
        <v>75</v>
      </c>
      <c r="K71" s="63" t="s">
        <v>1615</v>
      </c>
      <c r="L71" s="76">
        <v>1000000</v>
      </c>
      <c r="M71" s="80">
        <v>3718</v>
      </c>
      <c r="N71" s="80">
        <v>123255</v>
      </c>
      <c r="O71" s="80">
        <v>458.26209</v>
      </c>
      <c r="P71" s="81">
        <v>0.123255</v>
      </c>
    </row>
    <row r="72" spans="1:16" ht="13.5" customHeight="1" x14ac:dyDescent="0.25">
      <c r="A72" s="10">
        <v>424</v>
      </c>
      <c r="B72">
        <v>7228</v>
      </c>
      <c r="C72" t="s">
        <v>1668</v>
      </c>
      <c r="D72" s="10" t="s">
        <v>1846</v>
      </c>
      <c r="E72" s="10" t="s">
        <v>1847</v>
      </c>
      <c r="F72" s="10" t="s">
        <v>613</v>
      </c>
      <c r="G72" s="10" t="s">
        <v>1849</v>
      </c>
      <c r="H72">
        <v>62021340</v>
      </c>
      <c r="I72" s="10" t="s">
        <v>111</v>
      </c>
      <c r="J72" s="10" t="s">
        <v>75</v>
      </c>
      <c r="K72" s="63" t="s">
        <v>1851</v>
      </c>
      <c r="L72" s="76">
        <v>1500000</v>
      </c>
      <c r="M72" s="80">
        <v>5577</v>
      </c>
      <c r="N72" s="80">
        <v>660633</v>
      </c>
      <c r="O72" s="80">
        <v>2456.2334940000001</v>
      </c>
      <c r="P72" s="81">
        <v>0.44042199999999998</v>
      </c>
    </row>
    <row r="73" spans="1:16" ht="13.5" customHeight="1" x14ac:dyDescent="0.25">
      <c r="A73" s="10">
        <v>424</v>
      </c>
      <c r="B73">
        <v>7228</v>
      </c>
      <c r="C73" t="s">
        <v>1668</v>
      </c>
      <c r="D73" s="10" t="s">
        <v>1988</v>
      </c>
      <c r="E73" s="10" t="s">
        <v>1989</v>
      </c>
      <c r="F73" s="10" t="s">
        <v>613</v>
      </c>
      <c r="G73" s="10" t="s">
        <v>1990</v>
      </c>
      <c r="H73">
        <v>62018551</v>
      </c>
      <c r="I73" s="10" t="s">
        <v>111</v>
      </c>
      <c r="J73" s="10" t="s">
        <v>75</v>
      </c>
      <c r="K73" s="63" t="s">
        <v>1992</v>
      </c>
      <c r="L73" s="76">
        <v>2080000</v>
      </c>
      <c r="M73" s="80">
        <v>7733.44</v>
      </c>
      <c r="N73" s="80">
        <v>436800</v>
      </c>
      <c r="O73" s="80">
        <v>1624.0224000000001</v>
      </c>
      <c r="P73" s="81">
        <v>0.21</v>
      </c>
    </row>
    <row r="74" spans="1:16" ht="13.5" customHeight="1" x14ac:dyDescent="0.25">
      <c r="A74" s="10">
        <v>424</v>
      </c>
      <c r="B74">
        <v>7228</v>
      </c>
      <c r="C74" t="s">
        <v>1668</v>
      </c>
      <c r="D74" s="10" t="s">
        <v>1997</v>
      </c>
      <c r="E74" s="10" t="s">
        <v>1998</v>
      </c>
      <c r="F74" s="10" t="s">
        <v>613</v>
      </c>
      <c r="G74" s="10" t="s">
        <v>1999</v>
      </c>
      <c r="H74">
        <v>62020169</v>
      </c>
      <c r="I74" s="10" t="s">
        <v>111</v>
      </c>
      <c r="J74" s="10" t="s">
        <v>75</v>
      </c>
      <c r="K74" s="63" t="s">
        <v>2000</v>
      </c>
      <c r="L74" s="76">
        <v>2500000</v>
      </c>
      <c r="M74" s="80">
        <v>9295</v>
      </c>
      <c r="N74" s="80">
        <v>475000</v>
      </c>
      <c r="O74" s="80">
        <v>1766.05</v>
      </c>
      <c r="P74" s="81">
        <v>0.19</v>
      </c>
    </row>
    <row r="75" spans="1:16" ht="13.5" customHeight="1" x14ac:dyDescent="0.25">
      <c r="A75" s="10">
        <v>424</v>
      </c>
      <c r="B75">
        <v>7228</v>
      </c>
      <c r="C75" t="s">
        <v>1668</v>
      </c>
      <c r="D75" s="10" t="s">
        <v>1852</v>
      </c>
      <c r="E75" s="10" t="s">
        <v>1853</v>
      </c>
      <c r="F75" s="10" t="s">
        <v>540</v>
      </c>
      <c r="G75" s="10" t="s">
        <v>1854</v>
      </c>
      <c r="H75">
        <v>62018908</v>
      </c>
      <c r="I75" s="10" t="s">
        <v>111</v>
      </c>
      <c r="J75" s="10" t="s">
        <v>75</v>
      </c>
      <c r="K75" s="63" t="s">
        <v>1855</v>
      </c>
      <c r="L75" s="76">
        <v>3400000</v>
      </c>
      <c r="M75" s="80">
        <v>12641.2</v>
      </c>
      <c r="N75" s="80">
        <v>716733.21</v>
      </c>
      <c r="O75" s="80">
        <v>2664.8140747799998</v>
      </c>
      <c r="P75" s="81">
        <v>0.210803885294118</v>
      </c>
    </row>
    <row r="76" spans="1:16" ht="13.5" customHeight="1" x14ac:dyDescent="0.25">
      <c r="A76" s="10">
        <v>424</v>
      </c>
      <c r="B76">
        <v>7228</v>
      </c>
      <c r="C76" t="s">
        <v>1668</v>
      </c>
      <c r="D76" s="10" t="s">
        <v>1820</v>
      </c>
      <c r="E76" s="10" t="s">
        <v>1821</v>
      </c>
      <c r="F76" s="10" t="s">
        <v>540</v>
      </c>
      <c r="G76" s="10" t="s">
        <v>1822</v>
      </c>
      <c r="H76">
        <v>62019757</v>
      </c>
      <c r="I76" s="10" t="s">
        <v>111</v>
      </c>
      <c r="J76" s="10" t="s">
        <v>75</v>
      </c>
      <c r="K76" s="63" t="s">
        <v>1823</v>
      </c>
      <c r="L76" s="76">
        <v>1400000</v>
      </c>
      <c r="M76" s="80">
        <v>5205.2</v>
      </c>
      <c r="N76" s="80">
        <v>696951</v>
      </c>
      <c r="O76" s="80">
        <v>2591.2638179999999</v>
      </c>
      <c r="P76" s="81">
        <v>0.49782214285714299</v>
      </c>
    </row>
    <row r="77" spans="1:16" ht="13.5" customHeight="1" x14ac:dyDescent="0.25">
      <c r="A77" s="10">
        <v>424</v>
      </c>
      <c r="B77">
        <v>7228</v>
      </c>
      <c r="C77" t="s">
        <v>1668</v>
      </c>
      <c r="D77" s="10" t="s">
        <v>1797</v>
      </c>
      <c r="E77" s="10" t="s">
        <v>1798</v>
      </c>
      <c r="F77" s="10" t="s">
        <v>286</v>
      </c>
      <c r="G77" s="10" t="s">
        <v>1799</v>
      </c>
      <c r="H77">
        <v>50007160</v>
      </c>
      <c r="I77" s="10" t="s">
        <v>111</v>
      </c>
      <c r="J77" s="10" t="s">
        <v>81</v>
      </c>
      <c r="K77" s="63" t="s">
        <v>1800</v>
      </c>
      <c r="L77" s="76">
        <v>4500000</v>
      </c>
      <c r="M77" s="80">
        <v>4500</v>
      </c>
      <c r="N77" s="80">
        <v>2150197</v>
      </c>
      <c r="O77" s="80">
        <v>2150.1970000000001</v>
      </c>
      <c r="P77" s="81">
        <v>0.477821555555556</v>
      </c>
    </row>
    <row r="78" spans="1:16" ht="13.5" customHeight="1" x14ac:dyDescent="0.25">
      <c r="A78" s="10">
        <v>424</v>
      </c>
      <c r="B78">
        <v>7228</v>
      </c>
      <c r="C78" t="s">
        <v>1668</v>
      </c>
      <c r="D78" s="10" t="s">
        <v>1817</v>
      </c>
      <c r="E78" s="10" t="s">
        <v>1818</v>
      </c>
      <c r="F78" s="10" t="s">
        <v>613</v>
      </c>
      <c r="G78" s="10" t="s">
        <v>1817</v>
      </c>
      <c r="H78">
        <v>62019815</v>
      </c>
      <c r="I78" s="10" t="s">
        <v>111</v>
      </c>
      <c r="J78" s="10" t="s">
        <v>75</v>
      </c>
      <c r="K78" s="63" t="s">
        <v>1819</v>
      </c>
      <c r="L78" s="76">
        <v>4000000</v>
      </c>
      <c r="M78" s="80">
        <v>14872</v>
      </c>
      <c r="N78" s="80">
        <v>2476570</v>
      </c>
      <c r="O78" s="80">
        <v>9207.8872599999995</v>
      </c>
      <c r="P78" s="81">
        <v>0.61914250000000004</v>
      </c>
    </row>
    <row r="79" spans="1:16" ht="13.5" customHeight="1" x14ac:dyDescent="0.25">
      <c r="A79" s="10">
        <v>424</v>
      </c>
      <c r="B79">
        <v>7228</v>
      </c>
      <c r="C79" t="s">
        <v>1668</v>
      </c>
      <c r="D79" s="10" t="s">
        <v>1813</v>
      </c>
      <c r="E79" s="10" t="s">
        <v>1814</v>
      </c>
      <c r="F79" s="10" t="s">
        <v>540</v>
      </c>
      <c r="G79" s="10" t="s">
        <v>1813</v>
      </c>
      <c r="H79">
        <v>62020896</v>
      </c>
      <c r="I79" s="10" t="s">
        <v>111</v>
      </c>
      <c r="J79" s="10" t="s">
        <v>75</v>
      </c>
      <c r="K79" s="63" t="s">
        <v>1816</v>
      </c>
      <c r="L79" s="76">
        <v>2700000</v>
      </c>
      <c r="M79" s="80">
        <v>10038.6</v>
      </c>
      <c r="N79" s="80">
        <v>2180999</v>
      </c>
      <c r="O79" s="80">
        <v>8108.9542819999997</v>
      </c>
      <c r="P79" s="81">
        <v>0.807777407407407</v>
      </c>
    </row>
    <row r="80" spans="1:16" ht="13.5" customHeight="1" x14ac:dyDescent="0.25">
      <c r="A80" s="10">
        <v>424</v>
      </c>
      <c r="B80">
        <v>7228</v>
      </c>
      <c r="C80" t="s">
        <v>1668</v>
      </c>
      <c r="D80" s="10" t="s">
        <v>1809</v>
      </c>
      <c r="E80" s="10" t="s">
        <v>1810</v>
      </c>
      <c r="F80" s="10" t="s">
        <v>613</v>
      </c>
      <c r="G80" s="10" t="s">
        <v>1809</v>
      </c>
      <c r="H80">
        <v>62021365</v>
      </c>
      <c r="I80" s="10" t="s">
        <v>111</v>
      </c>
      <c r="J80" s="10" t="s">
        <v>75</v>
      </c>
      <c r="K80" s="63" t="s">
        <v>1812</v>
      </c>
      <c r="L80" s="76">
        <v>3000000</v>
      </c>
      <c r="M80" s="80">
        <v>11154</v>
      </c>
      <c r="N80" s="80">
        <v>2225841.87</v>
      </c>
      <c r="O80" s="80">
        <v>8275.6800726599995</v>
      </c>
      <c r="P80" s="81">
        <v>0.74194729000000004</v>
      </c>
    </row>
    <row r="81" spans="1:16" ht="13.5" customHeight="1" x14ac:dyDescent="0.25">
      <c r="A81" s="10">
        <v>424</v>
      </c>
      <c r="B81">
        <v>7228</v>
      </c>
      <c r="C81" t="s">
        <v>1668</v>
      </c>
      <c r="D81" s="10" t="s">
        <v>1786</v>
      </c>
      <c r="E81" s="10" t="s">
        <v>1787</v>
      </c>
      <c r="F81" s="10" t="s">
        <v>210</v>
      </c>
      <c r="G81" s="10" t="s">
        <v>1786</v>
      </c>
      <c r="H81">
        <v>50007350</v>
      </c>
      <c r="I81" s="10" t="s">
        <v>111</v>
      </c>
      <c r="J81" s="10" t="s">
        <v>81</v>
      </c>
      <c r="K81" s="63" t="s">
        <v>1789</v>
      </c>
      <c r="L81" s="76">
        <v>8000000</v>
      </c>
      <c r="M81" s="80">
        <v>8000</v>
      </c>
      <c r="N81" s="80">
        <v>1596198</v>
      </c>
      <c r="O81" s="80">
        <v>1596.1980000000001</v>
      </c>
      <c r="P81" s="81">
        <v>0.19952475</v>
      </c>
    </row>
    <row r="82" spans="1:16" ht="13.5" customHeight="1" x14ac:dyDescent="0.25">
      <c r="A82" s="10">
        <v>424</v>
      </c>
      <c r="B82">
        <v>7228</v>
      </c>
      <c r="C82" t="s">
        <v>1668</v>
      </c>
      <c r="D82" s="10" t="s">
        <v>1665</v>
      </c>
      <c r="E82" s="10" t="s">
        <v>1666</v>
      </c>
      <c r="F82" s="10" t="s">
        <v>286</v>
      </c>
      <c r="G82" s="10" t="s">
        <v>1667</v>
      </c>
      <c r="H82">
        <v>50007566</v>
      </c>
      <c r="I82" s="10" t="s">
        <v>111</v>
      </c>
      <c r="J82" s="10" t="s">
        <v>81</v>
      </c>
      <c r="K82" s="63" t="s">
        <v>1670</v>
      </c>
      <c r="L82" s="76">
        <v>2800000</v>
      </c>
      <c r="M82" s="80">
        <v>2800</v>
      </c>
      <c r="N82" s="80">
        <v>456200</v>
      </c>
      <c r="O82" s="80">
        <v>456.2</v>
      </c>
      <c r="P82" s="81">
        <v>0.16292857142857101</v>
      </c>
    </row>
    <row r="83" spans="1:16" ht="13.5" customHeight="1" x14ac:dyDescent="0.25">
      <c r="A83" s="10">
        <v>424</v>
      </c>
      <c r="B83">
        <v>7228</v>
      </c>
      <c r="C83" t="s">
        <v>1668</v>
      </c>
      <c r="D83" s="10" t="s">
        <v>1737</v>
      </c>
      <c r="E83" s="10" t="s">
        <v>1738</v>
      </c>
      <c r="F83" s="10" t="s">
        <v>111</v>
      </c>
      <c r="G83" s="10" t="s">
        <v>1737</v>
      </c>
      <c r="H83">
        <v>62020375</v>
      </c>
      <c r="I83" s="10" t="s">
        <v>111</v>
      </c>
      <c r="J83" s="10" t="s">
        <v>75</v>
      </c>
      <c r="K83" s="63" t="s">
        <v>1740</v>
      </c>
      <c r="L83" s="76">
        <v>2500000</v>
      </c>
      <c r="M83" s="80">
        <v>9295</v>
      </c>
      <c r="N83" s="80">
        <v>1929028</v>
      </c>
      <c r="O83" s="80">
        <v>7172.1261039999999</v>
      </c>
      <c r="P83" s="81">
        <v>0.77161120000000005</v>
      </c>
    </row>
    <row r="84" spans="1:16" ht="13.5" customHeight="1" x14ac:dyDescent="0.25">
      <c r="A84" s="10">
        <v>424</v>
      </c>
      <c r="B84">
        <v>7228</v>
      </c>
      <c r="C84" t="s">
        <v>1668</v>
      </c>
      <c r="D84" s="10" t="s">
        <v>1935</v>
      </c>
      <c r="E84" s="10" t="s">
        <v>1936</v>
      </c>
      <c r="F84" s="10" t="s">
        <v>540</v>
      </c>
      <c r="G84" s="10" t="s">
        <v>1937</v>
      </c>
      <c r="H84">
        <v>62020425</v>
      </c>
      <c r="I84" s="10" t="s">
        <v>111</v>
      </c>
      <c r="J84" s="10" t="s">
        <v>75</v>
      </c>
      <c r="K84" s="63" t="s">
        <v>1938</v>
      </c>
      <c r="L84" s="76">
        <v>3000000</v>
      </c>
      <c r="M84" s="80">
        <v>11154</v>
      </c>
      <c r="N84" s="80">
        <v>369447</v>
      </c>
      <c r="O84" s="80">
        <v>1373.603946</v>
      </c>
      <c r="P84" s="81">
        <v>0.12314899999999999</v>
      </c>
    </row>
    <row r="85" spans="1:16" ht="13.5" customHeight="1" x14ac:dyDescent="0.25">
      <c r="A85" s="10">
        <v>424</v>
      </c>
      <c r="B85">
        <v>7228</v>
      </c>
      <c r="C85" t="s">
        <v>1668</v>
      </c>
      <c r="D85" s="10" t="s">
        <v>1931</v>
      </c>
      <c r="E85" s="10" t="s">
        <v>1932</v>
      </c>
      <c r="F85" s="10" t="s">
        <v>111</v>
      </c>
      <c r="G85" s="10" t="s">
        <v>1933</v>
      </c>
      <c r="H85">
        <v>62021951</v>
      </c>
      <c r="I85" s="10" t="s">
        <v>111</v>
      </c>
      <c r="J85" s="10" t="s">
        <v>75</v>
      </c>
      <c r="K85" s="63" t="s">
        <v>1934</v>
      </c>
      <c r="L85" s="76">
        <v>1700000</v>
      </c>
      <c r="M85" s="80">
        <v>6320.6</v>
      </c>
      <c r="N85" s="80">
        <v>1194616</v>
      </c>
      <c r="O85" s="80">
        <v>4441.5822879999996</v>
      </c>
      <c r="P85" s="81">
        <v>0.70271529411764699</v>
      </c>
    </row>
    <row r="86" spans="1:16" ht="13.5" customHeight="1" x14ac:dyDescent="0.25">
      <c r="A86" s="10">
        <v>424</v>
      </c>
      <c r="B86">
        <v>7228</v>
      </c>
      <c r="C86" t="s">
        <v>1668</v>
      </c>
      <c r="D86" s="10" t="s">
        <v>1894</v>
      </c>
      <c r="E86" s="10" t="s">
        <v>1895</v>
      </c>
      <c r="F86" s="10" t="s">
        <v>613</v>
      </c>
      <c r="G86" s="10" t="s">
        <v>1896</v>
      </c>
      <c r="H86">
        <v>62020565</v>
      </c>
      <c r="I86" s="10" t="s">
        <v>111</v>
      </c>
      <c r="J86" s="10" t="s">
        <v>77</v>
      </c>
      <c r="K86" s="63" t="s">
        <v>1670</v>
      </c>
      <c r="L86" s="76">
        <v>1320000</v>
      </c>
      <c r="M86" s="80">
        <v>5308.9080000000004</v>
      </c>
      <c r="N86" s="80">
        <v>491205.85</v>
      </c>
      <c r="O86" s="80">
        <v>1975.5808081150001</v>
      </c>
      <c r="P86" s="81">
        <v>0.37212564393939401</v>
      </c>
    </row>
    <row r="87" spans="1:16" ht="13.5" customHeight="1" x14ac:dyDescent="0.25">
      <c r="A87" s="10">
        <v>424</v>
      </c>
      <c r="B87">
        <v>7228</v>
      </c>
      <c r="C87" t="s">
        <v>1668</v>
      </c>
      <c r="D87" s="10" t="s">
        <v>1805</v>
      </c>
      <c r="E87" s="10" t="s">
        <v>1806</v>
      </c>
      <c r="F87" s="10" t="s">
        <v>111</v>
      </c>
      <c r="G87" s="10" t="s">
        <v>1807</v>
      </c>
      <c r="H87">
        <v>62020672</v>
      </c>
      <c r="I87" s="10" t="s">
        <v>111</v>
      </c>
      <c r="J87" s="10" t="s">
        <v>75</v>
      </c>
      <c r="K87" s="63" t="s">
        <v>1808</v>
      </c>
      <c r="L87" s="76">
        <v>1100000</v>
      </c>
      <c r="M87" s="80">
        <v>4089.8</v>
      </c>
      <c r="N87" s="80">
        <v>194574</v>
      </c>
      <c r="O87" s="80">
        <v>723.42613200000005</v>
      </c>
      <c r="P87" s="81">
        <v>0.17688545454545501</v>
      </c>
    </row>
    <row r="88" spans="1:16" ht="13.5" customHeight="1" x14ac:dyDescent="0.25">
      <c r="A88" s="10">
        <v>424</v>
      </c>
      <c r="B88">
        <v>7228</v>
      </c>
      <c r="C88" t="s">
        <v>1668</v>
      </c>
      <c r="D88" s="10" t="s">
        <v>1864</v>
      </c>
      <c r="E88" s="10" t="s">
        <v>1865</v>
      </c>
      <c r="F88" s="10" t="s">
        <v>420</v>
      </c>
      <c r="G88" s="10" t="s">
        <v>1866</v>
      </c>
      <c r="H88">
        <v>62021431</v>
      </c>
      <c r="I88" s="10" t="s">
        <v>111</v>
      </c>
      <c r="J88" s="10" t="s">
        <v>75</v>
      </c>
      <c r="K88" s="63" t="s">
        <v>1867</v>
      </c>
      <c r="L88" s="76">
        <v>1120000</v>
      </c>
      <c r="M88" s="80">
        <v>4164.16</v>
      </c>
      <c r="N88" s="80">
        <v>632800</v>
      </c>
      <c r="O88" s="80">
        <v>2352.7503999999999</v>
      </c>
      <c r="P88" s="81">
        <v>0.56499999999999995</v>
      </c>
    </row>
    <row r="89" spans="1:16" ht="13.5" customHeight="1" x14ac:dyDescent="0.25">
      <c r="A89" s="10">
        <v>424</v>
      </c>
      <c r="B89">
        <v>7228</v>
      </c>
      <c r="C89" t="s">
        <v>1668</v>
      </c>
      <c r="D89" s="10" t="s">
        <v>2001</v>
      </c>
      <c r="E89" s="10" t="s">
        <v>2002</v>
      </c>
      <c r="F89" s="10" t="s">
        <v>613</v>
      </c>
      <c r="G89" s="10" t="s">
        <v>2005</v>
      </c>
      <c r="H89">
        <v>62021852</v>
      </c>
      <c r="I89" s="10" t="s">
        <v>111</v>
      </c>
      <c r="J89" s="10" t="s">
        <v>77</v>
      </c>
      <c r="K89" s="63" t="s">
        <v>1893</v>
      </c>
      <c r="L89" s="76">
        <v>1400000</v>
      </c>
      <c r="M89" s="80">
        <v>5630.66</v>
      </c>
      <c r="N89" s="80">
        <v>630000</v>
      </c>
      <c r="O89" s="80">
        <v>2533.797</v>
      </c>
      <c r="P89" s="81">
        <v>0.45</v>
      </c>
    </row>
    <row r="90" spans="1:16" ht="13.5" customHeight="1" x14ac:dyDescent="0.25">
      <c r="A90" s="10">
        <v>424</v>
      </c>
      <c r="B90">
        <v>7228</v>
      </c>
      <c r="C90" t="s">
        <v>1668</v>
      </c>
      <c r="D90" s="10" t="s">
        <v>2001</v>
      </c>
      <c r="E90" s="10" t="s">
        <v>2002</v>
      </c>
      <c r="F90" s="10" t="s">
        <v>613</v>
      </c>
      <c r="G90" s="10" t="s">
        <v>2003</v>
      </c>
      <c r="H90">
        <v>62022033</v>
      </c>
      <c r="I90" s="10" t="s">
        <v>111</v>
      </c>
      <c r="J90" s="10" t="s">
        <v>75</v>
      </c>
      <c r="K90" s="63" t="s">
        <v>2004</v>
      </c>
      <c r="L90" s="76">
        <v>1700000</v>
      </c>
      <c r="M90" s="80">
        <v>6320.6</v>
      </c>
      <c r="N90" s="80">
        <v>1109315.24</v>
      </c>
      <c r="O90" s="80">
        <v>4124.4340623199996</v>
      </c>
      <c r="P90" s="81">
        <v>0.65253837647058799</v>
      </c>
    </row>
    <row r="91" spans="1:16" ht="13.5" customHeight="1" x14ac:dyDescent="0.25">
      <c r="A91" s="10">
        <v>424</v>
      </c>
      <c r="B91">
        <v>7228</v>
      </c>
      <c r="C91" t="s">
        <v>1668</v>
      </c>
      <c r="D91" s="10" t="s">
        <v>1790</v>
      </c>
      <c r="E91" s="10" t="s">
        <v>1791</v>
      </c>
      <c r="F91" s="10" t="s">
        <v>111</v>
      </c>
      <c r="G91" s="10" t="s">
        <v>1792</v>
      </c>
      <c r="H91">
        <v>50008325</v>
      </c>
      <c r="I91" s="10" t="s">
        <v>111</v>
      </c>
      <c r="J91" s="10" t="s">
        <v>81</v>
      </c>
      <c r="K91" s="63" t="s">
        <v>1793</v>
      </c>
      <c r="L91" s="76">
        <v>5500000</v>
      </c>
      <c r="M91" s="80">
        <v>5500</v>
      </c>
      <c r="N91" s="80">
        <v>5104886</v>
      </c>
      <c r="O91" s="80">
        <v>5104.8860000000004</v>
      </c>
      <c r="P91" s="81">
        <v>0.92816109090909105</v>
      </c>
    </row>
    <row r="92" spans="1:16" ht="13.5" customHeight="1" x14ac:dyDescent="0.25">
      <c r="A92" s="10">
        <v>424</v>
      </c>
      <c r="B92">
        <v>7228</v>
      </c>
      <c r="C92" t="s">
        <v>1668</v>
      </c>
      <c r="D92" s="10" t="s">
        <v>1801</v>
      </c>
      <c r="E92" s="10" t="s">
        <v>1802</v>
      </c>
      <c r="F92" s="10" t="s">
        <v>613</v>
      </c>
      <c r="G92" s="10" t="s">
        <v>1803</v>
      </c>
      <c r="H92">
        <v>62022124</v>
      </c>
      <c r="I92" s="10" t="s">
        <v>111</v>
      </c>
      <c r="J92" s="10" t="s">
        <v>77</v>
      </c>
      <c r="K92" s="63" t="s">
        <v>1804</v>
      </c>
      <c r="L92" s="76">
        <v>1400000</v>
      </c>
      <c r="M92" s="80">
        <v>5630.66</v>
      </c>
      <c r="N92" s="80">
        <v>718105.27</v>
      </c>
      <c r="O92" s="80">
        <v>2888.1475854129999</v>
      </c>
      <c r="P92" s="81">
        <v>0.51293233571428598</v>
      </c>
    </row>
    <row r="93" spans="1:16" ht="13.5" customHeight="1" x14ac:dyDescent="0.25">
      <c r="A93" s="10">
        <v>424</v>
      </c>
      <c r="B93">
        <v>7228</v>
      </c>
      <c r="C93" t="s">
        <v>1668</v>
      </c>
      <c r="D93" s="10" t="s">
        <v>2045</v>
      </c>
      <c r="E93" s="10" t="s">
        <v>2046</v>
      </c>
      <c r="F93" s="10" t="s">
        <v>210</v>
      </c>
      <c r="G93" s="10" t="s">
        <v>2047</v>
      </c>
      <c r="H93">
        <v>26427</v>
      </c>
      <c r="I93" s="10" t="s">
        <v>111</v>
      </c>
      <c r="J93" s="10" t="s">
        <v>81</v>
      </c>
      <c r="K93" s="63" t="s">
        <v>1424</v>
      </c>
      <c r="L93" s="76">
        <v>4000000</v>
      </c>
      <c r="M93" s="80">
        <v>4000</v>
      </c>
      <c r="N93" s="80">
        <v>15951</v>
      </c>
      <c r="O93" s="80">
        <v>15.951000000000001</v>
      </c>
      <c r="P93" s="81">
        <v>3.98775E-3</v>
      </c>
    </row>
    <row r="94" spans="1:16" ht="13.5" customHeight="1" x14ac:dyDescent="0.25">
      <c r="A94">
        <v>424</v>
      </c>
      <c r="B94">
        <v>7229</v>
      </c>
      <c r="C94" t="s">
        <v>1668</v>
      </c>
      <c r="D94" s="10" t="s">
        <v>1719</v>
      </c>
      <c r="E94" s="10" t="s">
        <v>1720</v>
      </c>
      <c r="F94" s="10" t="s">
        <v>1721</v>
      </c>
      <c r="G94" s="10" t="s">
        <v>1723</v>
      </c>
      <c r="H94">
        <v>62002785</v>
      </c>
      <c r="I94" s="10" t="s">
        <v>111</v>
      </c>
      <c r="J94" s="10" t="s">
        <v>75</v>
      </c>
      <c r="K94" s="63" t="s">
        <v>1724</v>
      </c>
      <c r="L94" s="76">
        <v>50000</v>
      </c>
      <c r="M94" s="80">
        <v>185.9</v>
      </c>
      <c r="N94" s="80">
        <v>2250</v>
      </c>
      <c r="O94" s="80">
        <v>8.3655000000000008</v>
      </c>
      <c r="P94" s="81">
        <v>4.4999999999999998E-2</v>
      </c>
    </row>
    <row r="95" spans="1:16" ht="13.5" customHeight="1" x14ac:dyDescent="0.25">
      <c r="A95">
        <v>424</v>
      </c>
      <c r="B95">
        <v>7229</v>
      </c>
      <c r="C95" t="s">
        <v>1668</v>
      </c>
      <c r="D95" s="10" t="s">
        <v>1701</v>
      </c>
      <c r="E95" s="10" t="s">
        <v>1702</v>
      </c>
      <c r="F95" s="10" t="s">
        <v>111</v>
      </c>
      <c r="G95" s="10" t="s">
        <v>1703</v>
      </c>
      <c r="H95">
        <v>62001189</v>
      </c>
      <c r="I95" s="10" t="s">
        <v>111</v>
      </c>
      <c r="J95" s="10" t="s">
        <v>75</v>
      </c>
      <c r="K95" s="63" t="s">
        <v>1705</v>
      </c>
      <c r="L95" s="76">
        <v>70000</v>
      </c>
      <c r="M95" s="80">
        <v>260.26</v>
      </c>
      <c r="N95" s="80">
        <v>3850</v>
      </c>
      <c r="O95" s="80">
        <v>14.314299999999999</v>
      </c>
      <c r="P95" s="81">
        <v>5.5E-2</v>
      </c>
    </row>
    <row r="96" spans="1:16" ht="13.5" customHeight="1" x14ac:dyDescent="0.25">
      <c r="A96">
        <v>424</v>
      </c>
      <c r="B96">
        <v>7229</v>
      </c>
      <c r="C96" t="s">
        <v>1668</v>
      </c>
      <c r="D96" s="10" t="s">
        <v>1872</v>
      </c>
      <c r="E96" s="10" t="s">
        <v>1873</v>
      </c>
      <c r="F96" s="10" t="s">
        <v>613</v>
      </c>
      <c r="G96" s="10" t="s">
        <v>1874</v>
      </c>
      <c r="H96">
        <v>62003800</v>
      </c>
      <c r="I96" s="10" t="s">
        <v>111</v>
      </c>
      <c r="J96" s="10" t="s">
        <v>75</v>
      </c>
      <c r="K96" s="63" t="s">
        <v>1876</v>
      </c>
      <c r="L96" s="76">
        <v>240000</v>
      </c>
      <c r="M96" s="80">
        <v>892.32</v>
      </c>
      <c r="N96" s="80">
        <v>38400</v>
      </c>
      <c r="O96" s="80">
        <v>142.77119999999999</v>
      </c>
      <c r="P96" s="81">
        <v>0.16</v>
      </c>
    </row>
    <row r="97" spans="1:16" ht="13.5" customHeight="1" x14ac:dyDescent="0.25">
      <c r="A97">
        <v>424</v>
      </c>
      <c r="B97">
        <v>7229</v>
      </c>
      <c r="C97" t="s">
        <v>1668</v>
      </c>
      <c r="D97" s="10" t="s">
        <v>1872</v>
      </c>
      <c r="E97" s="10" t="s">
        <v>1873</v>
      </c>
      <c r="F97" s="10" t="s">
        <v>613</v>
      </c>
      <c r="G97" s="10" t="s">
        <v>1877</v>
      </c>
      <c r="H97">
        <v>620101031</v>
      </c>
      <c r="I97" s="10" t="s">
        <v>111</v>
      </c>
      <c r="J97" s="10" t="s">
        <v>75</v>
      </c>
      <c r="K97" s="63" t="s">
        <v>1732</v>
      </c>
      <c r="L97" s="76">
        <v>120000</v>
      </c>
      <c r="M97" s="80">
        <v>446.16</v>
      </c>
      <c r="N97" s="80">
        <v>17400</v>
      </c>
      <c r="O97" s="80">
        <v>64.693200000000004</v>
      </c>
      <c r="P97" s="81">
        <v>0.14499999999999999</v>
      </c>
    </row>
    <row r="98" spans="1:16" ht="13.5" customHeight="1" x14ac:dyDescent="0.25">
      <c r="A98">
        <v>424</v>
      </c>
      <c r="B98">
        <v>7229</v>
      </c>
      <c r="C98" t="s">
        <v>1668</v>
      </c>
      <c r="D98" s="10" t="s">
        <v>1872</v>
      </c>
      <c r="E98" s="10" t="s">
        <v>1873</v>
      </c>
      <c r="F98" s="10" t="s">
        <v>613</v>
      </c>
      <c r="G98" s="10" t="s">
        <v>1879</v>
      </c>
      <c r="H98">
        <v>62014857</v>
      </c>
      <c r="I98" s="10" t="s">
        <v>111</v>
      </c>
      <c r="J98" s="10" t="s">
        <v>75</v>
      </c>
      <c r="K98" s="63" t="s">
        <v>1880</v>
      </c>
      <c r="L98" s="76">
        <v>120000</v>
      </c>
      <c r="M98" s="80">
        <v>446.16</v>
      </c>
      <c r="N98" s="80">
        <v>26400</v>
      </c>
      <c r="O98" s="80">
        <v>98.155199999999994</v>
      </c>
      <c r="P98" s="81">
        <v>0.22</v>
      </c>
    </row>
    <row r="99" spans="1:16" ht="13.5" customHeight="1" x14ac:dyDescent="0.25">
      <c r="A99">
        <v>424</v>
      </c>
      <c r="B99">
        <v>7229</v>
      </c>
      <c r="C99" t="s">
        <v>1668</v>
      </c>
      <c r="D99" s="10" t="s">
        <v>1872</v>
      </c>
      <c r="E99" s="10" t="s">
        <v>1873</v>
      </c>
      <c r="F99" s="10" t="s">
        <v>613</v>
      </c>
      <c r="G99" s="10" t="s">
        <v>1881</v>
      </c>
      <c r="H99">
        <v>62019476</v>
      </c>
      <c r="I99" s="10" t="s">
        <v>111</v>
      </c>
      <c r="J99" s="10" t="s">
        <v>75</v>
      </c>
      <c r="K99" s="63" t="s">
        <v>1785</v>
      </c>
      <c r="L99" s="76">
        <v>120000</v>
      </c>
      <c r="M99" s="80">
        <v>446.16</v>
      </c>
      <c r="N99" s="80">
        <v>41027</v>
      </c>
      <c r="O99" s="80">
        <v>152.538386</v>
      </c>
      <c r="P99" s="81">
        <v>0.34189166666666698</v>
      </c>
    </row>
    <row r="100" spans="1:16" ht="13.5" customHeight="1" x14ac:dyDescent="0.25">
      <c r="A100">
        <v>424</v>
      </c>
      <c r="B100">
        <v>7229</v>
      </c>
      <c r="C100" t="s">
        <v>1668</v>
      </c>
      <c r="D100" s="10" t="s">
        <v>1872</v>
      </c>
      <c r="E100" s="10" t="s">
        <v>1873</v>
      </c>
      <c r="F100" s="10" t="s">
        <v>613</v>
      </c>
      <c r="G100" s="10" t="s">
        <v>1888</v>
      </c>
      <c r="H100">
        <v>62017678</v>
      </c>
      <c r="I100" s="10" t="s">
        <v>111</v>
      </c>
      <c r="J100" s="10" t="s">
        <v>75</v>
      </c>
      <c r="K100" s="63" t="s">
        <v>1889</v>
      </c>
      <c r="L100" s="76">
        <v>240000</v>
      </c>
      <c r="M100" s="80">
        <v>892.32</v>
      </c>
      <c r="N100" s="80">
        <v>7200</v>
      </c>
      <c r="O100" s="80">
        <v>26.769600000000001</v>
      </c>
      <c r="P100" s="81">
        <v>0.03</v>
      </c>
    </row>
    <row r="101" spans="1:16" ht="13.5" customHeight="1" x14ac:dyDescent="0.25">
      <c r="A101">
        <v>424</v>
      </c>
      <c r="B101">
        <v>7229</v>
      </c>
      <c r="C101" t="s">
        <v>1668</v>
      </c>
      <c r="D101" s="10" t="s">
        <v>1872</v>
      </c>
      <c r="E101" s="10" t="s">
        <v>1873</v>
      </c>
      <c r="F101" s="10" t="s">
        <v>613</v>
      </c>
      <c r="G101" s="10" t="s">
        <v>1886</v>
      </c>
      <c r="H101">
        <v>62020458</v>
      </c>
      <c r="I101" s="10" t="s">
        <v>111</v>
      </c>
      <c r="J101" s="10" t="s">
        <v>75</v>
      </c>
      <c r="K101" s="63" t="s">
        <v>1887</v>
      </c>
      <c r="L101" s="76">
        <v>100000</v>
      </c>
      <c r="M101" s="80">
        <v>371.8</v>
      </c>
      <c r="N101" s="80">
        <v>15000</v>
      </c>
      <c r="O101" s="80">
        <v>55.77</v>
      </c>
      <c r="P101" s="81">
        <v>0.15</v>
      </c>
    </row>
    <row r="102" spans="1:16" ht="13.5" customHeight="1" x14ac:dyDescent="0.25">
      <c r="A102">
        <v>424</v>
      </c>
      <c r="B102">
        <v>7229</v>
      </c>
      <c r="C102" t="s">
        <v>1668</v>
      </c>
      <c r="D102" s="10" t="s">
        <v>1838</v>
      </c>
      <c r="E102" s="10" t="s">
        <v>1839</v>
      </c>
      <c r="F102" s="10" t="s">
        <v>540</v>
      </c>
      <c r="G102" s="10" t="s">
        <v>1840</v>
      </c>
      <c r="H102">
        <v>62016654</v>
      </c>
      <c r="I102" s="10" t="s">
        <v>111</v>
      </c>
      <c r="J102" s="10" t="s">
        <v>75</v>
      </c>
      <c r="K102" s="63" t="s">
        <v>1841</v>
      </c>
      <c r="L102" s="76">
        <v>180000</v>
      </c>
      <c r="M102" s="80">
        <v>669.24</v>
      </c>
      <c r="N102" s="80">
        <v>34200</v>
      </c>
      <c r="O102" s="80">
        <v>127.15560000000001</v>
      </c>
      <c r="P102" s="81">
        <v>0.19</v>
      </c>
    </row>
    <row r="103" spans="1:16" ht="13.5" customHeight="1" x14ac:dyDescent="0.25">
      <c r="A103">
        <v>424</v>
      </c>
      <c r="B103">
        <v>7229</v>
      </c>
      <c r="C103" t="s">
        <v>1668</v>
      </c>
      <c r="D103" s="10" t="s">
        <v>1781</v>
      </c>
      <c r="E103" s="10" t="s">
        <v>1782</v>
      </c>
      <c r="F103" s="10" t="s">
        <v>210</v>
      </c>
      <c r="G103" s="10" t="s">
        <v>1781</v>
      </c>
      <c r="H103">
        <v>18952</v>
      </c>
      <c r="I103" s="10" t="s">
        <v>111</v>
      </c>
      <c r="J103" s="10" t="s">
        <v>81</v>
      </c>
      <c r="K103" s="63" t="s">
        <v>1796</v>
      </c>
      <c r="L103" s="76">
        <v>260000</v>
      </c>
      <c r="M103" s="80">
        <v>260</v>
      </c>
      <c r="N103" s="80">
        <v>44033</v>
      </c>
      <c r="O103" s="80">
        <v>44.033000000000001</v>
      </c>
      <c r="P103" s="81">
        <v>0.16935769230769199</v>
      </c>
    </row>
    <row r="104" spans="1:16" ht="13.5" customHeight="1" x14ac:dyDescent="0.25">
      <c r="A104">
        <v>424</v>
      </c>
      <c r="B104">
        <v>7229</v>
      </c>
      <c r="C104" t="s">
        <v>1668</v>
      </c>
      <c r="D104" s="10" t="s">
        <v>1781</v>
      </c>
      <c r="E104" s="10" t="s">
        <v>1782</v>
      </c>
      <c r="F104" s="10" t="s">
        <v>210</v>
      </c>
      <c r="G104" s="10" t="s">
        <v>1783</v>
      </c>
      <c r="H104">
        <v>50007004</v>
      </c>
      <c r="I104" s="10" t="s">
        <v>111</v>
      </c>
      <c r="J104" s="10" t="s">
        <v>81</v>
      </c>
      <c r="K104" s="63" t="s">
        <v>1785</v>
      </c>
      <c r="L104" s="76">
        <v>800000</v>
      </c>
      <c r="M104" s="80">
        <v>800</v>
      </c>
      <c r="N104" s="80">
        <v>244282</v>
      </c>
      <c r="O104" s="80">
        <v>244.28200000000001</v>
      </c>
      <c r="P104" s="81">
        <v>0.30535250000000003</v>
      </c>
    </row>
    <row r="105" spans="1:16" ht="13.5" customHeight="1" x14ac:dyDescent="0.25">
      <c r="A105">
        <v>424</v>
      </c>
      <c r="B105">
        <v>7229</v>
      </c>
      <c r="C105" t="s">
        <v>1668</v>
      </c>
      <c r="D105" s="10" t="s">
        <v>1710</v>
      </c>
      <c r="E105" s="10" t="s">
        <v>1711</v>
      </c>
      <c r="F105" s="10" t="s">
        <v>540</v>
      </c>
      <c r="G105" s="10" t="s">
        <v>1712</v>
      </c>
      <c r="H105">
        <v>50000983</v>
      </c>
      <c r="I105" s="10" t="s">
        <v>111</v>
      </c>
      <c r="J105" s="10" t="s">
        <v>81</v>
      </c>
      <c r="K105" s="63" t="s">
        <v>1714</v>
      </c>
      <c r="L105" s="76">
        <v>500000</v>
      </c>
      <c r="M105" s="80">
        <v>500</v>
      </c>
      <c r="N105" s="80">
        <v>150000</v>
      </c>
      <c r="O105" s="80">
        <v>150</v>
      </c>
      <c r="P105" s="81">
        <v>0.3</v>
      </c>
    </row>
    <row r="106" spans="1:16" ht="13.5" customHeight="1" x14ac:dyDescent="0.25">
      <c r="A106">
        <v>424</v>
      </c>
      <c r="B106">
        <v>7229</v>
      </c>
      <c r="C106" t="s">
        <v>1668</v>
      </c>
      <c r="D106" s="10" t="s">
        <v>1961</v>
      </c>
      <c r="E106" s="10" t="s">
        <v>1962</v>
      </c>
      <c r="F106" s="10" t="s">
        <v>540</v>
      </c>
      <c r="G106" s="10" t="s">
        <v>1963</v>
      </c>
      <c r="H106">
        <v>62009204</v>
      </c>
      <c r="I106" s="10" t="s">
        <v>111</v>
      </c>
      <c r="J106" s="10" t="s">
        <v>75</v>
      </c>
      <c r="K106" s="63" t="s">
        <v>1964</v>
      </c>
      <c r="L106" s="76">
        <v>120000</v>
      </c>
      <c r="M106" s="80">
        <v>446.16</v>
      </c>
      <c r="N106" s="80">
        <v>10411</v>
      </c>
      <c r="O106" s="80">
        <v>38.708098</v>
      </c>
      <c r="P106" s="81">
        <v>8.6758333333333298E-2</v>
      </c>
    </row>
    <row r="107" spans="1:16" ht="13.5" customHeight="1" x14ac:dyDescent="0.25">
      <c r="A107">
        <v>424</v>
      </c>
      <c r="B107">
        <v>7229</v>
      </c>
      <c r="C107" t="s">
        <v>1668</v>
      </c>
      <c r="D107" s="10" t="s">
        <v>1975</v>
      </c>
      <c r="E107" s="10" t="s">
        <v>1976</v>
      </c>
      <c r="F107" s="10" t="s">
        <v>540</v>
      </c>
      <c r="G107" s="10" t="s">
        <v>1977</v>
      </c>
      <c r="H107">
        <v>62010137</v>
      </c>
      <c r="I107" s="10" t="s">
        <v>111</v>
      </c>
      <c r="J107" s="10" t="s">
        <v>75</v>
      </c>
      <c r="K107" s="63" t="s">
        <v>1978</v>
      </c>
      <c r="L107" s="76">
        <v>120000</v>
      </c>
      <c r="M107" s="80">
        <v>446.16</v>
      </c>
      <c r="N107" s="80">
        <v>32673</v>
      </c>
      <c r="O107" s="80">
        <v>121.47821399999999</v>
      </c>
      <c r="P107" s="81">
        <v>0.27227499999999999</v>
      </c>
    </row>
    <row r="108" spans="1:16" ht="13.5" customHeight="1" x14ac:dyDescent="0.25">
      <c r="A108">
        <v>424</v>
      </c>
      <c r="B108">
        <v>7229</v>
      </c>
      <c r="C108" t="s">
        <v>1668</v>
      </c>
      <c r="D108" s="10" t="s">
        <v>1965</v>
      </c>
      <c r="E108" s="10" t="s">
        <v>1966</v>
      </c>
      <c r="F108" s="10" t="s">
        <v>540</v>
      </c>
      <c r="G108" s="10" t="s">
        <v>1967</v>
      </c>
      <c r="H108">
        <v>62019807</v>
      </c>
      <c r="I108" s="10" t="s">
        <v>111</v>
      </c>
      <c r="J108" s="10" t="s">
        <v>75</v>
      </c>
      <c r="K108" s="63" t="s">
        <v>1819</v>
      </c>
      <c r="L108" s="76">
        <v>250000</v>
      </c>
      <c r="M108" s="80">
        <v>929.5</v>
      </c>
      <c r="N108" s="80">
        <v>46205</v>
      </c>
      <c r="O108" s="80">
        <v>171.79019</v>
      </c>
      <c r="P108" s="81">
        <v>0.18482000000000001</v>
      </c>
    </row>
    <row r="109" spans="1:16" ht="13.5" customHeight="1" x14ac:dyDescent="0.25">
      <c r="A109">
        <v>424</v>
      </c>
      <c r="B109">
        <v>7229</v>
      </c>
      <c r="C109" t="s">
        <v>1668</v>
      </c>
      <c r="D109" s="10" t="s">
        <v>1949</v>
      </c>
      <c r="E109" s="10" t="s">
        <v>1950</v>
      </c>
      <c r="F109" s="10" t="s">
        <v>613</v>
      </c>
      <c r="G109" s="10" t="s">
        <v>1951</v>
      </c>
      <c r="H109">
        <v>62021571</v>
      </c>
      <c r="I109" s="10" t="s">
        <v>111</v>
      </c>
      <c r="J109" s="10" t="s">
        <v>77</v>
      </c>
      <c r="K109" s="63" t="s">
        <v>1952</v>
      </c>
      <c r="L109" s="76">
        <v>100000</v>
      </c>
      <c r="M109" s="80">
        <v>402.19</v>
      </c>
      <c r="N109" s="80">
        <v>44550.96</v>
      </c>
      <c r="O109" s="80">
        <v>179.17950602400001</v>
      </c>
      <c r="P109" s="81">
        <v>0.44550960000000001</v>
      </c>
    </row>
    <row r="110" spans="1:16" ht="13.5" customHeight="1" x14ac:dyDescent="0.25">
      <c r="A110">
        <v>424</v>
      </c>
      <c r="B110">
        <v>7229</v>
      </c>
      <c r="C110" t="s">
        <v>1668</v>
      </c>
      <c r="D110" s="10" t="s">
        <v>1697</v>
      </c>
      <c r="E110" s="10" t="s">
        <v>1698</v>
      </c>
      <c r="F110" s="10" t="s">
        <v>111</v>
      </c>
      <c r="G110" s="10" t="s">
        <v>1699</v>
      </c>
      <c r="H110">
        <v>62017538</v>
      </c>
      <c r="I110" s="10" t="s">
        <v>111</v>
      </c>
      <c r="J110" s="10" t="s">
        <v>75</v>
      </c>
      <c r="K110" s="63" t="s">
        <v>1700</v>
      </c>
      <c r="L110" s="76">
        <v>300000</v>
      </c>
      <c r="M110" s="80">
        <v>1115.4000000000001</v>
      </c>
      <c r="N110" s="80">
        <v>42000</v>
      </c>
      <c r="O110" s="80">
        <v>156.15600000000001</v>
      </c>
      <c r="P110" s="81">
        <v>0.14000000000000001</v>
      </c>
    </row>
    <row r="111" spans="1:16" ht="13.5" customHeight="1" x14ac:dyDescent="0.25">
      <c r="A111">
        <v>424</v>
      </c>
      <c r="B111">
        <v>7229</v>
      </c>
      <c r="C111" t="s">
        <v>1668</v>
      </c>
      <c r="D111" s="10" t="s">
        <v>1918</v>
      </c>
      <c r="E111" s="10" t="s">
        <v>1919</v>
      </c>
      <c r="F111" s="10" t="s">
        <v>540</v>
      </c>
      <c r="G111" s="10" t="s">
        <v>1920</v>
      </c>
      <c r="H111">
        <v>62017652</v>
      </c>
      <c r="I111" s="10" t="s">
        <v>111</v>
      </c>
      <c r="J111" s="10" t="s">
        <v>75</v>
      </c>
      <c r="K111" s="63" t="s">
        <v>1922</v>
      </c>
      <c r="L111" s="76">
        <v>200000</v>
      </c>
      <c r="M111" s="80">
        <v>743.6</v>
      </c>
      <c r="N111" s="80">
        <v>61624.12</v>
      </c>
      <c r="O111" s="80">
        <v>229.11847816</v>
      </c>
      <c r="P111" s="81">
        <v>0.30812060000000002</v>
      </c>
    </row>
    <row r="112" spans="1:16" ht="13.5" customHeight="1" x14ac:dyDescent="0.25">
      <c r="A112">
        <v>424</v>
      </c>
      <c r="B112">
        <v>7229</v>
      </c>
      <c r="C112" t="s">
        <v>1668</v>
      </c>
      <c r="D112" s="10" t="s">
        <v>1923</v>
      </c>
      <c r="E112" s="10" t="s">
        <v>1924</v>
      </c>
      <c r="F112" s="10" t="s">
        <v>540</v>
      </c>
      <c r="G112" s="10" t="s">
        <v>1925</v>
      </c>
      <c r="H112">
        <v>62021142</v>
      </c>
      <c r="I112" s="10" t="s">
        <v>111</v>
      </c>
      <c r="J112" s="10" t="s">
        <v>75</v>
      </c>
      <c r="K112" s="63" t="s">
        <v>1926</v>
      </c>
      <c r="L112" s="76">
        <v>210000</v>
      </c>
      <c r="M112" s="80">
        <v>780.78</v>
      </c>
      <c r="N112" s="80">
        <v>60900</v>
      </c>
      <c r="O112" s="80">
        <v>226.42619999999999</v>
      </c>
      <c r="P112" s="81">
        <v>0.28999999999999998</v>
      </c>
    </row>
    <row r="113" spans="1:16" ht="13.5" customHeight="1" x14ac:dyDescent="0.25">
      <c r="A113">
        <v>424</v>
      </c>
      <c r="B113">
        <v>7229</v>
      </c>
      <c r="C113" t="s">
        <v>1668</v>
      </c>
      <c r="D113" s="10" t="s">
        <v>1846</v>
      </c>
      <c r="E113" s="10" t="s">
        <v>1847</v>
      </c>
      <c r="F113" s="10" t="s">
        <v>613</v>
      </c>
      <c r="G113" s="10" t="s">
        <v>1848</v>
      </c>
      <c r="H113">
        <v>62018064</v>
      </c>
      <c r="I113" s="10" t="s">
        <v>111</v>
      </c>
      <c r="J113" s="10" t="s">
        <v>75</v>
      </c>
      <c r="K113" s="63" t="s">
        <v>1615</v>
      </c>
      <c r="L113" s="76">
        <v>100000</v>
      </c>
      <c r="M113" s="80">
        <v>371.8</v>
      </c>
      <c r="N113" s="80">
        <v>12325</v>
      </c>
      <c r="O113" s="80">
        <v>45.824350000000003</v>
      </c>
      <c r="P113" s="81">
        <v>0.12325</v>
      </c>
    </row>
    <row r="114" spans="1:16" ht="13.5" customHeight="1" x14ac:dyDescent="0.25">
      <c r="A114">
        <v>424</v>
      </c>
      <c r="B114">
        <v>7229</v>
      </c>
      <c r="C114" t="s">
        <v>1668</v>
      </c>
      <c r="D114" s="10" t="s">
        <v>1852</v>
      </c>
      <c r="E114" s="10" t="s">
        <v>1853</v>
      </c>
      <c r="F114" s="10" t="s">
        <v>540</v>
      </c>
      <c r="G114" s="10" t="s">
        <v>1854</v>
      </c>
      <c r="H114">
        <v>62018908</v>
      </c>
      <c r="I114" s="10" t="s">
        <v>111</v>
      </c>
      <c r="J114" s="10" t="s">
        <v>75</v>
      </c>
      <c r="K114" s="63" t="s">
        <v>1855</v>
      </c>
      <c r="L114" s="76">
        <v>200000</v>
      </c>
      <c r="M114" s="80">
        <v>743.6</v>
      </c>
      <c r="N114" s="80">
        <v>42160.78</v>
      </c>
      <c r="O114" s="80">
        <v>156.75378004000001</v>
      </c>
      <c r="P114" s="81">
        <v>0.21080389999999999</v>
      </c>
    </row>
    <row r="115" spans="1:16" ht="13.5" customHeight="1" x14ac:dyDescent="0.25">
      <c r="A115">
        <v>424</v>
      </c>
      <c r="B115">
        <v>7229</v>
      </c>
      <c r="C115" t="s">
        <v>1668</v>
      </c>
      <c r="D115" s="10" t="s">
        <v>1797</v>
      </c>
      <c r="E115" s="10" t="s">
        <v>1798</v>
      </c>
      <c r="F115" s="10" t="s">
        <v>286</v>
      </c>
      <c r="G115" s="10" t="s">
        <v>1799</v>
      </c>
      <c r="H115">
        <v>50007160</v>
      </c>
      <c r="I115" s="10" t="s">
        <v>111</v>
      </c>
      <c r="J115" s="10" t="s">
        <v>81</v>
      </c>
      <c r="K115" s="63" t="s">
        <v>1800</v>
      </c>
      <c r="L115" s="76">
        <v>600000</v>
      </c>
      <c r="M115" s="80">
        <v>600</v>
      </c>
      <c r="N115" s="80">
        <v>286693</v>
      </c>
      <c r="O115" s="80">
        <v>286.69299999999998</v>
      </c>
      <c r="P115" s="81">
        <v>0.47782166666666698</v>
      </c>
    </row>
    <row r="116" spans="1:16" ht="13.5" customHeight="1" x14ac:dyDescent="0.25">
      <c r="A116">
        <v>424</v>
      </c>
      <c r="B116">
        <v>7229</v>
      </c>
      <c r="C116" t="s">
        <v>1668</v>
      </c>
      <c r="D116" s="10" t="s">
        <v>1817</v>
      </c>
      <c r="E116" s="10" t="s">
        <v>1818</v>
      </c>
      <c r="F116" s="10" t="s">
        <v>613</v>
      </c>
      <c r="G116" s="10" t="s">
        <v>1817</v>
      </c>
      <c r="H116">
        <v>62019815</v>
      </c>
      <c r="I116" s="10" t="s">
        <v>111</v>
      </c>
      <c r="J116" s="10" t="s">
        <v>75</v>
      </c>
      <c r="K116" s="63" t="s">
        <v>1819</v>
      </c>
      <c r="L116" s="76">
        <v>350000</v>
      </c>
      <c r="M116" s="80">
        <v>1301.3</v>
      </c>
      <c r="N116" s="80">
        <v>216693</v>
      </c>
      <c r="O116" s="80">
        <v>805.66457400000002</v>
      </c>
      <c r="P116" s="81">
        <v>0.61912285714285697</v>
      </c>
    </row>
    <row r="117" spans="1:16" ht="13.5" customHeight="1" x14ac:dyDescent="0.25">
      <c r="A117">
        <v>424</v>
      </c>
      <c r="B117">
        <v>7229</v>
      </c>
      <c r="C117" t="s">
        <v>1668</v>
      </c>
      <c r="D117" s="10" t="s">
        <v>1809</v>
      </c>
      <c r="E117" s="10" t="s">
        <v>1810</v>
      </c>
      <c r="F117" s="10" t="s">
        <v>613</v>
      </c>
      <c r="G117" s="10" t="s">
        <v>1809</v>
      </c>
      <c r="H117">
        <v>62021365</v>
      </c>
      <c r="I117" s="10" t="s">
        <v>111</v>
      </c>
      <c r="J117" s="10" t="s">
        <v>75</v>
      </c>
      <c r="K117" s="63" t="s">
        <v>1812</v>
      </c>
      <c r="L117" s="76">
        <v>220000</v>
      </c>
      <c r="M117" s="80">
        <v>817.96</v>
      </c>
      <c r="N117" s="80">
        <v>163228.38</v>
      </c>
      <c r="O117" s="80">
        <v>606.88311683999996</v>
      </c>
      <c r="P117" s="81">
        <v>0.74194718181818198</v>
      </c>
    </row>
    <row r="118" spans="1:16" ht="13.5" customHeight="1" x14ac:dyDescent="0.25">
      <c r="A118">
        <v>424</v>
      </c>
      <c r="B118">
        <v>7229</v>
      </c>
      <c r="C118" t="s">
        <v>1668</v>
      </c>
      <c r="D118" s="10" t="s">
        <v>1786</v>
      </c>
      <c r="E118" s="10" t="s">
        <v>1787</v>
      </c>
      <c r="F118" s="10" t="s">
        <v>210</v>
      </c>
      <c r="G118" s="10" t="s">
        <v>1786</v>
      </c>
      <c r="H118">
        <v>50007350</v>
      </c>
      <c r="I118" s="10" t="s">
        <v>111</v>
      </c>
      <c r="J118" s="10" t="s">
        <v>81</v>
      </c>
      <c r="K118" s="63" t="s">
        <v>1789</v>
      </c>
      <c r="L118" s="76">
        <v>750000</v>
      </c>
      <c r="M118" s="80">
        <v>750</v>
      </c>
      <c r="N118" s="80">
        <v>149643</v>
      </c>
      <c r="O118" s="80">
        <v>149.643</v>
      </c>
      <c r="P118" s="81">
        <v>0.19952400000000001</v>
      </c>
    </row>
    <row r="119" spans="1:16" ht="13.5" customHeight="1" x14ac:dyDescent="0.25">
      <c r="A119">
        <v>424</v>
      </c>
      <c r="B119">
        <v>7229</v>
      </c>
      <c r="C119" t="s">
        <v>1668</v>
      </c>
      <c r="D119" s="10" t="s">
        <v>1894</v>
      </c>
      <c r="E119" s="10" t="s">
        <v>1895</v>
      </c>
      <c r="F119" s="10" t="s">
        <v>613</v>
      </c>
      <c r="G119" s="10" t="s">
        <v>1896</v>
      </c>
      <c r="H119">
        <v>62020565</v>
      </c>
      <c r="I119" s="10" t="s">
        <v>111</v>
      </c>
      <c r="J119" s="10" t="s">
        <v>77</v>
      </c>
      <c r="K119" s="63" t="s">
        <v>1670</v>
      </c>
      <c r="L119" s="76">
        <v>175000</v>
      </c>
      <c r="M119" s="80">
        <v>703.83249999999998</v>
      </c>
      <c r="N119" s="80">
        <v>65121.98</v>
      </c>
      <c r="O119" s="80">
        <v>261.91409136200002</v>
      </c>
      <c r="P119" s="81">
        <v>0.3721256</v>
      </c>
    </row>
    <row r="120" spans="1:16" ht="13.5" customHeight="1" x14ac:dyDescent="0.25">
      <c r="A120">
        <v>1182</v>
      </c>
      <c r="B120">
        <v>1182</v>
      </c>
      <c r="C120" t="s">
        <v>1668</v>
      </c>
      <c r="D120" s="10" t="s">
        <v>1719</v>
      </c>
      <c r="E120" s="10" t="s">
        <v>1720</v>
      </c>
      <c r="F120" s="10" t="s">
        <v>1721</v>
      </c>
      <c r="G120" s="10" t="s">
        <v>1723</v>
      </c>
      <c r="H120">
        <v>62002785</v>
      </c>
      <c r="I120" s="10" t="s">
        <v>111</v>
      </c>
      <c r="J120" s="10" t="s">
        <v>75</v>
      </c>
      <c r="K120" s="63" t="s">
        <v>1724</v>
      </c>
      <c r="L120" s="80">
        <v>100000</v>
      </c>
      <c r="M120" s="80">
        <v>371.8</v>
      </c>
      <c r="N120" s="76">
        <v>4500</v>
      </c>
      <c r="O120" s="80">
        <v>16.731000000000002</v>
      </c>
      <c r="P120" s="81">
        <v>4.4999999999999998E-2</v>
      </c>
    </row>
    <row r="121" spans="1:16" ht="13.5" customHeight="1" x14ac:dyDescent="0.25">
      <c r="A121">
        <v>1182</v>
      </c>
      <c r="B121">
        <v>1182</v>
      </c>
      <c r="C121" t="s">
        <v>1668</v>
      </c>
      <c r="D121" s="10" t="s">
        <v>1719</v>
      </c>
      <c r="E121" s="10" t="s">
        <v>1720</v>
      </c>
      <c r="F121" s="10" t="s">
        <v>1721</v>
      </c>
      <c r="G121" s="10" t="s">
        <v>1725</v>
      </c>
      <c r="H121">
        <v>62017827</v>
      </c>
      <c r="I121" s="10" t="s">
        <v>111</v>
      </c>
      <c r="J121" s="10" t="s">
        <v>75</v>
      </c>
      <c r="K121" s="63" t="s">
        <v>1726</v>
      </c>
      <c r="L121" s="80">
        <v>75000</v>
      </c>
      <c r="M121" s="80">
        <v>278.85000000000002</v>
      </c>
      <c r="N121" s="76">
        <v>9749</v>
      </c>
      <c r="O121" s="80">
        <v>36.246782000000003</v>
      </c>
      <c r="P121" s="81">
        <v>0.129986666666667</v>
      </c>
    </row>
    <row r="122" spans="1:16" ht="13.5" customHeight="1" x14ac:dyDescent="0.25">
      <c r="A122">
        <v>1182</v>
      </c>
      <c r="B122">
        <v>1182</v>
      </c>
      <c r="C122" t="s">
        <v>1668</v>
      </c>
      <c r="D122" s="10" t="s">
        <v>1719</v>
      </c>
      <c r="E122" s="10" t="s">
        <v>1720</v>
      </c>
      <c r="F122" s="10" t="s">
        <v>1721</v>
      </c>
      <c r="G122" s="10" t="s">
        <v>1727</v>
      </c>
      <c r="H122">
        <v>62018247</v>
      </c>
      <c r="I122" s="10" t="s">
        <v>111</v>
      </c>
      <c r="J122" s="10" t="s">
        <v>75</v>
      </c>
      <c r="K122" s="63" t="s">
        <v>1728</v>
      </c>
      <c r="L122" s="80">
        <v>250000</v>
      </c>
      <c r="M122" s="80">
        <v>929.5</v>
      </c>
      <c r="N122" s="76">
        <v>37500</v>
      </c>
      <c r="O122" s="80">
        <v>139.42500000000001</v>
      </c>
      <c r="P122" s="81">
        <v>0.15</v>
      </c>
    </row>
    <row r="123" spans="1:16" ht="13.5" customHeight="1" x14ac:dyDescent="0.25">
      <c r="A123">
        <v>1182</v>
      </c>
      <c r="B123">
        <v>1182</v>
      </c>
      <c r="C123" t="s">
        <v>1668</v>
      </c>
      <c r="D123" s="10" t="s">
        <v>1677</v>
      </c>
      <c r="E123" s="10" t="s">
        <v>1678</v>
      </c>
      <c r="F123" s="10" t="s">
        <v>111</v>
      </c>
      <c r="G123" s="10" t="s">
        <v>1685</v>
      </c>
      <c r="H123">
        <v>62000563</v>
      </c>
      <c r="I123" s="10" t="s">
        <v>111</v>
      </c>
      <c r="J123" s="10" t="s">
        <v>75</v>
      </c>
      <c r="K123" s="63" t="s">
        <v>1686</v>
      </c>
      <c r="L123" s="80">
        <v>100000</v>
      </c>
      <c r="M123" s="80">
        <v>371.8</v>
      </c>
      <c r="N123" s="76">
        <v>750</v>
      </c>
      <c r="O123" s="80">
        <v>2.7885</v>
      </c>
      <c r="P123" s="81">
        <v>7.4999999999999997E-3</v>
      </c>
    </row>
    <row r="124" spans="1:16" ht="13.5" customHeight="1" x14ac:dyDescent="0.25">
      <c r="A124">
        <v>1182</v>
      </c>
      <c r="B124">
        <v>1182</v>
      </c>
      <c r="C124" t="s">
        <v>1668</v>
      </c>
      <c r="D124" s="10" t="s">
        <v>1677</v>
      </c>
      <c r="E124" s="10" t="s">
        <v>1678</v>
      </c>
      <c r="F124" s="10" t="s">
        <v>111</v>
      </c>
      <c r="G124" s="10" t="s">
        <v>1683</v>
      </c>
      <c r="H124">
        <v>62019724</v>
      </c>
      <c r="I124" s="10" t="s">
        <v>111</v>
      </c>
      <c r="J124" s="10" t="s">
        <v>75</v>
      </c>
      <c r="K124" s="63" t="s">
        <v>1684</v>
      </c>
      <c r="L124" s="80">
        <v>100000</v>
      </c>
      <c r="M124" s="80">
        <v>371.8</v>
      </c>
      <c r="N124" s="76">
        <v>15000</v>
      </c>
      <c r="O124" s="80">
        <v>55.77</v>
      </c>
      <c r="P124" s="81">
        <v>0.15</v>
      </c>
    </row>
    <row r="125" spans="1:16" ht="13.5" customHeight="1" x14ac:dyDescent="0.25">
      <c r="A125">
        <v>1182</v>
      </c>
      <c r="B125">
        <v>1182</v>
      </c>
      <c r="C125" t="s">
        <v>1668</v>
      </c>
      <c r="D125" s="10" t="s">
        <v>1677</v>
      </c>
      <c r="E125" s="10" t="s">
        <v>1678</v>
      </c>
      <c r="F125" s="10" t="s">
        <v>111</v>
      </c>
      <c r="G125" s="10" t="s">
        <v>1717</v>
      </c>
      <c r="H125">
        <v>62013347</v>
      </c>
      <c r="I125" s="10" t="s">
        <v>111</v>
      </c>
      <c r="J125" s="10" t="s">
        <v>75</v>
      </c>
      <c r="K125" s="63" t="s">
        <v>1718</v>
      </c>
      <c r="L125" s="80">
        <v>200000</v>
      </c>
      <c r="M125" s="80">
        <v>743.6</v>
      </c>
      <c r="N125" s="76">
        <v>5111</v>
      </c>
      <c r="O125" s="80">
        <v>19.002697999999999</v>
      </c>
      <c r="P125" s="81">
        <v>2.5555000000000001E-2</v>
      </c>
    </row>
    <row r="126" spans="1:16" ht="13.5" customHeight="1" x14ac:dyDescent="0.25">
      <c r="A126">
        <v>1182</v>
      </c>
      <c r="B126">
        <v>1182</v>
      </c>
      <c r="C126" t="s">
        <v>1668</v>
      </c>
      <c r="D126" s="10" t="s">
        <v>1706</v>
      </c>
      <c r="E126" s="10" t="s">
        <v>1707</v>
      </c>
      <c r="F126" s="10" t="s">
        <v>111</v>
      </c>
      <c r="G126" s="10" t="s">
        <v>1706</v>
      </c>
      <c r="H126">
        <v>60401809</v>
      </c>
      <c r="I126" s="10" t="s">
        <v>111</v>
      </c>
      <c r="J126" s="10" t="s">
        <v>75</v>
      </c>
      <c r="K126" s="63" t="s">
        <v>1709</v>
      </c>
      <c r="L126" s="80">
        <v>100000</v>
      </c>
      <c r="M126" s="80">
        <v>371.8</v>
      </c>
      <c r="N126" s="76">
        <v>1000</v>
      </c>
      <c r="O126" s="80">
        <v>3.718</v>
      </c>
      <c r="P126" s="81">
        <v>0.01</v>
      </c>
    </row>
    <row r="127" spans="1:16" ht="13.5" customHeight="1" x14ac:dyDescent="0.25">
      <c r="A127">
        <v>1182</v>
      </c>
      <c r="B127">
        <v>1182</v>
      </c>
      <c r="C127" t="s">
        <v>1668</v>
      </c>
      <c r="D127" s="10" t="s">
        <v>1979</v>
      </c>
      <c r="E127" s="10" t="s">
        <v>1980</v>
      </c>
      <c r="F127" s="10" t="s">
        <v>111</v>
      </c>
      <c r="G127" s="10" t="s">
        <v>1981</v>
      </c>
      <c r="H127">
        <v>62006366</v>
      </c>
      <c r="I127" s="10" t="s">
        <v>111</v>
      </c>
      <c r="J127" s="10" t="s">
        <v>75</v>
      </c>
      <c r="K127" s="63" t="s">
        <v>1983</v>
      </c>
      <c r="L127" s="80">
        <v>100000</v>
      </c>
      <c r="M127" s="80">
        <v>371.8</v>
      </c>
      <c r="N127" s="76">
        <v>8000</v>
      </c>
      <c r="O127" s="80">
        <v>29.744</v>
      </c>
      <c r="P127" s="81">
        <v>0.08</v>
      </c>
    </row>
    <row r="128" spans="1:16" ht="13.5" customHeight="1" x14ac:dyDescent="0.25">
      <c r="A128">
        <v>1182</v>
      </c>
      <c r="B128">
        <v>1182</v>
      </c>
      <c r="C128" t="s">
        <v>1668</v>
      </c>
      <c r="D128" s="10" t="s">
        <v>1741</v>
      </c>
      <c r="E128" s="10" t="s">
        <v>1742</v>
      </c>
      <c r="F128" s="10" t="s">
        <v>613</v>
      </c>
      <c r="G128" s="10" t="s">
        <v>1743</v>
      </c>
      <c r="H128">
        <v>62013024</v>
      </c>
      <c r="I128" s="10" t="s">
        <v>111</v>
      </c>
      <c r="J128" s="10" t="s">
        <v>75</v>
      </c>
      <c r="K128" s="63" t="s">
        <v>1744</v>
      </c>
      <c r="L128" s="80">
        <v>200000</v>
      </c>
      <c r="M128" s="80">
        <v>743.6</v>
      </c>
      <c r="N128" s="76">
        <v>60000</v>
      </c>
      <c r="O128" s="80">
        <v>223.08</v>
      </c>
      <c r="P128" s="81">
        <v>0.3</v>
      </c>
    </row>
    <row r="129" spans="1:16" ht="13.5" customHeight="1" x14ac:dyDescent="0.25">
      <c r="A129">
        <v>1182</v>
      </c>
      <c r="B129">
        <v>1182</v>
      </c>
      <c r="C129" t="s">
        <v>1668</v>
      </c>
      <c r="D129" s="10" t="s">
        <v>1745</v>
      </c>
      <c r="E129" s="10" t="s">
        <v>1746</v>
      </c>
      <c r="F129" s="10" t="s">
        <v>286</v>
      </c>
      <c r="G129" s="10" t="s">
        <v>1747</v>
      </c>
      <c r="H129">
        <v>60406600</v>
      </c>
      <c r="I129" s="10" t="s">
        <v>111</v>
      </c>
      <c r="J129" s="10" t="s">
        <v>75</v>
      </c>
      <c r="K129" s="63" t="s">
        <v>1749</v>
      </c>
      <c r="L129" s="80">
        <v>100000</v>
      </c>
      <c r="M129" s="80">
        <v>371.8</v>
      </c>
      <c r="N129" s="76">
        <v>7998</v>
      </c>
      <c r="O129" s="80">
        <v>29.736564000000001</v>
      </c>
      <c r="P129" s="81">
        <v>7.9979999999999996E-2</v>
      </c>
    </row>
    <row r="130" spans="1:16" ht="13.5" customHeight="1" x14ac:dyDescent="0.25">
      <c r="A130">
        <v>1182</v>
      </c>
      <c r="B130">
        <v>1182</v>
      </c>
      <c r="C130" t="s">
        <v>1668</v>
      </c>
      <c r="D130" s="10" t="s">
        <v>1769</v>
      </c>
      <c r="E130" s="10">
        <v>0</v>
      </c>
      <c r="F130" s="10" t="s">
        <v>286</v>
      </c>
      <c r="G130" s="10" t="s">
        <v>1772</v>
      </c>
      <c r="H130">
        <v>62007349</v>
      </c>
      <c r="I130" s="10" t="s">
        <v>111</v>
      </c>
      <c r="J130" s="10" t="s">
        <v>75</v>
      </c>
      <c r="K130" s="63" t="s">
        <v>1773</v>
      </c>
      <c r="L130" s="80">
        <v>100000</v>
      </c>
      <c r="M130" s="80">
        <v>371.8</v>
      </c>
      <c r="N130" s="76">
        <v>9999</v>
      </c>
      <c r="O130" s="80">
        <v>37.176282</v>
      </c>
      <c r="P130" s="81">
        <v>9.9989999999999996E-2</v>
      </c>
    </row>
    <row r="131" spans="1:16" ht="13.5" customHeight="1" x14ac:dyDescent="0.25">
      <c r="A131">
        <v>1182</v>
      </c>
      <c r="B131">
        <v>1182</v>
      </c>
      <c r="C131" t="s">
        <v>1668</v>
      </c>
      <c r="D131" s="10" t="s">
        <v>1774</v>
      </c>
      <c r="E131" s="10" t="s">
        <v>1775</v>
      </c>
      <c r="F131" s="10" t="s">
        <v>286</v>
      </c>
      <c r="G131" s="10" t="s">
        <v>1776</v>
      </c>
      <c r="H131">
        <v>62020755</v>
      </c>
      <c r="I131" s="10" t="s">
        <v>111</v>
      </c>
      <c r="J131" s="10" t="s">
        <v>75</v>
      </c>
      <c r="K131" s="63" t="s">
        <v>1768</v>
      </c>
      <c r="L131" s="80">
        <v>400000</v>
      </c>
      <c r="M131" s="80">
        <v>1487.2</v>
      </c>
      <c r="N131" s="76">
        <v>268000</v>
      </c>
      <c r="O131" s="80">
        <v>996.42399999999998</v>
      </c>
      <c r="P131" s="81">
        <v>0.67</v>
      </c>
    </row>
    <row r="132" spans="1:16" ht="13.5" customHeight="1" x14ac:dyDescent="0.25">
      <c r="A132">
        <v>1182</v>
      </c>
      <c r="B132">
        <v>1182</v>
      </c>
      <c r="C132" t="s">
        <v>1668</v>
      </c>
      <c r="D132" s="10" t="s">
        <v>1750</v>
      </c>
      <c r="E132" s="10" t="s">
        <v>1751</v>
      </c>
      <c r="F132" s="10" t="s">
        <v>286</v>
      </c>
      <c r="G132" s="10" t="s">
        <v>1752</v>
      </c>
      <c r="H132">
        <v>62009048</v>
      </c>
      <c r="I132" s="10" t="s">
        <v>111</v>
      </c>
      <c r="J132" s="10" t="s">
        <v>75</v>
      </c>
      <c r="K132" s="63" t="s">
        <v>1753</v>
      </c>
      <c r="L132" s="80">
        <v>200000</v>
      </c>
      <c r="M132" s="80">
        <v>743.6</v>
      </c>
      <c r="N132" s="76">
        <v>6000</v>
      </c>
      <c r="O132" s="80">
        <v>22.308</v>
      </c>
      <c r="P132" s="81">
        <v>0.03</v>
      </c>
    </row>
    <row r="133" spans="1:16" ht="13.5" customHeight="1" x14ac:dyDescent="0.25">
      <c r="A133">
        <v>1182</v>
      </c>
      <c r="B133">
        <v>1182</v>
      </c>
      <c r="C133" t="s">
        <v>1668</v>
      </c>
      <c r="D133" s="10" t="s">
        <v>1769</v>
      </c>
      <c r="E133" s="10">
        <v>0</v>
      </c>
      <c r="F133" s="10" t="s">
        <v>286</v>
      </c>
      <c r="G133" s="10" t="s">
        <v>1770</v>
      </c>
      <c r="H133">
        <v>62015151</v>
      </c>
      <c r="I133" s="10" t="s">
        <v>111</v>
      </c>
      <c r="J133" s="10" t="s">
        <v>75</v>
      </c>
      <c r="K133" s="63" t="s">
        <v>1771</v>
      </c>
      <c r="L133" s="80">
        <v>300000</v>
      </c>
      <c r="M133" s="80">
        <v>1115.4000000000001</v>
      </c>
      <c r="N133" s="76">
        <v>85501</v>
      </c>
      <c r="O133" s="80">
        <v>317.892718</v>
      </c>
      <c r="P133" s="81">
        <v>0.285003333333333</v>
      </c>
    </row>
    <row r="134" spans="1:16" ht="13.5" customHeight="1" x14ac:dyDescent="0.25">
      <c r="A134">
        <v>1182</v>
      </c>
      <c r="B134">
        <v>1182</v>
      </c>
      <c r="C134" t="s">
        <v>1668</v>
      </c>
      <c r="D134" s="10" t="s">
        <v>1754</v>
      </c>
      <c r="E134" s="10" t="s">
        <v>1755</v>
      </c>
      <c r="F134" s="10" t="s">
        <v>286</v>
      </c>
      <c r="G134" s="10" t="s">
        <v>1756</v>
      </c>
      <c r="H134">
        <v>62015334</v>
      </c>
      <c r="I134" s="10" t="s">
        <v>111</v>
      </c>
      <c r="J134" s="10" t="s">
        <v>75</v>
      </c>
      <c r="K134" s="63" t="s">
        <v>1757</v>
      </c>
      <c r="L134" s="80">
        <v>200000</v>
      </c>
      <c r="M134" s="80">
        <v>743.6</v>
      </c>
      <c r="N134" s="76">
        <v>30000</v>
      </c>
      <c r="O134" s="80">
        <v>111.54</v>
      </c>
      <c r="P134" s="81">
        <v>0.15</v>
      </c>
    </row>
    <row r="135" spans="1:16" ht="13.5" customHeight="1" x14ac:dyDescent="0.25">
      <c r="A135">
        <v>1182</v>
      </c>
      <c r="B135">
        <v>1182</v>
      </c>
      <c r="C135" t="s">
        <v>1668</v>
      </c>
      <c r="D135" s="10" t="s">
        <v>1758</v>
      </c>
      <c r="E135" s="10" t="s">
        <v>1759</v>
      </c>
      <c r="F135" s="10" t="s">
        <v>286</v>
      </c>
      <c r="G135" s="10" t="s">
        <v>1760</v>
      </c>
      <c r="H135">
        <v>62017835</v>
      </c>
      <c r="I135" s="10" t="s">
        <v>111</v>
      </c>
      <c r="J135" s="10" t="s">
        <v>75</v>
      </c>
      <c r="K135" s="63" t="s">
        <v>1726</v>
      </c>
      <c r="L135" s="80">
        <v>200000</v>
      </c>
      <c r="M135" s="80">
        <v>743.6</v>
      </c>
      <c r="N135" s="76">
        <v>21000</v>
      </c>
      <c r="O135" s="80">
        <v>78.078000000000003</v>
      </c>
      <c r="P135" s="81">
        <v>0.105</v>
      </c>
    </row>
    <row r="136" spans="1:16" ht="13.5" customHeight="1" x14ac:dyDescent="0.25">
      <c r="A136">
        <v>1182</v>
      </c>
      <c r="B136">
        <v>1182</v>
      </c>
      <c r="C136" t="s">
        <v>1668</v>
      </c>
      <c r="D136" s="10" t="s">
        <v>1761</v>
      </c>
      <c r="E136" s="10" t="s">
        <v>1762</v>
      </c>
      <c r="F136" s="10" t="s">
        <v>286</v>
      </c>
      <c r="G136" s="10" t="s">
        <v>1763</v>
      </c>
      <c r="H136">
        <v>62020011</v>
      </c>
      <c r="I136" s="10" t="s">
        <v>111</v>
      </c>
      <c r="J136" s="10" t="s">
        <v>75</v>
      </c>
      <c r="K136" s="63" t="s">
        <v>1764</v>
      </c>
      <c r="L136" s="80">
        <v>200000</v>
      </c>
      <c r="M136" s="80">
        <v>743.6</v>
      </c>
      <c r="N136" s="76">
        <v>96000</v>
      </c>
      <c r="O136" s="80">
        <v>356.928</v>
      </c>
      <c r="P136" s="81">
        <v>0.48</v>
      </c>
    </row>
    <row r="137" spans="1:16" ht="13.5" customHeight="1" x14ac:dyDescent="0.25">
      <c r="A137">
        <v>1182</v>
      </c>
      <c r="B137">
        <v>1182</v>
      </c>
      <c r="C137" t="s">
        <v>1668</v>
      </c>
      <c r="D137" s="10" t="s">
        <v>1765</v>
      </c>
      <c r="E137" s="10" t="s">
        <v>1766</v>
      </c>
      <c r="F137" s="10" t="s">
        <v>286</v>
      </c>
      <c r="G137" s="10" t="s">
        <v>1767</v>
      </c>
      <c r="H137">
        <v>62020748</v>
      </c>
      <c r="I137" s="10" t="s">
        <v>111</v>
      </c>
      <c r="J137" s="10" t="s">
        <v>75</v>
      </c>
      <c r="K137" s="63" t="s">
        <v>1768</v>
      </c>
      <c r="L137" s="80">
        <v>250000</v>
      </c>
      <c r="M137" s="80">
        <v>929.5</v>
      </c>
      <c r="N137" s="76">
        <v>175000</v>
      </c>
      <c r="O137" s="80">
        <v>650.65</v>
      </c>
      <c r="P137" s="81">
        <v>0.7</v>
      </c>
    </row>
    <row r="138" spans="1:16" ht="13.5" customHeight="1" x14ac:dyDescent="0.25">
      <c r="A138">
        <v>1182</v>
      </c>
      <c r="B138">
        <v>1182</v>
      </c>
      <c r="C138" t="s">
        <v>1668</v>
      </c>
      <c r="D138" s="10" t="s">
        <v>2006</v>
      </c>
      <c r="E138" s="10" t="s">
        <v>2007</v>
      </c>
      <c r="F138" s="10" t="s">
        <v>286</v>
      </c>
      <c r="G138" s="10" t="s">
        <v>2008</v>
      </c>
      <c r="H138">
        <v>62020995</v>
      </c>
      <c r="I138" s="10" t="s">
        <v>111</v>
      </c>
      <c r="J138" s="10" t="s">
        <v>75</v>
      </c>
      <c r="K138" s="63" t="s">
        <v>2009</v>
      </c>
      <c r="L138" s="80">
        <v>250000</v>
      </c>
      <c r="M138" s="80">
        <v>929.5</v>
      </c>
      <c r="N138" s="76">
        <v>171250</v>
      </c>
      <c r="O138" s="80">
        <v>636.70749999999998</v>
      </c>
      <c r="P138" s="81">
        <v>0.68500000000000005</v>
      </c>
    </row>
    <row r="139" spans="1:16" ht="13.5" customHeight="1" x14ac:dyDescent="0.25">
      <c r="A139">
        <v>1182</v>
      </c>
      <c r="B139">
        <v>1182</v>
      </c>
      <c r="C139" t="s">
        <v>1668</v>
      </c>
      <c r="D139" s="10" t="s">
        <v>1927</v>
      </c>
      <c r="E139" s="10" t="s">
        <v>1928</v>
      </c>
      <c r="F139" s="10" t="s">
        <v>540</v>
      </c>
      <c r="G139" s="10" t="s">
        <v>1929</v>
      </c>
      <c r="H139">
        <v>62020953</v>
      </c>
      <c r="I139" s="10" t="s">
        <v>111</v>
      </c>
      <c r="J139" s="10" t="s">
        <v>75</v>
      </c>
      <c r="K139" s="63" t="s">
        <v>1930</v>
      </c>
      <c r="L139" s="80">
        <v>330000</v>
      </c>
      <c r="M139" s="80">
        <v>1226.94</v>
      </c>
      <c r="N139" s="76">
        <v>165000</v>
      </c>
      <c r="O139" s="80">
        <v>613.47</v>
      </c>
      <c r="P139" s="81">
        <v>0.5</v>
      </c>
    </row>
    <row r="140" spans="1:16" ht="13.5" customHeight="1" x14ac:dyDescent="0.25">
      <c r="A140">
        <v>1182</v>
      </c>
      <c r="B140">
        <v>1182</v>
      </c>
      <c r="C140" t="s">
        <v>1668</v>
      </c>
      <c r="D140" s="10" t="s">
        <v>1672</v>
      </c>
      <c r="E140" s="10" t="s">
        <v>1673</v>
      </c>
      <c r="F140" s="10" t="s">
        <v>420</v>
      </c>
      <c r="G140" s="10" t="s">
        <v>1794</v>
      </c>
      <c r="H140">
        <v>60400892</v>
      </c>
      <c r="I140" s="10" t="s">
        <v>111</v>
      </c>
      <c r="J140" s="10" t="s">
        <v>75</v>
      </c>
      <c r="K140" s="63" t="s">
        <v>1795</v>
      </c>
      <c r="L140" s="80">
        <v>500000</v>
      </c>
      <c r="M140" s="80">
        <v>1859</v>
      </c>
      <c r="N140" s="76">
        <v>53638</v>
      </c>
      <c r="O140" s="80">
        <v>199.426084</v>
      </c>
      <c r="P140" s="81">
        <v>0.107276</v>
      </c>
    </row>
    <row r="141" spans="1:16" ht="13.5" customHeight="1" x14ac:dyDescent="0.25">
      <c r="A141">
        <v>1182</v>
      </c>
      <c r="B141">
        <v>1182</v>
      </c>
      <c r="C141" t="s">
        <v>1668</v>
      </c>
      <c r="D141" s="10" t="s">
        <v>1672</v>
      </c>
      <c r="E141" s="10" t="s">
        <v>1673</v>
      </c>
      <c r="F141" s="10" t="s">
        <v>420</v>
      </c>
      <c r="G141" s="10" t="s">
        <v>1674</v>
      </c>
      <c r="H141">
        <v>62018312</v>
      </c>
      <c r="I141" s="10" t="s">
        <v>111</v>
      </c>
      <c r="J141" s="10" t="s">
        <v>75</v>
      </c>
      <c r="K141" s="63" t="s">
        <v>1676</v>
      </c>
      <c r="L141" s="80">
        <v>500000</v>
      </c>
      <c r="M141" s="80">
        <v>1859</v>
      </c>
      <c r="N141" s="76">
        <v>236400</v>
      </c>
      <c r="O141" s="80">
        <v>878.93520000000001</v>
      </c>
      <c r="P141" s="81">
        <v>0.4728</v>
      </c>
    </row>
    <row r="142" spans="1:16" ht="13.5" customHeight="1" x14ac:dyDescent="0.25">
      <c r="A142">
        <v>1182</v>
      </c>
      <c r="B142">
        <v>1182</v>
      </c>
      <c r="C142" t="s">
        <v>1668</v>
      </c>
      <c r="D142" s="10" t="s">
        <v>1697</v>
      </c>
      <c r="E142" s="10" t="s">
        <v>1698</v>
      </c>
      <c r="F142" s="10" t="s">
        <v>111</v>
      </c>
      <c r="G142" s="10" t="s">
        <v>1699</v>
      </c>
      <c r="H142">
        <v>62017538</v>
      </c>
      <c r="I142" s="10" t="s">
        <v>111</v>
      </c>
      <c r="J142" s="10" t="s">
        <v>75</v>
      </c>
      <c r="K142" s="63" t="s">
        <v>1700</v>
      </c>
      <c r="L142" s="80">
        <v>600000</v>
      </c>
      <c r="M142" s="80">
        <v>2230.8000000000002</v>
      </c>
      <c r="N142" s="76">
        <v>84000</v>
      </c>
      <c r="O142" s="80">
        <v>312.31200000000001</v>
      </c>
      <c r="P142" s="81">
        <v>0.14000000000000001</v>
      </c>
    </row>
    <row r="143" spans="1:16" ht="13.5" customHeight="1" x14ac:dyDescent="0.25">
      <c r="A143">
        <v>1182</v>
      </c>
      <c r="B143">
        <v>1182</v>
      </c>
      <c r="C143" t="s">
        <v>1668</v>
      </c>
      <c r="D143" s="10" t="s">
        <v>1834</v>
      </c>
      <c r="E143" s="10" t="s">
        <v>1835</v>
      </c>
      <c r="F143" s="10" t="s">
        <v>540</v>
      </c>
      <c r="G143" s="10" t="s">
        <v>1836</v>
      </c>
      <c r="H143">
        <v>60419041</v>
      </c>
      <c r="I143" s="10" t="s">
        <v>111</v>
      </c>
      <c r="J143" s="10" t="s">
        <v>75</v>
      </c>
      <c r="K143" s="63" t="s">
        <v>1837</v>
      </c>
      <c r="L143" s="80">
        <v>100000</v>
      </c>
      <c r="M143" s="80">
        <v>371.8</v>
      </c>
      <c r="N143" s="76">
        <v>9000</v>
      </c>
      <c r="O143" s="80">
        <v>33.462000000000003</v>
      </c>
      <c r="P143" s="81">
        <v>0.09</v>
      </c>
    </row>
    <row r="144" spans="1:16" ht="13.5" customHeight="1" x14ac:dyDescent="0.25">
      <c r="A144">
        <v>1182</v>
      </c>
      <c r="B144">
        <v>1182</v>
      </c>
      <c r="C144" t="s">
        <v>1668</v>
      </c>
      <c r="D144" s="10" t="s">
        <v>1838</v>
      </c>
      <c r="E144" s="10" t="s">
        <v>1839</v>
      </c>
      <c r="F144" s="10" t="s">
        <v>540</v>
      </c>
      <c r="G144" s="10" t="s">
        <v>1840</v>
      </c>
      <c r="H144">
        <v>62016654</v>
      </c>
      <c r="I144" s="10" t="s">
        <v>111</v>
      </c>
      <c r="J144" s="10" t="s">
        <v>75</v>
      </c>
      <c r="K144" s="63" t="s">
        <v>1841</v>
      </c>
      <c r="L144" s="80">
        <v>450000</v>
      </c>
      <c r="M144" s="80">
        <v>1673.1</v>
      </c>
      <c r="N144" s="76">
        <v>85500</v>
      </c>
      <c r="O144" s="80">
        <v>317.88900000000001</v>
      </c>
      <c r="P144" s="81">
        <v>0.19</v>
      </c>
    </row>
    <row r="145" spans="1:16" ht="13.5" customHeight="1" x14ac:dyDescent="0.25">
      <c r="A145">
        <v>1182</v>
      </c>
      <c r="B145">
        <v>1182</v>
      </c>
      <c r="C145" t="s">
        <v>1668</v>
      </c>
      <c r="D145" s="10" t="s">
        <v>1842</v>
      </c>
      <c r="E145" s="10" t="s">
        <v>1843</v>
      </c>
      <c r="F145" s="10" t="s">
        <v>613</v>
      </c>
      <c r="G145" s="10" t="s">
        <v>1844</v>
      </c>
      <c r="H145">
        <v>62021241</v>
      </c>
      <c r="I145" s="10" t="s">
        <v>111</v>
      </c>
      <c r="J145" s="10" t="s">
        <v>75</v>
      </c>
      <c r="K145" s="63" t="s">
        <v>1845</v>
      </c>
      <c r="L145" s="80">
        <v>400000</v>
      </c>
      <c r="M145" s="80">
        <v>1487.2</v>
      </c>
      <c r="N145" s="76">
        <v>280000</v>
      </c>
      <c r="O145" s="80">
        <v>1041.04</v>
      </c>
      <c r="P145" s="81">
        <v>0.7</v>
      </c>
    </row>
    <row r="146" spans="1:16" ht="13.5" customHeight="1" x14ac:dyDescent="0.25">
      <c r="A146">
        <v>1182</v>
      </c>
      <c r="B146">
        <v>1182</v>
      </c>
      <c r="C146" t="s">
        <v>1668</v>
      </c>
      <c r="D146" s="10" t="s">
        <v>1872</v>
      </c>
      <c r="E146" s="10" t="s">
        <v>1873</v>
      </c>
      <c r="F146" s="10" t="s">
        <v>613</v>
      </c>
      <c r="G146" s="10" t="s">
        <v>1874</v>
      </c>
      <c r="H146">
        <v>62003800</v>
      </c>
      <c r="I146" s="10" t="s">
        <v>111</v>
      </c>
      <c r="J146" s="10" t="s">
        <v>75</v>
      </c>
      <c r="K146" s="63" t="s">
        <v>1876</v>
      </c>
      <c r="L146" s="80">
        <v>600000</v>
      </c>
      <c r="M146" s="80">
        <v>2230.8000000000002</v>
      </c>
      <c r="N146" s="76">
        <v>96000</v>
      </c>
      <c r="O146" s="80">
        <v>356.928</v>
      </c>
      <c r="P146" s="81">
        <v>0.16</v>
      </c>
    </row>
    <row r="147" spans="1:16" ht="13.5" customHeight="1" x14ac:dyDescent="0.25">
      <c r="A147">
        <v>1182</v>
      </c>
      <c r="B147">
        <v>1182</v>
      </c>
      <c r="C147" t="s">
        <v>1668</v>
      </c>
      <c r="D147" s="10" t="s">
        <v>1872</v>
      </c>
      <c r="E147" s="10" t="s">
        <v>1873</v>
      </c>
      <c r="F147" s="10" t="s">
        <v>613</v>
      </c>
      <c r="G147" s="10" t="s">
        <v>1877</v>
      </c>
      <c r="H147">
        <v>620101031</v>
      </c>
      <c r="I147" s="10" t="s">
        <v>111</v>
      </c>
      <c r="J147" s="10" t="s">
        <v>75</v>
      </c>
      <c r="K147" s="63" t="s">
        <v>1732</v>
      </c>
      <c r="L147" s="80">
        <v>300000</v>
      </c>
      <c r="M147" s="80">
        <v>1115.4000000000001</v>
      </c>
      <c r="N147" s="76">
        <v>43500</v>
      </c>
      <c r="O147" s="80">
        <v>161.733</v>
      </c>
      <c r="P147" s="81">
        <v>0.14499999999999999</v>
      </c>
    </row>
    <row r="148" spans="1:16" ht="13.5" customHeight="1" x14ac:dyDescent="0.25">
      <c r="A148">
        <v>1182</v>
      </c>
      <c r="B148">
        <v>1182</v>
      </c>
      <c r="C148" t="s">
        <v>1668</v>
      </c>
      <c r="D148" s="10" t="s">
        <v>1872</v>
      </c>
      <c r="E148" s="10" t="s">
        <v>1873</v>
      </c>
      <c r="F148" s="10" t="s">
        <v>613</v>
      </c>
      <c r="G148" s="10" t="s">
        <v>1879</v>
      </c>
      <c r="H148">
        <v>62014857</v>
      </c>
      <c r="I148" s="10" t="s">
        <v>111</v>
      </c>
      <c r="J148" s="10" t="s">
        <v>75</v>
      </c>
      <c r="K148" s="63" t="s">
        <v>1880</v>
      </c>
      <c r="L148" s="80">
        <v>300000</v>
      </c>
      <c r="M148" s="80">
        <v>1115.4000000000001</v>
      </c>
      <c r="N148" s="76">
        <v>66000</v>
      </c>
      <c r="O148" s="80">
        <v>245.38800000000001</v>
      </c>
      <c r="P148" s="81">
        <v>0.22</v>
      </c>
    </row>
    <row r="149" spans="1:16" ht="13.5" customHeight="1" x14ac:dyDescent="0.25">
      <c r="A149">
        <v>1182</v>
      </c>
      <c r="B149">
        <v>1182</v>
      </c>
      <c r="C149" t="s">
        <v>1668</v>
      </c>
      <c r="D149" s="10" t="s">
        <v>1872</v>
      </c>
      <c r="E149" s="10" t="s">
        <v>1873</v>
      </c>
      <c r="F149" s="10" t="s">
        <v>613</v>
      </c>
      <c r="G149" s="10" t="s">
        <v>1881</v>
      </c>
      <c r="H149">
        <v>62019476</v>
      </c>
      <c r="I149" s="10" t="s">
        <v>111</v>
      </c>
      <c r="J149" s="10" t="s">
        <v>75</v>
      </c>
      <c r="K149" s="63" t="s">
        <v>1785</v>
      </c>
      <c r="L149" s="80">
        <v>400000</v>
      </c>
      <c r="M149" s="80">
        <v>1487.2</v>
      </c>
      <c r="N149" s="76">
        <v>136757</v>
      </c>
      <c r="O149" s="80">
        <v>508.46252600000003</v>
      </c>
      <c r="P149" s="81">
        <v>0.34189249999999999</v>
      </c>
    </row>
    <row r="150" spans="1:16" ht="13.5" customHeight="1" x14ac:dyDescent="0.25">
      <c r="A150">
        <v>1182</v>
      </c>
      <c r="B150">
        <v>1182</v>
      </c>
      <c r="C150" t="s">
        <v>1668</v>
      </c>
      <c r="D150" s="10" t="s">
        <v>1882</v>
      </c>
      <c r="E150" s="10" t="s">
        <v>1883</v>
      </c>
      <c r="F150" s="10" t="s">
        <v>111</v>
      </c>
      <c r="G150" s="10" t="s">
        <v>1884</v>
      </c>
      <c r="H150">
        <v>62022074</v>
      </c>
      <c r="I150" s="10" t="s">
        <v>111</v>
      </c>
      <c r="J150" s="10" t="s">
        <v>75</v>
      </c>
      <c r="K150" s="63" t="s">
        <v>1885</v>
      </c>
      <c r="L150" s="80">
        <v>400000</v>
      </c>
      <c r="M150" s="80">
        <v>1487.2</v>
      </c>
      <c r="N150" s="76">
        <v>384000</v>
      </c>
      <c r="O150" s="80">
        <v>1427.712</v>
      </c>
      <c r="P150" s="81">
        <v>0.96</v>
      </c>
    </row>
    <row r="151" spans="1:16" ht="13.5" customHeight="1" x14ac:dyDescent="0.25">
      <c r="A151">
        <v>1182</v>
      </c>
      <c r="B151">
        <v>1182</v>
      </c>
      <c r="C151" t="s">
        <v>1668</v>
      </c>
      <c r="D151" s="10" t="s">
        <v>1872</v>
      </c>
      <c r="E151" s="10" t="s">
        <v>1873</v>
      </c>
      <c r="F151" s="10" t="s">
        <v>613</v>
      </c>
      <c r="G151" s="10" t="s">
        <v>1888</v>
      </c>
      <c r="H151">
        <v>62017678</v>
      </c>
      <c r="I151" s="10" t="s">
        <v>111</v>
      </c>
      <c r="J151" s="10" t="s">
        <v>75</v>
      </c>
      <c r="K151" s="63" t="s">
        <v>1889</v>
      </c>
      <c r="L151" s="80">
        <v>600000</v>
      </c>
      <c r="M151" s="80">
        <v>2230.8000000000002</v>
      </c>
      <c r="N151" s="76">
        <v>18000</v>
      </c>
      <c r="O151" s="80">
        <v>66.924000000000007</v>
      </c>
      <c r="P151" s="81">
        <v>0.03</v>
      </c>
    </row>
    <row r="152" spans="1:16" ht="13.5" customHeight="1" x14ac:dyDescent="0.25">
      <c r="A152">
        <v>1182</v>
      </c>
      <c r="B152">
        <v>1182</v>
      </c>
      <c r="C152" t="s">
        <v>1668</v>
      </c>
      <c r="D152" s="10" t="s">
        <v>1872</v>
      </c>
      <c r="E152" s="10" t="s">
        <v>1873</v>
      </c>
      <c r="F152" s="10" t="s">
        <v>613</v>
      </c>
      <c r="G152" s="10" t="s">
        <v>1890</v>
      </c>
      <c r="H152">
        <v>62019237</v>
      </c>
      <c r="I152" s="10" t="s">
        <v>111</v>
      </c>
      <c r="J152" s="10" t="s">
        <v>75</v>
      </c>
      <c r="K152" s="63" t="s">
        <v>1891</v>
      </c>
      <c r="L152" s="80">
        <v>600000</v>
      </c>
      <c r="M152" s="80">
        <v>2230.8000000000002</v>
      </c>
      <c r="N152" s="76">
        <v>60000</v>
      </c>
      <c r="O152" s="80">
        <v>223.08</v>
      </c>
      <c r="P152" s="81">
        <v>0.1</v>
      </c>
    </row>
    <row r="153" spans="1:16" ht="13.5" customHeight="1" x14ac:dyDescent="0.25">
      <c r="A153">
        <v>1182</v>
      </c>
      <c r="B153">
        <v>1182</v>
      </c>
      <c r="C153" t="s">
        <v>1668</v>
      </c>
      <c r="D153" s="10" t="s">
        <v>1882</v>
      </c>
      <c r="E153" s="10" t="s">
        <v>1883</v>
      </c>
      <c r="F153" s="10" t="s">
        <v>111</v>
      </c>
      <c r="G153" s="10" t="s">
        <v>1892</v>
      </c>
      <c r="H153">
        <v>62021845</v>
      </c>
      <c r="I153" s="10" t="s">
        <v>111</v>
      </c>
      <c r="J153" s="10" t="s">
        <v>75</v>
      </c>
      <c r="K153" s="63" t="s">
        <v>1893</v>
      </c>
      <c r="L153" s="80">
        <v>200000</v>
      </c>
      <c r="M153" s="80">
        <v>743.6</v>
      </c>
      <c r="N153" s="76">
        <v>160000</v>
      </c>
      <c r="O153" s="80">
        <v>594.88</v>
      </c>
      <c r="P153" s="81">
        <v>0.8</v>
      </c>
    </row>
    <row r="154" spans="1:16" ht="13.5" customHeight="1" x14ac:dyDescent="0.25">
      <c r="A154">
        <v>1182</v>
      </c>
      <c r="B154">
        <v>1182</v>
      </c>
      <c r="C154" t="s">
        <v>1668</v>
      </c>
      <c r="D154" s="10" t="s">
        <v>1872</v>
      </c>
      <c r="E154" s="10" t="s">
        <v>1873</v>
      </c>
      <c r="F154" s="10" t="s">
        <v>613</v>
      </c>
      <c r="G154" s="10" t="s">
        <v>1886</v>
      </c>
      <c r="H154">
        <v>62020458</v>
      </c>
      <c r="I154" s="10" t="s">
        <v>111</v>
      </c>
      <c r="J154" s="10" t="s">
        <v>75</v>
      </c>
      <c r="K154" s="63" t="s">
        <v>1887</v>
      </c>
      <c r="L154" s="80">
        <v>150000</v>
      </c>
      <c r="M154" s="80">
        <v>557.70000000000005</v>
      </c>
      <c r="N154" s="76">
        <v>22500</v>
      </c>
      <c r="O154" s="80">
        <v>83.655000000000001</v>
      </c>
      <c r="P154" s="81">
        <v>0.15</v>
      </c>
    </row>
    <row r="155" spans="1:16" ht="13.5" customHeight="1" x14ac:dyDescent="0.25">
      <c r="A155">
        <v>1182</v>
      </c>
      <c r="B155">
        <v>1182</v>
      </c>
      <c r="C155" t="s">
        <v>1668</v>
      </c>
      <c r="D155" s="10" t="s">
        <v>1701</v>
      </c>
      <c r="E155" s="10" t="s">
        <v>1702</v>
      </c>
      <c r="F155" s="10" t="s">
        <v>111</v>
      </c>
      <c r="G155" s="10" t="s">
        <v>1703</v>
      </c>
      <c r="H155">
        <v>62001189</v>
      </c>
      <c r="I155" s="10" t="s">
        <v>111</v>
      </c>
      <c r="J155" s="10" t="s">
        <v>75</v>
      </c>
      <c r="K155" s="63" t="s">
        <v>1705</v>
      </c>
      <c r="L155" s="80">
        <v>150000</v>
      </c>
      <c r="M155" s="80">
        <v>557.70000000000005</v>
      </c>
      <c r="N155" s="76">
        <v>8250</v>
      </c>
      <c r="O155" s="80">
        <v>30.673500000000001</v>
      </c>
      <c r="P155" s="81">
        <v>5.5E-2</v>
      </c>
    </row>
    <row r="156" spans="1:16" ht="13.5" customHeight="1" x14ac:dyDescent="0.25">
      <c r="A156">
        <v>1182</v>
      </c>
      <c r="B156">
        <v>1182</v>
      </c>
      <c r="C156" t="s">
        <v>1668</v>
      </c>
      <c r="D156" s="10" t="s">
        <v>1781</v>
      </c>
      <c r="E156" s="10" t="s">
        <v>1782</v>
      </c>
      <c r="F156" s="10" t="s">
        <v>210</v>
      </c>
      <c r="G156" s="10" t="s">
        <v>1781</v>
      </c>
      <c r="H156">
        <v>18952</v>
      </c>
      <c r="I156" s="10" t="s">
        <v>111</v>
      </c>
      <c r="J156" s="10" t="s">
        <v>81</v>
      </c>
      <c r="K156" s="63" t="s">
        <v>1796</v>
      </c>
      <c r="L156" s="80">
        <v>310000</v>
      </c>
      <c r="M156" s="80">
        <v>310</v>
      </c>
      <c r="N156" s="76">
        <v>52497</v>
      </c>
      <c r="O156" s="80">
        <v>52.497</v>
      </c>
      <c r="P156" s="81">
        <v>0.16934516129032301</v>
      </c>
    </row>
    <row r="157" spans="1:16" ht="13.5" customHeight="1" x14ac:dyDescent="0.25">
      <c r="A157">
        <v>1182</v>
      </c>
      <c r="B157">
        <v>1182</v>
      </c>
      <c r="C157" t="s">
        <v>1668</v>
      </c>
      <c r="D157" s="10" t="s">
        <v>1781</v>
      </c>
      <c r="E157" s="10" t="s">
        <v>1782</v>
      </c>
      <c r="F157" s="10" t="s">
        <v>210</v>
      </c>
      <c r="G157" s="10" t="s">
        <v>1783</v>
      </c>
      <c r="H157">
        <v>50007004</v>
      </c>
      <c r="I157" s="10" t="s">
        <v>111</v>
      </c>
      <c r="J157" s="10" t="s">
        <v>81</v>
      </c>
      <c r="K157" s="63" t="s">
        <v>1785</v>
      </c>
      <c r="L157" s="80">
        <v>1400000</v>
      </c>
      <c r="M157" s="80">
        <v>1400</v>
      </c>
      <c r="N157" s="76">
        <v>427495</v>
      </c>
      <c r="O157" s="80">
        <v>427.495</v>
      </c>
      <c r="P157" s="81">
        <v>0.305353571428571</v>
      </c>
    </row>
    <row r="158" spans="1:16" ht="13.5" customHeight="1" x14ac:dyDescent="0.25">
      <c r="A158">
        <v>1182</v>
      </c>
      <c r="B158">
        <v>1182</v>
      </c>
      <c r="C158" t="s">
        <v>1668</v>
      </c>
      <c r="D158" s="10" t="s">
        <v>1710</v>
      </c>
      <c r="E158" s="10" t="s">
        <v>1711</v>
      </c>
      <c r="F158" s="10" t="s">
        <v>540</v>
      </c>
      <c r="G158" s="10" t="s">
        <v>1712</v>
      </c>
      <c r="H158">
        <v>50000983</v>
      </c>
      <c r="I158" s="10" t="s">
        <v>111</v>
      </c>
      <c r="J158" s="10" t="s">
        <v>81</v>
      </c>
      <c r="K158" s="63" t="s">
        <v>1714</v>
      </c>
      <c r="L158" s="80">
        <v>1200000</v>
      </c>
      <c r="M158" s="80">
        <v>1200</v>
      </c>
      <c r="N158" s="76">
        <v>360000</v>
      </c>
      <c r="O158" s="80">
        <v>360</v>
      </c>
      <c r="P158" s="81">
        <v>0.3</v>
      </c>
    </row>
    <row r="159" spans="1:16" ht="13.5" customHeight="1" x14ac:dyDescent="0.25">
      <c r="A159">
        <v>1182</v>
      </c>
      <c r="B159">
        <v>1182</v>
      </c>
      <c r="C159" t="s">
        <v>1668</v>
      </c>
      <c r="D159" s="10" t="s">
        <v>1710</v>
      </c>
      <c r="E159" s="10" t="s">
        <v>1711</v>
      </c>
      <c r="F159" s="10" t="s">
        <v>540</v>
      </c>
      <c r="G159" s="10" t="s">
        <v>1715</v>
      </c>
      <c r="H159">
        <v>50007897</v>
      </c>
      <c r="I159" s="10" t="s">
        <v>111</v>
      </c>
      <c r="J159" s="10" t="s">
        <v>81</v>
      </c>
      <c r="K159" s="63" t="s">
        <v>1716</v>
      </c>
      <c r="L159" s="80">
        <v>1200000</v>
      </c>
      <c r="M159" s="80">
        <v>1200</v>
      </c>
      <c r="N159" s="76">
        <v>840000</v>
      </c>
      <c r="O159" s="80">
        <v>840</v>
      </c>
      <c r="P159" s="81">
        <v>0.7</v>
      </c>
    </row>
    <row r="160" spans="1:16" ht="13.5" customHeight="1" x14ac:dyDescent="0.25">
      <c r="A160">
        <v>1182</v>
      </c>
      <c r="B160">
        <v>1182</v>
      </c>
      <c r="C160" t="s">
        <v>1668</v>
      </c>
      <c r="D160" s="10" t="s">
        <v>1914</v>
      </c>
      <c r="E160" s="10" t="s">
        <v>1915</v>
      </c>
      <c r="F160" s="10" t="s">
        <v>540</v>
      </c>
      <c r="G160" s="10" t="s">
        <v>1916</v>
      </c>
      <c r="H160">
        <v>62006705</v>
      </c>
      <c r="I160" s="10" t="s">
        <v>111</v>
      </c>
      <c r="J160" s="10" t="s">
        <v>75</v>
      </c>
      <c r="K160" s="63" t="s">
        <v>1917</v>
      </c>
      <c r="L160" s="80">
        <v>200000</v>
      </c>
      <c r="M160" s="80">
        <v>743.6</v>
      </c>
      <c r="N160" s="76">
        <v>4939.7999999999602</v>
      </c>
      <c r="O160" s="80">
        <v>18.366176399999901</v>
      </c>
      <c r="P160" s="81">
        <v>2.4698999999999801E-2</v>
      </c>
    </row>
    <row r="161" spans="1:16" ht="13.5" customHeight="1" x14ac:dyDescent="0.25">
      <c r="A161">
        <v>1182</v>
      </c>
      <c r="B161">
        <v>1182</v>
      </c>
      <c r="C161" t="s">
        <v>1668</v>
      </c>
      <c r="D161" s="10" t="s">
        <v>1910</v>
      </c>
      <c r="E161" s="10" t="s">
        <v>1911</v>
      </c>
      <c r="F161" s="10" t="s">
        <v>540</v>
      </c>
      <c r="G161" s="10" t="s">
        <v>1912</v>
      </c>
      <c r="H161">
        <v>62019013</v>
      </c>
      <c r="I161" s="10" t="s">
        <v>111</v>
      </c>
      <c r="J161" s="10" t="s">
        <v>75</v>
      </c>
      <c r="K161" s="63" t="s">
        <v>1913</v>
      </c>
      <c r="L161" s="80">
        <v>300000</v>
      </c>
      <c r="M161" s="80">
        <v>1115.4000000000001</v>
      </c>
      <c r="N161" s="76">
        <v>8455.7600000000093</v>
      </c>
      <c r="O161" s="80">
        <v>31.438515679999998</v>
      </c>
      <c r="P161" s="81">
        <v>2.8185866666666701E-2</v>
      </c>
    </row>
    <row r="162" spans="1:16" ht="13.5" customHeight="1" x14ac:dyDescent="0.25">
      <c r="A162">
        <v>1182</v>
      </c>
      <c r="B162">
        <v>1182</v>
      </c>
      <c r="C162" t="s">
        <v>1668</v>
      </c>
      <c r="D162" s="10" t="s">
        <v>1961</v>
      </c>
      <c r="E162" s="10" t="s">
        <v>1962</v>
      </c>
      <c r="F162" s="10" t="s">
        <v>540</v>
      </c>
      <c r="G162" s="10" t="s">
        <v>1963</v>
      </c>
      <c r="H162">
        <v>62009204</v>
      </c>
      <c r="I162" s="10" t="s">
        <v>111</v>
      </c>
      <c r="J162" s="10" t="s">
        <v>75</v>
      </c>
      <c r="K162" s="63" t="s">
        <v>1964</v>
      </c>
      <c r="L162" s="80">
        <v>300000</v>
      </c>
      <c r="M162" s="80">
        <v>1115.4000000000001</v>
      </c>
      <c r="N162" s="76">
        <v>26025</v>
      </c>
      <c r="O162" s="80">
        <v>96.760949999999994</v>
      </c>
      <c r="P162" s="81">
        <v>8.6749999999999994E-2</v>
      </c>
    </row>
    <row r="163" spans="1:16" ht="13.5" customHeight="1" x14ac:dyDescent="0.25">
      <c r="A163">
        <v>1182</v>
      </c>
      <c r="B163">
        <v>1182</v>
      </c>
      <c r="C163" t="s">
        <v>1668</v>
      </c>
      <c r="D163" s="10" t="s">
        <v>1975</v>
      </c>
      <c r="E163" s="10" t="s">
        <v>1976</v>
      </c>
      <c r="F163" s="10" t="s">
        <v>540</v>
      </c>
      <c r="G163" s="10" t="s">
        <v>1977</v>
      </c>
      <c r="H163">
        <v>62010137</v>
      </c>
      <c r="I163" s="10" t="s">
        <v>111</v>
      </c>
      <c r="J163" s="10" t="s">
        <v>75</v>
      </c>
      <c r="K163" s="63" t="s">
        <v>1978</v>
      </c>
      <c r="L163" s="80">
        <v>300000</v>
      </c>
      <c r="M163" s="80">
        <v>1115.4000000000001</v>
      </c>
      <c r="N163" s="76">
        <v>81679</v>
      </c>
      <c r="O163" s="80">
        <v>303.68252200000001</v>
      </c>
      <c r="P163" s="81">
        <v>0.27226333333333302</v>
      </c>
    </row>
    <row r="164" spans="1:16" ht="13.5" customHeight="1" x14ac:dyDescent="0.25">
      <c r="A164">
        <v>1182</v>
      </c>
      <c r="B164">
        <v>1182</v>
      </c>
      <c r="C164" t="s">
        <v>1668</v>
      </c>
      <c r="D164" s="10" t="s">
        <v>1971</v>
      </c>
      <c r="E164" s="10" t="s">
        <v>1972</v>
      </c>
      <c r="F164" s="10" t="s">
        <v>540</v>
      </c>
      <c r="G164" s="10" t="s">
        <v>1973</v>
      </c>
      <c r="H164">
        <v>62020813</v>
      </c>
      <c r="I164" s="10" t="s">
        <v>111</v>
      </c>
      <c r="J164" s="10" t="s">
        <v>75</v>
      </c>
      <c r="K164" s="63" t="s">
        <v>1974</v>
      </c>
      <c r="L164" s="80">
        <v>320000</v>
      </c>
      <c r="M164" s="80">
        <v>1189.76</v>
      </c>
      <c r="N164" s="76">
        <v>170366</v>
      </c>
      <c r="O164" s="80">
        <v>633.42078800000002</v>
      </c>
      <c r="P164" s="81">
        <v>0.53239375</v>
      </c>
    </row>
    <row r="165" spans="1:16" ht="13.5" customHeight="1" x14ac:dyDescent="0.25">
      <c r="A165">
        <v>1182</v>
      </c>
      <c r="B165">
        <v>1182</v>
      </c>
      <c r="C165" t="s">
        <v>1668</v>
      </c>
      <c r="D165" s="10" t="s">
        <v>1965</v>
      </c>
      <c r="E165" s="10" t="s">
        <v>1966</v>
      </c>
      <c r="F165" s="10" t="s">
        <v>540</v>
      </c>
      <c r="G165" s="10" t="s">
        <v>1967</v>
      </c>
      <c r="H165">
        <v>62019807</v>
      </c>
      <c r="I165" s="10" t="s">
        <v>111</v>
      </c>
      <c r="J165" s="10" t="s">
        <v>75</v>
      </c>
      <c r="K165" s="63" t="s">
        <v>1819</v>
      </c>
      <c r="L165" s="80">
        <v>250000</v>
      </c>
      <c r="M165" s="80">
        <v>929.5</v>
      </c>
      <c r="N165" s="76">
        <v>46205</v>
      </c>
      <c r="O165" s="80">
        <v>171.79019</v>
      </c>
      <c r="P165" s="81">
        <v>0.18482000000000001</v>
      </c>
    </row>
    <row r="166" spans="1:16" ht="13.5" customHeight="1" x14ac:dyDescent="0.25">
      <c r="A166">
        <v>1182</v>
      </c>
      <c r="B166">
        <v>1182</v>
      </c>
      <c r="C166" t="s">
        <v>1668</v>
      </c>
      <c r="D166" s="10" t="s">
        <v>1953</v>
      </c>
      <c r="E166" s="10" t="s">
        <v>1954</v>
      </c>
      <c r="F166" s="10" t="s">
        <v>540</v>
      </c>
      <c r="G166" s="10" t="s">
        <v>1955</v>
      </c>
      <c r="H166">
        <v>62019849</v>
      </c>
      <c r="I166" s="10" t="s">
        <v>111</v>
      </c>
      <c r="J166" s="10" t="s">
        <v>75</v>
      </c>
      <c r="K166" s="63" t="s">
        <v>1956</v>
      </c>
      <c r="L166" s="80">
        <v>280000</v>
      </c>
      <c r="M166" s="80">
        <v>1041.04</v>
      </c>
      <c r="N166" s="76">
        <v>58446.23</v>
      </c>
      <c r="O166" s="80">
        <v>217.30308314000001</v>
      </c>
      <c r="P166" s="81">
        <v>0.20873653571428599</v>
      </c>
    </row>
    <row r="167" spans="1:16" ht="13.5" customHeight="1" x14ac:dyDescent="0.25">
      <c r="A167">
        <v>1182</v>
      </c>
      <c r="B167">
        <v>1182</v>
      </c>
      <c r="C167" t="s">
        <v>1668</v>
      </c>
      <c r="D167" s="10" t="s">
        <v>1968</v>
      </c>
      <c r="E167" s="10" t="s">
        <v>1962</v>
      </c>
      <c r="F167" s="10" t="s">
        <v>540</v>
      </c>
      <c r="G167" s="10" t="s">
        <v>1969</v>
      </c>
      <c r="H167">
        <v>62020615</v>
      </c>
      <c r="I167" s="10" t="s">
        <v>111</v>
      </c>
      <c r="J167" s="10" t="s">
        <v>75</v>
      </c>
      <c r="K167" s="63" t="s">
        <v>1970</v>
      </c>
      <c r="L167" s="80">
        <v>500000</v>
      </c>
      <c r="M167" s="80">
        <v>1859</v>
      </c>
      <c r="N167" s="76">
        <v>171256</v>
      </c>
      <c r="O167" s="80">
        <v>636.72980800000005</v>
      </c>
      <c r="P167" s="81">
        <v>0.34251199999999998</v>
      </c>
    </row>
    <row r="168" spans="1:16" ht="13.5" customHeight="1" x14ac:dyDescent="0.25">
      <c r="A168">
        <v>1182</v>
      </c>
      <c r="B168">
        <v>1182</v>
      </c>
      <c r="C168" t="s">
        <v>1668</v>
      </c>
      <c r="D168" s="10" t="s">
        <v>1949</v>
      </c>
      <c r="E168" s="10" t="s">
        <v>1950</v>
      </c>
      <c r="F168" s="10" t="s">
        <v>613</v>
      </c>
      <c r="G168" s="10" t="s">
        <v>1951</v>
      </c>
      <c r="H168">
        <v>62021571</v>
      </c>
      <c r="I168" s="10" t="s">
        <v>111</v>
      </c>
      <c r="J168" s="10" t="s">
        <v>77</v>
      </c>
      <c r="K168" s="63" t="s">
        <v>1952</v>
      </c>
      <c r="L168" s="80">
        <v>300000</v>
      </c>
      <c r="M168" s="80">
        <v>1206.57</v>
      </c>
      <c r="N168" s="76">
        <v>133652.87</v>
      </c>
      <c r="O168" s="80">
        <v>537.53847785300002</v>
      </c>
      <c r="P168" s="81">
        <v>0.44550956666666702</v>
      </c>
    </row>
    <row r="169" spans="1:16" ht="13.5" customHeight="1" x14ac:dyDescent="0.25">
      <c r="A169">
        <v>1182</v>
      </c>
      <c r="B169">
        <v>1182</v>
      </c>
      <c r="C169" t="s">
        <v>1668</v>
      </c>
      <c r="D169" s="10" t="s">
        <v>1946</v>
      </c>
      <c r="E169" s="10">
        <v>0</v>
      </c>
      <c r="F169" s="10" t="s">
        <v>613</v>
      </c>
      <c r="G169" s="10" t="s">
        <v>1947</v>
      </c>
      <c r="H169">
        <v>62021894</v>
      </c>
      <c r="I169" s="10" t="s">
        <v>111</v>
      </c>
      <c r="J169" s="10" t="s">
        <v>75</v>
      </c>
      <c r="K169" s="63" t="s">
        <v>1948</v>
      </c>
      <c r="L169" s="80">
        <v>300000</v>
      </c>
      <c r="M169" s="80">
        <v>1115.4000000000001</v>
      </c>
      <c r="N169" s="76">
        <v>284422.39</v>
      </c>
      <c r="O169" s="80">
        <v>1057.48244602</v>
      </c>
      <c r="P169" s="81">
        <v>0.94807463333333297</v>
      </c>
    </row>
    <row r="170" spans="1:16" ht="13.5" customHeight="1" x14ac:dyDescent="0.25">
      <c r="A170">
        <v>1182</v>
      </c>
      <c r="B170">
        <v>1182</v>
      </c>
      <c r="C170" t="s">
        <v>1668</v>
      </c>
      <c r="D170" s="10" t="s">
        <v>1957</v>
      </c>
      <c r="E170" s="10" t="s">
        <v>1958</v>
      </c>
      <c r="F170" s="10" t="s">
        <v>540</v>
      </c>
      <c r="G170" s="10" t="s">
        <v>1959</v>
      </c>
      <c r="H170">
        <v>62021944</v>
      </c>
      <c r="I170" s="10" t="s">
        <v>111</v>
      </c>
      <c r="J170" s="10" t="s">
        <v>75</v>
      </c>
      <c r="K170" s="63" t="s">
        <v>1960</v>
      </c>
      <c r="L170" s="80">
        <v>300000</v>
      </c>
      <c r="M170" s="80">
        <v>1115.4000000000001</v>
      </c>
      <c r="N170" s="76">
        <v>256027.2</v>
      </c>
      <c r="O170" s="80">
        <v>951.90912960000003</v>
      </c>
      <c r="P170" s="81">
        <v>0.85342399999999996</v>
      </c>
    </row>
    <row r="171" spans="1:16" ht="13.5" customHeight="1" x14ac:dyDescent="0.25">
      <c r="A171">
        <v>1182</v>
      </c>
      <c r="B171">
        <v>1182</v>
      </c>
      <c r="C171" t="s">
        <v>1668</v>
      </c>
      <c r="D171" s="10" t="s">
        <v>1860</v>
      </c>
      <c r="E171" s="10" t="s">
        <v>1861</v>
      </c>
      <c r="F171" s="10" t="s">
        <v>613</v>
      </c>
      <c r="G171" s="10" t="s">
        <v>1862</v>
      </c>
      <c r="H171">
        <v>62020946</v>
      </c>
      <c r="I171" s="10" t="s">
        <v>111</v>
      </c>
      <c r="J171" s="10" t="s">
        <v>75</v>
      </c>
      <c r="K171" s="63" t="s">
        <v>1863</v>
      </c>
      <c r="L171" s="80">
        <v>500000</v>
      </c>
      <c r="M171" s="80">
        <v>1859</v>
      </c>
      <c r="N171" s="76">
        <v>180003</v>
      </c>
      <c r="O171" s="80">
        <v>669.25115400000004</v>
      </c>
      <c r="P171" s="81">
        <v>0.36000599999999999</v>
      </c>
    </row>
    <row r="172" spans="1:16" ht="13.5" customHeight="1" x14ac:dyDescent="0.25">
      <c r="A172">
        <v>1182</v>
      </c>
      <c r="B172">
        <v>1182</v>
      </c>
      <c r="C172" t="s">
        <v>1668</v>
      </c>
      <c r="D172" s="10" t="s">
        <v>1918</v>
      </c>
      <c r="E172" s="10" t="s">
        <v>1919</v>
      </c>
      <c r="F172" s="10" t="s">
        <v>540</v>
      </c>
      <c r="G172" s="10" t="s">
        <v>1920</v>
      </c>
      <c r="H172">
        <v>62017652</v>
      </c>
      <c r="I172" s="10" t="s">
        <v>111</v>
      </c>
      <c r="J172" s="10" t="s">
        <v>75</v>
      </c>
      <c r="K172" s="63" t="s">
        <v>1922</v>
      </c>
      <c r="L172" s="80">
        <v>400000</v>
      </c>
      <c r="M172" s="80">
        <v>1487.2</v>
      </c>
      <c r="N172" s="76">
        <v>123248.25</v>
      </c>
      <c r="O172" s="80">
        <v>458.23699349999998</v>
      </c>
      <c r="P172" s="81">
        <v>0.30812062499999998</v>
      </c>
    </row>
    <row r="173" spans="1:16" ht="13.5" customHeight="1" x14ac:dyDescent="0.25">
      <c r="A173">
        <v>1182</v>
      </c>
      <c r="B173">
        <v>1182</v>
      </c>
      <c r="C173" t="s">
        <v>1668</v>
      </c>
      <c r="D173" s="10" t="s">
        <v>1923</v>
      </c>
      <c r="E173" s="10" t="s">
        <v>1924</v>
      </c>
      <c r="F173" s="10" t="s">
        <v>540</v>
      </c>
      <c r="G173" s="10" t="s">
        <v>1925</v>
      </c>
      <c r="H173">
        <v>62021142</v>
      </c>
      <c r="I173" s="10" t="s">
        <v>111</v>
      </c>
      <c r="J173" s="10" t="s">
        <v>75</v>
      </c>
      <c r="K173" s="63" t="s">
        <v>1926</v>
      </c>
      <c r="L173" s="80">
        <v>300000</v>
      </c>
      <c r="M173" s="80">
        <v>1115.4000000000001</v>
      </c>
      <c r="N173" s="76">
        <v>87000</v>
      </c>
      <c r="O173" s="80">
        <v>323.46600000000001</v>
      </c>
      <c r="P173" s="81">
        <v>0.28999999999999998</v>
      </c>
    </row>
    <row r="174" spans="1:16" ht="13.5" customHeight="1" x14ac:dyDescent="0.25">
      <c r="A174">
        <v>1182</v>
      </c>
      <c r="B174">
        <v>1182</v>
      </c>
      <c r="C174" t="s">
        <v>1668</v>
      </c>
      <c r="D174" s="10" t="s">
        <v>1897</v>
      </c>
      <c r="E174" s="10" t="s">
        <v>1898</v>
      </c>
      <c r="F174" s="10" t="s">
        <v>540</v>
      </c>
      <c r="G174" s="10" t="s">
        <v>1899</v>
      </c>
      <c r="H174">
        <v>62017702</v>
      </c>
      <c r="I174" s="10" t="s">
        <v>111</v>
      </c>
      <c r="J174" s="10" t="s">
        <v>75</v>
      </c>
      <c r="K174" s="63" t="s">
        <v>1901</v>
      </c>
      <c r="L174" s="80">
        <v>500000</v>
      </c>
      <c r="M174" s="80">
        <v>1859</v>
      </c>
      <c r="N174" s="76">
        <v>28305</v>
      </c>
      <c r="O174" s="80">
        <v>105.23799</v>
      </c>
      <c r="P174" s="81">
        <v>5.6610000000000001E-2</v>
      </c>
    </row>
    <row r="175" spans="1:16" ht="13.5" customHeight="1" x14ac:dyDescent="0.25">
      <c r="A175">
        <v>1182</v>
      </c>
      <c r="B175">
        <v>1182</v>
      </c>
      <c r="C175" t="s">
        <v>1668</v>
      </c>
      <c r="D175" s="10" t="s">
        <v>1846</v>
      </c>
      <c r="E175" s="10" t="s">
        <v>1847</v>
      </c>
      <c r="F175" s="10" t="s">
        <v>613</v>
      </c>
      <c r="G175" s="10" t="s">
        <v>1848</v>
      </c>
      <c r="H175">
        <v>62018064</v>
      </c>
      <c r="I175" s="10" t="s">
        <v>111</v>
      </c>
      <c r="J175" s="10" t="s">
        <v>75</v>
      </c>
      <c r="K175" s="63" t="s">
        <v>1615</v>
      </c>
      <c r="L175" s="80">
        <v>200000</v>
      </c>
      <c r="M175" s="80">
        <v>743.6</v>
      </c>
      <c r="N175" s="76">
        <v>24647</v>
      </c>
      <c r="O175" s="80">
        <v>91.637546</v>
      </c>
      <c r="P175" s="81">
        <v>0.123235</v>
      </c>
    </row>
    <row r="176" spans="1:16" ht="13.5" customHeight="1" x14ac:dyDescent="0.25">
      <c r="A176">
        <v>1182</v>
      </c>
      <c r="B176">
        <v>1182</v>
      </c>
      <c r="C176" t="s">
        <v>1668</v>
      </c>
      <c r="D176" s="10" t="s">
        <v>1846</v>
      </c>
      <c r="E176" s="10" t="s">
        <v>1847</v>
      </c>
      <c r="F176" s="10" t="s">
        <v>613</v>
      </c>
      <c r="G176" s="10" t="s">
        <v>1849</v>
      </c>
      <c r="H176">
        <v>62021340</v>
      </c>
      <c r="I176" s="10" t="s">
        <v>111</v>
      </c>
      <c r="J176" s="10" t="s">
        <v>75</v>
      </c>
      <c r="K176" s="63" t="s">
        <v>1851</v>
      </c>
      <c r="L176" s="80">
        <v>200000</v>
      </c>
      <c r="M176" s="80">
        <v>743.6</v>
      </c>
      <c r="N176" s="76">
        <v>88082</v>
      </c>
      <c r="O176" s="80">
        <v>327.488876</v>
      </c>
      <c r="P176" s="81">
        <v>0.44041000000000002</v>
      </c>
    </row>
    <row r="177" spans="1:16" ht="13.5" customHeight="1" x14ac:dyDescent="0.25">
      <c r="A177">
        <v>1182</v>
      </c>
      <c r="B177">
        <v>1182</v>
      </c>
      <c r="C177" t="s">
        <v>1668</v>
      </c>
      <c r="D177" s="10" t="s">
        <v>1984</v>
      </c>
      <c r="E177" s="10" t="s">
        <v>1985</v>
      </c>
      <c r="F177" s="10" t="s">
        <v>540</v>
      </c>
      <c r="G177" s="10" t="s">
        <v>1986</v>
      </c>
      <c r="H177">
        <v>62018387</v>
      </c>
      <c r="I177" s="10" t="s">
        <v>111</v>
      </c>
      <c r="J177" s="10" t="s">
        <v>75</v>
      </c>
      <c r="K177" s="63" t="s">
        <v>1987</v>
      </c>
      <c r="L177" s="80">
        <v>250000</v>
      </c>
      <c r="M177" s="80">
        <v>929.5</v>
      </c>
      <c r="N177" s="76">
        <v>34153</v>
      </c>
      <c r="O177" s="80">
        <v>126.98085399999999</v>
      </c>
      <c r="P177" s="81">
        <v>0.13661200000000001</v>
      </c>
    </row>
    <row r="178" spans="1:16" ht="13.5" customHeight="1" x14ac:dyDescent="0.25">
      <c r="A178">
        <v>1182</v>
      </c>
      <c r="B178">
        <v>1182</v>
      </c>
      <c r="C178" t="s">
        <v>1668</v>
      </c>
      <c r="D178" s="10" t="s">
        <v>1988</v>
      </c>
      <c r="E178" s="10" t="s">
        <v>1989</v>
      </c>
      <c r="F178" s="10" t="s">
        <v>613</v>
      </c>
      <c r="G178" s="10" t="s">
        <v>1990</v>
      </c>
      <c r="H178">
        <v>62018551</v>
      </c>
      <c r="I178" s="10" t="s">
        <v>111</v>
      </c>
      <c r="J178" s="10" t="s">
        <v>75</v>
      </c>
      <c r="K178" s="63" t="s">
        <v>1992</v>
      </c>
      <c r="L178" s="80">
        <v>420000</v>
      </c>
      <c r="M178" s="80">
        <v>1561.56</v>
      </c>
      <c r="N178" s="76">
        <v>88200</v>
      </c>
      <c r="O178" s="80">
        <v>327.92759999999998</v>
      </c>
      <c r="P178" s="81">
        <v>0.21</v>
      </c>
    </row>
    <row r="179" spans="1:16" ht="13.5" customHeight="1" x14ac:dyDescent="0.25">
      <c r="A179">
        <v>1182</v>
      </c>
      <c r="B179">
        <v>1182</v>
      </c>
      <c r="C179" t="s">
        <v>1668</v>
      </c>
      <c r="D179" s="10" t="s">
        <v>1997</v>
      </c>
      <c r="E179" s="10" t="s">
        <v>1998</v>
      </c>
      <c r="F179" s="10" t="s">
        <v>613</v>
      </c>
      <c r="G179" s="10" t="s">
        <v>1999</v>
      </c>
      <c r="H179">
        <v>62020169</v>
      </c>
      <c r="I179" s="10" t="s">
        <v>111</v>
      </c>
      <c r="J179" s="10" t="s">
        <v>75</v>
      </c>
      <c r="K179" s="63" t="s">
        <v>2000</v>
      </c>
      <c r="L179" s="80">
        <v>500000</v>
      </c>
      <c r="M179" s="80">
        <v>1859</v>
      </c>
      <c r="N179" s="76">
        <v>95000</v>
      </c>
      <c r="O179" s="80">
        <v>353.21</v>
      </c>
      <c r="P179" s="81">
        <v>0.19</v>
      </c>
    </row>
    <row r="180" spans="1:16" ht="13.5" customHeight="1" x14ac:dyDescent="0.25">
      <c r="A180">
        <v>1182</v>
      </c>
      <c r="B180">
        <v>1182</v>
      </c>
      <c r="C180" t="s">
        <v>1668</v>
      </c>
      <c r="D180" s="10" t="s">
        <v>1852</v>
      </c>
      <c r="E180" s="10" t="s">
        <v>1853</v>
      </c>
      <c r="F180" s="10" t="s">
        <v>540</v>
      </c>
      <c r="G180" s="10" t="s">
        <v>1854</v>
      </c>
      <c r="H180">
        <v>62018908</v>
      </c>
      <c r="I180" s="10" t="s">
        <v>111</v>
      </c>
      <c r="J180" s="10" t="s">
        <v>75</v>
      </c>
      <c r="K180" s="63" t="s">
        <v>1855</v>
      </c>
      <c r="L180" s="80">
        <v>600000</v>
      </c>
      <c r="M180" s="80">
        <v>2230.8000000000002</v>
      </c>
      <c r="N180" s="76">
        <v>126479.95</v>
      </c>
      <c r="O180" s="80">
        <v>470.25245410000002</v>
      </c>
      <c r="P180" s="81">
        <v>0.210799916666667</v>
      </c>
    </row>
    <row r="181" spans="1:16" ht="13.5" customHeight="1" x14ac:dyDescent="0.25">
      <c r="A181">
        <v>1182</v>
      </c>
      <c r="B181">
        <v>1182</v>
      </c>
      <c r="C181" t="s">
        <v>1668</v>
      </c>
      <c r="D181" s="10" t="s">
        <v>1820</v>
      </c>
      <c r="E181" s="10" t="s">
        <v>1821</v>
      </c>
      <c r="F181" s="10" t="s">
        <v>540</v>
      </c>
      <c r="G181" s="10" t="s">
        <v>1822</v>
      </c>
      <c r="H181">
        <v>62019757</v>
      </c>
      <c r="I181" s="10" t="s">
        <v>111</v>
      </c>
      <c r="J181" s="10" t="s">
        <v>75</v>
      </c>
      <c r="K181" s="63" t="s">
        <v>1823</v>
      </c>
      <c r="L181" s="80">
        <v>140000</v>
      </c>
      <c r="M181" s="80">
        <v>520.52</v>
      </c>
      <c r="N181" s="76">
        <v>69678</v>
      </c>
      <c r="O181" s="80">
        <v>259.06280400000003</v>
      </c>
      <c r="P181" s="81">
        <v>0.49769999999999998</v>
      </c>
    </row>
    <row r="182" spans="1:16" ht="13.5" customHeight="1" x14ac:dyDescent="0.25">
      <c r="A182">
        <v>1182</v>
      </c>
      <c r="B182">
        <v>1182</v>
      </c>
      <c r="C182" t="s">
        <v>1668</v>
      </c>
      <c r="D182" s="10" t="s">
        <v>1797</v>
      </c>
      <c r="E182" s="10" t="s">
        <v>1798</v>
      </c>
      <c r="F182" s="10" t="s">
        <v>286</v>
      </c>
      <c r="G182" s="10" t="s">
        <v>1799</v>
      </c>
      <c r="H182">
        <v>50007160</v>
      </c>
      <c r="I182" s="10" t="s">
        <v>111</v>
      </c>
      <c r="J182" s="10" t="s">
        <v>81</v>
      </c>
      <c r="K182" s="63" t="s">
        <v>1800</v>
      </c>
      <c r="L182" s="80">
        <v>900000</v>
      </c>
      <c r="M182" s="80">
        <v>900</v>
      </c>
      <c r="N182" s="76">
        <v>430040</v>
      </c>
      <c r="O182" s="80">
        <v>430.04</v>
      </c>
      <c r="P182" s="81">
        <v>0.47782222222222198</v>
      </c>
    </row>
    <row r="183" spans="1:16" ht="13.5" customHeight="1" x14ac:dyDescent="0.25">
      <c r="A183">
        <v>1182</v>
      </c>
      <c r="B183">
        <v>1182</v>
      </c>
      <c r="C183" t="s">
        <v>1668</v>
      </c>
      <c r="D183" s="10" t="s">
        <v>1817</v>
      </c>
      <c r="E183" s="10" t="s">
        <v>1818</v>
      </c>
      <c r="F183" s="10" t="s">
        <v>613</v>
      </c>
      <c r="G183" s="10" t="s">
        <v>1817</v>
      </c>
      <c r="H183">
        <v>62019815</v>
      </c>
      <c r="I183" s="10" t="s">
        <v>111</v>
      </c>
      <c r="J183" s="10" t="s">
        <v>75</v>
      </c>
      <c r="K183" s="63" t="s">
        <v>1819</v>
      </c>
      <c r="L183" s="80">
        <v>750000</v>
      </c>
      <c r="M183" s="80">
        <v>2788.5</v>
      </c>
      <c r="N183" s="76">
        <v>464359</v>
      </c>
      <c r="O183" s="80">
        <v>1726.486762</v>
      </c>
      <c r="P183" s="81">
        <v>0.61914533333333299</v>
      </c>
    </row>
    <row r="184" spans="1:16" ht="13.5" customHeight="1" x14ac:dyDescent="0.25">
      <c r="A184">
        <v>1182</v>
      </c>
      <c r="B184">
        <v>1182</v>
      </c>
      <c r="C184" t="s">
        <v>1668</v>
      </c>
      <c r="D184" s="10" t="s">
        <v>1813</v>
      </c>
      <c r="E184" s="10" t="s">
        <v>1814</v>
      </c>
      <c r="F184" s="10" t="s">
        <v>540</v>
      </c>
      <c r="G184" s="10" t="s">
        <v>1813</v>
      </c>
      <c r="H184">
        <v>62020896</v>
      </c>
      <c r="I184" s="10" t="s">
        <v>111</v>
      </c>
      <c r="J184" s="10" t="s">
        <v>75</v>
      </c>
      <c r="K184" s="63" t="s">
        <v>1816</v>
      </c>
      <c r="L184" s="80">
        <v>300000</v>
      </c>
      <c r="M184" s="80">
        <v>1115.4000000000001</v>
      </c>
      <c r="N184" s="76">
        <v>242332</v>
      </c>
      <c r="O184" s="80">
        <v>900.99037599999997</v>
      </c>
      <c r="P184" s="81">
        <v>0.80777333333333301</v>
      </c>
    </row>
    <row r="185" spans="1:16" ht="13.5" customHeight="1" x14ac:dyDescent="0.25">
      <c r="A185">
        <v>1182</v>
      </c>
      <c r="B185">
        <v>1182</v>
      </c>
      <c r="C185" t="s">
        <v>1668</v>
      </c>
      <c r="D185" s="10" t="s">
        <v>1809</v>
      </c>
      <c r="E185" s="10" t="s">
        <v>1810</v>
      </c>
      <c r="F185" s="10" t="s">
        <v>613</v>
      </c>
      <c r="G185" s="10" t="s">
        <v>1809</v>
      </c>
      <c r="H185">
        <v>62021365</v>
      </c>
      <c r="I185" s="10" t="s">
        <v>111</v>
      </c>
      <c r="J185" s="10" t="s">
        <v>75</v>
      </c>
      <c r="K185" s="63" t="s">
        <v>1812</v>
      </c>
      <c r="L185" s="80">
        <v>400000</v>
      </c>
      <c r="M185" s="80">
        <v>1487.2</v>
      </c>
      <c r="N185" s="76">
        <v>296778.90999999997</v>
      </c>
      <c r="O185" s="80">
        <v>1103.42398738</v>
      </c>
      <c r="P185" s="81">
        <v>0.74194727500000002</v>
      </c>
    </row>
    <row r="186" spans="1:16" ht="13.5" customHeight="1" x14ac:dyDescent="0.25">
      <c r="A186">
        <v>1182</v>
      </c>
      <c r="B186">
        <v>1182</v>
      </c>
      <c r="C186" t="s">
        <v>1668</v>
      </c>
      <c r="D186" s="10" t="s">
        <v>1786</v>
      </c>
      <c r="E186" s="10" t="s">
        <v>1787</v>
      </c>
      <c r="F186" s="10" t="s">
        <v>210</v>
      </c>
      <c r="G186" s="10" t="s">
        <v>1786</v>
      </c>
      <c r="H186">
        <v>50007350</v>
      </c>
      <c r="I186" s="10" t="s">
        <v>111</v>
      </c>
      <c r="J186" s="10" t="s">
        <v>81</v>
      </c>
      <c r="K186" s="63" t="s">
        <v>1789</v>
      </c>
      <c r="L186" s="80">
        <v>2000000</v>
      </c>
      <c r="M186" s="80">
        <v>2000</v>
      </c>
      <c r="N186" s="76">
        <v>399052</v>
      </c>
      <c r="O186" s="80">
        <v>399.05200000000002</v>
      </c>
      <c r="P186" s="81">
        <v>0.19952600000000001</v>
      </c>
    </row>
    <row r="187" spans="1:16" ht="13.5" customHeight="1" x14ac:dyDescent="0.25">
      <c r="A187">
        <v>1182</v>
      </c>
      <c r="B187">
        <v>1182</v>
      </c>
      <c r="C187" t="s">
        <v>1668</v>
      </c>
      <c r="D187" s="10" t="s">
        <v>1665</v>
      </c>
      <c r="E187" s="10" t="s">
        <v>1666</v>
      </c>
      <c r="F187" s="10" t="s">
        <v>286</v>
      </c>
      <c r="G187" s="10" t="s">
        <v>1667</v>
      </c>
      <c r="H187">
        <v>50007566</v>
      </c>
      <c r="I187" s="10" t="s">
        <v>111</v>
      </c>
      <c r="J187" s="10" t="s">
        <v>81</v>
      </c>
      <c r="K187" s="63" t="s">
        <v>1670</v>
      </c>
      <c r="L187" s="80">
        <v>2200000</v>
      </c>
      <c r="M187" s="80">
        <v>2200</v>
      </c>
      <c r="N187" s="76">
        <v>358400</v>
      </c>
      <c r="O187" s="80">
        <v>358.4</v>
      </c>
      <c r="P187" s="81">
        <v>0.162909090909091</v>
      </c>
    </row>
    <row r="188" spans="1:16" ht="13.5" customHeight="1" x14ac:dyDescent="0.25">
      <c r="A188">
        <v>1182</v>
      </c>
      <c r="B188">
        <v>1182</v>
      </c>
      <c r="C188" t="s">
        <v>1668</v>
      </c>
      <c r="D188" s="10" t="s">
        <v>1737</v>
      </c>
      <c r="E188" s="10" t="s">
        <v>1738</v>
      </c>
      <c r="F188" s="10" t="s">
        <v>111</v>
      </c>
      <c r="G188" s="10" t="s">
        <v>1737</v>
      </c>
      <c r="H188">
        <v>62020375</v>
      </c>
      <c r="I188" s="10" t="s">
        <v>111</v>
      </c>
      <c r="J188" s="10" t="s">
        <v>75</v>
      </c>
      <c r="K188" s="63" t="s">
        <v>1740</v>
      </c>
      <c r="L188" s="80">
        <v>450000</v>
      </c>
      <c r="M188" s="80">
        <v>1673.1</v>
      </c>
      <c r="N188" s="76">
        <v>347225</v>
      </c>
      <c r="O188" s="80">
        <v>1290.9825499999999</v>
      </c>
      <c r="P188" s="81">
        <v>0.77161111111111103</v>
      </c>
    </row>
    <row r="189" spans="1:16" ht="13.5" customHeight="1" x14ac:dyDescent="0.25">
      <c r="A189">
        <v>1182</v>
      </c>
      <c r="B189">
        <v>1182</v>
      </c>
      <c r="C189" t="s">
        <v>1668</v>
      </c>
      <c r="D189" s="10" t="s">
        <v>1935</v>
      </c>
      <c r="E189" s="10" t="s">
        <v>1936</v>
      </c>
      <c r="F189" s="10" t="s">
        <v>540</v>
      </c>
      <c r="G189" s="10" t="s">
        <v>1937</v>
      </c>
      <c r="H189">
        <v>62020425</v>
      </c>
      <c r="I189" s="10" t="s">
        <v>111</v>
      </c>
      <c r="J189" s="10" t="s">
        <v>75</v>
      </c>
      <c r="K189" s="63" t="s">
        <v>1938</v>
      </c>
      <c r="L189" s="80">
        <v>700000</v>
      </c>
      <c r="M189" s="80">
        <v>2602.6</v>
      </c>
      <c r="N189" s="76">
        <v>86203</v>
      </c>
      <c r="O189" s="80">
        <v>320.50275399999998</v>
      </c>
      <c r="P189" s="81">
        <v>0.123147142857143</v>
      </c>
    </row>
    <row r="190" spans="1:16" ht="13.5" customHeight="1" x14ac:dyDescent="0.25">
      <c r="A190">
        <v>1182</v>
      </c>
      <c r="B190">
        <v>1182</v>
      </c>
      <c r="C190" t="s">
        <v>1668</v>
      </c>
      <c r="D190" s="10" t="s">
        <v>1931</v>
      </c>
      <c r="E190" s="10" t="s">
        <v>1932</v>
      </c>
      <c r="F190" s="10" t="s">
        <v>111</v>
      </c>
      <c r="G190" s="10" t="s">
        <v>1933</v>
      </c>
      <c r="H190">
        <v>62021951</v>
      </c>
      <c r="I190" s="10" t="s">
        <v>111</v>
      </c>
      <c r="J190" s="10" t="s">
        <v>75</v>
      </c>
      <c r="K190" s="63" t="s">
        <v>1934</v>
      </c>
      <c r="L190" s="80">
        <v>300000</v>
      </c>
      <c r="M190" s="80">
        <v>1115.4000000000001</v>
      </c>
      <c r="N190" s="76">
        <v>210813</v>
      </c>
      <c r="O190" s="80">
        <v>783.80273399999999</v>
      </c>
      <c r="P190" s="81">
        <v>0.70270999999999995</v>
      </c>
    </row>
    <row r="191" spans="1:16" ht="13.5" customHeight="1" x14ac:dyDescent="0.25">
      <c r="A191">
        <v>1182</v>
      </c>
      <c r="B191">
        <v>1182</v>
      </c>
      <c r="C191" t="s">
        <v>1668</v>
      </c>
      <c r="D191" s="10" t="s">
        <v>1894</v>
      </c>
      <c r="E191" s="10" t="s">
        <v>1895</v>
      </c>
      <c r="F191" s="10" t="s">
        <v>613</v>
      </c>
      <c r="G191" s="10" t="s">
        <v>1896</v>
      </c>
      <c r="H191">
        <v>62020565</v>
      </c>
      <c r="I191" s="10" t="s">
        <v>111</v>
      </c>
      <c r="J191" s="10" t="s">
        <v>77</v>
      </c>
      <c r="K191" s="63" t="s">
        <v>1670</v>
      </c>
      <c r="L191" s="80">
        <v>265000</v>
      </c>
      <c r="M191" s="80">
        <v>1065.8035</v>
      </c>
      <c r="N191" s="76">
        <v>98613.24</v>
      </c>
      <c r="O191" s="80">
        <v>396.61258995600002</v>
      </c>
      <c r="P191" s="81">
        <v>0.372125433962264</v>
      </c>
    </row>
    <row r="192" spans="1:16" ht="13.5" customHeight="1" x14ac:dyDescent="0.25">
      <c r="A192">
        <v>1182</v>
      </c>
      <c r="B192">
        <v>1182</v>
      </c>
      <c r="C192" t="s">
        <v>1668</v>
      </c>
      <c r="D192" s="10" t="s">
        <v>1805</v>
      </c>
      <c r="E192" s="10" t="s">
        <v>1806</v>
      </c>
      <c r="F192" s="10" t="s">
        <v>111</v>
      </c>
      <c r="G192" s="10" t="s">
        <v>1807</v>
      </c>
      <c r="H192">
        <v>62020672</v>
      </c>
      <c r="I192" s="10" t="s">
        <v>111</v>
      </c>
      <c r="J192" s="10" t="s">
        <v>75</v>
      </c>
      <c r="K192" s="63" t="s">
        <v>1808</v>
      </c>
      <c r="L192" s="80">
        <v>100000</v>
      </c>
      <c r="M192" s="80">
        <v>371.8</v>
      </c>
      <c r="N192" s="76">
        <v>17689</v>
      </c>
      <c r="O192" s="80">
        <v>65.767702</v>
      </c>
      <c r="P192" s="81">
        <v>0.17688999999999999</v>
      </c>
    </row>
    <row r="193" spans="1:16" ht="13.5" customHeight="1" x14ac:dyDescent="0.25">
      <c r="A193">
        <v>1182</v>
      </c>
      <c r="B193">
        <v>1182</v>
      </c>
      <c r="C193" t="s">
        <v>1668</v>
      </c>
      <c r="D193" s="10" t="s">
        <v>1864</v>
      </c>
      <c r="E193" s="10" t="s">
        <v>1865</v>
      </c>
      <c r="F193" s="10" t="s">
        <v>420</v>
      </c>
      <c r="G193" s="10" t="s">
        <v>1866</v>
      </c>
      <c r="H193">
        <v>62021431</v>
      </c>
      <c r="I193" s="10" t="s">
        <v>111</v>
      </c>
      <c r="J193" s="10" t="s">
        <v>75</v>
      </c>
      <c r="K193" s="63" t="s">
        <v>1867</v>
      </c>
      <c r="L193" s="80">
        <v>130000</v>
      </c>
      <c r="M193" s="80">
        <v>483.34</v>
      </c>
      <c r="N193" s="76">
        <v>73450</v>
      </c>
      <c r="O193" s="80">
        <v>273.08710000000002</v>
      </c>
      <c r="P193" s="81">
        <v>0.56499999999999995</v>
      </c>
    </row>
    <row r="194" spans="1:16" ht="13.5" customHeight="1" x14ac:dyDescent="0.25">
      <c r="A194">
        <v>1182</v>
      </c>
      <c r="B194">
        <v>1182</v>
      </c>
      <c r="C194" t="s">
        <v>1668</v>
      </c>
      <c r="D194" s="10" t="s">
        <v>2001</v>
      </c>
      <c r="E194" s="10" t="s">
        <v>2002</v>
      </c>
      <c r="F194" s="10" t="s">
        <v>613</v>
      </c>
      <c r="G194" s="10" t="s">
        <v>2005</v>
      </c>
      <c r="H194">
        <v>62021852</v>
      </c>
      <c r="I194" s="10" t="s">
        <v>111</v>
      </c>
      <c r="J194" s="10" t="s">
        <v>77</v>
      </c>
      <c r="K194" s="63" t="s">
        <v>1893</v>
      </c>
      <c r="L194" s="80">
        <v>200000</v>
      </c>
      <c r="M194" s="80">
        <v>804.38</v>
      </c>
      <c r="N194" s="76">
        <v>90000</v>
      </c>
      <c r="O194" s="80">
        <v>361.971</v>
      </c>
      <c r="P194" s="81">
        <v>0.45</v>
      </c>
    </row>
    <row r="195" spans="1:16" ht="13.5" customHeight="1" x14ac:dyDescent="0.25">
      <c r="A195">
        <v>1182</v>
      </c>
      <c r="B195">
        <v>1182</v>
      </c>
      <c r="C195" t="s">
        <v>1668</v>
      </c>
      <c r="D195" s="10" t="s">
        <v>2001</v>
      </c>
      <c r="E195" s="10" t="s">
        <v>2002</v>
      </c>
      <c r="F195" s="10" t="s">
        <v>613</v>
      </c>
      <c r="G195" s="10" t="s">
        <v>2003</v>
      </c>
      <c r="H195">
        <v>62022033</v>
      </c>
      <c r="I195" s="10" t="s">
        <v>111</v>
      </c>
      <c r="J195" s="10" t="s">
        <v>75</v>
      </c>
      <c r="K195" s="63" t="s">
        <v>2004</v>
      </c>
      <c r="L195" s="80">
        <v>300000</v>
      </c>
      <c r="M195" s="80">
        <v>1115.4000000000001</v>
      </c>
      <c r="N195" s="76">
        <v>195761.51</v>
      </c>
      <c r="O195" s="80">
        <v>727.84129417999998</v>
      </c>
      <c r="P195" s="81">
        <v>0.65253836666666698</v>
      </c>
    </row>
    <row r="196" spans="1:16" ht="13.5" customHeight="1" x14ac:dyDescent="0.25">
      <c r="A196">
        <v>1182</v>
      </c>
      <c r="B196">
        <v>1182</v>
      </c>
      <c r="C196" t="s">
        <v>1668</v>
      </c>
      <c r="D196" s="10" t="s">
        <v>1790</v>
      </c>
      <c r="E196" s="10" t="s">
        <v>1791</v>
      </c>
      <c r="F196" s="10" t="s">
        <v>111</v>
      </c>
      <c r="G196" s="10" t="s">
        <v>1792</v>
      </c>
      <c r="H196">
        <v>50008325</v>
      </c>
      <c r="I196" s="10" t="s">
        <v>111</v>
      </c>
      <c r="J196" s="10" t="s">
        <v>81</v>
      </c>
      <c r="K196" s="63" t="s">
        <v>1793</v>
      </c>
      <c r="L196" s="80">
        <v>1000000</v>
      </c>
      <c r="M196" s="80">
        <v>1000</v>
      </c>
      <c r="N196" s="76">
        <v>928161</v>
      </c>
      <c r="O196" s="80">
        <v>928.16099999999994</v>
      </c>
      <c r="P196" s="81">
        <v>0.92816100000000001</v>
      </c>
    </row>
    <row r="197" spans="1:16" ht="13.5" customHeight="1" x14ac:dyDescent="0.25">
      <c r="A197">
        <v>1182</v>
      </c>
      <c r="B197">
        <v>1182</v>
      </c>
      <c r="C197" t="s">
        <v>1668</v>
      </c>
      <c r="D197" s="10" t="s">
        <v>1801</v>
      </c>
      <c r="E197" s="10" t="s">
        <v>1802</v>
      </c>
      <c r="F197" s="10" t="s">
        <v>613</v>
      </c>
      <c r="G197" s="10" t="s">
        <v>1803</v>
      </c>
      <c r="H197">
        <v>62022124</v>
      </c>
      <c r="I197" s="10" t="s">
        <v>111</v>
      </c>
      <c r="J197" s="10" t="s">
        <v>77</v>
      </c>
      <c r="K197" s="63" t="s">
        <v>1804</v>
      </c>
      <c r="L197" s="80">
        <v>250000</v>
      </c>
      <c r="M197" s="80">
        <v>1005.475</v>
      </c>
      <c r="N197" s="76">
        <v>128233.08</v>
      </c>
      <c r="O197" s="80">
        <v>515.74062445200002</v>
      </c>
      <c r="P197" s="81">
        <v>0.51293232</v>
      </c>
    </row>
    <row r="198" spans="1:16" ht="13.5" customHeight="1" x14ac:dyDescent="0.25">
      <c r="A198">
        <v>969</v>
      </c>
      <c r="B198">
        <v>969</v>
      </c>
      <c r="C198" t="s">
        <v>1668</v>
      </c>
      <c r="D198" s="10" t="s">
        <v>1719</v>
      </c>
      <c r="E198" s="10" t="s">
        <v>1720</v>
      </c>
      <c r="F198" s="10" t="s">
        <v>1721</v>
      </c>
      <c r="G198" s="10" t="s">
        <v>1723</v>
      </c>
      <c r="H198">
        <v>62002785</v>
      </c>
      <c r="I198" s="10" t="s">
        <v>111</v>
      </c>
      <c r="J198" s="10" t="s">
        <v>75</v>
      </c>
      <c r="K198" s="63" t="s">
        <v>1724</v>
      </c>
      <c r="L198" s="80">
        <v>50000</v>
      </c>
      <c r="M198" s="80">
        <v>185.9</v>
      </c>
      <c r="N198" s="76">
        <v>2250</v>
      </c>
      <c r="O198" s="80">
        <v>8.3655000000000008</v>
      </c>
      <c r="P198" s="81">
        <v>4.4999999999999998E-2</v>
      </c>
    </row>
    <row r="199" spans="1:16" ht="13.5" customHeight="1" x14ac:dyDescent="0.25">
      <c r="A199">
        <v>969</v>
      </c>
      <c r="B199">
        <v>969</v>
      </c>
      <c r="C199" t="s">
        <v>1668</v>
      </c>
      <c r="D199" s="10" t="s">
        <v>1706</v>
      </c>
      <c r="E199" s="10" t="s">
        <v>1707</v>
      </c>
      <c r="F199" s="10" t="s">
        <v>111</v>
      </c>
      <c r="G199" s="10" t="s">
        <v>1706</v>
      </c>
      <c r="H199">
        <v>60401809</v>
      </c>
      <c r="I199" s="10" t="s">
        <v>111</v>
      </c>
      <c r="J199" s="10" t="s">
        <v>75</v>
      </c>
      <c r="K199" s="63" t="s">
        <v>1709</v>
      </c>
      <c r="L199" s="80">
        <v>100000</v>
      </c>
      <c r="M199" s="80">
        <v>371.8</v>
      </c>
      <c r="N199" s="76">
        <v>1000</v>
      </c>
      <c r="O199" s="80">
        <v>3.718</v>
      </c>
      <c r="P199" s="81">
        <v>0.01</v>
      </c>
    </row>
    <row r="200" spans="1:16" ht="13.5" customHeight="1" x14ac:dyDescent="0.25">
      <c r="A200">
        <v>969</v>
      </c>
      <c r="B200">
        <v>969</v>
      </c>
      <c r="C200" t="s">
        <v>1668</v>
      </c>
      <c r="D200" s="10" t="s">
        <v>1745</v>
      </c>
      <c r="E200" s="10" t="s">
        <v>1746</v>
      </c>
      <c r="F200" s="10" t="s">
        <v>286</v>
      </c>
      <c r="G200" s="10" t="s">
        <v>1747</v>
      </c>
      <c r="H200">
        <v>60406600</v>
      </c>
      <c r="I200" s="10" t="s">
        <v>111</v>
      </c>
      <c r="J200" s="10" t="s">
        <v>75</v>
      </c>
      <c r="K200" s="63" t="s">
        <v>1749</v>
      </c>
      <c r="L200" s="80">
        <v>100000</v>
      </c>
      <c r="M200" s="80">
        <v>371.8</v>
      </c>
      <c r="N200" s="76">
        <v>7998</v>
      </c>
      <c r="O200" s="80">
        <v>29.736564000000001</v>
      </c>
      <c r="P200" s="81">
        <v>7.9979999999999996E-2</v>
      </c>
    </row>
    <row r="201" spans="1:16" ht="13.5" customHeight="1" x14ac:dyDescent="0.25">
      <c r="A201">
        <v>969</v>
      </c>
      <c r="B201">
        <v>969</v>
      </c>
      <c r="C201" t="s">
        <v>1668</v>
      </c>
      <c r="D201" s="10" t="s">
        <v>1769</v>
      </c>
      <c r="E201" s="10">
        <v>0</v>
      </c>
      <c r="F201" s="10" t="s">
        <v>286</v>
      </c>
      <c r="G201" s="10" t="s">
        <v>1772</v>
      </c>
      <c r="H201">
        <v>62007349</v>
      </c>
      <c r="I201" s="10" t="s">
        <v>111</v>
      </c>
      <c r="J201" s="10" t="s">
        <v>75</v>
      </c>
      <c r="K201" s="63" t="s">
        <v>1773</v>
      </c>
      <c r="L201" s="80">
        <v>100000</v>
      </c>
      <c r="M201" s="80">
        <v>371.8</v>
      </c>
      <c r="N201" s="76">
        <v>9999</v>
      </c>
      <c r="O201" s="80">
        <v>37.176282</v>
      </c>
      <c r="P201" s="81">
        <v>9.9989999999999996E-2</v>
      </c>
    </row>
    <row r="202" spans="1:16" ht="13.5" customHeight="1" x14ac:dyDescent="0.25">
      <c r="A202">
        <v>969</v>
      </c>
      <c r="B202">
        <v>969</v>
      </c>
      <c r="C202" t="s">
        <v>1668</v>
      </c>
      <c r="D202" s="10" t="s">
        <v>1672</v>
      </c>
      <c r="E202" s="10" t="s">
        <v>1673</v>
      </c>
      <c r="F202" s="10" t="s">
        <v>420</v>
      </c>
      <c r="G202" s="10" t="s">
        <v>1794</v>
      </c>
      <c r="H202">
        <v>60400892</v>
      </c>
      <c r="I202" s="10" t="s">
        <v>111</v>
      </c>
      <c r="J202" s="10" t="s">
        <v>75</v>
      </c>
      <c r="K202" s="63" t="s">
        <v>1795</v>
      </c>
      <c r="L202" s="80">
        <v>375000</v>
      </c>
      <c r="M202" s="80">
        <v>1394.25</v>
      </c>
      <c r="N202" s="76">
        <v>62547</v>
      </c>
      <c r="O202" s="80">
        <v>232.549746</v>
      </c>
      <c r="P202" s="81">
        <v>0.166792</v>
      </c>
    </row>
    <row r="203" spans="1:16" ht="13.5" customHeight="1" x14ac:dyDescent="0.25">
      <c r="A203">
        <v>969</v>
      </c>
      <c r="B203">
        <v>969</v>
      </c>
      <c r="C203" t="s">
        <v>1668</v>
      </c>
      <c r="D203" s="10" t="s">
        <v>1672</v>
      </c>
      <c r="E203" s="10" t="s">
        <v>1673</v>
      </c>
      <c r="F203" s="10" t="s">
        <v>420</v>
      </c>
      <c r="G203" s="10" t="s">
        <v>1674</v>
      </c>
      <c r="H203">
        <v>62018312</v>
      </c>
      <c r="I203" s="10" t="s">
        <v>111</v>
      </c>
      <c r="J203" s="10" t="s">
        <v>75</v>
      </c>
      <c r="K203" s="63" t="s">
        <v>1676</v>
      </c>
      <c r="L203" s="80">
        <v>200000</v>
      </c>
      <c r="M203" s="80">
        <v>743.6</v>
      </c>
      <c r="N203" s="76">
        <v>94560</v>
      </c>
      <c r="O203" s="80">
        <v>351.57407999999998</v>
      </c>
      <c r="P203" s="81">
        <v>0.4728</v>
      </c>
    </row>
    <row r="204" spans="1:16" ht="13.5" customHeight="1" x14ac:dyDescent="0.25">
      <c r="A204">
        <v>969</v>
      </c>
      <c r="B204">
        <v>969</v>
      </c>
      <c r="C204" t="s">
        <v>1668</v>
      </c>
      <c r="D204" s="10" t="s">
        <v>1834</v>
      </c>
      <c r="E204" s="10" t="s">
        <v>1835</v>
      </c>
      <c r="F204" s="10" t="s">
        <v>540</v>
      </c>
      <c r="G204" s="10" t="s">
        <v>1836</v>
      </c>
      <c r="H204">
        <v>60419041</v>
      </c>
      <c r="I204" s="10" t="s">
        <v>111</v>
      </c>
      <c r="J204" s="10" t="s">
        <v>75</v>
      </c>
      <c r="K204" s="63" t="s">
        <v>1837</v>
      </c>
      <c r="L204" s="80">
        <v>100000</v>
      </c>
      <c r="M204" s="80">
        <v>371.8</v>
      </c>
      <c r="N204" s="76">
        <v>9000</v>
      </c>
      <c r="O204" s="80">
        <v>33.462000000000003</v>
      </c>
      <c r="P204" s="81">
        <v>0.09</v>
      </c>
    </row>
    <row r="205" spans="1:16" ht="13.5" customHeight="1" x14ac:dyDescent="0.25">
      <c r="A205">
        <v>969</v>
      </c>
      <c r="B205">
        <v>969</v>
      </c>
      <c r="C205" t="s">
        <v>1668</v>
      </c>
      <c r="D205" s="10" t="s">
        <v>1838</v>
      </c>
      <c r="E205" s="10" t="s">
        <v>1839</v>
      </c>
      <c r="F205" s="10" t="s">
        <v>540</v>
      </c>
      <c r="G205" s="10" t="s">
        <v>1840</v>
      </c>
      <c r="H205">
        <v>62016654</v>
      </c>
      <c r="I205" s="10" t="s">
        <v>111</v>
      </c>
      <c r="J205" s="10" t="s">
        <v>75</v>
      </c>
      <c r="K205" s="63" t="s">
        <v>1841</v>
      </c>
      <c r="L205" s="80">
        <v>120000</v>
      </c>
      <c r="M205" s="80">
        <v>446.16</v>
      </c>
      <c r="N205" s="76">
        <v>22800</v>
      </c>
      <c r="O205" s="80">
        <v>84.770399999999995</v>
      </c>
      <c r="P205" s="81">
        <v>0.19</v>
      </c>
    </row>
    <row r="206" spans="1:16" ht="13.5" customHeight="1" x14ac:dyDescent="0.25">
      <c r="A206">
        <v>969</v>
      </c>
      <c r="B206">
        <v>969</v>
      </c>
      <c r="C206" t="s">
        <v>1668</v>
      </c>
      <c r="D206" s="10" t="s">
        <v>1872</v>
      </c>
      <c r="E206" s="10" t="s">
        <v>1873</v>
      </c>
      <c r="F206" s="10" t="s">
        <v>613</v>
      </c>
      <c r="G206" s="10" t="s">
        <v>1874</v>
      </c>
      <c r="H206">
        <v>62003800</v>
      </c>
      <c r="I206" s="10" t="s">
        <v>111</v>
      </c>
      <c r="J206" s="10" t="s">
        <v>75</v>
      </c>
      <c r="K206" s="63" t="s">
        <v>1876</v>
      </c>
      <c r="L206" s="80">
        <v>160000</v>
      </c>
      <c r="M206" s="80">
        <v>594.88</v>
      </c>
      <c r="N206" s="76">
        <v>25600</v>
      </c>
      <c r="O206" s="80">
        <v>95.180800000000005</v>
      </c>
      <c r="P206" s="81">
        <v>0.16</v>
      </c>
    </row>
    <row r="207" spans="1:16" ht="13.5" customHeight="1" x14ac:dyDescent="0.25">
      <c r="A207">
        <v>969</v>
      </c>
      <c r="B207">
        <v>969</v>
      </c>
      <c r="C207" t="s">
        <v>1668</v>
      </c>
      <c r="D207" s="10" t="s">
        <v>1872</v>
      </c>
      <c r="E207" s="10" t="s">
        <v>1873</v>
      </c>
      <c r="F207" s="10" t="s">
        <v>613</v>
      </c>
      <c r="G207" s="10" t="s">
        <v>1877</v>
      </c>
      <c r="H207">
        <v>620101031</v>
      </c>
      <c r="I207" s="10" t="s">
        <v>111</v>
      </c>
      <c r="J207" s="10" t="s">
        <v>75</v>
      </c>
      <c r="K207" s="63" t="s">
        <v>1732</v>
      </c>
      <c r="L207" s="80">
        <v>80000</v>
      </c>
      <c r="M207" s="80">
        <v>297.44</v>
      </c>
      <c r="N207" s="76">
        <v>11600</v>
      </c>
      <c r="O207" s="80">
        <v>43.128799999999998</v>
      </c>
      <c r="P207" s="81">
        <v>0.14499999999999999</v>
      </c>
    </row>
    <row r="208" spans="1:16" ht="13.5" customHeight="1" x14ac:dyDescent="0.25">
      <c r="A208">
        <v>969</v>
      </c>
      <c r="B208">
        <v>969</v>
      </c>
      <c r="C208" t="s">
        <v>1668</v>
      </c>
      <c r="D208" s="10" t="s">
        <v>1872</v>
      </c>
      <c r="E208" s="10" t="s">
        <v>1873</v>
      </c>
      <c r="F208" s="10" t="s">
        <v>613</v>
      </c>
      <c r="G208" s="10" t="s">
        <v>1879</v>
      </c>
      <c r="H208">
        <v>62014857</v>
      </c>
      <c r="I208" s="10" t="s">
        <v>111</v>
      </c>
      <c r="J208" s="10" t="s">
        <v>75</v>
      </c>
      <c r="K208" s="63" t="s">
        <v>1880</v>
      </c>
      <c r="L208" s="80">
        <v>80000</v>
      </c>
      <c r="M208" s="80">
        <v>297.44</v>
      </c>
      <c r="N208" s="76">
        <v>17600</v>
      </c>
      <c r="O208" s="80">
        <v>65.436800000000005</v>
      </c>
      <c r="P208" s="81">
        <v>0.22</v>
      </c>
    </row>
    <row r="209" spans="1:16" ht="13.5" customHeight="1" x14ac:dyDescent="0.25">
      <c r="A209">
        <v>969</v>
      </c>
      <c r="B209">
        <v>969</v>
      </c>
      <c r="C209" t="s">
        <v>1668</v>
      </c>
      <c r="D209" s="10" t="s">
        <v>1872</v>
      </c>
      <c r="E209" s="10" t="s">
        <v>1873</v>
      </c>
      <c r="F209" s="10" t="s">
        <v>613</v>
      </c>
      <c r="G209" s="10" t="s">
        <v>1888</v>
      </c>
      <c r="H209">
        <v>62017678</v>
      </c>
      <c r="I209" s="10" t="s">
        <v>111</v>
      </c>
      <c r="J209" s="10" t="s">
        <v>75</v>
      </c>
      <c r="K209" s="63" t="s">
        <v>1889</v>
      </c>
      <c r="L209" s="80">
        <v>160000</v>
      </c>
      <c r="M209" s="80">
        <v>594.88</v>
      </c>
      <c r="N209" s="76">
        <v>4800</v>
      </c>
      <c r="O209" s="80">
        <v>17.846399999999999</v>
      </c>
      <c r="P209" s="81">
        <v>0.03</v>
      </c>
    </row>
    <row r="210" spans="1:16" ht="13.5" customHeight="1" x14ac:dyDescent="0.25">
      <c r="A210">
        <v>969</v>
      </c>
      <c r="B210">
        <v>969</v>
      </c>
      <c r="C210" t="s">
        <v>1668</v>
      </c>
      <c r="D210" s="10" t="s">
        <v>1701</v>
      </c>
      <c r="E210" s="10" t="s">
        <v>1702</v>
      </c>
      <c r="F210" s="10" t="s">
        <v>111</v>
      </c>
      <c r="G210" s="10" t="s">
        <v>1703</v>
      </c>
      <c r="H210">
        <v>62001189</v>
      </c>
      <c r="I210" s="10" t="s">
        <v>111</v>
      </c>
      <c r="J210" s="10" t="s">
        <v>75</v>
      </c>
      <c r="K210" s="63" t="s">
        <v>1705</v>
      </c>
      <c r="L210" s="80">
        <v>50000</v>
      </c>
      <c r="M210" s="80">
        <v>185.9</v>
      </c>
      <c r="N210" s="76">
        <v>2750</v>
      </c>
      <c r="O210" s="80">
        <v>10.224500000000001</v>
      </c>
      <c r="P210" s="81">
        <v>5.5E-2</v>
      </c>
    </row>
    <row r="211" spans="1:16" ht="13.5" customHeight="1" x14ac:dyDescent="0.25">
      <c r="A211">
        <v>969</v>
      </c>
      <c r="B211">
        <v>969</v>
      </c>
      <c r="C211" t="s">
        <v>1668</v>
      </c>
      <c r="D211" s="10" t="s">
        <v>1781</v>
      </c>
      <c r="E211" s="10" t="s">
        <v>1782</v>
      </c>
      <c r="F211" s="10" t="s">
        <v>210</v>
      </c>
      <c r="G211" s="10" t="s">
        <v>1781</v>
      </c>
      <c r="H211">
        <v>18952</v>
      </c>
      <c r="I211" s="10" t="s">
        <v>111</v>
      </c>
      <c r="J211" s="10" t="s">
        <v>81</v>
      </c>
      <c r="K211" s="63" t="s">
        <v>1796</v>
      </c>
      <c r="L211" s="80">
        <v>180000</v>
      </c>
      <c r="M211" s="80">
        <v>180</v>
      </c>
      <c r="N211" s="76">
        <v>30487</v>
      </c>
      <c r="O211" s="80">
        <v>30.486999999999998</v>
      </c>
      <c r="P211" s="81">
        <v>0.16937222222222201</v>
      </c>
    </row>
    <row r="212" spans="1:16" ht="13.5" customHeight="1" x14ac:dyDescent="0.25">
      <c r="A212">
        <v>969</v>
      </c>
      <c r="B212">
        <v>969</v>
      </c>
      <c r="C212" t="s">
        <v>1668</v>
      </c>
      <c r="D212" s="10" t="s">
        <v>1710</v>
      </c>
      <c r="E212" s="10" t="s">
        <v>1711</v>
      </c>
      <c r="F212" s="10" t="s">
        <v>540</v>
      </c>
      <c r="G212" s="10" t="s">
        <v>1712</v>
      </c>
      <c r="H212">
        <v>50000983</v>
      </c>
      <c r="I212" s="10" t="s">
        <v>111</v>
      </c>
      <c r="J212" s="10" t="s">
        <v>81</v>
      </c>
      <c r="K212" s="63" t="s">
        <v>1714</v>
      </c>
      <c r="L212" s="80">
        <v>300000</v>
      </c>
      <c r="M212" s="80">
        <v>300</v>
      </c>
      <c r="N212" s="76">
        <v>90000</v>
      </c>
      <c r="O212" s="80">
        <v>90</v>
      </c>
      <c r="P212" s="81">
        <v>0.3</v>
      </c>
    </row>
    <row r="213" spans="1:16" ht="13.5" customHeight="1" x14ac:dyDescent="0.25">
      <c r="A213">
        <v>969</v>
      </c>
      <c r="B213">
        <v>969</v>
      </c>
      <c r="C213" t="s">
        <v>1668</v>
      </c>
      <c r="D213" s="10" t="s">
        <v>1961</v>
      </c>
      <c r="E213" s="10" t="s">
        <v>1962</v>
      </c>
      <c r="F213" s="10" t="s">
        <v>540</v>
      </c>
      <c r="G213" s="10" t="s">
        <v>1963</v>
      </c>
      <c r="H213">
        <v>62009204</v>
      </c>
      <c r="I213" s="10" t="s">
        <v>111</v>
      </c>
      <c r="J213" s="10" t="s">
        <v>75</v>
      </c>
      <c r="K213" s="63" t="s">
        <v>1964</v>
      </c>
      <c r="L213" s="80">
        <v>80000</v>
      </c>
      <c r="M213" s="80">
        <v>297.44</v>
      </c>
      <c r="N213" s="76">
        <v>6941</v>
      </c>
      <c r="O213" s="80">
        <v>25.806638</v>
      </c>
      <c r="P213" s="81">
        <v>8.6762500000000006E-2</v>
      </c>
    </row>
    <row r="214" spans="1:16" ht="13.5" customHeight="1" x14ac:dyDescent="0.25">
      <c r="A214">
        <v>969</v>
      </c>
      <c r="B214">
        <v>969</v>
      </c>
      <c r="C214" t="s">
        <v>1668</v>
      </c>
      <c r="D214" s="10" t="s">
        <v>1975</v>
      </c>
      <c r="E214" s="10" t="s">
        <v>1976</v>
      </c>
      <c r="F214" s="10" t="s">
        <v>540</v>
      </c>
      <c r="G214" s="10" t="s">
        <v>1977</v>
      </c>
      <c r="H214">
        <v>62010137</v>
      </c>
      <c r="I214" s="10" t="s">
        <v>111</v>
      </c>
      <c r="J214" s="10" t="s">
        <v>75</v>
      </c>
      <c r="K214" s="63" t="s">
        <v>1978</v>
      </c>
      <c r="L214" s="80">
        <v>80000</v>
      </c>
      <c r="M214" s="80">
        <v>297.44</v>
      </c>
      <c r="N214" s="76">
        <v>21781</v>
      </c>
      <c r="O214" s="80">
        <v>80.981757999999999</v>
      </c>
      <c r="P214" s="81">
        <v>0.27226250000000002</v>
      </c>
    </row>
    <row r="215" spans="1:16" ht="13.5" customHeight="1" x14ac:dyDescent="0.25">
      <c r="A215">
        <v>969</v>
      </c>
      <c r="B215">
        <v>969</v>
      </c>
      <c r="C215" t="s">
        <v>1668</v>
      </c>
      <c r="D215" s="10" t="s">
        <v>1846</v>
      </c>
      <c r="E215" s="10" t="s">
        <v>1847</v>
      </c>
      <c r="F215" s="10" t="s">
        <v>613</v>
      </c>
      <c r="G215" s="10" t="s">
        <v>1848</v>
      </c>
      <c r="H215">
        <v>62018064</v>
      </c>
      <c r="I215" s="10" t="s">
        <v>111</v>
      </c>
      <c r="J215" s="10" t="s">
        <v>75</v>
      </c>
      <c r="K215" s="63" t="s">
        <v>1615</v>
      </c>
      <c r="L215" s="80">
        <v>100000</v>
      </c>
      <c r="M215" s="80">
        <v>371.8</v>
      </c>
      <c r="N215" s="76">
        <v>12325</v>
      </c>
      <c r="O215" s="80">
        <v>45.824350000000003</v>
      </c>
      <c r="P215" s="81">
        <v>0.12325</v>
      </c>
    </row>
    <row r="216" spans="1:16" ht="13.5" customHeight="1" x14ac:dyDescent="0.25">
      <c r="A216" s="10">
        <v>424</v>
      </c>
      <c r="B216">
        <v>7228</v>
      </c>
      <c r="C216" t="s">
        <v>1668</v>
      </c>
      <c r="D216" s="10" t="s">
        <v>1902</v>
      </c>
      <c r="E216" s="10" t="s">
        <v>1903</v>
      </c>
      <c r="F216" s="10" t="s">
        <v>540</v>
      </c>
      <c r="G216" s="10" t="s">
        <v>1904</v>
      </c>
      <c r="H216" s="82">
        <v>62022231</v>
      </c>
      <c r="I216" s="10" t="s">
        <v>111</v>
      </c>
      <c r="J216" s="10" t="s">
        <v>75</v>
      </c>
      <c r="K216" s="63" t="s">
        <v>1905</v>
      </c>
      <c r="L216" s="76">
        <v>1700000</v>
      </c>
      <c r="M216" s="80">
        <v>6320.6</v>
      </c>
      <c r="N216" s="80">
        <v>1538026</v>
      </c>
      <c r="O216" s="80">
        <v>5718.3806679999998</v>
      </c>
      <c r="P216" s="81">
        <v>0.90472117647058803</v>
      </c>
    </row>
    <row r="217" spans="1:16" ht="13.5" customHeight="1" x14ac:dyDescent="0.25">
      <c r="A217" s="10">
        <v>1182</v>
      </c>
      <c r="B217">
        <v>1182</v>
      </c>
      <c r="C217" t="s">
        <v>1668</v>
      </c>
      <c r="D217" s="10" t="s">
        <v>1902</v>
      </c>
      <c r="E217" s="10" t="s">
        <v>1903</v>
      </c>
      <c r="F217" s="10" t="s">
        <v>540</v>
      </c>
      <c r="G217" s="10" t="s">
        <v>1904</v>
      </c>
      <c r="H217" s="82">
        <v>62022231</v>
      </c>
      <c r="I217" s="10" t="s">
        <v>111</v>
      </c>
      <c r="J217" s="10" t="s">
        <v>75</v>
      </c>
      <c r="K217" s="63" t="s">
        <v>1905</v>
      </c>
      <c r="L217" s="80">
        <v>300000</v>
      </c>
      <c r="M217" s="80">
        <v>1115.4000000000001</v>
      </c>
      <c r="N217" s="76">
        <v>271416</v>
      </c>
      <c r="O217" s="80">
        <v>1009.124688</v>
      </c>
      <c r="P217" s="81">
        <v>0.90471999999999997</v>
      </c>
    </row>
    <row r="218" spans="1:16" ht="13.5" customHeight="1" x14ac:dyDescent="0.25">
      <c r="A218" s="10">
        <v>424</v>
      </c>
      <c r="B218">
        <v>7228</v>
      </c>
      <c r="C218" t="s">
        <v>1668</v>
      </c>
      <c r="D218" s="10" t="s">
        <v>1993</v>
      </c>
      <c r="E218" s="10" t="s">
        <v>1994</v>
      </c>
      <c r="F218" s="10" t="s">
        <v>613</v>
      </c>
      <c r="G218" s="10" t="s">
        <v>1995</v>
      </c>
      <c r="H218" s="82">
        <v>62022306</v>
      </c>
      <c r="I218" s="10" t="s">
        <v>111</v>
      </c>
      <c r="J218" s="10" t="s">
        <v>75</v>
      </c>
      <c r="K218" s="63" t="s">
        <v>1996</v>
      </c>
      <c r="L218" s="76">
        <v>1700000</v>
      </c>
      <c r="M218" s="80">
        <v>6320.6</v>
      </c>
      <c r="N218" s="80">
        <v>1423522.09</v>
      </c>
      <c r="O218" s="80">
        <v>5292.6551306199999</v>
      </c>
      <c r="P218" s="81">
        <v>0.83736593529411796</v>
      </c>
    </row>
    <row r="219" spans="1:16" ht="13.5" customHeight="1" x14ac:dyDescent="0.25">
      <c r="A219" s="10">
        <v>1182</v>
      </c>
      <c r="B219">
        <v>1182</v>
      </c>
      <c r="C219" t="s">
        <v>1668</v>
      </c>
      <c r="D219" s="10" t="s">
        <v>1993</v>
      </c>
      <c r="E219" s="10" t="s">
        <v>1994</v>
      </c>
      <c r="F219" s="10" t="s">
        <v>613</v>
      </c>
      <c r="G219" s="10" t="s">
        <v>1995</v>
      </c>
      <c r="H219" s="82">
        <v>62022306</v>
      </c>
      <c r="I219" s="10" t="s">
        <v>111</v>
      </c>
      <c r="J219" s="10" t="s">
        <v>75</v>
      </c>
      <c r="K219" s="63" t="s">
        <v>1996</v>
      </c>
      <c r="L219" s="80">
        <v>300000</v>
      </c>
      <c r="M219" s="80">
        <v>1115.4000000000001</v>
      </c>
      <c r="N219" s="76">
        <v>251209.79</v>
      </c>
      <c r="O219" s="80">
        <v>933.99799922</v>
      </c>
      <c r="P219" s="81">
        <v>0.83736596666666696</v>
      </c>
    </row>
  </sheetData>
  <autoFilter ref="A1:Q215" xr:uid="{00000000-0009-0000-0000-00001E000000}"/>
  <dataValidations count="6">
    <dataValidation type="list" allowBlank="1" showInputMessage="1" showErrorMessage="1" sqref="F2:F219" xr:uid="{00000000-0002-0000-1E00-000000000000}">
      <formula1>Issuer_Number_Fund</formula1>
      <formula2>0</formula2>
    </dataValidation>
    <dataValidation type="list" allowBlank="1" showInputMessage="1" showErrorMessage="1" sqref="I2:I219" xr:uid="{00000000-0002-0000-1E00-000001000000}">
      <formula1>Type_of_Security_ID_Fund</formula1>
      <formula2>0</formula2>
    </dataValidation>
    <dataValidation type="list" allowBlank="1" showInputMessage="1" showErrorMessage="1" sqref="M2:N119 M120:M217 N216 M218:N218 M219" xr:uid="{00000000-0002-0000-1E00-000002000000}">
      <formula1>Country_list</formula1>
      <formula2>0</formula2>
    </dataValidation>
    <dataValidation type="list" allowBlank="1" showInputMessage="1" showErrorMessage="1" sqref="P2:P219" xr:uid="{00000000-0002-0000-1E00-000003000000}">
      <formula1>Holding_interest</formula1>
      <formula2>0</formula2>
    </dataValidation>
    <dataValidation type="list" allowBlank="1" showInputMessage="1" showErrorMessage="1" sqref="O2:O219" xr:uid="{00000000-0002-0000-1E00-000004000000}">
      <formula1>Country_list_funds</formula1>
      <formula2>0</formula2>
    </dataValidation>
    <dataValidation type="list" allowBlank="1" showInputMessage="1" showErrorMessage="1" sqref="L120:L215 L217 L219" xr:uid="{00000000-0002-0000-1E00-000005000000}">
      <formula1>israel_abroad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315"/>
  <sheetViews>
    <sheetView showGridLines="0" rightToLeft="1" topLeftCell="B1" zoomScale="85" zoomScaleNormal="85" workbookViewId="0">
      <pane ySplit="1" topLeftCell="A360" activePane="bottomLeft" state="frozen"/>
      <selection activeCell="B1" sqref="B1"/>
      <selection pane="bottomLeft" activeCell="C328" sqref="C328"/>
    </sheetView>
  </sheetViews>
  <sheetFormatPr defaultColWidth="9" defaultRowHeight="13.8" x14ac:dyDescent="0.25"/>
  <cols>
    <col min="1" max="1" width="29.5" customWidth="1"/>
    <col min="2" max="2" width="30.3984375" customWidth="1"/>
    <col min="3" max="3" width="90.8984375" style="7" customWidth="1"/>
    <col min="4" max="4" width="68.8984375" customWidth="1"/>
    <col min="5" max="5" width="17.3984375" customWidth="1"/>
    <col min="6" max="6" width="59.59765625" customWidth="1"/>
    <col min="7" max="7" width="63.5" customWidth="1"/>
    <col min="8" max="8" width="38.796875" customWidth="1"/>
  </cols>
  <sheetData>
    <row r="1" spans="1:5" s="84" customFormat="1" ht="45" customHeight="1" x14ac:dyDescent="0.25">
      <c r="A1" s="83" t="s">
        <v>2351</v>
      </c>
      <c r="B1" s="83" t="s">
        <v>2352</v>
      </c>
      <c r="C1" s="83" t="s">
        <v>2353</v>
      </c>
      <c r="D1" s="83" t="s">
        <v>2354</v>
      </c>
    </row>
    <row r="2" spans="1:5" x14ac:dyDescent="0.25">
      <c r="A2" s="85"/>
      <c r="B2" s="85" t="s">
        <v>2355</v>
      </c>
      <c r="C2" s="86" t="s">
        <v>71</v>
      </c>
      <c r="D2" s="86"/>
    </row>
    <row r="3" spans="1:5" x14ac:dyDescent="0.25">
      <c r="A3" s="87"/>
      <c r="B3" s="87"/>
      <c r="C3" s="86" t="s">
        <v>85</v>
      </c>
      <c r="D3" s="86"/>
    </row>
    <row r="4" spans="1:5" ht="42.75" customHeight="1" x14ac:dyDescent="0.25">
      <c r="A4" s="88"/>
      <c r="B4" s="89" t="s">
        <v>2356</v>
      </c>
      <c r="C4" s="90" t="s">
        <v>71</v>
      </c>
      <c r="D4" s="90"/>
    </row>
    <row r="5" spans="1:5" x14ac:dyDescent="0.25">
      <c r="A5" s="91"/>
      <c r="B5" s="92"/>
      <c r="C5" s="90" t="s">
        <v>2357</v>
      </c>
      <c r="D5" s="90"/>
    </row>
    <row r="6" spans="1:5" x14ac:dyDescent="0.25">
      <c r="A6" s="91"/>
      <c r="B6" s="92"/>
      <c r="C6" s="90" t="s">
        <v>699</v>
      </c>
      <c r="D6" s="90"/>
    </row>
    <row r="7" spans="1:5" x14ac:dyDescent="0.25">
      <c r="A7" s="91"/>
      <c r="B7" s="92"/>
      <c r="C7" s="90" t="s">
        <v>2358</v>
      </c>
      <c r="D7" s="90"/>
    </row>
    <row r="8" spans="1:5" x14ac:dyDescent="0.25">
      <c r="A8" s="91"/>
      <c r="B8" s="92"/>
      <c r="C8" s="90" t="s">
        <v>2359</v>
      </c>
      <c r="D8" s="90"/>
    </row>
    <row r="9" spans="1:5" x14ac:dyDescent="0.25">
      <c r="A9" s="91"/>
      <c r="B9" s="92"/>
      <c r="C9" s="90" t="s">
        <v>2360</v>
      </c>
      <c r="D9" s="90"/>
    </row>
    <row r="10" spans="1:5" x14ac:dyDescent="0.25">
      <c r="A10" s="91"/>
      <c r="B10" s="92"/>
      <c r="C10" s="90" t="s">
        <v>2361</v>
      </c>
      <c r="D10" s="90"/>
    </row>
    <row r="11" spans="1:5" x14ac:dyDescent="0.25">
      <c r="A11" s="91"/>
      <c r="B11" s="92"/>
      <c r="C11" s="90" t="s">
        <v>2362</v>
      </c>
      <c r="D11" s="90"/>
      <c r="E11" t="s">
        <v>2363</v>
      </c>
    </row>
    <row r="12" spans="1:5" x14ac:dyDescent="0.25">
      <c r="A12" s="91"/>
      <c r="B12" s="92"/>
      <c r="C12" s="90" t="s">
        <v>2364</v>
      </c>
      <c r="D12" s="90"/>
      <c r="E12" t="s">
        <v>2363</v>
      </c>
    </row>
    <row r="13" spans="1:5" x14ac:dyDescent="0.25">
      <c r="A13" s="91"/>
      <c r="B13" s="92"/>
      <c r="C13" s="90" t="s">
        <v>2365</v>
      </c>
      <c r="D13" s="90"/>
    </row>
    <row r="14" spans="1:5" x14ac:dyDescent="0.25">
      <c r="A14" s="91"/>
      <c r="B14" s="92"/>
      <c r="C14" s="90" t="s">
        <v>1681</v>
      </c>
      <c r="D14" s="90"/>
    </row>
    <row r="15" spans="1:5" x14ac:dyDescent="0.25">
      <c r="A15" s="91"/>
      <c r="B15" s="92"/>
      <c r="C15" s="90" t="s">
        <v>2366</v>
      </c>
      <c r="D15" s="90"/>
    </row>
    <row r="16" spans="1:5" x14ac:dyDescent="0.25">
      <c r="A16" s="91"/>
      <c r="B16" s="92"/>
      <c r="C16" s="90" t="s">
        <v>2367</v>
      </c>
      <c r="D16" s="90"/>
    </row>
    <row r="17" spans="1:4" x14ac:dyDescent="0.25">
      <c r="A17" s="91"/>
      <c r="B17" s="92"/>
      <c r="C17" s="90" t="s">
        <v>1193</v>
      </c>
      <c r="D17" s="90"/>
    </row>
    <row r="18" spans="1:4" x14ac:dyDescent="0.25">
      <c r="A18" s="91"/>
      <c r="B18" s="92"/>
      <c r="C18" s="90" t="s">
        <v>2368</v>
      </c>
      <c r="D18" s="90"/>
    </row>
    <row r="19" spans="1:4" x14ac:dyDescent="0.25">
      <c r="A19" s="91"/>
      <c r="B19" s="92"/>
      <c r="C19" s="90" t="s">
        <v>2369</v>
      </c>
      <c r="D19" s="90"/>
    </row>
    <row r="20" spans="1:4" x14ac:dyDescent="0.25">
      <c r="A20" s="91"/>
      <c r="B20" s="92"/>
      <c r="C20" s="90" t="s">
        <v>1001</v>
      </c>
      <c r="D20" s="90"/>
    </row>
    <row r="21" spans="1:4" x14ac:dyDescent="0.25">
      <c r="A21" s="91"/>
      <c r="B21" s="92"/>
      <c r="C21" s="90" t="s">
        <v>291</v>
      </c>
      <c r="D21" s="90"/>
    </row>
    <row r="22" spans="1:4" x14ac:dyDescent="0.25">
      <c r="A22" s="91"/>
      <c r="B22" s="92"/>
      <c r="C22" s="90" t="s">
        <v>2370</v>
      </c>
      <c r="D22" s="90"/>
    </row>
    <row r="23" spans="1:4" x14ac:dyDescent="0.25">
      <c r="A23" s="91"/>
      <c r="B23" s="92"/>
      <c r="C23" s="90" t="s">
        <v>2371</v>
      </c>
      <c r="D23" s="90"/>
    </row>
    <row r="24" spans="1:4" x14ac:dyDescent="0.25">
      <c r="A24" s="91"/>
      <c r="B24" s="92"/>
      <c r="C24" s="90" t="s">
        <v>2372</v>
      </c>
      <c r="D24" s="90"/>
    </row>
    <row r="25" spans="1:4" x14ac:dyDescent="0.25">
      <c r="A25" s="91"/>
      <c r="B25" s="92"/>
      <c r="C25" s="90" t="s">
        <v>2373</v>
      </c>
      <c r="D25" s="90"/>
    </row>
    <row r="26" spans="1:4" x14ac:dyDescent="0.25">
      <c r="A26" s="91"/>
      <c r="B26" s="92"/>
      <c r="C26" s="90" t="s">
        <v>2374</v>
      </c>
      <c r="D26" s="90"/>
    </row>
    <row r="27" spans="1:4" x14ac:dyDescent="0.25">
      <c r="A27" s="91"/>
      <c r="B27" s="92"/>
      <c r="C27" s="90" t="s">
        <v>2375</v>
      </c>
      <c r="D27" s="90"/>
    </row>
    <row r="28" spans="1:4" x14ac:dyDescent="0.25">
      <c r="A28" s="91"/>
      <c r="B28" s="92"/>
      <c r="C28" s="90" t="s">
        <v>2376</v>
      </c>
      <c r="D28" s="90"/>
    </row>
    <row r="29" spans="1:4" x14ac:dyDescent="0.25">
      <c r="A29" s="91"/>
      <c r="B29" s="92"/>
      <c r="C29" s="90" t="s">
        <v>2377</v>
      </c>
      <c r="D29" s="90"/>
    </row>
    <row r="30" spans="1:4" x14ac:dyDescent="0.25">
      <c r="A30" s="91"/>
      <c r="B30" s="92"/>
      <c r="C30" s="90" t="s">
        <v>604</v>
      </c>
      <c r="D30" s="90"/>
    </row>
    <row r="31" spans="1:4" x14ac:dyDescent="0.25">
      <c r="A31" s="91"/>
      <c r="B31" s="92"/>
      <c r="C31" s="90" t="s">
        <v>2378</v>
      </c>
      <c r="D31" s="90"/>
    </row>
    <row r="32" spans="1:4" x14ac:dyDescent="0.25">
      <c r="A32" s="91"/>
      <c r="B32" s="92"/>
      <c r="C32" s="90" t="s">
        <v>2379</v>
      </c>
      <c r="D32" s="90"/>
    </row>
    <row r="33" spans="1:5" x14ac:dyDescent="0.25">
      <c r="A33" s="91"/>
      <c r="B33" s="92"/>
      <c r="C33" s="90" t="s">
        <v>2380</v>
      </c>
      <c r="D33" s="90"/>
    </row>
    <row r="34" spans="1:5" x14ac:dyDescent="0.25">
      <c r="A34" s="91"/>
      <c r="B34" s="92"/>
      <c r="C34" s="90" t="s">
        <v>2381</v>
      </c>
      <c r="D34" s="90"/>
    </row>
    <row r="35" spans="1:5" x14ac:dyDescent="0.25">
      <c r="A35" s="91"/>
      <c r="B35" s="92"/>
      <c r="C35" s="90" t="s">
        <v>679</v>
      </c>
      <c r="D35" s="90"/>
    </row>
    <row r="36" spans="1:5" x14ac:dyDescent="0.25">
      <c r="A36" s="91"/>
      <c r="B36" s="92"/>
      <c r="C36" s="90" t="s">
        <v>2382</v>
      </c>
      <c r="D36" s="90"/>
      <c r="E36" t="s">
        <v>2363</v>
      </c>
    </row>
    <row r="37" spans="1:5" x14ac:dyDescent="0.25">
      <c r="A37" s="91"/>
      <c r="B37" s="92"/>
      <c r="C37" t="s">
        <v>2383</v>
      </c>
      <c r="D37" s="90"/>
      <c r="E37" t="s">
        <v>2363</v>
      </c>
    </row>
    <row r="38" spans="1:5" x14ac:dyDescent="0.25">
      <c r="A38" s="91"/>
      <c r="B38" s="92"/>
      <c r="C38" s="90" t="s">
        <v>2384</v>
      </c>
      <c r="D38" s="90"/>
    </row>
    <row r="39" spans="1:5" x14ac:dyDescent="0.25">
      <c r="A39" s="91"/>
      <c r="B39" s="92"/>
      <c r="C39" s="90" t="s">
        <v>2385</v>
      </c>
      <c r="D39" s="90"/>
    </row>
    <row r="40" spans="1:5" x14ac:dyDescent="0.25">
      <c r="A40" s="91"/>
      <c r="B40" s="92"/>
      <c r="C40" s="90" t="s">
        <v>2386</v>
      </c>
      <c r="D40" s="90"/>
      <c r="E40" t="s">
        <v>2363</v>
      </c>
    </row>
    <row r="41" spans="1:5" x14ac:dyDescent="0.25">
      <c r="A41" s="91"/>
      <c r="B41" s="92"/>
      <c r="C41" s="90" t="s">
        <v>1244</v>
      </c>
      <c r="D41" s="90"/>
    </row>
    <row r="42" spans="1:5" x14ac:dyDescent="0.25">
      <c r="A42" s="91"/>
      <c r="B42" s="92"/>
      <c r="C42" s="90" t="s">
        <v>2387</v>
      </c>
      <c r="D42" s="90"/>
    </row>
    <row r="43" spans="1:5" x14ac:dyDescent="0.25">
      <c r="A43" s="91"/>
      <c r="B43" s="92"/>
      <c r="C43" s="90" t="s">
        <v>2388</v>
      </c>
      <c r="D43" s="90"/>
    </row>
    <row r="44" spans="1:5" x14ac:dyDescent="0.25">
      <c r="A44" s="91"/>
      <c r="B44" s="92"/>
      <c r="C44" s="90" t="s">
        <v>2389</v>
      </c>
      <c r="D44" s="90"/>
    </row>
    <row r="45" spans="1:5" x14ac:dyDescent="0.25">
      <c r="A45" s="91"/>
      <c r="B45" s="92"/>
      <c r="C45" s="90" t="s">
        <v>2390</v>
      </c>
      <c r="D45" s="90"/>
    </row>
    <row r="46" spans="1:5" x14ac:dyDescent="0.25">
      <c r="A46" s="91"/>
      <c r="B46" s="92"/>
      <c r="C46" s="90" t="s">
        <v>2391</v>
      </c>
      <c r="D46" s="90"/>
      <c r="E46" t="s">
        <v>2363</v>
      </c>
    </row>
    <row r="47" spans="1:5" x14ac:dyDescent="0.25">
      <c r="A47" s="91"/>
      <c r="B47" s="92"/>
      <c r="C47" s="90" t="s">
        <v>2392</v>
      </c>
      <c r="D47" s="90"/>
    </row>
    <row r="48" spans="1:5" x14ac:dyDescent="0.25">
      <c r="A48" s="91"/>
      <c r="B48" s="92"/>
      <c r="C48" s="90" t="s">
        <v>2393</v>
      </c>
      <c r="D48" s="90"/>
    </row>
    <row r="49" spans="1:5" x14ac:dyDescent="0.25">
      <c r="A49" s="91"/>
      <c r="B49" s="92"/>
      <c r="C49" s="90" t="s">
        <v>2394</v>
      </c>
      <c r="D49" s="90"/>
    </row>
    <row r="50" spans="1:5" x14ac:dyDescent="0.25">
      <c r="A50" s="91"/>
      <c r="B50" s="92"/>
      <c r="C50" s="90" t="s">
        <v>1353</v>
      </c>
      <c r="D50" s="90"/>
    </row>
    <row r="51" spans="1:5" x14ac:dyDescent="0.25">
      <c r="A51" s="91"/>
      <c r="B51" s="92"/>
      <c r="C51" s="90" t="s">
        <v>2395</v>
      </c>
      <c r="D51" s="90"/>
    </row>
    <row r="52" spans="1:5" x14ac:dyDescent="0.25">
      <c r="A52" s="91"/>
      <c r="B52" s="92"/>
      <c r="C52" s="90" t="s">
        <v>2396</v>
      </c>
      <c r="D52" s="90"/>
    </row>
    <row r="53" spans="1:5" x14ac:dyDescent="0.25">
      <c r="A53" s="91"/>
      <c r="B53" s="92"/>
      <c r="C53" s="90" t="s">
        <v>2397</v>
      </c>
      <c r="D53" s="90"/>
    </row>
    <row r="54" spans="1:5" x14ac:dyDescent="0.25">
      <c r="A54" s="91"/>
      <c r="B54" s="92"/>
      <c r="C54" s="90" t="s">
        <v>2398</v>
      </c>
      <c r="D54" s="90"/>
    </row>
    <row r="55" spans="1:5" x14ac:dyDescent="0.25">
      <c r="A55" s="91"/>
      <c r="B55" s="92"/>
      <c r="C55" s="90" t="s">
        <v>2399</v>
      </c>
      <c r="D55" s="90"/>
    </row>
    <row r="56" spans="1:5" x14ac:dyDescent="0.25">
      <c r="A56" s="91"/>
      <c r="B56" s="92"/>
      <c r="C56" s="90" t="s">
        <v>2400</v>
      </c>
      <c r="D56" s="90"/>
    </row>
    <row r="57" spans="1:5" x14ac:dyDescent="0.25">
      <c r="A57" s="91"/>
      <c r="B57" s="92"/>
      <c r="C57" s="90" t="s">
        <v>2401</v>
      </c>
      <c r="D57" s="90"/>
    </row>
    <row r="58" spans="1:5" x14ac:dyDescent="0.25">
      <c r="A58" s="91"/>
      <c r="B58" s="92"/>
      <c r="C58" s="90" t="s">
        <v>2402</v>
      </c>
      <c r="D58" s="90"/>
    </row>
    <row r="59" spans="1:5" x14ac:dyDescent="0.25">
      <c r="A59" s="91"/>
      <c r="B59" s="92"/>
      <c r="C59" s="90" t="s">
        <v>2403</v>
      </c>
      <c r="D59" s="90"/>
    </row>
    <row r="60" spans="1:5" x14ac:dyDescent="0.25">
      <c r="A60" s="91"/>
      <c r="B60" s="92"/>
      <c r="C60" s="90" t="s">
        <v>2404</v>
      </c>
      <c r="D60" s="90"/>
    </row>
    <row r="61" spans="1:5" x14ac:dyDescent="0.25">
      <c r="A61" s="91"/>
      <c r="B61" s="92"/>
      <c r="C61" s="90" t="s">
        <v>2405</v>
      </c>
      <c r="D61" s="90"/>
    </row>
    <row r="62" spans="1:5" x14ac:dyDescent="0.25">
      <c r="A62" s="91"/>
      <c r="B62" s="92"/>
      <c r="C62" s="90" t="s">
        <v>2406</v>
      </c>
      <c r="D62" s="90"/>
    </row>
    <row r="63" spans="1:5" x14ac:dyDescent="0.25">
      <c r="A63" s="91"/>
      <c r="B63" s="92"/>
      <c r="C63" s="90" t="s">
        <v>2407</v>
      </c>
      <c r="D63" s="90"/>
      <c r="E63" t="s">
        <v>2363</v>
      </c>
    </row>
    <row r="64" spans="1:5" x14ac:dyDescent="0.25">
      <c r="A64" s="91"/>
      <c r="B64" s="92"/>
      <c r="C64" s="90" t="s">
        <v>2408</v>
      </c>
      <c r="D64" s="90"/>
    </row>
    <row r="65" spans="1:4" x14ac:dyDescent="0.25">
      <c r="A65" s="91"/>
      <c r="B65" s="92"/>
      <c r="C65" s="90" t="s">
        <v>1053</v>
      </c>
      <c r="D65" s="90"/>
    </row>
    <row r="66" spans="1:4" x14ac:dyDescent="0.25">
      <c r="A66" s="91"/>
      <c r="B66" s="92"/>
      <c r="C66" s="90" t="s">
        <v>2409</v>
      </c>
      <c r="D66" s="90"/>
    </row>
    <row r="67" spans="1:4" x14ac:dyDescent="0.25">
      <c r="A67" s="91"/>
      <c r="B67" s="92"/>
      <c r="C67" s="90" t="s">
        <v>2410</v>
      </c>
      <c r="D67" s="90"/>
    </row>
    <row r="68" spans="1:4" x14ac:dyDescent="0.25">
      <c r="A68" s="91"/>
      <c r="B68" s="92"/>
      <c r="C68" s="90" t="s">
        <v>2411</v>
      </c>
      <c r="D68" s="90"/>
    </row>
    <row r="69" spans="1:4" x14ac:dyDescent="0.25">
      <c r="A69" s="91"/>
      <c r="B69" s="92"/>
      <c r="C69" s="90" t="s">
        <v>2412</v>
      </c>
      <c r="D69" s="90"/>
    </row>
    <row r="70" spans="1:4" x14ac:dyDescent="0.25">
      <c r="A70" s="91"/>
      <c r="B70" s="92"/>
      <c r="C70" s="90" t="s">
        <v>2413</v>
      </c>
      <c r="D70" s="90"/>
    </row>
    <row r="71" spans="1:4" x14ac:dyDescent="0.25">
      <c r="A71" s="91"/>
      <c r="B71" s="92"/>
      <c r="C71" s="90" t="s">
        <v>2414</v>
      </c>
      <c r="D71" s="90"/>
    </row>
    <row r="72" spans="1:4" x14ac:dyDescent="0.25">
      <c r="A72" s="91"/>
      <c r="B72" s="92"/>
      <c r="C72" s="90" t="s">
        <v>2415</v>
      </c>
      <c r="D72" s="90"/>
    </row>
    <row r="73" spans="1:4" x14ac:dyDescent="0.25">
      <c r="A73" s="91"/>
      <c r="B73" s="92"/>
      <c r="C73" s="90" t="s">
        <v>2416</v>
      </c>
      <c r="D73" s="90"/>
    </row>
    <row r="74" spans="1:4" x14ac:dyDescent="0.25">
      <c r="A74" s="91"/>
      <c r="B74" s="92"/>
      <c r="C74" s="90" t="s">
        <v>2417</v>
      </c>
      <c r="D74" s="90"/>
    </row>
    <row r="75" spans="1:4" x14ac:dyDescent="0.25">
      <c r="A75" s="91"/>
      <c r="B75" s="92"/>
      <c r="C75" s="90" t="s">
        <v>2418</v>
      </c>
      <c r="D75" s="90"/>
    </row>
    <row r="76" spans="1:4" x14ac:dyDescent="0.25">
      <c r="A76" s="91"/>
      <c r="B76" s="92"/>
      <c r="C76" s="90" t="s">
        <v>2419</v>
      </c>
      <c r="D76" s="90"/>
    </row>
    <row r="77" spans="1:4" x14ac:dyDescent="0.25">
      <c r="A77" s="91"/>
      <c r="B77" s="92"/>
      <c r="C77" s="90" t="s">
        <v>2420</v>
      </c>
      <c r="D77" s="90"/>
    </row>
    <row r="78" spans="1:4" x14ac:dyDescent="0.25">
      <c r="A78" s="91"/>
      <c r="B78" s="92"/>
      <c r="C78" s="90" t="s">
        <v>990</v>
      </c>
      <c r="D78" s="90"/>
    </row>
    <row r="79" spans="1:4" x14ac:dyDescent="0.25">
      <c r="A79" s="91"/>
      <c r="B79" s="92"/>
      <c r="C79" s="90" t="s">
        <v>2421</v>
      </c>
      <c r="D79" s="90"/>
    </row>
    <row r="80" spans="1:4" x14ac:dyDescent="0.25">
      <c r="A80" s="91"/>
      <c r="B80" s="92"/>
      <c r="C80" s="90" t="s">
        <v>2422</v>
      </c>
      <c r="D80" s="90"/>
    </row>
    <row r="81" spans="1:5" x14ac:dyDescent="0.25">
      <c r="A81" s="91"/>
      <c r="B81" s="92"/>
      <c r="C81" s="90" t="s">
        <v>2423</v>
      </c>
      <c r="D81" s="90"/>
    </row>
    <row r="82" spans="1:5" x14ac:dyDescent="0.25">
      <c r="A82" s="91"/>
      <c r="B82" s="92"/>
      <c r="C82" s="90" t="s">
        <v>2424</v>
      </c>
      <c r="D82" s="90"/>
    </row>
    <row r="83" spans="1:5" x14ac:dyDescent="0.25">
      <c r="A83" s="91"/>
      <c r="B83" s="92"/>
      <c r="C83" s="90" t="s">
        <v>2425</v>
      </c>
      <c r="D83" s="90"/>
    </row>
    <row r="84" spans="1:5" x14ac:dyDescent="0.25">
      <c r="A84" s="91"/>
      <c r="B84" s="92"/>
      <c r="C84" s="90" t="s">
        <v>1991</v>
      </c>
      <c r="D84" s="90"/>
    </row>
    <row r="85" spans="1:5" x14ac:dyDescent="0.25">
      <c r="A85" s="91"/>
      <c r="B85" s="92"/>
      <c r="C85" s="90" t="s">
        <v>2426</v>
      </c>
      <c r="D85" s="90"/>
    </row>
    <row r="86" spans="1:5" x14ac:dyDescent="0.25">
      <c r="A86" s="91"/>
      <c r="B86" s="92"/>
      <c r="C86" s="90" t="s">
        <v>984</v>
      </c>
      <c r="D86" s="90"/>
    </row>
    <row r="87" spans="1:5" x14ac:dyDescent="0.25">
      <c r="A87" s="91"/>
      <c r="B87" s="92"/>
      <c r="C87" s="90" t="s">
        <v>2427</v>
      </c>
      <c r="D87" s="90"/>
    </row>
    <row r="88" spans="1:5" x14ac:dyDescent="0.25">
      <c r="A88" s="91"/>
      <c r="B88" s="92"/>
      <c r="C88" s="90" t="s">
        <v>1343</v>
      </c>
      <c r="D88" s="90"/>
    </row>
    <row r="89" spans="1:5" x14ac:dyDescent="0.25">
      <c r="A89" s="91"/>
      <c r="B89" s="92"/>
      <c r="C89" s="90" t="s">
        <v>2428</v>
      </c>
      <c r="D89" s="90"/>
    </row>
    <row r="90" spans="1:5" x14ac:dyDescent="0.25">
      <c r="A90" s="91"/>
      <c r="B90" s="92"/>
      <c r="C90" s="90" t="s">
        <v>1199</v>
      </c>
      <c r="D90" s="90"/>
    </row>
    <row r="91" spans="1:5" x14ac:dyDescent="0.25">
      <c r="A91" s="91"/>
      <c r="B91" s="92"/>
      <c r="C91" s="90" t="s">
        <v>2429</v>
      </c>
      <c r="D91" s="90"/>
    </row>
    <row r="92" spans="1:5" x14ac:dyDescent="0.25">
      <c r="A92" s="91"/>
      <c r="B92" s="92"/>
      <c r="C92" s="90" t="s">
        <v>2430</v>
      </c>
      <c r="D92" s="90"/>
    </row>
    <row r="93" spans="1:5" x14ac:dyDescent="0.25">
      <c r="A93" s="91"/>
      <c r="B93" s="92"/>
      <c r="C93" s="90" t="s">
        <v>215</v>
      </c>
      <c r="D93" s="90"/>
    </row>
    <row r="94" spans="1:5" x14ac:dyDescent="0.25">
      <c r="A94" s="91"/>
      <c r="B94" s="92"/>
      <c r="C94" s="90" t="s">
        <v>2431</v>
      </c>
      <c r="D94" s="90" t="s">
        <v>2432</v>
      </c>
      <c r="E94" t="s">
        <v>2363</v>
      </c>
    </row>
    <row r="95" spans="1:5" x14ac:dyDescent="0.25">
      <c r="A95" s="91"/>
      <c r="B95" s="92"/>
      <c r="C95" s="90" t="s">
        <v>2433</v>
      </c>
      <c r="D95" s="90" t="s">
        <v>2434</v>
      </c>
      <c r="E95" t="s">
        <v>2363</v>
      </c>
    </row>
    <row r="96" spans="1:5" x14ac:dyDescent="0.25">
      <c r="A96" s="91"/>
      <c r="B96" s="92"/>
      <c r="C96" s="90" t="s">
        <v>2435</v>
      </c>
      <c r="D96" s="90" t="s">
        <v>2434</v>
      </c>
      <c r="E96" t="s">
        <v>2363</v>
      </c>
    </row>
    <row r="97" spans="1:5" x14ac:dyDescent="0.25">
      <c r="A97" s="91"/>
      <c r="B97" s="92"/>
      <c r="C97" s="90" t="s">
        <v>2436</v>
      </c>
      <c r="D97" s="90" t="s">
        <v>2434</v>
      </c>
      <c r="E97" t="s">
        <v>2363</v>
      </c>
    </row>
    <row r="98" spans="1:5" x14ac:dyDescent="0.25">
      <c r="A98" s="91"/>
      <c r="B98" s="92"/>
      <c r="C98" s="90" t="s">
        <v>2437</v>
      </c>
      <c r="D98" s="90" t="s">
        <v>2434</v>
      </c>
      <c r="E98" t="s">
        <v>2363</v>
      </c>
    </row>
    <row r="99" spans="1:5" x14ac:dyDescent="0.25">
      <c r="A99" s="91"/>
      <c r="B99" s="92"/>
      <c r="C99" s="90" t="s">
        <v>2438</v>
      </c>
      <c r="D99" s="90" t="s">
        <v>2434</v>
      </c>
      <c r="E99" t="s">
        <v>2363</v>
      </c>
    </row>
    <row r="100" spans="1:5" x14ac:dyDescent="0.25">
      <c r="A100" s="91"/>
      <c r="B100" s="92"/>
      <c r="C100" s="90" t="s">
        <v>2439</v>
      </c>
      <c r="D100" s="90" t="s">
        <v>2434</v>
      </c>
      <c r="E100" t="s">
        <v>2363</v>
      </c>
    </row>
    <row r="101" spans="1:5" x14ac:dyDescent="0.25">
      <c r="A101" s="91"/>
      <c r="B101" s="92"/>
      <c r="C101" s="90" t="s">
        <v>2440</v>
      </c>
      <c r="D101" s="90" t="s">
        <v>2434</v>
      </c>
      <c r="E101" t="s">
        <v>2363</v>
      </c>
    </row>
    <row r="102" spans="1:5" x14ac:dyDescent="0.25">
      <c r="A102" s="91"/>
      <c r="B102" s="92"/>
      <c r="C102" s="90" t="s">
        <v>2441</v>
      </c>
      <c r="D102" s="90" t="s">
        <v>2434</v>
      </c>
      <c r="E102" t="s">
        <v>2363</v>
      </c>
    </row>
    <row r="103" spans="1:5" x14ac:dyDescent="0.25">
      <c r="A103" s="91"/>
      <c r="B103" s="92"/>
      <c r="C103" s="90" t="s">
        <v>2442</v>
      </c>
      <c r="D103" s="90" t="s">
        <v>2434</v>
      </c>
      <c r="E103" t="s">
        <v>2363</v>
      </c>
    </row>
    <row r="104" spans="1:5" x14ac:dyDescent="0.25">
      <c r="A104" s="93"/>
      <c r="B104" s="93" t="s">
        <v>199</v>
      </c>
      <c r="C104" s="86" t="s">
        <v>1721</v>
      </c>
      <c r="D104" s="86"/>
    </row>
    <row r="105" spans="1:5" x14ac:dyDescent="0.25">
      <c r="A105" s="94"/>
      <c r="B105" s="94"/>
      <c r="C105" s="86" t="s">
        <v>198</v>
      </c>
      <c r="D105" s="86"/>
    </row>
    <row r="106" spans="1:5" x14ac:dyDescent="0.25">
      <c r="A106" s="94"/>
      <c r="B106" s="94"/>
      <c r="C106" s="86" t="s">
        <v>420</v>
      </c>
      <c r="D106" s="86"/>
    </row>
    <row r="107" spans="1:5" x14ac:dyDescent="0.25">
      <c r="A107" s="94"/>
      <c r="B107" s="94"/>
      <c r="C107" s="86" t="s">
        <v>540</v>
      </c>
      <c r="D107" s="86"/>
    </row>
    <row r="108" spans="1:5" x14ac:dyDescent="0.25">
      <c r="A108" s="94"/>
      <c r="B108" s="94"/>
      <c r="C108" s="86" t="s">
        <v>111</v>
      </c>
      <c r="D108" s="86"/>
    </row>
    <row r="109" spans="1:5" x14ac:dyDescent="0.25">
      <c r="A109" s="94"/>
      <c r="B109" s="94"/>
      <c r="C109" s="86" t="s">
        <v>613</v>
      </c>
      <c r="D109" s="86"/>
    </row>
    <row r="110" spans="1:5" x14ac:dyDescent="0.25">
      <c r="A110" s="95"/>
      <c r="B110" s="95"/>
      <c r="C110" s="86" t="s">
        <v>286</v>
      </c>
      <c r="D110" s="86"/>
    </row>
    <row r="111" spans="1:5" x14ac:dyDescent="0.25">
      <c r="A111" s="91"/>
      <c r="B111" s="96" t="s">
        <v>54</v>
      </c>
      <c r="C111" s="90" t="s">
        <v>1721</v>
      </c>
      <c r="D111" s="90"/>
    </row>
    <row r="112" spans="1:5" x14ac:dyDescent="0.25">
      <c r="A112" s="91"/>
      <c r="B112" s="97"/>
      <c r="C112" s="90" t="s">
        <v>69</v>
      </c>
      <c r="D112" s="90"/>
    </row>
    <row r="113" spans="1:4" x14ac:dyDescent="0.25">
      <c r="A113" s="91"/>
      <c r="B113" s="98"/>
      <c r="C113" s="90" t="s">
        <v>2443</v>
      </c>
      <c r="D113" s="90"/>
    </row>
    <row r="114" spans="1:4" x14ac:dyDescent="0.25">
      <c r="A114" s="99"/>
      <c r="B114" s="99" t="s">
        <v>2444</v>
      </c>
      <c r="C114" s="86" t="s">
        <v>1721</v>
      </c>
      <c r="D114" s="86"/>
    </row>
    <row r="115" spans="1:4" x14ac:dyDescent="0.25">
      <c r="A115" s="99"/>
      <c r="B115" s="99"/>
      <c r="C115" s="86" t="s">
        <v>420</v>
      </c>
      <c r="D115" s="86"/>
    </row>
    <row r="116" spans="1:4" x14ac:dyDescent="0.25">
      <c r="A116" s="99"/>
      <c r="B116" s="99"/>
      <c r="C116" s="86" t="s">
        <v>540</v>
      </c>
      <c r="D116" s="86"/>
    </row>
    <row r="117" spans="1:4" x14ac:dyDescent="0.25">
      <c r="A117" s="99"/>
      <c r="B117" s="99"/>
      <c r="C117" s="86" t="s">
        <v>613</v>
      </c>
      <c r="D117" s="86"/>
    </row>
    <row r="118" spans="1:4" x14ac:dyDescent="0.25">
      <c r="A118" s="88"/>
      <c r="B118" s="96" t="s">
        <v>2142</v>
      </c>
      <c r="C118" s="90" t="s">
        <v>1721</v>
      </c>
      <c r="D118" s="90"/>
    </row>
    <row r="119" spans="1:4" x14ac:dyDescent="0.25">
      <c r="A119" s="13"/>
      <c r="B119" s="100"/>
      <c r="C119" s="90" t="s">
        <v>2445</v>
      </c>
      <c r="D119" s="90"/>
    </row>
    <row r="120" spans="1:4" x14ac:dyDescent="0.25">
      <c r="A120" s="13"/>
      <c r="B120" s="100"/>
      <c r="C120" s="90" t="s">
        <v>540</v>
      </c>
      <c r="D120" s="90"/>
    </row>
    <row r="121" spans="1:4" x14ac:dyDescent="0.25">
      <c r="A121" s="13"/>
      <c r="B121" s="100"/>
      <c r="C121" s="90" t="s">
        <v>111</v>
      </c>
      <c r="D121" s="90"/>
    </row>
    <row r="122" spans="1:4" x14ac:dyDescent="0.25">
      <c r="A122" s="13"/>
      <c r="B122" s="100"/>
      <c r="C122" s="90" t="s">
        <v>420</v>
      </c>
      <c r="D122" s="90"/>
    </row>
    <row r="123" spans="1:4" x14ac:dyDescent="0.25">
      <c r="A123" s="13"/>
      <c r="B123" s="100"/>
      <c r="C123" s="90" t="s">
        <v>2446</v>
      </c>
      <c r="D123" s="90"/>
    </row>
    <row r="124" spans="1:4" x14ac:dyDescent="0.25">
      <c r="A124" s="13"/>
      <c r="B124" s="100"/>
      <c r="C124" s="90" t="s">
        <v>2447</v>
      </c>
      <c r="D124" s="90"/>
    </row>
    <row r="125" spans="1:4" x14ac:dyDescent="0.25">
      <c r="A125" s="13"/>
      <c r="B125" s="100"/>
      <c r="C125" s="90" t="s">
        <v>613</v>
      </c>
      <c r="D125" s="90"/>
    </row>
    <row r="126" spans="1:4" x14ac:dyDescent="0.25">
      <c r="A126" s="91"/>
      <c r="B126" s="98"/>
      <c r="C126" s="90" t="s">
        <v>286</v>
      </c>
      <c r="D126" s="90"/>
    </row>
    <row r="127" spans="1:4" x14ac:dyDescent="0.25">
      <c r="A127" s="93"/>
      <c r="B127" s="93" t="s">
        <v>200</v>
      </c>
      <c r="C127" s="86" t="s">
        <v>213</v>
      </c>
      <c r="D127" s="86"/>
    </row>
    <row r="128" spans="1:4" x14ac:dyDescent="0.25">
      <c r="A128" s="94"/>
      <c r="B128" s="94"/>
      <c r="C128" s="86" t="s">
        <v>2448</v>
      </c>
      <c r="D128" s="86"/>
    </row>
    <row r="129" spans="1:5" x14ac:dyDescent="0.25">
      <c r="A129" s="94"/>
      <c r="B129" s="94"/>
      <c r="C129" s="86" t="s">
        <v>2449</v>
      </c>
      <c r="D129" s="86"/>
    </row>
    <row r="130" spans="1:5" x14ac:dyDescent="0.25">
      <c r="A130" s="94"/>
      <c r="B130" s="94"/>
      <c r="C130" s="86" t="s">
        <v>2097</v>
      </c>
      <c r="D130" s="86"/>
    </row>
    <row r="131" spans="1:5" x14ac:dyDescent="0.25">
      <c r="A131" s="94"/>
      <c r="B131" s="94"/>
      <c r="C131" s="86" t="s">
        <v>111</v>
      </c>
      <c r="D131" s="86"/>
    </row>
    <row r="132" spans="1:5" x14ac:dyDescent="0.25">
      <c r="A132" s="91"/>
      <c r="B132" s="97" t="s">
        <v>2450</v>
      </c>
      <c r="C132" s="90" t="s">
        <v>213</v>
      </c>
      <c r="D132" s="90"/>
    </row>
    <row r="133" spans="1:5" x14ac:dyDescent="0.25">
      <c r="A133" s="91"/>
      <c r="B133" s="97"/>
      <c r="C133" s="90" t="s">
        <v>111</v>
      </c>
      <c r="D133" s="90"/>
    </row>
    <row r="134" spans="1:5" x14ac:dyDescent="0.25">
      <c r="A134" s="101"/>
      <c r="B134" s="98"/>
      <c r="C134" s="90" t="s">
        <v>286</v>
      </c>
      <c r="D134" s="90"/>
    </row>
    <row r="135" spans="1:5" x14ac:dyDescent="0.25">
      <c r="A135" s="102"/>
      <c r="B135" s="102" t="s">
        <v>207</v>
      </c>
      <c r="C135" s="86" t="s">
        <v>216</v>
      </c>
      <c r="D135" s="86"/>
    </row>
    <row r="136" spans="1:5" x14ac:dyDescent="0.25">
      <c r="A136" s="99"/>
      <c r="B136" s="99"/>
      <c r="C136" s="86" t="s">
        <v>1508</v>
      </c>
      <c r="D136" s="86"/>
      <c r="E136" t="s">
        <v>2363</v>
      </c>
    </row>
    <row r="137" spans="1:5" x14ac:dyDescent="0.25">
      <c r="A137" s="99"/>
      <c r="B137" s="99"/>
      <c r="C137" s="86" t="s">
        <v>1107</v>
      </c>
      <c r="D137" s="86" t="s">
        <v>2451</v>
      </c>
    </row>
    <row r="138" spans="1:5" x14ac:dyDescent="0.25">
      <c r="A138" s="99"/>
      <c r="B138" s="99"/>
      <c r="C138" s="86" t="s">
        <v>2452</v>
      </c>
      <c r="D138" s="86" t="s">
        <v>2453</v>
      </c>
    </row>
    <row r="139" spans="1:5" x14ac:dyDescent="0.25">
      <c r="A139" s="99"/>
      <c r="B139" s="99"/>
      <c r="C139" s="86" t="s">
        <v>2454</v>
      </c>
      <c r="D139" s="86"/>
    </row>
    <row r="140" spans="1:5" x14ac:dyDescent="0.25">
      <c r="A140" s="99"/>
      <c r="B140" s="99"/>
      <c r="C140" s="86" t="s">
        <v>2455</v>
      </c>
      <c r="D140" s="86"/>
    </row>
    <row r="141" spans="1:5" x14ac:dyDescent="0.25">
      <c r="A141" s="99"/>
      <c r="B141" s="99"/>
      <c r="C141" s="86" t="s">
        <v>2456</v>
      </c>
      <c r="D141" s="86"/>
    </row>
    <row r="142" spans="1:5" x14ac:dyDescent="0.25">
      <c r="A142" s="99"/>
      <c r="B142" s="99"/>
      <c r="C142" s="86" t="s">
        <v>2457</v>
      </c>
      <c r="D142" s="86"/>
    </row>
    <row r="143" spans="1:5" x14ac:dyDescent="0.25">
      <c r="A143" s="99"/>
      <c r="B143" s="99"/>
      <c r="C143" s="86" t="s">
        <v>2458</v>
      </c>
      <c r="D143" s="86"/>
    </row>
    <row r="144" spans="1:5" x14ac:dyDescent="0.25">
      <c r="A144" s="99"/>
      <c r="B144" s="99"/>
      <c r="C144" s="86" t="s">
        <v>2459</v>
      </c>
      <c r="D144" s="86"/>
    </row>
    <row r="145" spans="1:4" x14ac:dyDescent="0.25">
      <c r="A145" s="99"/>
      <c r="B145" s="99"/>
      <c r="C145" s="86" t="s">
        <v>286</v>
      </c>
      <c r="D145" s="86"/>
    </row>
    <row r="146" spans="1:4" x14ac:dyDescent="0.25">
      <c r="A146" s="88"/>
      <c r="B146" s="103" t="s">
        <v>2460</v>
      </c>
      <c r="C146" s="90" t="s">
        <v>373</v>
      </c>
      <c r="D146" s="90"/>
    </row>
    <row r="147" spans="1:4" x14ac:dyDescent="0.25">
      <c r="A147" s="101"/>
      <c r="B147" s="104"/>
      <c r="C147" s="90" t="s">
        <v>72</v>
      </c>
      <c r="D147" s="90"/>
    </row>
    <row r="148" spans="1:4" x14ac:dyDescent="0.25">
      <c r="A148" s="105"/>
      <c r="B148" s="106" t="s">
        <v>95</v>
      </c>
      <c r="C148" s="86" t="s">
        <v>117</v>
      </c>
      <c r="D148" s="86" t="s">
        <v>2461</v>
      </c>
    </row>
    <row r="149" spans="1:4" x14ac:dyDescent="0.25">
      <c r="A149" s="107"/>
      <c r="B149" s="107"/>
      <c r="C149" s="86" t="s">
        <v>2462</v>
      </c>
      <c r="D149" s="86" t="s">
        <v>2463</v>
      </c>
    </row>
    <row r="150" spans="1:4" x14ac:dyDescent="0.25">
      <c r="A150" s="107"/>
      <c r="B150" s="107"/>
      <c r="C150" s="86" t="s">
        <v>966</v>
      </c>
      <c r="D150" s="86" t="s">
        <v>2464</v>
      </c>
    </row>
    <row r="151" spans="1:4" x14ac:dyDescent="0.25">
      <c r="A151" s="107"/>
      <c r="B151" s="107"/>
      <c r="C151" s="86" t="s">
        <v>936</v>
      </c>
      <c r="D151" s="86" t="s">
        <v>2465</v>
      </c>
    </row>
    <row r="152" spans="1:4" x14ac:dyDescent="0.25">
      <c r="A152" s="107"/>
      <c r="B152" s="107"/>
      <c r="C152" s="86" t="s">
        <v>2466</v>
      </c>
      <c r="D152" s="86" t="s">
        <v>2467</v>
      </c>
    </row>
    <row r="153" spans="1:4" x14ac:dyDescent="0.25">
      <c r="A153" s="107"/>
      <c r="B153" s="107"/>
      <c r="C153" s="86" t="s">
        <v>2468</v>
      </c>
      <c r="D153" s="86" t="s">
        <v>2469</v>
      </c>
    </row>
    <row r="154" spans="1:4" x14ac:dyDescent="0.25">
      <c r="A154" s="107"/>
      <c r="B154" s="107"/>
      <c r="C154" s="86" t="s">
        <v>2470</v>
      </c>
      <c r="D154" s="86" t="s">
        <v>2471</v>
      </c>
    </row>
    <row r="155" spans="1:4" x14ac:dyDescent="0.25">
      <c r="A155" s="107"/>
      <c r="B155" s="107"/>
      <c r="C155" s="86" t="s">
        <v>2472</v>
      </c>
      <c r="D155" s="86" t="s">
        <v>2473</v>
      </c>
    </row>
    <row r="156" spans="1:4" x14ac:dyDescent="0.25">
      <c r="A156" s="107"/>
      <c r="B156" s="107"/>
      <c r="C156" s="86" t="s">
        <v>2474</v>
      </c>
      <c r="D156" s="86" t="s">
        <v>2475</v>
      </c>
    </row>
    <row r="157" spans="1:4" x14ac:dyDescent="0.25">
      <c r="A157" s="107"/>
      <c r="B157" s="107"/>
      <c r="C157" s="86" t="s">
        <v>2476</v>
      </c>
      <c r="D157" s="86" t="s">
        <v>2477</v>
      </c>
    </row>
    <row r="158" spans="1:4" x14ac:dyDescent="0.25">
      <c r="A158" s="107"/>
      <c r="B158" s="107"/>
      <c r="C158" s="86" t="s">
        <v>2478</v>
      </c>
      <c r="D158" s="86" t="s">
        <v>2479</v>
      </c>
    </row>
    <row r="159" spans="1:4" x14ac:dyDescent="0.25">
      <c r="A159" s="107"/>
      <c r="B159" s="107"/>
      <c r="C159" s="86" t="s">
        <v>2480</v>
      </c>
      <c r="D159" s="86" t="s">
        <v>2481</v>
      </c>
    </row>
    <row r="160" spans="1:4" x14ac:dyDescent="0.25">
      <c r="A160" s="107"/>
      <c r="B160" s="107"/>
      <c r="C160" s="86" t="s">
        <v>1206</v>
      </c>
      <c r="D160" s="86" t="s">
        <v>2482</v>
      </c>
    </row>
    <row r="161" spans="1:4" x14ac:dyDescent="0.25">
      <c r="A161" s="107"/>
      <c r="B161" s="107"/>
      <c r="C161" s="86" t="s">
        <v>991</v>
      </c>
      <c r="D161" s="86" t="s">
        <v>2483</v>
      </c>
    </row>
    <row r="162" spans="1:4" x14ac:dyDescent="0.25">
      <c r="A162" s="107"/>
      <c r="B162" s="107"/>
      <c r="C162" s="86" t="s">
        <v>1200</v>
      </c>
      <c r="D162" s="86" t="s">
        <v>2484</v>
      </c>
    </row>
    <row r="163" spans="1:4" x14ac:dyDescent="0.25">
      <c r="A163" s="107"/>
      <c r="B163" s="107"/>
      <c r="C163" s="86" t="s">
        <v>2485</v>
      </c>
      <c r="D163" s="86" t="s">
        <v>2486</v>
      </c>
    </row>
    <row r="164" spans="1:4" x14ac:dyDescent="0.25">
      <c r="A164" s="107"/>
      <c r="B164" s="107"/>
      <c r="C164" s="86" t="s">
        <v>2487</v>
      </c>
      <c r="D164" s="86" t="s">
        <v>2488</v>
      </c>
    </row>
    <row r="165" spans="1:4" x14ac:dyDescent="0.25">
      <c r="A165" s="107"/>
      <c r="B165" s="107"/>
      <c r="C165" s="86" t="s">
        <v>2489</v>
      </c>
      <c r="D165" s="86" t="s">
        <v>2490</v>
      </c>
    </row>
    <row r="166" spans="1:4" x14ac:dyDescent="0.25">
      <c r="A166" s="107"/>
      <c r="B166" s="107"/>
      <c r="C166" s="86" t="s">
        <v>2491</v>
      </c>
      <c r="D166" s="86" t="s">
        <v>2492</v>
      </c>
    </row>
    <row r="167" spans="1:4" x14ac:dyDescent="0.25">
      <c r="A167" s="107"/>
      <c r="B167" s="107"/>
      <c r="C167" s="86" t="s">
        <v>2493</v>
      </c>
      <c r="D167" s="86" t="s">
        <v>2494</v>
      </c>
    </row>
    <row r="168" spans="1:4" x14ac:dyDescent="0.25">
      <c r="A168" s="107"/>
      <c r="B168" s="107"/>
      <c r="C168" s="86" t="s">
        <v>1187</v>
      </c>
      <c r="D168" s="86" t="s">
        <v>2495</v>
      </c>
    </row>
    <row r="169" spans="1:4" x14ac:dyDescent="0.25">
      <c r="A169" s="107"/>
      <c r="B169" s="107"/>
      <c r="C169" s="86" t="s">
        <v>2496</v>
      </c>
      <c r="D169" s="86" t="s">
        <v>2497</v>
      </c>
    </row>
    <row r="170" spans="1:4" x14ac:dyDescent="0.25">
      <c r="A170" s="107"/>
      <c r="B170" s="107"/>
      <c r="C170" s="86" t="s">
        <v>2498</v>
      </c>
      <c r="D170" s="86" t="s">
        <v>2499</v>
      </c>
    </row>
    <row r="171" spans="1:4" x14ac:dyDescent="0.25">
      <c r="A171" s="107"/>
      <c r="B171" s="107"/>
      <c r="C171" s="86" t="s">
        <v>2500</v>
      </c>
      <c r="D171" s="86" t="s">
        <v>2501</v>
      </c>
    </row>
    <row r="172" spans="1:4" x14ac:dyDescent="0.25">
      <c r="A172" s="107"/>
      <c r="B172" s="107"/>
      <c r="C172" s="86" t="s">
        <v>2502</v>
      </c>
      <c r="D172" s="86" t="s">
        <v>2503</v>
      </c>
    </row>
    <row r="173" spans="1:4" x14ac:dyDescent="0.25">
      <c r="A173" s="107"/>
      <c r="B173" s="107"/>
      <c r="C173" s="86" t="s">
        <v>2504</v>
      </c>
      <c r="D173" s="86" t="s">
        <v>2505</v>
      </c>
    </row>
    <row r="174" spans="1:4" x14ac:dyDescent="0.25">
      <c r="A174" s="107"/>
      <c r="B174" s="107"/>
      <c r="C174" s="86" t="s">
        <v>2506</v>
      </c>
      <c r="D174" s="86" t="s">
        <v>2507</v>
      </c>
    </row>
    <row r="175" spans="1:4" x14ac:dyDescent="0.25">
      <c r="A175" s="107"/>
      <c r="B175" s="107"/>
      <c r="C175" s="86" t="s">
        <v>2508</v>
      </c>
      <c r="D175" s="86" t="s">
        <v>2509</v>
      </c>
    </row>
    <row r="176" spans="1:4" x14ac:dyDescent="0.25">
      <c r="A176" s="107"/>
      <c r="B176" s="107"/>
      <c r="C176" s="86" t="s">
        <v>2510</v>
      </c>
      <c r="D176" s="86" t="s">
        <v>2511</v>
      </c>
    </row>
    <row r="177" spans="1:5" x14ac:dyDescent="0.25">
      <c r="A177" s="107"/>
      <c r="B177" s="107"/>
      <c r="C177" s="86" t="s">
        <v>2512</v>
      </c>
      <c r="D177" s="86" t="s">
        <v>2513</v>
      </c>
    </row>
    <row r="178" spans="1:5" x14ac:dyDescent="0.25">
      <c r="A178" s="107"/>
      <c r="B178" s="107"/>
      <c r="C178" s="86" t="s">
        <v>2514</v>
      </c>
      <c r="D178" s="86" t="s">
        <v>2515</v>
      </c>
    </row>
    <row r="179" spans="1:5" x14ac:dyDescent="0.25">
      <c r="A179" s="107"/>
      <c r="B179" s="107"/>
      <c r="C179" s="86" t="s">
        <v>2516</v>
      </c>
      <c r="D179" s="86" t="s">
        <v>2517</v>
      </c>
    </row>
    <row r="180" spans="1:5" x14ac:dyDescent="0.25">
      <c r="A180" s="107"/>
      <c r="B180" s="107"/>
      <c r="C180" s="86" t="s">
        <v>2518</v>
      </c>
      <c r="D180" s="86" t="s">
        <v>2519</v>
      </c>
      <c r="E180" t="s">
        <v>2363</v>
      </c>
    </row>
    <row r="181" spans="1:5" x14ac:dyDescent="0.25">
      <c r="A181" s="107"/>
      <c r="B181" s="107"/>
      <c r="C181" s="86" t="s">
        <v>286</v>
      </c>
      <c r="D181" s="86" t="s">
        <v>286</v>
      </c>
    </row>
    <row r="182" spans="1:5" x14ac:dyDescent="0.25">
      <c r="A182" s="88"/>
      <c r="B182" s="103" t="s">
        <v>2520</v>
      </c>
      <c r="C182" s="108" t="s">
        <v>220</v>
      </c>
      <c r="D182" s="108"/>
    </row>
    <row r="183" spans="1:5" x14ac:dyDescent="0.25">
      <c r="A183" s="91"/>
      <c r="B183" s="109"/>
      <c r="C183" s="108" t="s">
        <v>2168</v>
      </c>
      <c r="D183" s="108"/>
    </row>
    <row r="184" spans="1:5" x14ac:dyDescent="0.25">
      <c r="A184" s="91"/>
      <c r="B184" s="109"/>
      <c r="C184" s="108" t="s">
        <v>2521</v>
      </c>
      <c r="D184" s="108"/>
    </row>
    <row r="185" spans="1:5" x14ac:dyDescent="0.25">
      <c r="A185" s="101"/>
      <c r="B185" s="104"/>
      <c r="C185" s="90" t="s">
        <v>528</v>
      </c>
      <c r="D185" s="90"/>
    </row>
    <row r="186" spans="1:5" x14ac:dyDescent="0.25">
      <c r="A186" s="93"/>
      <c r="B186" s="93" t="s">
        <v>204</v>
      </c>
      <c r="C186" s="86" t="s">
        <v>1426</v>
      </c>
      <c r="D186" s="86"/>
    </row>
    <row r="187" spans="1:5" x14ac:dyDescent="0.25">
      <c r="A187" s="94"/>
      <c r="B187" s="94"/>
      <c r="C187" s="86" t="s">
        <v>222</v>
      </c>
      <c r="D187" s="86"/>
    </row>
    <row r="188" spans="1:5" x14ac:dyDescent="0.25">
      <c r="A188" s="88"/>
      <c r="B188" s="103" t="s">
        <v>59</v>
      </c>
      <c r="C188" s="90" t="s">
        <v>74</v>
      </c>
      <c r="D188" s="90" t="s">
        <v>2522</v>
      </c>
    </row>
    <row r="189" spans="1:5" x14ac:dyDescent="0.25">
      <c r="A189" s="91"/>
      <c r="B189" s="109"/>
      <c r="C189" s="90" t="s">
        <v>219</v>
      </c>
      <c r="D189" s="90" t="s">
        <v>2523</v>
      </c>
    </row>
    <row r="190" spans="1:5" x14ac:dyDescent="0.25">
      <c r="A190" s="91"/>
      <c r="B190" s="109"/>
      <c r="C190" s="90" t="s">
        <v>111</v>
      </c>
      <c r="D190" s="90" t="s">
        <v>111</v>
      </c>
    </row>
    <row r="191" spans="1:5" x14ac:dyDescent="0.25">
      <c r="A191" s="91"/>
      <c r="B191" s="109"/>
      <c r="C191" s="90" t="s">
        <v>2524</v>
      </c>
      <c r="D191" s="90" t="s">
        <v>2525</v>
      </c>
    </row>
    <row r="192" spans="1:5" x14ac:dyDescent="0.25">
      <c r="A192" s="91"/>
      <c r="B192" s="109"/>
      <c r="C192" s="90" t="s">
        <v>2526</v>
      </c>
      <c r="D192" s="90" t="s">
        <v>2527</v>
      </c>
    </row>
    <row r="193" spans="1:4" x14ac:dyDescent="0.25">
      <c r="A193" s="91"/>
      <c r="B193" s="109"/>
      <c r="C193" s="90" t="s">
        <v>2528</v>
      </c>
      <c r="D193" s="90" t="s">
        <v>2529</v>
      </c>
    </row>
    <row r="194" spans="1:4" x14ac:dyDescent="0.25">
      <c r="A194" s="91"/>
      <c r="B194" s="109"/>
      <c r="C194" s="90" t="s">
        <v>2530</v>
      </c>
      <c r="D194" s="90" t="s">
        <v>2531</v>
      </c>
    </row>
    <row r="195" spans="1:4" x14ac:dyDescent="0.25">
      <c r="A195" s="91"/>
      <c r="B195" s="109"/>
      <c r="C195" s="90" t="s">
        <v>2532</v>
      </c>
      <c r="D195" s="90" t="s">
        <v>2533</v>
      </c>
    </row>
    <row r="196" spans="1:4" x14ac:dyDescent="0.25">
      <c r="A196" s="91"/>
      <c r="B196" s="109"/>
      <c r="C196" s="90" t="s">
        <v>2534</v>
      </c>
      <c r="D196" s="90" t="s">
        <v>2535</v>
      </c>
    </row>
    <row r="197" spans="1:4" x14ac:dyDescent="0.25">
      <c r="A197" s="91"/>
      <c r="B197" s="109"/>
      <c r="C197" s="90" t="s">
        <v>2536</v>
      </c>
      <c r="D197" s="90" t="s">
        <v>2537</v>
      </c>
    </row>
    <row r="198" spans="1:4" x14ac:dyDescent="0.25">
      <c r="A198" s="91"/>
      <c r="B198" s="109"/>
      <c r="C198" s="90" t="s">
        <v>689</v>
      </c>
      <c r="D198" s="90" t="s">
        <v>2538</v>
      </c>
    </row>
    <row r="199" spans="1:4" x14ac:dyDescent="0.25">
      <c r="A199" s="91"/>
      <c r="B199" s="109"/>
      <c r="C199" s="90" t="s">
        <v>617</v>
      </c>
      <c r="D199" s="90" t="s">
        <v>2539</v>
      </c>
    </row>
    <row r="200" spans="1:4" x14ac:dyDescent="0.25">
      <c r="A200" s="91"/>
      <c r="B200" s="109"/>
      <c r="C200" s="90" t="s">
        <v>286</v>
      </c>
      <c r="D200" s="90" t="s">
        <v>286</v>
      </c>
    </row>
    <row r="201" spans="1:4" x14ac:dyDescent="0.25">
      <c r="A201" s="101"/>
      <c r="B201" s="104"/>
      <c r="C201" s="90" t="s">
        <v>528</v>
      </c>
      <c r="D201" s="90" t="s">
        <v>2540</v>
      </c>
    </row>
    <row r="202" spans="1:4" x14ac:dyDescent="0.25">
      <c r="A202" s="106"/>
      <c r="B202" s="106" t="s">
        <v>201</v>
      </c>
      <c r="C202" s="86" t="s">
        <v>1509</v>
      </c>
      <c r="D202" s="86"/>
    </row>
    <row r="203" spans="1:4" x14ac:dyDescent="0.25">
      <c r="A203" s="107"/>
      <c r="B203" s="107"/>
      <c r="C203" s="86" t="s">
        <v>808</v>
      </c>
      <c r="D203" s="86"/>
    </row>
    <row r="204" spans="1:4" x14ac:dyDescent="0.25">
      <c r="A204" s="107"/>
      <c r="B204" s="107"/>
      <c r="C204" s="86" t="s">
        <v>2541</v>
      </c>
      <c r="D204" s="86"/>
    </row>
    <row r="205" spans="1:4" x14ac:dyDescent="0.25">
      <c r="A205" s="107"/>
      <c r="B205" s="107"/>
      <c r="C205" s="86" t="s">
        <v>888</v>
      </c>
      <c r="D205" s="86"/>
    </row>
    <row r="206" spans="1:4" x14ac:dyDescent="0.25">
      <c r="A206" s="107"/>
      <c r="B206" s="107"/>
      <c r="C206" s="86" t="s">
        <v>234</v>
      </c>
      <c r="D206" s="86"/>
    </row>
    <row r="207" spans="1:4" x14ac:dyDescent="0.25">
      <c r="A207" s="107"/>
      <c r="B207" s="107"/>
      <c r="C207" s="86" t="s">
        <v>287</v>
      </c>
      <c r="D207" s="86"/>
    </row>
    <row r="208" spans="1:4" x14ac:dyDescent="0.25">
      <c r="A208" s="107"/>
      <c r="B208" s="107"/>
      <c r="C208" s="86" t="s">
        <v>2542</v>
      </c>
      <c r="D208" s="86"/>
    </row>
    <row r="209" spans="1:5" x14ac:dyDescent="0.25">
      <c r="A209" s="107"/>
      <c r="B209" s="107"/>
      <c r="C209" s="86" t="s">
        <v>498</v>
      </c>
      <c r="D209" s="86"/>
    </row>
    <row r="210" spans="1:5" x14ac:dyDescent="0.25">
      <c r="A210" s="107"/>
      <c r="B210" s="107"/>
      <c r="C210" s="86" t="s">
        <v>1108</v>
      </c>
      <c r="D210" s="86"/>
    </row>
    <row r="211" spans="1:5" x14ac:dyDescent="0.25">
      <c r="A211" s="107"/>
      <c r="B211" s="107"/>
      <c r="C211" s="86" t="s">
        <v>252</v>
      </c>
      <c r="D211" s="86"/>
    </row>
    <row r="212" spans="1:5" x14ac:dyDescent="0.25">
      <c r="A212" s="107"/>
      <c r="B212" s="107"/>
      <c r="C212" s="86" t="s">
        <v>773</v>
      </c>
      <c r="D212" s="86"/>
    </row>
    <row r="213" spans="1:5" x14ac:dyDescent="0.25">
      <c r="A213" s="107"/>
      <c r="B213" s="107"/>
      <c r="C213" s="86" t="s">
        <v>245</v>
      </c>
      <c r="D213" s="86"/>
    </row>
    <row r="214" spans="1:5" x14ac:dyDescent="0.25">
      <c r="A214" s="107"/>
      <c r="B214" s="107"/>
      <c r="C214" s="86" t="s">
        <v>365</v>
      </c>
      <c r="D214" s="86"/>
    </row>
    <row r="215" spans="1:5" x14ac:dyDescent="0.25">
      <c r="A215" s="107"/>
      <c r="B215" s="107"/>
      <c r="C215" s="86" t="s">
        <v>1572</v>
      </c>
      <c r="D215" s="86"/>
    </row>
    <row r="216" spans="1:5" x14ac:dyDescent="0.25">
      <c r="A216" s="107"/>
      <c r="B216" s="107"/>
      <c r="C216" s="86" t="s">
        <v>2543</v>
      </c>
      <c r="D216" s="86"/>
    </row>
    <row r="217" spans="1:5" x14ac:dyDescent="0.25">
      <c r="A217" s="107"/>
      <c r="B217" s="107"/>
      <c r="C217" s="86" t="s">
        <v>272</v>
      </c>
      <c r="D217" s="86"/>
    </row>
    <row r="218" spans="1:5" x14ac:dyDescent="0.25">
      <c r="A218" s="107"/>
      <c r="B218" s="107"/>
      <c r="C218" s="86" t="s">
        <v>2544</v>
      </c>
      <c r="D218" s="86" t="s">
        <v>2545</v>
      </c>
      <c r="E218" t="s">
        <v>2363</v>
      </c>
    </row>
    <row r="219" spans="1:5" x14ac:dyDescent="0.25">
      <c r="A219" s="107"/>
      <c r="B219" s="107"/>
      <c r="C219" s="86" t="s">
        <v>423</v>
      </c>
      <c r="D219" s="86"/>
    </row>
    <row r="220" spans="1:5" x14ac:dyDescent="0.25">
      <c r="A220" s="107"/>
      <c r="B220" s="107"/>
      <c r="C220" s="86" t="s">
        <v>931</v>
      </c>
      <c r="D220" s="86"/>
    </row>
    <row r="221" spans="1:5" x14ac:dyDescent="0.25">
      <c r="A221" s="107"/>
      <c r="B221" s="107"/>
      <c r="C221" s="86" t="s">
        <v>227</v>
      </c>
      <c r="D221" s="86"/>
    </row>
    <row r="222" spans="1:5" x14ac:dyDescent="0.25">
      <c r="A222" s="107"/>
      <c r="B222" s="107"/>
      <c r="C222" s="86" t="s">
        <v>2546</v>
      </c>
      <c r="D222" s="86"/>
    </row>
    <row r="223" spans="1:5" x14ac:dyDescent="0.25">
      <c r="A223" s="107"/>
      <c r="B223" s="107"/>
      <c r="C223" s="86" t="s">
        <v>830</v>
      </c>
      <c r="D223" s="86"/>
    </row>
    <row r="224" spans="1:5" x14ac:dyDescent="0.25">
      <c r="A224" s="107"/>
      <c r="B224" s="107"/>
      <c r="C224" s="86" t="s">
        <v>856</v>
      </c>
      <c r="D224" s="86"/>
    </row>
    <row r="225" spans="1:4" x14ac:dyDescent="0.25">
      <c r="A225" s="107"/>
      <c r="B225" s="107"/>
      <c r="C225" s="86" t="s">
        <v>899</v>
      </c>
      <c r="D225" s="86"/>
    </row>
    <row r="226" spans="1:4" x14ac:dyDescent="0.25">
      <c r="A226" s="107"/>
      <c r="B226" s="107"/>
      <c r="C226" s="86" t="s">
        <v>906</v>
      </c>
      <c r="D226" s="86"/>
    </row>
    <row r="227" spans="1:4" x14ac:dyDescent="0.25">
      <c r="A227" s="107"/>
      <c r="B227" s="107"/>
      <c r="C227" s="86" t="s">
        <v>610</v>
      </c>
      <c r="D227" s="86"/>
    </row>
    <row r="228" spans="1:4" x14ac:dyDescent="0.25">
      <c r="A228" s="107"/>
      <c r="B228" s="107"/>
      <c r="C228" s="86" t="s">
        <v>764</v>
      </c>
      <c r="D228" s="86"/>
    </row>
    <row r="229" spans="1:4" x14ac:dyDescent="0.25">
      <c r="A229" s="107"/>
      <c r="B229" s="107"/>
      <c r="C229" s="86" t="s">
        <v>258</v>
      </c>
      <c r="D229" s="86"/>
    </row>
    <row r="230" spans="1:4" x14ac:dyDescent="0.25">
      <c r="A230" s="107"/>
      <c r="B230" s="107"/>
      <c r="C230" s="86" t="s">
        <v>217</v>
      </c>
      <c r="D230" s="86"/>
    </row>
    <row r="231" spans="1:4" x14ac:dyDescent="0.25">
      <c r="A231" s="107"/>
      <c r="B231" s="107"/>
      <c r="C231" s="86" t="s">
        <v>2547</v>
      </c>
      <c r="D231" s="86"/>
    </row>
    <row r="232" spans="1:4" x14ac:dyDescent="0.25">
      <c r="A232" s="107"/>
      <c r="B232" s="107"/>
      <c r="C232" s="86" t="s">
        <v>628</v>
      </c>
      <c r="D232" s="86"/>
    </row>
    <row r="233" spans="1:4" x14ac:dyDescent="0.25">
      <c r="A233" s="107"/>
      <c r="B233" s="107"/>
      <c r="C233" s="86" t="s">
        <v>2548</v>
      </c>
      <c r="D233" s="86"/>
    </row>
    <row r="234" spans="1:4" x14ac:dyDescent="0.25">
      <c r="A234" s="107"/>
      <c r="B234" s="107"/>
      <c r="C234" s="86" t="s">
        <v>2549</v>
      </c>
      <c r="D234" s="86"/>
    </row>
    <row r="235" spans="1:4" x14ac:dyDescent="0.25">
      <c r="A235" s="107"/>
      <c r="B235" s="107"/>
      <c r="C235" s="86" t="s">
        <v>2550</v>
      </c>
      <c r="D235" s="86"/>
    </row>
    <row r="236" spans="1:4" x14ac:dyDescent="0.25">
      <c r="A236" s="107"/>
      <c r="B236" s="107"/>
      <c r="C236" s="86" t="s">
        <v>2551</v>
      </c>
      <c r="D236" s="86"/>
    </row>
    <row r="237" spans="1:4" x14ac:dyDescent="0.25">
      <c r="A237" s="107"/>
      <c r="B237" s="107"/>
      <c r="C237" s="86" t="s">
        <v>2552</v>
      </c>
      <c r="D237" s="86"/>
    </row>
    <row r="238" spans="1:4" x14ac:dyDescent="0.25">
      <c r="A238" s="107"/>
      <c r="B238" s="107"/>
      <c r="C238" s="86" t="s">
        <v>25</v>
      </c>
      <c r="D238" s="86"/>
    </row>
    <row r="239" spans="1:4" x14ac:dyDescent="0.25">
      <c r="A239" s="107"/>
      <c r="B239" s="107"/>
      <c r="C239" s="86" t="s">
        <v>2553</v>
      </c>
      <c r="D239" s="86"/>
    </row>
    <row r="240" spans="1:4" x14ac:dyDescent="0.25">
      <c r="A240" s="107"/>
      <c r="B240" s="107"/>
      <c r="C240" s="86" t="s">
        <v>2554</v>
      </c>
      <c r="D240" s="86"/>
    </row>
    <row r="241" spans="1:4" x14ac:dyDescent="0.25">
      <c r="A241" s="107"/>
      <c r="B241" s="107"/>
      <c r="C241" s="86" t="s">
        <v>837</v>
      </c>
      <c r="D241" s="86"/>
    </row>
    <row r="242" spans="1:4" x14ac:dyDescent="0.25">
      <c r="A242" s="107"/>
      <c r="B242" s="107"/>
      <c r="C242" s="86" t="s">
        <v>825</v>
      </c>
      <c r="D242" s="86"/>
    </row>
    <row r="243" spans="1:4" x14ac:dyDescent="0.25">
      <c r="A243" s="107"/>
      <c r="B243" s="107"/>
      <c r="C243" s="86" t="s">
        <v>515</v>
      </c>
      <c r="D243" s="86"/>
    </row>
    <row r="244" spans="1:4" x14ac:dyDescent="0.25">
      <c r="A244" s="107"/>
      <c r="B244" s="107"/>
      <c r="C244" s="86" t="s">
        <v>429</v>
      </c>
      <c r="D244" s="86"/>
    </row>
    <row r="245" spans="1:4" x14ac:dyDescent="0.25">
      <c r="A245" s="107"/>
      <c r="B245" s="107"/>
      <c r="C245" s="86" t="s">
        <v>2555</v>
      </c>
      <c r="D245" s="86"/>
    </row>
    <row r="246" spans="1:4" x14ac:dyDescent="0.25">
      <c r="A246" s="107"/>
      <c r="B246" s="107"/>
      <c r="C246" s="86" t="s">
        <v>526</v>
      </c>
      <c r="D246" s="86"/>
    </row>
    <row r="247" spans="1:4" x14ac:dyDescent="0.25">
      <c r="A247" s="107"/>
      <c r="B247" s="107"/>
      <c r="C247" s="86" t="s">
        <v>2556</v>
      </c>
      <c r="D247" s="86"/>
    </row>
    <row r="248" spans="1:4" x14ac:dyDescent="0.25">
      <c r="A248" s="107"/>
      <c r="B248" s="107"/>
      <c r="C248" s="86" t="s">
        <v>2557</v>
      </c>
      <c r="D248" s="86"/>
    </row>
    <row r="249" spans="1:4" x14ac:dyDescent="0.25">
      <c r="A249" s="107"/>
      <c r="B249" s="107"/>
      <c r="C249" s="86" t="s">
        <v>2558</v>
      </c>
      <c r="D249" s="86"/>
    </row>
    <row r="250" spans="1:4" x14ac:dyDescent="0.25">
      <c r="A250" s="107"/>
      <c r="B250" s="107"/>
      <c r="C250" s="86" t="s">
        <v>329</v>
      </c>
      <c r="D250" s="86"/>
    </row>
    <row r="251" spans="1:4" x14ac:dyDescent="0.25">
      <c r="A251" s="107"/>
      <c r="B251" s="107"/>
      <c r="C251" s="86" t="s">
        <v>1626</v>
      </c>
      <c r="D251" s="86"/>
    </row>
    <row r="252" spans="1:4" x14ac:dyDescent="0.25">
      <c r="A252" s="107"/>
      <c r="B252" s="107"/>
      <c r="C252" s="86" t="s">
        <v>286</v>
      </c>
      <c r="D252" s="86"/>
    </row>
    <row r="253" spans="1:4" x14ac:dyDescent="0.25">
      <c r="A253" s="107"/>
      <c r="B253" s="107"/>
      <c r="C253" s="86" t="s">
        <v>1048</v>
      </c>
      <c r="D253" s="86"/>
    </row>
    <row r="254" spans="1:4" x14ac:dyDescent="0.25">
      <c r="A254" s="107"/>
      <c r="B254" s="107"/>
      <c r="C254" s="86" t="s">
        <v>2559</v>
      </c>
      <c r="D254" s="86"/>
    </row>
    <row r="255" spans="1:4" x14ac:dyDescent="0.25">
      <c r="A255" s="107"/>
      <c r="B255" s="107"/>
      <c r="C255" s="86" t="s">
        <v>2560</v>
      </c>
      <c r="D255" s="86"/>
    </row>
    <row r="256" spans="1:4" x14ac:dyDescent="0.25">
      <c r="A256" s="107"/>
      <c r="B256" s="107"/>
      <c r="C256" s="86" t="s">
        <v>2561</v>
      </c>
      <c r="D256" s="86"/>
    </row>
    <row r="257" spans="1:5" x14ac:dyDescent="0.25">
      <c r="A257" s="107"/>
      <c r="B257" s="107"/>
      <c r="C257" s="86" t="s">
        <v>2562</v>
      </c>
      <c r="D257" s="86"/>
    </row>
    <row r="258" spans="1:5" x14ac:dyDescent="0.25">
      <c r="A258" s="107"/>
      <c r="B258" s="107"/>
      <c r="C258" s="86" t="s">
        <v>2563</v>
      </c>
      <c r="D258" s="86"/>
    </row>
    <row r="259" spans="1:5" x14ac:dyDescent="0.25">
      <c r="A259" s="107"/>
      <c r="B259" s="107"/>
      <c r="C259" s="86" t="s">
        <v>2564</v>
      </c>
      <c r="D259" s="86"/>
    </row>
    <row r="260" spans="1:5" x14ac:dyDescent="0.25">
      <c r="A260" s="107"/>
      <c r="B260" s="107"/>
      <c r="C260" s="86" t="s">
        <v>2565</v>
      </c>
      <c r="D260" s="86"/>
    </row>
    <row r="261" spans="1:5" x14ac:dyDescent="0.25">
      <c r="A261" s="107"/>
      <c r="B261" s="107"/>
      <c r="C261" s="86" t="s">
        <v>2566</v>
      </c>
      <c r="D261" s="86"/>
    </row>
    <row r="262" spans="1:5" x14ac:dyDescent="0.25">
      <c r="A262" s="107"/>
      <c r="B262" s="107"/>
      <c r="C262" s="86" t="s">
        <v>2567</v>
      </c>
      <c r="D262" s="86"/>
    </row>
    <row r="263" spans="1:5" x14ac:dyDescent="0.25">
      <c r="A263" s="107"/>
      <c r="B263" s="107"/>
      <c r="C263" s="86" t="s">
        <v>2568</v>
      </c>
      <c r="D263" s="86"/>
    </row>
    <row r="264" spans="1:5" x14ac:dyDescent="0.25">
      <c r="A264" s="107"/>
      <c r="B264" s="107"/>
      <c r="C264" s="86" t="s">
        <v>2569</v>
      </c>
      <c r="D264" s="86"/>
    </row>
    <row r="265" spans="1:5" x14ac:dyDescent="0.25">
      <c r="A265" s="107"/>
      <c r="B265" s="107"/>
      <c r="C265" s="86" t="s">
        <v>2570</v>
      </c>
      <c r="D265" s="86"/>
    </row>
    <row r="266" spans="1:5" x14ac:dyDescent="0.25">
      <c r="A266" s="107"/>
      <c r="B266" s="107"/>
      <c r="C266" s="86" t="s">
        <v>2571</v>
      </c>
      <c r="D266" s="86"/>
    </row>
    <row r="267" spans="1:5" x14ac:dyDescent="0.25">
      <c r="A267" s="107"/>
      <c r="B267" s="107"/>
      <c r="C267" s="86" t="s">
        <v>2572</v>
      </c>
      <c r="D267" s="86"/>
    </row>
    <row r="268" spans="1:5" x14ac:dyDescent="0.25">
      <c r="A268" s="107"/>
      <c r="B268" s="107"/>
      <c r="C268" s="86" t="s">
        <v>2573</v>
      </c>
      <c r="D268" s="86"/>
    </row>
    <row r="269" spans="1:5" x14ac:dyDescent="0.25">
      <c r="A269" s="107"/>
      <c r="B269" s="107"/>
      <c r="C269" s="86" t="s">
        <v>2574</v>
      </c>
      <c r="D269" s="86"/>
    </row>
    <row r="270" spans="1:5" x14ac:dyDescent="0.25">
      <c r="A270" s="107"/>
      <c r="B270" s="107"/>
      <c r="C270" s="86" t="s">
        <v>2575</v>
      </c>
      <c r="D270" s="86" t="s">
        <v>2576</v>
      </c>
      <c r="E270" t="s">
        <v>2363</v>
      </c>
    </row>
    <row r="271" spans="1:5" x14ac:dyDescent="0.25">
      <c r="A271" s="107"/>
      <c r="B271" s="107"/>
      <c r="C271" s="86" t="s">
        <v>2577</v>
      </c>
      <c r="D271" s="86" t="s">
        <v>2578</v>
      </c>
      <c r="E271" t="s">
        <v>2363</v>
      </c>
    </row>
    <row r="272" spans="1:5" x14ac:dyDescent="0.25">
      <c r="A272" s="107"/>
      <c r="B272" s="107"/>
      <c r="C272" s="86" t="s">
        <v>2579</v>
      </c>
      <c r="D272" s="86" t="s">
        <v>2580</v>
      </c>
      <c r="E272" t="s">
        <v>2363</v>
      </c>
    </row>
    <row r="273" spans="1:5" x14ac:dyDescent="0.25">
      <c r="A273" s="107"/>
      <c r="B273" s="107"/>
      <c r="C273" s="86" t="s">
        <v>700</v>
      </c>
      <c r="D273" s="86"/>
    </row>
    <row r="274" spans="1:5" x14ac:dyDescent="0.25">
      <c r="A274" s="107"/>
      <c r="B274" s="107"/>
      <c r="C274" s="86" t="s">
        <v>2581</v>
      </c>
      <c r="D274" s="86" t="s">
        <v>2582</v>
      </c>
      <c r="E274" t="s">
        <v>2363</v>
      </c>
    </row>
    <row r="275" spans="1:5" x14ac:dyDescent="0.25">
      <c r="A275" s="107"/>
      <c r="B275" s="107"/>
      <c r="C275" s="86" t="s">
        <v>687</v>
      </c>
      <c r="D275" s="86"/>
    </row>
    <row r="276" spans="1:5" x14ac:dyDescent="0.25">
      <c r="A276" s="107"/>
      <c r="B276" s="107"/>
      <c r="C276" s="86" t="s">
        <v>2583</v>
      </c>
      <c r="D276" s="86"/>
    </row>
    <row r="277" spans="1:5" x14ac:dyDescent="0.25">
      <c r="A277" s="107"/>
      <c r="B277" s="107"/>
      <c r="C277" s="86" t="s">
        <v>2584</v>
      </c>
      <c r="D277" s="86"/>
    </row>
    <row r="278" spans="1:5" x14ac:dyDescent="0.25">
      <c r="A278" s="107"/>
      <c r="B278" s="107"/>
      <c r="C278" s="86" t="s">
        <v>947</v>
      </c>
      <c r="D278" s="86"/>
    </row>
    <row r="279" spans="1:5" x14ac:dyDescent="0.25">
      <c r="A279" s="107"/>
      <c r="B279" s="107"/>
      <c r="C279" s="86" t="s">
        <v>2585</v>
      </c>
      <c r="D279" s="86"/>
    </row>
    <row r="280" spans="1:5" x14ac:dyDescent="0.25">
      <c r="A280" s="107"/>
      <c r="B280" s="107"/>
      <c r="C280" s="86" t="s">
        <v>2586</v>
      </c>
      <c r="D280" s="86"/>
    </row>
    <row r="281" spans="1:5" x14ac:dyDescent="0.25">
      <c r="A281" s="107"/>
      <c r="B281" s="107"/>
      <c r="C281" s="86" t="s">
        <v>2587</v>
      </c>
      <c r="D281" s="86"/>
    </row>
    <row r="282" spans="1:5" x14ac:dyDescent="0.25">
      <c r="A282" s="107"/>
      <c r="B282" s="107"/>
      <c r="C282" s="86" t="s">
        <v>2588</v>
      </c>
      <c r="D282" s="86" t="s">
        <v>2589</v>
      </c>
      <c r="E282" t="s">
        <v>2363</v>
      </c>
    </row>
    <row r="283" spans="1:5" x14ac:dyDescent="0.25">
      <c r="A283" s="107"/>
      <c r="B283" s="107"/>
      <c r="C283" s="86" t="s">
        <v>2590</v>
      </c>
      <c r="D283" s="86"/>
    </row>
    <row r="284" spans="1:5" x14ac:dyDescent="0.25">
      <c r="A284" s="107"/>
      <c r="B284" s="107"/>
      <c r="C284" s="86" t="s">
        <v>2591</v>
      </c>
      <c r="D284" s="86" t="s">
        <v>706</v>
      </c>
      <c r="E284" t="s">
        <v>2363</v>
      </c>
    </row>
    <row r="285" spans="1:5" x14ac:dyDescent="0.25">
      <c r="A285" s="107"/>
      <c r="B285" s="107"/>
      <c r="C285" s="86" t="s">
        <v>2592</v>
      </c>
      <c r="D285" s="86"/>
    </row>
    <row r="286" spans="1:5" x14ac:dyDescent="0.25">
      <c r="A286" s="107"/>
      <c r="B286" s="107"/>
      <c r="C286" s="86" t="s">
        <v>2593</v>
      </c>
      <c r="D286" s="86"/>
    </row>
    <row r="287" spans="1:5" x14ac:dyDescent="0.25">
      <c r="A287" s="107"/>
      <c r="B287" s="107"/>
      <c r="C287" s="86" t="s">
        <v>2594</v>
      </c>
      <c r="D287" s="86"/>
    </row>
    <row r="288" spans="1:5" x14ac:dyDescent="0.25">
      <c r="A288" s="107"/>
      <c r="B288" s="107"/>
      <c r="C288" s="86" t="s">
        <v>2595</v>
      </c>
      <c r="D288" s="86"/>
    </row>
    <row r="289" spans="1:5" x14ac:dyDescent="0.25">
      <c r="A289" s="107"/>
      <c r="B289" s="107"/>
      <c r="C289" s="86" t="s">
        <v>2596</v>
      </c>
      <c r="D289" s="86" t="s">
        <v>2597</v>
      </c>
      <c r="E289" t="s">
        <v>2363</v>
      </c>
    </row>
    <row r="290" spans="1:5" x14ac:dyDescent="0.25">
      <c r="A290" s="107"/>
      <c r="B290" s="107"/>
      <c r="C290" s="86" t="s">
        <v>1116</v>
      </c>
      <c r="D290" s="86"/>
    </row>
    <row r="291" spans="1:5" x14ac:dyDescent="0.25">
      <c r="A291" s="107"/>
      <c r="B291" s="107"/>
      <c r="C291" s="86" t="s">
        <v>2598</v>
      </c>
      <c r="D291" s="86"/>
    </row>
    <row r="292" spans="1:5" x14ac:dyDescent="0.25">
      <c r="A292" s="107"/>
      <c r="B292" s="107"/>
      <c r="C292" s="86" t="s">
        <v>2599</v>
      </c>
      <c r="D292" s="86"/>
    </row>
    <row r="293" spans="1:5" x14ac:dyDescent="0.25">
      <c r="A293" s="107"/>
      <c r="B293" s="107"/>
      <c r="C293" s="86" t="s">
        <v>2600</v>
      </c>
      <c r="D293" s="86"/>
    </row>
    <row r="294" spans="1:5" x14ac:dyDescent="0.25">
      <c r="A294" s="107"/>
      <c r="B294" s="107"/>
      <c r="C294" s="86" t="s">
        <v>680</v>
      </c>
      <c r="D294" s="86"/>
    </row>
    <row r="295" spans="1:5" x14ac:dyDescent="0.25">
      <c r="A295" s="107"/>
      <c r="B295" s="107"/>
      <c r="C295" s="86" t="s">
        <v>2601</v>
      </c>
      <c r="D295" s="86"/>
    </row>
    <row r="296" spans="1:5" x14ac:dyDescent="0.25">
      <c r="A296" s="107"/>
      <c r="B296" s="107"/>
      <c r="C296" s="86" t="s">
        <v>2602</v>
      </c>
      <c r="D296" s="86"/>
    </row>
    <row r="297" spans="1:5" x14ac:dyDescent="0.25">
      <c r="A297" s="107"/>
      <c r="B297" s="107"/>
      <c r="C297" s="86" t="s">
        <v>2603</v>
      </c>
      <c r="D297" s="86" t="s">
        <v>957</v>
      </c>
      <c r="E297" t="s">
        <v>2363</v>
      </c>
    </row>
    <row r="298" spans="1:5" x14ac:dyDescent="0.25">
      <c r="A298" s="107"/>
      <c r="B298" s="107"/>
      <c r="C298" s="86" t="s">
        <v>2604</v>
      </c>
      <c r="D298" s="86"/>
    </row>
    <row r="299" spans="1:5" x14ac:dyDescent="0.25">
      <c r="A299" s="107"/>
      <c r="B299" s="107"/>
      <c r="C299" s="86" t="s">
        <v>2605</v>
      </c>
      <c r="D299" s="86"/>
    </row>
    <row r="300" spans="1:5" x14ac:dyDescent="0.25">
      <c r="A300" s="107"/>
      <c r="B300" s="107"/>
      <c r="C300" s="110" t="s">
        <v>2606</v>
      </c>
      <c r="D300" s="86"/>
      <c r="E300" t="s">
        <v>2363</v>
      </c>
    </row>
    <row r="301" spans="1:5" x14ac:dyDescent="0.25">
      <c r="A301" s="107"/>
      <c r="B301" s="107"/>
      <c r="C301" s="86" t="s">
        <v>2607</v>
      </c>
      <c r="D301" s="86"/>
    </row>
    <row r="302" spans="1:5" x14ac:dyDescent="0.25">
      <c r="A302" s="107"/>
      <c r="B302" s="107"/>
      <c r="C302" s="86" t="s">
        <v>2608</v>
      </c>
      <c r="D302" s="86"/>
    </row>
    <row r="303" spans="1:5" x14ac:dyDescent="0.25">
      <c r="A303" s="107"/>
      <c r="B303" s="107"/>
      <c r="C303" s="86" t="s">
        <v>1010</v>
      </c>
      <c r="D303" s="86"/>
    </row>
    <row r="304" spans="1:5" x14ac:dyDescent="0.25">
      <c r="A304" s="107"/>
      <c r="B304" s="107"/>
      <c r="C304" s="86" t="s">
        <v>2609</v>
      </c>
      <c r="D304" s="86"/>
    </row>
    <row r="305" spans="1:5" x14ac:dyDescent="0.25">
      <c r="A305" s="107"/>
      <c r="B305" s="107"/>
      <c r="C305" s="86" t="s">
        <v>616</v>
      </c>
      <c r="D305" s="86"/>
    </row>
    <row r="306" spans="1:5" x14ac:dyDescent="0.25">
      <c r="A306" s="107"/>
      <c r="B306" s="107"/>
      <c r="C306" s="86" t="s">
        <v>2610</v>
      </c>
      <c r="D306" s="86"/>
    </row>
    <row r="307" spans="1:5" x14ac:dyDescent="0.25">
      <c r="A307" s="107"/>
      <c r="B307" s="107"/>
      <c r="C307" s="86" t="s">
        <v>937</v>
      </c>
      <c r="D307" s="86"/>
    </row>
    <row r="308" spans="1:5" x14ac:dyDescent="0.25">
      <c r="A308" s="107"/>
      <c r="B308" s="107"/>
      <c r="C308" s="86" t="s">
        <v>975</v>
      </c>
      <c r="D308" s="86"/>
    </row>
    <row r="309" spans="1:5" x14ac:dyDescent="0.25">
      <c r="A309" s="107"/>
      <c r="B309" s="107"/>
      <c r="C309" s="86" t="s">
        <v>2611</v>
      </c>
      <c r="D309" s="86"/>
    </row>
    <row r="310" spans="1:5" x14ac:dyDescent="0.25">
      <c r="A310" s="107"/>
      <c r="B310" s="107"/>
      <c r="C310" s="110" t="s">
        <v>2612</v>
      </c>
      <c r="D310" s="86"/>
      <c r="E310" t="s">
        <v>2363</v>
      </c>
    </row>
    <row r="311" spans="1:5" x14ac:dyDescent="0.25">
      <c r="A311" s="107"/>
      <c r="B311" s="107"/>
      <c r="C311" s="110" t="s">
        <v>2613</v>
      </c>
      <c r="D311" s="86"/>
      <c r="E311" t="s">
        <v>2363</v>
      </c>
    </row>
    <row r="312" spans="1:5" x14ac:dyDescent="0.25">
      <c r="A312" s="107"/>
      <c r="B312" s="107"/>
      <c r="C312" s="110" t="s">
        <v>2614</v>
      </c>
      <c r="D312" s="86"/>
      <c r="E312" t="s">
        <v>2363</v>
      </c>
    </row>
    <row r="313" spans="1:5" x14ac:dyDescent="0.25">
      <c r="A313" s="107"/>
      <c r="B313" s="107"/>
      <c r="C313" s="86" t="s">
        <v>2615</v>
      </c>
      <c r="D313" s="86"/>
    </row>
    <row r="314" spans="1:5" x14ac:dyDescent="0.25">
      <c r="A314" s="107"/>
      <c r="B314" s="107"/>
      <c r="C314" s="86" t="s">
        <v>2616</v>
      </c>
      <c r="D314" s="86"/>
    </row>
    <row r="315" spans="1:5" x14ac:dyDescent="0.25">
      <c r="A315" s="107"/>
      <c r="B315" s="107"/>
      <c r="C315" s="86" t="s">
        <v>2617</v>
      </c>
      <c r="D315" s="86"/>
    </row>
    <row r="316" spans="1:5" x14ac:dyDescent="0.25">
      <c r="A316" s="107"/>
      <c r="B316" s="107"/>
      <c r="C316" s="86" t="s">
        <v>1040</v>
      </c>
      <c r="D316" s="86"/>
    </row>
    <row r="317" spans="1:5" x14ac:dyDescent="0.25">
      <c r="A317" s="107"/>
      <c r="B317" s="107"/>
      <c r="C317" s="86" t="s">
        <v>2618</v>
      </c>
      <c r="D317" s="86"/>
    </row>
    <row r="318" spans="1:5" x14ac:dyDescent="0.25">
      <c r="A318" s="107"/>
      <c r="B318" s="107"/>
      <c r="C318" s="86" t="s">
        <v>2619</v>
      </c>
      <c r="D318" s="111" t="s">
        <v>2620</v>
      </c>
      <c r="E318" t="s">
        <v>2363</v>
      </c>
    </row>
    <row r="319" spans="1:5" x14ac:dyDescent="0.25">
      <c r="A319" s="107"/>
      <c r="B319" s="107"/>
      <c r="C319" s="86" t="s">
        <v>2621</v>
      </c>
      <c r="D319" s="86"/>
    </row>
    <row r="320" spans="1:5" x14ac:dyDescent="0.25">
      <c r="A320" s="107"/>
      <c r="B320" s="107"/>
      <c r="C320" s="86" t="s">
        <v>2622</v>
      </c>
      <c r="D320" s="86"/>
    </row>
    <row r="321" spans="1:5" x14ac:dyDescent="0.25">
      <c r="A321" s="107"/>
      <c r="B321" s="107"/>
      <c r="C321" s="86" t="s">
        <v>2623</v>
      </c>
      <c r="D321" s="86"/>
    </row>
    <row r="322" spans="1:5" x14ac:dyDescent="0.25">
      <c r="A322" s="107"/>
      <c r="B322" s="107"/>
      <c r="C322" s="86" t="s">
        <v>2624</v>
      </c>
      <c r="D322" s="86"/>
    </row>
    <row r="323" spans="1:5" x14ac:dyDescent="0.25">
      <c r="A323" s="107"/>
      <c r="B323" s="107"/>
      <c r="C323" s="86" t="s">
        <v>2625</v>
      </c>
      <c r="D323" s="86"/>
    </row>
    <row r="324" spans="1:5" x14ac:dyDescent="0.25">
      <c r="A324" s="107"/>
      <c r="B324" s="107"/>
      <c r="C324" s="86" t="s">
        <v>2626</v>
      </c>
      <c r="D324" s="86"/>
    </row>
    <row r="325" spans="1:5" x14ac:dyDescent="0.25">
      <c r="A325" s="107"/>
      <c r="B325" s="107"/>
      <c r="C325" s="86" t="s">
        <v>2627</v>
      </c>
      <c r="D325" s="86"/>
    </row>
    <row r="326" spans="1:5" x14ac:dyDescent="0.25">
      <c r="A326" s="107"/>
      <c r="B326" s="107"/>
      <c r="C326" s="86" t="s">
        <v>1643</v>
      </c>
      <c r="D326" s="86"/>
    </row>
    <row r="327" spans="1:5" x14ac:dyDescent="0.25">
      <c r="A327" s="107"/>
      <c r="B327" s="107"/>
      <c r="C327" s="86" t="s">
        <v>1675</v>
      </c>
      <c r="D327" s="86"/>
    </row>
    <row r="328" spans="1:5" x14ac:dyDescent="0.25">
      <c r="A328" s="88"/>
      <c r="B328" s="96" t="s">
        <v>1120</v>
      </c>
      <c r="C328" s="90" t="s">
        <v>2628</v>
      </c>
      <c r="D328" s="90"/>
      <c r="E328" t="s">
        <v>2363</v>
      </c>
    </row>
    <row r="329" spans="1:5" x14ac:dyDescent="0.25">
      <c r="A329" s="91"/>
      <c r="B329" s="97"/>
      <c r="C329" s="90" t="s">
        <v>2629</v>
      </c>
      <c r="D329" s="90"/>
      <c r="E329" t="s">
        <v>2363</v>
      </c>
    </row>
    <row r="330" spans="1:5" x14ac:dyDescent="0.25">
      <c r="A330" s="91"/>
      <c r="B330" s="97"/>
      <c r="C330" s="112" t="s">
        <v>2630</v>
      </c>
      <c r="D330" s="90"/>
      <c r="E330" t="s">
        <v>2363</v>
      </c>
    </row>
    <row r="331" spans="1:5" x14ac:dyDescent="0.25">
      <c r="A331" s="91"/>
      <c r="B331" s="97"/>
      <c r="C331" s="113" t="s">
        <v>2631</v>
      </c>
      <c r="D331" s="90"/>
      <c r="E331" t="s">
        <v>2363</v>
      </c>
    </row>
    <row r="332" spans="1:5" x14ac:dyDescent="0.25">
      <c r="A332" s="91"/>
      <c r="B332" s="97"/>
      <c r="C332" s="113" t="s">
        <v>2632</v>
      </c>
      <c r="D332" s="90"/>
      <c r="E332" t="s">
        <v>2363</v>
      </c>
    </row>
    <row r="333" spans="1:5" x14ac:dyDescent="0.25">
      <c r="A333" s="91"/>
      <c r="B333" s="97"/>
      <c r="C333" s="113" t="s">
        <v>2633</v>
      </c>
      <c r="D333" s="90"/>
      <c r="E333" t="s">
        <v>2363</v>
      </c>
    </row>
    <row r="334" spans="1:5" x14ac:dyDescent="0.25">
      <c r="A334" s="91"/>
      <c r="B334" s="97"/>
      <c r="C334" s="113" t="s">
        <v>2634</v>
      </c>
      <c r="D334" s="90"/>
      <c r="E334" t="s">
        <v>2363</v>
      </c>
    </row>
    <row r="335" spans="1:5" x14ac:dyDescent="0.25">
      <c r="A335" s="91"/>
      <c r="B335" s="97"/>
      <c r="C335" s="90" t="s">
        <v>2635</v>
      </c>
      <c r="D335" s="90"/>
      <c r="E335" t="s">
        <v>2363</v>
      </c>
    </row>
    <row r="336" spans="1:5" x14ac:dyDescent="0.25">
      <c r="A336" s="91"/>
      <c r="B336" s="97"/>
      <c r="C336" s="90" t="s">
        <v>2636</v>
      </c>
      <c r="D336" s="90"/>
      <c r="E336" t="s">
        <v>2363</v>
      </c>
    </row>
    <row r="337" spans="1:5" x14ac:dyDescent="0.25">
      <c r="A337" s="91"/>
      <c r="B337" s="97"/>
      <c r="C337" s="90" t="s">
        <v>2637</v>
      </c>
      <c r="D337" s="90"/>
      <c r="E337" t="s">
        <v>2363</v>
      </c>
    </row>
    <row r="338" spans="1:5" x14ac:dyDescent="0.25">
      <c r="A338" s="91"/>
      <c r="B338" s="97"/>
      <c r="C338" s="90" t="s">
        <v>2638</v>
      </c>
      <c r="D338" s="90"/>
      <c r="E338" t="s">
        <v>2363</v>
      </c>
    </row>
    <row r="339" spans="1:5" x14ac:dyDescent="0.25">
      <c r="A339" s="91"/>
      <c r="B339" s="97"/>
      <c r="C339" s="90" t="s">
        <v>2639</v>
      </c>
      <c r="D339" s="90"/>
      <c r="E339" t="s">
        <v>2363</v>
      </c>
    </row>
    <row r="340" spans="1:5" x14ac:dyDescent="0.25">
      <c r="A340" s="91"/>
      <c r="B340" s="97"/>
      <c r="C340" s="90" t="s">
        <v>2640</v>
      </c>
      <c r="D340" s="90"/>
      <c r="E340" t="s">
        <v>2363</v>
      </c>
    </row>
    <row r="341" spans="1:5" x14ac:dyDescent="0.25">
      <c r="A341" s="91"/>
      <c r="B341" s="97"/>
      <c r="C341" s="90" t="s">
        <v>2641</v>
      </c>
      <c r="D341" s="90"/>
      <c r="E341" t="s">
        <v>2363</v>
      </c>
    </row>
    <row r="342" spans="1:5" x14ac:dyDescent="0.25">
      <c r="A342" s="91"/>
      <c r="B342" s="97"/>
      <c r="C342" s="90" t="s">
        <v>2642</v>
      </c>
      <c r="D342" s="90"/>
      <c r="E342" t="s">
        <v>2363</v>
      </c>
    </row>
    <row r="343" spans="1:5" x14ac:dyDescent="0.25">
      <c r="A343" s="91"/>
      <c r="B343" s="97"/>
      <c r="C343" s="90" t="s">
        <v>2643</v>
      </c>
      <c r="D343" s="90"/>
      <c r="E343" t="s">
        <v>2363</v>
      </c>
    </row>
    <row r="344" spans="1:5" x14ac:dyDescent="0.25">
      <c r="A344" s="91"/>
      <c r="B344" s="97"/>
      <c r="C344" s="90" t="s">
        <v>2644</v>
      </c>
      <c r="D344" s="90"/>
      <c r="E344" t="s">
        <v>2363</v>
      </c>
    </row>
    <row r="345" spans="1:5" x14ac:dyDescent="0.25">
      <c r="A345" s="91"/>
      <c r="B345" s="97"/>
      <c r="C345" s="90" t="s">
        <v>2645</v>
      </c>
      <c r="D345" s="90"/>
      <c r="E345" t="s">
        <v>2363</v>
      </c>
    </row>
    <row r="346" spans="1:5" x14ac:dyDescent="0.25">
      <c r="A346" s="91"/>
      <c r="B346" s="97"/>
      <c r="C346" s="90" t="s">
        <v>2646</v>
      </c>
      <c r="D346" s="90"/>
      <c r="E346" t="s">
        <v>2363</v>
      </c>
    </row>
    <row r="347" spans="1:5" x14ac:dyDescent="0.25">
      <c r="A347" s="91"/>
      <c r="B347" s="97"/>
      <c r="C347" s="90" t="s">
        <v>2647</v>
      </c>
      <c r="D347" s="90"/>
      <c r="E347" t="s">
        <v>2363</v>
      </c>
    </row>
    <row r="348" spans="1:5" x14ac:dyDescent="0.25">
      <c r="A348" s="91"/>
      <c r="B348" s="97"/>
      <c r="C348" s="90" t="s">
        <v>2648</v>
      </c>
      <c r="D348" s="90"/>
      <c r="E348" t="s">
        <v>2363</v>
      </c>
    </row>
    <row r="349" spans="1:5" x14ac:dyDescent="0.25">
      <c r="A349" s="91"/>
      <c r="B349" s="97"/>
      <c r="C349" s="90" t="s">
        <v>2649</v>
      </c>
      <c r="D349" s="90"/>
      <c r="E349" t="s">
        <v>2363</v>
      </c>
    </row>
    <row r="350" spans="1:5" x14ac:dyDescent="0.25">
      <c r="A350" s="91"/>
      <c r="B350" s="97"/>
      <c r="C350" s="90" t="s">
        <v>2650</v>
      </c>
      <c r="D350" s="90"/>
      <c r="E350" t="s">
        <v>2363</v>
      </c>
    </row>
    <row r="351" spans="1:5" x14ac:dyDescent="0.25">
      <c r="A351" s="91"/>
      <c r="B351" s="97"/>
      <c r="C351" s="90" t="s">
        <v>2651</v>
      </c>
      <c r="D351" s="90"/>
      <c r="E351" t="s">
        <v>2363</v>
      </c>
    </row>
    <row r="352" spans="1:5" x14ac:dyDescent="0.25">
      <c r="A352" s="91"/>
      <c r="B352" s="97"/>
      <c r="C352" s="90" t="s">
        <v>2652</v>
      </c>
      <c r="D352" s="90"/>
      <c r="E352" t="s">
        <v>2363</v>
      </c>
    </row>
    <row r="353" spans="1:5" x14ac:dyDescent="0.25">
      <c r="A353" s="91"/>
      <c r="B353" s="97"/>
      <c r="C353" s="90" t="s">
        <v>2653</v>
      </c>
      <c r="D353" s="90"/>
      <c r="E353" t="s">
        <v>2363</v>
      </c>
    </row>
    <row r="354" spans="1:5" x14ac:dyDescent="0.25">
      <c r="A354" s="91"/>
      <c r="B354" s="97"/>
      <c r="C354" s="90" t="s">
        <v>2654</v>
      </c>
      <c r="D354" s="90"/>
      <c r="E354" t="s">
        <v>2363</v>
      </c>
    </row>
    <row r="355" spans="1:5" x14ac:dyDescent="0.25">
      <c r="A355" s="91"/>
      <c r="B355" s="97"/>
      <c r="C355" s="90" t="s">
        <v>2655</v>
      </c>
      <c r="D355" s="90"/>
      <c r="E355" t="s">
        <v>2363</v>
      </c>
    </row>
    <row r="356" spans="1:5" x14ac:dyDescent="0.25">
      <c r="A356" s="91"/>
      <c r="B356" s="97"/>
      <c r="C356" s="90" t="s">
        <v>2656</v>
      </c>
      <c r="D356" s="90"/>
      <c r="E356" t="s">
        <v>2363</v>
      </c>
    </row>
    <row r="357" spans="1:5" x14ac:dyDescent="0.25">
      <c r="A357" s="91"/>
      <c r="B357" s="97"/>
      <c r="C357" s="90" t="s">
        <v>2657</v>
      </c>
      <c r="D357" s="90"/>
      <c r="E357" t="s">
        <v>2363</v>
      </c>
    </row>
    <row r="358" spans="1:5" x14ac:dyDescent="0.25">
      <c r="A358" s="91"/>
      <c r="B358" s="97"/>
      <c r="C358" s="90" t="s">
        <v>2658</v>
      </c>
      <c r="D358" s="90"/>
      <c r="E358" t="s">
        <v>2363</v>
      </c>
    </row>
    <row r="359" spans="1:5" x14ac:dyDescent="0.25">
      <c r="A359" s="91"/>
      <c r="B359" s="97"/>
      <c r="C359" s="90" t="s">
        <v>2659</v>
      </c>
      <c r="D359" s="90"/>
      <c r="E359" t="s">
        <v>2363</v>
      </c>
    </row>
    <row r="360" spans="1:5" x14ac:dyDescent="0.25">
      <c r="A360" s="91"/>
      <c r="B360" s="97"/>
      <c r="C360" s="90" t="s">
        <v>2660</v>
      </c>
      <c r="D360" s="90"/>
      <c r="E360" t="s">
        <v>2363</v>
      </c>
    </row>
    <row r="361" spans="1:5" x14ac:dyDescent="0.25">
      <c r="A361" s="91"/>
      <c r="B361" s="97"/>
      <c r="C361" s="90" t="s">
        <v>2661</v>
      </c>
      <c r="D361" s="90"/>
      <c r="E361" t="s">
        <v>2363</v>
      </c>
    </row>
    <row r="362" spans="1:5" x14ac:dyDescent="0.25">
      <c r="A362" s="91"/>
      <c r="B362" s="97"/>
      <c r="C362" s="90" t="s">
        <v>2662</v>
      </c>
      <c r="D362" s="90"/>
      <c r="E362" t="s">
        <v>2363</v>
      </c>
    </row>
    <row r="363" spans="1:5" x14ac:dyDescent="0.25">
      <c r="A363" s="91"/>
      <c r="B363" s="97"/>
      <c r="C363" s="90" t="s">
        <v>2663</v>
      </c>
      <c r="D363" s="90"/>
      <c r="E363" t="s">
        <v>2363</v>
      </c>
    </row>
    <row r="364" spans="1:5" x14ac:dyDescent="0.25">
      <c r="A364" s="91"/>
      <c r="B364" s="97"/>
      <c r="C364" s="90" t="s">
        <v>2664</v>
      </c>
      <c r="D364" s="90"/>
      <c r="E364" t="s">
        <v>2363</v>
      </c>
    </row>
    <row r="365" spans="1:5" x14ac:dyDescent="0.25">
      <c r="A365" s="91"/>
      <c r="B365" s="97"/>
      <c r="C365" s="90" t="s">
        <v>2665</v>
      </c>
      <c r="D365" s="90"/>
      <c r="E365" t="s">
        <v>2363</v>
      </c>
    </row>
    <row r="366" spans="1:5" x14ac:dyDescent="0.25">
      <c r="A366" s="91"/>
      <c r="B366" s="97"/>
      <c r="C366" s="90" t="s">
        <v>2666</v>
      </c>
      <c r="D366" s="90"/>
      <c r="E366" t="s">
        <v>2363</v>
      </c>
    </row>
    <row r="367" spans="1:5" x14ac:dyDescent="0.25">
      <c r="A367" s="91"/>
      <c r="B367" s="97"/>
      <c r="C367" s="90" t="s">
        <v>2667</v>
      </c>
      <c r="D367" s="90"/>
      <c r="E367" t="s">
        <v>2363</v>
      </c>
    </row>
    <row r="368" spans="1:5" x14ac:dyDescent="0.25">
      <c r="A368" s="91"/>
      <c r="B368" s="97"/>
      <c r="C368" s="90" t="s">
        <v>2668</v>
      </c>
      <c r="D368" s="90"/>
      <c r="E368" t="s">
        <v>2363</v>
      </c>
    </row>
    <row r="369" spans="1:5" x14ac:dyDescent="0.25">
      <c r="A369" s="91"/>
      <c r="B369" s="97"/>
      <c r="C369" s="90" t="s">
        <v>2669</v>
      </c>
      <c r="D369" s="90"/>
      <c r="E369" t="s">
        <v>2363</v>
      </c>
    </row>
    <row r="370" spans="1:5" x14ac:dyDescent="0.25">
      <c r="A370" s="91"/>
      <c r="B370" s="97"/>
      <c r="C370" s="90" t="s">
        <v>2670</v>
      </c>
      <c r="D370" s="90"/>
      <c r="E370" t="s">
        <v>2363</v>
      </c>
    </row>
    <row r="371" spans="1:5" x14ac:dyDescent="0.25">
      <c r="A371" s="91"/>
      <c r="B371" s="97"/>
      <c r="C371" s="90" t="s">
        <v>2671</v>
      </c>
      <c r="D371" s="90"/>
      <c r="E371" t="s">
        <v>2363</v>
      </c>
    </row>
    <row r="372" spans="1:5" x14ac:dyDescent="0.25">
      <c r="A372" s="91"/>
      <c r="B372" s="97"/>
      <c r="C372" s="90" t="s">
        <v>2672</v>
      </c>
      <c r="D372" s="90"/>
      <c r="E372" t="s">
        <v>2363</v>
      </c>
    </row>
    <row r="373" spans="1:5" x14ac:dyDescent="0.25">
      <c r="A373" s="91"/>
      <c r="B373" s="97"/>
      <c r="C373" s="90" t="s">
        <v>2673</v>
      </c>
      <c r="D373" s="90"/>
      <c r="E373" t="s">
        <v>2363</v>
      </c>
    </row>
    <row r="374" spans="1:5" x14ac:dyDescent="0.25">
      <c r="A374" s="91"/>
      <c r="B374" s="97"/>
      <c r="C374" s="90" t="s">
        <v>2674</v>
      </c>
      <c r="D374" s="90"/>
      <c r="E374" t="s">
        <v>2363</v>
      </c>
    </row>
    <row r="375" spans="1:5" x14ac:dyDescent="0.25">
      <c r="A375" s="91"/>
      <c r="B375" s="97"/>
      <c r="C375" s="90" t="s">
        <v>2675</v>
      </c>
      <c r="D375" s="90"/>
      <c r="E375" t="s">
        <v>2363</v>
      </c>
    </row>
    <row r="376" spans="1:5" x14ac:dyDescent="0.25">
      <c r="A376" s="91"/>
      <c r="B376" s="97"/>
      <c r="C376" s="90" t="s">
        <v>2676</v>
      </c>
      <c r="D376" s="90"/>
      <c r="E376" t="s">
        <v>2363</v>
      </c>
    </row>
    <row r="377" spans="1:5" x14ac:dyDescent="0.25">
      <c r="A377" s="91"/>
      <c r="B377" s="97"/>
      <c r="C377" s="90" t="s">
        <v>2677</v>
      </c>
      <c r="D377" s="90"/>
      <c r="E377" t="s">
        <v>2363</v>
      </c>
    </row>
    <row r="378" spans="1:5" x14ac:dyDescent="0.25">
      <c r="A378" s="91"/>
      <c r="B378" s="97"/>
      <c r="C378" s="90" t="s">
        <v>2678</v>
      </c>
      <c r="D378" s="90"/>
      <c r="E378" t="s">
        <v>2363</v>
      </c>
    </row>
    <row r="379" spans="1:5" x14ac:dyDescent="0.25">
      <c r="A379" s="91"/>
      <c r="B379" s="97"/>
      <c r="C379" s="90" t="s">
        <v>2679</v>
      </c>
      <c r="D379" s="90"/>
      <c r="E379" t="s">
        <v>2363</v>
      </c>
    </row>
    <row r="380" spans="1:5" x14ac:dyDescent="0.25">
      <c r="A380" s="91"/>
      <c r="B380" s="97"/>
      <c r="C380" s="90" t="s">
        <v>2680</v>
      </c>
      <c r="D380" s="90"/>
      <c r="E380" t="s">
        <v>2363</v>
      </c>
    </row>
    <row r="381" spans="1:5" x14ac:dyDescent="0.25">
      <c r="A381" s="91"/>
      <c r="B381" s="97"/>
      <c r="C381" s="90" t="s">
        <v>2681</v>
      </c>
      <c r="D381" s="90"/>
      <c r="E381" t="s">
        <v>2363</v>
      </c>
    </row>
    <row r="382" spans="1:5" x14ac:dyDescent="0.25">
      <c r="A382" s="91"/>
      <c r="B382" s="97"/>
      <c r="C382" s="90" t="s">
        <v>2682</v>
      </c>
      <c r="D382" s="90"/>
      <c r="E382" t="s">
        <v>2363</v>
      </c>
    </row>
    <row r="383" spans="1:5" x14ac:dyDescent="0.25">
      <c r="A383" s="91"/>
      <c r="B383" s="97"/>
      <c r="C383" s="90" t="s">
        <v>2683</v>
      </c>
      <c r="D383" s="90"/>
      <c r="E383" t="s">
        <v>2363</v>
      </c>
    </row>
    <row r="384" spans="1:5" x14ac:dyDescent="0.25">
      <c r="A384" s="91"/>
      <c r="B384" s="97"/>
      <c r="C384" s="90" t="s">
        <v>2684</v>
      </c>
      <c r="D384" s="90"/>
      <c r="E384" t="s">
        <v>2363</v>
      </c>
    </row>
    <row r="385" spans="1:5" x14ac:dyDescent="0.25">
      <c r="A385" s="91"/>
      <c r="B385" s="97"/>
      <c r="C385" s="90" t="s">
        <v>2685</v>
      </c>
      <c r="D385" s="90"/>
      <c r="E385" t="s">
        <v>2363</v>
      </c>
    </row>
    <row r="386" spans="1:5" x14ac:dyDescent="0.25">
      <c r="A386" s="91"/>
      <c r="B386" s="97"/>
      <c r="C386" s="90" t="s">
        <v>2686</v>
      </c>
      <c r="D386" s="90"/>
      <c r="E386" t="s">
        <v>2363</v>
      </c>
    </row>
    <row r="387" spans="1:5" x14ac:dyDescent="0.25">
      <c r="A387" s="91"/>
      <c r="B387" s="97"/>
      <c r="C387" s="90" t="s">
        <v>2687</v>
      </c>
      <c r="D387" s="90"/>
      <c r="E387" t="s">
        <v>2363</v>
      </c>
    </row>
    <row r="388" spans="1:5" x14ac:dyDescent="0.25">
      <c r="A388" s="91"/>
      <c r="B388" s="97"/>
      <c r="C388" s="90" t="s">
        <v>2688</v>
      </c>
      <c r="D388" s="90"/>
      <c r="E388" t="s">
        <v>2363</v>
      </c>
    </row>
    <row r="389" spans="1:5" x14ac:dyDescent="0.25">
      <c r="A389" s="91"/>
      <c r="B389" s="97"/>
      <c r="C389" s="90" t="s">
        <v>2689</v>
      </c>
      <c r="D389" s="90"/>
      <c r="E389" t="s">
        <v>2363</v>
      </c>
    </row>
    <row r="390" spans="1:5" x14ac:dyDescent="0.25">
      <c r="A390" s="91"/>
      <c r="B390" s="97"/>
      <c r="C390" s="90" t="s">
        <v>2690</v>
      </c>
      <c r="D390" s="90"/>
      <c r="E390" t="s">
        <v>2363</v>
      </c>
    </row>
    <row r="391" spans="1:5" x14ac:dyDescent="0.25">
      <c r="A391" s="91"/>
      <c r="B391" s="97"/>
      <c r="C391" s="90" t="s">
        <v>2691</v>
      </c>
      <c r="D391" s="90"/>
      <c r="E391" t="s">
        <v>2363</v>
      </c>
    </row>
    <row r="392" spans="1:5" x14ac:dyDescent="0.25">
      <c r="A392" s="91"/>
      <c r="B392" s="97"/>
      <c r="C392" s="90" t="s">
        <v>2692</v>
      </c>
      <c r="D392" s="90"/>
      <c r="E392" t="s">
        <v>2363</v>
      </c>
    </row>
    <row r="393" spans="1:5" x14ac:dyDescent="0.25">
      <c r="A393" s="91"/>
      <c r="B393" s="97"/>
      <c r="C393" s="90" t="s">
        <v>2693</v>
      </c>
      <c r="D393" s="90"/>
      <c r="E393" t="s">
        <v>2363</v>
      </c>
    </row>
    <row r="394" spans="1:5" x14ac:dyDescent="0.25">
      <c r="A394" s="91"/>
      <c r="B394" s="97"/>
      <c r="C394" s="90" t="s">
        <v>2694</v>
      </c>
      <c r="D394" s="90"/>
      <c r="E394" t="s">
        <v>2363</v>
      </c>
    </row>
    <row r="395" spans="1:5" x14ac:dyDescent="0.25">
      <c r="A395" s="91"/>
      <c r="B395" s="97"/>
      <c r="C395" s="90" t="s">
        <v>2695</v>
      </c>
      <c r="D395" s="90"/>
      <c r="E395" t="s">
        <v>2363</v>
      </c>
    </row>
    <row r="396" spans="1:5" x14ac:dyDescent="0.25">
      <c r="A396" s="91"/>
      <c r="B396" s="97"/>
      <c r="C396" s="90" t="s">
        <v>2696</v>
      </c>
      <c r="D396" s="90"/>
      <c r="E396" t="s">
        <v>2363</v>
      </c>
    </row>
    <row r="397" spans="1:5" x14ac:dyDescent="0.25">
      <c r="A397" s="91"/>
      <c r="B397" s="97"/>
      <c r="C397" s="90" t="s">
        <v>2697</v>
      </c>
      <c r="D397" s="90"/>
      <c r="E397" t="s">
        <v>2363</v>
      </c>
    </row>
    <row r="398" spans="1:5" x14ac:dyDescent="0.25">
      <c r="A398" s="91"/>
      <c r="B398" s="97"/>
      <c r="C398" s="90" t="s">
        <v>2698</v>
      </c>
      <c r="D398" s="90"/>
      <c r="E398" t="s">
        <v>2363</v>
      </c>
    </row>
    <row r="399" spans="1:5" x14ac:dyDescent="0.25">
      <c r="A399" s="91"/>
      <c r="B399" s="97"/>
      <c r="C399" s="90" t="s">
        <v>2699</v>
      </c>
      <c r="D399" s="90"/>
      <c r="E399" t="s">
        <v>2363</v>
      </c>
    </row>
    <row r="400" spans="1:5" x14ac:dyDescent="0.25">
      <c r="A400" s="91"/>
      <c r="B400" s="97"/>
      <c r="C400" s="90" t="s">
        <v>2700</v>
      </c>
      <c r="D400" s="90"/>
      <c r="E400" t="s">
        <v>2363</v>
      </c>
    </row>
    <row r="401" spans="1:5" x14ac:dyDescent="0.25">
      <c r="A401" s="91"/>
      <c r="B401" s="97"/>
      <c r="C401" s="90" t="s">
        <v>2701</v>
      </c>
      <c r="D401" s="90"/>
      <c r="E401" t="s">
        <v>2363</v>
      </c>
    </row>
    <row r="402" spans="1:5" x14ac:dyDescent="0.25">
      <c r="A402" s="91"/>
      <c r="B402" s="97"/>
      <c r="C402" s="90" t="s">
        <v>2702</v>
      </c>
      <c r="D402" s="90"/>
      <c r="E402" t="s">
        <v>2363</v>
      </c>
    </row>
    <row r="403" spans="1:5" x14ac:dyDescent="0.25">
      <c r="A403" s="91"/>
      <c r="B403" s="97"/>
      <c r="C403" s="90" t="s">
        <v>2703</v>
      </c>
      <c r="D403" s="90"/>
      <c r="E403" t="s">
        <v>2363</v>
      </c>
    </row>
    <row r="404" spans="1:5" x14ac:dyDescent="0.25">
      <c r="A404" s="91"/>
      <c r="B404" s="97"/>
      <c r="C404" s="90" t="s">
        <v>2704</v>
      </c>
      <c r="D404" s="90"/>
      <c r="E404" t="s">
        <v>2363</v>
      </c>
    </row>
    <row r="405" spans="1:5" x14ac:dyDescent="0.25">
      <c r="A405" s="91"/>
      <c r="B405" s="97"/>
      <c r="C405" s="90" t="s">
        <v>2705</v>
      </c>
      <c r="D405" s="90"/>
      <c r="E405" t="s">
        <v>2363</v>
      </c>
    </row>
    <row r="406" spans="1:5" x14ac:dyDescent="0.25">
      <c r="A406" s="91"/>
      <c r="B406" s="97"/>
      <c r="C406" s="90" t="s">
        <v>2706</v>
      </c>
      <c r="D406" s="90"/>
      <c r="E406" t="s">
        <v>2363</v>
      </c>
    </row>
    <row r="407" spans="1:5" x14ac:dyDescent="0.25">
      <c r="A407" s="91"/>
      <c r="B407" s="97"/>
      <c r="C407" s="90" t="s">
        <v>2707</v>
      </c>
      <c r="D407" s="90"/>
      <c r="E407" t="s">
        <v>2363</v>
      </c>
    </row>
    <row r="408" spans="1:5" x14ac:dyDescent="0.25">
      <c r="A408" s="91"/>
      <c r="B408" s="97"/>
      <c r="C408" s="90" t="s">
        <v>2708</v>
      </c>
      <c r="D408" s="90"/>
      <c r="E408" t="s">
        <v>2363</v>
      </c>
    </row>
    <row r="409" spans="1:5" x14ac:dyDescent="0.25">
      <c r="A409" s="91"/>
      <c r="B409" s="97"/>
      <c r="C409" s="90" t="s">
        <v>2709</v>
      </c>
      <c r="D409" s="90"/>
      <c r="E409" t="s">
        <v>2363</v>
      </c>
    </row>
    <row r="410" spans="1:5" x14ac:dyDescent="0.25">
      <c r="A410" s="91"/>
      <c r="B410" s="97"/>
      <c r="C410" s="90" t="s">
        <v>2710</v>
      </c>
      <c r="D410" s="90"/>
      <c r="E410" t="s">
        <v>2363</v>
      </c>
    </row>
    <row r="411" spans="1:5" x14ac:dyDescent="0.25">
      <c r="A411" s="91"/>
      <c r="B411" s="97"/>
      <c r="C411" s="90" t="s">
        <v>2711</v>
      </c>
      <c r="D411" s="90"/>
      <c r="E411" t="s">
        <v>2363</v>
      </c>
    </row>
    <row r="412" spans="1:5" x14ac:dyDescent="0.25">
      <c r="A412" s="91"/>
      <c r="B412" s="97"/>
      <c r="C412" s="90" t="s">
        <v>2712</v>
      </c>
      <c r="D412" s="90"/>
      <c r="E412" t="s">
        <v>2363</v>
      </c>
    </row>
    <row r="413" spans="1:5" x14ac:dyDescent="0.25">
      <c r="A413" s="91"/>
      <c r="B413" s="97"/>
      <c r="C413" s="90" t="s">
        <v>2713</v>
      </c>
      <c r="D413" s="90"/>
      <c r="E413" t="s">
        <v>2363</v>
      </c>
    </row>
    <row r="414" spans="1:5" x14ac:dyDescent="0.25">
      <c r="A414" s="91"/>
      <c r="B414" s="97"/>
      <c r="C414" s="90" t="s">
        <v>2714</v>
      </c>
      <c r="D414" s="90"/>
      <c r="E414" t="s">
        <v>2363</v>
      </c>
    </row>
    <row r="415" spans="1:5" x14ac:dyDescent="0.25">
      <c r="A415" s="91"/>
      <c r="B415" s="97"/>
      <c r="C415" s="90" t="s">
        <v>2715</v>
      </c>
      <c r="D415" s="90"/>
      <c r="E415" t="s">
        <v>2363</v>
      </c>
    </row>
    <row r="416" spans="1:5" x14ac:dyDescent="0.25">
      <c r="A416" s="91"/>
      <c r="B416" s="97"/>
      <c r="C416" s="90" t="s">
        <v>2716</v>
      </c>
      <c r="D416" s="90"/>
      <c r="E416" t="s">
        <v>2363</v>
      </c>
    </row>
    <row r="417" spans="1:5" x14ac:dyDescent="0.25">
      <c r="A417" s="91"/>
      <c r="B417" s="97"/>
      <c r="C417" s="90" t="s">
        <v>2717</v>
      </c>
      <c r="D417" s="90"/>
      <c r="E417" t="s">
        <v>2363</v>
      </c>
    </row>
    <row r="418" spans="1:5" x14ac:dyDescent="0.25">
      <c r="A418" s="91"/>
      <c r="B418" s="97"/>
      <c r="C418" s="90" t="s">
        <v>2718</v>
      </c>
      <c r="D418" s="90"/>
      <c r="E418" t="s">
        <v>2363</v>
      </c>
    </row>
    <row r="419" spans="1:5" x14ac:dyDescent="0.25">
      <c r="A419" s="91"/>
      <c r="B419" s="97"/>
      <c r="C419" s="90" t="s">
        <v>2719</v>
      </c>
      <c r="D419" s="90"/>
      <c r="E419" t="s">
        <v>2363</v>
      </c>
    </row>
    <row r="420" spans="1:5" x14ac:dyDescent="0.25">
      <c r="A420" s="91"/>
      <c r="B420" s="97"/>
      <c r="C420" s="90" t="s">
        <v>2720</v>
      </c>
      <c r="D420" s="90"/>
      <c r="E420" t="s">
        <v>2363</v>
      </c>
    </row>
    <row r="421" spans="1:5" x14ac:dyDescent="0.25">
      <c r="A421" s="91"/>
      <c r="B421" s="97"/>
      <c r="C421" s="90" t="s">
        <v>2721</v>
      </c>
      <c r="D421" s="90"/>
      <c r="E421" t="s">
        <v>2363</v>
      </c>
    </row>
    <row r="422" spans="1:5" x14ac:dyDescent="0.25">
      <c r="A422" s="91"/>
      <c r="B422" s="97"/>
      <c r="C422" s="90" t="s">
        <v>2722</v>
      </c>
      <c r="D422" s="90"/>
      <c r="E422" t="s">
        <v>2363</v>
      </c>
    </row>
    <row r="423" spans="1:5" x14ac:dyDescent="0.25">
      <c r="A423" s="91"/>
      <c r="B423" s="97"/>
      <c r="C423" s="90" t="s">
        <v>2723</v>
      </c>
      <c r="D423" s="90"/>
      <c r="E423" t="s">
        <v>2363</v>
      </c>
    </row>
    <row r="424" spans="1:5" x14ac:dyDescent="0.25">
      <c r="A424" s="91"/>
      <c r="B424" s="97"/>
      <c r="C424" s="90" t="s">
        <v>2724</v>
      </c>
      <c r="D424" s="90"/>
      <c r="E424" t="s">
        <v>2363</v>
      </c>
    </row>
    <row r="425" spans="1:5" x14ac:dyDescent="0.25">
      <c r="A425" s="91"/>
      <c r="B425" s="97"/>
      <c r="C425" s="90" t="s">
        <v>2725</v>
      </c>
      <c r="D425" s="90"/>
      <c r="E425" t="s">
        <v>2363</v>
      </c>
    </row>
    <row r="426" spans="1:5" x14ac:dyDescent="0.25">
      <c r="A426" s="91"/>
      <c r="B426" s="97"/>
      <c r="C426" s="90" t="s">
        <v>2726</v>
      </c>
      <c r="D426" s="90"/>
      <c r="E426" t="s">
        <v>2363</v>
      </c>
    </row>
    <row r="427" spans="1:5" x14ac:dyDescent="0.25">
      <c r="A427" s="91"/>
      <c r="B427" s="97"/>
      <c r="C427" s="90" t="s">
        <v>2727</v>
      </c>
      <c r="D427" s="90"/>
      <c r="E427" t="s">
        <v>2363</v>
      </c>
    </row>
    <row r="428" spans="1:5" x14ac:dyDescent="0.25">
      <c r="A428" s="91"/>
      <c r="B428" s="97"/>
      <c r="C428" s="90" t="s">
        <v>2728</v>
      </c>
      <c r="D428" s="90"/>
      <c r="E428" t="s">
        <v>2363</v>
      </c>
    </row>
    <row r="429" spans="1:5" x14ac:dyDescent="0.25">
      <c r="A429" s="91"/>
      <c r="B429" s="97"/>
      <c r="C429" s="90" t="s">
        <v>2729</v>
      </c>
      <c r="D429" s="90"/>
      <c r="E429" t="s">
        <v>2363</v>
      </c>
    </row>
    <row r="430" spans="1:5" x14ac:dyDescent="0.25">
      <c r="A430" s="91"/>
      <c r="B430" s="97"/>
      <c r="C430" s="90" t="s">
        <v>2730</v>
      </c>
      <c r="D430" s="90"/>
      <c r="E430" t="s">
        <v>2363</v>
      </c>
    </row>
    <row r="431" spans="1:5" x14ac:dyDescent="0.25">
      <c r="A431" s="91"/>
      <c r="B431" s="97"/>
      <c r="C431" s="90" t="s">
        <v>2731</v>
      </c>
      <c r="D431" s="90"/>
      <c r="E431" t="s">
        <v>2363</v>
      </c>
    </row>
    <row r="432" spans="1:5" x14ac:dyDescent="0.25">
      <c r="A432" s="91"/>
      <c r="B432" s="97"/>
      <c r="C432" s="90" t="s">
        <v>2732</v>
      </c>
      <c r="D432" s="90"/>
      <c r="E432" t="s">
        <v>2363</v>
      </c>
    </row>
    <row r="433" spans="1:5" x14ac:dyDescent="0.25">
      <c r="A433" s="91"/>
      <c r="B433" s="97"/>
      <c r="C433" s="90" t="s">
        <v>2733</v>
      </c>
      <c r="D433" s="90"/>
      <c r="E433" t="s">
        <v>2363</v>
      </c>
    </row>
    <row r="434" spans="1:5" x14ac:dyDescent="0.25">
      <c r="A434" s="91"/>
      <c r="B434" s="97"/>
      <c r="C434" s="90" t="s">
        <v>2734</v>
      </c>
      <c r="D434" s="90"/>
      <c r="E434" t="s">
        <v>2363</v>
      </c>
    </row>
    <row r="435" spans="1:5" x14ac:dyDescent="0.25">
      <c r="A435" s="91"/>
      <c r="B435" s="97"/>
      <c r="C435" s="90" t="s">
        <v>2735</v>
      </c>
      <c r="D435" s="90"/>
      <c r="E435" t="s">
        <v>2363</v>
      </c>
    </row>
    <row r="436" spans="1:5" x14ac:dyDescent="0.25">
      <c r="A436" s="91"/>
      <c r="B436" s="97"/>
      <c r="C436" s="90" t="s">
        <v>2736</v>
      </c>
      <c r="D436" s="90"/>
      <c r="E436" t="s">
        <v>2363</v>
      </c>
    </row>
    <row r="437" spans="1:5" x14ac:dyDescent="0.25">
      <c r="A437" s="91"/>
      <c r="B437" s="97"/>
      <c r="C437" s="90" t="s">
        <v>2737</v>
      </c>
      <c r="D437" s="90"/>
      <c r="E437" t="s">
        <v>2363</v>
      </c>
    </row>
    <row r="438" spans="1:5" x14ac:dyDescent="0.25">
      <c r="A438" s="91"/>
      <c r="B438" s="97"/>
      <c r="C438" s="90" t="s">
        <v>2738</v>
      </c>
      <c r="D438" s="90"/>
      <c r="E438" t="s">
        <v>2363</v>
      </c>
    </row>
    <row r="439" spans="1:5" x14ac:dyDescent="0.25">
      <c r="A439" s="91"/>
      <c r="B439" s="97"/>
      <c r="C439" s="90" t="s">
        <v>2739</v>
      </c>
      <c r="D439" s="90"/>
      <c r="E439" t="s">
        <v>2363</v>
      </c>
    </row>
    <row r="440" spans="1:5" x14ac:dyDescent="0.25">
      <c r="A440" s="91"/>
      <c r="B440" s="97"/>
      <c r="C440" s="90" t="s">
        <v>2740</v>
      </c>
      <c r="D440" s="90"/>
      <c r="E440" t="s">
        <v>2363</v>
      </c>
    </row>
    <row r="441" spans="1:5" x14ac:dyDescent="0.25">
      <c r="A441" s="91"/>
      <c r="B441" s="97"/>
      <c r="C441" s="90" t="s">
        <v>2741</v>
      </c>
      <c r="D441" s="90"/>
      <c r="E441" t="s">
        <v>2363</v>
      </c>
    </row>
    <row r="442" spans="1:5" x14ac:dyDescent="0.25">
      <c r="A442" s="91"/>
      <c r="B442" s="97"/>
      <c r="C442" s="90" t="s">
        <v>2742</v>
      </c>
      <c r="D442" s="90"/>
      <c r="E442" t="s">
        <v>2363</v>
      </c>
    </row>
    <row r="443" spans="1:5" x14ac:dyDescent="0.25">
      <c r="A443" s="91"/>
      <c r="B443" s="97"/>
      <c r="C443" s="90" t="s">
        <v>2743</v>
      </c>
      <c r="D443" s="90"/>
      <c r="E443" t="s">
        <v>2363</v>
      </c>
    </row>
    <row r="444" spans="1:5" x14ac:dyDescent="0.25">
      <c r="A444" s="91"/>
      <c r="B444" s="97"/>
      <c r="C444" s="90" t="s">
        <v>2744</v>
      </c>
      <c r="D444" s="90"/>
      <c r="E444" t="s">
        <v>2363</v>
      </c>
    </row>
    <row r="445" spans="1:5" x14ac:dyDescent="0.25">
      <c r="A445" s="91"/>
      <c r="B445" s="97"/>
      <c r="C445" s="90" t="s">
        <v>2745</v>
      </c>
      <c r="D445" s="90"/>
      <c r="E445" t="s">
        <v>2363</v>
      </c>
    </row>
    <row r="446" spans="1:5" x14ac:dyDescent="0.25">
      <c r="A446" s="91"/>
      <c r="B446" s="97"/>
      <c r="C446" s="90" t="s">
        <v>2746</v>
      </c>
      <c r="D446" s="90"/>
      <c r="E446" t="s">
        <v>2363</v>
      </c>
    </row>
    <row r="447" spans="1:5" x14ac:dyDescent="0.25">
      <c r="A447" s="91"/>
      <c r="B447" s="97"/>
      <c r="C447" s="90" t="s">
        <v>2747</v>
      </c>
      <c r="D447" s="90"/>
      <c r="E447" t="s">
        <v>2363</v>
      </c>
    </row>
    <row r="448" spans="1:5" x14ac:dyDescent="0.25">
      <c r="A448" s="91"/>
      <c r="B448" s="97"/>
      <c r="C448" s="90" t="s">
        <v>2748</v>
      </c>
      <c r="D448" s="90"/>
      <c r="E448" t="s">
        <v>2363</v>
      </c>
    </row>
    <row r="449" spans="1:5" x14ac:dyDescent="0.25">
      <c r="A449" s="91"/>
      <c r="B449" s="97"/>
      <c r="C449" s="90" t="s">
        <v>2749</v>
      </c>
      <c r="D449" s="90"/>
      <c r="E449" t="s">
        <v>2363</v>
      </c>
    </row>
    <row r="450" spans="1:5" x14ac:dyDescent="0.25">
      <c r="A450" s="91"/>
      <c r="B450" s="97"/>
      <c r="C450" s="90" t="s">
        <v>2750</v>
      </c>
      <c r="D450" s="90"/>
      <c r="E450" t="s">
        <v>2363</v>
      </c>
    </row>
    <row r="451" spans="1:5" x14ac:dyDescent="0.25">
      <c r="A451" s="91"/>
      <c r="B451" s="97"/>
      <c r="C451" s="90" t="s">
        <v>2751</v>
      </c>
      <c r="D451" s="90"/>
      <c r="E451" t="s">
        <v>2363</v>
      </c>
    </row>
    <row r="452" spans="1:5" x14ac:dyDescent="0.25">
      <c r="A452" s="91"/>
      <c r="B452" s="97"/>
      <c r="C452" s="90" t="s">
        <v>2752</v>
      </c>
      <c r="D452" s="90"/>
      <c r="E452" t="s">
        <v>2363</v>
      </c>
    </row>
    <row r="453" spans="1:5" x14ac:dyDescent="0.25">
      <c r="A453" s="91"/>
      <c r="B453" s="97"/>
      <c r="C453" s="90" t="s">
        <v>2753</v>
      </c>
      <c r="D453" s="90"/>
      <c r="E453" t="s">
        <v>2363</v>
      </c>
    </row>
    <row r="454" spans="1:5" x14ac:dyDescent="0.25">
      <c r="A454" s="91"/>
      <c r="B454" s="97"/>
      <c r="C454" s="90" t="s">
        <v>2754</v>
      </c>
      <c r="D454" s="90"/>
      <c r="E454" t="s">
        <v>2363</v>
      </c>
    </row>
    <row r="455" spans="1:5" x14ac:dyDescent="0.25">
      <c r="A455" s="91"/>
      <c r="B455" s="97"/>
      <c r="C455" s="90" t="s">
        <v>2755</v>
      </c>
      <c r="D455" s="90"/>
      <c r="E455" t="s">
        <v>2363</v>
      </c>
    </row>
    <row r="456" spans="1:5" x14ac:dyDescent="0.25">
      <c r="A456" s="91"/>
      <c r="B456" s="97"/>
      <c r="C456" s="90" t="s">
        <v>2756</v>
      </c>
      <c r="D456" s="90"/>
      <c r="E456" t="s">
        <v>2363</v>
      </c>
    </row>
    <row r="457" spans="1:5" x14ac:dyDescent="0.25">
      <c r="A457" s="91"/>
      <c r="B457" s="97"/>
      <c r="C457" s="90" t="s">
        <v>2757</v>
      </c>
      <c r="D457" s="90"/>
      <c r="E457" t="s">
        <v>2363</v>
      </c>
    </row>
    <row r="458" spans="1:5" x14ac:dyDescent="0.25">
      <c r="A458" s="91"/>
      <c r="B458" s="97"/>
      <c r="C458" s="90" t="s">
        <v>2758</v>
      </c>
      <c r="D458" s="90"/>
      <c r="E458" t="s">
        <v>2363</v>
      </c>
    </row>
    <row r="459" spans="1:5" x14ac:dyDescent="0.25">
      <c r="A459" s="91"/>
      <c r="B459" s="97"/>
      <c r="C459" s="90" t="s">
        <v>2759</v>
      </c>
      <c r="D459" s="90"/>
      <c r="E459" t="s">
        <v>2363</v>
      </c>
    </row>
    <row r="460" spans="1:5" x14ac:dyDescent="0.25">
      <c r="A460" s="91"/>
      <c r="B460" s="97"/>
      <c r="C460" s="90" t="s">
        <v>2760</v>
      </c>
      <c r="D460" s="90"/>
      <c r="E460" t="s">
        <v>2363</v>
      </c>
    </row>
    <row r="461" spans="1:5" x14ac:dyDescent="0.25">
      <c r="A461" s="91"/>
      <c r="B461" s="97"/>
      <c r="C461" s="90" t="s">
        <v>2761</v>
      </c>
      <c r="D461" s="90"/>
      <c r="E461" t="s">
        <v>2363</v>
      </c>
    </row>
    <row r="462" spans="1:5" x14ac:dyDescent="0.25">
      <c r="A462" s="91"/>
      <c r="B462" s="97"/>
      <c r="C462" s="90" t="s">
        <v>2762</v>
      </c>
      <c r="D462" s="90"/>
      <c r="E462" t="s">
        <v>2363</v>
      </c>
    </row>
    <row r="463" spans="1:5" x14ac:dyDescent="0.25">
      <c r="A463" s="91"/>
      <c r="B463" s="97"/>
      <c r="C463" s="90" t="s">
        <v>2763</v>
      </c>
      <c r="D463" s="90"/>
      <c r="E463" t="s">
        <v>2363</v>
      </c>
    </row>
    <row r="464" spans="1:5" x14ac:dyDescent="0.25">
      <c r="A464" s="91"/>
      <c r="B464" s="97"/>
      <c r="C464" s="90" t="s">
        <v>2764</v>
      </c>
      <c r="D464" s="90"/>
      <c r="E464" t="s">
        <v>2363</v>
      </c>
    </row>
    <row r="465" spans="1:5" x14ac:dyDescent="0.25">
      <c r="A465" s="91"/>
      <c r="B465" s="97"/>
      <c r="C465" s="90" t="s">
        <v>2765</v>
      </c>
      <c r="D465" s="90"/>
      <c r="E465" t="s">
        <v>2363</v>
      </c>
    </row>
    <row r="466" spans="1:5" x14ac:dyDescent="0.25">
      <c r="A466" s="91"/>
      <c r="B466" s="97"/>
      <c r="C466" s="90" t="s">
        <v>2766</v>
      </c>
      <c r="D466" s="90"/>
      <c r="E466" t="s">
        <v>2363</v>
      </c>
    </row>
    <row r="467" spans="1:5" x14ac:dyDescent="0.25">
      <c r="A467" s="91"/>
      <c r="B467" s="97"/>
      <c r="C467" s="90" t="s">
        <v>2767</v>
      </c>
      <c r="D467" s="90"/>
      <c r="E467" t="s">
        <v>2363</v>
      </c>
    </row>
    <row r="468" spans="1:5" x14ac:dyDescent="0.25">
      <c r="A468" s="91"/>
      <c r="B468" s="97"/>
      <c r="C468" s="90" t="s">
        <v>2768</v>
      </c>
      <c r="D468" s="90"/>
      <c r="E468" t="s">
        <v>2363</v>
      </c>
    </row>
    <row r="469" spans="1:5" x14ac:dyDescent="0.25">
      <c r="A469" s="91"/>
      <c r="B469" s="97"/>
      <c r="C469" s="90" t="s">
        <v>2769</v>
      </c>
      <c r="D469" s="90"/>
      <c r="E469" t="s">
        <v>2363</v>
      </c>
    </row>
    <row r="470" spans="1:5" x14ac:dyDescent="0.25">
      <c r="A470" s="91"/>
      <c r="B470" s="97"/>
      <c r="C470" s="90" t="s">
        <v>2770</v>
      </c>
      <c r="D470" s="90"/>
      <c r="E470" t="s">
        <v>2363</v>
      </c>
    </row>
    <row r="471" spans="1:5" x14ac:dyDescent="0.25">
      <c r="A471" s="91"/>
      <c r="B471" s="97"/>
      <c r="C471" s="90" t="s">
        <v>2771</v>
      </c>
      <c r="D471" s="90"/>
      <c r="E471" t="s">
        <v>2363</v>
      </c>
    </row>
    <row r="472" spans="1:5" x14ac:dyDescent="0.25">
      <c r="A472" s="91"/>
      <c r="B472" s="97"/>
      <c r="C472" s="90" t="s">
        <v>2772</v>
      </c>
      <c r="D472" s="90"/>
      <c r="E472" t="s">
        <v>2363</v>
      </c>
    </row>
    <row r="473" spans="1:5" x14ac:dyDescent="0.25">
      <c r="A473" s="91"/>
      <c r="B473" s="97"/>
      <c r="C473" s="90" t="s">
        <v>2773</v>
      </c>
      <c r="D473" s="90"/>
      <c r="E473" t="s">
        <v>2363</v>
      </c>
    </row>
    <row r="474" spans="1:5" x14ac:dyDescent="0.25">
      <c r="A474" s="91"/>
      <c r="B474" s="97"/>
      <c r="C474" s="90" t="s">
        <v>2774</v>
      </c>
      <c r="D474" s="90"/>
      <c r="E474" t="s">
        <v>2363</v>
      </c>
    </row>
    <row r="475" spans="1:5" x14ac:dyDescent="0.25">
      <c r="A475" s="91"/>
      <c r="B475" s="97"/>
      <c r="C475" s="90" t="s">
        <v>2775</v>
      </c>
      <c r="D475" s="90"/>
      <c r="E475" t="s">
        <v>2363</v>
      </c>
    </row>
    <row r="476" spans="1:5" x14ac:dyDescent="0.25">
      <c r="A476" s="91"/>
      <c r="B476" s="97"/>
      <c r="C476" s="90" t="s">
        <v>2776</v>
      </c>
      <c r="D476" s="90"/>
      <c r="E476" t="s">
        <v>2363</v>
      </c>
    </row>
    <row r="477" spans="1:5" x14ac:dyDescent="0.25">
      <c r="A477" s="91"/>
      <c r="B477" s="97"/>
      <c r="C477" s="90" t="s">
        <v>2777</v>
      </c>
      <c r="D477" s="90"/>
      <c r="E477" t="s">
        <v>2363</v>
      </c>
    </row>
    <row r="478" spans="1:5" x14ac:dyDescent="0.25">
      <c r="A478" s="91"/>
      <c r="B478" s="97"/>
      <c r="C478" s="90" t="s">
        <v>2778</v>
      </c>
      <c r="D478" s="90"/>
      <c r="E478" t="s">
        <v>2363</v>
      </c>
    </row>
    <row r="479" spans="1:5" x14ac:dyDescent="0.25">
      <c r="A479" s="91"/>
      <c r="B479" s="97"/>
      <c r="C479" s="90" t="s">
        <v>2779</v>
      </c>
      <c r="D479" s="90"/>
      <c r="E479" t="s">
        <v>2363</v>
      </c>
    </row>
    <row r="480" spans="1:5" x14ac:dyDescent="0.25">
      <c r="A480" s="91"/>
      <c r="B480" s="97"/>
      <c r="C480" s="90" t="s">
        <v>2780</v>
      </c>
      <c r="D480" s="90"/>
      <c r="E480" t="s">
        <v>2363</v>
      </c>
    </row>
    <row r="481" spans="1:5" x14ac:dyDescent="0.25">
      <c r="A481" s="91"/>
      <c r="B481" s="97"/>
      <c r="C481" s="90" t="s">
        <v>2781</v>
      </c>
      <c r="D481" s="90"/>
      <c r="E481" t="s">
        <v>2363</v>
      </c>
    </row>
    <row r="482" spans="1:5" x14ac:dyDescent="0.25">
      <c r="A482" s="91"/>
      <c r="B482" s="97"/>
      <c r="C482" s="90" t="s">
        <v>2782</v>
      </c>
      <c r="D482" s="90"/>
      <c r="E482" t="s">
        <v>2363</v>
      </c>
    </row>
    <row r="483" spans="1:5" x14ac:dyDescent="0.25">
      <c r="A483" s="91"/>
      <c r="B483" s="97"/>
      <c r="C483" s="90" t="s">
        <v>2783</v>
      </c>
      <c r="D483" s="90"/>
      <c r="E483" t="s">
        <v>2363</v>
      </c>
    </row>
    <row r="484" spans="1:5" x14ac:dyDescent="0.25">
      <c r="A484" s="91"/>
      <c r="B484" s="97"/>
      <c r="C484" s="90" t="s">
        <v>2784</v>
      </c>
      <c r="D484" s="90"/>
      <c r="E484" t="s">
        <v>2363</v>
      </c>
    </row>
    <row r="485" spans="1:5" x14ac:dyDescent="0.25">
      <c r="A485" s="91"/>
      <c r="B485" s="97"/>
      <c r="C485" s="90" t="s">
        <v>2785</v>
      </c>
      <c r="D485" s="90"/>
      <c r="E485" t="s">
        <v>2363</v>
      </c>
    </row>
    <row r="486" spans="1:5" x14ac:dyDescent="0.25">
      <c r="A486" s="91"/>
      <c r="B486" s="97"/>
      <c r="C486" s="90" t="s">
        <v>2786</v>
      </c>
      <c r="D486" s="90"/>
      <c r="E486" t="s">
        <v>2363</v>
      </c>
    </row>
    <row r="487" spans="1:5" x14ac:dyDescent="0.25">
      <c r="A487" s="91"/>
      <c r="B487" s="97"/>
      <c r="C487" s="90" t="s">
        <v>2787</v>
      </c>
      <c r="D487" s="90"/>
      <c r="E487" t="s">
        <v>2363</v>
      </c>
    </row>
    <row r="488" spans="1:5" x14ac:dyDescent="0.25">
      <c r="A488" s="91"/>
      <c r="B488" s="97"/>
      <c r="C488" s="90" t="s">
        <v>2788</v>
      </c>
      <c r="D488" s="90"/>
      <c r="E488" t="s">
        <v>2363</v>
      </c>
    </row>
    <row r="489" spans="1:5" x14ac:dyDescent="0.25">
      <c r="A489" s="91"/>
      <c r="B489" s="97"/>
      <c r="C489" s="90" t="s">
        <v>286</v>
      </c>
      <c r="D489" s="90"/>
    </row>
    <row r="490" spans="1:5" x14ac:dyDescent="0.25">
      <c r="A490" s="91"/>
      <c r="B490" s="97"/>
      <c r="C490" s="90" t="s">
        <v>2789</v>
      </c>
      <c r="D490" s="90"/>
    </row>
    <row r="491" spans="1:5" x14ac:dyDescent="0.25">
      <c r="A491" s="91"/>
      <c r="B491" s="97"/>
      <c r="C491" s="90" t="s">
        <v>1194</v>
      </c>
      <c r="D491" s="90"/>
    </row>
    <row r="492" spans="1:5" x14ac:dyDescent="0.25">
      <c r="A492" s="91"/>
      <c r="B492" s="97"/>
      <c r="C492" s="90" t="s">
        <v>2790</v>
      </c>
      <c r="D492" s="90"/>
    </row>
    <row r="493" spans="1:5" x14ac:dyDescent="0.25">
      <c r="A493" s="91"/>
      <c r="B493" s="97"/>
      <c r="C493" s="90" t="s">
        <v>2791</v>
      </c>
      <c r="D493" s="90"/>
    </row>
    <row r="494" spans="1:5" x14ac:dyDescent="0.25">
      <c r="A494" s="91"/>
      <c r="B494" s="97"/>
      <c r="C494" s="90" t="s">
        <v>1145</v>
      </c>
      <c r="D494" s="90"/>
    </row>
    <row r="495" spans="1:5" x14ac:dyDescent="0.25">
      <c r="A495" s="91"/>
      <c r="B495" s="97"/>
      <c r="C495" s="90" t="s">
        <v>2792</v>
      </c>
      <c r="D495" s="90"/>
    </row>
    <row r="496" spans="1:5" x14ac:dyDescent="0.25">
      <c r="A496" s="91"/>
      <c r="B496" s="97"/>
      <c r="C496" s="90" t="s">
        <v>2793</v>
      </c>
      <c r="D496" s="90"/>
    </row>
    <row r="497" spans="1:4" x14ac:dyDescent="0.25">
      <c r="A497" s="91"/>
      <c r="B497" s="97"/>
      <c r="C497" s="90" t="s">
        <v>2794</v>
      </c>
      <c r="D497" s="90"/>
    </row>
    <row r="498" spans="1:4" x14ac:dyDescent="0.25">
      <c r="A498" s="101"/>
      <c r="B498" s="98"/>
      <c r="C498" s="90" t="s">
        <v>1675</v>
      </c>
      <c r="D498" s="90"/>
    </row>
    <row r="499" spans="1:4" x14ac:dyDescent="0.25">
      <c r="A499" s="106"/>
      <c r="B499" s="114" t="s">
        <v>2795</v>
      </c>
      <c r="C499" s="86" t="s">
        <v>234</v>
      </c>
      <c r="D499" s="86"/>
    </row>
    <row r="500" spans="1:4" x14ac:dyDescent="0.25">
      <c r="A500" s="107"/>
      <c r="B500" s="114"/>
      <c r="C500" s="86" t="s">
        <v>2796</v>
      </c>
      <c r="D500" s="86"/>
    </row>
    <row r="501" spans="1:4" x14ac:dyDescent="0.25">
      <c r="A501" s="107"/>
      <c r="B501" s="114"/>
      <c r="C501" s="86" t="s">
        <v>2797</v>
      </c>
      <c r="D501" s="86"/>
    </row>
    <row r="502" spans="1:4" x14ac:dyDescent="0.25">
      <c r="A502" s="107"/>
      <c r="B502" s="114"/>
      <c r="C502" s="86" t="s">
        <v>2798</v>
      </c>
      <c r="D502" s="86"/>
    </row>
    <row r="503" spans="1:4" x14ac:dyDescent="0.25">
      <c r="A503" s="107"/>
      <c r="B503" s="114"/>
      <c r="C503" s="86" t="s">
        <v>2799</v>
      </c>
      <c r="D503" s="86"/>
    </row>
    <row r="504" spans="1:4" x14ac:dyDescent="0.25">
      <c r="A504" s="107"/>
      <c r="B504" s="114"/>
      <c r="C504" s="86" t="s">
        <v>2800</v>
      </c>
      <c r="D504" s="86"/>
    </row>
    <row r="505" spans="1:4" x14ac:dyDescent="0.25">
      <c r="A505" s="107"/>
      <c r="B505" s="114"/>
      <c r="C505" s="86" t="s">
        <v>2801</v>
      </c>
      <c r="D505" s="86"/>
    </row>
    <row r="506" spans="1:4" x14ac:dyDescent="0.25">
      <c r="A506" s="107"/>
      <c r="B506" s="114"/>
      <c r="C506" s="86" t="s">
        <v>2114</v>
      </c>
      <c r="D506" s="86"/>
    </row>
    <row r="507" spans="1:4" x14ac:dyDescent="0.25">
      <c r="A507" s="107"/>
      <c r="B507" s="114"/>
      <c r="C507" s="86" t="s">
        <v>2802</v>
      </c>
      <c r="D507" s="86"/>
    </row>
    <row r="508" spans="1:4" x14ac:dyDescent="0.25">
      <c r="A508" s="107"/>
      <c r="B508" s="114"/>
      <c r="C508" s="86" t="s">
        <v>2803</v>
      </c>
      <c r="D508" s="86"/>
    </row>
    <row r="509" spans="1:4" x14ac:dyDescent="0.25">
      <c r="A509" s="107"/>
      <c r="B509" s="114"/>
      <c r="C509" s="86" t="s">
        <v>2804</v>
      </c>
      <c r="D509" s="86"/>
    </row>
    <row r="510" spans="1:4" x14ac:dyDescent="0.25">
      <c r="A510" s="107"/>
      <c r="B510" s="114"/>
      <c r="C510" s="86" t="s">
        <v>2805</v>
      </c>
      <c r="D510" s="86"/>
    </row>
    <row r="511" spans="1:4" x14ac:dyDescent="0.25">
      <c r="A511" s="107"/>
      <c r="B511" s="114"/>
      <c r="C511" s="86" t="s">
        <v>1401</v>
      </c>
      <c r="D511" s="86"/>
    </row>
    <row r="512" spans="1:4" x14ac:dyDescent="0.25">
      <c r="A512" s="107"/>
      <c r="B512" s="114"/>
      <c r="C512" s="86" t="s">
        <v>1626</v>
      </c>
      <c r="D512" s="86"/>
    </row>
    <row r="513" spans="1:4" x14ac:dyDescent="0.25">
      <c r="A513" s="107"/>
      <c r="B513" s="114"/>
      <c r="C513" s="86" t="s">
        <v>286</v>
      </c>
      <c r="D513" s="86"/>
    </row>
    <row r="514" spans="1:4" x14ac:dyDescent="0.25">
      <c r="A514" s="91"/>
      <c r="B514" s="96" t="s">
        <v>2806</v>
      </c>
      <c r="C514" s="90" t="s">
        <v>373</v>
      </c>
      <c r="D514" s="90"/>
    </row>
    <row r="515" spans="1:4" x14ac:dyDescent="0.25">
      <c r="A515" s="101"/>
      <c r="B515" s="98"/>
      <c r="C515" s="90" t="s">
        <v>72</v>
      </c>
      <c r="D515" s="90"/>
    </row>
    <row r="516" spans="1:4" x14ac:dyDescent="0.25">
      <c r="A516" s="107"/>
      <c r="B516" s="114" t="s">
        <v>1403</v>
      </c>
      <c r="C516" s="86" t="s">
        <v>2807</v>
      </c>
      <c r="D516" s="86"/>
    </row>
    <row r="517" spans="1:4" x14ac:dyDescent="0.25">
      <c r="A517" s="107"/>
      <c r="B517" s="114"/>
      <c r="C517" s="86" t="s">
        <v>214</v>
      </c>
      <c r="D517" s="86"/>
    </row>
    <row r="518" spans="1:4" x14ac:dyDescent="0.25">
      <c r="A518" s="107"/>
      <c r="B518" s="114"/>
      <c r="C518" s="86" t="s">
        <v>603</v>
      </c>
      <c r="D518" s="86"/>
    </row>
    <row r="519" spans="1:4" x14ac:dyDescent="0.25">
      <c r="A519" s="107"/>
      <c r="B519" s="114"/>
      <c r="C519" s="86" t="s">
        <v>2169</v>
      </c>
      <c r="D519" s="86"/>
    </row>
    <row r="520" spans="1:4" x14ac:dyDescent="0.25">
      <c r="A520" s="88"/>
      <c r="B520" s="96" t="s">
        <v>2152</v>
      </c>
      <c r="C520" s="90" t="s">
        <v>2808</v>
      </c>
      <c r="D520" s="90"/>
    </row>
    <row r="521" spans="1:4" x14ac:dyDescent="0.25">
      <c r="A521" s="91"/>
      <c r="B521" s="97"/>
      <c r="C521" s="90" t="s">
        <v>2809</v>
      </c>
      <c r="D521" s="90"/>
    </row>
    <row r="522" spans="1:4" x14ac:dyDescent="0.25">
      <c r="A522" s="91"/>
      <c r="B522" s="97"/>
      <c r="C522" s="90" t="s">
        <v>2810</v>
      </c>
      <c r="D522" s="90"/>
    </row>
    <row r="523" spans="1:4" x14ac:dyDescent="0.25">
      <c r="A523" s="91"/>
      <c r="B523" s="97"/>
      <c r="C523" s="90" t="s">
        <v>2811</v>
      </c>
      <c r="D523" s="90"/>
    </row>
    <row r="524" spans="1:4" x14ac:dyDescent="0.25">
      <c r="A524" s="91"/>
      <c r="B524" s="97"/>
      <c r="C524" s="90" t="s">
        <v>2812</v>
      </c>
      <c r="D524" s="90"/>
    </row>
    <row r="525" spans="1:4" x14ac:dyDescent="0.25">
      <c r="A525" s="91"/>
      <c r="B525" s="97"/>
      <c r="C525" s="90" t="s">
        <v>2813</v>
      </c>
      <c r="D525" s="90"/>
    </row>
    <row r="526" spans="1:4" x14ac:dyDescent="0.25">
      <c r="A526" s="91"/>
      <c r="B526" s="97"/>
      <c r="C526" s="90" t="s">
        <v>2814</v>
      </c>
      <c r="D526" s="90"/>
    </row>
    <row r="527" spans="1:4" x14ac:dyDescent="0.25">
      <c r="A527" s="91"/>
      <c r="B527" s="97"/>
      <c r="C527" s="90" t="s">
        <v>2815</v>
      </c>
      <c r="D527" s="90"/>
    </row>
    <row r="528" spans="1:4" x14ac:dyDescent="0.25">
      <c r="A528" s="91"/>
      <c r="B528" s="97"/>
      <c r="C528" s="90" t="s">
        <v>1537</v>
      </c>
      <c r="D528" s="90"/>
    </row>
    <row r="529" spans="1:4" x14ac:dyDescent="0.25">
      <c r="A529" s="91"/>
      <c r="B529" s="97"/>
      <c r="C529" s="90" t="s">
        <v>2803</v>
      </c>
      <c r="D529" s="90"/>
    </row>
    <row r="530" spans="1:4" x14ac:dyDescent="0.25">
      <c r="B530" s="97"/>
      <c r="C530" s="90" t="s">
        <v>2816</v>
      </c>
      <c r="D530" s="90"/>
    </row>
    <row r="531" spans="1:4" ht="15" customHeight="1" x14ac:dyDescent="0.25">
      <c r="A531" s="91"/>
      <c r="B531" s="97"/>
      <c r="C531" s="90" t="s">
        <v>2817</v>
      </c>
      <c r="D531" s="90" t="s">
        <v>2818</v>
      </c>
    </row>
    <row r="532" spans="1:4" ht="15" customHeight="1" x14ac:dyDescent="0.25">
      <c r="A532" s="91"/>
      <c r="B532" s="97"/>
      <c r="C532" s="90" t="s">
        <v>2819</v>
      </c>
      <c r="D532" s="90" t="s">
        <v>2818</v>
      </c>
    </row>
    <row r="533" spans="1:4" ht="15" customHeight="1" x14ac:dyDescent="0.25">
      <c r="A533" s="91"/>
      <c r="B533" s="97"/>
      <c r="C533" s="90" t="s">
        <v>2820</v>
      </c>
      <c r="D533" s="90" t="s">
        <v>2818</v>
      </c>
    </row>
    <row r="534" spans="1:4" x14ac:dyDescent="0.25">
      <c r="A534" s="91"/>
      <c r="B534" s="97"/>
      <c r="C534" s="90" t="s">
        <v>2821</v>
      </c>
      <c r="D534" s="90"/>
    </row>
    <row r="535" spans="1:4" x14ac:dyDescent="0.25">
      <c r="A535" s="91"/>
      <c r="B535" s="97"/>
      <c r="C535" s="90" t="s">
        <v>2822</v>
      </c>
      <c r="D535" s="90"/>
    </row>
    <row r="536" spans="1:4" x14ac:dyDescent="0.25">
      <c r="A536" s="91"/>
      <c r="B536" s="97"/>
      <c r="C536" s="90" t="s">
        <v>37</v>
      </c>
      <c r="D536" s="90"/>
    </row>
    <row r="537" spans="1:4" x14ac:dyDescent="0.25">
      <c r="A537" s="91"/>
      <c r="B537" s="97"/>
      <c r="C537" s="90" t="s">
        <v>2171</v>
      </c>
      <c r="D537" s="90"/>
    </row>
    <row r="538" spans="1:4" x14ac:dyDescent="0.25">
      <c r="A538" s="91"/>
      <c r="B538" s="97"/>
      <c r="C538" s="90" t="s">
        <v>2823</v>
      </c>
      <c r="D538" s="90"/>
    </row>
    <row r="539" spans="1:4" x14ac:dyDescent="0.25">
      <c r="A539" s="91"/>
      <c r="B539" s="97"/>
      <c r="C539" s="90" t="s">
        <v>2824</v>
      </c>
      <c r="D539" s="90"/>
    </row>
    <row r="540" spans="1:4" x14ac:dyDescent="0.25">
      <c r="A540" s="91"/>
      <c r="B540" s="97"/>
      <c r="C540" s="90" t="s">
        <v>2825</v>
      </c>
      <c r="D540" s="90"/>
    </row>
    <row r="541" spans="1:4" x14ac:dyDescent="0.25">
      <c r="A541" s="91"/>
      <c r="B541" s="97"/>
      <c r="C541" s="90" t="s">
        <v>2266</v>
      </c>
      <c r="D541" s="90"/>
    </row>
    <row r="542" spans="1:4" x14ac:dyDescent="0.25">
      <c r="A542" s="91"/>
      <c r="B542" s="97"/>
      <c r="C542" s="90" t="s">
        <v>1626</v>
      </c>
      <c r="D542" s="90"/>
    </row>
    <row r="543" spans="1:4" x14ac:dyDescent="0.25">
      <c r="A543" s="91"/>
      <c r="B543" s="97"/>
      <c r="C543" s="90" t="s">
        <v>286</v>
      </c>
      <c r="D543" s="115"/>
    </row>
    <row r="544" spans="1:4" x14ac:dyDescent="0.25">
      <c r="A544" s="105"/>
      <c r="B544" s="106" t="s">
        <v>2156</v>
      </c>
      <c r="C544" s="86" t="s">
        <v>373</v>
      </c>
      <c r="D544" s="86"/>
    </row>
    <row r="545" spans="1:4" x14ac:dyDescent="0.25">
      <c r="A545" s="107"/>
      <c r="B545" s="114"/>
      <c r="C545" s="86" t="s">
        <v>72</v>
      </c>
      <c r="D545" s="86"/>
    </row>
    <row r="546" spans="1:4" x14ac:dyDescent="0.25">
      <c r="A546" s="91"/>
      <c r="B546" s="96" t="s">
        <v>2157</v>
      </c>
      <c r="C546" s="90" t="s">
        <v>2267</v>
      </c>
      <c r="D546" s="90"/>
    </row>
    <row r="547" spans="1:4" x14ac:dyDescent="0.25">
      <c r="A547" s="91"/>
      <c r="B547" s="97"/>
      <c r="C547" s="90" t="s">
        <v>2826</v>
      </c>
      <c r="D547" s="90"/>
    </row>
    <row r="548" spans="1:4" x14ac:dyDescent="0.25">
      <c r="A548" s="91"/>
      <c r="B548" s="97"/>
      <c r="C548" s="90" t="s">
        <v>2172</v>
      </c>
      <c r="D548" s="90"/>
    </row>
    <row r="549" spans="1:4" x14ac:dyDescent="0.25">
      <c r="A549" s="91"/>
      <c r="B549" s="97"/>
      <c r="C549" s="90" t="s">
        <v>2827</v>
      </c>
      <c r="D549" s="90"/>
    </row>
    <row r="550" spans="1:4" x14ac:dyDescent="0.25">
      <c r="A550" s="91"/>
      <c r="B550" s="97"/>
      <c r="C550" s="90" t="s">
        <v>2828</v>
      </c>
      <c r="D550" s="90"/>
    </row>
    <row r="551" spans="1:4" x14ac:dyDescent="0.25">
      <c r="A551" s="105"/>
      <c r="B551" s="106" t="s">
        <v>2159</v>
      </c>
      <c r="C551" s="86" t="s">
        <v>373</v>
      </c>
      <c r="D551" s="86"/>
    </row>
    <row r="552" spans="1:4" x14ac:dyDescent="0.25">
      <c r="A552" s="107"/>
      <c r="B552" s="114"/>
      <c r="C552" s="86" t="s">
        <v>72</v>
      </c>
      <c r="D552" s="86"/>
    </row>
    <row r="553" spans="1:4" x14ac:dyDescent="0.25">
      <c r="A553" s="116"/>
      <c r="B553" s="96" t="s">
        <v>2829</v>
      </c>
      <c r="C553" s="90" t="s">
        <v>2830</v>
      </c>
      <c r="D553" s="90"/>
    </row>
    <row r="554" spans="1:4" ht="27.6" x14ac:dyDescent="0.25">
      <c r="A554" s="117"/>
      <c r="B554" s="117"/>
      <c r="C554" s="118" t="s">
        <v>2831</v>
      </c>
      <c r="D554" s="90"/>
    </row>
    <row r="555" spans="1:4" ht="27.6" x14ac:dyDescent="0.25">
      <c r="A555" s="117"/>
      <c r="B555" s="117"/>
      <c r="C555" s="118" t="s">
        <v>2832</v>
      </c>
      <c r="D555" s="90"/>
    </row>
    <row r="556" spans="1:4" ht="27.6" x14ac:dyDescent="0.25">
      <c r="A556" s="117"/>
      <c r="B556" s="117"/>
      <c r="C556" s="118" t="s">
        <v>2833</v>
      </c>
      <c r="D556" s="90"/>
    </row>
    <row r="557" spans="1:4" ht="27.6" x14ac:dyDescent="0.25">
      <c r="A557" s="117"/>
      <c r="B557" s="117"/>
      <c r="C557" s="118" t="s">
        <v>2834</v>
      </c>
      <c r="D557" s="90"/>
    </row>
    <row r="558" spans="1:4" ht="27.6" x14ac:dyDescent="0.25">
      <c r="A558" s="117"/>
      <c r="B558" s="117"/>
      <c r="C558" s="118" t="s">
        <v>2835</v>
      </c>
      <c r="D558" s="90"/>
    </row>
    <row r="559" spans="1:4" ht="27.6" x14ac:dyDescent="0.25">
      <c r="A559" s="117"/>
      <c r="B559" s="117"/>
      <c r="C559" s="118" t="s">
        <v>2836</v>
      </c>
      <c r="D559" s="90"/>
    </row>
    <row r="560" spans="1:4" x14ac:dyDescent="0.25">
      <c r="A560" s="117"/>
      <c r="B560" s="117"/>
      <c r="C560" s="90" t="s">
        <v>2837</v>
      </c>
      <c r="D560" s="90"/>
    </row>
    <row r="561" spans="1:4" x14ac:dyDescent="0.25">
      <c r="A561" s="117"/>
      <c r="B561" s="117"/>
      <c r="C561" s="90" t="s">
        <v>2838</v>
      </c>
      <c r="D561" s="90"/>
    </row>
    <row r="562" spans="1:4" x14ac:dyDescent="0.25">
      <c r="A562" s="117"/>
      <c r="B562" s="117"/>
      <c r="C562" s="90" t="s">
        <v>2839</v>
      </c>
      <c r="D562" s="90"/>
    </row>
    <row r="563" spans="1:4" x14ac:dyDescent="0.25">
      <c r="A563" s="117"/>
      <c r="B563" s="117"/>
      <c r="C563" s="90" t="s">
        <v>2840</v>
      </c>
      <c r="D563" s="90"/>
    </row>
    <row r="564" spans="1:4" x14ac:dyDescent="0.25">
      <c r="A564" s="117"/>
      <c r="B564" s="117"/>
      <c r="C564" s="90" t="s">
        <v>2841</v>
      </c>
      <c r="D564" s="90"/>
    </row>
    <row r="565" spans="1:4" x14ac:dyDescent="0.25">
      <c r="A565" s="117"/>
      <c r="B565" s="117"/>
      <c r="C565" s="90" t="s">
        <v>2842</v>
      </c>
      <c r="D565" s="90"/>
    </row>
    <row r="566" spans="1:4" x14ac:dyDescent="0.25">
      <c r="A566" s="117"/>
      <c r="B566" s="117"/>
      <c r="C566" s="90" t="s">
        <v>2843</v>
      </c>
      <c r="D566" s="90"/>
    </row>
    <row r="567" spans="1:4" x14ac:dyDescent="0.25">
      <c r="A567" s="117"/>
      <c r="B567" s="117"/>
      <c r="C567" s="90" t="s">
        <v>2844</v>
      </c>
      <c r="D567" s="90"/>
    </row>
    <row r="568" spans="1:4" x14ac:dyDescent="0.25">
      <c r="A568" s="117"/>
      <c r="B568" s="117"/>
      <c r="C568" s="90" t="s">
        <v>2845</v>
      </c>
      <c r="D568" s="90"/>
    </row>
    <row r="569" spans="1:4" x14ac:dyDescent="0.25">
      <c r="A569" s="117"/>
      <c r="B569" s="117"/>
      <c r="C569" s="90" t="s">
        <v>2846</v>
      </c>
      <c r="D569" s="90"/>
    </row>
    <row r="570" spans="1:4" x14ac:dyDescent="0.25">
      <c r="A570" s="117"/>
      <c r="B570" s="117"/>
      <c r="C570" s="90" t="s">
        <v>2847</v>
      </c>
      <c r="D570" s="90"/>
    </row>
    <row r="571" spans="1:4" x14ac:dyDescent="0.25">
      <c r="A571" s="117"/>
      <c r="B571" s="117"/>
      <c r="C571" s="90" t="s">
        <v>2848</v>
      </c>
      <c r="D571" s="90"/>
    </row>
    <row r="572" spans="1:4" x14ac:dyDescent="0.25">
      <c r="A572" s="117"/>
      <c r="B572" s="117"/>
      <c r="C572" s="90" t="s">
        <v>2849</v>
      </c>
      <c r="D572" s="90"/>
    </row>
    <row r="573" spans="1:4" x14ac:dyDescent="0.25">
      <c r="A573" s="117"/>
      <c r="B573" s="117"/>
      <c r="C573" s="90" t="s">
        <v>2850</v>
      </c>
      <c r="D573" s="90"/>
    </row>
    <row r="574" spans="1:4" x14ac:dyDescent="0.25">
      <c r="A574" s="117"/>
      <c r="B574" s="117"/>
      <c r="C574" s="90" t="s">
        <v>2851</v>
      </c>
      <c r="D574" s="90"/>
    </row>
    <row r="575" spans="1:4" x14ac:dyDescent="0.25">
      <c r="A575" s="117"/>
      <c r="B575" s="117"/>
      <c r="C575" s="90" t="s">
        <v>2852</v>
      </c>
      <c r="D575" s="90"/>
    </row>
    <row r="576" spans="1:4" x14ac:dyDescent="0.25">
      <c r="A576" s="117"/>
      <c r="B576" s="117"/>
      <c r="C576" s="90" t="s">
        <v>2853</v>
      </c>
      <c r="D576" s="90"/>
    </row>
    <row r="577" spans="1:5" x14ac:dyDescent="0.25">
      <c r="A577" s="117"/>
      <c r="B577" s="117"/>
      <c r="C577" s="90" t="s">
        <v>2854</v>
      </c>
      <c r="D577" s="90"/>
    </row>
    <row r="578" spans="1:5" x14ac:dyDescent="0.25">
      <c r="A578" s="117"/>
      <c r="B578" s="117"/>
      <c r="C578" s="90" t="s">
        <v>2270</v>
      </c>
      <c r="D578" s="90"/>
    </row>
    <row r="579" spans="1:5" x14ac:dyDescent="0.25">
      <c r="A579" s="117"/>
      <c r="B579" s="117"/>
      <c r="C579" s="90" t="s">
        <v>2855</v>
      </c>
      <c r="D579" s="90"/>
    </row>
    <row r="580" spans="1:5" x14ac:dyDescent="0.25">
      <c r="A580" s="117"/>
      <c r="B580" s="117"/>
      <c r="C580" s="90" t="s">
        <v>2856</v>
      </c>
      <c r="D580" s="90"/>
      <c r="E580" t="s">
        <v>2363</v>
      </c>
    </row>
    <row r="581" spans="1:5" x14ac:dyDescent="0.25">
      <c r="A581" s="117"/>
      <c r="B581" s="117"/>
      <c r="C581" s="90" t="s">
        <v>2857</v>
      </c>
      <c r="D581" s="90"/>
      <c r="E581" t="s">
        <v>2363</v>
      </c>
    </row>
    <row r="582" spans="1:5" x14ac:dyDescent="0.25">
      <c r="A582" s="117"/>
      <c r="B582" s="117"/>
      <c r="C582" s="90" t="s">
        <v>2858</v>
      </c>
      <c r="D582" s="90"/>
    </row>
    <row r="583" spans="1:5" x14ac:dyDescent="0.25">
      <c r="A583" s="117"/>
      <c r="B583" s="117"/>
      <c r="C583" s="90" t="s">
        <v>2859</v>
      </c>
      <c r="D583" s="90"/>
    </row>
    <row r="584" spans="1:5" x14ac:dyDescent="0.25">
      <c r="A584" s="117"/>
      <c r="B584" s="117"/>
      <c r="C584" s="90" t="s">
        <v>2860</v>
      </c>
      <c r="D584" s="90"/>
    </row>
    <row r="585" spans="1:5" x14ac:dyDescent="0.25">
      <c r="A585" s="117"/>
      <c r="B585" s="117"/>
      <c r="C585" s="90" t="s">
        <v>2861</v>
      </c>
      <c r="D585" s="90"/>
    </row>
    <row r="586" spans="1:5" x14ac:dyDescent="0.25">
      <c r="A586" s="117"/>
      <c r="B586" s="117"/>
      <c r="C586" s="90" t="s">
        <v>2166</v>
      </c>
      <c r="D586" s="90"/>
    </row>
    <row r="587" spans="1:5" x14ac:dyDescent="0.25">
      <c r="A587" s="117"/>
      <c r="B587" s="117"/>
      <c r="C587" s="90" t="s">
        <v>2862</v>
      </c>
      <c r="D587" s="90"/>
    </row>
    <row r="588" spans="1:5" x14ac:dyDescent="0.25">
      <c r="A588" s="117"/>
      <c r="B588" s="117"/>
      <c r="C588" s="90" t="s">
        <v>2863</v>
      </c>
      <c r="D588" s="90"/>
    </row>
    <row r="589" spans="1:5" x14ac:dyDescent="0.25">
      <c r="A589" s="117"/>
      <c r="B589" s="117"/>
      <c r="C589" s="90" t="s">
        <v>2864</v>
      </c>
      <c r="D589" s="90"/>
    </row>
    <row r="590" spans="1:5" ht="27.6" x14ac:dyDescent="0.25">
      <c r="A590" s="117"/>
      <c r="B590" s="117"/>
      <c r="C590" s="118" t="s">
        <v>2865</v>
      </c>
      <c r="D590" s="90"/>
    </row>
    <row r="591" spans="1:5" ht="27.6" x14ac:dyDescent="0.25">
      <c r="A591" s="119"/>
      <c r="B591" s="119"/>
      <c r="C591" s="118" t="s">
        <v>2866</v>
      </c>
      <c r="D591" s="90"/>
    </row>
    <row r="592" spans="1:5" x14ac:dyDescent="0.25">
      <c r="A592" s="107"/>
      <c r="B592" s="114" t="s">
        <v>2150</v>
      </c>
      <c r="C592" s="86" t="s">
        <v>2867</v>
      </c>
      <c r="D592" s="86"/>
    </row>
    <row r="593" spans="1:4" x14ac:dyDescent="0.25">
      <c r="A593" s="107"/>
      <c r="B593" s="114"/>
      <c r="C593" s="86" t="s">
        <v>2868</v>
      </c>
      <c r="D593" s="86"/>
    </row>
    <row r="594" spans="1:4" x14ac:dyDescent="0.25">
      <c r="A594" s="107"/>
      <c r="B594" s="114"/>
      <c r="C594" s="86" t="s">
        <v>286</v>
      </c>
      <c r="D594" s="86"/>
    </row>
    <row r="595" spans="1:4" x14ac:dyDescent="0.25">
      <c r="A595" s="96"/>
      <c r="B595" s="103" t="s">
        <v>205</v>
      </c>
      <c r="C595" s="90" t="s">
        <v>373</v>
      </c>
      <c r="D595" s="90"/>
    </row>
    <row r="596" spans="1:4" x14ac:dyDescent="0.25">
      <c r="A596" s="120"/>
      <c r="B596" s="121"/>
      <c r="C596" s="122" t="s">
        <v>72</v>
      </c>
      <c r="D596" s="90"/>
    </row>
    <row r="597" spans="1:4" x14ac:dyDescent="0.25">
      <c r="A597" s="106"/>
      <c r="B597" s="106" t="s">
        <v>1660</v>
      </c>
      <c r="C597" s="86" t="s">
        <v>1748</v>
      </c>
      <c r="D597" s="86"/>
    </row>
    <row r="598" spans="1:4" x14ac:dyDescent="0.25">
      <c r="A598" s="107"/>
      <c r="B598" s="107"/>
      <c r="C598" s="86" t="s">
        <v>1680</v>
      </c>
      <c r="D598" s="86"/>
    </row>
    <row r="599" spans="1:4" x14ac:dyDescent="0.25">
      <c r="A599" s="107"/>
      <c r="B599" s="107"/>
      <c r="C599" s="86" t="s">
        <v>1900</v>
      </c>
      <c r="D599" s="86"/>
    </row>
    <row r="600" spans="1:4" x14ac:dyDescent="0.25">
      <c r="A600" s="107"/>
      <c r="B600" s="107"/>
      <c r="C600" s="86" t="s">
        <v>1811</v>
      </c>
      <c r="D600" s="86"/>
    </row>
    <row r="601" spans="1:4" x14ac:dyDescent="0.25">
      <c r="A601" s="107"/>
      <c r="B601" s="107"/>
      <c r="C601" s="86" t="s">
        <v>1784</v>
      </c>
      <c r="D601" s="86"/>
    </row>
    <row r="602" spans="1:4" x14ac:dyDescent="0.25">
      <c r="A602" s="107"/>
      <c r="B602" s="107"/>
      <c r="C602" s="86" t="s">
        <v>1850</v>
      </c>
      <c r="D602" s="86"/>
    </row>
    <row r="603" spans="1:4" x14ac:dyDescent="0.25">
      <c r="A603" s="107"/>
      <c r="B603" s="107"/>
      <c r="C603" s="86" t="s">
        <v>1695</v>
      </c>
      <c r="D603" s="86"/>
    </row>
    <row r="604" spans="1:4" x14ac:dyDescent="0.25">
      <c r="A604" s="107"/>
      <c r="B604" s="107"/>
      <c r="C604" s="86" t="s">
        <v>1827</v>
      </c>
      <c r="D604" s="86"/>
    </row>
    <row r="605" spans="1:4" x14ac:dyDescent="0.25">
      <c r="A605" s="107"/>
      <c r="B605" s="107"/>
      <c r="C605" s="86" t="s">
        <v>1669</v>
      </c>
      <c r="D605" s="86"/>
    </row>
    <row r="606" spans="1:4" x14ac:dyDescent="0.25">
      <c r="A606" s="107"/>
      <c r="B606" s="107"/>
      <c r="C606" s="86" t="s">
        <v>2869</v>
      </c>
      <c r="D606" s="86"/>
    </row>
    <row r="607" spans="1:4" x14ac:dyDescent="0.25">
      <c r="A607" s="107"/>
      <c r="B607" s="107"/>
      <c r="C607" s="86" t="s">
        <v>2870</v>
      </c>
      <c r="D607" s="86"/>
    </row>
    <row r="608" spans="1:4" x14ac:dyDescent="0.25">
      <c r="A608" s="107"/>
      <c r="B608" s="107"/>
      <c r="C608" s="86" t="s">
        <v>1832</v>
      </c>
      <c r="D608" s="86"/>
    </row>
    <row r="609" spans="1:5" x14ac:dyDescent="0.25">
      <c r="A609" s="107"/>
      <c r="B609" s="107"/>
      <c r="C609" s="86" t="s">
        <v>1788</v>
      </c>
      <c r="D609" s="86"/>
    </row>
    <row r="610" spans="1:5" x14ac:dyDescent="0.25">
      <c r="A610" s="107"/>
      <c r="B610" s="107"/>
      <c r="C610" s="86" t="s">
        <v>1713</v>
      </c>
      <c r="D610" s="86"/>
    </row>
    <row r="611" spans="1:5" x14ac:dyDescent="0.25">
      <c r="A611" s="107"/>
      <c r="B611" s="107"/>
      <c r="C611" s="86" t="s">
        <v>1921</v>
      </c>
      <c r="D611" s="86"/>
    </row>
    <row r="612" spans="1:5" x14ac:dyDescent="0.25">
      <c r="A612" s="107"/>
      <c r="B612" s="107"/>
      <c r="C612" s="86" t="s">
        <v>2871</v>
      </c>
      <c r="D612" s="86"/>
    </row>
    <row r="613" spans="1:5" x14ac:dyDescent="0.25">
      <c r="A613" s="107"/>
      <c r="B613" s="107"/>
      <c r="C613" s="86" t="s">
        <v>2872</v>
      </c>
      <c r="D613" s="86"/>
    </row>
    <row r="614" spans="1:5" x14ac:dyDescent="0.25">
      <c r="A614" s="107"/>
      <c r="B614" s="107"/>
      <c r="C614" s="86" t="s">
        <v>1739</v>
      </c>
      <c r="D614" s="86"/>
    </row>
    <row r="615" spans="1:5" x14ac:dyDescent="0.25">
      <c r="A615" s="107"/>
      <c r="B615" s="107"/>
      <c r="C615" s="86" t="s">
        <v>1875</v>
      </c>
      <c r="D615" s="86"/>
    </row>
    <row r="616" spans="1:5" x14ac:dyDescent="0.25">
      <c r="A616" s="107"/>
      <c r="B616" s="107"/>
      <c r="C616" s="86" t="s">
        <v>1708</v>
      </c>
      <c r="D616" s="86"/>
    </row>
    <row r="617" spans="1:5" x14ac:dyDescent="0.25">
      <c r="A617" s="107"/>
      <c r="B617" s="107"/>
      <c r="C617" s="86" t="s">
        <v>1982</v>
      </c>
      <c r="D617" s="86"/>
    </row>
    <row r="618" spans="1:5" x14ac:dyDescent="0.25">
      <c r="A618" s="107"/>
      <c r="B618" s="107"/>
      <c r="C618" s="86" t="s">
        <v>1704</v>
      </c>
      <c r="D618" s="86"/>
    </row>
    <row r="619" spans="1:5" x14ac:dyDescent="0.25">
      <c r="A619" s="107"/>
      <c r="B619" s="107"/>
      <c r="C619" s="86" t="s">
        <v>2873</v>
      </c>
      <c r="D619" s="86"/>
    </row>
    <row r="620" spans="1:5" x14ac:dyDescent="0.25">
      <c r="A620" s="107"/>
      <c r="B620" s="107"/>
      <c r="C620" s="86" t="s">
        <v>1675</v>
      </c>
      <c r="D620" s="86"/>
    </row>
    <row r="621" spans="1:5" x14ac:dyDescent="0.25">
      <c r="A621" s="107"/>
      <c r="B621" s="107"/>
      <c r="C621" s="86" t="s">
        <v>2874</v>
      </c>
      <c r="D621" s="86"/>
      <c r="E621" t="s">
        <v>2363</v>
      </c>
    </row>
    <row r="622" spans="1:5" x14ac:dyDescent="0.25">
      <c r="A622" s="96"/>
      <c r="B622" s="96" t="s">
        <v>2292</v>
      </c>
      <c r="C622" s="90" t="s">
        <v>2875</v>
      </c>
      <c r="D622" s="90"/>
    </row>
    <row r="623" spans="1:5" x14ac:dyDescent="0.25">
      <c r="A623" s="97"/>
      <c r="B623" s="97"/>
      <c r="C623" s="90" t="s">
        <v>2876</v>
      </c>
      <c r="D623" s="90"/>
    </row>
    <row r="624" spans="1:5" x14ac:dyDescent="0.25">
      <c r="A624" s="97"/>
      <c r="B624" s="97"/>
      <c r="C624" s="90" t="s">
        <v>2877</v>
      </c>
      <c r="D624" s="90"/>
    </row>
    <row r="625" spans="1:5" x14ac:dyDescent="0.25">
      <c r="A625" s="97"/>
      <c r="B625" s="97"/>
      <c r="C625" s="90" t="s">
        <v>2878</v>
      </c>
      <c r="D625" s="90"/>
    </row>
    <row r="626" spans="1:5" x14ac:dyDescent="0.25">
      <c r="A626" s="97"/>
      <c r="B626" s="97"/>
      <c r="C626" s="90" t="s">
        <v>2879</v>
      </c>
      <c r="D626" s="90"/>
      <c r="E626" t="s">
        <v>2363</v>
      </c>
    </row>
    <row r="627" spans="1:5" x14ac:dyDescent="0.25">
      <c r="A627" s="97"/>
      <c r="B627" s="97"/>
      <c r="C627" s="90" t="s">
        <v>2299</v>
      </c>
      <c r="D627" s="90"/>
    </row>
    <row r="628" spans="1:5" x14ac:dyDescent="0.25">
      <c r="A628" s="97"/>
      <c r="B628" s="97"/>
      <c r="C628" s="90" t="s">
        <v>2880</v>
      </c>
      <c r="D628" s="90"/>
    </row>
    <row r="629" spans="1:5" x14ac:dyDescent="0.25">
      <c r="A629" s="97"/>
      <c r="B629" s="97"/>
      <c r="C629" s="90" t="s">
        <v>610</v>
      </c>
      <c r="D629" s="90"/>
    </row>
    <row r="630" spans="1:5" x14ac:dyDescent="0.25">
      <c r="A630" s="97"/>
      <c r="B630" s="97"/>
      <c r="C630" s="90" t="s">
        <v>2304</v>
      </c>
      <c r="D630" s="90"/>
    </row>
    <row r="631" spans="1:5" x14ac:dyDescent="0.25">
      <c r="A631" s="97"/>
      <c r="B631" s="97"/>
      <c r="C631" s="90" t="s">
        <v>2881</v>
      </c>
      <c r="D631" s="90"/>
    </row>
    <row r="632" spans="1:5" x14ac:dyDescent="0.25">
      <c r="A632" s="97"/>
      <c r="B632" s="97"/>
      <c r="C632" s="90" t="s">
        <v>2882</v>
      </c>
      <c r="D632" s="90"/>
    </row>
    <row r="633" spans="1:5" x14ac:dyDescent="0.25">
      <c r="A633" s="98"/>
      <c r="B633" s="98"/>
      <c r="C633" s="90" t="s">
        <v>286</v>
      </c>
      <c r="D633" s="90"/>
    </row>
    <row r="634" spans="1:5" x14ac:dyDescent="0.25">
      <c r="A634" s="107"/>
      <c r="B634" s="114" t="s">
        <v>2293</v>
      </c>
      <c r="C634" s="86" t="s">
        <v>2883</v>
      </c>
      <c r="D634" s="86" t="s">
        <v>2884</v>
      </c>
    </row>
    <row r="635" spans="1:5" x14ac:dyDescent="0.25">
      <c r="A635" s="107"/>
      <c r="B635" s="114"/>
      <c r="C635" s="86" t="s">
        <v>2885</v>
      </c>
      <c r="D635" s="86" t="s">
        <v>2886</v>
      </c>
    </row>
    <row r="636" spans="1:5" x14ac:dyDescent="0.25">
      <c r="A636" s="107"/>
      <c r="B636" s="114"/>
      <c r="C636" s="86" t="s">
        <v>2887</v>
      </c>
      <c r="D636" s="86" t="s">
        <v>2888</v>
      </c>
    </row>
    <row r="637" spans="1:5" x14ac:dyDescent="0.25">
      <c r="A637" s="107"/>
      <c r="B637" s="114"/>
      <c r="C637" s="86" t="s">
        <v>2889</v>
      </c>
      <c r="D637" s="86" t="s">
        <v>2890</v>
      </c>
    </row>
    <row r="638" spans="1:5" x14ac:dyDescent="0.25">
      <c r="A638" s="107"/>
      <c r="B638" s="114"/>
      <c r="C638" s="86" t="s">
        <v>2300</v>
      </c>
      <c r="D638" s="86" t="s">
        <v>2891</v>
      </c>
    </row>
    <row r="639" spans="1:5" x14ac:dyDescent="0.25">
      <c r="A639" s="107"/>
      <c r="B639" s="114"/>
      <c r="C639" s="86" t="s">
        <v>2892</v>
      </c>
      <c r="D639" s="86" t="s">
        <v>2893</v>
      </c>
    </row>
    <row r="640" spans="1:5" x14ac:dyDescent="0.25">
      <c r="A640" s="107"/>
      <c r="B640" s="114"/>
      <c r="C640" s="86" t="s">
        <v>2894</v>
      </c>
      <c r="D640" s="86" t="s">
        <v>2895</v>
      </c>
    </row>
    <row r="641" spans="1:4" x14ac:dyDescent="0.25">
      <c r="A641" s="107"/>
      <c r="B641" s="114"/>
      <c r="C641" s="86" t="s">
        <v>2896</v>
      </c>
      <c r="D641" s="86" t="s">
        <v>2896</v>
      </c>
    </row>
    <row r="642" spans="1:4" x14ac:dyDescent="0.25">
      <c r="A642" s="107"/>
      <c r="B642" s="114"/>
      <c r="C642" s="86" t="s">
        <v>286</v>
      </c>
      <c r="D642" s="86"/>
    </row>
    <row r="643" spans="1:4" x14ac:dyDescent="0.25">
      <c r="A643" s="96"/>
      <c r="B643" s="96" t="s">
        <v>2897</v>
      </c>
      <c r="C643" s="90" t="s">
        <v>2898</v>
      </c>
      <c r="D643" s="90" t="s">
        <v>2899</v>
      </c>
    </row>
    <row r="644" spans="1:4" x14ac:dyDescent="0.25">
      <c r="A644" s="97"/>
      <c r="B644" s="97"/>
      <c r="C644" s="90" t="s">
        <v>2301</v>
      </c>
      <c r="D644" s="90" t="s">
        <v>2900</v>
      </c>
    </row>
    <row r="645" spans="1:4" x14ac:dyDescent="0.25">
      <c r="A645" s="97"/>
      <c r="B645" s="97"/>
      <c r="C645" s="90" t="s">
        <v>2901</v>
      </c>
      <c r="D645" s="90" t="s">
        <v>2902</v>
      </c>
    </row>
    <row r="646" spans="1:4" x14ac:dyDescent="0.25">
      <c r="A646" s="97"/>
      <c r="B646" s="97"/>
      <c r="C646" s="90" t="s">
        <v>2903</v>
      </c>
      <c r="D646" s="90" t="s">
        <v>2904</v>
      </c>
    </row>
    <row r="647" spans="1:4" x14ac:dyDescent="0.25">
      <c r="A647" s="97"/>
      <c r="B647" s="97"/>
      <c r="C647" s="90" t="s">
        <v>2905</v>
      </c>
      <c r="D647" s="90"/>
    </row>
    <row r="648" spans="1:4" x14ac:dyDescent="0.25">
      <c r="A648" s="98"/>
      <c r="B648" s="98"/>
      <c r="C648" s="90" t="s">
        <v>286</v>
      </c>
      <c r="D648" s="90"/>
    </row>
    <row r="649" spans="1:4" x14ac:dyDescent="0.25">
      <c r="A649" s="107"/>
      <c r="B649" s="114" t="s">
        <v>1408</v>
      </c>
      <c r="C649" s="86" t="s">
        <v>1427</v>
      </c>
      <c r="D649" s="86"/>
    </row>
    <row r="650" spans="1:4" x14ac:dyDescent="0.25">
      <c r="A650" s="107"/>
      <c r="B650" s="114"/>
      <c r="C650" s="86" t="s">
        <v>1555</v>
      </c>
      <c r="D650" s="86"/>
    </row>
    <row r="651" spans="1:4" x14ac:dyDescent="0.25">
      <c r="A651" s="107"/>
      <c r="B651" s="114"/>
      <c r="C651" s="86" t="s">
        <v>1454</v>
      </c>
      <c r="D651" s="86"/>
    </row>
    <row r="652" spans="1:4" x14ac:dyDescent="0.25">
      <c r="A652" s="107"/>
      <c r="B652" s="114"/>
      <c r="C652" s="86" t="s">
        <v>1574</v>
      </c>
      <c r="D652" s="86"/>
    </row>
    <row r="653" spans="1:4" x14ac:dyDescent="0.25">
      <c r="A653" s="107"/>
      <c r="B653" s="114"/>
      <c r="C653" s="86" t="s">
        <v>286</v>
      </c>
      <c r="D653" s="86"/>
    </row>
    <row r="654" spans="1:4" x14ac:dyDescent="0.25">
      <c r="A654" s="96"/>
      <c r="B654" s="96" t="s">
        <v>1409</v>
      </c>
      <c r="C654" s="90" t="s">
        <v>2906</v>
      </c>
      <c r="D654" s="90"/>
    </row>
    <row r="655" spans="1:4" x14ac:dyDescent="0.25">
      <c r="A655" s="97"/>
      <c r="B655" s="97"/>
      <c r="C655" s="90" t="s">
        <v>1671</v>
      </c>
      <c r="D655" s="90"/>
    </row>
    <row r="656" spans="1:4" x14ac:dyDescent="0.25">
      <c r="A656" s="107"/>
      <c r="B656" s="114" t="s">
        <v>18</v>
      </c>
      <c r="C656" s="86" t="s">
        <v>16</v>
      </c>
      <c r="D656" s="86"/>
    </row>
    <row r="657" spans="1:6" x14ac:dyDescent="0.25">
      <c r="A657" s="107"/>
      <c r="B657" s="114"/>
      <c r="C657" s="86" t="s">
        <v>17</v>
      </c>
      <c r="D657" s="86"/>
    </row>
    <row r="658" spans="1:6" x14ac:dyDescent="0.25">
      <c r="A658" s="96"/>
      <c r="B658" s="96" t="s">
        <v>2100</v>
      </c>
      <c r="C658" s="90" t="s">
        <v>2907</v>
      </c>
      <c r="D658" s="90"/>
    </row>
    <row r="659" spans="1:6" x14ac:dyDescent="0.25">
      <c r="A659" s="97"/>
      <c r="B659" s="97"/>
      <c r="C659" s="90" t="s">
        <v>2908</v>
      </c>
      <c r="D659" s="90"/>
    </row>
    <row r="660" spans="1:6" x14ac:dyDescent="0.25">
      <c r="A660" s="97"/>
      <c r="B660" s="97"/>
      <c r="C660" s="90" t="s">
        <v>2909</v>
      </c>
      <c r="D660" s="90"/>
    </row>
    <row r="661" spans="1:6" x14ac:dyDescent="0.25">
      <c r="A661" s="97"/>
      <c r="B661" s="97"/>
      <c r="C661" s="90" t="s">
        <v>2910</v>
      </c>
      <c r="D661" s="90"/>
    </row>
    <row r="662" spans="1:6" x14ac:dyDescent="0.25">
      <c r="A662" s="97"/>
      <c r="B662" s="97"/>
      <c r="C662" s="90" t="s">
        <v>2911</v>
      </c>
      <c r="D662" s="90"/>
    </row>
    <row r="663" spans="1:6" x14ac:dyDescent="0.25">
      <c r="A663" s="97"/>
      <c r="B663" s="97"/>
      <c r="C663" s="90" t="s">
        <v>2912</v>
      </c>
      <c r="D663" s="90"/>
    </row>
    <row r="664" spans="1:6" x14ac:dyDescent="0.25">
      <c r="A664" s="97"/>
      <c r="B664" s="97"/>
      <c r="C664" s="90" t="s">
        <v>286</v>
      </c>
      <c r="D664" s="90"/>
    </row>
    <row r="665" spans="1:6" x14ac:dyDescent="0.25">
      <c r="A665" s="98"/>
      <c r="B665" s="98"/>
      <c r="C665" s="90" t="s">
        <v>2120</v>
      </c>
      <c r="D665" s="90"/>
    </row>
    <row r="666" spans="1:6" x14ac:dyDescent="0.25">
      <c r="A666" s="107"/>
      <c r="B666" s="114" t="s">
        <v>2101</v>
      </c>
      <c r="C666" s="86" t="s">
        <v>2913</v>
      </c>
      <c r="D666" s="86"/>
    </row>
    <row r="667" spans="1:6" x14ac:dyDescent="0.25">
      <c r="A667" s="107"/>
      <c r="B667" s="114"/>
      <c r="C667" s="86" t="s">
        <v>2914</v>
      </c>
      <c r="D667" s="86"/>
      <c r="F667" s="123"/>
    </row>
    <row r="668" spans="1:6" x14ac:dyDescent="0.25">
      <c r="A668" s="96"/>
      <c r="B668" s="96" t="s">
        <v>203</v>
      </c>
      <c r="C668" s="90" t="s">
        <v>2170</v>
      </c>
      <c r="D668" s="90"/>
    </row>
    <row r="669" spans="1:6" x14ac:dyDescent="0.25">
      <c r="A669" s="97"/>
      <c r="B669" s="97"/>
      <c r="C669" s="90" t="s">
        <v>2915</v>
      </c>
      <c r="D669" s="90"/>
    </row>
    <row r="670" spans="1:6" x14ac:dyDescent="0.25">
      <c r="A670" s="97"/>
      <c r="B670" s="97"/>
      <c r="C670" s="90" t="s">
        <v>2916</v>
      </c>
      <c r="D670" s="90"/>
    </row>
    <row r="671" spans="1:6" x14ac:dyDescent="0.25">
      <c r="A671" s="97"/>
      <c r="B671" s="97"/>
      <c r="C671" s="90" t="s">
        <v>2917</v>
      </c>
      <c r="D671" s="90"/>
    </row>
    <row r="672" spans="1:6" x14ac:dyDescent="0.25">
      <c r="A672" s="97"/>
      <c r="B672" s="97"/>
      <c r="C672" s="90" t="s">
        <v>2918</v>
      </c>
      <c r="D672" s="90"/>
    </row>
    <row r="673" spans="1:4" x14ac:dyDescent="0.25">
      <c r="A673" s="97"/>
      <c r="B673" s="97"/>
      <c r="C673" s="90" t="s">
        <v>2919</v>
      </c>
      <c r="D673" s="90"/>
    </row>
    <row r="674" spans="1:4" x14ac:dyDescent="0.25">
      <c r="A674" s="97"/>
      <c r="B674" s="97"/>
      <c r="C674" s="90" t="s">
        <v>2920</v>
      </c>
      <c r="D674" s="90"/>
    </row>
    <row r="675" spans="1:4" x14ac:dyDescent="0.25">
      <c r="A675" s="97"/>
      <c r="B675" s="97"/>
      <c r="C675" s="90" t="s">
        <v>2921</v>
      </c>
      <c r="D675" s="90"/>
    </row>
    <row r="676" spans="1:4" x14ac:dyDescent="0.25">
      <c r="A676" s="97"/>
      <c r="B676" s="97"/>
      <c r="C676" s="90" t="s">
        <v>2922</v>
      </c>
      <c r="D676" s="90"/>
    </row>
    <row r="677" spans="1:4" x14ac:dyDescent="0.25">
      <c r="A677" s="97"/>
      <c r="B677" s="97"/>
      <c r="C677" s="90" t="s">
        <v>2923</v>
      </c>
      <c r="D677" s="90"/>
    </row>
    <row r="678" spans="1:4" x14ac:dyDescent="0.25">
      <c r="A678" s="97"/>
      <c r="B678" s="97"/>
      <c r="C678" s="90" t="s">
        <v>1675</v>
      </c>
      <c r="D678" s="90"/>
    </row>
    <row r="679" spans="1:4" x14ac:dyDescent="0.25">
      <c r="A679" s="98"/>
      <c r="B679" s="98"/>
      <c r="C679" s="90" t="s">
        <v>2120</v>
      </c>
      <c r="D679" s="90"/>
    </row>
    <row r="680" spans="1:4" x14ac:dyDescent="0.25">
      <c r="A680" s="102"/>
      <c r="B680" s="102" t="s">
        <v>2104</v>
      </c>
      <c r="C680" s="86" t="s">
        <v>2907</v>
      </c>
      <c r="D680" s="86"/>
    </row>
    <row r="681" spans="1:4" x14ac:dyDescent="0.25">
      <c r="A681" s="99"/>
      <c r="B681" s="99"/>
      <c r="C681" s="86" t="s">
        <v>2908</v>
      </c>
      <c r="D681" s="86"/>
    </row>
    <row r="682" spans="1:4" x14ac:dyDescent="0.25">
      <c r="A682" s="99"/>
      <c r="B682" s="99"/>
      <c r="C682" s="86" t="s">
        <v>2909</v>
      </c>
      <c r="D682" s="86"/>
    </row>
    <row r="683" spans="1:4" x14ac:dyDescent="0.25">
      <c r="A683" s="99"/>
      <c r="B683" s="99"/>
      <c r="C683" s="86" t="s">
        <v>2910</v>
      </c>
      <c r="D683" s="86"/>
    </row>
    <row r="684" spans="1:4" x14ac:dyDescent="0.25">
      <c r="A684" s="99"/>
      <c r="B684" s="99"/>
      <c r="C684" s="86" t="s">
        <v>2911</v>
      </c>
      <c r="D684" s="86"/>
    </row>
    <row r="685" spans="1:4" x14ac:dyDescent="0.25">
      <c r="A685" s="99"/>
      <c r="B685" s="99"/>
      <c r="C685" s="86" t="s">
        <v>2912</v>
      </c>
      <c r="D685" s="86"/>
    </row>
    <row r="686" spans="1:4" x14ac:dyDescent="0.25">
      <c r="A686" s="99"/>
      <c r="B686" s="99"/>
      <c r="C686" s="86" t="s">
        <v>286</v>
      </c>
      <c r="D686" s="86"/>
    </row>
    <row r="687" spans="1:4" x14ac:dyDescent="0.25">
      <c r="A687" s="99"/>
      <c r="B687" s="99"/>
      <c r="C687" s="86" t="s">
        <v>2120</v>
      </c>
      <c r="D687" s="86"/>
    </row>
    <row r="688" spans="1:4" x14ac:dyDescent="0.25">
      <c r="A688" s="96"/>
      <c r="B688" s="96" t="s">
        <v>2924</v>
      </c>
      <c r="C688" s="90" t="s">
        <v>2925</v>
      </c>
      <c r="D688" s="90"/>
    </row>
    <row r="689" spans="1:4" x14ac:dyDescent="0.25">
      <c r="A689" s="97"/>
      <c r="B689" s="98"/>
      <c r="C689" s="90" t="s">
        <v>2926</v>
      </c>
      <c r="D689" s="90"/>
    </row>
    <row r="690" spans="1:4" x14ac:dyDescent="0.25">
      <c r="A690" s="102"/>
      <c r="B690" s="102" t="s">
        <v>2103</v>
      </c>
      <c r="C690" s="86" t="s">
        <v>2927</v>
      </c>
      <c r="D690" s="86"/>
    </row>
    <row r="691" spans="1:4" x14ac:dyDescent="0.25">
      <c r="A691" s="99"/>
      <c r="B691" s="99"/>
      <c r="C691" s="86" t="s">
        <v>2928</v>
      </c>
      <c r="D691" s="86"/>
    </row>
    <row r="692" spans="1:4" x14ac:dyDescent="0.25">
      <c r="A692" s="96"/>
      <c r="B692" s="96" t="s">
        <v>2095</v>
      </c>
      <c r="C692" s="90" t="s">
        <v>2929</v>
      </c>
      <c r="D692" s="90"/>
    </row>
    <row r="693" spans="1:4" x14ac:dyDescent="0.25">
      <c r="A693" s="97"/>
      <c r="B693" s="97"/>
      <c r="C693" s="90" t="s">
        <v>2801</v>
      </c>
      <c r="D693" s="90"/>
    </row>
    <row r="694" spans="1:4" x14ac:dyDescent="0.25">
      <c r="A694" s="97"/>
      <c r="B694" s="97"/>
      <c r="C694" s="90" t="s">
        <v>2115</v>
      </c>
      <c r="D694" s="90"/>
    </row>
    <row r="695" spans="1:4" x14ac:dyDescent="0.25">
      <c r="A695" s="97"/>
      <c r="B695" s="97"/>
      <c r="C695" s="90" t="s">
        <v>2930</v>
      </c>
      <c r="D695" s="90"/>
    </row>
    <row r="696" spans="1:4" x14ac:dyDescent="0.25">
      <c r="A696" s="97"/>
      <c r="B696" s="97"/>
      <c r="C696" s="90" t="s">
        <v>753</v>
      </c>
      <c r="D696" s="90"/>
    </row>
    <row r="697" spans="1:4" x14ac:dyDescent="0.25">
      <c r="A697" s="97"/>
      <c r="B697" s="97"/>
      <c r="C697" s="90" t="s">
        <v>201</v>
      </c>
      <c r="D697" s="90"/>
    </row>
    <row r="698" spans="1:4" x14ac:dyDescent="0.25">
      <c r="A698" s="97"/>
      <c r="B698" s="97"/>
      <c r="C698" s="90" t="s">
        <v>2931</v>
      </c>
      <c r="D698" s="90"/>
    </row>
    <row r="699" spans="1:4" x14ac:dyDescent="0.25">
      <c r="A699" s="97"/>
      <c r="B699" s="97"/>
      <c r="C699" s="90" t="s">
        <v>2932</v>
      </c>
      <c r="D699" s="90"/>
    </row>
    <row r="700" spans="1:4" x14ac:dyDescent="0.25">
      <c r="A700" s="97"/>
      <c r="B700" s="97"/>
      <c r="C700" s="90" t="s">
        <v>286</v>
      </c>
      <c r="D700" s="90"/>
    </row>
    <row r="701" spans="1:4" x14ac:dyDescent="0.25">
      <c r="A701" s="102"/>
      <c r="B701" s="102" t="s">
        <v>2096</v>
      </c>
      <c r="C701" s="86" t="s">
        <v>1509</v>
      </c>
      <c r="D701" s="86"/>
    </row>
    <row r="702" spans="1:4" x14ac:dyDescent="0.25">
      <c r="A702" s="99"/>
      <c r="B702" s="99"/>
      <c r="C702" s="86" t="s">
        <v>808</v>
      </c>
      <c r="D702" s="86"/>
    </row>
    <row r="703" spans="1:4" x14ac:dyDescent="0.25">
      <c r="A703" s="99"/>
      <c r="B703" s="99"/>
      <c r="C703" s="86" t="s">
        <v>2541</v>
      </c>
      <c r="D703" s="86"/>
    </row>
    <row r="704" spans="1:4" x14ac:dyDescent="0.25">
      <c r="A704" s="99"/>
      <c r="B704" s="99"/>
      <c r="C704" s="86" t="s">
        <v>888</v>
      </c>
      <c r="D704" s="86"/>
    </row>
    <row r="705" spans="1:5" x14ac:dyDescent="0.25">
      <c r="A705" s="99"/>
      <c r="B705" s="99"/>
      <c r="C705" s="86" t="s">
        <v>234</v>
      </c>
      <c r="D705" s="86"/>
    </row>
    <row r="706" spans="1:5" x14ac:dyDescent="0.25">
      <c r="A706" s="99"/>
      <c r="B706" s="99"/>
      <c r="C706" s="86" t="s">
        <v>287</v>
      </c>
      <c r="D706" s="86"/>
    </row>
    <row r="707" spans="1:5" x14ac:dyDescent="0.25">
      <c r="A707" s="99"/>
      <c r="B707" s="99"/>
      <c r="C707" s="86" t="s">
        <v>498</v>
      </c>
      <c r="D707" s="86"/>
    </row>
    <row r="708" spans="1:5" x14ac:dyDescent="0.25">
      <c r="A708" s="99"/>
      <c r="B708" s="99"/>
      <c r="C708" s="86" t="s">
        <v>1108</v>
      </c>
      <c r="D708" s="86"/>
    </row>
    <row r="709" spans="1:5" x14ac:dyDescent="0.25">
      <c r="A709" s="99"/>
      <c r="B709" s="99"/>
      <c r="C709" s="86" t="s">
        <v>252</v>
      </c>
      <c r="D709" s="86"/>
    </row>
    <row r="710" spans="1:5" x14ac:dyDescent="0.25">
      <c r="A710" s="99"/>
      <c r="B710" s="99"/>
      <c r="C710" s="86" t="s">
        <v>773</v>
      </c>
      <c r="D710" s="86"/>
    </row>
    <row r="711" spans="1:5" x14ac:dyDescent="0.25">
      <c r="A711" s="99"/>
      <c r="B711" s="99"/>
      <c r="C711" s="86" t="s">
        <v>245</v>
      </c>
      <c r="D711" s="86"/>
    </row>
    <row r="712" spans="1:5" x14ac:dyDescent="0.25">
      <c r="A712" s="99"/>
      <c r="B712" s="99"/>
      <c r="C712" s="86" t="s">
        <v>365</v>
      </c>
      <c r="D712" s="86"/>
    </row>
    <row r="713" spans="1:5" x14ac:dyDescent="0.25">
      <c r="A713" s="99"/>
      <c r="B713" s="99"/>
      <c r="C713" s="86" t="s">
        <v>1572</v>
      </c>
      <c r="D713" s="86"/>
    </row>
    <row r="714" spans="1:5" x14ac:dyDescent="0.25">
      <c r="A714" s="99"/>
      <c r="B714" s="99"/>
      <c r="C714" s="86" t="s">
        <v>2543</v>
      </c>
      <c r="D714" s="86"/>
    </row>
    <row r="715" spans="1:5" x14ac:dyDescent="0.25">
      <c r="A715" s="99"/>
      <c r="B715" s="99"/>
      <c r="C715" s="86" t="s">
        <v>272</v>
      </c>
      <c r="D715" s="86"/>
    </row>
    <row r="716" spans="1:5" x14ac:dyDescent="0.25">
      <c r="A716" s="99"/>
      <c r="B716" s="99"/>
      <c r="C716" s="86" t="s">
        <v>2544</v>
      </c>
      <c r="D716" s="86" t="s">
        <v>2545</v>
      </c>
      <c r="E716" t="s">
        <v>2363</v>
      </c>
    </row>
    <row r="717" spans="1:5" x14ac:dyDescent="0.25">
      <c r="A717" s="99"/>
      <c r="B717" s="99"/>
      <c r="C717" s="86" t="s">
        <v>423</v>
      </c>
      <c r="D717" s="86"/>
    </row>
    <row r="718" spans="1:5" x14ac:dyDescent="0.25">
      <c r="A718" s="99"/>
      <c r="B718" s="99"/>
      <c r="C718" s="86" t="s">
        <v>931</v>
      </c>
      <c r="D718" s="86"/>
    </row>
    <row r="719" spans="1:5" x14ac:dyDescent="0.25">
      <c r="A719" s="99"/>
      <c r="B719" s="99"/>
      <c r="C719" s="86" t="s">
        <v>227</v>
      </c>
      <c r="D719" s="86"/>
    </row>
    <row r="720" spans="1:5" x14ac:dyDescent="0.25">
      <c r="A720" s="99"/>
      <c r="B720" s="99"/>
      <c r="C720" s="86" t="s">
        <v>2546</v>
      </c>
      <c r="D720" s="86"/>
    </row>
    <row r="721" spans="1:4" x14ac:dyDescent="0.25">
      <c r="A721" s="99"/>
      <c r="B721" s="99"/>
      <c r="C721" s="86" t="s">
        <v>830</v>
      </c>
      <c r="D721" s="86"/>
    </row>
    <row r="722" spans="1:4" x14ac:dyDescent="0.25">
      <c r="A722" s="99"/>
      <c r="B722" s="99"/>
      <c r="C722" s="86" t="s">
        <v>856</v>
      </c>
      <c r="D722" s="86"/>
    </row>
    <row r="723" spans="1:4" x14ac:dyDescent="0.25">
      <c r="A723" s="99"/>
      <c r="B723" s="99"/>
      <c r="C723" s="86" t="s">
        <v>899</v>
      </c>
      <c r="D723" s="86"/>
    </row>
    <row r="724" spans="1:4" x14ac:dyDescent="0.25">
      <c r="A724" s="99"/>
      <c r="B724" s="99"/>
      <c r="C724" s="86" t="s">
        <v>906</v>
      </c>
      <c r="D724" s="86"/>
    </row>
    <row r="725" spans="1:4" x14ac:dyDescent="0.25">
      <c r="A725" s="99"/>
      <c r="B725" s="99"/>
      <c r="C725" s="86" t="s">
        <v>610</v>
      </c>
      <c r="D725" s="86"/>
    </row>
    <row r="726" spans="1:4" x14ac:dyDescent="0.25">
      <c r="A726" s="99"/>
      <c r="B726" s="99"/>
      <c r="C726" s="86" t="s">
        <v>764</v>
      </c>
      <c r="D726" s="86"/>
    </row>
    <row r="727" spans="1:4" x14ac:dyDescent="0.25">
      <c r="A727" s="99"/>
      <c r="B727" s="99"/>
      <c r="C727" s="86" t="s">
        <v>258</v>
      </c>
      <c r="D727" s="86"/>
    </row>
    <row r="728" spans="1:4" x14ac:dyDescent="0.25">
      <c r="A728" s="99"/>
      <c r="B728" s="99"/>
      <c r="C728" s="86" t="s">
        <v>217</v>
      </c>
      <c r="D728" s="86"/>
    </row>
    <row r="729" spans="1:4" x14ac:dyDescent="0.25">
      <c r="A729" s="99"/>
      <c r="B729" s="99"/>
      <c r="C729" s="86" t="s">
        <v>2547</v>
      </c>
      <c r="D729" s="86"/>
    </row>
    <row r="730" spans="1:4" x14ac:dyDescent="0.25">
      <c r="A730" s="99"/>
      <c r="B730" s="99"/>
      <c r="C730" s="86" t="s">
        <v>628</v>
      </c>
      <c r="D730" s="86"/>
    </row>
    <row r="731" spans="1:4" x14ac:dyDescent="0.25">
      <c r="A731" s="99"/>
      <c r="B731" s="99"/>
      <c r="C731" s="86" t="s">
        <v>2548</v>
      </c>
      <c r="D731" s="86"/>
    </row>
    <row r="732" spans="1:4" x14ac:dyDescent="0.25">
      <c r="A732" s="99"/>
      <c r="B732" s="99"/>
      <c r="C732" s="86" t="s">
        <v>2549</v>
      </c>
      <c r="D732" s="86"/>
    </row>
    <row r="733" spans="1:4" x14ac:dyDescent="0.25">
      <c r="A733" s="99"/>
      <c r="B733" s="99"/>
      <c r="C733" s="86" t="s">
        <v>2550</v>
      </c>
      <c r="D733" s="86"/>
    </row>
    <row r="734" spans="1:4" x14ac:dyDescent="0.25">
      <c r="A734" s="99"/>
      <c r="B734" s="99"/>
      <c r="C734" s="86" t="s">
        <v>2551</v>
      </c>
      <c r="D734" s="86"/>
    </row>
    <row r="735" spans="1:4" x14ac:dyDescent="0.25">
      <c r="A735" s="99"/>
      <c r="B735" s="99"/>
      <c r="C735" s="86" t="s">
        <v>2552</v>
      </c>
      <c r="D735" s="86"/>
    </row>
    <row r="736" spans="1:4" x14ac:dyDescent="0.25">
      <c r="A736" s="99"/>
      <c r="B736" s="99"/>
      <c r="C736" s="86" t="s">
        <v>25</v>
      </c>
      <c r="D736" s="86"/>
    </row>
    <row r="737" spans="1:4" x14ac:dyDescent="0.25">
      <c r="A737" s="99"/>
      <c r="B737" s="99"/>
      <c r="C737" s="86" t="s">
        <v>2553</v>
      </c>
      <c r="D737" s="86"/>
    </row>
    <row r="738" spans="1:4" x14ac:dyDescent="0.25">
      <c r="A738" s="99"/>
      <c r="B738" s="99"/>
      <c r="C738" s="86" t="s">
        <v>2554</v>
      </c>
      <c r="D738" s="86"/>
    </row>
    <row r="739" spans="1:4" x14ac:dyDescent="0.25">
      <c r="A739" s="99"/>
      <c r="B739" s="99"/>
      <c r="C739" s="86" t="s">
        <v>837</v>
      </c>
      <c r="D739" s="86"/>
    </row>
    <row r="740" spans="1:4" x14ac:dyDescent="0.25">
      <c r="A740" s="99"/>
      <c r="B740" s="99"/>
      <c r="C740" s="86" t="s">
        <v>825</v>
      </c>
      <c r="D740" s="86"/>
    </row>
    <row r="741" spans="1:4" x14ac:dyDescent="0.25">
      <c r="A741" s="99"/>
      <c r="B741" s="99"/>
      <c r="C741" s="86" t="s">
        <v>515</v>
      </c>
      <c r="D741" s="86"/>
    </row>
    <row r="742" spans="1:4" x14ac:dyDescent="0.25">
      <c r="A742" s="99"/>
      <c r="B742" s="99"/>
      <c r="C742" s="86" t="s">
        <v>429</v>
      </c>
      <c r="D742" s="86"/>
    </row>
    <row r="743" spans="1:4" x14ac:dyDescent="0.25">
      <c r="A743" s="99"/>
      <c r="B743" s="99"/>
      <c r="C743" s="86" t="s">
        <v>2555</v>
      </c>
      <c r="D743" s="86"/>
    </row>
    <row r="744" spans="1:4" x14ac:dyDescent="0.25">
      <c r="A744" s="99"/>
      <c r="B744" s="99"/>
      <c r="C744" s="86" t="s">
        <v>526</v>
      </c>
      <c r="D744" s="86"/>
    </row>
    <row r="745" spans="1:4" x14ac:dyDescent="0.25">
      <c r="A745" s="99"/>
      <c r="B745" s="99"/>
      <c r="C745" s="86" t="s">
        <v>2556</v>
      </c>
      <c r="D745" s="86"/>
    </row>
    <row r="746" spans="1:4" x14ac:dyDescent="0.25">
      <c r="A746" s="99"/>
      <c r="B746" s="99"/>
      <c r="C746" s="86" t="s">
        <v>2557</v>
      </c>
      <c r="D746" s="86"/>
    </row>
    <row r="747" spans="1:4" x14ac:dyDescent="0.25">
      <c r="A747" s="99"/>
      <c r="B747" s="99"/>
      <c r="C747" s="86" t="s">
        <v>2558</v>
      </c>
      <c r="D747" s="86"/>
    </row>
    <row r="748" spans="1:4" x14ac:dyDescent="0.25">
      <c r="A748" s="99"/>
      <c r="B748" s="99"/>
      <c r="C748" s="86" t="s">
        <v>329</v>
      </c>
      <c r="D748" s="86"/>
    </row>
    <row r="749" spans="1:4" x14ac:dyDescent="0.25">
      <c r="A749" s="99"/>
      <c r="B749" s="99"/>
      <c r="C749" s="86" t="s">
        <v>1626</v>
      </c>
      <c r="D749" s="86"/>
    </row>
    <row r="750" spans="1:4" x14ac:dyDescent="0.25">
      <c r="A750" s="99"/>
      <c r="B750" s="99"/>
      <c r="C750" s="86" t="s">
        <v>71</v>
      </c>
      <c r="D750" s="86"/>
    </row>
    <row r="751" spans="1:4" x14ac:dyDescent="0.25">
      <c r="A751" s="99"/>
      <c r="B751" s="99"/>
      <c r="C751" s="86" t="s">
        <v>2357</v>
      </c>
      <c r="D751" s="86"/>
    </row>
    <row r="752" spans="1:4" x14ac:dyDescent="0.25">
      <c r="A752" s="99"/>
      <c r="B752" s="99"/>
      <c r="C752" s="86" t="s">
        <v>699</v>
      </c>
      <c r="D752" s="86"/>
    </row>
    <row r="753" spans="1:4" x14ac:dyDescent="0.25">
      <c r="A753" s="99"/>
      <c r="B753" s="99"/>
      <c r="C753" s="86" t="s">
        <v>2358</v>
      </c>
      <c r="D753" s="86"/>
    </row>
    <row r="754" spans="1:4" x14ac:dyDescent="0.25">
      <c r="A754" s="99"/>
      <c r="B754" s="99"/>
      <c r="C754" s="86" t="s">
        <v>2359</v>
      </c>
      <c r="D754" s="86"/>
    </row>
    <row r="755" spans="1:4" x14ac:dyDescent="0.25">
      <c r="A755" s="99"/>
      <c r="B755" s="99"/>
      <c r="C755" s="86" t="s">
        <v>2360</v>
      </c>
      <c r="D755" s="86"/>
    </row>
    <row r="756" spans="1:4" x14ac:dyDescent="0.25">
      <c r="A756" s="99"/>
      <c r="B756" s="99"/>
      <c r="C756" s="86" t="s">
        <v>2361</v>
      </c>
      <c r="D756" s="86"/>
    </row>
    <row r="757" spans="1:4" x14ac:dyDescent="0.25">
      <c r="A757" s="99"/>
      <c r="B757" s="99"/>
      <c r="C757" s="86" t="s">
        <v>2362</v>
      </c>
      <c r="D757" s="86"/>
    </row>
    <row r="758" spans="1:4" x14ac:dyDescent="0.25">
      <c r="A758" s="99"/>
      <c r="B758" s="99"/>
      <c r="C758" s="86" t="s">
        <v>2364</v>
      </c>
      <c r="D758" s="86"/>
    </row>
    <row r="759" spans="1:4" x14ac:dyDescent="0.25">
      <c r="A759" s="99"/>
      <c r="B759" s="99"/>
      <c r="C759" s="86" t="s">
        <v>2365</v>
      </c>
      <c r="D759" s="86"/>
    </row>
    <row r="760" spans="1:4" x14ac:dyDescent="0.25">
      <c r="A760" s="99"/>
      <c r="B760" s="99"/>
      <c r="C760" s="86" t="s">
        <v>1681</v>
      </c>
      <c r="D760" s="86"/>
    </row>
    <row r="761" spans="1:4" x14ac:dyDescent="0.25">
      <c r="A761" s="99"/>
      <c r="B761" s="99"/>
      <c r="C761" s="86" t="s">
        <v>2366</v>
      </c>
      <c r="D761" s="86"/>
    </row>
    <row r="762" spans="1:4" x14ac:dyDescent="0.25">
      <c r="A762" s="99"/>
      <c r="B762" s="99"/>
      <c r="C762" s="86" t="s">
        <v>2367</v>
      </c>
      <c r="D762" s="86"/>
    </row>
    <row r="763" spans="1:4" x14ac:dyDescent="0.25">
      <c r="A763" s="99"/>
      <c r="B763" s="99"/>
      <c r="C763" s="86" t="s">
        <v>1193</v>
      </c>
      <c r="D763" s="86"/>
    </row>
    <row r="764" spans="1:4" x14ac:dyDescent="0.25">
      <c r="A764" s="99"/>
      <c r="B764" s="99"/>
      <c r="C764" s="86" t="s">
        <v>2368</v>
      </c>
      <c r="D764" s="86"/>
    </row>
    <row r="765" spans="1:4" x14ac:dyDescent="0.25">
      <c r="A765" s="99"/>
      <c r="B765" s="99"/>
      <c r="C765" s="86" t="s">
        <v>2369</v>
      </c>
      <c r="D765" s="86"/>
    </row>
    <row r="766" spans="1:4" x14ac:dyDescent="0.25">
      <c r="A766" s="99"/>
      <c r="B766" s="99"/>
      <c r="C766" s="86" t="s">
        <v>1001</v>
      </c>
      <c r="D766" s="86"/>
    </row>
    <row r="767" spans="1:4" x14ac:dyDescent="0.25">
      <c r="A767" s="99"/>
      <c r="B767" s="99"/>
      <c r="C767" s="86" t="s">
        <v>291</v>
      </c>
      <c r="D767" s="86"/>
    </row>
    <row r="768" spans="1:4" x14ac:dyDescent="0.25">
      <c r="A768" s="99"/>
      <c r="B768" s="99"/>
      <c r="C768" s="86" t="s">
        <v>2370</v>
      </c>
      <c r="D768" s="86"/>
    </row>
    <row r="769" spans="1:5" x14ac:dyDescent="0.25">
      <c r="A769" s="99"/>
      <c r="B769" s="99"/>
      <c r="C769" s="86" t="s">
        <v>2371</v>
      </c>
      <c r="D769" s="86"/>
    </row>
    <row r="770" spans="1:5" x14ac:dyDescent="0.25">
      <c r="A770" s="99"/>
      <c r="B770" s="99"/>
      <c r="C770" s="86" t="s">
        <v>2372</v>
      </c>
      <c r="D770" s="86"/>
    </row>
    <row r="771" spans="1:5" x14ac:dyDescent="0.25">
      <c r="A771" s="99"/>
      <c r="B771" s="99"/>
      <c r="C771" s="86" t="s">
        <v>2373</v>
      </c>
      <c r="D771" s="86"/>
    </row>
    <row r="772" spans="1:5" x14ac:dyDescent="0.25">
      <c r="A772" s="99"/>
      <c r="B772" s="99"/>
      <c r="C772" s="86" t="s">
        <v>2374</v>
      </c>
      <c r="D772" s="86"/>
    </row>
    <row r="773" spans="1:5" x14ac:dyDescent="0.25">
      <c r="A773" s="99"/>
      <c r="B773" s="99"/>
      <c r="C773" s="86" t="s">
        <v>2375</v>
      </c>
      <c r="D773" s="86"/>
    </row>
    <row r="774" spans="1:5" x14ac:dyDescent="0.25">
      <c r="A774" s="99"/>
      <c r="B774" s="99"/>
      <c r="C774" s="86" t="s">
        <v>2376</v>
      </c>
      <c r="D774" s="86"/>
    </row>
    <row r="775" spans="1:5" x14ac:dyDescent="0.25">
      <c r="A775" s="99"/>
      <c r="B775" s="99"/>
      <c r="C775" s="86" t="s">
        <v>2377</v>
      </c>
      <c r="D775" s="86"/>
    </row>
    <row r="776" spans="1:5" x14ac:dyDescent="0.25">
      <c r="A776" s="99"/>
      <c r="B776" s="99"/>
      <c r="C776" s="86" t="s">
        <v>604</v>
      </c>
      <c r="D776" s="86"/>
    </row>
    <row r="777" spans="1:5" x14ac:dyDescent="0.25">
      <c r="A777" s="99"/>
      <c r="B777" s="99"/>
      <c r="C777" s="86" t="s">
        <v>2378</v>
      </c>
      <c r="D777" s="86"/>
    </row>
    <row r="778" spans="1:5" x14ac:dyDescent="0.25">
      <c r="A778" s="99"/>
      <c r="B778" s="99"/>
      <c r="C778" s="86" t="s">
        <v>2379</v>
      </c>
      <c r="D778" s="86"/>
    </row>
    <row r="779" spans="1:5" x14ac:dyDescent="0.25">
      <c r="A779" s="99"/>
      <c r="B779" s="99"/>
      <c r="C779" s="86" t="s">
        <v>2380</v>
      </c>
      <c r="D779" s="86"/>
    </row>
    <row r="780" spans="1:5" x14ac:dyDescent="0.25">
      <c r="A780" s="99"/>
      <c r="B780" s="99"/>
      <c r="C780" s="86" t="s">
        <v>2381</v>
      </c>
      <c r="D780" s="86"/>
    </row>
    <row r="781" spans="1:5" x14ac:dyDescent="0.25">
      <c r="A781" s="99"/>
      <c r="B781" s="99"/>
      <c r="C781" s="86" t="s">
        <v>679</v>
      </c>
      <c r="D781" s="86"/>
    </row>
    <row r="782" spans="1:5" x14ac:dyDescent="0.25">
      <c r="A782" s="99"/>
      <c r="B782" s="99"/>
      <c r="C782" s="86" t="s">
        <v>2382</v>
      </c>
      <c r="D782" s="86"/>
      <c r="E782" t="s">
        <v>2363</v>
      </c>
    </row>
    <row r="783" spans="1:5" x14ac:dyDescent="0.25">
      <c r="A783" s="99"/>
      <c r="B783" s="99"/>
      <c r="C783" s="86" t="s">
        <v>2383</v>
      </c>
      <c r="D783" s="86"/>
      <c r="E783" t="s">
        <v>2363</v>
      </c>
    </row>
    <row r="784" spans="1:5" x14ac:dyDescent="0.25">
      <c r="A784" s="99"/>
      <c r="B784" s="99"/>
      <c r="C784" s="86" t="s">
        <v>2386</v>
      </c>
      <c r="D784" s="86"/>
      <c r="E784" t="s">
        <v>2363</v>
      </c>
    </row>
    <row r="785" spans="1:5" x14ac:dyDescent="0.25">
      <c r="A785" s="99"/>
      <c r="B785" s="99"/>
      <c r="C785" s="86" t="s">
        <v>1244</v>
      </c>
      <c r="D785" s="86"/>
    </row>
    <row r="786" spans="1:5" x14ac:dyDescent="0.25">
      <c r="A786" s="99"/>
      <c r="B786" s="99"/>
      <c r="C786" s="86" t="s">
        <v>2387</v>
      </c>
      <c r="D786" s="86"/>
    </row>
    <row r="787" spans="1:5" x14ac:dyDescent="0.25">
      <c r="A787" s="99"/>
      <c r="B787" s="99"/>
      <c r="C787" s="86" t="s">
        <v>2388</v>
      </c>
      <c r="D787" s="86"/>
    </row>
    <row r="788" spans="1:5" x14ac:dyDescent="0.25">
      <c r="A788" s="99"/>
      <c r="B788" s="99"/>
      <c r="C788" s="86" t="s">
        <v>2389</v>
      </c>
      <c r="D788" s="86"/>
    </row>
    <row r="789" spans="1:5" x14ac:dyDescent="0.25">
      <c r="A789" s="99"/>
      <c r="B789" s="99"/>
      <c r="C789" s="86" t="s">
        <v>2390</v>
      </c>
      <c r="D789" s="86"/>
    </row>
    <row r="790" spans="1:5" x14ac:dyDescent="0.25">
      <c r="A790" s="99"/>
      <c r="B790" s="99"/>
      <c r="C790" s="86" t="s">
        <v>2391</v>
      </c>
      <c r="D790" s="86"/>
      <c r="E790" t="s">
        <v>2363</v>
      </c>
    </row>
    <row r="791" spans="1:5" x14ac:dyDescent="0.25">
      <c r="A791" s="99"/>
      <c r="B791" s="99"/>
      <c r="C791" s="86" t="s">
        <v>2392</v>
      </c>
      <c r="D791" s="86"/>
    </row>
    <row r="792" spans="1:5" x14ac:dyDescent="0.25">
      <c r="A792" s="99"/>
      <c r="B792" s="99"/>
      <c r="C792" s="86" t="s">
        <v>2393</v>
      </c>
      <c r="D792" s="86"/>
    </row>
    <row r="793" spans="1:5" x14ac:dyDescent="0.25">
      <c r="A793" s="99"/>
      <c r="B793" s="99"/>
      <c r="C793" s="86" t="s">
        <v>2394</v>
      </c>
      <c r="D793" s="86"/>
    </row>
    <row r="794" spans="1:5" x14ac:dyDescent="0.25">
      <c r="A794" s="99"/>
      <c r="B794" s="99"/>
      <c r="C794" s="86" t="s">
        <v>2933</v>
      </c>
      <c r="D794" s="86"/>
    </row>
    <row r="795" spans="1:5" x14ac:dyDescent="0.25">
      <c r="A795" s="99"/>
      <c r="B795" s="99"/>
      <c r="C795" s="86" t="s">
        <v>1353</v>
      </c>
      <c r="D795" s="86"/>
    </row>
    <row r="796" spans="1:5" x14ac:dyDescent="0.25">
      <c r="A796" s="99"/>
      <c r="B796" s="99"/>
      <c r="C796" s="86" t="s">
        <v>2395</v>
      </c>
      <c r="D796" s="86"/>
    </row>
    <row r="797" spans="1:5" x14ac:dyDescent="0.25">
      <c r="A797" s="99"/>
      <c r="B797" s="99"/>
      <c r="C797" s="86" t="s">
        <v>2396</v>
      </c>
      <c r="D797" s="86"/>
    </row>
    <row r="798" spans="1:5" x14ac:dyDescent="0.25">
      <c r="A798" s="99"/>
      <c r="B798" s="99"/>
      <c r="C798" s="86" t="s">
        <v>2397</v>
      </c>
      <c r="D798" s="86"/>
    </row>
    <row r="799" spans="1:5" x14ac:dyDescent="0.25">
      <c r="A799" s="99"/>
      <c r="B799" s="99"/>
      <c r="C799" s="86" t="s">
        <v>2398</v>
      </c>
      <c r="D799" s="86"/>
    </row>
    <row r="800" spans="1:5" x14ac:dyDescent="0.25">
      <c r="A800" s="99"/>
      <c r="B800" s="99"/>
      <c r="C800" s="86" t="s">
        <v>2399</v>
      </c>
      <c r="D800" s="86"/>
    </row>
    <row r="801" spans="1:5" x14ac:dyDescent="0.25">
      <c r="A801" s="99"/>
      <c r="B801" s="99"/>
      <c r="C801" s="86" t="s">
        <v>2400</v>
      </c>
      <c r="D801" s="86"/>
    </row>
    <row r="802" spans="1:5" x14ac:dyDescent="0.25">
      <c r="A802" s="99"/>
      <c r="B802" s="99"/>
      <c r="C802" s="86" t="s">
        <v>2401</v>
      </c>
      <c r="D802" s="86"/>
    </row>
    <row r="803" spans="1:5" x14ac:dyDescent="0.25">
      <c r="A803" s="99"/>
      <c r="B803" s="99"/>
      <c r="C803" s="86" t="s">
        <v>2402</v>
      </c>
      <c r="D803" s="86"/>
    </row>
    <row r="804" spans="1:5" x14ac:dyDescent="0.25">
      <c r="A804" s="99"/>
      <c r="B804" s="99"/>
      <c r="C804" s="86" t="s">
        <v>2403</v>
      </c>
      <c r="D804" s="86"/>
    </row>
    <row r="805" spans="1:5" x14ac:dyDescent="0.25">
      <c r="A805" s="99"/>
      <c r="B805" s="99"/>
      <c r="C805" s="86" t="s">
        <v>2404</v>
      </c>
      <c r="D805" s="86"/>
    </row>
    <row r="806" spans="1:5" x14ac:dyDescent="0.25">
      <c r="A806" s="99"/>
      <c r="B806" s="99"/>
      <c r="C806" s="86" t="s">
        <v>2405</v>
      </c>
      <c r="D806" s="86"/>
    </row>
    <row r="807" spans="1:5" x14ac:dyDescent="0.25">
      <c r="A807" s="99"/>
      <c r="B807" s="99"/>
      <c r="C807" s="86" t="s">
        <v>2406</v>
      </c>
      <c r="D807" s="86"/>
    </row>
    <row r="808" spans="1:5" x14ac:dyDescent="0.25">
      <c r="A808" s="99"/>
      <c r="B808" s="99"/>
      <c r="C808" s="86" t="s">
        <v>2408</v>
      </c>
      <c r="D808" s="86"/>
    </row>
    <row r="809" spans="1:5" x14ac:dyDescent="0.25">
      <c r="A809" s="99"/>
      <c r="B809" s="99"/>
      <c r="C809" s="86" t="s">
        <v>2407</v>
      </c>
      <c r="D809" s="86"/>
      <c r="E809" t="s">
        <v>2363</v>
      </c>
    </row>
    <row r="810" spans="1:5" x14ac:dyDescent="0.25">
      <c r="A810" s="99"/>
      <c r="B810" s="99"/>
      <c r="C810" s="86" t="s">
        <v>1053</v>
      </c>
      <c r="D810" s="86"/>
    </row>
    <row r="811" spans="1:5" x14ac:dyDescent="0.25">
      <c r="A811" s="99"/>
      <c r="B811" s="99"/>
      <c r="C811" s="86" t="s">
        <v>2409</v>
      </c>
      <c r="D811" s="86"/>
    </row>
    <row r="812" spans="1:5" x14ac:dyDescent="0.25">
      <c r="A812" s="99"/>
      <c r="B812" s="99"/>
      <c r="C812" s="86" t="s">
        <v>2410</v>
      </c>
      <c r="D812" s="86"/>
    </row>
    <row r="813" spans="1:5" x14ac:dyDescent="0.25">
      <c r="A813" s="99"/>
      <c r="B813" s="99"/>
      <c r="C813" s="86" t="s">
        <v>2411</v>
      </c>
      <c r="D813" s="86"/>
    </row>
    <row r="814" spans="1:5" x14ac:dyDescent="0.25">
      <c r="A814" s="99"/>
      <c r="B814" s="99"/>
      <c r="C814" s="86" t="s">
        <v>2412</v>
      </c>
      <c r="D814" s="86"/>
    </row>
    <row r="815" spans="1:5" x14ac:dyDescent="0.25">
      <c r="A815" s="99"/>
      <c r="B815" s="99"/>
      <c r="C815" s="86" t="s">
        <v>2413</v>
      </c>
      <c r="D815" s="86"/>
    </row>
    <row r="816" spans="1:5" x14ac:dyDescent="0.25">
      <c r="A816" s="99"/>
      <c r="B816" s="99"/>
      <c r="C816" s="86" t="s">
        <v>2414</v>
      </c>
      <c r="D816" s="86"/>
    </row>
    <row r="817" spans="1:4" x14ac:dyDescent="0.25">
      <c r="A817" s="99"/>
      <c r="B817" s="99"/>
      <c r="C817" s="86" t="s">
        <v>2415</v>
      </c>
      <c r="D817" s="86"/>
    </row>
    <row r="818" spans="1:4" x14ac:dyDescent="0.25">
      <c r="A818" s="99"/>
      <c r="B818" s="99"/>
      <c r="C818" s="86" t="s">
        <v>2416</v>
      </c>
      <c r="D818" s="86"/>
    </row>
    <row r="819" spans="1:4" x14ac:dyDescent="0.25">
      <c r="A819" s="99"/>
      <c r="B819" s="99"/>
      <c r="C819" s="86" t="s">
        <v>2417</v>
      </c>
      <c r="D819" s="86"/>
    </row>
    <row r="820" spans="1:4" x14ac:dyDescent="0.25">
      <c r="A820" s="99"/>
      <c r="B820" s="99"/>
      <c r="C820" s="86" t="s">
        <v>2418</v>
      </c>
      <c r="D820" s="86"/>
    </row>
    <row r="821" spans="1:4" x14ac:dyDescent="0.25">
      <c r="A821" s="99"/>
      <c r="B821" s="99"/>
      <c r="C821" s="86" t="s">
        <v>2419</v>
      </c>
      <c r="D821" s="86"/>
    </row>
    <row r="822" spans="1:4" x14ac:dyDescent="0.25">
      <c r="A822" s="99"/>
      <c r="B822" s="99"/>
      <c r="C822" s="86" t="s">
        <v>2420</v>
      </c>
      <c r="D822" s="86"/>
    </row>
    <row r="823" spans="1:4" x14ac:dyDescent="0.25">
      <c r="A823" s="99"/>
      <c r="B823" s="99"/>
      <c r="C823" s="86" t="s">
        <v>990</v>
      </c>
      <c r="D823" s="86"/>
    </row>
    <row r="824" spans="1:4" x14ac:dyDescent="0.25">
      <c r="A824" s="99"/>
      <c r="B824" s="99"/>
      <c r="C824" s="86" t="s">
        <v>2421</v>
      </c>
      <c r="D824" s="86"/>
    </row>
    <row r="825" spans="1:4" x14ac:dyDescent="0.25">
      <c r="A825" s="99"/>
      <c r="B825" s="99"/>
      <c r="C825" s="86" t="s">
        <v>2422</v>
      </c>
      <c r="D825" s="86"/>
    </row>
    <row r="826" spans="1:4" x14ac:dyDescent="0.25">
      <c r="A826" s="99"/>
      <c r="B826" s="99"/>
      <c r="C826" s="86" t="s">
        <v>2423</v>
      </c>
      <c r="D826" s="86"/>
    </row>
    <row r="827" spans="1:4" x14ac:dyDescent="0.25">
      <c r="A827" s="99"/>
      <c r="B827" s="99"/>
      <c r="C827" s="86" t="s">
        <v>2424</v>
      </c>
      <c r="D827" s="86"/>
    </row>
    <row r="828" spans="1:4" x14ac:dyDescent="0.25">
      <c r="A828" s="99"/>
      <c r="B828" s="99"/>
      <c r="C828" s="86" t="s">
        <v>2425</v>
      </c>
      <c r="D828" s="86"/>
    </row>
    <row r="829" spans="1:4" x14ac:dyDescent="0.25">
      <c r="A829" s="99"/>
      <c r="B829" s="99"/>
      <c r="C829" s="86" t="s">
        <v>1991</v>
      </c>
      <c r="D829" s="86"/>
    </row>
    <row r="830" spans="1:4" x14ac:dyDescent="0.25">
      <c r="A830" s="99"/>
      <c r="B830" s="99"/>
      <c r="C830" s="86" t="s">
        <v>2426</v>
      </c>
      <c r="D830" s="86"/>
    </row>
    <row r="831" spans="1:4" x14ac:dyDescent="0.25">
      <c r="A831" s="99"/>
      <c r="B831" s="99"/>
      <c r="C831" s="86" t="s">
        <v>2934</v>
      </c>
      <c r="D831" s="86" t="s">
        <v>2432</v>
      </c>
    </row>
    <row r="832" spans="1:4" x14ac:dyDescent="0.25">
      <c r="A832" s="99"/>
      <c r="B832" s="99"/>
      <c r="C832" s="86" t="s">
        <v>2935</v>
      </c>
      <c r="D832" s="86" t="s">
        <v>2434</v>
      </c>
    </row>
    <row r="833" spans="1:4" x14ac:dyDescent="0.25">
      <c r="A833" s="99"/>
      <c r="B833" s="99"/>
      <c r="C833" s="86" t="s">
        <v>2936</v>
      </c>
      <c r="D833" s="86" t="s">
        <v>2434</v>
      </c>
    </row>
    <row r="834" spans="1:4" ht="15" customHeight="1" x14ac:dyDescent="0.25">
      <c r="A834" s="99"/>
      <c r="B834" s="99"/>
      <c r="C834" s="86" t="s">
        <v>2937</v>
      </c>
      <c r="D834" s="124"/>
    </row>
    <row r="835" spans="1:4" x14ac:dyDescent="0.25">
      <c r="A835" s="99"/>
      <c r="B835" s="99"/>
      <c r="C835" s="86" t="s">
        <v>215</v>
      </c>
      <c r="D835" s="86"/>
    </row>
    <row r="836" spans="1:4" x14ac:dyDescent="0.25">
      <c r="A836" s="99"/>
      <c r="B836" s="99"/>
      <c r="C836" s="86" t="s">
        <v>1343</v>
      </c>
      <c r="D836" s="86"/>
    </row>
    <row r="837" spans="1:4" x14ac:dyDescent="0.25">
      <c r="A837" s="99"/>
      <c r="B837" s="99"/>
      <c r="C837" s="86" t="s">
        <v>2428</v>
      </c>
      <c r="D837" s="86"/>
    </row>
    <row r="838" spans="1:4" x14ac:dyDescent="0.25">
      <c r="A838" s="99"/>
      <c r="B838" s="99"/>
      <c r="C838" s="86" t="s">
        <v>984</v>
      </c>
      <c r="D838" s="86"/>
    </row>
    <row r="839" spans="1:4" x14ac:dyDescent="0.25">
      <c r="A839" s="99"/>
      <c r="B839" s="99"/>
      <c r="C839" s="86" t="s">
        <v>1199</v>
      </c>
      <c r="D839" s="86"/>
    </row>
    <row r="840" spans="1:4" x14ac:dyDescent="0.25">
      <c r="A840" s="99"/>
      <c r="B840" s="99"/>
      <c r="C840" s="86" t="s">
        <v>2427</v>
      </c>
      <c r="D840" s="86"/>
    </row>
    <row r="841" spans="1:4" x14ac:dyDescent="0.25">
      <c r="A841" s="99"/>
      <c r="B841" s="99"/>
      <c r="C841" s="86" t="s">
        <v>2429</v>
      </c>
      <c r="D841" s="86"/>
    </row>
    <row r="842" spans="1:4" x14ac:dyDescent="0.25">
      <c r="A842" s="99"/>
      <c r="B842" s="99"/>
      <c r="C842" s="86" t="s">
        <v>2938</v>
      </c>
      <c r="D842" s="86"/>
    </row>
    <row r="843" spans="1:4" x14ac:dyDescent="0.25">
      <c r="A843" s="99"/>
      <c r="B843" s="99"/>
      <c r="C843" s="86" t="s">
        <v>2939</v>
      </c>
      <c r="D843" s="86"/>
    </row>
    <row r="844" spans="1:4" x14ac:dyDescent="0.25">
      <c r="A844" s="99"/>
      <c r="B844" s="99"/>
      <c r="C844" s="86" t="s">
        <v>2116</v>
      </c>
      <c r="D844" s="86"/>
    </row>
    <row r="845" spans="1:4" x14ac:dyDescent="0.25">
      <c r="A845" s="99"/>
      <c r="B845" s="99"/>
      <c r="C845" s="86" t="s">
        <v>2940</v>
      </c>
      <c r="D845" s="86"/>
    </row>
    <row r="846" spans="1:4" x14ac:dyDescent="0.25">
      <c r="A846" s="99"/>
      <c r="B846" s="99"/>
      <c r="C846" s="86" t="s">
        <v>2941</v>
      </c>
      <c r="D846" s="86"/>
    </row>
    <row r="847" spans="1:4" x14ac:dyDescent="0.25">
      <c r="A847" s="99"/>
      <c r="B847" s="99"/>
      <c r="C847" s="86" t="s">
        <v>2942</v>
      </c>
      <c r="D847" s="86"/>
    </row>
    <row r="848" spans="1:4" x14ac:dyDescent="0.25">
      <c r="A848" s="99"/>
      <c r="B848" s="99"/>
      <c r="C848" s="86" t="s">
        <v>2943</v>
      </c>
      <c r="D848" s="86"/>
    </row>
    <row r="849" spans="1:4" x14ac:dyDescent="0.25">
      <c r="A849" s="99"/>
      <c r="B849" s="99"/>
      <c r="C849" s="86" t="s">
        <v>2944</v>
      </c>
      <c r="D849" s="86"/>
    </row>
    <row r="850" spans="1:4" x14ac:dyDescent="0.25">
      <c r="A850" s="99"/>
      <c r="B850" s="99"/>
      <c r="C850" s="86" t="s">
        <v>286</v>
      </c>
      <c r="D850" s="86"/>
    </row>
    <row r="851" spans="1:4" x14ac:dyDescent="0.25">
      <c r="A851" s="96" t="s">
        <v>2108</v>
      </c>
      <c r="B851" s="96"/>
      <c r="C851" s="90" t="s">
        <v>373</v>
      </c>
      <c r="D851" s="90"/>
    </row>
    <row r="852" spans="1:4" x14ac:dyDescent="0.25">
      <c r="A852" s="97"/>
      <c r="B852" s="97"/>
      <c r="C852" s="90" t="s">
        <v>72</v>
      </c>
      <c r="D852" s="90"/>
    </row>
    <row r="853" spans="1:4" x14ac:dyDescent="0.25">
      <c r="A853" s="99" t="s">
        <v>20</v>
      </c>
      <c r="B853" s="99" t="s">
        <v>55</v>
      </c>
      <c r="C853" s="86" t="s">
        <v>80</v>
      </c>
      <c r="D853" s="86"/>
    </row>
    <row r="854" spans="1:4" x14ac:dyDescent="0.25">
      <c r="A854" s="99"/>
      <c r="B854" s="99"/>
      <c r="C854" s="86" t="s">
        <v>2945</v>
      </c>
      <c r="D854" s="86"/>
    </row>
    <row r="855" spans="1:4" x14ac:dyDescent="0.25">
      <c r="A855" s="99"/>
      <c r="B855" s="99"/>
      <c r="C855" s="86" t="s">
        <v>70</v>
      </c>
      <c r="D855" s="86"/>
    </row>
    <row r="856" spans="1:4" x14ac:dyDescent="0.25">
      <c r="A856" s="99"/>
      <c r="B856" s="99"/>
      <c r="C856" s="86" t="s">
        <v>2946</v>
      </c>
      <c r="D856" s="86"/>
    </row>
    <row r="857" spans="1:4" x14ac:dyDescent="0.25">
      <c r="A857" s="99"/>
      <c r="B857" s="99"/>
      <c r="C857" s="86" t="s">
        <v>2947</v>
      </c>
      <c r="D857" s="86"/>
    </row>
    <row r="858" spans="1:4" x14ac:dyDescent="0.25">
      <c r="A858" s="99"/>
      <c r="B858" s="99"/>
      <c r="C858" s="86" t="s">
        <v>2948</v>
      </c>
      <c r="D858" s="86"/>
    </row>
    <row r="859" spans="1:4" x14ac:dyDescent="0.25">
      <c r="A859" s="99"/>
      <c r="B859" s="99"/>
      <c r="C859" s="86" t="s">
        <v>2949</v>
      </c>
      <c r="D859" s="86"/>
    </row>
    <row r="860" spans="1:4" x14ac:dyDescent="0.25">
      <c r="A860" s="99"/>
      <c r="B860" s="99"/>
      <c r="C860" s="86" t="s">
        <v>2950</v>
      </c>
      <c r="D860" s="86"/>
    </row>
    <row r="861" spans="1:4" x14ac:dyDescent="0.25">
      <c r="A861" s="99"/>
      <c r="B861" s="99"/>
      <c r="C861" s="86" t="s">
        <v>2951</v>
      </c>
      <c r="D861" s="86"/>
    </row>
    <row r="862" spans="1:4" x14ac:dyDescent="0.25">
      <c r="A862" s="96" t="s">
        <v>21</v>
      </c>
      <c r="B862" s="96" t="s">
        <v>55</v>
      </c>
      <c r="C862" s="90" t="s">
        <v>116</v>
      </c>
      <c r="D862" s="90"/>
    </row>
    <row r="863" spans="1:4" x14ac:dyDescent="0.25">
      <c r="A863" s="97"/>
      <c r="B863" s="97"/>
      <c r="C863" s="90" t="s">
        <v>2952</v>
      </c>
      <c r="D863" s="90"/>
    </row>
    <row r="864" spans="1:4" x14ac:dyDescent="0.25">
      <c r="A864" s="97"/>
      <c r="B864" s="97"/>
      <c r="C864" s="90" t="s">
        <v>131</v>
      </c>
      <c r="D864" s="90"/>
    </row>
    <row r="865" spans="1:4" x14ac:dyDescent="0.25">
      <c r="A865" s="97"/>
      <c r="B865" s="97"/>
      <c r="C865" s="90" t="s">
        <v>181</v>
      </c>
      <c r="D865" s="90"/>
    </row>
    <row r="866" spans="1:4" x14ac:dyDescent="0.25">
      <c r="A866" s="97"/>
      <c r="B866" s="97"/>
      <c r="C866" s="90" t="s">
        <v>2953</v>
      </c>
      <c r="D866" s="90"/>
    </row>
    <row r="867" spans="1:4" x14ac:dyDescent="0.25">
      <c r="A867" s="97"/>
      <c r="B867" s="97"/>
      <c r="C867" s="90" t="s">
        <v>2954</v>
      </c>
      <c r="D867" s="90"/>
    </row>
    <row r="868" spans="1:4" x14ac:dyDescent="0.25">
      <c r="A868" s="97"/>
      <c r="B868" s="97"/>
      <c r="C868" s="90" t="s">
        <v>108</v>
      </c>
      <c r="D868" s="90"/>
    </row>
    <row r="869" spans="1:4" x14ac:dyDescent="0.25">
      <c r="A869" s="97"/>
      <c r="B869" s="97"/>
      <c r="C869" s="90" t="s">
        <v>2955</v>
      </c>
      <c r="D869" s="90"/>
    </row>
    <row r="870" spans="1:4" x14ac:dyDescent="0.25">
      <c r="A870" s="99" t="s">
        <v>22</v>
      </c>
      <c r="B870" s="99" t="s">
        <v>55</v>
      </c>
      <c r="C870" s="86" t="s">
        <v>116</v>
      </c>
      <c r="D870" s="86"/>
    </row>
    <row r="871" spans="1:4" x14ac:dyDescent="0.25">
      <c r="A871" s="99"/>
      <c r="B871" s="99"/>
      <c r="C871" s="86" t="s">
        <v>131</v>
      </c>
      <c r="D871" s="86"/>
    </row>
    <row r="872" spans="1:4" x14ac:dyDescent="0.25">
      <c r="A872" s="99"/>
      <c r="B872" s="99"/>
      <c r="C872" s="86" t="s">
        <v>2953</v>
      </c>
      <c r="D872" s="86"/>
    </row>
    <row r="873" spans="1:4" x14ac:dyDescent="0.25">
      <c r="A873" s="99"/>
      <c r="B873" s="99"/>
      <c r="C873" s="86" t="s">
        <v>286</v>
      </c>
      <c r="D873" s="86"/>
    </row>
    <row r="874" spans="1:4" x14ac:dyDescent="0.25">
      <c r="A874" s="96" t="s">
        <v>23</v>
      </c>
      <c r="B874" s="96" t="s">
        <v>55</v>
      </c>
      <c r="C874" s="90" t="s">
        <v>239</v>
      </c>
      <c r="D874" s="90"/>
    </row>
    <row r="875" spans="1:4" x14ac:dyDescent="0.25">
      <c r="A875" s="97"/>
      <c r="B875" s="97"/>
      <c r="C875" s="90" t="s">
        <v>214</v>
      </c>
      <c r="D875" s="90"/>
    </row>
    <row r="876" spans="1:4" x14ac:dyDescent="0.25">
      <c r="A876" s="97"/>
      <c r="B876" s="97"/>
      <c r="C876" s="90" t="s">
        <v>603</v>
      </c>
      <c r="D876" s="90"/>
    </row>
    <row r="877" spans="1:4" x14ac:dyDescent="0.25">
      <c r="A877" s="97"/>
      <c r="B877" s="97"/>
      <c r="C877" s="90" t="s">
        <v>2169</v>
      </c>
      <c r="D877" s="90"/>
    </row>
    <row r="878" spans="1:4" x14ac:dyDescent="0.25">
      <c r="A878" s="97"/>
      <c r="B878" s="97"/>
      <c r="C878" s="90" t="s">
        <v>2956</v>
      </c>
      <c r="D878" s="90"/>
    </row>
    <row r="879" spans="1:4" x14ac:dyDescent="0.25">
      <c r="A879" s="97"/>
      <c r="B879" s="97"/>
      <c r="C879" s="90" t="s">
        <v>1423</v>
      </c>
      <c r="D879" s="90"/>
    </row>
    <row r="880" spans="1:4" x14ac:dyDescent="0.25">
      <c r="A880" s="97"/>
      <c r="B880" s="97"/>
      <c r="C880" s="90" t="s">
        <v>2957</v>
      </c>
      <c r="D880" s="90"/>
    </row>
    <row r="881" spans="1:5" x14ac:dyDescent="0.25">
      <c r="A881" s="97"/>
      <c r="B881" s="97"/>
      <c r="C881" s="90" t="s">
        <v>2958</v>
      </c>
      <c r="D881" s="90"/>
    </row>
    <row r="882" spans="1:5" x14ac:dyDescent="0.25">
      <c r="A882" s="97"/>
      <c r="B882" s="97"/>
      <c r="C882" s="90" t="s">
        <v>2959</v>
      </c>
      <c r="D882" s="90" t="s">
        <v>2959</v>
      </c>
      <c r="E882" t="s">
        <v>2363</v>
      </c>
    </row>
    <row r="883" spans="1:5" x14ac:dyDescent="0.25">
      <c r="A883" s="98"/>
      <c r="B883" s="98"/>
      <c r="C883" s="90" t="s">
        <v>286</v>
      </c>
      <c r="D883" s="90"/>
    </row>
    <row r="884" spans="1:5" x14ac:dyDescent="0.25">
      <c r="A884" s="102" t="s">
        <v>24</v>
      </c>
      <c r="B884" s="102" t="s">
        <v>55</v>
      </c>
      <c r="C884" s="86" t="s">
        <v>753</v>
      </c>
      <c r="D884" s="86"/>
    </row>
    <row r="885" spans="1:5" x14ac:dyDescent="0.25">
      <c r="A885" s="99"/>
      <c r="B885" s="99"/>
      <c r="C885" s="86" t="s">
        <v>2960</v>
      </c>
      <c r="D885" s="86"/>
    </row>
    <row r="886" spans="1:5" x14ac:dyDescent="0.25">
      <c r="A886" s="99"/>
      <c r="B886" s="99"/>
      <c r="C886" s="86" t="s">
        <v>2961</v>
      </c>
      <c r="D886" s="86"/>
    </row>
    <row r="887" spans="1:5" x14ac:dyDescent="0.25">
      <c r="A887" s="99"/>
      <c r="B887" s="99"/>
      <c r="C887" s="86" t="s">
        <v>2962</v>
      </c>
      <c r="D887" s="86"/>
    </row>
    <row r="888" spans="1:5" x14ac:dyDescent="0.25">
      <c r="A888" s="99"/>
      <c r="B888" s="99"/>
      <c r="C888" s="86" t="s">
        <v>2963</v>
      </c>
      <c r="D888" s="86"/>
    </row>
    <row r="889" spans="1:5" x14ac:dyDescent="0.25">
      <c r="A889" s="99"/>
      <c r="B889" s="99"/>
      <c r="C889" s="86" t="s">
        <v>2964</v>
      </c>
      <c r="D889" s="86" t="s">
        <v>2965</v>
      </c>
    </row>
    <row r="890" spans="1:5" x14ac:dyDescent="0.25">
      <c r="A890" s="99"/>
      <c r="B890" s="99"/>
      <c r="C890" s="86" t="s">
        <v>2966</v>
      </c>
      <c r="D890" s="86"/>
    </row>
    <row r="891" spans="1:5" x14ac:dyDescent="0.25">
      <c r="A891" s="96" t="s">
        <v>25</v>
      </c>
      <c r="B891" s="96" t="s">
        <v>55</v>
      </c>
      <c r="C891" s="90" t="s">
        <v>1131</v>
      </c>
      <c r="D891" s="90"/>
    </row>
    <row r="892" spans="1:5" x14ac:dyDescent="0.25">
      <c r="A892" s="97"/>
      <c r="B892" s="97"/>
      <c r="C892" s="90" t="s">
        <v>1125</v>
      </c>
      <c r="D892" s="90"/>
    </row>
    <row r="893" spans="1:5" x14ac:dyDescent="0.25">
      <c r="A893" s="97"/>
      <c r="B893" s="97"/>
      <c r="C893" s="90" t="s">
        <v>1293</v>
      </c>
      <c r="D893" s="90"/>
    </row>
    <row r="894" spans="1:5" x14ac:dyDescent="0.25">
      <c r="A894" s="97"/>
      <c r="B894" s="97"/>
      <c r="C894" s="90" t="s">
        <v>1192</v>
      </c>
      <c r="D894" s="90"/>
    </row>
    <row r="895" spans="1:5" x14ac:dyDescent="0.25">
      <c r="A895" s="97"/>
      <c r="B895" s="97"/>
      <c r="C895" s="90" t="s">
        <v>2967</v>
      </c>
      <c r="D895" s="90"/>
    </row>
    <row r="896" spans="1:5" x14ac:dyDescent="0.25">
      <c r="A896" s="97"/>
      <c r="B896" s="97"/>
      <c r="C896" s="90" t="s">
        <v>286</v>
      </c>
      <c r="D896" s="90"/>
    </row>
    <row r="897" spans="1:4" x14ac:dyDescent="0.25">
      <c r="A897" s="102" t="s">
        <v>26</v>
      </c>
      <c r="B897" s="102" t="s">
        <v>55</v>
      </c>
      <c r="C897" s="86" t="s">
        <v>1342</v>
      </c>
      <c r="D897" s="86"/>
    </row>
    <row r="898" spans="1:4" x14ac:dyDescent="0.25">
      <c r="A898" s="99"/>
      <c r="B898" s="99"/>
      <c r="C898" s="86" t="s">
        <v>2968</v>
      </c>
      <c r="D898" s="86"/>
    </row>
    <row r="899" spans="1:4" x14ac:dyDescent="0.25">
      <c r="A899" s="99"/>
      <c r="B899" s="99"/>
      <c r="C899" s="86" t="s">
        <v>753</v>
      </c>
      <c r="D899" s="86"/>
    </row>
    <row r="900" spans="1:4" x14ac:dyDescent="0.25">
      <c r="A900" s="99"/>
      <c r="B900" s="99"/>
      <c r="C900" s="86" t="s">
        <v>286</v>
      </c>
      <c r="D900" s="86"/>
    </row>
    <row r="901" spans="1:4" x14ac:dyDescent="0.25">
      <c r="A901" s="96" t="s">
        <v>28</v>
      </c>
      <c r="B901" s="96" t="s">
        <v>55</v>
      </c>
      <c r="C901" s="90" t="s">
        <v>2969</v>
      </c>
      <c r="D901" s="90"/>
    </row>
    <row r="902" spans="1:4" x14ac:dyDescent="0.25">
      <c r="A902" s="97"/>
      <c r="B902" s="97"/>
      <c r="C902" s="90" t="s">
        <v>2970</v>
      </c>
      <c r="D902" s="90"/>
    </row>
    <row r="903" spans="1:4" x14ac:dyDescent="0.25">
      <c r="A903" s="97"/>
      <c r="B903" s="97"/>
      <c r="C903" s="90" t="s">
        <v>2114</v>
      </c>
      <c r="D903" s="90"/>
    </row>
    <row r="904" spans="1:4" x14ac:dyDescent="0.25">
      <c r="A904" s="97"/>
      <c r="B904" s="97"/>
      <c r="C904" s="90" t="s">
        <v>2971</v>
      </c>
      <c r="D904" s="90"/>
    </row>
    <row r="905" spans="1:4" x14ac:dyDescent="0.25">
      <c r="A905" s="97"/>
      <c r="B905" s="97"/>
      <c r="C905" s="90" t="s">
        <v>2972</v>
      </c>
      <c r="D905" s="90"/>
    </row>
    <row r="906" spans="1:4" x14ac:dyDescent="0.25">
      <c r="A906" s="102" t="s">
        <v>30</v>
      </c>
      <c r="B906" s="102" t="s">
        <v>55</v>
      </c>
      <c r="C906" s="125" t="s">
        <v>1400</v>
      </c>
      <c r="D906" s="125"/>
    </row>
    <row r="907" spans="1:4" x14ac:dyDescent="0.25">
      <c r="A907" s="99"/>
      <c r="B907" s="99"/>
      <c r="C907" s="125" t="s">
        <v>2973</v>
      </c>
      <c r="D907" s="125"/>
    </row>
    <row r="908" spans="1:4" x14ac:dyDescent="0.25">
      <c r="A908" s="99"/>
      <c r="B908" s="99"/>
      <c r="C908" s="86" t="s">
        <v>2974</v>
      </c>
      <c r="D908" s="86"/>
    </row>
    <row r="909" spans="1:4" x14ac:dyDescent="0.25">
      <c r="A909" s="99"/>
      <c r="B909" s="99"/>
      <c r="C909" s="86" t="s">
        <v>2975</v>
      </c>
      <c r="D909" s="86"/>
    </row>
    <row r="910" spans="1:4" x14ac:dyDescent="0.25">
      <c r="A910" s="99"/>
      <c r="B910" s="99"/>
      <c r="C910" s="86" t="s">
        <v>2976</v>
      </c>
      <c r="D910" s="86"/>
    </row>
    <row r="911" spans="1:4" x14ac:dyDescent="0.25">
      <c r="A911" s="99"/>
      <c r="B911" s="99"/>
      <c r="C911" s="86" t="s">
        <v>2977</v>
      </c>
      <c r="D911" s="86"/>
    </row>
    <row r="912" spans="1:4" x14ac:dyDescent="0.25">
      <c r="A912" s="96" t="s">
        <v>31</v>
      </c>
      <c r="B912" s="96" t="s">
        <v>55</v>
      </c>
      <c r="C912" s="126" t="s">
        <v>116</v>
      </c>
      <c r="D912" s="126"/>
    </row>
    <row r="913" spans="1:5" x14ac:dyDescent="0.25">
      <c r="A913" s="97"/>
      <c r="B913" s="97"/>
      <c r="C913" s="126" t="s">
        <v>2952</v>
      </c>
      <c r="D913" s="126"/>
    </row>
    <row r="914" spans="1:5" x14ac:dyDescent="0.25">
      <c r="A914" s="97"/>
      <c r="B914" s="97"/>
      <c r="C914" s="90" t="s">
        <v>131</v>
      </c>
      <c r="D914" s="90"/>
    </row>
    <row r="915" spans="1:5" x14ac:dyDescent="0.25">
      <c r="A915" s="97"/>
      <c r="B915" s="97"/>
      <c r="C915" s="90" t="s">
        <v>181</v>
      </c>
      <c r="D915" s="90"/>
    </row>
    <row r="916" spans="1:5" x14ac:dyDescent="0.25">
      <c r="A916" s="97"/>
      <c r="B916" s="97"/>
      <c r="C916" s="90" t="s">
        <v>2953</v>
      </c>
      <c r="D916" s="90"/>
    </row>
    <row r="917" spans="1:5" x14ac:dyDescent="0.25">
      <c r="A917" s="97"/>
      <c r="B917" s="97"/>
      <c r="C917" s="90" t="s">
        <v>2954</v>
      </c>
      <c r="D917" s="90"/>
    </row>
    <row r="918" spans="1:5" x14ac:dyDescent="0.25">
      <c r="A918" s="97"/>
      <c r="B918" s="97"/>
      <c r="C918" s="126" t="s">
        <v>108</v>
      </c>
      <c r="D918" s="126"/>
    </row>
    <row r="919" spans="1:5" x14ac:dyDescent="0.25">
      <c r="A919" s="97"/>
      <c r="B919" s="97"/>
      <c r="C919" s="126" t="s">
        <v>2955</v>
      </c>
      <c r="D919" s="126"/>
    </row>
    <row r="920" spans="1:5" ht="15" customHeight="1" x14ac:dyDescent="0.25">
      <c r="A920" s="102" t="s">
        <v>32</v>
      </c>
      <c r="B920" s="102" t="s">
        <v>55</v>
      </c>
      <c r="C920" s="125" t="s">
        <v>2978</v>
      </c>
      <c r="D920" s="125"/>
      <c r="E920" s="127"/>
    </row>
    <row r="921" spans="1:5" ht="15" customHeight="1" x14ac:dyDescent="0.25">
      <c r="A921" s="99"/>
      <c r="B921" s="99"/>
      <c r="C921" s="125" t="s">
        <v>2979</v>
      </c>
      <c r="D921" s="125"/>
      <c r="E921" s="127"/>
    </row>
    <row r="922" spans="1:5" ht="15" customHeight="1" x14ac:dyDescent="0.25">
      <c r="A922" s="99"/>
      <c r="B922" s="99"/>
      <c r="C922" s="86" t="s">
        <v>2980</v>
      </c>
      <c r="D922" s="86"/>
      <c r="E922" s="127"/>
    </row>
    <row r="923" spans="1:5" ht="15" customHeight="1" x14ac:dyDescent="0.25">
      <c r="A923" s="99"/>
      <c r="B923" s="99"/>
      <c r="C923" s="86" t="s">
        <v>2981</v>
      </c>
      <c r="D923" s="86"/>
      <c r="E923" s="127"/>
    </row>
    <row r="924" spans="1:5" ht="15" customHeight="1" x14ac:dyDescent="0.25">
      <c r="A924" s="99"/>
      <c r="B924" s="99"/>
      <c r="C924" s="86" t="s">
        <v>2982</v>
      </c>
      <c r="D924" s="86"/>
      <c r="E924" s="127"/>
    </row>
    <row r="925" spans="1:5" x14ac:dyDescent="0.25">
      <c r="A925" s="99"/>
      <c r="B925" s="99"/>
      <c r="C925" s="86" t="s">
        <v>286</v>
      </c>
      <c r="D925" s="86"/>
    </row>
    <row r="926" spans="1:5" x14ac:dyDescent="0.25">
      <c r="A926" s="96" t="s">
        <v>33</v>
      </c>
      <c r="B926" s="96" t="s">
        <v>55</v>
      </c>
      <c r="C926" s="90" t="s">
        <v>2983</v>
      </c>
      <c r="D926" s="90"/>
    </row>
    <row r="927" spans="1:5" x14ac:dyDescent="0.25">
      <c r="A927" s="97"/>
      <c r="B927" s="97"/>
      <c r="C927" s="90" t="s">
        <v>2984</v>
      </c>
      <c r="D927" s="90"/>
    </row>
    <row r="928" spans="1:5" x14ac:dyDescent="0.25">
      <c r="A928" s="97"/>
      <c r="B928" s="97"/>
      <c r="C928" s="90" t="s">
        <v>2985</v>
      </c>
      <c r="D928" s="90"/>
    </row>
    <row r="929" spans="1:5" x14ac:dyDescent="0.25">
      <c r="A929" s="128" t="s">
        <v>34</v>
      </c>
      <c r="B929" s="128" t="s">
        <v>55</v>
      </c>
      <c r="C929" s="125" t="s">
        <v>2986</v>
      </c>
      <c r="D929" s="125"/>
    </row>
    <row r="930" spans="1:5" x14ac:dyDescent="0.25">
      <c r="A930" s="129"/>
      <c r="B930" s="129"/>
      <c r="C930" s="125" t="s">
        <v>214</v>
      </c>
      <c r="D930" s="125"/>
    </row>
    <row r="931" spans="1:5" x14ac:dyDescent="0.25">
      <c r="A931" s="129"/>
      <c r="B931" s="129"/>
      <c r="C931" s="86" t="s">
        <v>239</v>
      </c>
      <c r="D931" s="86"/>
    </row>
    <row r="932" spans="1:5" x14ac:dyDescent="0.25">
      <c r="A932" s="129"/>
      <c r="B932" s="129"/>
      <c r="C932" s="86" t="s">
        <v>603</v>
      </c>
      <c r="D932" s="86"/>
    </row>
    <row r="933" spans="1:5" x14ac:dyDescent="0.25">
      <c r="A933" s="129"/>
      <c r="B933" s="129"/>
      <c r="C933" s="86" t="s">
        <v>286</v>
      </c>
      <c r="D933" s="86"/>
    </row>
    <row r="934" spans="1:5" x14ac:dyDescent="0.25">
      <c r="A934" s="130" t="s">
        <v>35</v>
      </c>
      <c r="B934" s="130" t="s">
        <v>55</v>
      </c>
      <c r="C934" s="126" t="s">
        <v>239</v>
      </c>
      <c r="D934" s="126"/>
    </row>
    <row r="935" spans="1:5" x14ac:dyDescent="0.25">
      <c r="A935" s="131"/>
      <c r="B935" s="131"/>
      <c r="C935" s="126" t="s">
        <v>214</v>
      </c>
      <c r="D935" s="126"/>
    </row>
    <row r="936" spans="1:5" x14ac:dyDescent="0.25">
      <c r="A936" s="131"/>
      <c r="B936" s="131"/>
      <c r="C936" s="90" t="s">
        <v>603</v>
      </c>
      <c r="D936" s="90"/>
    </row>
    <row r="937" spans="1:5" x14ac:dyDescent="0.25">
      <c r="A937" s="131"/>
      <c r="B937" s="131"/>
      <c r="C937" s="90" t="s">
        <v>2169</v>
      </c>
      <c r="D937" s="90"/>
    </row>
    <row r="938" spans="1:5" x14ac:dyDescent="0.25">
      <c r="A938" s="131"/>
      <c r="B938" s="131"/>
      <c r="C938" s="90" t="s">
        <v>2987</v>
      </c>
      <c r="D938" s="90"/>
    </row>
    <row r="939" spans="1:5" x14ac:dyDescent="0.25">
      <c r="A939" s="131"/>
      <c r="B939" s="131"/>
      <c r="C939" s="126" t="s">
        <v>2987</v>
      </c>
      <c r="D939" s="126"/>
    </row>
    <row r="940" spans="1:5" x14ac:dyDescent="0.25">
      <c r="A940" s="131"/>
      <c r="B940" s="131"/>
      <c r="C940" s="126" t="s">
        <v>1423</v>
      </c>
      <c r="D940" s="126"/>
    </row>
    <row r="941" spans="1:5" x14ac:dyDescent="0.25">
      <c r="A941" s="131"/>
      <c r="B941" s="131"/>
      <c r="C941" s="90" t="s">
        <v>2957</v>
      </c>
      <c r="D941" s="90"/>
    </row>
    <row r="942" spans="1:5" x14ac:dyDescent="0.25">
      <c r="A942" s="131"/>
      <c r="B942" s="131"/>
      <c r="C942" s="126" t="s">
        <v>2958</v>
      </c>
      <c r="D942" s="126"/>
    </row>
    <row r="943" spans="1:5" x14ac:dyDescent="0.25">
      <c r="A943" s="131"/>
      <c r="B943" s="131"/>
      <c r="C943" s="126" t="s">
        <v>2986</v>
      </c>
      <c r="D943" s="126"/>
    </row>
    <row r="944" spans="1:5" x14ac:dyDescent="0.25">
      <c r="A944" s="131"/>
      <c r="B944" s="131"/>
      <c r="C944" s="90" t="s">
        <v>2988</v>
      </c>
      <c r="D944" s="90" t="s">
        <v>2988</v>
      </c>
      <c r="E944" t="s">
        <v>2363</v>
      </c>
    </row>
    <row r="945" spans="1:4" x14ac:dyDescent="0.25">
      <c r="A945" s="132"/>
      <c r="B945" s="132"/>
      <c r="C945" s="90" t="s">
        <v>286</v>
      </c>
      <c r="D945" s="90"/>
    </row>
    <row r="946" spans="1:4" ht="14.25" customHeight="1" x14ac:dyDescent="0.25">
      <c r="A946" s="128" t="s">
        <v>36</v>
      </c>
      <c r="B946" s="128" t="s">
        <v>55</v>
      </c>
      <c r="C946" s="125" t="s">
        <v>2989</v>
      </c>
      <c r="D946" s="125"/>
    </row>
    <row r="947" spans="1:4" x14ac:dyDescent="0.25">
      <c r="A947" s="129"/>
      <c r="B947" s="129"/>
      <c r="C947" s="125" t="s">
        <v>2990</v>
      </c>
      <c r="D947" s="125"/>
    </row>
    <row r="948" spans="1:4" x14ac:dyDescent="0.25">
      <c r="A948" s="129"/>
      <c r="B948" s="129"/>
      <c r="C948" s="86" t="s">
        <v>2991</v>
      </c>
      <c r="D948" s="86"/>
    </row>
    <row r="949" spans="1:4" x14ac:dyDescent="0.25">
      <c r="A949" s="129"/>
      <c r="B949" s="129"/>
      <c r="C949" s="86" t="s">
        <v>2992</v>
      </c>
      <c r="D949" s="86"/>
    </row>
    <row r="950" spans="1:4" x14ac:dyDescent="0.25">
      <c r="A950" s="129"/>
      <c r="B950" s="129"/>
      <c r="C950" s="86" t="s">
        <v>2993</v>
      </c>
      <c r="D950" s="86"/>
    </row>
    <row r="951" spans="1:4" x14ac:dyDescent="0.25">
      <c r="A951" s="129"/>
      <c r="B951" s="129"/>
      <c r="C951" s="125" t="s">
        <v>1537</v>
      </c>
      <c r="D951" s="125"/>
    </row>
    <row r="952" spans="1:4" x14ac:dyDescent="0.25">
      <c r="A952" s="129"/>
      <c r="B952" s="129"/>
      <c r="C952" s="125" t="s">
        <v>2986</v>
      </c>
      <c r="D952" s="125"/>
    </row>
    <row r="953" spans="1:4" x14ac:dyDescent="0.25">
      <c r="A953" s="129"/>
      <c r="B953" s="129"/>
      <c r="C953" s="86" t="s">
        <v>2994</v>
      </c>
      <c r="D953" s="86" t="s">
        <v>2995</v>
      </c>
    </row>
    <row r="954" spans="1:4" x14ac:dyDescent="0.25">
      <c r="A954" s="129"/>
      <c r="B954" s="129"/>
      <c r="C954" s="86" t="s">
        <v>2964</v>
      </c>
      <c r="D954" s="86" t="s">
        <v>2965</v>
      </c>
    </row>
    <row r="955" spans="1:4" x14ac:dyDescent="0.25">
      <c r="A955" s="129"/>
      <c r="B955" s="129"/>
      <c r="C955" s="86" t="s">
        <v>286</v>
      </c>
      <c r="D955" s="86"/>
    </row>
    <row r="956" spans="1:4" x14ac:dyDescent="0.25">
      <c r="A956" s="130" t="s">
        <v>37</v>
      </c>
      <c r="B956" s="130" t="s">
        <v>55</v>
      </c>
      <c r="C956" s="90" t="s">
        <v>2996</v>
      </c>
      <c r="D956" s="90"/>
    </row>
    <row r="957" spans="1:4" x14ac:dyDescent="0.25">
      <c r="A957" s="131"/>
      <c r="B957" s="131"/>
      <c r="C957" s="90" t="s">
        <v>1668</v>
      </c>
      <c r="D957" s="90"/>
    </row>
    <row r="958" spans="1:4" x14ac:dyDescent="0.25">
      <c r="A958" s="131"/>
      <c r="B958" s="131"/>
      <c r="C958" s="90" t="s">
        <v>2997</v>
      </c>
      <c r="D958" s="90"/>
    </row>
    <row r="959" spans="1:4" x14ac:dyDescent="0.25">
      <c r="A959" s="131"/>
      <c r="B959" s="131"/>
      <c r="C959" s="90" t="s">
        <v>1690</v>
      </c>
      <c r="D959" s="90"/>
    </row>
    <row r="960" spans="1:4" x14ac:dyDescent="0.25">
      <c r="A960" s="131"/>
      <c r="B960" s="131"/>
      <c r="C960" s="90" t="s">
        <v>2998</v>
      </c>
      <c r="D960" s="90"/>
    </row>
    <row r="961" spans="1:5" x14ac:dyDescent="0.25">
      <c r="A961" s="131"/>
      <c r="B961" s="131"/>
      <c r="C961" s="90" t="s">
        <v>2999</v>
      </c>
      <c r="D961" s="90"/>
    </row>
    <row r="962" spans="1:5" x14ac:dyDescent="0.25">
      <c r="A962" s="131"/>
      <c r="B962" s="131"/>
      <c r="C962" s="90" t="s">
        <v>3000</v>
      </c>
      <c r="D962" s="90"/>
    </row>
    <row r="963" spans="1:5" x14ac:dyDescent="0.25">
      <c r="A963" s="131"/>
      <c r="B963" s="131"/>
      <c r="C963" s="90" t="s">
        <v>2874</v>
      </c>
      <c r="D963" s="90"/>
      <c r="E963" t="s">
        <v>2363</v>
      </c>
    </row>
    <row r="964" spans="1:5" x14ac:dyDescent="0.25">
      <c r="A964" s="133" t="s">
        <v>39</v>
      </c>
      <c r="B964" s="128" t="s">
        <v>55</v>
      </c>
      <c r="C964" s="86" t="s">
        <v>2969</v>
      </c>
      <c r="D964" s="86"/>
    </row>
    <row r="965" spans="1:5" x14ac:dyDescent="0.25">
      <c r="A965" s="134"/>
      <c r="B965" s="129"/>
      <c r="C965" s="86" t="s">
        <v>2970</v>
      </c>
      <c r="D965" s="86"/>
    </row>
    <row r="966" spans="1:5" x14ac:dyDescent="0.25">
      <c r="A966" s="134"/>
      <c r="B966" s="129"/>
      <c r="C966" s="86" t="s">
        <v>2114</v>
      </c>
      <c r="D966" s="86"/>
    </row>
    <row r="967" spans="1:5" x14ac:dyDescent="0.25">
      <c r="A967" s="134"/>
      <c r="B967" s="129"/>
      <c r="C967" s="86" t="s">
        <v>2971</v>
      </c>
      <c r="D967" s="86"/>
    </row>
    <row r="968" spans="1:5" x14ac:dyDescent="0.25">
      <c r="A968" s="134"/>
      <c r="B968" s="129"/>
      <c r="C968" s="86" t="s">
        <v>2972</v>
      </c>
      <c r="D968" s="86"/>
    </row>
    <row r="969" spans="1:5" x14ac:dyDescent="0.25">
      <c r="A969" s="134"/>
      <c r="B969" s="129"/>
      <c r="C969" s="86" t="s">
        <v>3001</v>
      </c>
      <c r="D969" s="86"/>
      <c r="E969" t="s">
        <v>2363</v>
      </c>
    </row>
    <row r="970" spans="1:5" x14ac:dyDescent="0.25">
      <c r="A970" s="89" t="s">
        <v>41</v>
      </c>
      <c r="B970" s="130" t="s">
        <v>55</v>
      </c>
      <c r="C970" s="90" t="s">
        <v>3002</v>
      </c>
      <c r="D970" s="90"/>
    </row>
    <row r="971" spans="1:5" x14ac:dyDescent="0.25">
      <c r="A971" s="92"/>
      <c r="B971" s="131"/>
      <c r="C971" s="90" t="s">
        <v>3003</v>
      </c>
      <c r="D971" s="90"/>
    </row>
    <row r="972" spans="1:5" x14ac:dyDescent="0.25">
      <c r="A972" s="92"/>
      <c r="B972" s="131"/>
      <c r="C972" s="90" t="s">
        <v>3004</v>
      </c>
      <c r="D972" s="90"/>
    </row>
    <row r="973" spans="1:5" x14ac:dyDescent="0.25">
      <c r="A973" s="92"/>
      <c r="B973" s="131"/>
      <c r="C973" s="90" t="s">
        <v>3005</v>
      </c>
      <c r="D973" s="90"/>
    </row>
    <row r="974" spans="1:5" x14ac:dyDescent="0.25">
      <c r="A974" s="92"/>
      <c r="B974" s="131"/>
      <c r="C974" s="90" t="s">
        <v>2281</v>
      </c>
      <c r="D974" s="90"/>
    </row>
    <row r="975" spans="1:5" x14ac:dyDescent="0.25">
      <c r="A975" s="92"/>
      <c r="B975" s="131"/>
      <c r="C975" s="90" t="s">
        <v>2165</v>
      </c>
      <c r="D975" s="90"/>
    </row>
    <row r="976" spans="1:5" x14ac:dyDescent="0.25">
      <c r="A976" s="135"/>
      <c r="B976" s="132"/>
      <c r="C976" s="90" t="s">
        <v>286</v>
      </c>
      <c r="D976" s="90"/>
    </row>
    <row r="977" spans="1:5" x14ac:dyDescent="0.25">
      <c r="A977" s="128" t="s">
        <v>40</v>
      </c>
      <c r="B977" s="128" t="s">
        <v>55</v>
      </c>
      <c r="C977" s="86" t="s">
        <v>3006</v>
      </c>
      <c r="D977" s="86"/>
      <c r="E977" t="s">
        <v>3007</v>
      </c>
    </row>
    <row r="978" spans="1:5" x14ac:dyDescent="0.25">
      <c r="A978" s="129"/>
      <c r="B978" s="129"/>
      <c r="C978" s="86" t="s">
        <v>3008</v>
      </c>
      <c r="D978" s="86"/>
    </row>
    <row r="979" spans="1:5" x14ac:dyDescent="0.25">
      <c r="A979" s="129"/>
      <c r="B979" s="129"/>
      <c r="C979" s="86" t="s">
        <v>3009</v>
      </c>
      <c r="D979" s="86"/>
    </row>
    <row r="980" spans="1:5" x14ac:dyDescent="0.25">
      <c r="A980" s="129"/>
      <c r="B980" s="129"/>
      <c r="C980" s="86" t="s">
        <v>3010</v>
      </c>
      <c r="D980" s="86"/>
    </row>
    <row r="981" spans="1:5" x14ac:dyDescent="0.25">
      <c r="A981" s="129"/>
      <c r="B981" s="129"/>
      <c r="C981" s="86" t="s">
        <v>3011</v>
      </c>
      <c r="D981" s="86"/>
    </row>
    <row r="982" spans="1:5" x14ac:dyDescent="0.25">
      <c r="A982" s="129"/>
      <c r="B982" s="129"/>
      <c r="C982" s="86" t="s">
        <v>3012</v>
      </c>
      <c r="D982" s="86"/>
    </row>
    <row r="983" spans="1:5" x14ac:dyDescent="0.25">
      <c r="A983" s="129"/>
      <c r="B983" s="129"/>
      <c r="C983" s="86" t="s">
        <v>3013</v>
      </c>
      <c r="D983" s="86"/>
    </row>
    <row r="984" spans="1:5" x14ac:dyDescent="0.25">
      <c r="A984" s="129"/>
      <c r="B984" s="129"/>
      <c r="C984" s="86" t="s">
        <v>3014</v>
      </c>
      <c r="D984" s="86"/>
    </row>
    <row r="985" spans="1:5" x14ac:dyDescent="0.25">
      <c r="A985" s="129"/>
      <c r="B985" s="129"/>
      <c r="C985" s="86" t="s">
        <v>3015</v>
      </c>
      <c r="D985" s="86" t="s">
        <v>3016</v>
      </c>
      <c r="E985" t="s">
        <v>2363</v>
      </c>
    </row>
    <row r="986" spans="1:5" x14ac:dyDescent="0.25">
      <c r="A986" s="89" t="s">
        <v>42</v>
      </c>
      <c r="B986" s="130" t="s">
        <v>55</v>
      </c>
      <c r="C986" s="90" t="s">
        <v>1400</v>
      </c>
      <c r="D986" s="90"/>
    </row>
    <row r="987" spans="1:5" x14ac:dyDescent="0.25">
      <c r="A987" s="92"/>
      <c r="B987" s="131"/>
      <c r="C987" s="90" t="s">
        <v>2973</v>
      </c>
      <c r="D987" s="90"/>
    </row>
    <row r="988" spans="1:5" x14ac:dyDescent="0.25">
      <c r="A988" s="92"/>
      <c r="B988" s="131"/>
      <c r="C988" s="90" t="s">
        <v>3017</v>
      </c>
      <c r="D988" s="90"/>
    </row>
    <row r="989" spans="1:5" x14ac:dyDescent="0.25">
      <c r="A989" s="92"/>
      <c r="B989" s="131"/>
      <c r="C989" s="90" t="s">
        <v>3018</v>
      </c>
      <c r="D989" s="90"/>
    </row>
    <row r="990" spans="1:5" x14ac:dyDescent="0.25">
      <c r="A990" s="92"/>
      <c r="B990" s="131"/>
      <c r="C990" s="90" t="s">
        <v>3019</v>
      </c>
      <c r="D990" s="90"/>
    </row>
    <row r="991" spans="1:5" x14ac:dyDescent="0.25">
      <c r="A991" s="92"/>
      <c r="B991" s="131"/>
      <c r="C991" s="90" t="s">
        <v>3020</v>
      </c>
      <c r="D991" s="90"/>
    </row>
    <row r="992" spans="1:5" x14ac:dyDescent="0.25">
      <c r="A992" s="128" t="s">
        <v>43</v>
      </c>
      <c r="B992" s="128" t="s">
        <v>55</v>
      </c>
      <c r="C992" s="86" t="s">
        <v>214</v>
      </c>
      <c r="D992" s="86"/>
    </row>
    <row r="993" spans="1:5" x14ac:dyDescent="0.25">
      <c r="A993" s="129"/>
      <c r="B993" s="129"/>
      <c r="C993" s="86" t="s">
        <v>239</v>
      </c>
      <c r="D993" s="86"/>
    </row>
    <row r="994" spans="1:5" x14ac:dyDescent="0.25">
      <c r="A994" s="129"/>
      <c r="B994" s="129"/>
      <c r="C994" s="86" t="s">
        <v>2955</v>
      </c>
      <c r="D994" s="86"/>
    </row>
    <row r="995" spans="1:5" x14ac:dyDescent="0.25">
      <c r="A995" s="129"/>
      <c r="B995" s="129"/>
      <c r="C995" s="86" t="s">
        <v>603</v>
      </c>
      <c r="D995" s="86"/>
    </row>
    <row r="996" spans="1:5" x14ac:dyDescent="0.25">
      <c r="A996" s="129"/>
      <c r="B996" s="129"/>
      <c r="C996" s="86" t="s">
        <v>3021</v>
      </c>
      <c r="D996" s="86" t="s">
        <v>3022</v>
      </c>
    </row>
    <row r="997" spans="1:5" x14ac:dyDescent="0.25">
      <c r="A997" s="129"/>
      <c r="B997" s="129"/>
      <c r="C997" s="86" t="s">
        <v>286</v>
      </c>
      <c r="D997" s="86"/>
    </row>
    <row r="998" spans="1:5" x14ac:dyDescent="0.25">
      <c r="A998" s="130" t="s">
        <v>44</v>
      </c>
      <c r="B998" s="130" t="s">
        <v>55</v>
      </c>
      <c r="C998" s="90" t="s">
        <v>2298</v>
      </c>
      <c r="D998" s="90"/>
      <c r="E998" t="s">
        <v>3007</v>
      </c>
    </row>
    <row r="999" spans="1:5" x14ac:dyDescent="0.25">
      <c r="A999" s="131"/>
      <c r="B999" s="131"/>
      <c r="C999" s="90" t="s">
        <v>3023</v>
      </c>
      <c r="D999" s="90"/>
    </row>
    <row r="1000" spans="1:5" x14ac:dyDescent="0.25">
      <c r="A1000" s="128" t="s">
        <v>46</v>
      </c>
      <c r="B1000" s="128" t="s">
        <v>55</v>
      </c>
      <c r="C1000" s="86" t="s">
        <v>3024</v>
      </c>
      <c r="D1000" s="86"/>
    </row>
    <row r="1001" spans="1:5" x14ac:dyDescent="0.25">
      <c r="A1001" s="129"/>
      <c r="B1001" s="129"/>
      <c r="C1001" s="86" t="s">
        <v>3025</v>
      </c>
      <c r="D1001" s="86"/>
    </row>
    <row r="1002" spans="1:5" x14ac:dyDescent="0.25">
      <c r="A1002" s="129"/>
      <c r="B1002" s="129"/>
      <c r="C1002" s="86" t="s">
        <v>3026</v>
      </c>
      <c r="D1002" s="86"/>
    </row>
    <row r="1003" spans="1:5" x14ac:dyDescent="0.25">
      <c r="A1003" s="129"/>
      <c r="B1003" s="129"/>
      <c r="C1003" s="86" t="s">
        <v>3027</v>
      </c>
      <c r="D1003" s="86"/>
      <c r="E1003" t="s">
        <v>2363</v>
      </c>
    </row>
    <row r="1004" spans="1:5" x14ac:dyDescent="0.25">
      <c r="A1004" s="129"/>
      <c r="B1004" s="129"/>
      <c r="C1004" s="86" t="s">
        <v>3028</v>
      </c>
      <c r="D1004" s="86"/>
    </row>
    <row r="1005" spans="1:5" x14ac:dyDescent="0.25">
      <c r="A1005" s="129"/>
      <c r="B1005" s="129"/>
      <c r="C1005" s="86" t="s">
        <v>3029</v>
      </c>
      <c r="D1005" s="86"/>
    </row>
    <row r="1006" spans="1:5" x14ac:dyDescent="0.25">
      <c r="A1006" s="129"/>
      <c r="B1006" s="129"/>
      <c r="C1006" s="86" t="s">
        <v>3030</v>
      </c>
      <c r="D1006" s="86"/>
      <c r="E1006" t="s">
        <v>2363</v>
      </c>
    </row>
    <row r="1007" spans="1:5" x14ac:dyDescent="0.25">
      <c r="A1007" s="129"/>
      <c r="B1007" s="129"/>
      <c r="C1007" s="86" t="s">
        <v>3031</v>
      </c>
      <c r="D1007" s="86"/>
    </row>
    <row r="1008" spans="1:5" x14ac:dyDescent="0.25">
      <c r="A1008" s="129"/>
      <c r="B1008" s="129"/>
      <c r="C1008" s="86" t="s">
        <v>3032</v>
      </c>
      <c r="D1008" s="86"/>
    </row>
    <row r="1009" spans="1:4" x14ac:dyDescent="0.25">
      <c r="A1009" s="129"/>
      <c r="B1009" s="129"/>
      <c r="C1009" s="86" t="s">
        <v>3033</v>
      </c>
      <c r="D1009" s="86"/>
    </row>
    <row r="1010" spans="1:4" x14ac:dyDescent="0.25">
      <c r="A1010" s="129"/>
      <c r="B1010" s="129"/>
      <c r="C1010" s="86" t="s">
        <v>2333</v>
      </c>
      <c r="D1010" s="86"/>
    </row>
    <row r="1011" spans="1:4" x14ac:dyDescent="0.25">
      <c r="A1011" s="129"/>
      <c r="B1011" s="129"/>
      <c r="C1011" s="86" t="s">
        <v>3034</v>
      </c>
      <c r="D1011" s="86"/>
    </row>
    <row r="1012" spans="1:4" x14ac:dyDescent="0.25">
      <c r="A1012" s="129"/>
      <c r="B1012" s="129"/>
      <c r="C1012" s="86" t="s">
        <v>3035</v>
      </c>
      <c r="D1012" s="86"/>
    </row>
    <row r="1013" spans="1:4" x14ac:dyDescent="0.25">
      <c r="A1013" s="129"/>
      <c r="B1013" s="129"/>
      <c r="C1013" s="86" t="s">
        <v>3036</v>
      </c>
      <c r="D1013" s="86"/>
    </row>
    <row r="1014" spans="1:4" x14ac:dyDescent="0.25">
      <c r="A1014" s="129"/>
      <c r="B1014" s="129"/>
      <c r="C1014" s="86" t="s">
        <v>3037</v>
      </c>
      <c r="D1014" s="86"/>
    </row>
    <row r="1015" spans="1:4" x14ac:dyDescent="0.25">
      <c r="A1015" s="129"/>
      <c r="B1015" s="129"/>
      <c r="C1015" s="86" t="s">
        <v>2325</v>
      </c>
      <c r="D1015" s="86"/>
    </row>
    <row r="1016" spans="1:4" x14ac:dyDescent="0.25">
      <c r="A1016" s="129"/>
      <c r="B1016" s="129"/>
      <c r="C1016" s="86" t="s">
        <v>3038</v>
      </c>
      <c r="D1016" s="86"/>
    </row>
    <row r="1017" spans="1:4" x14ac:dyDescent="0.25">
      <c r="A1017" s="129"/>
      <c r="B1017" s="129"/>
      <c r="C1017" s="86" t="s">
        <v>2330</v>
      </c>
      <c r="D1017" s="86"/>
    </row>
    <row r="1018" spans="1:4" x14ac:dyDescent="0.25">
      <c r="A1018" s="129"/>
      <c r="B1018" s="129"/>
      <c r="C1018" s="86" t="s">
        <v>3039</v>
      </c>
      <c r="D1018" s="86"/>
    </row>
    <row r="1019" spans="1:4" x14ac:dyDescent="0.25">
      <c r="A1019" s="129"/>
      <c r="B1019" s="129"/>
      <c r="C1019" s="86" t="s">
        <v>3040</v>
      </c>
      <c r="D1019" s="86"/>
    </row>
    <row r="1020" spans="1:4" x14ac:dyDescent="0.25">
      <c r="A1020" s="129"/>
      <c r="B1020" s="129"/>
      <c r="C1020" s="86" t="s">
        <v>3041</v>
      </c>
      <c r="D1020" s="86"/>
    </row>
    <row r="1021" spans="1:4" x14ac:dyDescent="0.25">
      <c r="A1021" s="129"/>
      <c r="B1021" s="129"/>
      <c r="C1021" s="86" t="s">
        <v>3042</v>
      </c>
      <c r="D1021" s="86"/>
    </row>
    <row r="1022" spans="1:4" x14ac:dyDescent="0.25">
      <c r="A1022" s="129"/>
      <c r="B1022" s="129"/>
      <c r="C1022" s="86" t="s">
        <v>3043</v>
      </c>
      <c r="D1022" s="86"/>
    </row>
    <row r="1023" spans="1:4" x14ac:dyDescent="0.25">
      <c r="A1023" s="129"/>
      <c r="B1023" s="129"/>
      <c r="C1023" s="86" t="s">
        <v>3044</v>
      </c>
      <c r="D1023" s="86"/>
    </row>
    <row r="1024" spans="1:4" x14ac:dyDescent="0.25">
      <c r="A1024" s="129"/>
      <c r="B1024" s="129"/>
      <c r="C1024" s="86" t="s">
        <v>3045</v>
      </c>
      <c r="D1024" s="86"/>
    </row>
    <row r="1025" spans="1:5" x14ac:dyDescent="0.25">
      <c r="A1025" s="129"/>
      <c r="B1025" s="129"/>
      <c r="C1025" s="86" t="s">
        <v>3046</v>
      </c>
      <c r="D1025" s="86"/>
    </row>
    <row r="1026" spans="1:5" x14ac:dyDescent="0.25">
      <c r="A1026" s="129"/>
      <c r="B1026" s="129"/>
      <c r="C1026" s="86" t="s">
        <v>3047</v>
      </c>
      <c r="D1026" s="86"/>
    </row>
    <row r="1027" spans="1:5" x14ac:dyDescent="0.25">
      <c r="A1027" s="129"/>
      <c r="B1027" s="129"/>
      <c r="C1027" s="86" t="s">
        <v>3048</v>
      </c>
      <c r="D1027" s="86"/>
    </row>
    <row r="1028" spans="1:5" x14ac:dyDescent="0.25">
      <c r="A1028" s="129"/>
      <c r="B1028" s="129"/>
      <c r="C1028" s="86" t="s">
        <v>3049</v>
      </c>
      <c r="D1028" s="86"/>
    </row>
    <row r="1029" spans="1:5" x14ac:dyDescent="0.25">
      <c r="A1029" s="129"/>
      <c r="B1029" s="129"/>
      <c r="C1029" s="86" t="s">
        <v>3050</v>
      </c>
      <c r="D1029" s="86"/>
    </row>
    <row r="1030" spans="1:5" x14ac:dyDescent="0.25">
      <c r="A1030" s="129"/>
      <c r="B1030" s="129"/>
      <c r="C1030" s="86" t="s">
        <v>3051</v>
      </c>
      <c r="D1030" s="86"/>
    </row>
    <row r="1031" spans="1:5" x14ac:dyDescent="0.25">
      <c r="A1031" s="129"/>
      <c r="B1031" s="129"/>
      <c r="C1031" s="111" t="s">
        <v>3052</v>
      </c>
      <c r="D1031" s="86"/>
      <c r="E1031" t="s">
        <v>2363</v>
      </c>
    </row>
    <row r="1032" spans="1:5" x14ac:dyDescent="0.25">
      <c r="A1032" s="129"/>
      <c r="B1032" s="129"/>
      <c r="C1032" s="86" t="s">
        <v>3053</v>
      </c>
      <c r="D1032" s="86"/>
    </row>
    <row r="1033" spans="1:5" x14ac:dyDescent="0.25">
      <c r="A1033" s="129"/>
      <c r="B1033" s="129"/>
      <c r="C1033" s="86" t="s">
        <v>286</v>
      </c>
      <c r="D1033" s="86"/>
    </row>
    <row r="1034" spans="1:5" x14ac:dyDescent="0.25">
      <c r="A1034" s="96" t="s">
        <v>45</v>
      </c>
      <c r="B1034" s="96" t="s">
        <v>55</v>
      </c>
      <c r="C1034" s="90" t="s">
        <v>3054</v>
      </c>
      <c r="D1034" s="90"/>
      <c r="E1034" t="s">
        <v>3007</v>
      </c>
    </row>
    <row r="1035" spans="1:5" x14ac:dyDescent="0.25">
      <c r="A1035" s="97"/>
      <c r="B1035" s="97"/>
      <c r="C1035" s="90" t="s">
        <v>3055</v>
      </c>
      <c r="D1035" s="90"/>
    </row>
    <row r="1036" spans="1:5" x14ac:dyDescent="0.25">
      <c r="A1036" s="97"/>
      <c r="B1036" s="97"/>
      <c r="C1036" s="90" t="s">
        <v>286</v>
      </c>
      <c r="D1036" s="90"/>
    </row>
    <row r="1037" spans="1:5" x14ac:dyDescent="0.25">
      <c r="A1037" s="128" t="s">
        <v>3056</v>
      </c>
      <c r="B1037" s="128" t="s">
        <v>55</v>
      </c>
      <c r="C1037" s="86" t="s">
        <v>3057</v>
      </c>
      <c r="D1037" s="86"/>
    </row>
    <row r="1038" spans="1:5" x14ac:dyDescent="0.25">
      <c r="A1038" s="129"/>
      <c r="B1038" s="129"/>
      <c r="C1038" s="86" t="s">
        <v>3058</v>
      </c>
      <c r="D1038" s="86" t="s">
        <v>3059</v>
      </c>
    </row>
    <row r="1039" spans="1:5" x14ac:dyDescent="0.25">
      <c r="A1039" s="129"/>
      <c r="B1039" s="129"/>
      <c r="C1039" s="86" t="s">
        <v>3060</v>
      </c>
      <c r="D1039" s="86" t="s">
        <v>3061</v>
      </c>
    </row>
    <row r="1040" spans="1:5" x14ac:dyDescent="0.25">
      <c r="A1040" s="129"/>
      <c r="B1040" s="129"/>
      <c r="C1040" s="86" t="s">
        <v>3062</v>
      </c>
      <c r="D1040" s="86" t="s">
        <v>3063</v>
      </c>
    </row>
    <row r="1044" spans="4:4" x14ac:dyDescent="0.25">
      <c r="D1044" s="7"/>
    </row>
    <row r="1045" spans="4:4" x14ac:dyDescent="0.25">
      <c r="D1045" s="7"/>
    </row>
    <row r="1046" spans="4:4" x14ac:dyDescent="0.25">
      <c r="D1046" s="7"/>
    </row>
    <row r="1047" spans="4:4" x14ac:dyDescent="0.25">
      <c r="D1047" s="7"/>
    </row>
    <row r="1073" spans="1:3" x14ac:dyDescent="0.25">
      <c r="C1073"/>
    </row>
    <row r="1074" spans="1:3" x14ac:dyDescent="0.25">
      <c r="A1074" s="70"/>
      <c r="C1074"/>
    </row>
    <row r="1076" spans="1:3" x14ac:dyDescent="0.25">
      <c r="C1076" s="7" t="s">
        <v>1721</v>
      </c>
    </row>
    <row r="1077" spans="1:3" x14ac:dyDescent="0.25">
      <c r="C1077" s="7" t="s">
        <v>198</v>
      </c>
    </row>
    <row r="1078" spans="1:3" x14ac:dyDescent="0.25">
      <c r="C1078" s="7" t="s">
        <v>420</v>
      </c>
    </row>
    <row r="1079" spans="1:3" x14ac:dyDescent="0.25">
      <c r="C1079" s="7" t="s">
        <v>613</v>
      </c>
    </row>
    <row r="1081" spans="1:3" x14ac:dyDescent="0.25">
      <c r="C1081" s="7" t="s">
        <v>1721</v>
      </c>
    </row>
    <row r="1082" spans="1:3" x14ac:dyDescent="0.25">
      <c r="C1082" s="7" t="s">
        <v>198</v>
      </c>
    </row>
    <row r="1083" spans="1:3" x14ac:dyDescent="0.25">
      <c r="C1083" s="7" t="s">
        <v>420</v>
      </c>
    </row>
    <row r="1084" spans="1:3" x14ac:dyDescent="0.25">
      <c r="C1084" s="7" t="s">
        <v>613</v>
      </c>
    </row>
    <row r="1085" spans="1:3" x14ac:dyDescent="0.25">
      <c r="C1085" s="7" t="s">
        <v>540</v>
      </c>
    </row>
    <row r="1087" spans="1:3" x14ac:dyDescent="0.25">
      <c r="C1087" s="7" t="s">
        <v>1721</v>
      </c>
    </row>
    <row r="1088" spans="1:3" x14ac:dyDescent="0.25">
      <c r="C1088" s="7" t="s">
        <v>198</v>
      </c>
    </row>
    <row r="1089" spans="3:3" x14ac:dyDescent="0.25">
      <c r="C1089" s="7" t="s">
        <v>613</v>
      </c>
    </row>
    <row r="1091" spans="3:3" x14ac:dyDescent="0.25">
      <c r="C1091" s="7" t="s">
        <v>1454</v>
      </c>
    </row>
    <row r="1092" spans="3:3" x14ac:dyDescent="0.25">
      <c r="C1092" s="7" t="s">
        <v>286</v>
      </c>
    </row>
    <row r="1094" spans="3:3" x14ac:dyDescent="0.25">
      <c r="C1094" s="7" t="s">
        <v>234</v>
      </c>
    </row>
    <row r="1095" spans="3:3" x14ac:dyDescent="0.25">
      <c r="C1095" s="7" t="s">
        <v>2796</v>
      </c>
    </row>
    <row r="1096" spans="3:3" x14ac:dyDescent="0.25">
      <c r="C1096" s="7" t="s">
        <v>2797</v>
      </c>
    </row>
    <row r="1097" spans="3:3" x14ac:dyDescent="0.25">
      <c r="C1097" s="7" t="s">
        <v>2800</v>
      </c>
    </row>
    <row r="1098" spans="3:3" x14ac:dyDescent="0.25">
      <c r="C1098" s="7" t="s">
        <v>2801</v>
      </c>
    </row>
    <row r="1099" spans="3:3" x14ac:dyDescent="0.25">
      <c r="C1099" s="7" t="s">
        <v>2114</v>
      </c>
    </row>
    <row r="1100" spans="3:3" x14ac:dyDescent="0.25">
      <c r="C1100" s="7" t="s">
        <v>2802</v>
      </c>
    </row>
    <row r="1101" spans="3:3" x14ac:dyDescent="0.25">
      <c r="C1101" s="7" t="s">
        <v>2803</v>
      </c>
    </row>
    <row r="1102" spans="3:3" x14ac:dyDescent="0.25">
      <c r="C1102" s="7" t="s">
        <v>2804</v>
      </c>
    </row>
    <row r="1103" spans="3:3" x14ac:dyDescent="0.25">
      <c r="C1103" s="7" t="s">
        <v>1401</v>
      </c>
    </row>
    <row r="1104" spans="3:3" x14ac:dyDescent="0.25">
      <c r="C1104" s="7" t="s">
        <v>1626</v>
      </c>
    </row>
    <row r="1105" spans="3:3" x14ac:dyDescent="0.25">
      <c r="C1105" s="7" t="s">
        <v>286</v>
      </c>
    </row>
    <row r="1108" spans="3:3" x14ac:dyDescent="0.25">
      <c r="C1108" s="7" t="s">
        <v>1427</v>
      </c>
    </row>
    <row r="1109" spans="3:3" x14ac:dyDescent="0.25">
      <c r="C1109" s="7" t="s">
        <v>1555</v>
      </c>
    </row>
    <row r="1110" spans="3:3" x14ac:dyDescent="0.25">
      <c r="C1110" s="7" t="s">
        <v>1574</v>
      </c>
    </row>
    <row r="1111" spans="3:3" x14ac:dyDescent="0.25">
      <c r="C1111" s="7" t="s">
        <v>286</v>
      </c>
    </row>
    <row r="1113" spans="3:3" x14ac:dyDescent="0.25">
      <c r="C1113" s="7" t="s">
        <v>213</v>
      </c>
    </row>
    <row r="1114" spans="3:3" x14ac:dyDescent="0.25">
      <c r="C1114" s="7" t="s">
        <v>2448</v>
      </c>
    </row>
    <row r="1115" spans="3:3" x14ac:dyDescent="0.25">
      <c r="C1115" s="7" t="s">
        <v>111</v>
      </c>
    </row>
    <row r="1116" spans="3:3" x14ac:dyDescent="0.25">
      <c r="C1116" s="7" t="s">
        <v>286</v>
      </c>
    </row>
    <row r="1118" spans="3:3" x14ac:dyDescent="0.25">
      <c r="C1118" s="7" t="s">
        <v>216</v>
      </c>
    </row>
    <row r="1119" spans="3:3" x14ac:dyDescent="0.25">
      <c r="C1119" s="7" t="s">
        <v>3064</v>
      </c>
    </row>
    <row r="1121" spans="3:3" x14ac:dyDescent="0.25">
      <c r="C1121" s="7" t="s">
        <v>216</v>
      </c>
    </row>
    <row r="1122" spans="3:3" x14ac:dyDescent="0.25">
      <c r="C1122" s="7" t="s">
        <v>1107</v>
      </c>
    </row>
    <row r="1123" spans="3:3" x14ac:dyDescent="0.25">
      <c r="C1123" s="7" t="s">
        <v>2452</v>
      </c>
    </row>
    <row r="1124" spans="3:3" x14ac:dyDescent="0.25">
      <c r="C1124" s="7" t="s">
        <v>2454</v>
      </c>
    </row>
    <row r="1125" spans="3:3" x14ac:dyDescent="0.25">
      <c r="C1125" s="7" t="s">
        <v>2459</v>
      </c>
    </row>
    <row r="1126" spans="3:3" x14ac:dyDescent="0.25">
      <c r="C1126" s="7" t="s">
        <v>286</v>
      </c>
    </row>
    <row r="1129" spans="3:3" x14ac:dyDescent="0.25">
      <c r="C1129" s="7" t="s">
        <v>1509</v>
      </c>
    </row>
    <row r="1130" spans="3:3" x14ac:dyDescent="0.25">
      <c r="C1130" s="7" t="s">
        <v>808</v>
      </c>
    </row>
    <row r="1131" spans="3:3" x14ac:dyDescent="0.25">
      <c r="C1131" s="7" t="s">
        <v>888</v>
      </c>
    </row>
    <row r="1132" spans="3:3" x14ac:dyDescent="0.25">
      <c r="C1132" s="7" t="s">
        <v>234</v>
      </c>
    </row>
    <row r="1133" spans="3:3" x14ac:dyDescent="0.25">
      <c r="C1133" s="7" t="s">
        <v>287</v>
      </c>
    </row>
    <row r="1134" spans="3:3" x14ac:dyDescent="0.25">
      <c r="C1134" s="7" t="s">
        <v>498</v>
      </c>
    </row>
    <row r="1135" spans="3:3" x14ac:dyDescent="0.25">
      <c r="C1135" s="7" t="s">
        <v>1108</v>
      </c>
    </row>
    <row r="1136" spans="3:3" x14ac:dyDescent="0.25">
      <c r="C1136" s="7" t="s">
        <v>252</v>
      </c>
    </row>
    <row r="1137" spans="3:3" x14ac:dyDescent="0.25">
      <c r="C1137" s="7" t="s">
        <v>773</v>
      </c>
    </row>
    <row r="1138" spans="3:3" x14ac:dyDescent="0.25">
      <c r="C1138" s="7" t="s">
        <v>245</v>
      </c>
    </row>
    <row r="1139" spans="3:3" x14ac:dyDescent="0.25">
      <c r="C1139" s="7" t="s">
        <v>365</v>
      </c>
    </row>
    <row r="1140" spans="3:3" x14ac:dyDescent="0.25">
      <c r="C1140" s="7" t="s">
        <v>1572</v>
      </c>
    </row>
    <row r="1141" spans="3:3" x14ac:dyDescent="0.25">
      <c r="C1141" s="7" t="s">
        <v>2543</v>
      </c>
    </row>
    <row r="1142" spans="3:3" x14ac:dyDescent="0.25">
      <c r="C1142" s="7" t="s">
        <v>272</v>
      </c>
    </row>
    <row r="1143" spans="3:3" x14ac:dyDescent="0.25">
      <c r="C1143" s="7" t="s">
        <v>2544</v>
      </c>
    </row>
    <row r="1144" spans="3:3" x14ac:dyDescent="0.25">
      <c r="C1144" s="7" t="s">
        <v>423</v>
      </c>
    </row>
    <row r="1145" spans="3:3" x14ac:dyDescent="0.25">
      <c r="C1145" s="7" t="s">
        <v>931</v>
      </c>
    </row>
    <row r="1146" spans="3:3" x14ac:dyDescent="0.25">
      <c r="C1146" s="7" t="s">
        <v>227</v>
      </c>
    </row>
    <row r="1147" spans="3:3" x14ac:dyDescent="0.25">
      <c r="C1147" s="7" t="s">
        <v>830</v>
      </c>
    </row>
    <row r="1148" spans="3:3" x14ac:dyDescent="0.25">
      <c r="C1148" s="7" t="s">
        <v>856</v>
      </c>
    </row>
    <row r="1149" spans="3:3" x14ac:dyDescent="0.25">
      <c r="C1149" s="7" t="s">
        <v>899</v>
      </c>
    </row>
    <row r="1150" spans="3:3" x14ac:dyDescent="0.25">
      <c r="C1150" s="7" t="s">
        <v>906</v>
      </c>
    </row>
    <row r="1151" spans="3:3" x14ac:dyDescent="0.25">
      <c r="C1151" s="7" t="s">
        <v>610</v>
      </c>
    </row>
    <row r="1152" spans="3:3" x14ac:dyDescent="0.25">
      <c r="C1152" s="7" t="s">
        <v>764</v>
      </c>
    </row>
    <row r="1153" spans="3:3" x14ac:dyDescent="0.25">
      <c r="C1153" s="7" t="s">
        <v>258</v>
      </c>
    </row>
    <row r="1154" spans="3:3" x14ac:dyDescent="0.25">
      <c r="C1154" s="7" t="s">
        <v>217</v>
      </c>
    </row>
    <row r="1155" spans="3:3" x14ac:dyDescent="0.25">
      <c r="C1155" s="7" t="s">
        <v>2547</v>
      </c>
    </row>
    <row r="1156" spans="3:3" x14ac:dyDescent="0.25">
      <c r="C1156" s="7" t="s">
        <v>628</v>
      </c>
    </row>
    <row r="1157" spans="3:3" x14ac:dyDescent="0.25">
      <c r="C1157" s="7" t="s">
        <v>2548</v>
      </c>
    </row>
    <row r="1158" spans="3:3" x14ac:dyDescent="0.25">
      <c r="C1158" s="7" t="s">
        <v>2549</v>
      </c>
    </row>
    <row r="1159" spans="3:3" x14ac:dyDescent="0.25">
      <c r="C1159" s="7" t="s">
        <v>2550</v>
      </c>
    </row>
    <row r="1160" spans="3:3" x14ac:dyDescent="0.25">
      <c r="C1160" s="7" t="s">
        <v>2551</v>
      </c>
    </row>
    <row r="1161" spans="3:3" x14ac:dyDescent="0.25">
      <c r="C1161" s="7" t="s">
        <v>2552</v>
      </c>
    </row>
    <row r="1162" spans="3:3" x14ac:dyDescent="0.25">
      <c r="C1162" s="7" t="s">
        <v>25</v>
      </c>
    </row>
    <row r="1163" spans="3:3" ht="14.25" customHeight="1" x14ac:dyDescent="0.25">
      <c r="C1163" s="7" t="s">
        <v>2553</v>
      </c>
    </row>
    <row r="1164" spans="3:3" x14ac:dyDescent="0.25">
      <c r="C1164" s="7" t="s">
        <v>837</v>
      </c>
    </row>
    <row r="1165" spans="3:3" x14ac:dyDescent="0.25">
      <c r="C1165" s="7" t="s">
        <v>825</v>
      </c>
    </row>
    <row r="1166" spans="3:3" x14ac:dyDescent="0.25">
      <c r="C1166" s="7" t="s">
        <v>515</v>
      </c>
    </row>
    <row r="1167" spans="3:3" x14ac:dyDescent="0.25">
      <c r="C1167" s="7" t="s">
        <v>429</v>
      </c>
    </row>
    <row r="1168" spans="3:3" x14ac:dyDescent="0.25">
      <c r="C1168" s="7" t="s">
        <v>526</v>
      </c>
    </row>
    <row r="1169" spans="3:3" x14ac:dyDescent="0.25">
      <c r="C1169" s="7" t="s">
        <v>329</v>
      </c>
    </row>
    <row r="1170" spans="3:3" x14ac:dyDescent="0.25">
      <c r="C1170" s="7" t="s">
        <v>286</v>
      </c>
    </row>
    <row r="1171" spans="3:3" x14ac:dyDescent="0.25">
      <c r="C1171" s="7" t="s">
        <v>1048</v>
      </c>
    </row>
    <row r="1172" spans="3:3" x14ac:dyDescent="0.25">
      <c r="C1172" s="7" t="s">
        <v>2559</v>
      </c>
    </row>
    <row r="1173" spans="3:3" x14ac:dyDescent="0.25">
      <c r="C1173" s="7" t="s">
        <v>2560</v>
      </c>
    </row>
    <row r="1174" spans="3:3" x14ac:dyDescent="0.25">
      <c r="C1174" s="7" t="s">
        <v>2561</v>
      </c>
    </row>
    <row r="1175" spans="3:3" x14ac:dyDescent="0.25">
      <c r="C1175" s="7" t="s">
        <v>2562</v>
      </c>
    </row>
    <row r="1176" spans="3:3" x14ac:dyDescent="0.25">
      <c r="C1176" s="7" t="s">
        <v>2563</v>
      </c>
    </row>
    <row r="1177" spans="3:3" x14ac:dyDescent="0.25">
      <c r="C1177" s="7" t="s">
        <v>2564</v>
      </c>
    </row>
    <row r="1178" spans="3:3" x14ac:dyDescent="0.25">
      <c r="C1178" s="7" t="s">
        <v>2565</v>
      </c>
    </row>
    <row r="1179" spans="3:3" x14ac:dyDescent="0.25">
      <c r="C1179" s="7" t="s">
        <v>2566</v>
      </c>
    </row>
    <row r="1180" spans="3:3" x14ac:dyDescent="0.25">
      <c r="C1180" s="7" t="s">
        <v>2567</v>
      </c>
    </row>
    <row r="1181" spans="3:3" x14ac:dyDescent="0.25">
      <c r="C1181" s="7" t="s">
        <v>2568</v>
      </c>
    </row>
    <row r="1182" spans="3:3" x14ac:dyDescent="0.25">
      <c r="C1182" s="7" t="s">
        <v>2569</v>
      </c>
    </row>
    <row r="1183" spans="3:3" x14ac:dyDescent="0.25">
      <c r="C1183" s="7" t="s">
        <v>2570</v>
      </c>
    </row>
    <row r="1184" spans="3:3" x14ac:dyDescent="0.25">
      <c r="C1184" s="7" t="s">
        <v>2571</v>
      </c>
    </row>
    <row r="1185" spans="3:3" x14ac:dyDescent="0.25">
      <c r="C1185" s="7" t="s">
        <v>2572</v>
      </c>
    </row>
    <row r="1186" spans="3:3" x14ac:dyDescent="0.25">
      <c r="C1186" s="7" t="s">
        <v>2573</v>
      </c>
    </row>
    <row r="1187" spans="3:3" x14ac:dyDescent="0.25">
      <c r="C1187" s="7" t="s">
        <v>2574</v>
      </c>
    </row>
    <row r="1188" spans="3:3" x14ac:dyDescent="0.25">
      <c r="C1188" s="7" t="s">
        <v>2575</v>
      </c>
    </row>
    <row r="1189" spans="3:3" x14ac:dyDescent="0.25">
      <c r="C1189" s="7" t="s">
        <v>2577</v>
      </c>
    </row>
    <row r="1190" spans="3:3" x14ac:dyDescent="0.25">
      <c r="C1190" s="7" t="s">
        <v>2579</v>
      </c>
    </row>
    <row r="1191" spans="3:3" x14ac:dyDescent="0.25">
      <c r="C1191" s="7" t="s">
        <v>700</v>
      </c>
    </row>
    <row r="1192" spans="3:3" x14ac:dyDescent="0.25">
      <c r="C1192" s="7" t="s">
        <v>2581</v>
      </c>
    </row>
    <row r="1193" spans="3:3" x14ac:dyDescent="0.25">
      <c r="C1193" s="7" t="s">
        <v>687</v>
      </c>
    </row>
    <row r="1194" spans="3:3" x14ac:dyDescent="0.25">
      <c r="C1194" s="7" t="s">
        <v>2583</v>
      </c>
    </row>
    <row r="1195" spans="3:3" x14ac:dyDescent="0.25">
      <c r="C1195" s="7" t="s">
        <v>2584</v>
      </c>
    </row>
    <row r="1196" spans="3:3" x14ac:dyDescent="0.25">
      <c r="C1196" s="7" t="s">
        <v>947</v>
      </c>
    </row>
    <row r="1197" spans="3:3" x14ac:dyDescent="0.25">
      <c r="C1197" s="7" t="s">
        <v>2585</v>
      </c>
    </row>
    <row r="1198" spans="3:3" x14ac:dyDescent="0.25">
      <c r="C1198" s="7" t="s">
        <v>2586</v>
      </c>
    </row>
    <row r="1199" spans="3:3" x14ac:dyDescent="0.25">
      <c r="C1199" s="7" t="s">
        <v>2587</v>
      </c>
    </row>
    <row r="1200" spans="3:3" x14ac:dyDescent="0.25">
      <c r="C1200" s="7" t="s">
        <v>2588</v>
      </c>
    </row>
    <row r="1201" spans="3:3" x14ac:dyDescent="0.25">
      <c r="C1201" s="7" t="s">
        <v>2590</v>
      </c>
    </row>
    <row r="1202" spans="3:3" x14ac:dyDescent="0.25">
      <c r="C1202" s="7" t="s">
        <v>2591</v>
      </c>
    </row>
    <row r="1203" spans="3:3" x14ac:dyDescent="0.25">
      <c r="C1203" s="7" t="s">
        <v>2592</v>
      </c>
    </row>
    <row r="1204" spans="3:3" x14ac:dyDescent="0.25">
      <c r="C1204" s="7" t="s">
        <v>2593</v>
      </c>
    </row>
    <row r="1205" spans="3:3" x14ac:dyDescent="0.25">
      <c r="C1205" s="7" t="s">
        <v>2594</v>
      </c>
    </row>
    <row r="1206" spans="3:3" x14ac:dyDescent="0.25">
      <c r="C1206" s="7" t="s">
        <v>2595</v>
      </c>
    </row>
    <row r="1207" spans="3:3" x14ac:dyDescent="0.25">
      <c r="C1207" s="7" t="s">
        <v>2596</v>
      </c>
    </row>
    <row r="1208" spans="3:3" x14ac:dyDescent="0.25">
      <c r="C1208" s="7" t="s">
        <v>1116</v>
      </c>
    </row>
    <row r="1209" spans="3:3" x14ac:dyDescent="0.25">
      <c r="C1209" s="7" t="s">
        <v>2598</v>
      </c>
    </row>
    <row r="1210" spans="3:3" x14ac:dyDescent="0.25">
      <c r="C1210" s="7" t="s">
        <v>2599</v>
      </c>
    </row>
    <row r="1211" spans="3:3" x14ac:dyDescent="0.25">
      <c r="C1211" s="7" t="s">
        <v>2600</v>
      </c>
    </row>
    <row r="1212" spans="3:3" x14ac:dyDescent="0.25">
      <c r="C1212" s="7" t="s">
        <v>680</v>
      </c>
    </row>
    <row r="1213" spans="3:3" x14ac:dyDescent="0.25">
      <c r="C1213" s="7" t="s">
        <v>2601</v>
      </c>
    </row>
    <row r="1214" spans="3:3" x14ac:dyDescent="0.25">
      <c r="C1214" s="7" t="s">
        <v>2602</v>
      </c>
    </row>
    <row r="1215" spans="3:3" x14ac:dyDescent="0.25">
      <c r="C1215" s="7" t="s">
        <v>2603</v>
      </c>
    </row>
    <row r="1216" spans="3:3" x14ac:dyDescent="0.25">
      <c r="C1216" s="7" t="s">
        <v>2604</v>
      </c>
    </row>
    <row r="1217" spans="3:3" x14ac:dyDescent="0.25">
      <c r="C1217" s="7" t="s">
        <v>2605</v>
      </c>
    </row>
    <row r="1218" spans="3:3" x14ac:dyDescent="0.25">
      <c r="C1218" s="7" t="s">
        <v>2606</v>
      </c>
    </row>
    <row r="1219" spans="3:3" x14ac:dyDescent="0.25">
      <c r="C1219" s="7" t="s">
        <v>2607</v>
      </c>
    </row>
    <row r="1220" spans="3:3" x14ac:dyDescent="0.25">
      <c r="C1220" s="7" t="s">
        <v>2608</v>
      </c>
    </row>
    <row r="1221" spans="3:3" x14ac:dyDescent="0.25">
      <c r="C1221" s="7" t="s">
        <v>1010</v>
      </c>
    </row>
    <row r="1222" spans="3:3" x14ac:dyDescent="0.25">
      <c r="C1222" s="7" t="s">
        <v>2609</v>
      </c>
    </row>
    <row r="1223" spans="3:3" x14ac:dyDescent="0.25">
      <c r="C1223" s="7" t="s">
        <v>616</v>
      </c>
    </row>
    <row r="1224" spans="3:3" x14ac:dyDescent="0.25">
      <c r="C1224" s="7" t="s">
        <v>2610</v>
      </c>
    </row>
    <row r="1225" spans="3:3" x14ac:dyDescent="0.25">
      <c r="C1225" s="7" t="s">
        <v>937</v>
      </c>
    </row>
    <row r="1226" spans="3:3" x14ac:dyDescent="0.25">
      <c r="C1226" s="7" t="s">
        <v>975</v>
      </c>
    </row>
    <row r="1227" spans="3:3" x14ac:dyDescent="0.25">
      <c r="C1227" s="7" t="s">
        <v>2611</v>
      </c>
    </row>
    <row r="1228" spans="3:3" x14ac:dyDescent="0.25">
      <c r="C1228" s="7" t="s">
        <v>2612</v>
      </c>
    </row>
    <row r="1229" spans="3:3" x14ac:dyDescent="0.25">
      <c r="C1229" s="7" t="s">
        <v>2613</v>
      </c>
    </row>
    <row r="1230" spans="3:3" x14ac:dyDescent="0.25">
      <c r="C1230" s="7" t="s">
        <v>2614</v>
      </c>
    </row>
    <row r="1231" spans="3:3" x14ac:dyDescent="0.25">
      <c r="C1231" s="7" t="s">
        <v>2615</v>
      </c>
    </row>
    <row r="1232" spans="3:3" x14ac:dyDescent="0.25">
      <c r="C1232" s="7" t="s">
        <v>2616</v>
      </c>
    </row>
    <row r="1233" spans="3:3" x14ac:dyDescent="0.25">
      <c r="C1233" s="7" t="s">
        <v>2617</v>
      </c>
    </row>
    <row r="1234" spans="3:3" x14ac:dyDescent="0.25">
      <c r="C1234" s="7" t="s">
        <v>1040</v>
      </c>
    </row>
    <row r="1235" spans="3:3" x14ac:dyDescent="0.25">
      <c r="C1235" s="7" t="s">
        <v>2618</v>
      </c>
    </row>
    <row r="1236" spans="3:3" x14ac:dyDescent="0.25">
      <c r="C1236" s="7" t="s">
        <v>2619</v>
      </c>
    </row>
    <row r="1237" spans="3:3" x14ac:dyDescent="0.25">
      <c r="C1237" s="7" t="s">
        <v>2621</v>
      </c>
    </row>
    <row r="1238" spans="3:3" x14ac:dyDescent="0.25">
      <c r="C1238" s="7" t="s">
        <v>2622</v>
      </c>
    </row>
    <row r="1239" spans="3:3" x14ac:dyDescent="0.25">
      <c r="C1239" s="7" t="s">
        <v>2623</v>
      </c>
    </row>
    <row r="1240" spans="3:3" x14ac:dyDescent="0.25">
      <c r="C1240" s="7" t="s">
        <v>2624</v>
      </c>
    </row>
    <row r="1241" spans="3:3" x14ac:dyDescent="0.25">
      <c r="C1241" s="7" t="s">
        <v>2625</v>
      </c>
    </row>
    <row r="1242" spans="3:3" x14ac:dyDescent="0.25">
      <c r="C1242" s="7" t="s">
        <v>2626</v>
      </c>
    </row>
    <row r="1243" spans="3:3" x14ac:dyDescent="0.25">
      <c r="C1243" s="7" t="s">
        <v>2627</v>
      </c>
    </row>
    <row r="1244" spans="3:3" x14ac:dyDescent="0.25">
      <c r="C1244" s="7" t="s">
        <v>1643</v>
      </c>
    </row>
    <row r="1245" spans="3:3" x14ac:dyDescent="0.25">
      <c r="C1245" s="7" t="s">
        <v>1675</v>
      </c>
    </row>
    <row r="1248" spans="3:3" x14ac:dyDescent="0.25">
      <c r="C1248" s="7" t="s">
        <v>1508</v>
      </c>
    </row>
    <row r="1249" spans="3:3" x14ac:dyDescent="0.25">
      <c r="C1249" s="7" t="s">
        <v>1107</v>
      </c>
    </row>
    <row r="1250" spans="3:3" x14ac:dyDescent="0.25">
      <c r="C1250" s="7" t="s">
        <v>2452</v>
      </c>
    </row>
    <row r="1251" spans="3:3" x14ac:dyDescent="0.25">
      <c r="C1251" s="7" t="s">
        <v>2455</v>
      </c>
    </row>
    <row r="1252" spans="3:3" x14ac:dyDescent="0.25">
      <c r="C1252" s="7" t="s">
        <v>2457</v>
      </c>
    </row>
    <row r="1253" spans="3:3" x14ac:dyDescent="0.25">
      <c r="C1253" s="7" t="s">
        <v>286</v>
      </c>
    </row>
    <row r="1255" spans="3:3" x14ac:dyDescent="0.25">
      <c r="C1255" s="7" t="s">
        <v>1508</v>
      </c>
    </row>
    <row r="1256" spans="3:3" x14ac:dyDescent="0.25">
      <c r="C1256" s="7" t="s">
        <v>2454</v>
      </c>
    </row>
    <row r="1257" spans="3:3" x14ac:dyDescent="0.25">
      <c r="C1257" s="7" t="s">
        <v>2459</v>
      </c>
    </row>
    <row r="1258" spans="3:3" x14ac:dyDescent="0.25">
      <c r="C1258" s="7" t="s">
        <v>1107</v>
      </c>
    </row>
    <row r="1259" spans="3:3" x14ac:dyDescent="0.25">
      <c r="C1259" s="7" t="s">
        <v>286</v>
      </c>
    </row>
    <row r="1261" spans="3:3" x14ac:dyDescent="0.25">
      <c r="C1261" s="7" t="s">
        <v>216</v>
      </c>
    </row>
    <row r="1262" spans="3:3" x14ac:dyDescent="0.25">
      <c r="C1262" s="7" t="s">
        <v>1107</v>
      </c>
    </row>
    <row r="1263" spans="3:3" x14ac:dyDescent="0.25">
      <c r="C1263" s="7" t="s">
        <v>2457</v>
      </c>
    </row>
    <row r="1264" spans="3:3" x14ac:dyDescent="0.25">
      <c r="C1264" s="7" t="s">
        <v>2455</v>
      </c>
    </row>
    <row r="1265" spans="3:3" x14ac:dyDescent="0.25">
      <c r="C1265" s="7" t="s">
        <v>286</v>
      </c>
    </row>
    <row r="1267" spans="3:3" x14ac:dyDescent="0.25">
      <c r="C1267" s="7" t="s">
        <v>1508</v>
      </c>
    </row>
    <row r="1268" spans="3:3" x14ac:dyDescent="0.25">
      <c r="C1268" s="7" t="s">
        <v>1107</v>
      </c>
    </row>
    <row r="1269" spans="3:3" x14ac:dyDescent="0.25">
      <c r="C1269" s="7" t="s">
        <v>286</v>
      </c>
    </row>
    <row r="1272" spans="3:3" x14ac:dyDescent="0.25">
      <c r="C1272" s="7" t="s">
        <v>216</v>
      </c>
    </row>
    <row r="1273" spans="3:3" x14ac:dyDescent="0.25">
      <c r="C1273" s="7" t="s">
        <v>1107</v>
      </c>
    </row>
    <row r="1274" spans="3:3" x14ac:dyDescent="0.25">
      <c r="C1274" s="7" t="s">
        <v>2452</v>
      </c>
    </row>
    <row r="1275" spans="3:3" x14ac:dyDescent="0.25">
      <c r="C1275" s="7" t="s">
        <v>2454</v>
      </c>
    </row>
    <row r="1276" spans="3:3" x14ac:dyDescent="0.25">
      <c r="C1276" s="7" t="s">
        <v>2455</v>
      </c>
    </row>
    <row r="1277" spans="3:3" x14ac:dyDescent="0.25">
      <c r="C1277" s="7" t="s">
        <v>2456</v>
      </c>
    </row>
    <row r="1278" spans="3:3" x14ac:dyDescent="0.25">
      <c r="C1278" s="7" t="s">
        <v>2457</v>
      </c>
    </row>
    <row r="1279" spans="3:3" x14ac:dyDescent="0.25">
      <c r="C1279" s="7" t="s">
        <v>2458</v>
      </c>
    </row>
    <row r="1280" spans="3:3" x14ac:dyDescent="0.25">
      <c r="C1280" s="7" t="s">
        <v>2459</v>
      </c>
    </row>
    <row r="1281" spans="3:3" x14ac:dyDescent="0.25">
      <c r="C1281" s="7" t="s">
        <v>286</v>
      </c>
    </row>
    <row r="1283" spans="3:3" x14ac:dyDescent="0.25">
      <c r="C1283" s="7" t="s">
        <v>117</v>
      </c>
    </row>
    <row r="1284" spans="3:3" x14ac:dyDescent="0.25">
      <c r="C1284" s="7" t="s">
        <v>2462</v>
      </c>
    </row>
    <row r="1285" spans="3:3" x14ac:dyDescent="0.25">
      <c r="C1285" s="7" t="s">
        <v>966</v>
      </c>
    </row>
    <row r="1286" spans="3:3" x14ac:dyDescent="0.25">
      <c r="C1286" s="7" t="s">
        <v>936</v>
      </c>
    </row>
    <row r="1287" spans="3:3" x14ac:dyDescent="0.25">
      <c r="C1287" s="7" t="s">
        <v>2466</v>
      </c>
    </row>
    <row r="1288" spans="3:3" x14ac:dyDescent="0.25">
      <c r="C1288" s="7" t="s">
        <v>2468</v>
      </c>
    </row>
    <row r="1289" spans="3:3" x14ac:dyDescent="0.25">
      <c r="C1289" s="7" t="s">
        <v>2470</v>
      </c>
    </row>
    <row r="1290" spans="3:3" x14ac:dyDescent="0.25">
      <c r="C1290" s="7" t="s">
        <v>2472</v>
      </c>
    </row>
    <row r="1291" spans="3:3" x14ac:dyDescent="0.25">
      <c r="C1291" s="7" t="s">
        <v>2474</v>
      </c>
    </row>
    <row r="1292" spans="3:3" x14ac:dyDescent="0.25">
      <c r="C1292" s="7" t="s">
        <v>2476</v>
      </c>
    </row>
    <row r="1293" spans="3:3" x14ac:dyDescent="0.25">
      <c r="C1293" s="7" t="s">
        <v>2478</v>
      </c>
    </row>
    <row r="1294" spans="3:3" x14ac:dyDescent="0.25">
      <c r="C1294" s="7" t="s">
        <v>2480</v>
      </c>
    </row>
    <row r="1295" spans="3:3" x14ac:dyDescent="0.25">
      <c r="C1295" s="7" t="s">
        <v>1206</v>
      </c>
    </row>
    <row r="1296" spans="3:3" x14ac:dyDescent="0.25">
      <c r="C1296" s="7" t="s">
        <v>991</v>
      </c>
    </row>
    <row r="1297" spans="3:3" x14ac:dyDescent="0.25">
      <c r="C1297" s="7" t="s">
        <v>1200</v>
      </c>
    </row>
    <row r="1298" spans="3:3" x14ac:dyDescent="0.25">
      <c r="C1298" s="7" t="s">
        <v>2485</v>
      </c>
    </row>
    <row r="1299" spans="3:3" x14ac:dyDescent="0.25">
      <c r="C1299" s="7" t="s">
        <v>2487</v>
      </c>
    </row>
    <row r="1300" spans="3:3" x14ac:dyDescent="0.25">
      <c r="C1300" s="7" t="s">
        <v>2489</v>
      </c>
    </row>
    <row r="1301" spans="3:3" x14ac:dyDescent="0.25">
      <c r="C1301" s="7" t="s">
        <v>2491</v>
      </c>
    </row>
    <row r="1302" spans="3:3" x14ac:dyDescent="0.25">
      <c r="C1302" s="7" t="s">
        <v>2493</v>
      </c>
    </row>
    <row r="1303" spans="3:3" x14ac:dyDescent="0.25">
      <c r="C1303" s="7" t="s">
        <v>1187</v>
      </c>
    </row>
    <row r="1304" spans="3:3" x14ac:dyDescent="0.25">
      <c r="C1304" s="7" t="s">
        <v>2496</v>
      </c>
    </row>
    <row r="1305" spans="3:3" x14ac:dyDescent="0.25">
      <c r="C1305" s="7" t="s">
        <v>2498</v>
      </c>
    </row>
    <row r="1306" spans="3:3" x14ac:dyDescent="0.25">
      <c r="C1306" s="7" t="s">
        <v>2500</v>
      </c>
    </row>
    <row r="1307" spans="3:3" x14ac:dyDescent="0.25">
      <c r="C1307" s="7" t="s">
        <v>2502</v>
      </c>
    </row>
    <row r="1308" spans="3:3" x14ac:dyDescent="0.25">
      <c r="C1308" s="7" t="s">
        <v>2504</v>
      </c>
    </row>
    <row r="1309" spans="3:3" x14ac:dyDescent="0.25">
      <c r="C1309" s="7" t="s">
        <v>2506</v>
      </c>
    </row>
    <row r="1310" spans="3:3" x14ac:dyDescent="0.25">
      <c r="C1310" s="7" t="s">
        <v>2508</v>
      </c>
    </row>
    <row r="1311" spans="3:3" x14ac:dyDescent="0.25">
      <c r="C1311" s="7" t="s">
        <v>2510</v>
      </c>
    </row>
    <row r="1312" spans="3:3" x14ac:dyDescent="0.25">
      <c r="C1312" s="7" t="s">
        <v>2512</v>
      </c>
    </row>
    <row r="1313" spans="3:3" x14ac:dyDescent="0.25">
      <c r="C1313" s="7" t="s">
        <v>2514</v>
      </c>
    </row>
    <row r="1314" spans="3:3" x14ac:dyDescent="0.25">
      <c r="C1314" s="7" t="s">
        <v>2516</v>
      </c>
    </row>
    <row r="1315" spans="3:3" x14ac:dyDescent="0.25">
      <c r="C1315" s="7" t="s">
        <v>286</v>
      </c>
    </row>
  </sheetData>
  <autoFilter ref="A1:D1040" xr:uid="{00000000-0009-0000-0000-00001F000000}"/>
  <pageMargins left="0.70833333333333304" right="0.70833333333333304" top="0.74791666666666701" bottom="0.74791666666666701" header="0.511811023622047" footer="0.511811023622047"/>
  <pageSetup paperSize="9" scale="60"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795"/>
  <sheetViews>
    <sheetView showGridLines="0" rightToLeft="1" zoomScaleNormal="100" workbookViewId="0">
      <pane ySplit="1" topLeftCell="A2" activePane="bottomLeft" state="frozen"/>
      <selection pane="bottomLeft"/>
    </sheetView>
  </sheetViews>
  <sheetFormatPr defaultColWidth="8.59765625" defaultRowHeight="13.8" outlineLevelRow="1" x14ac:dyDescent="0.25"/>
  <cols>
    <col min="1" max="1" width="25.59765625" style="127" customWidth="1"/>
    <col min="2" max="2" width="48.796875" style="127" customWidth="1"/>
    <col min="3" max="3" width="12" customWidth="1"/>
    <col min="4" max="4" width="23.5" style="13" customWidth="1"/>
    <col min="5" max="5" width="14.19921875" customWidth="1"/>
  </cols>
  <sheetData>
    <row r="1" spans="1:5" ht="15.75" customHeight="1" x14ac:dyDescent="0.3">
      <c r="A1" s="136" t="s">
        <v>3065</v>
      </c>
      <c r="B1" s="137" t="s">
        <v>3066</v>
      </c>
      <c r="C1" s="137" t="s">
        <v>3067</v>
      </c>
      <c r="D1" s="138" t="s">
        <v>3068</v>
      </c>
      <c r="E1" s="139"/>
    </row>
    <row r="2" spans="1:5" ht="15.75" customHeight="1" outlineLevel="1" x14ac:dyDescent="0.25">
      <c r="A2" s="140" t="s">
        <v>20</v>
      </c>
      <c r="B2" s="141" t="s">
        <v>50</v>
      </c>
      <c r="C2" s="140">
        <v>5.0999999999999996</v>
      </c>
      <c r="D2" s="142"/>
    </row>
    <row r="3" spans="1:5" ht="15.75" customHeight="1" outlineLevel="1" x14ac:dyDescent="0.25">
      <c r="A3" s="140" t="s">
        <v>20</v>
      </c>
      <c r="B3" s="141" t="s">
        <v>51</v>
      </c>
      <c r="C3" s="140">
        <v>5.2</v>
      </c>
      <c r="D3" s="142"/>
    </row>
    <row r="4" spans="1:5" ht="15.75" customHeight="1" outlineLevel="1" x14ac:dyDescent="0.25">
      <c r="A4" s="140" t="s">
        <v>20</v>
      </c>
      <c r="B4" s="141" t="s">
        <v>52</v>
      </c>
      <c r="C4" s="140">
        <v>5.4</v>
      </c>
      <c r="D4" s="142"/>
    </row>
    <row r="5" spans="1:5" ht="15.75" customHeight="1" outlineLevel="1" x14ac:dyDescent="0.25">
      <c r="A5" s="140" t="s">
        <v>20</v>
      </c>
      <c r="B5" s="141" t="s">
        <v>53</v>
      </c>
      <c r="C5" s="140">
        <v>5.7</v>
      </c>
      <c r="D5" s="142"/>
    </row>
    <row r="6" spans="1:5" ht="15.75" customHeight="1" outlineLevel="1" x14ac:dyDescent="0.25">
      <c r="A6" s="140" t="s">
        <v>20</v>
      </c>
      <c r="B6" s="141" t="s">
        <v>54</v>
      </c>
      <c r="C6" s="140">
        <v>5.1100000000000003</v>
      </c>
      <c r="D6" s="142"/>
    </row>
    <row r="7" spans="1:5" ht="15.75" customHeight="1" outlineLevel="1" x14ac:dyDescent="0.25">
      <c r="A7" s="140" t="s">
        <v>20</v>
      </c>
      <c r="B7" s="141" t="s">
        <v>55</v>
      </c>
      <c r="C7" s="140">
        <v>5.26</v>
      </c>
      <c r="D7" s="142"/>
    </row>
    <row r="8" spans="1:5" ht="15.75" customHeight="1" outlineLevel="1" x14ac:dyDescent="0.25">
      <c r="A8" s="140" t="s">
        <v>20</v>
      </c>
      <c r="B8" s="141" t="s">
        <v>56</v>
      </c>
      <c r="C8" s="140">
        <v>5.27</v>
      </c>
      <c r="D8" s="142"/>
    </row>
    <row r="9" spans="1:5" ht="15.75" customHeight="1" outlineLevel="1" x14ac:dyDescent="0.25">
      <c r="A9" s="140" t="s">
        <v>20</v>
      </c>
      <c r="B9" s="141" t="s">
        <v>57</v>
      </c>
      <c r="C9" s="140">
        <v>5.36</v>
      </c>
      <c r="D9" s="142"/>
    </row>
    <row r="10" spans="1:5" ht="15.75" customHeight="1" outlineLevel="1" x14ac:dyDescent="0.25">
      <c r="A10" s="140" t="s">
        <v>20</v>
      </c>
      <c r="B10" s="141" t="s">
        <v>58</v>
      </c>
      <c r="C10" s="143">
        <v>5.5</v>
      </c>
      <c r="D10" s="142"/>
    </row>
    <row r="11" spans="1:5" ht="15.75" customHeight="1" outlineLevel="1" x14ac:dyDescent="0.25">
      <c r="A11" s="140" t="s">
        <v>20</v>
      </c>
      <c r="B11" s="141" t="s">
        <v>59</v>
      </c>
      <c r="C11" s="140">
        <v>5.51</v>
      </c>
      <c r="D11" s="142"/>
    </row>
    <row r="12" spans="1:5" ht="15.75" customHeight="1" outlineLevel="1" x14ac:dyDescent="0.25">
      <c r="A12" s="140" t="s">
        <v>20</v>
      </c>
      <c r="B12" s="141" t="s">
        <v>60</v>
      </c>
      <c r="C12" s="140">
        <v>5.53</v>
      </c>
      <c r="D12" s="142"/>
    </row>
    <row r="13" spans="1:5" ht="15.75" customHeight="1" outlineLevel="1" x14ac:dyDescent="0.25">
      <c r="A13" s="140" t="s">
        <v>20</v>
      </c>
      <c r="B13" s="141" t="s">
        <v>61</v>
      </c>
      <c r="C13" s="140">
        <v>5.59</v>
      </c>
      <c r="D13" s="142"/>
    </row>
    <row r="14" spans="1:5" ht="15.75" customHeight="1" outlineLevel="1" x14ac:dyDescent="0.25">
      <c r="A14" s="140" t="s">
        <v>20</v>
      </c>
      <c r="B14" s="141" t="s">
        <v>62</v>
      </c>
      <c r="C14" s="140">
        <v>5.54</v>
      </c>
      <c r="D14" s="142"/>
    </row>
    <row r="15" spans="1:5" ht="15.75" customHeight="1" outlineLevel="1" x14ac:dyDescent="0.25">
      <c r="A15" s="140" t="s">
        <v>20</v>
      </c>
      <c r="B15" s="141" t="s">
        <v>63</v>
      </c>
      <c r="C15" s="143">
        <v>5.7</v>
      </c>
      <c r="D15" s="144" t="s">
        <v>3069</v>
      </c>
    </row>
    <row r="16" spans="1:5" ht="15.75" customHeight="1" outlineLevel="1" x14ac:dyDescent="0.25">
      <c r="A16" s="140" t="s">
        <v>20</v>
      </c>
      <c r="B16" s="141" t="s">
        <v>64</v>
      </c>
      <c r="C16" s="140">
        <v>5.63</v>
      </c>
      <c r="D16" s="142"/>
    </row>
    <row r="17" spans="1:4" ht="15.75" customHeight="1" outlineLevel="1" x14ac:dyDescent="0.25">
      <c r="A17" s="140" t="s">
        <v>20</v>
      </c>
      <c r="B17" s="141" t="s">
        <v>65</v>
      </c>
      <c r="C17" s="140">
        <v>5.47</v>
      </c>
      <c r="D17" s="142"/>
    </row>
    <row r="18" spans="1:4" ht="15.75" customHeight="1" outlineLevel="1" x14ac:dyDescent="0.25">
      <c r="A18" s="140" t="s">
        <v>20</v>
      </c>
      <c r="B18" s="141" t="s">
        <v>66</v>
      </c>
      <c r="C18" s="140">
        <v>5.48</v>
      </c>
      <c r="D18" s="142"/>
    </row>
    <row r="19" spans="1:4" ht="15.75" customHeight="1" x14ac:dyDescent="0.25">
      <c r="A19" s="145" t="s">
        <v>20</v>
      </c>
      <c r="B19" s="141"/>
      <c r="C19" s="140"/>
      <c r="D19" s="142"/>
    </row>
    <row r="20" spans="1:4" ht="15.75" customHeight="1" outlineLevel="1" x14ac:dyDescent="0.25">
      <c r="A20" s="140" t="s">
        <v>21</v>
      </c>
      <c r="B20" s="141" t="s">
        <v>50</v>
      </c>
      <c r="C20" s="140">
        <v>5.0999999999999996</v>
      </c>
      <c r="D20" s="142"/>
    </row>
    <row r="21" spans="1:4" ht="15.75" customHeight="1" outlineLevel="1" x14ac:dyDescent="0.25">
      <c r="A21" s="140" t="s">
        <v>21</v>
      </c>
      <c r="B21" s="141" t="s">
        <v>51</v>
      </c>
      <c r="C21" s="140">
        <v>5.2</v>
      </c>
      <c r="D21" s="142"/>
    </row>
    <row r="22" spans="1:4" ht="15.75" customHeight="1" outlineLevel="1" x14ac:dyDescent="0.25">
      <c r="A22" s="140" t="s">
        <v>21</v>
      </c>
      <c r="B22" s="141" t="s">
        <v>91</v>
      </c>
      <c r="C22" s="140">
        <v>5.3</v>
      </c>
      <c r="D22" s="142"/>
    </row>
    <row r="23" spans="1:4" ht="15.75" customHeight="1" outlineLevel="1" x14ac:dyDescent="0.25">
      <c r="A23" s="140" t="s">
        <v>21</v>
      </c>
      <c r="B23" s="141" t="s">
        <v>1333</v>
      </c>
      <c r="C23" s="140">
        <v>5.14</v>
      </c>
      <c r="D23" s="142"/>
    </row>
    <row r="24" spans="1:4" ht="15.75" customHeight="1" outlineLevel="1" x14ac:dyDescent="0.25">
      <c r="A24" s="140" t="s">
        <v>21</v>
      </c>
      <c r="B24" s="141" t="s">
        <v>93</v>
      </c>
      <c r="C24" s="140">
        <v>5.19</v>
      </c>
      <c r="D24" s="142"/>
    </row>
    <row r="25" spans="1:4" ht="15.75" customHeight="1" outlineLevel="1" x14ac:dyDescent="0.25">
      <c r="A25" s="140" t="s">
        <v>21</v>
      </c>
      <c r="B25" s="141" t="s">
        <v>55</v>
      </c>
      <c r="C25" s="140">
        <v>5.26</v>
      </c>
      <c r="D25" s="142"/>
    </row>
    <row r="26" spans="1:4" ht="15.75" customHeight="1" outlineLevel="1" x14ac:dyDescent="0.25">
      <c r="A26" s="140" t="s">
        <v>21</v>
      </c>
      <c r="B26" s="141" t="s">
        <v>56</v>
      </c>
      <c r="C26" s="140">
        <v>5.27</v>
      </c>
      <c r="D26" s="142"/>
    </row>
    <row r="27" spans="1:4" ht="15.75" customHeight="1" outlineLevel="1" x14ac:dyDescent="0.25">
      <c r="A27" s="140" t="s">
        <v>21</v>
      </c>
      <c r="B27" s="141" t="s">
        <v>94</v>
      </c>
      <c r="C27" s="140">
        <v>5.28</v>
      </c>
      <c r="D27" s="142"/>
    </row>
    <row r="28" spans="1:4" ht="15.75" customHeight="1" outlineLevel="1" x14ac:dyDescent="0.25">
      <c r="A28" s="140" t="s">
        <v>21</v>
      </c>
      <c r="B28" s="141" t="s">
        <v>95</v>
      </c>
      <c r="C28" s="143">
        <v>5.3</v>
      </c>
      <c r="D28" s="142"/>
    </row>
    <row r="29" spans="1:4" ht="15.75" customHeight="1" outlineLevel="1" x14ac:dyDescent="0.25">
      <c r="A29" s="140" t="s">
        <v>21</v>
      </c>
      <c r="B29" s="141" t="s">
        <v>96</v>
      </c>
      <c r="C29" s="140">
        <v>5.49</v>
      </c>
      <c r="D29" s="142"/>
    </row>
    <row r="30" spans="1:4" ht="15.75" customHeight="1" outlineLevel="1" x14ac:dyDescent="0.25">
      <c r="A30" s="140" t="s">
        <v>21</v>
      </c>
      <c r="B30" s="141" t="s">
        <v>59</v>
      </c>
      <c r="C30" s="140">
        <v>5.51</v>
      </c>
      <c r="D30" s="142"/>
    </row>
    <row r="31" spans="1:4" ht="15.75" customHeight="1" outlineLevel="1" x14ac:dyDescent="0.25">
      <c r="A31" s="140" t="s">
        <v>21</v>
      </c>
      <c r="B31" s="141" t="s">
        <v>60</v>
      </c>
      <c r="C31" s="140">
        <v>5.53</v>
      </c>
      <c r="D31" s="142"/>
    </row>
    <row r="32" spans="1:4" ht="15.75" customHeight="1" outlineLevel="1" x14ac:dyDescent="0.25">
      <c r="A32" s="140" t="s">
        <v>21</v>
      </c>
      <c r="B32" s="141" t="s">
        <v>97</v>
      </c>
      <c r="C32" s="140">
        <v>5.69</v>
      </c>
      <c r="D32" s="142"/>
    </row>
    <row r="33" spans="1:4" ht="15.75" customHeight="1" outlineLevel="1" x14ac:dyDescent="0.25">
      <c r="A33" s="140" t="s">
        <v>21</v>
      </c>
      <c r="B33" s="141" t="s">
        <v>98</v>
      </c>
      <c r="C33" s="140">
        <v>5.75</v>
      </c>
      <c r="D33" s="142"/>
    </row>
    <row r="34" spans="1:4" ht="15.75" customHeight="1" outlineLevel="1" x14ac:dyDescent="0.25">
      <c r="A34" s="140" t="s">
        <v>21</v>
      </c>
      <c r="B34" s="141" t="s">
        <v>63</v>
      </c>
      <c r="C34" s="143">
        <v>5.7</v>
      </c>
      <c r="D34" s="142"/>
    </row>
    <row r="35" spans="1:4" ht="15.75" customHeight="1" outlineLevel="1" x14ac:dyDescent="0.25">
      <c r="A35" s="140" t="s">
        <v>21</v>
      </c>
      <c r="B35" s="141" t="s">
        <v>99</v>
      </c>
      <c r="C35" s="140">
        <v>5.74</v>
      </c>
      <c r="D35" s="142"/>
    </row>
    <row r="36" spans="1:4" ht="15.75" customHeight="1" outlineLevel="1" x14ac:dyDescent="0.25">
      <c r="A36" s="140" t="s">
        <v>21</v>
      </c>
      <c r="B36" s="141" t="s">
        <v>100</v>
      </c>
      <c r="C36" s="140">
        <v>5.62</v>
      </c>
      <c r="D36" s="142"/>
    </row>
    <row r="37" spans="1:4" ht="15.75" customHeight="1" outlineLevel="1" x14ac:dyDescent="0.25">
      <c r="A37" s="140" t="s">
        <v>21</v>
      </c>
      <c r="B37" s="141" t="s">
        <v>101</v>
      </c>
      <c r="C37" s="140">
        <v>5.58</v>
      </c>
      <c r="D37" s="142"/>
    </row>
    <row r="38" spans="1:4" ht="15.75" customHeight="1" outlineLevel="1" x14ac:dyDescent="0.25">
      <c r="A38" s="140" t="s">
        <v>21</v>
      </c>
      <c r="B38" s="141" t="s">
        <v>62</v>
      </c>
      <c r="C38" s="140">
        <v>5.54</v>
      </c>
      <c r="D38" s="142"/>
    </row>
    <row r="39" spans="1:4" ht="15.75" customHeight="1" outlineLevel="1" x14ac:dyDescent="0.25">
      <c r="A39" s="140" t="s">
        <v>21</v>
      </c>
      <c r="B39" s="141" t="s">
        <v>102</v>
      </c>
      <c r="C39" s="140">
        <v>5.55</v>
      </c>
      <c r="D39" s="142"/>
    </row>
    <row r="40" spans="1:4" ht="15.75" customHeight="1" outlineLevel="1" x14ac:dyDescent="0.25">
      <c r="A40" s="140" t="s">
        <v>21</v>
      </c>
      <c r="B40" s="141" t="s">
        <v>64</v>
      </c>
      <c r="C40" s="140">
        <v>5.63</v>
      </c>
      <c r="D40" s="142"/>
    </row>
    <row r="41" spans="1:4" ht="15.75" customHeight="1" outlineLevel="1" x14ac:dyDescent="0.25">
      <c r="A41" s="140" t="s">
        <v>21</v>
      </c>
      <c r="B41" s="141" t="s">
        <v>103</v>
      </c>
      <c r="C41" s="140">
        <v>5.65</v>
      </c>
      <c r="D41" s="142"/>
    </row>
    <row r="42" spans="1:4" ht="15.75" customHeight="1" outlineLevel="1" x14ac:dyDescent="0.25">
      <c r="A42" s="140" t="s">
        <v>21</v>
      </c>
      <c r="B42" s="141" t="s">
        <v>18</v>
      </c>
      <c r="C42" s="140">
        <v>5.68</v>
      </c>
      <c r="D42" s="142"/>
    </row>
    <row r="43" spans="1:4" ht="15.75" customHeight="1" outlineLevel="1" x14ac:dyDescent="0.25">
      <c r="A43" s="140" t="s">
        <v>21</v>
      </c>
      <c r="B43" s="141" t="s">
        <v>104</v>
      </c>
      <c r="C43" s="140">
        <v>5.45</v>
      </c>
      <c r="D43" s="142"/>
    </row>
    <row r="44" spans="1:4" ht="15.75" customHeight="1" outlineLevel="1" x14ac:dyDescent="0.25">
      <c r="A44" s="140" t="s">
        <v>21</v>
      </c>
      <c r="B44" s="141" t="s">
        <v>65</v>
      </c>
      <c r="C44" s="140">
        <v>5.47</v>
      </c>
      <c r="D44" s="142"/>
    </row>
    <row r="45" spans="1:4" ht="15.75" customHeight="1" outlineLevel="1" x14ac:dyDescent="0.25">
      <c r="A45" s="140" t="s">
        <v>21</v>
      </c>
      <c r="B45" s="141" t="s">
        <v>66</v>
      </c>
      <c r="C45" s="140">
        <v>5.48</v>
      </c>
      <c r="D45" s="142"/>
    </row>
    <row r="46" spans="1:4" ht="15.75" customHeight="1" x14ac:dyDescent="0.25">
      <c r="A46" s="145" t="s">
        <v>21</v>
      </c>
      <c r="B46" s="141"/>
      <c r="C46" s="140"/>
      <c r="D46" s="142"/>
    </row>
    <row r="47" spans="1:4" ht="15.75" customHeight="1" outlineLevel="1" x14ac:dyDescent="0.25">
      <c r="A47" s="140" t="s">
        <v>22</v>
      </c>
      <c r="B47" s="141" t="s">
        <v>50</v>
      </c>
      <c r="C47" s="140">
        <v>5.0999999999999996</v>
      </c>
      <c r="D47" s="142"/>
    </row>
    <row r="48" spans="1:4" ht="15.75" customHeight="1" outlineLevel="1" x14ac:dyDescent="0.25">
      <c r="A48" s="140" t="s">
        <v>22</v>
      </c>
      <c r="B48" s="141" t="s">
        <v>51</v>
      </c>
      <c r="C48" s="140">
        <v>5.2</v>
      </c>
      <c r="D48" s="142"/>
    </row>
    <row r="49" spans="1:4" ht="15.75" customHeight="1" outlineLevel="1" x14ac:dyDescent="0.25">
      <c r="A49" s="140" t="s">
        <v>22</v>
      </c>
      <c r="B49" s="141" t="s">
        <v>91</v>
      </c>
      <c r="C49" s="140">
        <v>5.3</v>
      </c>
      <c r="D49" s="142"/>
    </row>
    <row r="50" spans="1:4" ht="15.75" customHeight="1" outlineLevel="1" x14ac:dyDescent="0.25">
      <c r="A50" s="140" t="s">
        <v>22</v>
      </c>
      <c r="B50" s="141" t="s">
        <v>198</v>
      </c>
      <c r="C50" s="140">
        <v>5.6</v>
      </c>
      <c r="D50" s="142"/>
    </row>
    <row r="51" spans="1:4" ht="15.75" customHeight="1" outlineLevel="1" x14ac:dyDescent="0.25">
      <c r="A51" s="140" t="s">
        <v>22</v>
      </c>
      <c r="B51" s="141" t="s">
        <v>3070</v>
      </c>
      <c r="C51" s="143">
        <v>5.0999999999999996</v>
      </c>
      <c r="D51" s="142"/>
    </row>
    <row r="52" spans="1:4" ht="15.75" customHeight="1" outlineLevel="1" x14ac:dyDescent="0.25">
      <c r="A52" s="140" t="s">
        <v>22</v>
      </c>
      <c r="B52" s="141" t="s">
        <v>1333</v>
      </c>
      <c r="C52" s="140">
        <v>5.14</v>
      </c>
      <c r="D52" s="142"/>
    </row>
    <row r="53" spans="1:4" ht="15.75" customHeight="1" outlineLevel="1" x14ac:dyDescent="0.25">
      <c r="A53" s="140" t="s">
        <v>22</v>
      </c>
      <c r="B53" s="141" t="s">
        <v>93</v>
      </c>
      <c r="C53" s="140">
        <v>5.19</v>
      </c>
      <c r="D53" s="142"/>
    </row>
    <row r="54" spans="1:4" ht="15.75" customHeight="1" outlineLevel="1" x14ac:dyDescent="0.25">
      <c r="A54" s="140" t="s">
        <v>22</v>
      </c>
      <c r="B54" s="141" t="s">
        <v>200</v>
      </c>
      <c r="C54" s="140">
        <v>5.24</v>
      </c>
      <c r="D54" s="142"/>
    </row>
    <row r="55" spans="1:4" ht="15.75" customHeight="1" outlineLevel="1" x14ac:dyDescent="0.25">
      <c r="A55" s="140" t="s">
        <v>22</v>
      </c>
      <c r="B55" s="141" t="s">
        <v>55</v>
      </c>
      <c r="C55" s="140">
        <v>5.26</v>
      </c>
      <c r="D55" s="142"/>
    </row>
    <row r="56" spans="1:4" ht="15.75" customHeight="1" outlineLevel="1" x14ac:dyDescent="0.25">
      <c r="A56" s="140" t="s">
        <v>22</v>
      </c>
      <c r="B56" s="141" t="s">
        <v>56</v>
      </c>
      <c r="C56" s="140">
        <v>5.27</v>
      </c>
      <c r="D56" s="142"/>
    </row>
    <row r="57" spans="1:4" ht="15.75" customHeight="1" outlineLevel="1" x14ac:dyDescent="0.25">
      <c r="A57" s="140" t="s">
        <v>22</v>
      </c>
      <c r="B57" s="141" t="s">
        <v>94</v>
      </c>
      <c r="C57" s="140">
        <v>5.28</v>
      </c>
      <c r="D57" s="142"/>
    </row>
    <row r="58" spans="1:4" ht="15.75" customHeight="1" outlineLevel="1" x14ac:dyDescent="0.25">
      <c r="A58" s="140" t="s">
        <v>22</v>
      </c>
      <c r="B58" s="141" t="s">
        <v>95</v>
      </c>
      <c r="C58" s="143">
        <v>5.3</v>
      </c>
      <c r="D58" s="142"/>
    </row>
    <row r="59" spans="1:4" ht="15.75" customHeight="1" outlineLevel="1" x14ac:dyDescent="0.25">
      <c r="A59" s="140" t="s">
        <v>22</v>
      </c>
      <c r="B59" s="141" t="s">
        <v>201</v>
      </c>
      <c r="C59" s="140">
        <v>5.31</v>
      </c>
      <c r="D59" s="142"/>
    </row>
    <row r="60" spans="1:4" ht="15.75" customHeight="1" outlineLevel="1" x14ac:dyDescent="0.25">
      <c r="A60" s="140" t="s">
        <v>22</v>
      </c>
      <c r="B60" s="141" t="s">
        <v>57</v>
      </c>
      <c r="C60" s="140">
        <v>5.36</v>
      </c>
      <c r="D60" s="142"/>
    </row>
    <row r="61" spans="1:4" ht="15.75" customHeight="1" outlineLevel="1" x14ac:dyDescent="0.25">
      <c r="A61" s="140" t="s">
        <v>22</v>
      </c>
      <c r="B61" s="141" t="s">
        <v>96</v>
      </c>
      <c r="C61" s="140">
        <v>5.49</v>
      </c>
      <c r="D61" s="142"/>
    </row>
    <row r="62" spans="1:4" ht="15.75" customHeight="1" outlineLevel="1" x14ac:dyDescent="0.25">
      <c r="A62" s="140" t="s">
        <v>22</v>
      </c>
      <c r="B62" s="141" t="s">
        <v>59</v>
      </c>
      <c r="C62" s="140">
        <v>5.51</v>
      </c>
      <c r="D62" s="142"/>
    </row>
    <row r="63" spans="1:4" ht="15.75" customHeight="1" outlineLevel="1" x14ac:dyDescent="0.25">
      <c r="A63" s="140" t="s">
        <v>22</v>
      </c>
      <c r="B63" s="141" t="s">
        <v>3071</v>
      </c>
      <c r="C63" s="140">
        <v>5.52</v>
      </c>
      <c r="D63" s="142"/>
    </row>
    <row r="64" spans="1:4" ht="15.75" customHeight="1" outlineLevel="1" x14ac:dyDescent="0.25">
      <c r="A64" s="140" t="s">
        <v>22</v>
      </c>
      <c r="B64" s="141" t="s">
        <v>60</v>
      </c>
      <c r="C64" s="140">
        <v>5.53</v>
      </c>
      <c r="D64" s="142"/>
    </row>
    <row r="65" spans="1:4" ht="15.75" customHeight="1" outlineLevel="1" x14ac:dyDescent="0.25">
      <c r="A65" s="140" t="s">
        <v>22</v>
      </c>
      <c r="B65" s="141" t="s">
        <v>97</v>
      </c>
      <c r="C65" s="140">
        <v>5.69</v>
      </c>
      <c r="D65" s="142"/>
    </row>
    <row r="66" spans="1:4" ht="15.75" customHeight="1" outlineLevel="1" x14ac:dyDescent="0.25">
      <c r="A66" s="140" t="s">
        <v>22</v>
      </c>
      <c r="B66" s="141" t="s">
        <v>203</v>
      </c>
      <c r="C66" s="143">
        <v>5.72</v>
      </c>
      <c r="D66" s="142"/>
    </row>
    <row r="67" spans="1:4" ht="15.75" customHeight="1" outlineLevel="1" x14ac:dyDescent="0.25">
      <c r="A67" s="140" t="s">
        <v>22</v>
      </c>
      <c r="B67" s="141" t="s">
        <v>98</v>
      </c>
      <c r="C67" s="140">
        <v>5.75</v>
      </c>
      <c r="D67" s="142"/>
    </row>
    <row r="68" spans="1:4" ht="15.75" customHeight="1" outlineLevel="1" x14ac:dyDescent="0.25">
      <c r="A68" s="140" t="s">
        <v>22</v>
      </c>
      <c r="B68" s="141" t="s">
        <v>63</v>
      </c>
      <c r="C68" s="143">
        <v>5.7</v>
      </c>
      <c r="D68" s="142"/>
    </row>
    <row r="69" spans="1:4" ht="15.75" customHeight="1" outlineLevel="1" x14ac:dyDescent="0.25">
      <c r="A69" s="140" t="s">
        <v>22</v>
      </c>
      <c r="B69" s="141" t="s">
        <v>99</v>
      </c>
      <c r="C69" s="140">
        <v>5.74</v>
      </c>
      <c r="D69" s="142"/>
    </row>
    <row r="70" spans="1:4" ht="15.75" customHeight="1" outlineLevel="1" x14ac:dyDescent="0.25">
      <c r="A70" s="140" t="s">
        <v>22</v>
      </c>
      <c r="B70" s="141" t="s">
        <v>204</v>
      </c>
      <c r="C70" s="140">
        <v>5.76</v>
      </c>
      <c r="D70" s="142"/>
    </row>
    <row r="71" spans="1:4" ht="15.75" customHeight="1" outlineLevel="1" x14ac:dyDescent="0.25">
      <c r="A71" s="140" t="s">
        <v>22</v>
      </c>
      <c r="B71" s="141" t="s">
        <v>205</v>
      </c>
      <c r="C71" s="140">
        <v>5.89</v>
      </c>
      <c r="D71" s="144" t="s">
        <v>3069</v>
      </c>
    </row>
    <row r="72" spans="1:4" ht="15.75" customHeight="1" outlineLevel="1" x14ac:dyDescent="0.25">
      <c r="A72" s="140" t="s">
        <v>22</v>
      </c>
      <c r="B72" s="141" t="s">
        <v>101</v>
      </c>
      <c r="C72" s="140">
        <v>5.58</v>
      </c>
      <c r="D72" s="142"/>
    </row>
    <row r="73" spans="1:4" ht="15.75" customHeight="1" outlineLevel="1" x14ac:dyDescent="0.25">
      <c r="A73" s="140" t="s">
        <v>22</v>
      </c>
      <c r="B73" s="141" t="s">
        <v>100</v>
      </c>
      <c r="C73" s="140">
        <v>5.62</v>
      </c>
      <c r="D73" s="142"/>
    </row>
    <row r="74" spans="1:4" ht="15.75" customHeight="1" outlineLevel="1" x14ac:dyDescent="0.25">
      <c r="A74" s="140" t="s">
        <v>22</v>
      </c>
      <c r="B74" s="141" t="s">
        <v>62</v>
      </c>
      <c r="C74" s="140">
        <v>5.54</v>
      </c>
      <c r="D74" s="142"/>
    </row>
    <row r="75" spans="1:4" ht="15.75" customHeight="1" outlineLevel="1" x14ac:dyDescent="0.25">
      <c r="A75" s="140" t="s">
        <v>22</v>
      </c>
      <c r="B75" s="141" t="s">
        <v>102</v>
      </c>
      <c r="C75" s="140">
        <v>5.55</v>
      </c>
      <c r="D75" s="142"/>
    </row>
    <row r="76" spans="1:4" ht="15.75" customHeight="1" outlineLevel="1" x14ac:dyDescent="0.25">
      <c r="A76" s="140" t="s">
        <v>22</v>
      </c>
      <c r="B76" s="141" t="s">
        <v>64</v>
      </c>
      <c r="C76" s="140">
        <v>5.63</v>
      </c>
      <c r="D76" s="142"/>
    </row>
    <row r="77" spans="1:4" ht="15.75" customHeight="1" outlineLevel="1" x14ac:dyDescent="0.25">
      <c r="A77" s="140" t="s">
        <v>22</v>
      </c>
      <c r="B77" s="141" t="s">
        <v>103</v>
      </c>
      <c r="C77" s="140">
        <v>5.65</v>
      </c>
      <c r="D77" s="142"/>
    </row>
    <row r="78" spans="1:4" ht="15.75" customHeight="1" outlineLevel="1" x14ac:dyDescent="0.25">
      <c r="A78" s="140" t="s">
        <v>22</v>
      </c>
      <c r="B78" s="141" t="s">
        <v>206</v>
      </c>
      <c r="C78" s="140">
        <v>5.66</v>
      </c>
      <c r="D78" s="142"/>
    </row>
    <row r="79" spans="1:4" ht="15.75" customHeight="1" outlineLevel="1" x14ac:dyDescent="0.25">
      <c r="A79" s="140" t="s">
        <v>22</v>
      </c>
      <c r="B79" s="141" t="s">
        <v>18</v>
      </c>
      <c r="C79" s="140">
        <v>5.68</v>
      </c>
      <c r="D79" s="142"/>
    </row>
    <row r="80" spans="1:4" ht="15.75" customHeight="1" outlineLevel="1" x14ac:dyDescent="0.25">
      <c r="A80" s="140" t="s">
        <v>22</v>
      </c>
      <c r="B80" s="141" t="s">
        <v>104</v>
      </c>
      <c r="C80" s="140">
        <v>5.45</v>
      </c>
      <c r="D80" s="142"/>
    </row>
    <row r="81" spans="1:4" ht="15.75" customHeight="1" outlineLevel="1" x14ac:dyDescent="0.25">
      <c r="A81" s="140" t="s">
        <v>22</v>
      </c>
      <c r="B81" s="141" t="s">
        <v>65</v>
      </c>
      <c r="C81" s="140">
        <v>5.47</v>
      </c>
      <c r="D81" s="142"/>
    </row>
    <row r="82" spans="1:4" ht="15.75" customHeight="1" outlineLevel="1" x14ac:dyDescent="0.25">
      <c r="A82" s="140" t="s">
        <v>22</v>
      </c>
      <c r="B82" s="141" t="s">
        <v>66</v>
      </c>
      <c r="C82" s="140">
        <v>5.48</v>
      </c>
      <c r="D82" s="142"/>
    </row>
    <row r="83" spans="1:4" ht="15.75" customHeight="1" x14ac:dyDescent="0.25">
      <c r="A83" s="145" t="s">
        <v>22</v>
      </c>
      <c r="B83" s="141"/>
      <c r="C83" s="140"/>
      <c r="D83" s="142"/>
    </row>
    <row r="84" spans="1:4" ht="15.75" customHeight="1" outlineLevel="1" x14ac:dyDescent="0.25">
      <c r="A84" s="140" t="s">
        <v>23</v>
      </c>
      <c r="B84" s="141" t="s">
        <v>50</v>
      </c>
      <c r="C84" s="140">
        <v>5.0999999999999996</v>
      </c>
      <c r="D84" s="142"/>
    </row>
    <row r="85" spans="1:4" ht="15.75" customHeight="1" outlineLevel="1" x14ac:dyDescent="0.25">
      <c r="A85" s="140" t="s">
        <v>23</v>
      </c>
      <c r="B85" s="141" t="s">
        <v>51</v>
      </c>
      <c r="C85" s="140">
        <v>5.2</v>
      </c>
      <c r="D85" s="142"/>
    </row>
    <row r="86" spans="1:4" ht="15.75" customHeight="1" outlineLevel="1" x14ac:dyDescent="0.25">
      <c r="A86" s="140" t="s">
        <v>23</v>
      </c>
      <c r="B86" s="141" t="s">
        <v>91</v>
      </c>
      <c r="C86" s="140">
        <v>5.3</v>
      </c>
      <c r="D86" s="142"/>
    </row>
    <row r="87" spans="1:4" ht="15.75" customHeight="1" outlineLevel="1" x14ac:dyDescent="0.25">
      <c r="A87" s="140" t="s">
        <v>23</v>
      </c>
      <c r="B87" s="141" t="s">
        <v>198</v>
      </c>
      <c r="C87" s="140">
        <v>5.6</v>
      </c>
      <c r="D87" s="142"/>
    </row>
    <row r="88" spans="1:4" ht="15.75" customHeight="1" outlineLevel="1" x14ac:dyDescent="0.25">
      <c r="A88" s="140" t="s">
        <v>23</v>
      </c>
      <c r="B88" s="141" t="s">
        <v>3070</v>
      </c>
      <c r="C88" s="143">
        <v>5.0999999999999996</v>
      </c>
      <c r="D88" s="142"/>
    </row>
    <row r="89" spans="1:4" ht="15.75" customHeight="1" outlineLevel="1" x14ac:dyDescent="0.25">
      <c r="A89" s="140" t="s">
        <v>23</v>
      </c>
      <c r="B89" s="141" t="s">
        <v>1333</v>
      </c>
      <c r="C89" s="140">
        <v>5.14</v>
      </c>
      <c r="D89" s="142"/>
    </row>
    <row r="90" spans="1:4" ht="15.75" customHeight="1" outlineLevel="1" x14ac:dyDescent="0.25">
      <c r="A90" s="140" t="s">
        <v>23</v>
      </c>
      <c r="B90" s="141" t="s">
        <v>93</v>
      </c>
      <c r="C90" s="140">
        <v>5.19</v>
      </c>
      <c r="D90" s="142"/>
    </row>
    <row r="91" spans="1:4" ht="15.75" customHeight="1" outlineLevel="1" x14ac:dyDescent="0.25">
      <c r="A91" s="140" t="s">
        <v>23</v>
      </c>
      <c r="B91" s="141" t="s">
        <v>200</v>
      </c>
      <c r="C91" s="140">
        <v>5.24</v>
      </c>
      <c r="D91" s="142"/>
    </row>
    <row r="92" spans="1:4" ht="15.75" customHeight="1" outlineLevel="1" x14ac:dyDescent="0.25">
      <c r="A92" s="140" t="s">
        <v>23</v>
      </c>
      <c r="B92" s="141" t="s">
        <v>55</v>
      </c>
      <c r="C92" s="140">
        <v>5.26</v>
      </c>
      <c r="D92" s="142"/>
    </row>
    <row r="93" spans="1:4" ht="15.75" customHeight="1" outlineLevel="1" x14ac:dyDescent="0.25">
      <c r="A93" s="140" t="s">
        <v>23</v>
      </c>
      <c r="B93" s="141" t="s">
        <v>56</v>
      </c>
      <c r="C93" s="140">
        <v>5.27</v>
      </c>
      <c r="D93" s="142"/>
    </row>
    <row r="94" spans="1:4" ht="15.75" customHeight="1" outlineLevel="1" x14ac:dyDescent="0.25">
      <c r="A94" s="140" t="s">
        <v>23</v>
      </c>
      <c r="B94" s="141" t="s">
        <v>94</v>
      </c>
      <c r="C94" s="140">
        <v>5.28</v>
      </c>
      <c r="D94" s="142"/>
    </row>
    <row r="95" spans="1:4" ht="15.75" customHeight="1" outlineLevel="1" x14ac:dyDescent="0.25">
      <c r="A95" s="140" t="s">
        <v>23</v>
      </c>
      <c r="B95" s="141" t="s">
        <v>207</v>
      </c>
      <c r="C95" s="140">
        <v>5.29</v>
      </c>
      <c r="D95" s="142"/>
    </row>
    <row r="96" spans="1:4" ht="15.75" customHeight="1" outlineLevel="1" x14ac:dyDescent="0.25">
      <c r="A96" s="140" t="s">
        <v>23</v>
      </c>
      <c r="B96" s="141" t="s">
        <v>95</v>
      </c>
      <c r="C96" s="143">
        <v>5.3</v>
      </c>
      <c r="D96" s="142"/>
    </row>
    <row r="97" spans="1:4" ht="15.75" customHeight="1" outlineLevel="1" x14ac:dyDescent="0.25">
      <c r="A97" s="140" t="s">
        <v>23</v>
      </c>
      <c r="B97" s="141" t="s">
        <v>201</v>
      </c>
      <c r="C97" s="140">
        <v>5.31</v>
      </c>
      <c r="D97" s="142"/>
    </row>
    <row r="98" spans="1:4" ht="15.75" customHeight="1" outlineLevel="1" x14ac:dyDescent="0.25">
      <c r="A98" s="140" t="s">
        <v>23</v>
      </c>
      <c r="B98" s="141" t="s">
        <v>57</v>
      </c>
      <c r="C98" s="140">
        <v>5.36</v>
      </c>
      <c r="D98" s="142"/>
    </row>
    <row r="99" spans="1:4" ht="15.75" customHeight="1" outlineLevel="1" x14ac:dyDescent="0.25">
      <c r="A99" s="140" t="s">
        <v>23</v>
      </c>
      <c r="B99" s="141" t="s">
        <v>96</v>
      </c>
      <c r="C99" s="140">
        <v>5.49</v>
      </c>
      <c r="D99" s="142"/>
    </row>
    <row r="100" spans="1:4" ht="15.75" customHeight="1" outlineLevel="1" x14ac:dyDescent="0.25">
      <c r="A100" s="140" t="s">
        <v>23</v>
      </c>
      <c r="B100" s="141" t="s">
        <v>59</v>
      </c>
      <c r="C100" s="140">
        <v>5.51</v>
      </c>
      <c r="D100" s="142"/>
    </row>
    <row r="101" spans="1:4" ht="15.75" customHeight="1" outlineLevel="1" x14ac:dyDescent="0.25">
      <c r="A101" s="140" t="s">
        <v>23</v>
      </c>
      <c r="B101" s="141" t="s">
        <v>3071</v>
      </c>
      <c r="C101" s="140">
        <v>5.52</v>
      </c>
      <c r="D101" s="142"/>
    </row>
    <row r="102" spans="1:4" ht="15.75" customHeight="1" outlineLevel="1" x14ac:dyDescent="0.25">
      <c r="A102" s="140" t="s">
        <v>23</v>
      </c>
      <c r="B102" s="141" t="s">
        <v>60</v>
      </c>
      <c r="C102" s="140">
        <v>5.53</v>
      </c>
      <c r="D102" s="142"/>
    </row>
    <row r="103" spans="1:4" ht="15.75" customHeight="1" outlineLevel="1" x14ac:dyDescent="0.25">
      <c r="A103" s="140" t="s">
        <v>23</v>
      </c>
      <c r="B103" s="141" t="s">
        <v>97</v>
      </c>
      <c r="C103" s="140">
        <v>5.69</v>
      </c>
      <c r="D103" s="142"/>
    </row>
    <row r="104" spans="1:4" ht="15.75" customHeight="1" outlineLevel="1" x14ac:dyDescent="0.25">
      <c r="A104" s="140" t="s">
        <v>23</v>
      </c>
      <c r="B104" s="141" t="s">
        <v>98</v>
      </c>
      <c r="C104" s="140">
        <v>5.75</v>
      </c>
      <c r="D104" s="142"/>
    </row>
    <row r="105" spans="1:4" ht="15.75" customHeight="1" outlineLevel="1" x14ac:dyDescent="0.25">
      <c r="A105" s="140" t="s">
        <v>23</v>
      </c>
      <c r="B105" s="141" t="s">
        <v>63</v>
      </c>
      <c r="C105" s="143">
        <v>5.7</v>
      </c>
      <c r="D105" s="142"/>
    </row>
    <row r="106" spans="1:4" ht="15.75" customHeight="1" outlineLevel="1" x14ac:dyDescent="0.25">
      <c r="A106" s="140" t="s">
        <v>23</v>
      </c>
      <c r="B106" s="141" t="s">
        <v>99</v>
      </c>
      <c r="C106" s="140">
        <v>5.74</v>
      </c>
      <c r="D106" s="142"/>
    </row>
    <row r="107" spans="1:4" ht="15.75" customHeight="1" outlineLevel="1" x14ac:dyDescent="0.25">
      <c r="A107" s="140" t="s">
        <v>23</v>
      </c>
      <c r="B107" s="141" t="s">
        <v>204</v>
      </c>
      <c r="C107" s="140">
        <v>5.76</v>
      </c>
      <c r="D107" s="142"/>
    </row>
    <row r="108" spans="1:4" ht="15.75" customHeight="1" outlineLevel="1" x14ac:dyDescent="0.25">
      <c r="A108" s="140" t="s">
        <v>23</v>
      </c>
      <c r="B108" s="141" t="s">
        <v>205</v>
      </c>
      <c r="C108" s="140">
        <v>5.89</v>
      </c>
      <c r="D108" s="144" t="s">
        <v>3069</v>
      </c>
    </row>
    <row r="109" spans="1:4" ht="15.75" customHeight="1" outlineLevel="1" x14ac:dyDescent="0.25">
      <c r="A109" s="140" t="s">
        <v>23</v>
      </c>
      <c r="B109" s="141" t="s">
        <v>101</v>
      </c>
      <c r="C109" s="140">
        <v>5.58</v>
      </c>
      <c r="D109" s="142"/>
    </row>
    <row r="110" spans="1:4" ht="15.75" customHeight="1" outlineLevel="1" x14ac:dyDescent="0.25">
      <c r="A110" s="140" t="s">
        <v>23</v>
      </c>
      <c r="B110" s="141" t="s">
        <v>100</v>
      </c>
      <c r="C110" s="140">
        <v>5.62</v>
      </c>
      <c r="D110" s="142"/>
    </row>
    <row r="111" spans="1:4" ht="15.75" customHeight="1" outlineLevel="1" x14ac:dyDescent="0.25">
      <c r="A111" s="140" t="s">
        <v>23</v>
      </c>
      <c r="B111" s="141" t="s">
        <v>62</v>
      </c>
      <c r="C111" s="140">
        <v>5.54</v>
      </c>
      <c r="D111" s="142"/>
    </row>
    <row r="112" spans="1:4" ht="15.75" customHeight="1" outlineLevel="1" x14ac:dyDescent="0.25">
      <c r="A112" s="140" t="s">
        <v>23</v>
      </c>
      <c r="B112" s="141" t="s">
        <v>102</v>
      </c>
      <c r="C112" s="140">
        <v>5.55</v>
      </c>
      <c r="D112" s="142"/>
    </row>
    <row r="113" spans="1:4" ht="15.75" customHeight="1" outlineLevel="1" x14ac:dyDescent="0.25">
      <c r="A113" s="140" t="s">
        <v>23</v>
      </c>
      <c r="B113" s="141" t="s">
        <v>103</v>
      </c>
      <c r="C113" s="140">
        <v>5.65</v>
      </c>
      <c r="D113" s="142"/>
    </row>
    <row r="114" spans="1:4" ht="15.75" customHeight="1" outlineLevel="1" x14ac:dyDescent="0.25">
      <c r="A114" s="140" t="s">
        <v>23</v>
      </c>
      <c r="B114" s="141" t="s">
        <v>206</v>
      </c>
      <c r="C114" s="140">
        <v>5.66</v>
      </c>
      <c r="D114" s="142"/>
    </row>
    <row r="115" spans="1:4" ht="15.75" customHeight="1" outlineLevel="1" x14ac:dyDescent="0.25">
      <c r="A115" s="140" t="s">
        <v>23</v>
      </c>
      <c r="B115" s="141" t="s">
        <v>18</v>
      </c>
      <c r="C115" s="140">
        <v>5.68</v>
      </c>
      <c r="D115" s="142"/>
    </row>
    <row r="116" spans="1:4" ht="15.75" customHeight="1" outlineLevel="1" x14ac:dyDescent="0.25">
      <c r="A116" s="140" t="s">
        <v>23</v>
      </c>
      <c r="B116" s="141" t="s">
        <v>104</v>
      </c>
      <c r="C116" s="140">
        <v>5.45</v>
      </c>
      <c r="D116" s="142"/>
    </row>
    <row r="117" spans="1:4" ht="15.75" customHeight="1" outlineLevel="1" x14ac:dyDescent="0.25">
      <c r="A117" s="140" t="s">
        <v>23</v>
      </c>
      <c r="B117" s="141" t="s">
        <v>65</v>
      </c>
      <c r="C117" s="140">
        <v>5.47</v>
      </c>
      <c r="D117" s="142"/>
    </row>
    <row r="118" spans="1:4" ht="15.75" customHeight="1" outlineLevel="1" x14ac:dyDescent="0.25">
      <c r="A118" s="140" t="s">
        <v>23</v>
      </c>
      <c r="B118" s="141" t="s">
        <v>66</v>
      </c>
      <c r="C118" s="140">
        <v>5.48</v>
      </c>
      <c r="D118" s="142"/>
    </row>
    <row r="119" spans="1:4" ht="15.75" customHeight="1" x14ac:dyDescent="0.25">
      <c r="A119" s="145" t="s">
        <v>23</v>
      </c>
      <c r="B119" s="141"/>
      <c r="C119" s="140"/>
      <c r="D119" s="142"/>
    </row>
    <row r="120" spans="1:4" ht="15.75" customHeight="1" outlineLevel="1" x14ac:dyDescent="0.25">
      <c r="A120" s="140" t="s">
        <v>3072</v>
      </c>
      <c r="B120" s="141" t="s">
        <v>50</v>
      </c>
      <c r="C120" s="140">
        <v>5.0999999999999996</v>
      </c>
      <c r="D120" s="142"/>
    </row>
    <row r="121" spans="1:4" ht="15.75" customHeight="1" outlineLevel="1" x14ac:dyDescent="0.25">
      <c r="A121" s="140" t="s">
        <v>3072</v>
      </c>
      <c r="B121" s="141" t="s">
        <v>51</v>
      </c>
      <c r="C121" s="140">
        <v>5.2</v>
      </c>
      <c r="D121" s="142"/>
    </row>
    <row r="122" spans="1:4" ht="15.75" customHeight="1" outlineLevel="1" x14ac:dyDescent="0.25">
      <c r="A122" s="140" t="s">
        <v>3072</v>
      </c>
      <c r="B122" s="141" t="s">
        <v>91</v>
      </c>
      <c r="C122" s="140">
        <v>5.3</v>
      </c>
      <c r="D122" s="142"/>
    </row>
    <row r="123" spans="1:4" ht="15.75" customHeight="1" outlineLevel="1" x14ac:dyDescent="0.25">
      <c r="A123" s="140" t="s">
        <v>3072</v>
      </c>
      <c r="B123" s="141" t="s">
        <v>198</v>
      </c>
      <c r="C123" s="140">
        <v>5.6</v>
      </c>
      <c r="D123" s="142"/>
    </row>
    <row r="124" spans="1:4" ht="15.75" customHeight="1" outlineLevel="1" x14ac:dyDescent="0.25">
      <c r="A124" s="140" t="s">
        <v>3072</v>
      </c>
      <c r="B124" s="141" t="s">
        <v>3070</v>
      </c>
      <c r="C124" s="143">
        <v>5.0999999999999996</v>
      </c>
      <c r="D124" s="142"/>
    </row>
    <row r="125" spans="1:4" ht="15.75" customHeight="1" outlineLevel="1" x14ac:dyDescent="0.25">
      <c r="A125" s="140" t="s">
        <v>3072</v>
      </c>
      <c r="B125" s="141" t="s">
        <v>1333</v>
      </c>
      <c r="C125" s="140">
        <v>5.14</v>
      </c>
      <c r="D125" s="142"/>
    </row>
    <row r="126" spans="1:4" ht="15.75" customHeight="1" outlineLevel="1" x14ac:dyDescent="0.25">
      <c r="A126" s="140" t="s">
        <v>3072</v>
      </c>
      <c r="B126" s="141" t="s">
        <v>93</v>
      </c>
      <c r="C126" s="140">
        <v>5.19</v>
      </c>
      <c r="D126" s="142"/>
    </row>
    <row r="127" spans="1:4" ht="15.75" customHeight="1" outlineLevel="1" x14ac:dyDescent="0.25">
      <c r="A127" s="140" t="s">
        <v>3072</v>
      </c>
      <c r="B127" s="141" t="s">
        <v>200</v>
      </c>
      <c r="C127" s="140">
        <v>5.24</v>
      </c>
      <c r="D127" s="142"/>
    </row>
    <row r="128" spans="1:4" ht="15.75" customHeight="1" outlineLevel="1" x14ac:dyDescent="0.25">
      <c r="A128" s="140" t="s">
        <v>3072</v>
      </c>
      <c r="B128" s="141" t="s">
        <v>55</v>
      </c>
      <c r="C128" s="140">
        <v>5.26</v>
      </c>
      <c r="D128" s="142"/>
    </row>
    <row r="129" spans="1:4" ht="15.75" customHeight="1" outlineLevel="1" x14ac:dyDescent="0.25">
      <c r="A129" s="140" t="s">
        <v>3072</v>
      </c>
      <c r="B129" s="141" t="s">
        <v>56</v>
      </c>
      <c r="C129" s="140">
        <v>5.27</v>
      </c>
      <c r="D129" s="142"/>
    </row>
    <row r="130" spans="1:4" ht="15.75" customHeight="1" outlineLevel="1" x14ac:dyDescent="0.25">
      <c r="A130" s="140" t="s">
        <v>3072</v>
      </c>
      <c r="B130" s="141" t="s">
        <v>94</v>
      </c>
      <c r="C130" s="140">
        <v>5.28</v>
      </c>
      <c r="D130" s="142"/>
    </row>
    <row r="131" spans="1:4" ht="15.75" customHeight="1" outlineLevel="1" x14ac:dyDescent="0.25">
      <c r="A131" s="140" t="s">
        <v>3072</v>
      </c>
      <c r="B131" s="141" t="s">
        <v>207</v>
      </c>
      <c r="C131" s="140">
        <v>5.29</v>
      </c>
      <c r="D131" s="142"/>
    </row>
    <row r="132" spans="1:4" ht="15.75" customHeight="1" outlineLevel="1" x14ac:dyDescent="0.25">
      <c r="A132" s="140" t="s">
        <v>3072</v>
      </c>
      <c r="B132" s="141" t="s">
        <v>95</v>
      </c>
      <c r="C132" s="143">
        <v>5.3</v>
      </c>
      <c r="D132" s="142"/>
    </row>
    <row r="133" spans="1:4" ht="15.75" customHeight="1" outlineLevel="1" x14ac:dyDescent="0.25">
      <c r="A133" s="140" t="s">
        <v>3072</v>
      </c>
      <c r="B133" s="141" t="s">
        <v>201</v>
      </c>
      <c r="C133" s="140">
        <v>5.31</v>
      </c>
      <c r="D133" s="142"/>
    </row>
    <row r="134" spans="1:4" ht="15.75" customHeight="1" outlineLevel="1" x14ac:dyDescent="0.25">
      <c r="A134" s="140" t="s">
        <v>3072</v>
      </c>
      <c r="B134" s="141" t="s">
        <v>57</v>
      </c>
      <c r="C134" s="140">
        <v>5.36</v>
      </c>
      <c r="D134" s="142"/>
    </row>
    <row r="135" spans="1:4" ht="15.75" customHeight="1" outlineLevel="1" x14ac:dyDescent="0.25">
      <c r="A135" s="140" t="s">
        <v>3072</v>
      </c>
      <c r="B135" s="141" t="s">
        <v>60</v>
      </c>
      <c r="C135" s="140">
        <v>5.53</v>
      </c>
      <c r="D135" s="142"/>
    </row>
    <row r="136" spans="1:4" ht="15.75" customHeight="1" outlineLevel="1" x14ac:dyDescent="0.25">
      <c r="A136" s="140" t="s">
        <v>3072</v>
      </c>
      <c r="B136" s="141" t="s">
        <v>101</v>
      </c>
      <c r="C136" s="140">
        <v>5.58</v>
      </c>
      <c r="D136" s="142"/>
    </row>
    <row r="137" spans="1:4" ht="15.75" customHeight="1" outlineLevel="1" x14ac:dyDescent="0.25">
      <c r="A137" s="140" t="s">
        <v>3072</v>
      </c>
      <c r="B137" s="141" t="s">
        <v>100</v>
      </c>
      <c r="C137" s="140">
        <v>5.62</v>
      </c>
      <c r="D137" s="142"/>
    </row>
    <row r="138" spans="1:4" ht="15.75" customHeight="1" outlineLevel="1" x14ac:dyDescent="0.25">
      <c r="A138" s="140" t="s">
        <v>3072</v>
      </c>
      <c r="B138" s="141" t="s">
        <v>62</v>
      </c>
      <c r="C138" s="140">
        <v>5.54</v>
      </c>
      <c r="D138" s="142"/>
    </row>
    <row r="139" spans="1:4" ht="15.75" customHeight="1" outlineLevel="1" x14ac:dyDescent="0.25">
      <c r="A139" s="140" t="s">
        <v>3072</v>
      </c>
      <c r="B139" s="141" t="s">
        <v>102</v>
      </c>
      <c r="C139" s="140">
        <v>5.55</v>
      </c>
      <c r="D139" s="142"/>
    </row>
    <row r="140" spans="1:4" ht="15.75" customHeight="1" outlineLevel="1" x14ac:dyDescent="0.25">
      <c r="A140" s="140" t="s">
        <v>3072</v>
      </c>
      <c r="B140" s="141" t="s">
        <v>64</v>
      </c>
      <c r="C140" s="140">
        <v>5.63</v>
      </c>
      <c r="D140" s="142"/>
    </row>
    <row r="141" spans="1:4" ht="15.75" customHeight="1" outlineLevel="1" x14ac:dyDescent="0.25">
      <c r="A141" s="140" t="s">
        <v>3072</v>
      </c>
      <c r="B141" s="141" t="s">
        <v>104</v>
      </c>
      <c r="C141" s="140">
        <v>5.45</v>
      </c>
      <c r="D141" s="142"/>
    </row>
    <row r="142" spans="1:4" ht="15.75" customHeight="1" outlineLevel="1" x14ac:dyDescent="0.25">
      <c r="A142" s="140" t="s">
        <v>3072</v>
      </c>
      <c r="B142" s="141" t="s">
        <v>65</v>
      </c>
      <c r="C142" s="140">
        <v>5.47</v>
      </c>
      <c r="D142" s="142"/>
    </row>
    <row r="143" spans="1:4" ht="15.75" customHeight="1" outlineLevel="1" x14ac:dyDescent="0.25">
      <c r="A143" s="140" t="s">
        <v>3072</v>
      </c>
      <c r="B143" s="141" t="s">
        <v>66</v>
      </c>
      <c r="C143" s="140">
        <v>5.48</v>
      </c>
      <c r="D143" s="142"/>
    </row>
    <row r="144" spans="1:4" ht="15.75" customHeight="1" x14ac:dyDescent="0.25">
      <c r="A144" s="145" t="s">
        <v>3072</v>
      </c>
      <c r="B144" s="141"/>
      <c r="C144" s="140"/>
      <c r="D144" s="142"/>
    </row>
    <row r="145" spans="1:4" ht="15.75" customHeight="1" outlineLevel="1" x14ac:dyDescent="0.25">
      <c r="A145" s="140" t="s">
        <v>25</v>
      </c>
      <c r="B145" s="141" t="s">
        <v>50</v>
      </c>
      <c r="C145" s="140">
        <v>5.0999999999999996</v>
      </c>
      <c r="D145" s="142"/>
    </row>
    <row r="146" spans="1:4" ht="15.75" customHeight="1" outlineLevel="1" x14ac:dyDescent="0.25">
      <c r="A146" s="140" t="s">
        <v>25</v>
      </c>
      <c r="B146" s="141" t="s">
        <v>51</v>
      </c>
      <c r="C146" s="140">
        <v>5.2</v>
      </c>
      <c r="D146" s="142"/>
    </row>
    <row r="147" spans="1:4" ht="15.75" customHeight="1" outlineLevel="1" x14ac:dyDescent="0.25">
      <c r="A147" s="140" t="s">
        <v>25</v>
      </c>
      <c r="B147" s="141" t="s">
        <v>91</v>
      </c>
      <c r="C147" s="140">
        <v>5.3</v>
      </c>
      <c r="D147" s="142"/>
    </row>
    <row r="148" spans="1:4" ht="15.75" customHeight="1" outlineLevel="1" x14ac:dyDescent="0.25">
      <c r="A148" s="140" t="s">
        <v>25</v>
      </c>
      <c r="B148" s="141" t="s">
        <v>198</v>
      </c>
      <c r="C148" s="140">
        <v>5.6</v>
      </c>
      <c r="D148" s="142"/>
    </row>
    <row r="149" spans="1:4" ht="15.75" customHeight="1" outlineLevel="1" x14ac:dyDescent="0.25">
      <c r="A149" s="140" t="s">
        <v>25</v>
      </c>
      <c r="B149" s="141" t="s">
        <v>3070</v>
      </c>
      <c r="C149" s="143">
        <v>5.0999999999999996</v>
      </c>
      <c r="D149" s="142"/>
    </row>
    <row r="150" spans="1:4" ht="15.75" customHeight="1" outlineLevel="1" x14ac:dyDescent="0.25">
      <c r="A150" s="140" t="s">
        <v>25</v>
      </c>
      <c r="B150" s="141" t="s">
        <v>1333</v>
      </c>
      <c r="C150" s="140">
        <v>5.14</v>
      </c>
      <c r="D150" s="142"/>
    </row>
    <row r="151" spans="1:4" ht="15.75" customHeight="1" outlineLevel="1" x14ac:dyDescent="0.25">
      <c r="A151" s="140" t="s">
        <v>25</v>
      </c>
      <c r="B151" s="141" t="s">
        <v>93</v>
      </c>
      <c r="C151" s="140">
        <v>5.19</v>
      </c>
      <c r="D151" s="142"/>
    </row>
    <row r="152" spans="1:4" ht="15.75" customHeight="1" outlineLevel="1" x14ac:dyDescent="0.25">
      <c r="A152" s="140" t="s">
        <v>25</v>
      </c>
      <c r="B152" s="141" t="s">
        <v>200</v>
      </c>
      <c r="C152" s="140">
        <v>5.24</v>
      </c>
      <c r="D152" s="142"/>
    </row>
    <row r="153" spans="1:4" ht="15.75" customHeight="1" outlineLevel="1" x14ac:dyDescent="0.25">
      <c r="A153" s="140" t="s">
        <v>25</v>
      </c>
      <c r="B153" s="141" t="s">
        <v>55</v>
      </c>
      <c r="C153" s="140">
        <v>5.26</v>
      </c>
      <c r="D153" s="142"/>
    </row>
    <row r="154" spans="1:4" ht="15.75" customHeight="1" outlineLevel="1" x14ac:dyDescent="0.25">
      <c r="A154" s="140" t="s">
        <v>25</v>
      </c>
      <c r="B154" s="141" t="s">
        <v>56</v>
      </c>
      <c r="C154" s="140">
        <v>5.27</v>
      </c>
      <c r="D154" s="142"/>
    </row>
    <row r="155" spans="1:4" ht="15.75" customHeight="1" outlineLevel="1" x14ac:dyDescent="0.25">
      <c r="A155" s="140" t="s">
        <v>25</v>
      </c>
      <c r="B155" s="141" t="s">
        <v>94</v>
      </c>
      <c r="C155" s="140">
        <v>5.28</v>
      </c>
      <c r="D155" s="142"/>
    </row>
    <row r="156" spans="1:4" ht="15.75" customHeight="1" outlineLevel="1" x14ac:dyDescent="0.25">
      <c r="A156" s="140" t="s">
        <v>25</v>
      </c>
      <c r="B156" s="141" t="s">
        <v>95</v>
      </c>
      <c r="C156" s="143">
        <v>5.3</v>
      </c>
      <c r="D156" s="142"/>
    </row>
    <row r="157" spans="1:4" ht="15.75" customHeight="1" outlineLevel="1" x14ac:dyDescent="0.25">
      <c r="A157" s="140" t="s">
        <v>25</v>
      </c>
      <c r="B157" s="141" t="s">
        <v>1120</v>
      </c>
      <c r="C157" s="140">
        <v>5.32</v>
      </c>
      <c r="D157" s="142"/>
    </row>
    <row r="158" spans="1:4" ht="15.75" customHeight="1" outlineLevel="1" x14ac:dyDescent="0.25">
      <c r="A158" s="140" t="s">
        <v>25</v>
      </c>
      <c r="B158" s="141" t="s">
        <v>57</v>
      </c>
      <c r="C158" s="140">
        <v>5.36</v>
      </c>
      <c r="D158" s="142"/>
    </row>
    <row r="159" spans="1:4" ht="15.75" customHeight="1" outlineLevel="1" x14ac:dyDescent="0.25">
      <c r="A159" s="140" t="s">
        <v>25</v>
      </c>
      <c r="B159" s="141" t="s">
        <v>60</v>
      </c>
      <c r="C159" s="140">
        <v>5.53</v>
      </c>
      <c r="D159" s="142"/>
    </row>
    <row r="160" spans="1:4" ht="15.75" customHeight="1" outlineLevel="1" x14ac:dyDescent="0.25">
      <c r="A160" s="140" t="s">
        <v>25</v>
      </c>
      <c r="B160" s="141" t="s">
        <v>101</v>
      </c>
      <c r="C160" s="140">
        <v>5.58</v>
      </c>
      <c r="D160" s="142"/>
    </row>
    <row r="161" spans="1:5" ht="15.75" customHeight="1" outlineLevel="1" x14ac:dyDescent="0.25">
      <c r="A161" s="140" t="s">
        <v>25</v>
      </c>
      <c r="B161" s="141" t="s">
        <v>62</v>
      </c>
      <c r="C161" s="140">
        <v>5.54</v>
      </c>
      <c r="D161" s="142"/>
    </row>
    <row r="162" spans="1:5" ht="15.75" customHeight="1" outlineLevel="1" x14ac:dyDescent="0.25">
      <c r="A162" s="140" t="s">
        <v>25</v>
      </c>
      <c r="B162" s="141" t="s">
        <v>102</v>
      </c>
      <c r="C162" s="140">
        <v>5.55</v>
      </c>
      <c r="D162" s="142"/>
    </row>
    <row r="163" spans="1:5" ht="15.75" customHeight="1" outlineLevel="1" x14ac:dyDescent="0.25">
      <c r="A163" s="140" t="s">
        <v>25</v>
      </c>
      <c r="B163" s="141" t="s">
        <v>100</v>
      </c>
      <c r="C163" s="140">
        <v>5.62</v>
      </c>
      <c r="D163" s="142"/>
      <c r="E163" t="s">
        <v>3073</v>
      </c>
    </row>
    <row r="164" spans="1:5" ht="15.75" customHeight="1" outlineLevel="1" x14ac:dyDescent="0.25">
      <c r="A164" s="140" t="s">
        <v>25</v>
      </c>
      <c r="B164" s="141" t="s">
        <v>64</v>
      </c>
      <c r="C164" s="140">
        <v>5.63</v>
      </c>
      <c r="D164" s="142"/>
    </row>
    <row r="165" spans="1:5" ht="15.75" customHeight="1" outlineLevel="1" x14ac:dyDescent="0.25">
      <c r="A165" s="140" t="s">
        <v>25</v>
      </c>
      <c r="B165" s="141" t="s">
        <v>104</v>
      </c>
      <c r="C165" s="140">
        <v>5.45</v>
      </c>
      <c r="D165" s="142"/>
    </row>
    <row r="166" spans="1:5" ht="15.75" customHeight="1" outlineLevel="1" x14ac:dyDescent="0.25">
      <c r="A166" s="140" t="s">
        <v>25</v>
      </c>
      <c r="B166" s="141" t="s">
        <v>65</v>
      </c>
      <c r="C166" s="140">
        <v>5.47</v>
      </c>
      <c r="D166" s="142"/>
    </row>
    <row r="167" spans="1:5" ht="15.75" customHeight="1" outlineLevel="1" x14ac:dyDescent="0.25">
      <c r="A167" s="140" t="s">
        <v>25</v>
      </c>
      <c r="B167" s="141" t="s">
        <v>66</v>
      </c>
      <c r="C167" s="140">
        <v>5.48</v>
      </c>
      <c r="D167" s="142"/>
    </row>
    <row r="168" spans="1:5" ht="15.75" customHeight="1" x14ac:dyDescent="0.25">
      <c r="A168" s="145" t="s">
        <v>25</v>
      </c>
      <c r="B168" s="141"/>
      <c r="C168" s="140"/>
      <c r="D168" s="142"/>
    </row>
    <row r="169" spans="1:5" ht="15.75" customHeight="1" outlineLevel="1" x14ac:dyDescent="0.25">
      <c r="A169" s="140" t="s">
        <v>26</v>
      </c>
      <c r="B169" s="141" t="s">
        <v>50</v>
      </c>
      <c r="C169" s="140">
        <v>5.0999999999999996</v>
      </c>
      <c r="D169" s="142"/>
    </row>
    <row r="170" spans="1:5" ht="15.75" customHeight="1" outlineLevel="1" x14ac:dyDescent="0.25">
      <c r="A170" s="140" t="s">
        <v>26</v>
      </c>
      <c r="B170" s="141" t="s">
        <v>51</v>
      </c>
      <c r="C170" s="140">
        <v>5.2</v>
      </c>
      <c r="D170" s="142"/>
    </row>
    <row r="171" spans="1:5" ht="15.75" customHeight="1" outlineLevel="1" x14ac:dyDescent="0.25">
      <c r="A171" s="140" t="s">
        <v>26</v>
      </c>
      <c r="B171" s="141" t="s">
        <v>91</v>
      </c>
      <c r="C171" s="140">
        <v>5.3</v>
      </c>
      <c r="D171" s="142"/>
    </row>
    <row r="172" spans="1:5" ht="15.75" customHeight="1" outlineLevel="1" x14ac:dyDescent="0.25">
      <c r="A172" s="140" t="s">
        <v>26</v>
      </c>
      <c r="B172" s="141" t="s">
        <v>198</v>
      </c>
      <c r="C172" s="140">
        <v>5.6</v>
      </c>
      <c r="D172" s="142"/>
    </row>
    <row r="173" spans="1:5" ht="15.75" customHeight="1" outlineLevel="1" x14ac:dyDescent="0.25">
      <c r="A173" s="140" t="s">
        <v>26</v>
      </c>
      <c r="B173" s="141" t="s">
        <v>3070</v>
      </c>
      <c r="C173" s="143">
        <v>5.0999999999999996</v>
      </c>
      <c r="D173" s="142"/>
    </row>
    <row r="174" spans="1:5" ht="15.75" customHeight="1" outlineLevel="1" x14ac:dyDescent="0.25">
      <c r="A174" s="140" t="s">
        <v>26</v>
      </c>
      <c r="B174" s="141" t="s">
        <v>1333</v>
      </c>
      <c r="C174" s="140">
        <v>5.14</v>
      </c>
      <c r="D174" s="142"/>
    </row>
    <row r="175" spans="1:5" ht="15.75" customHeight="1" outlineLevel="1" x14ac:dyDescent="0.25">
      <c r="A175" s="140" t="s">
        <v>26</v>
      </c>
      <c r="B175" s="141" t="s">
        <v>93</v>
      </c>
      <c r="C175" s="140">
        <v>5.19</v>
      </c>
      <c r="D175" s="142"/>
    </row>
    <row r="176" spans="1:5" ht="15.75" customHeight="1" outlineLevel="1" x14ac:dyDescent="0.25">
      <c r="A176" s="140" t="s">
        <v>26</v>
      </c>
      <c r="B176" s="141" t="s">
        <v>200</v>
      </c>
      <c r="C176" s="140">
        <v>5.24</v>
      </c>
      <c r="D176" s="142"/>
    </row>
    <row r="177" spans="1:4" ht="15.75" customHeight="1" outlineLevel="1" x14ac:dyDescent="0.25">
      <c r="A177" s="140" t="s">
        <v>26</v>
      </c>
      <c r="B177" s="141" t="s">
        <v>55</v>
      </c>
      <c r="C177" s="140">
        <v>5.26</v>
      </c>
      <c r="D177" s="142"/>
    </row>
    <row r="178" spans="1:4" ht="15.75" customHeight="1" outlineLevel="1" x14ac:dyDescent="0.25">
      <c r="A178" s="140" t="s">
        <v>26</v>
      </c>
      <c r="B178" s="141" t="s">
        <v>56</v>
      </c>
      <c r="C178" s="140">
        <v>5.27</v>
      </c>
      <c r="D178" s="142"/>
    </row>
    <row r="179" spans="1:4" ht="15.75" customHeight="1" outlineLevel="1" x14ac:dyDescent="0.25">
      <c r="A179" s="140" t="s">
        <v>26</v>
      </c>
      <c r="B179" s="141" t="s">
        <v>94</v>
      </c>
      <c r="C179" s="140">
        <v>5.28</v>
      </c>
      <c r="D179" s="142"/>
    </row>
    <row r="180" spans="1:4" ht="15.75" customHeight="1" outlineLevel="1" x14ac:dyDescent="0.25">
      <c r="A180" s="140" t="s">
        <v>26</v>
      </c>
      <c r="B180" s="141" t="s">
        <v>207</v>
      </c>
      <c r="C180" s="140">
        <v>5.29</v>
      </c>
      <c r="D180" s="142"/>
    </row>
    <row r="181" spans="1:4" ht="15.75" customHeight="1" outlineLevel="1" x14ac:dyDescent="0.25">
      <c r="A181" s="140" t="s">
        <v>26</v>
      </c>
      <c r="B181" s="141" t="s">
        <v>95</v>
      </c>
      <c r="C181" s="143">
        <v>5.3</v>
      </c>
      <c r="D181" s="142"/>
    </row>
    <row r="182" spans="1:4" ht="15.75" customHeight="1" outlineLevel="1" x14ac:dyDescent="0.25">
      <c r="A182" s="140" t="s">
        <v>26</v>
      </c>
      <c r="B182" s="141" t="s">
        <v>1120</v>
      </c>
      <c r="C182" s="140">
        <v>5.32</v>
      </c>
      <c r="D182" s="142"/>
    </row>
    <row r="183" spans="1:4" ht="15.75" customHeight="1" outlineLevel="1" x14ac:dyDescent="0.25">
      <c r="A183" s="140" t="s">
        <v>26</v>
      </c>
      <c r="B183" s="141" t="s">
        <v>57</v>
      </c>
      <c r="C183" s="140">
        <v>5.36</v>
      </c>
      <c r="D183" s="142"/>
    </row>
    <row r="184" spans="1:4" ht="15.75" customHeight="1" outlineLevel="1" x14ac:dyDescent="0.25">
      <c r="A184" s="140" t="s">
        <v>26</v>
      </c>
      <c r="B184" s="141" t="s">
        <v>60</v>
      </c>
      <c r="C184" s="140">
        <v>5.53</v>
      </c>
      <c r="D184" s="142"/>
    </row>
    <row r="185" spans="1:4" ht="15.75" customHeight="1" outlineLevel="1" x14ac:dyDescent="0.25">
      <c r="A185" s="140" t="s">
        <v>26</v>
      </c>
      <c r="B185" s="141" t="s">
        <v>101</v>
      </c>
      <c r="C185" s="140">
        <v>5.58</v>
      </c>
      <c r="D185" s="142"/>
    </row>
    <row r="186" spans="1:4" ht="15.75" customHeight="1" outlineLevel="1" x14ac:dyDescent="0.25">
      <c r="A186" s="140" t="s">
        <v>26</v>
      </c>
      <c r="B186" s="141" t="s">
        <v>62</v>
      </c>
      <c r="C186" s="140">
        <v>5.54</v>
      </c>
      <c r="D186" s="142"/>
    </row>
    <row r="187" spans="1:4" ht="15.75" customHeight="1" outlineLevel="1" x14ac:dyDescent="0.25">
      <c r="A187" s="140" t="s">
        <v>26</v>
      </c>
      <c r="B187" s="141" t="s">
        <v>102</v>
      </c>
      <c r="C187" s="140">
        <v>5.55</v>
      </c>
      <c r="D187" s="142"/>
    </row>
    <row r="188" spans="1:4" ht="15.75" customHeight="1" outlineLevel="1" x14ac:dyDescent="0.25">
      <c r="A188" s="140" t="s">
        <v>26</v>
      </c>
      <c r="B188" s="141" t="s">
        <v>64</v>
      </c>
      <c r="C188" s="140">
        <v>5.63</v>
      </c>
      <c r="D188" s="142"/>
    </row>
    <row r="189" spans="1:4" ht="15.75" customHeight="1" outlineLevel="1" x14ac:dyDescent="0.25">
      <c r="A189" s="140" t="s">
        <v>26</v>
      </c>
      <c r="B189" s="141" t="s">
        <v>104</v>
      </c>
      <c r="C189" s="140">
        <v>5.45</v>
      </c>
      <c r="D189" s="142"/>
    </row>
    <row r="190" spans="1:4" ht="15.75" customHeight="1" outlineLevel="1" x14ac:dyDescent="0.25">
      <c r="A190" s="140" t="s">
        <v>26</v>
      </c>
      <c r="B190" s="141" t="s">
        <v>65</v>
      </c>
      <c r="C190" s="140">
        <v>5.47</v>
      </c>
      <c r="D190" s="142"/>
    </row>
    <row r="191" spans="1:4" ht="15.75" customHeight="1" outlineLevel="1" x14ac:dyDescent="0.25">
      <c r="A191" s="140" t="s">
        <v>26</v>
      </c>
      <c r="B191" s="141" t="s">
        <v>66</v>
      </c>
      <c r="C191" s="140">
        <v>5.48</v>
      </c>
      <c r="D191" s="142"/>
    </row>
    <row r="192" spans="1:4" ht="15.75" customHeight="1" x14ac:dyDescent="0.25">
      <c r="A192" s="145" t="s">
        <v>26</v>
      </c>
      <c r="B192" s="141"/>
      <c r="C192" s="140"/>
      <c r="D192" s="142"/>
    </row>
    <row r="193" spans="1:4" ht="15.75" customHeight="1" outlineLevel="1" x14ac:dyDescent="0.25">
      <c r="A193" s="140" t="s">
        <v>27</v>
      </c>
      <c r="B193" s="141" t="s">
        <v>50</v>
      </c>
      <c r="C193" s="140">
        <v>5.0999999999999996</v>
      </c>
      <c r="D193" s="142"/>
    </row>
    <row r="194" spans="1:4" ht="15.75" customHeight="1" outlineLevel="1" x14ac:dyDescent="0.25">
      <c r="A194" s="140" t="s">
        <v>27</v>
      </c>
      <c r="B194" s="141" t="s">
        <v>51</v>
      </c>
      <c r="C194" s="140">
        <v>5.2</v>
      </c>
      <c r="D194" s="142"/>
    </row>
    <row r="195" spans="1:4" ht="15.75" customHeight="1" outlineLevel="1" x14ac:dyDescent="0.25">
      <c r="A195" s="140" t="s">
        <v>27</v>
      </c>
      <c r="B195" s="141" t="s">
        <v>91</v>
      </c>
      <c r="C195" s="140">
        <v>5.3</v>
      </c>
      <c r="D195" s="142"/>
    </row>
    <row r="196" spans="1:4" ht="15.75" customHeight="1" outlineLevel="1" x14ac:dyDescent="0.25">
      <c r="A196" s="140" t="s">
        <v>27</v>
      </c>
      <c r="B196" s="141" t="s">
        <v>198</v>
      </c>
      <c r="C196" s="140">
        <v>5.6</v>
      </c>
      <c r="D196" s="142"/>
    </row>
    <row r="197" spans="1:4" ht="15.75" customHeight="1" outlineLevel="1" x14ac:dyDescent="0.25">
      <c r="A197" s="140" t="s">
        <v>27</v>
      </c>
      <c r="B197" s="141" t="s">
        <v>3070</v>
      </c>
      <c r="C197" s="143">
        <v>5.0999999999999996</v>
      </c>
      <c r="D197" s="142"/>
    </row>
    <row r="198" spans="1:4" ht="15.75" customHeight="1" outlineLevel="1" x14ac:dyDescent="0.25">
      <c r="A198" s="140" t="s">
        <v>27</v>
      </c>
      <c r="B198" s="141" t="s">
        <v>1333</v>
      </c>
      <c r="C198" s="140">
        <v>5.14</v>
      </c>
      <c r="D198" s="142"/>
    </row>
    <row r="199" spans="1:4" ht="15.75" customHeight="1" outlineLevel="1" x14ac:dyDescent="0.25">
      <c r="A199" s="140" t="s">
        <v>27</v>
      </c>
      <c r="B199" s="141" t="s">
        <v>93</v>
      </c>
      <c r="C199" s="140">
        <v>5.19</v>
      </c>
      <c r="D199" s="142"/>
    </row>
    <row r="200" spans="1:4" ht="15.75" customHeight="1" outlineLevel="1" x14ac:dyDescent="0.25">
      <c r="A200" s="140" t="s">
        <v>27</v>
      </c>
      <c r="B200" s="141" t="s">
        <v>200</v>
      </c>
      <c r="C200" s="140">
        <v>5.24</v>
      </c>
      <c r="D200" s="142"/>
    </row>
    <row r="201" spans="1:4" ht="15.75" customHeight="1" outlineLevel="1" x14ac:dyDescent="0.25">
      <c r="A201" s="140" t="s">
        <v>27</v>
      </c>
      <c r="B201" s="141" t="s">
        <v>56</v>
      </c>
      <c r="C201" s="140">
        <v>5.27</v>
      </c>
      <c r="D201" s="142"/>
    </row>
    <row r="202" spans="1:4" ht="15.75" customHeight="1" outlineLevel="1" x14ac:dyDescent="0.25">
      <c r="A202" s="140" t="s">
        <v>27</v>
      </c>
      <c r="B202" s="141" t="s">
        <v>94</v>
      </c>
      <c r="C202" s="140">
        <v>5.28</v>
      </c>
      <c r="D202" s="142"/>
    </row>
    <row r="203" spans="1:4" ht="15.75" customHeight="1" outlineLevel="1" x14ac:dyDescent="0.25">
      <c r="A203" s="140" t="s">
        <v>27</v>
      </c>
      <c r="B203" s="141" t="s">
        <v>207</v>
      </c>
      <c r="C203" s="140">
        <v>5.29</v>
      </c>
      <c r="D203" s="142"/>
    </row>
    <row r="204" spans="1:4" ht="15.75" customHeight="1" outlineLevel="1" x14ac:dyDescent="0.25">
      <c r="A204" s="140" t="s">
        <v>27</v>
      </c>
      <c r="B204" s="141" t="s">
        <v>95</v>
      </c>
      <c r="C204" s="143">
        <v>5.3</v>
      </c>
      <c r="D204" s="142"/>
    </row>
    <row r="205" spans="1:4" ht="15.75" customHeight="1" outlineLevel="1" x14ac:dyDescent="0.25">
      <c r="A205" s="140" t="s">
        <v>27</v>
      </c>
      <c r="B205" s="141" t="s">
        <v>1383</v>
      </c>
      <c r="C205" s="140">
        <v>5.34</v>
      </c>
      <c r="D205" s="142"/>
    </row>
    <row r="206" spans="1:4" ht="15.75" customHeight="1" outlineLevel="1" x14ac:dyDescent="0.25">
      <c r="A206" s="140" t="s">
        <v>27</v>
      </c>
      <c r="B206" s="141" t="s">
        <v>201</v>
      </c>
      <c r="C206" s="140">
        <v>5.31</v>
      </c>
      <c r="D206" s="142"/>
    </row>
    <row r="207" spans="1:4" ht="15.75" customHeight="1" outlineLevel="1" x14ac:dyDescent="0.25">
      <c r="A207" s="140" t="s">
        <v>27</v>
      </c>
      <c r="B207" s="141" t="s">
        <v>1384</v>
      </c>
      <c r="C207" s="140">
        <v>5.101</v>
      </c>
      <c r="D207" s="142"/>
    </row>
    <row r="208" spans="1:4" ht="15.75" customHeight="1" outlineLevel="1" x14ac:dyDescent="0.25">
      <c r="A208" s="140" t="s">
        <v>27</v>
      </c>
      <c r="B208" s="141" t="s">
        <v>57</v>
      </c>
      <c r="C208" s="140">
        <v>5.36</v>
      </c>
      <c r="D208" s="142"/>
    </row>
    <row r="209" spans="1:4" ht="15.75" customHeight="1" outlineLevel="1" x14ac:dyDescent="0.25">
      <c r="A209" s="140" t="s">
        <v>27</v>
      </c>
      <c r="B209" s="141" t="s">
        <v>60</v>
      </c>
      <c r="C209" s="140">
        <v>5.53</v>
      </c>
      <c r="D209" s="142"/>
    </row>
    <row r="210" spans="1:4" ht="15.75" customHeight="1" outlineLevel="1" x14ac:dyDescent="0.25">
      <c r="A210" s="140" t="s">
        <v>27</v>
      </c>
      <c r="B210" s="141" t="s">
        <v>1385</v>
      </c>
      <c r="C210" s="140">
        <v>5.1020000000000003</v>
      </c>
      <c r="D210" s="142"/>
    </row>
    <row r="211" spans="1:4" ht="15.75" customHeight="1" outlineLevel="1" x14ac:dyDescent="0.25">
      <c r="A211" s="140" t="s">
        <v>27</v>
      </c>
      <c r="B211" s="141" t="s">
        <v>1386</v>
      </c>
      <c r="C211" s="146">
        <v>5.0999999999999996</v>
      </c>
      <c r="D211" s="142"/>
    </row>
    <row r="212" spans="1:4" ht="15.75" customHeight="1" outlineLevel="1" x14ac:dyDescent="0.25">
      <c r="A212" s="140" t="s">
        <v>27</v>
      </c>
      <c r="B212" s="141" t="s">
        <v>101</v>
      </c>
      <c r="C212" s="140">
        <v>5.58</v>
      </c>
      <c r="D212" s="142"/>
    </row>
    <row r="213" spans="1:4" ht="15.75" customHeight="1" outlineLevel="1" x14ac:dyDescent="0.25">
      <c r="A213" s="140" t="s">
        <v>27</v>
      </c>
      <c r="B213" s="141" t="s">
        <v>62</v>
      </c>
      <c r="C213" s="140">
        <v>5.54</v>
      </c>
      <c r="D213" s="142"/>
    </row>
    <row r="214" spans="1:4" ht="15.75" customHeight="1" outlineLevel="1" x14ac:dyDescent="0.25">
      <c r="A214" s="140" t="s">
        <v>27</v>
      </c>
      <c r="B214" s="141" t="s">
        <v>102</v>
      </c>
      <c r="C214" s="140">
        <v>5.55</v>
      </c>
      <c r="D214" s="142"/>
    </row>
    <row r="215" spans="1:4" ht="15.75" customHeight="1" outlineLevel="1" x14ac:dyDescent="0.25">
      <c r="A215" s="140" t="s">
        <v>27</v>
      </c>
      <c r="B215" s="141" t="s">
        <v>64</v>
      </c>
      <c r="C215" s="140">
        <v>5.63</v>
      </c>
      <c r="D215" s="142"/>
    </row>
    <row r="216" spans="1:4" ht="15.75" customHeight="1" outlineLevel="1" x14ac:dyDescent="0.25">
      <c r="A216" s="140" t="s">
        <v>27</v>
      </c>
      <c r="B216" s="141" t="s">
        <v>65</v>
      </c>
      <c r="C216" s="140">
        <v>5.47</v>
      </c>
      <c r="D216" s="142"/>
    </row>
    <row r="217" spans="1:4" ht="15.75" customHeight="1" outlineLevel="1" x14ac:dyDescent="0.25">
      <c r="A217" s="140" t="s">
        <v>27</v>
      </c>
      <c r="B217" s="141" t="s">
        <v>66</v>
      </c>
      <c r="C217" s="140">
        <v>5.48</v>
      </c>
      <c r="D217" s="142"/>
    </row>
    <row r="218" spans="1:4" ht="15.75" customHeight="1" x14ac:dyDescent="0.25">
      <c r="A218" s="145" t="s">
        <v>27</v>
      </c>
      <c r="B218" s="141"/>
      <c r="C218" s="140"/>
      <c r="D218" s="142"/>
    </row>
    <row r="219" spans="1:4" ht="15.75" customHeight="1" outlineLevel="1" x14ac:dyDescent="0.25">
      <c r="A219" s="140" t="s">
        <v>28</v>
      </c>
      <c r="B219" s="141" t="s">
        <v>50</v>
      </c>
      <c r="C219" s="140">
        <v>5.0999999999999996</v>
      </c>
      <c r="D219" s="142"/>
    </row>
    <row r="220" spans="1:4" ht="15.75" customHeight="1" outlineLevel="1" x14ac:dyDescent="0.25">
      <c r="A220" s="140" t="s">
        <v>28</v>
      </c>
      <c r="B220" s="141" t="s">
        <v>51</v>
      </c>
      <c r="C220" s="140">
        <v>5.2</v>
      </c>
      <c r="D220" s="142"/>
    </row>
    <row r="221" spans="1:4" ht="15.75" customHeight="1" outlineLevel="1" x14ac:dyDescent="0.25">
      <c r="A221" s="140" t="s">
        <v>28</v>
      </c>
      <c r="B221" s="141" t="s">
        <v>91</v>
      </c>
      <c r="C221" s="140">
        <v>5.3</v>
      </c>
      <c r="D221" s="142"/>
    </row>
    <row r="222" spans="1:4" ht="15.75" customHeight="1" outlineLevel="1" x14ac:dyDescent="0.25">
      <c r="A222" s="140" t="s">
        <v>28</v>
      </c>
      <c r="B222" s="141" t="s">
        <v>198</v>
      </c>
      <c r="C222" s="140">
        <v>5.6</v>
      </c>
      <c r="D222" s="142"/>
    </row>
    <row r="223" spans="1:4" ht="15.75" customHeight="1" outlineLevel="1" x14ac:dyDescent="0.25">
      <c r="A223" s="140" t="s">
        <v>28</v>
      </c>
      <c r="B223" s="141" t="s">
        <v>3070</v>
      </c>
      <c r="C223" s="143">
        <v>5.0999999999999996</v>
      </c>
      <c r="D223" s="142"/>
    </row>
    <row r="224" spans="1:4" ht="15.75" customHeight="1" outlineLevel="1" x14ac:dyDescent="0.25">
      <c r="A224" s="140" t="s">
        <v>28</v>
      </c>
      <c r="B224" s="141" t="s">
        <v>1333</v>
      </c>
      <c r="C224" s="140">
        <v>5.14</v>
      </c>
      <c r="D224" s="142"/>
    </row>
    <row r="225" spans="1:4" ht="15.75" customHeight="1" outlineLevel="1" x14ac:dyDescent="0.25">
      <c r="A225" s="140" t="s">
        <v>28</v>
      </c>
      <c r="B225" s="141" t="s">
        <v>93</v>
      </c>
      <c r="C225" s="140">
        <v>5.19</v>
      </c>
      <c r="D225" s="142"/>
    </row>
    <row r="226" spans="1:4" ht="15.75" customHeight="1" outlineLevel="1" x14ac:dyDescent="0.25">
      <c r="A226" s="140" t="s">
        <v>28</v>
      </c>
      <c r="B226" s="141" t="s">
        <v>200</v>
      </c>
      <c r="C226" s="140">
        <v>5.24</v>
      </c>
      <c r="D226" s="142"/>
    </row>
    <row r="227" spans="1:4" ht="15.75" customHeight="1" outlineLevel="1" x14ac:dyDescent="0.25">
      <c r="A227" s="140" t="s">
        <v>28</v>
      </c>
      <c r="B227" s="141" t="s">
        <v>55</v>
      </c>
      <c r="C227" s="140">
        <v>5.26</v>
      </c>
      <c r="D227" s="142"/>
    </row>
    <row r="228" spans="1:4" ht="15.75" customHeight="1" outlineLevel="1" x14ac:dyDescent="0.25">
      <c r="A228" s="140" t="s">
        <v>28</v>
      </c>
      <c r="B228" s="141" t="s">
        <v>56</v>
      </c>
      <c r="C228" s="140">
        <v>5.27</v>
      </c>
      <c r="D228" s="142"/>
    </row>
    <row r="229" spans="1:4" ht="15.75" customHeight="1" outlineLevel="1" x14ac:dyDescent="0.25">
      <c r="A229" s="140" t="s">
        <v>28</v>
      </c>
      <c r="B229" s="141" t="s">
        <v>94</v>
      </c>
      <c r="C229" s="140">
        <v>5.28</v>
      </c>
      <c r="D229" s="142"/>
    </row>
    <row r="230" spans="1:4" ht="15.75" customHeight="1" outlineLevel="1" x14ac:dyDescent="0.25">
      <c r="A230" s="140" t="s">
        <v>28</v>
      </c>
      <c r="B230" s="141" t="s">
        <v>207</v>
      </c>
      <c r="C230" s="140">
        <v>5.29</v>
      </c>
      <c r="D230" s="142"/>
    </row>
    <row r="231" spans="1:4" ht="15.75" customHeight="1" outlineLevel="1" x14ac:dyDescent="0.25">
      <c r="A231" s="140" t="s">
        <v>28</v>
      </c>
      <c r="B231" s="141" t="s">
        <v>95</v>
      </c>
      <c r="C231" s="143">
        <v>5.3</v>
      </c>
      <c r="D231" s="142"/>
    </row>
    <row r="232" spans="1:4" ht="15.75" customHeight="1" outlineLevel="1" x14ac:dyDescent="0.25">
      <c r="A232" s="140" t="s">
        <v>28</v>
      </c>
      <c r="B232" s="141" t="s">
        <v>201</v>
      </c>
      <c r="C232" s="140">
        <v>5.31</v>
      </c>
      <c r="D232" s="142"/>
    </row>
    <row r="233" spans="1:4" ht="15.75" customHeight="1" outlineLevel="1" x14ac:dyDescent="0.25">
      <c r="A233" s="140" t="s">
        <v>28</v>
      </c>
      <c r="B233" s="141" t="s">
        <v>1389</v>
      </c>
      <c r="C233" s="140">
        <v>5.33</v>
      </c>
      <c r="D233" s="142"/>
    </row>
    <row r="234" spans="1:4" ht="15.75" customHeight="1" outlineLevel="1" x14ac:dyDescent="0.25">
      <c r="A234" s="140" t="s">
        <v>28</v>
      </c>
      <c r="B234" s="141" t="s">
        <v>1384</v>
      </c>
      <c r="C234" s="140">
        <v>5.101</v>
      </c>
      <c r="D234" s="142"/>
    </row>
    <row r="235" spans="1:4" ht="15.75" customHeight="1" outlineLevel="1" x14ac:dyDescent="0.25">
      <c r="A235" s="140" t="s">
        <v>28</v>
      </c>
      <c r="B235" s="141" t="s">
        <v>57</v>
      </c>
      <c r="C235" s="140">
        <v>5.36</v>
      </c>
      <c r="D235" s="142"/>
    </row>
    <row r="236" spans="1:4" ht="15.75" customHeight="1" outlineLevel="1" x14ac:dyDescent="0.25">
      <c r="A236" s="140" t="s">
        <v>28</v>
      </c>
      <c r="B236" s="141" t="s">
        <v>60</v>
      </c>
      <c r="C236" s="140">
        <v>5.53</v>
      </c>
      <c r="D236" s="142"/>
    </row>
    <row r="237" spans="1:4" ht="15.75" customHeight="1" outlineLevel="1" x14ac:dyDescent="0.25">
      <c r="A237" s="140" t="s">
        <v>28</v>
      </c>
      <c r="B237" s="141" t="s">
        <v>1385</v>
      </c>
      <c r="C237" s="140">
        <v>5.1020000000000003</v>
      </c>
      <c r="D237" s="142"/>
    </row>
    <row r="238" spans="1:4" ht="15.75" customHeight="1" outlineLevel="1" x14ac:dyDescent="0.25">
      <c r="A238" s="140" t="s">
        <v>28</v>
      </c>
      <c r="B238" s="141" t="s">
        <v>101</v>
      </c>
      <c r="C238" s="140">
        <v>5.58</v>
      </c>
      <c r="D238" s="142"/>
    </row>
    <row r="239" spans="1:4" ht="15.75" customHeight="1" outlineLevel="1" x14ac:dyDescent="0.25">
      <c r="A239" s="140" t="s">
        <v>28</v>
      </c>
      <c r="B239" s="141" t="s">
        <v>62</v>
      </c>
      <c r="C239" s="140">
        <v>5.54</v>
      </c>
      <c r="D239" s="142"/>
    </row>
    <row r="240" spans="1:4" ht="15.75" customHeight="1" outlineLevel="1" x14ac:dyDescent="0.25">
      <c r="A240" s="140" t="s">
        <v>28</v>
      </c>
      <c r="B240" s="141" t="s">
        <v>102</v>
      </c>
      <c r="C240" s="140">
        <v>5.55</v>
      </c>
      <c r="D240" s="142"/>
    </row>
    <row r="241" spans="1:4" ht="15.75" customHeight="1" outlineLevel="1" x14ac:dyDescent="0.25">
      <c r="A241" s="140" t="s">
        <v>28</v>
      </c>
      <c r="B241" s="141" t="s">
        <v>64</v>
      </c>
      <c r="C241" s="140">
        <v>5.63</v>
      </c>
      <c r="D241" s="142"/>
    </row>
    <row r="242" spans="1:4" ht="15.75" customHeight="1" outlineLevel="1" x14ac:dyDescent="0.25">
      <c r="A242" s="140" t="s">
        <v>28</v>
      </c>
      <c r="B242" s="141" t="s">
        <v>65</v>
      </c>
      <c r="C242" s="140">
        <v>5.47</v>
      </c>
      <c r="D242" s="142"/>
    </row>
    <row r="243" spans="1:4" ht="15.75" customHeight="1" outlineLevel="1" x14ac:dyDescent="0.25">
      <c r="A243" s="140" t="s">
        <v>28</v>
      </c>
      <c r="B243" s="141" t="s">
        <v>66</v>
      </c>
      <c r="C243" s="140">
        <v>5.48</v>
      </c>
      <c r="D243" s="142"/>
    </row>
    <row r="244" spans="1:4" ht="15.75" customHeight="1" x14ac:dyDescent="0.25">
      <c r="A244" s="145" t="s">
        <v>28</v>
      </c>
      <c r="B244" s="141"/>
      <c r="C244" s="140"/>
      <c r="D244" s="142"/>
    </row>
    <row r="245" spans="1:4" ht="15.75" customHeight="1" outlineLevel="1" x14ac:dyDescent="0.25">
      <c r="A245" s="140" t="s">
        <v>29</v>
      </c>
      <c r="B245" s="141" t="s">
        <v>50</v>
      </c>
      <c r="C245" s="140">
        <v>5.0999999999999996</v>
      </c>
      <c r="D245" s="142"/>
    </row>
    <row r="246" spans="1:4" ht="15.75" customHeight="1" outlineLevel="1" x14ac:dyDescent="0.25">
      <c r="A246" s="140" t="s">
        <v>29</v>
      </c>
      <c r="B246" s="141" t="s">
        <v>51</v>
      </c>
      <c r="C246" s="140">
        <v>5.2</v>
      </c>
      <c r="D246" s="142"/>
    </row>
    <row r="247" spans="1:4" ht="15.75" customHeight="1" outlineLevel="1" x14ac:dyDescent="0.25">
      <c r="A247" s="140" t="s">
        <v>29</v>
      </c>
      <c r="B247" s="141" t="s">
        <v>91</v>
      </c>
      <c r="C247" s="140">
        <v>5.3</v>
      </c>
      <c r="D247" s="142"/>
    </row>
    <row r="248" spans="1:4" ht="15.75" customHeight="1" outlineLevel="1" x14ac:dyDescent="0.25">
      <c r="A248" s="140" t="s">
        <v>29</v>
      </c>
      <c r="B248" s="141" t="s">
        <v>198</v>
      </c>
      <c r="C248" s="140">
        <v>5.6</v>
      </c>
      <c r="D248" s="142"/>
    </row>
    <row r="249" spans="1:4" ht="15.75" customHeight="1" outlineLevel="1" x14ac:dyDescent="0.25">
      <c r="A249" s="140" t="s">
        <v>29</v>
      </c>
      <c r="B249" s="141" t="s">
        <v>3070</v>
      </c>
      <c r="C249" s="143">
        <v>5.0999999999999996</v>
      </c>
      <c r="D249" s="142"/>
    </row>
    <row r="250" spans="1:4" ht="15.75" customHeight="1" outlineLevel="1" x14ac:dyDescent="0.25">
      <c r="A250" s="140" t="s">
        <v>29</v>
      </c>
      <c r="B250" s="141" t="s">
        <v>1333</v>
      </c>
      <c r="C250" s="140">
        <v>5.14</v>
      </c>
      <c r="D250" s="142"/>
    </row>
    <row r="251" spans="1:4" ht="15.75" customHeight="1" outlineLevel="1" x14ac:dyDescent="0.25">
      <c r="A251" s="140" t="s">
        <v>29</v>
      </c>
      <c r="B251" s="141" t="s">
        <v>93</v>
      </c>
      <c r="C251" s="140">
        <v>5.19</v>
      </c>
      <c r="D251" s="142"/>
    </row>
    <row r="252" spans="1:4" ht="15.75" customHeight="1" outlineLevel="1" x14ac:dyDescent="0.25">
      <c r="A252" s="140" t="s">
        <v>29</v>
      </c>
      <c r="B252" s="141" t="s">
        <v>200</v>
      </c>
      <c r="C252" s="140">
        <v>5.24</v>
      </c>
      <c r="D252" s="142"/>
    </row>
    <row r="253" spans="1:4" ht="15.75" customHeight="1" outlineLevel="1" x14ac:dyDescent="0.25">
      <c r="A253" s="140" t="s">
        <v>29</v>
      </c>
      <c r="B253" s="141" t="s">
        <v>56</v>
      </c>
      <c r="C253" s="140">
        <v>5.27</v>
      </c>
      <c r="D253" s="142"/>
    </row>
    <row r="254" spans="1:4" ht="15.75" customHeight="1" outlineLevel="1" x14ac:dyDescent="0.25">
      <c r="A254" s="140" t="s">
        <v>29</v>
      </c>
      <c r="B254" s="141" t="s">
        <v>94</v>
      </c>
      <c r="C254" s="140">
        <v>5.28</v>
      </c>
      <c r="D254" s="142"/>
    </row>
    <row r="255" spans="1:4" ht="15.75" customHeight="1" outlineLevel="1" x14ac:dyDescent="0.25">
      <c r="A255" s="140" t="s">
        <v>29</v>
      </c>
      <c r="B255" s="141" t="s">
        <v>95</v>
      </c>
      <c r="C255" s="143">
        <v>5.3</v>
      </c>
      <c r="D255" s="142"/>
    </row>
    <row r="256" spans="1:4" ht="15.75" customHeight="1" outlineLevel="1" x14ac:dyDescent="0.25">
      <c r="A256" s="140" t="s">
        <v>29</v>
      </c>
      <c r="B256" s="141" t="s">
        <v>1389</v>
      </c>
      <c r="C256" s="140">
        <v>5.33</v>
      </c>
      <c r="D256" s="142"/>
    </row>
    <row r="257" spans="1:4" ht="15.75" customHeight="1" outlineLevel="1" x14ac:dyDescent="0.25">
      <c r="A257" s="140" t="s">
        <v>29</v>
      </c>
      <c r="B257" s="141" t="s">
        <v>57</v>
      </c>
      <c r="C257" s="140">
        <v>5.36</v>
      </c>
      <c r="D257" s="142"/>
    </row>
    <row r="258" spans="1:4" ht="15.75" customHeight="1" outlineLevel="1" x14ac:dyDescent="0.25">
      <c r="A258" s="140" t="s">
        <v>29</v>
      </c>
      <c r="B258" s="141" t="s">
        <v>60</v>
      </c>
      <c r="C258" s="140">
        <v>5.53</v>
      </c>
      <c r="D258" s="142"/>
    </row>
    <row r="259" spans="1:4" ht="15.75" customHeight="1" outlineLevel="1" x14ac:dyDescent="0.25">
      <c r="A259" s="140" t="s">
        <v>29</v>
      </c>
      <c r="B259" s="141" t="s">
        <v>101</v>
      </c>
      <c r="C259" s="140">
        <v>5.58</v>
      </c>
      <c r="D259" s="142"/>
    </row>
    <row r="260" spans="1:4" ht="15.75" customHeight="1" outlineLevel="1" x14ac:dyDescent="0.25">
      <c r="A260" s="140" t="s">
        <v>29</v>
      </c>
      <c r="B260" s="141" t="s">
        <v>62</v>
      </c>
      <c r="C260" s="140">
        <v>5.54</v>
      </c>
      <c r="D260" s="142"/>
    </row>
    <row r="261" spans="1:4" ht="15.75" customHeight="1" outlineLevel="1" x14ac:dyDescent="0.25">
      <c r="A261" s="140" t="s">
        <v>29</v>
      </c>
      <c r="B261" s="141" t="s">
        <v>102</v>
      </c>
      <c r="C261" s="140">
        <v>5.55</v>
      </c>
      <c r="D261" s="142"/>
    </row>
    <row r="262" spans="1:4" ht="15.75" customHeight="1" outlineLevel="1" x14ac:dyDescent="0.25">
      <c r="A262" s="140" t="s">
        <v>29</v>
      </c>
      <c r="B262" s="141" t="s">
        <v>64</v>
      </c>
      <c r="C262" s="140">
        <v>5.63</v>
      </c>
      <c r="D262" s="142"/>
    </row>
    <row r="263" spans="1:4" ht="15.75" customHeight="1" outlineLevel="1" x14ac:dyDescent="0.25">
      <c r="A263" s="140" t="s">
        <v>29</v>
      </c>
      <c r="B263" s="141" t="s">
        <v>65</v>
      </c>
      <c r="C263" s="140">
        <v>5.47</v>
      </c>
      <c r="D263" s="142"/>
    </row>
    <row r="264" spans="1:4" ht="15.75" customHeight="1" outlineLevel="1" x14ac:dyDescent="0.25">
      <c r="A264" s="140" t="s">
        <v>29</v>
      </c>
      <c r="B264" s="141" t="s">
        <v>66</v>
      </c>
      <c r="C264" s="140">
        <v>5.48</v>
      </c>
      <c r="D264" s="142"/>
    </row>
    <row r="265" spans="1:4" ht="15.75" customHeight="1" x14ac:dyDescent="0.25">
      <c r="A265" s="145" t="s">
        <v>29</v>
      </c>
      <c r="B265" s="141"/>
      <c r="C265" s="140"/>
      <c r="D265" s="142"/>
    </row>
    <row r="266" spans="1:4" ht="15.75" customHeight="1" outlineLevel="1" x14ac:dyDescent="0.25">
      <c r="A266" s="140" t="s">
        <v>30</v>
      </c>
      <c r="B266" s="141" t="s">
        <v>50</v>
      </c>
      <c r="C266" s="140">
        <v>5.0999999999999996</v>
      </c>
      <c r="D266" s="142"/>
    </row>
    <row r="267" spans="1:4" ht="15.75" customHeight="1" outlineLevel="1" x14ac:dyDescent="0.25">
      <c r="A267" s="140" t="s">
        <v>30</v>
      </c>
      <c r="B267" s="141" t="s">
        <v>51</v>
      </c>
      <c r="C267" s="140">
        <v>5.2</v>
      </c>
      <c r="D267" s="142"/>
    </row>
    <row r="268" spans="1:4" ht="15.75" customHeight="1" outlineLevel="1" x14ac:dyDescent="0.25">
      <c r="A268" s="140" t="s">
        <v>30</v>
      </c>
      <c r="B268" s="141" t="s">
        <v>91</v>
      </c>
      <c r="C268" s="140">
        <v>5.3</v>
      </c>
      <c r="D268" s="142"/>
    </row>
    <row r="269" spans="1:4" ht="15.75" customHeight="1" outlineLevel="1" x14ac:dyDescent="0.25">
      <c r="A269" s="140" t="s">
        <v>30</v>
      </c>
      <c r="B269" s="141" t="s">
        <v>198</v>
      </c>
      <c r="C269" s="140">
        <v>5.6</v>
      </c>
      <c r="D269" s="142"/>
    </row>
    <row r="270" spans="1:4" ht="15.75" customHeight="1" outlineLevel="1" x14ac:dyDescent="0.25">
      <c r="A270" s="140" t="s">
        <v>30</v>
      </c>
      <c r="B270" s="141" t="s">
        <v>3070</v>
      </c>
      <c r="C270" s="143">
        <v>5.0999999999999996</v>
      </c>
      <c r="D270" s="142"/>
    </row>
    <row r="271" spans="1:4" ht="15.75" customHeight="1" outlineLevel="1" x14ac:dyDescent="0.25">
      <c r="A271" s="140" t="s">
        <v>30</v>
      </c>
      <c r="B271" s="141" t="s">
        <v>1333</v>
      </c>
      <c r="C271" s="140">
        <v>5.14</v>
      </c>
      <c r="D271" s="142"/>
    </row>
    <row r="272" spans="1:4" ht="15.75" customHeight="1" outlineLevel="1" x14ac:dyDescent="0.25">
      <c r="A272" s="140" t="s">
        <v>30</v>
      </c>
      <c r="B272" s="141" t="s">
        <v>93</v>
      </c>
      <c r="C272" s="140">
        <v>5.19</v>
      </c>
      <c r="D272" s="142"/>
    </row>
    <row r="273" spans="1:4" ht="15.75" customHeight="1" outlineLevel="1" x14ac:dyDescent="0.25">
      <c r="A273" s="140" t="s">
        <v>30</v>
      </c>
      <c r="B273" s="141" t="s">
        <v>200</v>
      </c>
      <c r="C273" s="140">
        <v>5.24</v>
      </c>
      <c r="D273" s="142"/>
    </row>
    <row r="274" spans="1:4" ht="15.75" customHeight="1" outlineLevel="1" x14ac:dyDescent="0.25">
      <c r="A274" s="140" t="s">
        <v>30</v>
      </c>
      <c r="B274" s="141" t="s">
        <v>55</v>
      </c>
      <c r="C274" s="140">
        <v>5.26</v>
      </c>
      <c r="D274" s="142"/>
    </row>
    <row r="275" spans="1:4" ht="15.75" customHeight="1" outlineLevel="1" x14ac:dyDescent="0.25">
      <c r="A275" s="140" t="s">
        <v>30</v>
      </c>
      <c r="B275" s="141" t="s">
        <v>56</v>
      </c>
      <c r="C275" s="140">
        <v>5.27</v>
      </c>
      <c r="D275" s="142"/>
    </row>
    <row r="276" spans="1:4" ht="15.75" customHeight="1" outlineLevel="1" x14ac:dyDescent="0.25">
      <c r="A276" s="140" t="s">
        <v>30</v>
      </c>
      <c r="B276" s="141" t="s">
        <v>94</v>
      </c>
      <c r="C276" s="140">
        <v>5.28</v>
      </c>
      <c r="D276" s="142"/>
    </row>
    <row r="277" spans="1:4" ht="15.75" customHeight="1" outlineLevel="1" x14ac:dyDescent="0.25">
      <c r="A277" s="140" t="s">
        <v>30</v>
      </c>
      <c r="B277" s="141" t="s">
        <v>207</v>
      </c>
      <c r="C277" s="140">
        <v>5.29</v>
      </c>
      <c r="D277" s="142"/>
    </row>
    <row r="278" spans="1:4" ht="15.75" customHeight="1" outlineLevel="1" x14ac:dyDescent="0.25">
      <c r="A278" s="140" t="s">
        <v>30</v>
      </c>
      <c r="B278" s="141" t="s">
        <v>95</v>
      </c>
      <c r="C278" s="143">
        <v>5.3</v>
      </c>
      <c r="D278" s="142"/>
    </row>
    <row r="279" spans="1:4" ht="15.75" customHeight="1" outlineLevel="1" x14ac:dyDescent="0.25">
      <c r="A279" s="140" t="s">
        <v>30</v>
      </c>
      <c r="B279" s="141" t="s">
        <v>1389</v>
      </c>
      <c r="C279" s="140">
        <v>5.33</v>
      </c>
      <c r="D279" s="142"/>
    </row>
    <row r="280" spans="1:4" ht="15.75" customHeight="1" outlineLevel="1" x14ac:dyDescent="0.25">
      <c r="A280" s="140" t="s">
        <v>30</v>
      </c>
      <c r="B280" s="141" t="s">
        <v>57</v>
      </c>
      <c r="C280" s="140">
        <v>5.36</v>
      </c>
      <c r="D280" s="142"/>
    </row>
    <row r="281" spans="1:4" ht="15.75" customHeight="1" outlineLevel="1" x14ac:dyDescent="0.25">
      <c r="A281" s="140" t="s">
        <v>30</v>
      </c>
      <c r="B281" s="141" t="s">
        <v>97</v>
      </c>
      <c r="C281" s="140">
        <v>5.69</v>
      </c>
      <c r="D281" s="142"/>
    </row>
    <row r="282" spans="1:4" ht="15.75" customHeight="1" outlineLevel="1" x14ac:dyDescent="0.25">
      <c r="A282" s="140" t="s">
        <v>30</v>
      </c>
      <c r="B282" s="141" t="s">
        <v>63</v>
      </c>
      <c r="C282" s="143">
        <v>5.7</v>
      </c>
      <c r="D282" s="142"/>
    </row>
    <row r="283" spans="1:4" ht="15.75" customHeight="1" outlineLevel="1" x14ac:dyDescent="0.25">
      <c r="A283" s="140" t="s">
        <v>30</v>
      </c>
      <c r="B283" s="141" t="s">
        <v>99</v>
      </c>
      <c r="C283" s="140">
        <v>5.74</v>
      </c>
      <c r="D283" s="142"/>
    </row>
    <row r="284" spans="1:4" ht="15.75" customHeight="1" outlineLevel="1" x14ac:dyDescent="0.25">
      <c r="A284" s="140" t="s">
        <v>30</v>
      </c>
      <c r="B284" s="141" t="s">
        <v>96</v>
      </c>
      <c r="C284" s="140">
        <v>5.49</v>
      </c>
      <c r="D284" s="142"/>
    </row>
    <row r="285" spans="1:4" ht="15.75" customHeight="1" outlineLevel="1" x14ac:dyDescent="0.25">
      <c r="A285" s="140" t="s">
        <v>30</v>
      </c>
      <c r="B285" s="141" t="s">
        <v>59</v>
      </c>
      <c r="C285" s="140">
        <v>5.51</v>
      </c>
      <c r="D285" s="142"/>
    </row>
    <row r="286" spans="1:4" ht="15.75" customHeight="1" outlineLevel="1" x14ac:dyDescent="0.25">
      <c r="A286" s="140" t="s">
        <v>30</v>
      </c>
      <c r="B286" s="141" t="s">
        <v>3071</v>
      </c>
      <c r="C286" s="140">
        <v>5.52</v>
      </c>
      <c r="D286" s="142"/>
    </row>
    <row r="287" spans="1:4" ht="15.75" customHeight="1" outlineLevel="1" x14ac:dyDescent="0.25">
      <c r="A287" s="140" t="s">
        <v>30</v>
      </c>
      <c r="B287" s="141" t="s">
        <v>60</v>
      </c>
      <c r="C287" s="140">
        <v>5.53</v>
      </c>
      <c r="D287" s="142"/>
    </row>
    <row r="288" spans="1:4" ht="15.75" customHeight="1" outlineLevel="1" x14ac:dyDescent="0.25">
      <c r="A288" s="140" t="s">
        <v>30</v>
      </c>
      <c r="B288" s="141" t="s">
        <v>101</v>
      </c>
      <c r="C288" s="140">
        <v>5.58</v>
      </c>
      <c r="D288" s="142"/>
    </row>
    <row r="289" spans="1:4" ht="15.75" customHeight="1" outlineLevel="1" x14ac:dyDescent="0.25">
      <c r="A289" s="140" t="s">
        <v>30</v>
      </c>
      <c r="B289" s="141" t="s">
        <v>62</v>
      </c>
      <c r="C289" s="140">
        <v>5.54</v>
      </c>
      <c r="D289" s="142"/>
    </row>
    <row r="290" spans="1:4" ht="15.75" customHeight="1" outlineLevel="1" x14ac:dyDescent="0.25">
      <c r="A290" s="140" t="s">
        <v>30</v>
      </c>
      <c r="B290" s="141" t="s">
        <v>102</v>
      </c>
      <c r="C290" s="140">
        <v>5.55</v>
      </c>
      <c r="D290" s="142"/>
    </row>
    <row r="291" spans="1:4" ht="15.75" customHeight="1" outlineLevel="1" x14ac:dyDescent="0.25">
      <c r="A291" s="140" t="s">
        <v>30</v>
      </c>
      <c r="B291" s="141" t="s">
        <v>64</v>
      </c>
      <c r="C291" s="140">
        <v>5.63</v>
      </c>
      <c r="D291" s="142"/>
    </row>
    <row r="292" spans="1:4" ht="15.75" customHeight="1" outlineLevel="1" x14ac:dyDescent="0.25">
      <c r="A292" s="140" t="s">
        <v>30</v>
      </c>
      <c r="B292" s="141" t="s">
        <v>65</v>
      </c>
      <c r="C292" s="140">
        <v>5.47</v>
      </c>
      <c r="D292" s="142"/>
    </row>
    <row r="293" spans="1:4" ht="15.75" customHeight="1" outlineLevel="1" x14ac:dyDescent="0.25">
      <c r="A293" s="140" t="s">
        <v>30</v>
      </c>
      <c r="B293" s="141" t="s">
        <v>66</v>
      </c>
      <c r="C293" s="140">
        <v>5.48</v>
      </c>
      <c r="D293" s="142"/>
    </row>
    <row r="294" spans="1:4" ht="15.75" customHeight="1" x14ac:dyDescent="0.25">
      <c r="A294" s="145" t="s">
        <v>30</v>
      </c>
      <c r="B294" s="141"/>
      <c r="C294" s="140"/>
      <c r="D294" s="142"/>
    </row>
    <row r="295" spans="1:4" ht="15.75" customHeight="1" outlineLevel="1" x14ac:dyDescent="0.25">
      <c r="A295" s="140" t="s">
        <v>31</v>
      </c>
      <c r="B295" s="141" t="s">
        <v>50</v>
      </c>
      <c r="C295" s="140">
        <v>5.0999999999999996</v>
      </c>
      <c r="D295" s="142"/>
    </row>
    <row r="296" spans="1:4" ht="15.75" customHeight="1" outlineLevel="1" x14ac:dyDescent="0.25">
      <c r="A296" s="140" t="s">
        <v>31</v>
      </c>
      <c r="B296" s="141" t="s">
        <v>51</v>
      </c>
      <c r="C296" s="140">
        <v>5.2</v>
      </c>
      <c r="D296" s="142"/>
    </row>
    <row r="297" spans="1:4" ht="15.75" customHeight="1" outlineLevel="1" x14ac:dyDescent="0.25">
      <c r="A297" s="140" t="s">
        <v>31</v>
      </c>
      <c r="B297" s="141" t="s">
        <v>91</v>
      </c>
      <c r="C297" s="140">
        <v>5.3</v>
      </c>
      <c r="D297" s="142"/>
    </row>
    <row r="298" spans="1:4" ht="15.75" customHeight="1" outlineLevel="1" x14ac:dyDescent="0.25">
      <c r="A298" s="140" t="s">
        <v>31</v>
      </c>
      <c r="B298" s="141" t="s">
        <v>1333</v>
      </c>
      <c r="C298" s="140">
        <v>5.14</v>
      </c>
      <c r="D298" s="142"/>
    </row>
    <row r="299" spans="1:4" ht="15.75" customHeight="1" outlineLevel="1" x14ac:dyDescent="0.25">
      <c r="A299" s="140" t="s">
        <v>31</v>
      </c>
      <c r="B299" s="141" t="s">
        <v>93</v>
      </c>
      <c r="C299" s="140">
        <v>5.19</v>
      </c>
      <c r="D299" s="142"/>
    </row>
    <row r="300" spans="1:4" ht="15.75" customHeight="1" outlineLevel="1" x14ac:dyDescent="0.25">
      <c r="A300" s="140" t="s">
        <v>31</v>
      </c>
      <c r="B300" s="141" t="s">
        <v>200</v>
      </c>
      <c r="C300" s="140">
        <v>5.24</v>
      </c>
      <c r="D300" s="142"/>
    </row>
    <row r="301" spans="1:4" ht="15.75" customHeight="1" outlineLevel="1" x14ac:dyDescent="0.25">
      <c r="A301" s="140" t="s">
        <v>31</v>
      </c>
      <c r="B301" s="141" t="s">
        <v>55</v>
      </c>
      <c r="C301" s="140">
        <v>5.26</v>
      </c>
      <c r="D301" s="142"/>
    </row>
    <row r="302" spans="1:4" ht="15.75" customHeight="1" outlineLevel="1" x14ac:dyDescent="0.25">
      <c r="A302" s="140" t="s">
        <v>31</v>
      </c>
      <c r="B302" s="141" t="s">
        <v>56</v>
      </c>
      <c r="C302" s="140">
        <v>5.27</v>
      </c>
      <c r="D302" s="142"/>
    </row>
    <row r="303" spans="1:4" ht="15.75" customHeight="1" outlineLevel="1" x14ac:dyDescent="0.25">
      <c r="A303" s="140" t="s">
        <v>31</v>
      </c>
      <c r="B303" s="141" t="s">
        <v>94</v>
      </c>
      <c r="C303" s="140">
        <v>5.28</v>
      </c>
      <c r="D303" s="142"/>
    </row>
    <row r="304" spans="1:4" ht="15.75" customHeight="1" outlineLevel="1" x14ac:dyDescent="0.25">
      <c r="A304" s="140" t="s">
        <v>31</v>
      </c>
      <c r="B304" s="141" t="s">
        <v>1402</v>
      </c>
      <c r="C304" s="140">
        <v>5.37</v>
      </c>
      <c r="D304" s="142"/>
    </row>
    <row r="305" spans="1:4" ht="15.75" customHeight="1" outlineLevel="1" x14ac:dyDescent="0.25">
      <c r="A305" s="140" t="s">
        <v>31</v>
      </c>
      <c r="B305" s="141" t="s">
        <v>96</v>
      </c>
      <c r="C305" s="140">
        <v>5.49</v>
      </c>
      <c r="D305" s="142"/>
    </row>
    <row r="306" spans="1:4" ht="15.75" customHeight="1" outlineLevel="1" x14ac:dyDescent="0.25">
      <c r="A306" s="140" t="s">
        <v>31</v>
      </c>
      <c r="B306" s="141" t="s">
        <v>59</v>
      </c>
      <c r="C306" s="140">
        <v>5.51</v>
      </c>
      <c r="D306" s="142"/>
    </row>
    <row r="307" spans="1:4" ht="15.75" customHeight="1" outlineLevel="1" x14ac:dyDescent="0.25">
      <c r="A307" s="140" t="s">
        <v>31</v>
      </c>
      <c r="B307" s="141" t="s">
        <v>60</v>
      </c>
      <c r="C307" s="140">
        <v>5.53</v>
      </c>
      <c r="D307" s="142"/>
    </row>
    <row r="308" spans="1:4" ht="15.75" customHeight="1" outlineLevel="1" x14ac:dyDescent="0.25">
      <c r="A308" s="140" t="s">
        <v>31</v>
      </c>
      <c r="B308" s="141" t="s">
        <v>97</v>
      </c>
      <c r="C308" s="140">
        <v>5.69</v>
      </c>
      <c r="D308" s="142"/>
    </row>
    <row r="309" spans="1:4" ht="15.75" customHeight="1" outlineLevel="1" x14ac:dyDescent="0.25">
      <c r="A309" s="140" t="s">
        <v>31</v>
      </c>
      <c r="B309" s="141" t="s">
        <v>98</v>
      </c>
      <c r="C309" s="140">
        <v>5.75</v>
      </c>
      <c r="D309" s="142"/>
    </row>
    <row r="310" spans="1:4" ht="15.75" customHeight="1" outlineLevel="1" x14ac:dyDescent="0.25">
      <c r="A310" s="140" t="s">
        <v>31</v>
      </c>
      <c r="B310" s="141" t="s">
        <v>63</v>
      </c>
      <c r="C310" s="143">
        <v>5.7</v>
      </c>
      <c r="D310" s="142"/>
    </row>
    <row r="311" spans="1:4" ht="15.75" customHeight="1" outlineLevel="1" x14ac:dyDescent="0.25">
      <c r="A311" s="140" t="s">
        <v>31</v>
      </c>
      <c r="B311" s="141" t="s">
        <v>99</v>
      </c>
      <c r="C311" s="140">
        <v>5.74</v>
      </c>
      <c r="D311" s="142"/>
    </row>
    <row r="312" spans="1:4" ht="15.75" customHeight="1" outlineLevel="1" x14ac:dyDescent="0.25">
      <c r="A312" s="140" t="s">
        <v>31</v>
      </c>
      <c r="B312" s="141" t="s">
        <v>101</v>
      </c>
      <c r="C312" s="140">
        <v>5.58</v>
      </c>
      <c r="D312" s="142"/>
    </row>
    <row r="313" spans="1:4" ht="15.75" customHeight="1" outlineLevel="1" x14ac:dyDescent="0.25">
      <c r="A313" s="140" t="s">
        <v>31</v>
      </c>
      <c r="B313" s="141" t="s">
        <v>62</v>
      </c>
      <c r="C313" s="140">
        <v>5.54</v>
      </c>
      <c r="D313" s="142"/>
    </row>
    <row r="314" spans="1:4" ht="15.75" customHeight="1" outlineLevel="1" x14ac:dyDescent="0.25">
      <c r="A314" s="140" t="s">
        <v>31</v>
      </c>
      <c r="B314" s="141" t="s">
        <v>102</v>
      </c>
      <c r="C314" s="140">
        <v>5.55</v>
      </c>
      <c r="D314" s="142"/>
    </row>
    <row r="315" spans="1:4" ht="15.75" customHeight="1" outlineLevel="1" x14ac:dyDescent="0.25">
      <c r="A315" s="140" t="s">
        <v>31</v>
      </c>
      <c r="B315" s="141" t="s">
        <v>64</v>
      </c>
      <c r="C315" s="140">
        <v>5.63</v>
      </c>
      <c r="D315" s="142"/>
    </row>
    <row r="316" spans="1:4" ht="15.75" customHeight="1" outlineLevel="1" x14ac:dyDescent="0.25">
      <c r="A316" s="140" t="s">
        <v>31</v>
      </c>
      <c r="B316" s="141" t="s">
        <v>103</v>
      </c>
      <c r="C316" s="140">
        <v>5.65</v>
      </c>
      <c r="D316" s="142"/>
    </row>
    <row r="317" spans="1:4" ht="15.75" customHeight="1" outlineLevel="1" x14ac:dyDescent="0.25">
      <c r="A317" s="140" t="s">
        <v>31</v>
      </c>
      <c r="B317" s="141" t="s">
        <v>18</v>
      </c>
      <c r="C317" s="140">
        <v>5.68</v>
      </c>
      <c r="D317" s="142"/>
    </row>
    <row r="318" spans="1:4" ht="15.75" customHeight="1" outlineLevel="1" x14ac:dyDescent="0.25">
      <c r="A318" s="140" t="s">
        <v>31</v>
      </c>
      <c r="B318" s="141" t="s">
        <v>65</v>
      </c>
      <c r="C318" s="140">
        <v>5.47</v>
      </c>
      <c r="D318" s="142"/>
    </row>
    <row r="319" spans="1:4" ht="15.75" customHeight="1" outlineLevel="1" x14ac:dyDescent="0.25">
      <c r="A319" s="140" t="s">
        <v>31</v>
      </c>
      <c r="B319" s="141" t="s">
        <v>66</v>
      </c>
      <c r="C319" s="140">
        <v>5.48</v>
      </c>
      <c r="D319" s="142"/>
    </row>
    <row r="320" spans="1:4" ht="15.75" customHeight="1" x14ac:dyDescent="0.25">
      <c r="A320" s="145" t="s">
        <v>31</v>
      </c>
      <c r="B320" s="141"/>
      <c r="C320" s="140"/>
      <c r="D320" s="142"/>
    </row>
    <row r="321" spans="1:4" ht="15.75" customHeight="1" outlineLevel="1" x14ac:dyDescent="0.25">
      <c r="A321" s="140" t="s">
        <v>32</v>
      </c>
      <c r="B321" s="141" t="s">
        <v>50</v>
      </c>
      <c r="C321" s="140">
        <v>5.0999999999999996</v>
      </c>
      <c r="D321" s="142"/>
    </row>
    <row r="322" spans="1:4" ht="15.75" customHeight="1" outlineLevel="1" x14ac:dyDescent="0.25">
      <c r="A322" s="140" t="s">
        <v>32</v>
      </c>
      <c r="B322" s="141" t="s">
        <v>51</v>
      </c>
      <c r="C322" s="140">
        <v>5.2</v>
      </c>
      <c r="D322" s="142"/>
    </row>
    <row r="323" spans="1:4" ht="15.75" customHeight="1" outlineLevel="1" x14ac:dyDescent="0.25">
      <c r="A323" s="140" t="s">
        <v>32</v>
      </c>
      <c r="B323" s="141" t="s">
        <v>55</v>
      </c>
      <c r="C323" s="140">
        <v>5.26</v>
      </c>
      <c r="D323" s="142"/>
    </row>
    <row r="324" spans="1:4" ht="15.75" customHeight="1" outlineLevel="1" x14ac:dyDescent="0.25">
      <c r="A324" s="140" t="s">
        <v>32</v>
      </c>
      <c r="B324" s="141" t="s">
        <v>1333</v>
      </c>
      <c r="C324" s="140">
        <v>5.14</v>
      </c>
      <c r="D324" s="142"/>
    </row>
    <row r="325" spans="1:4" ht="15.75" customHeight="1" outlineLevel="1" x14ac:dyDescent="0.25">
      <c r="A325" s="140" t="s">
        <v>32</v>
      </c>
      <c r="B325" s="141" t="s">
        <v>93</v>
      </c>
      <c r="C325" s="140">
        <v>5.19</v>
      </c>
      <c r="D325" s="142"/>
    </row>
    <row r="326" spans="1:4" ht="15.75" customHeight="1" outlineLevel="1" x14ac:dyDescent="0.25">
      <c r="A326" s="140" t="s">
        <v>32</v>
      </c>
      <c r="B326" s="141" t="s">
        <v>1402</v>
      </c>
      <c r="C326" s="140">
        <v>5.37</v>
      </c>
      <c r="D326" s="142"/>
    </row>
    <row r="327" spans="1:4" ht="15.75" customHeight="1" outlineLevel="1" x14ac:dyDescent="0.25">
      <c r="A327" s="140" t="s">
        <v>32</v>
      </c>
      <c r="B327" s="141" t="s">
        <v>97</v>
      </c>
      <c r="C327" s="140">
        <v>5.69</v>
      </c>
      <c r="D327" s="142"/>
    </row>
    <row r="328" spans="1:4" ht="15.75" customHeight="1" outlineLevel="1" x14ac:dyDescent="0.25">
      <c r="A328" s="140" t="s">
        <v>32</v>
      </c>
      <c r="B328" s="141" t="s">
        <v>1403</v>
      </c>
      <c r="C328" s="143">
        <v>5.8</v>
      </c>
      <c r="D328" s="142"/>
    </row>
    <row r="329" spans="1:4" ht="15.75" customHeight="1" outlineLevel="1" x14ac:dyDescent="0.25">
      <c r="A329" s="140" t="s">
        <v>32</v>
      </c>
      <c r="B329" s="141" t="s">
        <v>98</v>
      </c>
      <c r="C329" s="140">
        <v>5.75</v>
      </c>
      <c r="D329" s="142"/>
    </row>
    <row r="330" spans="1:4" ht="15.75" customHeight="1" outlineLevel="1" x14ac:dyDescent="0.25">
      <c r="A330" s="140" t="s">
        <v>32</v>
      </c>
      <c r="B330" s="141" t="s">
        <v>63</v>
      </c>
      <c r="C330" s="143">
        <v>5.7</v>
      </c>
      <c r="D330" s="142"/>
    </row>
    <row r="331" spans="1:4" ht="15.75" customHeight="1" outlineLevel="1" x14ac:dyDescent="0.25">
      <c r="A331" s="140" t="s">
        <v>32</v>
      </c>
      <c r="B331" s="141" t="s">
        <v>99</v>
      </c>
      <c r="C331" s="140">
        <v>5.74</v>
      </c>
      <c r="D331" s="142"/>
    </row>
    <row r="332" spans="1:4" ht="15.75" customHeight="1" outlineLevel="1" x14ac:dyDescent="0.25">
      <c r="A332" s="140" t="s">
        <v>32</v>
      </c>
      <c r="B332" s="141" t="s">
        <v>101</v>
      </c>
      <c r="C332" s="140">
        <v>5.58</v>
      </c>
      <c r="D332" s="142"/>
    </row>
    <row r="333" spans="1:4" ht="15.75" customHeight="1" outlineLevel="1" x14ac:dyDescent="0.25">
      <c r="A333" s="140" t="s">
        <v>32</v>
      </c>
      <c r="B333" s="141" t="s">
        <v>102</v>
      </c>
      <c r="C333" s="140">
        <v>5.55</v>
      </c>
      <c r="D333" s="142"/>
    </row>
    <row r="334" spans="1:4" ht="15.75" customHeight="1" outlineLevel="1" x14ac:dyDescent="0.25">
      <c r="A334" s="140" t="s">
        <v>32</v>
      </c>
      <c r="B334" s="141" t="s">
        <v>64</v>
      </c>
      <c r="C334" s="140">
        <v>5.63</v>
      </c>
      <c r="D334" s="142"/>
    </row>
    <row r="335" spans="1:4" ht="15.75" customHeight="1" outlineLevel="1" x14ac:dyDescent="0.25">
      <c r="A335" s="140" t="s">
        <v>32</v>
      </c>
      <c r="B335" s="141" t="s">
        <v>103</v>
      </c>
      <c r="C335" s="140">
        <v>5.65</v>
      </c>
      <c r="D335" s="142"/>
    </row>
    <row r="336" spans="1:4" ht="15.75" customHeight="1" outlineLevel="1" x14ac:dyDescent="0.25">
      <c r="A336" s="140" t="s">
        <v>32</v>
      </c>
      <c r="B336" s="141" t="s">
        <v>18</v>
      </c>
      <c r="C336" s="140">
        <v>5.68</v>
      </c>
      <c r="D336" s="142"/>
    </row>
    <row r="337" spans="1:4" ht="15.75" customHeight="1" outlineLevel="1" x14ac:dyDescent="0.25">
      <c r="A337" s="140" t="s">
        <v>32</v>
      </c>
      <c r="B337" s="141" t="s">
        <v>65</v>
      </c>
      <c r="C337" s="140">
        <v>5.47</v>
      </c>
      <c r="D337" s="142"/>
    </row>
    <row r="338" spans="1:4" ht="15.75" customHeight="1" outlineLevel="1" x14ac:dyDescent="0.25">
      <c r="A338" s="140" t="s">
        <v>32</v>
      </c>
      <c r="B338" s="141" t="s">
        <v>66</v>
      </c>
      <c r="C338" s="140">
        <v>5.48</v>
      </c>
      <c r="D338" s="142"/>
    </row>
    <row r="339" spans="1:4" ht="15.75" customHeight="1" x14ac:dyDescent="0.25">
      <c r="A339" s="145" t="s">
        <v>32</v>
      </c>
      <c r="B339" s="141"/>
      <c r="C339" s="140"/>
      <c r="D339" s="142"/>
    </row>
    <row r="340" spans="1:4" ht="15.75" customHeight="1" outlineLevel="1" x14ac:dyDescent="0.25">
      <c r="A340" s="140" t="s">
        <v>33</v>
      </c>
      <c r="B340" s="141" t="s">
        <v>1404</v>
      </c>
      <c r="C340" s="140">
        <v>5.0999999999999996</v>
      </c>
      <c r="D340" s="142"/>
    </row>
    <row r="341" spans="1:4" ht="15.75" customHeight="1" outlineLevel="1" x14ac:dyDescent="0.25">
      <c r="A341" s="140" t="s">
        <v>33</v>
      </c>
      <c r="B341" s="141" t="s">
        <v>51</v>
      </c>
      <c r="C341" s="140">
        <v>5.2</v>
      </c>
      <c r="D341" s="142"/>
    </row>
    <row r="342" spans="1:4" ht="15.75" customHeight="1" outlineLevel="1" x14ac:dyDescent="0.25">
      <c r="A342" s="140" t="s">
        <v>33</v>
      </c>
      <c r="B342" s="141" t="s">
        <v>55</v>
      </c>
      <c r="C342" s="140">
        <v>5.26</v>
      </c>
      <c r="D342" s="142"/>
    </row>
    <row r="343" spans="1:4" ht="15.75" customHeight="1" outlineLevel="1" x14ac:dyDescent="0.25">
      <c r="A343" s="140" t="s">
        <v>33</v>
      </c>
      <c r="B343" s="141" t="s">
        <v>1405</v>
      </c>
      <c r="C343" s="140">
        <v>5.38</v>
      </c>
      <c r="D343" s="142"/>
    </row>
    <row r="344" spans="1:4" ht="15.75" customHeight="1" outlineLevel="1" x14ac:dyDescent="0.25">
      <c r="A344" s="140" t="s">
        <v>33</v>
      </c>
      <c r="B344" s="141" t="s">
        <v>1406</v>
      </c>
      <c r="C344" s="140">
        <v>5.39</v>
      </c>
      <c r="D344" s="142"/>
    </row>
    <row r="345" spans="1:4" ht="15.75" customHeight="1" outlineLevel="1" x14ac:dyDescent="0.25">
      <c r="A345" s="140" t="s">
        <v>33</v>
      </c>
      <c r="B345" s="141" t="s">
        <v>1407</v>
      </c>
      <c r="C345" s="143">
        <v>5.6</v>
      </c>
      <c r="D345" s="142"/>
    </row>
    <row r="346" spans="1:4" ht="15.75" customHeight="1" outlineLevel="1" x14ac:dyDescent="0.25">
      <c r="A346" s="140" t="s">
        <v>33</v>
      </c>
      <c r="B346" s="141" t="s">
        <v>66</v>
      </c>
      <c r="C346" s="140">
        <v>5.48</v>
      </c>
      <c r="D346" s="142"/>
    </row>
    <row r="347" spans="1:4" ht="15.75" customHeight="1" x14ac:dyDescent="0.25">
      <c r="A347" s="145" t="s">
        <v>33</v>
      </c>
      <c r="B347" s="141"/>
      <c r="C347" s="140"/>
      <c r="D347" s="142"/>
    </row>
    <row r="348" spans="1:4" ht="15.75" customHeight="1" outlineLevel="1" x14ac:dyDescent="0.25">
      <c r="A348" s="140" t="s">
        <v>34</v>
      </c>
      <c r="B348" s="141" t="s">
        <v>50</v>
      </c>
      <c r="C348" s="140">
        <v>5.0999999999999996</v>
      </c>
      <c r="D348" s="142"/>
    </row>
    <row r="349" spans="1:4" ht="15.75" customHeight="1" outlineLevel="1" x14ac:dyDescent="0.25">
      <c r="A349" s="140" t="s">
        <v>34</v>
      </c>
      <c r="B349" s="141" t="s">
        <v>51</v>
      </c>
      <c r="C349" s="140">
        <v>5.2</v>
      </c>
      <c r="D349" s="142"/>
    </row>
    <row r="350" spans="1:4" ht="15.75" customHeight="1" outlineLevel="1" x14ac:dyDescent="0.25">
      <c r="A350" s="140" t="s">
        <v>34</v>
      </c>
      <c r="B350" s="141" t="s">
        <v>91</v>
      </c>
      <c r="C350" s="140">
        <v>5.3</v>
      </c>
      <c r="D350" s="142"/>
    </row>
    <row r="351" spans="1:4" ht="15.75" customHeight="1" outlineLevel="1" x14ac:dyDescent="0.25">
      <c r="A351" s="140" t="s">
        <v>34</v>
      </c>
      <c r="B351" s="141" t="s">
        <v>198</v>
      </c>
      <c r="C351" s="140">
        <v>5.6</v>
      </c>
      <c r="D351" s="142"/>
    </row>
    <row r="352" spans="1:4" ht="15.75" customHeight="1" outlineLevel="1" x14ac:dyDescent="0.25">
      <c r="A352" s="140" t="s">
        <v>34</v>
      </c>
      <c r="B352" s="141" t="s">
        <v>3070</v>
      </c>
      <c r="C352" s="143">
        <v>5.0999999999999996</v>
      </c>
      <c r="D352" s="142"/>
    </row>
    <row r="353" spans="1:4" ht="15.75" customHeight="1" outlineLevel="1" x14ac:dyDescent="0.25">
      <c r="A353" s="140" t="s">
        <v>34</v>
      </c>
      <c r="B353" s="141" t="s">
        <v>1333</v>
      </c>
      <c r="C353" s="140">
        <v>5.14</v>
      </c>
      <c r="D353" s="142"/>
    </row>
    <row r="354" spans="1:4" ht="15.75" customHeight="1" outlineLevel="1" x14ac:dyDescent="0.25">
      <c r="A354" s="140" t="s">
        <v>34</v>
      </c>
      <c r="B354" s="141" t="s">
        <v>93</v>
      </c>
      <c r="C354" s="140">
        <v>5.19</v>
      </c>
      <c r="D354" s="142"/>
    </row>
    <row r="355" spans="1:4" ht="15.75" customHeight="1" outlineLevel="1" x14ac:dyDescent="0.25">
      <c r="A355" s="140" t="s">
        <v>34</v>
      </c>
      <c r="B355" s="141" t="s">
        <v>200</v>
      </c>
      <c r="C355" s="140">
        <v>5.24</v>
      </c>
      <c r="D355" s="142"/>
    </row>
    <row r="356" spans="1:4" ht="15.75" customHeight="1" outlineLevel="1" x14ac:dyDescent="0.25">
      <c r="A356" s="140" t="s">
        <v>34</v>
      </c>
      <c r="B356" s="141" t="s">
        <v>55</v>
      </c>
      <c r="C356" s="140">
        <v>5.26</v>
      </c>
      <c r="D356" s="142"/>
    </row>
    <row r="357" spans="1:4" ht="15.75" customHeight="1" outlineLevel="1" x14ac:dyDescent="0.25">
      <c r="A357" s="140" t="s">
        <v>34</v>
      </c>
      <c r="B357" s="141" t="s">
        <v>56</v>
      </c>
      <c r="C357" s="140">
        <v>5.27</v>
      </c>
      <c r="D357" s="142"/>
    </row>
    <row r="358" spans="1:4" ht="15.75" customHeight="1" outlineLevel="1" x14ac:dyDescent="0.25">
      <c r="A358" s="140" t="s">
        <v>34</v>
      </c>
      <c r="B358" s="141" t="s">
        <v>94</v>
      </c>
      <c r="C358" s="140">
        <v>5.28</v>
      </c>
      <c r="D358" s="142"/>
    </row>
    <row r="359" spans="1:4" ht="15.75" customHeight="1" outlineLevel="1" x14ac:dyDescent="0.25">
      <c r="A359" s="140" t="s">
        <v>34</v>
      </c>
      <c r="B359" s="141" t="s">
        <v>201</v>
      </c>
      <c r="C359" s="140">
        <v>5.31</v>
      </c>
      <c r="D359" s="142"/>
    </row>
    <row r="360" spans="1:4" ht="15.75" customHeight="1" outlineLevel="1" x14ac:dyDescent="0.25">
      <c r="A360" s="140" t="s">
        <v>34</v>
      </c>
      <c r="B360" s="141" t="s">
        <v>57</v>
      </c>
      <c r="C360" s="140">
        <v>5.36</v>
      </c>
      <c r="D360" s="142"/>
    </row>
    <row r="361" spans="1:4" ht="15.75" customHeight="1" outlineLevel="1" x14ac:dyDescent="0.25">
      <c r="A361" s="140" t="s">
        <v>34</v>
      </c>
      <c r="B361" s="141" t="s">
        <v>1402</v>
      </c>
      <c r="C361" s="140">
        <v>5.37</v>
      </c>
      <c r="D361" s="142"/>
    </row>
    <row r="362" spans="1:4" ht="15.75" customHeight="1" outlineLevel="1" x14ac:dyDescent="0.25">
      <c r="A362" s="140" t="s">
        <v>34</v>
      </c>
      <c r="B362" s="141" t="s">
        <v>96</v>
      </c>
      <c r="C362" s="140">
        <v>5.49</v>
      </c>
      <c r="D362" s="142"/>
    </row>
    <row r="363" spans="1:4" ht="15.75" customHeight="1" outlineLevel="1" x14ac:dyDescent="0.25">
      <c r="A363" s="140" t="s">
        <v>34</v>
      </c>
      <c r="B363" s="141" t="s">
        <v>59</v>
      </c>
      <c r="C363" s="140">
        <v>5.51</v>
      </c>
      <c r="D363" s="142"/>
    </row>
    <row r="364" spans="1:4" ht="15.75" customHeight="1" outlineLevel="1" x14ac:dyDescent="0.25">
      <c r="A364" s="140" t="s">
        <v>34</v>
      </c>
      <c r="B364" s="141" t="s">
        <v>3071</v>
      </c>
      <c r="C364" s="140">
        <v>5.52</v>
      </c>
      <c r="D364" s="142"/>
    </row>
    <row r="365" spans="1:4" ht="15.75" customHeight="1" outlineLevel="1" x14ac:dyDescent="0.25">
      <c r="A365" s="140" t="s">
        <v>34</v>
      </c>
      <c r="B365" s="141" t="s">
        <v>60</v>
      </c>
      <c r="C365" s="140">
        <v>5.53</v>
      </c>
      <c r="D365" s="142"/>
    </row>
    <row r="366" spans="1:4" ht="15.75" customHeight="1" outlineLevel="1" x14ac:dyDescent="0.25">
      <c r="A366" s="140" t="s">
        <v>34</v>
      </c>
      <c r="B366" s="141" t="s">
        <v>97</v>
      </c>
      <c r="C366" s="140">
        <v>5.69</v>
      </c>
      <c r="D366" s="142"/>
    </row>
    <row r="367" spans="1:4" ht="15.75" customHeight="1" outlineLevel="1" x14ac:dyDescent="0.25">
      <c r="A367" s="140" t="s">
        <v>34</v>
      </c>
      <c r="B367" s="141" t="s">
        <v>1403</v>
      </c>
      <c r="C367" s="143">
        <v>5.8</v>
      </c>
      <c r="D367" s="142"/>
    </row>
    <row r="368" spans="1:4" ht="15.75" customHeight="1" outlineLevel="1" x14ac:dyDescent="0.25">
      <c r="A368" s="140" t="s">
        <v>34</v>
      </c>
      <c r="B368" s="141" t="s">
        <v>203</v>
      </c>
      <c r="C368" s="143">
        <v>5.72</v>
      </c>
      <c r="D368" s="142"/>
    </row>
    <row r="369" spans="1:4" ht="15.75" customHeight="1" outlineLevel="1" x14ac:dyDescent="0.25">
      <c r="A369" s="140" t="s">
        <v>34</v>
      </c>
      <c r="B369" s="141" t="s">
        <v>98</v>
      </c>
      <c r="C369" s="140">
        <v>5.75</v>
      </c>
      <c r="D369" s="142"/>
    </row>
    <row r="370" spans="1:4" ht="15.75" customHeight="1" outlineLevel="1" x14ac:dyDescent="0.25">
      <c r="A370" s="140" t="s">
        <v>34</v>
      </c>
      <c r="B370" s="141" t="s">
        <v>63</v>
      </c>
      <c r="C370" s="143">
        <v>5.7</v>
      </c>
      <c r="D370" s="142"/>
    </row>
    <row r="371" spans="1:4" ht="15.75" customHeight="1" outlineLevel="1" x14ac:dyDescent="0.25">
      <c r="A371" s="140" t="s">
        <v>34</v>
      </c>
      <c r="B371" s="141" t="s">
        <v>99</v>
      </c>
      <c r="C371" s="140">
        <v>5.74</v>
      </c>
      <c r="D371" s="142"/>
    </row>
    <row r="372" spans="1:4" ht="15.75" customHeight="1" outlineLevel="1" x14ac:dyDescent="0.25">
      <c r="A372" s="140" t="s">
        <v>34</v>
      </c>
      <c r="B372" s="141" t="s">
        <v>204</v>
      </c>
      <c r="C372" s="140">
        <v>5.76</v>
      </c>
      <c r="D372" s="142"/>
    </row>
    <row r="373" spans="1:4" ht="15.75" customHeight="1" outlineLevel="1" x14ac:dyDescent="0.25">
      <c r="A373" s="140" t="s">
        <v>34</v>
      </c>
      <c r="B373" s="141" t="s">
        <v>205</v>
      </c>
      <c r="C373" s="140">
        <v>5.89</v>
      </c>
      <c r="D373" s="144" t="s">
        <v>3069</v>
      </c>
    </row>
    <row r="374" spans="1:4" ht="15.75" customHeight="1" outlineLevel="1" x14ac:dyDescent="0.25">
      <c r="A374" s="140" t="s">
        <v>34</v>
      </c>
      <c r="B374" s="141" t="s">
        <v>1408</v>
      </c>
      <c r="C374" s="140">
        <v>5.109</v>
      </c>
      <c r="D374" s="144"/>
    </row>
    <row r="375" spans="1:4" ht="15.75" customHeight="1" outlineLevel="1" x14ac:dyDescent="0.25">
      <c r="A375" s="140" t="s">
        <v>34</v>
      </c>
      <c r="B375" s="141" t="s">
        <v>1409</v>
      </c>
      <c r="C375" s="140">
        <v>5.1109999999999998</v>
      </c>
      <c r="D375" s="142"/>
    </row>
    <row r="376" spans="1:4" ht="15.75" customHeight="1" outlineLevel="1" x14ac:dyDescent="0.25">
      <c r="A376" s="140" t="s">
        <v>34</v>
      </c>
      <c r="B376" s="141" t="s">
        <v>1411</v>
      </c>
      <c r="C376" s="140">
        <v>5.1120000000000001</v>
      </c>
      <c r="D376" s="142"/>
    </row>
    <row r="377" spans="1:4" ht="15.75" customHeight="1" outlineLevel="1" x14ac:dyDescent="0.25">
      <c r="A377" s="140" t="s">
        <v>34</v>
      </c>
      <c r="B377" s="141" t="s">
        <v>3074</v>
      </c>
      <c r="C377" s="140">
        <v>5.1130000000000004</v>
      </c>
      <c r="D377" s="142"/>
    </row>
    <row r="378" spans="1:4" ht="15.75" customHeight="1" outlineLevel="1" x14ac:dyDescent="0.25">
      <c r="A378" s="140" t="s">
        <v>34</v>
      </c>
      <c r="B378" s="141" t="s">
        <v>101</v>
      </c>
      <c r="C378" s="140">
        <v>5.58</v>
      </c>
      <c r="D378" s="142"/>
    </row>
    <row r="379" spans="1:4" ht="15.75" customHeight="1" outlineLevel="1" x14ac:dyDescent="0.25">
      <c r="A379" s="140" t="s">
        <v>34</v>
      </c>
      <c r="B379" s="141" t="s">
        <v>62</v>
      </c>
      <c r="C379" s="140">
        <v>5.54</v>
      </c>
      <c r="D379" s="142"/>
    </row>
    <row r="380" spans="1:4" ht="15.75" customHeight="1" outlineLevel="1" x14ac:dyDescent="0.25">
      <c r="A380" s="140" t="s">
        <v>34</v>
      </c>
      <c r="B380" s="141" t="s">
        <v>102</v>
      </c>
      <c r="C380" s="140">
        <v>5.55</v>
      </c>
      <c r="D380" s="142"/>
    </row>
    <row r="381" spans="1:4" ht="15.75" customHeight="1" outlineLevel="1" x14ac:dyDescent="0.25">
      <c r="A381" s="140" t="s">
        <v>34</v>
      </c>
      <c r="B381" s="141" t="s">
        <v>64</v>
      </c>
      <c r="C381" s="140">
        <v>5.63</v>
      </c>
      <c r="D381" s="142"/>
    </row>
    <row r="382" spans="1:4" ht="15.75" customHeight="1" outlineLevel="1" x14ac:dyDescent="0.25">
      <c r="A382" s="140" t="s">
        <v>34</v>
      </c>
      <c r="B382" s="141" t="s">
        <v>103</v>
      </c>
      <c r="C382" s="140">
        <v>5.65</v>
      </c>
      <c r="D382" s="142"/>
    </row>
    <row r="383" spans="1:4" ht="15.75" customHeight="1" outlineLevel="1" x14ac:dyDescent="0.25">
      <c r="A383" s="140" t="s">
        <v>34</v>
      </c>
      <c r="B383" s="141" t="s">
        <v>206</v>
      </c>
      <c r="C383" s="140">
        <v>5.66</v>
      </c>
      <c r="D383" s="142"/>
    </row>
    <row r="384" spans="1:4" ht="15.75" customHeight="1" outlineLevel="1" x14ac:dyDescent="0.25">
      <c r="A384" s="140" t="s">
        <v>34</v>
      </c>
      <c r="B384" s="141" t="s">
        <v>18</v>
      </c>
      <c r="C384" s="140">
        <v>5.68</v>
      </c>
      <c r="D384" s="142"/>
    </row>
    <row r="385" spans="1:4" ht="15.75" customHeight="1" outlineLevel="1" x14ac:dyDescent="0.25">
      <c r="A385" s="140" t="s">
        <v>34</v>
      </c>
      <c r="B385" s="141" t="s">
        <v>65</v>
      </c>
      <c r="C385" s="140">
        <v>5.47</v>
      </c>
      <c r="D385" s="142"/>
    </row>
    <row r="386" spans="1:4" ht="15.75" customHeight="1" outlineLevel="1" x14ac:dyDescent="0.25">
      <c r="A386" s="140" t="s">
        <v>34</v>
      </c>
      <c r="B386" s="141" t="s">
        <v>66</v>
      </c>
      <c r="C386" s="140">
        <v>5.48</v>
      </c>
      <c r="D386" s="142"/>
    </row>
    <row r="387" spans="1:4" ht="15.75" customHeight="1" x14ac:dyDescent="0.25">
      <c r="A387" s="145" t="s">
        <v>34</v>
      </c>
      <c r="B387" s="141"/>
      <c r="C387" s="140"/>
      <c r="D387" s="142"/>
    </row>
    <row r="388" spans="1:4" ht="15.75" customHeight="1" outlineLevel="1" x14ac:dyDescent="0.25">
      <c r="A388" s="140" t="s">
        <v>35</v>
      </c>
      <c r="B388" s="141" t="s">
        <v>50</v>
      </c>
      <c r="C388" s="140">
        <v>5.0999999999999996</v>
      </c>
      <c r="D388" s="142"/>
    </row>
    <row r="389" spans="1:4" ht="15.75" customHeight="1" outlineLevel="1" x14ac:dyDescent="0.25">
      <c r="A389" s="140" t="s">
        <v>35</v>
      </c>
      <c r="B389" s="141" t="s">
        <v>51</v>
      </c>
      <c r="C389" s="140">
        <v>5.2</v>
      </c>
      <c r="D389" s="142"/>
    </row>
    <row r="390" spans="1:4" ht="15.75" customHeight="1" outlineLevel="1" x14ac:dyDescent="0.25">
      <c r="A390" s="140" t="s">
        <v>35</v>
      </c>
      <c r="B390" s="141" t="s">
        <v>91</v>
      </c>
      <c r="C390" s="140">
        <v>5.3</v>
      </c>
      <c r="D390" s="142"/>
    </row>
    <row r="391" spans="1:4" ht="15.75" customHeight="1" outlineLevel="1" x14ac:dyDescent="0.25">
      <c r="A391" s="140" t="s">
        <v>35</v>
      </c>
      <c r="B391" s="141" t="s">
        <v>198</v>
      </c>
      <c r="C391" s="140">
        <v>5.6</v>
      </c>
      <c r="D391" s="142"/>
    </row>
    <row r="392" spans="1:4" ht="15.75" customHeight="1" outlineLevel="1" x14ac:dyDescent="0.25">
      <c r="A392" s="140" t="s">
        <v>35</v>
      </c>
      <c r="B392" s="141" t="s">
        <v>3070</v>
      </c>
      <c r="C392" s="143">
        <v>5.0999999999999996</v>
      </c>
      <c r="D392" s="142"/>
    </row>
    <row r="393" spans="1:4" ht="15.75" customHeight="1" outlineLevel="1" x14ac:dyDescent="0.25">
      <c r="A393" s="140" t="s">
        <v>35</v>
      </c>
      <c r="B393" s="141" t="s">
        <v>1333</v>
      </c>
      <c r="C393" s="140">
        <v>5.14</v>
      </c>
      <c r="D393" s="142"/>
    </row>
    <row r="394" spans="1:4" ht="15.75" customHeight="1" outlineLevel="1" x14ac:dyDescent="0.25">
      <c r="A394" s="140" t="s">
        <v>35</v>
      </c>
      <c r="B394" s="141" t="s">
        <v>93</v>
      </c>
      <c r="C394" s="140">
        <v>5.19</v>
      </c>
      <c r="D394" s="142"/>
    </row>
    <row r="395" spans="1:4" ht="15.75" customHeight="1" outlineLevel="1" x14ac:dyDescent="0.25">
      <c r="A395" s="140" t="s">
        <v>35</v>
      </c>
      <c r="B395" s="141" t="s">
        <v>200</v>
      </c>
      <c r="C395" s="140">
        <v>5.24</v>
      </c>
      <c r="D395" s="142"/>
    </row>
    <row r="396" spans="1:4" ht="15.75" customHeight="1" outlineLevel="1" x14ac:dyDescent="0.25">
      <c r="A396" s="140" t="s">
        <v>35</v>
      </c>
      <c r="B396" s="141" t="s">
        <v>55</v>
      </c>
      <c r="C396" s="140">
        <v>5.26</v>
      </c>
      <c r="D396" s="142"/>
    </row>
    <row r="397" spans="1:4" ht="15.75" customHeight="1" outlineLevel="1" x14ac:dyDescent="0.25">
      <c r="A397" s="140" t="s">
        <v>35</v>
      </c>
      <c r="B397" s="141" t="s">
        <v>56</v>
      </c>
      <c r="C397" s="140">
        <v>5.27</v>
      </c>
      <c r="D397" s="142"/>
    </row>
    <row r="398" spans="1:4" ht="15.75" customHeight="1" outlineLevel="1" x14ac:dyDescent="0.25">
      <c r="A398" s="140" t="s">
        <v>35</v>
      </c>
      <c r="B398" s="141" t="s">
        <v>94</v>
      </c>
      <c r="C398" s="140">
        <v>5.28</v>
      </c>
      <c r="D398" s="142"/>
    </row>
    <row r="399" spans="1:4" ht="15.75" customHeight="1" outlineLevel="1" x14ac:dyDescent="0.25">
      <c r="A399" s="140" t="s">
        <v>35</v>
      </c>
      <c r="B399" s="141" t="s">
        <v>207</v>
      </c>
      <c r="C399" s="140">
        <v>5.29</v>
      </c>
      <c r="D399" s="142"/>
    </row>
    <row r="400" spans="1:4" ht="15.75" customHeight="1" outlineLevel="1" x14ac:dyDescent="0.25">
      <c r="A400" s="140" t="s">
        <v>35</v>
      </c>
      <c r="B400" s="141" t="s">
        <v>201</v>
      </c>
      <c r="C400" s="140">
        <v>5.31</v>
      </c>
      <c r="D400" s="142"/>
    </row>
    <row r="401" spans="1:4" ht="15.75" customHeight="1" outlineLevel="1" x14ac:dyDescent="0.25">
      <c r="A401" s="140" t="s">
        <v>35</v>
      </c>
      <c r="B401" s="141" t="s">
        <v>57</v>
      </c>
      <c r="C401" s="140">
        <v>5.36</v>
      </c>
      <c r="D401" s="142"/>
    </row>
    <row r="402" spans="1:4" ht="15.75" customHeight="1" outlineLevel="1" x14ac:dyDescent="0.25">
      <c r="A402" s="140" t="s">
        <v>35</v>
      </c>
      <c r="B402" s="141" t="s">
        <v>1402</v>
      </c>
      <c r="C402" s="140">
        <v>5.37</v>
      </c>
      <c r="D402" s="142"/>
    </row>
    <row r="403" spans="1:4" ht="15.75" customHeight="1" outlineLevel="1" x14ac:dyDescent="0.25">
      <c r="A403" s="140" t="s">
        <v>35</v>
      </c>
      <c r="B403" s="141" t="s">
        <v>96</v>
      </c>
      <c r="C403" s="140">
        <v>5.49</v>
      </c>
      <c r="D403" s="142"/>
    </row>
    <row r="404" spans="1:4" ht="15.75" customHeight="1" outlineLevel="1" x14ac:dyDescent="0.25">
      <c r="A404" s="140" t="s">
        <v>35</v>
      </c>
      <c r="B404" s="141" t="s">
        <v>59</v>
      </c>
      <c r="C404" s="140">
        <v>5.51</v>
      </c>
      <c r="D404" s="142"/>
    </row>
    <row r="405" spans="1:4" ht="15.75" customHeight="1" outlineLevel="1" x14ac:dyDescent="0.25">
      <c r="A405" s="140" t="s">
        <v>35</v>
      </c>
      <c r="B405" s="141" t="s">
        <v>3071</v>
      </c>
      <c r="C405" s="140">
        <v>5.52</v>
      </c>
      <c r="D405" s="142"/>
    </row>
    <row r="406" spans="1:4" ht="15.75" customHeight="1" outlineLevel="1" x14ac:dyDescent="0.25">
      <c r="A406" s="140" t="s">
        <v>35</v>
      </c>
      <c r="B406" s="141" t="s">
        <v>60</v>
      </c>
      <c r="C406" s="140">
        <v>5.53</v>
      </c>
      <c r="D406" s="142"/>
    </row>
    <row r="407" spans="1:4" ht="15.75" customHeight="1" outlineLevel="1" x14ac:dyDescent="0.25">
      <c r="A407" s="140" t="s">
        <v>35</v>
      </c>
      <c r="B407" s="141" t="s">
        <v>97</v>
      </c>
      <c r="C407" s="140">
        <v>5.69</v>
      </c>
      <c r="D407" s="142"/>
    </row>
    <row r="408" spans="1:4" ht="15.75" customHeight="1" outlineLevel="1" x14ac:dyDescent="0.25">
      <c r="A408" s="140" t="s">
        <v>35</v>
      </c>
      <c r="B408" s="141" t="s">
        <v>98</v>
      </c>
      <c r="C408" s="140">
        <v>5.75</v>
      </c>
      <c r="D408" s="142"/>
    </row>
    <row r="409" spans="1:4" ht="15.75" customHeight="1" outlineLevel="1" x14ac:dyDescent="0.25">
      <c r="A409" s="140" t="s">
        <v>35</v>
      </c>
      <c r="B409" s="141" t="s">
        <v>99</v>
      </c>
      <c r="C409" s="140">
        <v>5.74</v>
      </c>
      <c r="D409" s="142"/>
    </row>
    <row r="410" spans="1:4" ht="15.75" customHeight="1" outlineLevel="1" x14ac:dyDescent="0.25">
      <c r="A410" s="140" t="s">
        <v>35</v>
      </c>
      <c r="B410" s="141" t="s">
        <v>63</v>
      </c>
      <c r="C410" s="143">
        <v>5.7</v>
      </c>
      <c r="D410" s="142"/>
    </row>
    <row r="411" spans="1:4" ht="15.75" customHeight="1" outlineLevel="1" x14ac:dyDescent="0.25">
      <c r="A411" s="140" t="s">
        <v>35</v>
      </c>
      <c r="B411" s="141" t="s">
        <v>204</v>
      </c>
      <c r="C411" s="140">
        <v>5.76</v>
      </c>
      <c r="D411" s="142"/>
    </row>
    <row r="412" spans="1:4" ht="15.75" customHeight="1" outlineLevel="1" x14ac:dyDescent="0.25">
      <c r="A412" s="140" t="s">
        <v>35</v>
      </c>
      <c r="B412" s="141" t="s">
        <v>205</v>
      </c>
      <c r="C412" s="140">
        <v>5.89</v>
      </c>
      <c r="D412" s="144" t="s">
        <v>3069</v>
      </c>
    </row>
    <row r="413" spans="1:4" ht="15.75" customHeight="1" outlineLevel="1" x14ac:dyDescent="0.25">
      <c r="A413" s="140" t="s">
        <v>35</v>
      </c>
      <c r="B413" s="141" t="s">
        <v>1408</v>
      </c>
      <c r="C413" s="140">
        <v>5.109</v>
      </c>
      <c r="D413" s="142"/>
    </row>
    <row r="414" spans="1:4" ht="15.75" customHeight="1" outlineLevel="1" x14ac:dyDescent="0.25">
      <c r="A414" s="140" t="s">
        <v>35</v>
      </c>
      <c r="B414" s="141" t="s">
        <v>1409</v>
      </c>
      <c r="C414" s="140">
        <v>5.1109999999999998</v>
      </c>
      <c r="D414" s="142"/>
    </row>
    <row r="415" spans="1:4" ht="15.75" customHeight="1" outlineLevel="1" x14ac:dyDescent="0.25">
      <c r="A415" s="140" t="s">
        <v>35</v>
      </c>
      <c r="B415" s="141" t="s">
        <v>1411</v>
      </c>
      <c r="C415" s="140">
        <v>5.1120000000000001</v>
      </c>
      <c r="D415" s="142"/>
    </row>
    <row r="416" spans="1:4" ht="15.75" customHeight="1" outlineLevel="1" x14ac:dyDescent="0.25">
      <c r="A416" s="140" t="s">
        <v>35</v>
      </c>
      <c r="B416" s="141" t="s">
        <v>3074</v>
      </c>
      <c r="C416" s="140">
        <v>5.1130000000000004</v>
      </c>
      <c r="D416" s="142"/>
    </row>
    <row r="417" spans="1:4" ht="15.75" customHeight="1" outlineLevel="1" x14ac:dyDescent="0.25">
      <c r="A417" s="140" t="s">
        <v>35</v>
      </c>
      <c r="B417" s="141" t="s">
        <v>101</v>
      </c>
      <c r="C417" s="140">
        <v>5.58</v>
      </c>
      <c r="D417" s="142"/>
    </row>
    <row r="418" spans="1:4" ht="15.75" customHeight="1" outlineLevel="1" x14ac:dyDescent="0.25">
      <c r="A418" s="140" t="s">
        <v>35</v>
      </c>
      <c r="B418" s="141" t="s">
        <v>62</v>
      </c>
      <c r="C418" s="140">
        <v>5.54</v>
      </c>
      <c r="D418" s="142"/>
    </row>
    <row r="419" spans="1:4" ht="15.75" customHeight="1" outlineLevel="1" x14ac:dyDescent="0.25">
      <c r="A419" s="140" t="s">
        <v>35</v>
      </c>
      <c r="B419" s="141" t="s">
        <v>102</v>
      </c>
      <c r="C419" s="140">
        <v>5.55</v>
      </c>
      <c r="D419" s="142"/>
    </row>
    <row r="420" spans="1:4" ht="15.75" customHeight="1" outlineLevel="1" x14ac:dyDescent="0.25">
      <c r="A420" s="140" t="s">
        <v>35</v>
      </c>
      <c r="B420" s="141" t="s">
        <v>64</v>
      </c>
      <c r="C420" s="140">
        <v>5.63</v>
      </c>
      <c r="D420" s="142"/>
    </row>
    <row r="421" spans="1:4" ht="15.75" customHeight="1" outlineLevel="1" x14ac:dyDescent="0.25">
      <c r="A421" s="140" t="s">
        <v>35</v>
      </c>
      <c r="B421" s="141" t="s">
        <v>103</v>
      </c>
      <c r="C421" s="140">
        <v>5.65</v>
      </c>
      <c r="D421" s="142"/>
    </row>
    <row r="422" spans="1:4" ht="15.75" customHeight="1" outlineLevel="1" x14ac:dyDescent="0.25">
      <c r="A422" s="140" t="s">
        <v>35</v>
      </c>
      <c r="B422" s="141" t="s">
        <v>206</v>
      </c>
      <c r="C422" s="140">
        <v>5.66</v>
      </c>
      <c r="D422" s="142"/>
    </row>
    <row r="423" spans="1:4" ht="15.75" customHeight="1" outlineLevel="1" x14ac:dyDescent="0.25">
      <c r="A423" s="140" t="s">
        <v>35</v>
      </c>
      <c r="B423" s="141" t="s">
        <v>18</v>
      </c>
      <c r="C423" s="140">
        <v>5.68</v>
      </c>
      <c r="D423" s="142"/>
    </row>
    <row r="424" spans="1:4" ht="15.75" customHeight="1" outlineLevel="1" x14ac:dyDescent="0.25">
      <c r="A424" s="140" t="s">
        <v>35</v>
      </c>
      <c r="B424" s="141" t="s">
        <v>65</v>
      </c>
      <c r="C424" s="140">
        <v>5.47</v>
      </c>
      <c r="D424" s="142"/>
    </row>
    <row r="425" spans="1:4" ht="15.75" customHeight="1" outlineLevel="1" x14ac:dyDescent="0.25">
      <c r="A425" s="140" t="s">
        <v>35</v>
      </c>
      <c r="B425" s="141" t="s">
        <v>66</v>
      </c>
      <c r="C425" s="140">
        <v>5.48</v>
      </c>
      <c r="D425" s="142"/>
    </row>
    <row r="426" spans="1:4" ht="15.75" customHeight="1" x14ac:dyDescent="0.25">
      <c r="A426" s="145" t="s">
        <v>35</v>
      </c>
      <c r="B426" s="141"/>
      <c r="C426" s="140"/>
      <c r="D426" s="142"/>
    </row>
    <row r="427" spans="1:4" ht="15.75" customHeight="1" outlineLevel="1" x14ac:dyDescent="0.25">
      <c r="A427" s="140" t="s">
        <v>3075</v>
      </c>
      <c r="B427" s="141" t="s">
        <v>50</v>
      </c>
      <c r="C427" s="140">
        <v>5.0999999999999996</v>
      </c>
      <c r="D427" s="142"/>
    </row>
    <row r="428" spans="1:4" ht="15.75" customHeight="1" outlineLevel="1" x14ac:dyDescent="0.25">
      <c r="A428" s="140" t="s">
        <v>3075</v>
      </c>
      <c r="B428" s="141" t="s">
        <v>51</v>
      </c>
      <c r="C428" s="140">
        <v>5.2</v>
      </c>
      <c r="D428" s="142"/>
    </row>
    <row r="429" spans="1:4" ht="15.75" customHeight="1" outlineLevel="1" x14ac:dyDescent="0.25">
      <c r="A429" s="140" t="s">
        <v>3075</v>
      </c>
      <c r="B429" s="141" t="s">
        <v>91</v>
      </c>
      <c r="C429" s="140">
        <v>5.3</v>
      </c>
      <c r="D429" s="142"/>
    </row>
    <row r="430" spans="1:4" ht="15.75" customHeight="1" outlineLevel="1" x14ac:dyDescent="0.25">
      <c r="A430" s="140" t="s">
        <v>3075</v>
      </c>
      <c r="B430" s="141" t="s">
        <v>198</v>
      </c>
      <c r="C430" s="140">
        <v>5.6</v>
      </c>
      <c r="D430" s="142"/>
    </row>
    <row r="431" spans="1:4" ht="15.75" customHeight="1" outlineLevel="1" x14ac:dyDescent="0.25">
      <c r="A431" s="140" t="s">
        <v>3075</v>
      </c>
      <c r="B431" s="141" t="s">
        <v>3070</v>
      </c>
      <c r="C431" s="143">
        <v>5.0999999999999996</v>
      </c>
      <c r="D431" s="142"/>
    </row>
    <row r="432" spans="1:4" ht="15.75" customHeight="1" outlineLevel="1" x14ac:dyDescent="0.25">
      <c r="A432" s="140" t="s">
        <v>3075</v>
      </c>
      <c r="B432" s="141" t="s">
        <v>1333</v>
      </c>
      <c r="C432" s="140">
        <v>5.14</v>
      </c>
      <c r="D432" s="142"/>
    </row>
    <row r="433" spans="1:4" ht="15.75" customHeight="1" outlineLevel="1" x14ac:dyDescent="0.25">
      <c r="A433" s="140" t="s">
        <v>3075</v>
      </c>
      <c r="B433" s="141" t="s">
        <v>93</v>
      </c>
      <c r="C433" s="140">
        <v>5.19</v>
      </c>
      <c r="D433" s="142"/>
    </row>
    <row r="434" spans="1:4" ht="15.75" customHeight="1" outlineLevel="1" x14ac:dyDescent="0.25">
      <c r="A434" s="140" t="s">
        <v>3075</v>
      </c>
      <c r="B434" s="141" t="s">
        <v>200</v>
      </c>
      <c r="C434" s="140">
        <v>5.24</v>
      </c>
      <c r="D434" s="142"/>
    </row>
    <row r="435" spans="1:4" ht="15.75" customHeight="1" outlineLevel="1" x14ac:dyDescent="0.25">
      <c r="A435" s="140" t="s">
        <v>3075</v>
      </c>
      <c r="B435" s="141" t="s">
        <v>55</v>
      </c>
      <c r="C435" s="140">
        <v>5.26</v>
      </c>
      <c r="D435" s="142"/>
    </row>
    <row r="436" spans="1:4" ht="15.75" customHeight="1" outlineLevel="1" x14ac:dyDescent="0.25">
      <c r="A436" s="140" t="s">
        <v>3075</v>
      </c>
      <c r="B436" s="141" t="s">
        <v>56</v>
      </c>
      <c r="C436" s="140">
        <v>5.27</v>
      </c>
      <c r="D436" s="142"/>
    </row>
    <row r="437" spans="1:4" ht="15.75" customHeight="1" outlineLevel="1" x14ac:dyDescent="0.25">
      <c r="A437" s="140" t="s">
        <v>3075</v>
      </c>
      <c r="B437" s="141" t="s">
        <v>94</v>
      </c>
      <c r="C437" s="140">
        <v>5.28</v>
      </c>
      <c r="D437" s="142"/>
    </row>
    <row r="438" spans="1:4" ht="15.75" customHeight="1" outlineLevel="1" x14ac:dyDescent="0.25">
      <c r="A438" s="140" t="s">
        <v>3075</v>
      </c>
      <c r="B438" s="141" t="s">
        <v>207</v>
      </c>
      <c r="C438" s="140">
        <v>5.29</v>
      </c>
      <c r="D438" s="142"/>
    </row>
    <row r="439" spans="1:4" ht="15.75" customHeight="1" outlineLevel="1" x14ac:dyDescent="0.25">
      <c r="A439" s="140" t="s">
        <v>3075</v>
      </c>
      <c r="B439" s="141" t="s">
        <v>201</v>
      </c>
      <c r="C439" s="140">
        <v>5.31</v>
      </c>
      <c r="D439" s="142"/>
    </row>
    <row r="440" spans="1:4" ht="15.75" customHeight="1" outlineLevel="1" x14ac:dyDescent="0.25">
      <c r="A440" s="140" t="s">
        <v>3075</v>
      </c>
      <c r="B440" s="141" t="s">
        <v>57</v>
      </c>
      <c r="C440" s="140">
        <v>5.36</v>
      </c>
      <c r="D440" s="142"/>
    </row>
    <row r="441" spans="1:4" ht="15.75" customHeight="1" outlineLevel="1" x14ac:dyDescent="0.25">
      <c r="A441" s="140" t="s">
        <v>3075</v>
      </c>
      <c r="B441" s="141" t="s">
        <v>1402</v>
      </c>
      <c r="C441" s="140">
        <v>5.37</v>
      </c>
      <c r="D441" s="142"/>
    </row>
    <row r="442" spans="1:4" ht="15.75" customHeight="1" outlineLevel="1" x14ac:dyDescent="0.25">
      <c r="A442" s="140" t="s">
        <v>3075</v>
      </c>
      <c r="B442" s="141" t="s">
        <v>60</v>
      </c>
      <c r="C442" s="140">
        <v>5.53</v>
      </c>
      <c r="D442" s="142"/>
    </row>
    <row r="443" spans="1:4" ht="15.75" customHeight="1" outlineLevel="1" x14ac:dyDescent="0.25">
      <c r="A443" s="140" t="s">
        <v>3075</v>
      </c>
      <c r="B443" s="141" t="s">
        <v>1408</v>
      </c>
      <c r="C443" s="140">
        <v>5.109</v>
      </c>
      <c r="D443" s="142"/>
    </row>
    <row r="444" spans="1:4" ht="15.75" customHeight="1" outlineLevel="1" x14ac:dyDescent="0.25">
      <c r="A444" s="140" t="s">
        <v>3075</v>
      </c>
      <c r="B444" s="141" t="s">
        <v>1409</v>
      </c>
      <c r="C444" s="140">
        <v>5.1109999999999998</v>
      </c>
      <c r="D444" s="142"/>
    </row>
    <row r="445" spans="1:4" ht="15.75" customHeight="1" outlineLevel="1" x14ac:dyDescent="0.25">
      <c r="A445" s="140" t="s">
        <v>3075</v>
      </c>
      <c r="B445" s="141" t="s">
        <v>1411</v>
      </c>
      <c r="C445" s="140">
        <v>5.1120000000000001</v>
      </c>
      <c r="D445" s="142"/>
    </row>
    <row r="446" spans="1:4" ht="15.75" customHeight="1" outlineLevel="1" x14ac:dyDescent="0.25">
      <c r="A446" s="140" t="s">
        <v>3075</v>
      </c>
      <c r="B446" s="141" t="s">
        <v>3074</v>
      </c>
      <c r="C446" s="140">
        <v>5.1130000000000004</v>
      </c>
      <c r="D446" s="142"/>
    </row>
    <row r="447" spans="1:4" ht="15.75" customHeight="1" outlineLevel="1" x14ac:dyDescent="0.25">
      <c r="A447" s="140" t="s">
        <v>3075</v>
      </c>
      <c r="B447" s="141" t="s">
        <v>101</v>
      </c>
      <c r="C447" s="140">
        <v>5.58</v>
      </c>
      <c r="D447" s="142"/>
    </row>
    <row r="448" spans="1:4" ht="15.75" customHeight="1" outlineLevel="1" x14ac:dyDescent="0.25">
      <c r="A448" s="140" t="s">
        <v>3075</v>
      </c>
      <c r="B448" s="141" t="s">
        <v>62</v>
      </c>
      <c r="C448" s="140">
        <v>5.54</v>
      </c>
      <c r="D448" s="142"/>
    </row>
    <row r="449" spans="1:4" ht="15.75" customHeight="1" outlineLevel="1" x14ac:dyDescent="0.25">
      <c r="A449" s="140" t="s">
        <v>3075</v>
      </c>
      <c r="B449" s="141" t="s">
        <v>102</v>
      </c>
      <c r="C449" s="140">
        <v>5.55</v>
      </c>
      <c r="D449" s="142"/>
    </row>
    <row r="450" spans="1:4" ht="15.75" customHeight="1" outlineLevel="1" x14ac:dyDescent="0.25">
      <c r="A450" s="140" t="s">
        <v>3075</v>
      </c>
      <c r="B450" s="141" t="s">
        <v>64</v>
      </c>
      <c r="C450" s="140">
        <v>5.63</v>
      </c>
      <c r="D450" s="142"/>
    </row>
    <row r="451" spans="1:4" ht="15.75" customHeight="1" outlineLevel="1" x14ac:dyDescent="0.25">
      <c r="A451" s="140" t="s">
        <v>3075</v>
      </c>
      <c r="B451" s="141" t="s">
        <v>65</v>
      </c>
      <c r="C451" s="140">
        <v>5.47</v>
      </c>
      <c r="D451" s="142"/>
    </row>
    <row r="452" spans="1:4" ht="15.75" customHeight="1" outlineLevel="1" x14ac:dyDescent="0.25">
      <c r="A452" s="140" t="s">
        <v>3075</v>
      </c>
      <c r="B452" s="141" t="s">
        <v>66</v>
      </c>
      <c r="C452" s="140">
        <v>5.48</v>
      </c>
      <c r="D452" s="142"/>
    </row>
    <row r="453" spans="1:4" ht="15.75" customHeight="1" x14ac:dyDescent="0.25">
      <c r="A453" s="145" t="s">
        <v>3075</v>
      </c>
      <c r="B453" s="141"/>
      <c r="C453" s="140"/>
      <c r="D453" s="142"/>
    </row>
    <row r="454" spans="1:4" ht="15.75" customHeight="1" outlineLevel="1" x14ac:dyDescent="0.25">
      <c r="A454" s="140" t="s">
        <v>37</v>
      </c>
      <c r="B454" s="141" t="s">
        <v>50</v>
      </c>
      <c r="C454" s="140">
        <v>5.0999999999999996</v>
      </c>
      <c r="D454" s="142"/>
    </row>
    <row r="455" spans="1:4" ht="15.75" customHeight="1" outlineLevel="1" x14ac:dyDescent="0.25">
      <c r="A455" s="140" t="s">
        <v>37</v>
      </c>
      <c r="B455" s="141" t="s">
        <v>51</v>
      </c>
      <c r="C455" s="140">
        <v>5.2</v>
      </c>
      <c r="D455" s="142"/>
    </row>
    <row r="456" spans="1:4" ht="15.75" customHeight="1" outlineLevel="1" x14ac:dyDescent="0.25">
      <c r="A456" s="140" t="s">
        <v>37</v>
      </c>
      <c r="B456" s="141" t="s">
        <v>1654</v>
      </c>
      <c r="C456" s="140">
        <v>5.5</v>
      </c>
      <c r="D456" s="142"/>
    </row>
    <row r="457" spans="1:4" ht="15.75" customHeight="1" outlineLevel="1" x14ac:dyDescent="0.25">
      <c r="A457" s="140" t="s">
        <v>37</v>
      </c>
      <c r="B457" s="141" t="s">
        <v>1655</v>
      </c>
      <c r="C457" s="140">
        <v>5.8</v>
      </c>
      <c r="D457" s="144" t="s">
        <v>3069</v>
      </c>
    </row>
    <row r="458" spans="1:4" ht="15.75" customHeight="1" outlineLevel="1" x14ac:dyDescent="0.25">
      <c r="A458" s="140" t="s">
        <v>37</v>
      </c>
      <c r="B458" s="141" t="s">
        <v>1656</v>
      </c>
      <c r="C458" s="140">
        <v>5.12</v>
      </c>
      <c r="D458" s="144" t="s">
        <v>3069</v>
      </c>
    </row>
    <row r="459" spans="1:4" ht="15.75" customHeight="1" outlineLevel="1" x14ac:dyDescent="0.25">
      <c r="A459" s="140" t="s">
        <v>37</v>
      </c>
      <c r="B459" s="141" t="s">
        <v>1657</v>
      </c>
      <c r="C459" s="140">
        <v>5.15</v>
      </c>
      <c r="D459" s="142"/>
    </row>
    <row r="460" spans="1:4" ht="15.75" customHeight="1" outlineLevel="1" x14ac:dyDescent="0.25">
      <c r="A460" s="140" t="s">
        <v>37</v>
      </c>
      <c r="B460" s="141" t="s">
        <v>1658</v>
      </c>
      <c r="C460" s="143">
        <v>5.2</v>
      </c>
      <c r="D460" s="144"/>
    </row>
    <row r="461" spans="1:4" ht="15.75" customHeight="1" outlineLevel="1" x14ac:dyDescent="0.25">
      <c r="A461" s="140" t="s">
        <v>37</v>
      </c>
      <c r="B461" s="141" t="s">
        <v>1659</v>
      </c>
      <c r="C461" s="140">
        <v>5.25</v>
      </c>
      <c r="D461" s="142"/>
    </row>
    <row r="462" spans="1:4" ht="15.75" customHeight="1" outlineLevel="1" x14ac:dyDescent="0.25">
      <c r="A462" s="140" t="s">
        <v>37</v>
      </c>
      <c r="B462" s="141" t="s">
        <v>55</v>
      </c>
      <c r="C462" s="140">
        <v>5.26</v>
      </c>
      <c r="D462" s="142"/>
    </row>
    <row r="463" spans="1:4" ht="15.75" customHeight="1" outlineLevel="1" x14ac:dyDescent="0.25">
      <c r="A463" s="140" t="s">
        <v>37</v>
      </c>
      <c r="B463" s="141" t="s">
        <v>1660</v>
      </c>
      <c r="C463" s="140">
        <v>5.1139999999999999</v>
      </c>
      <c r="D463" s="144" t="s">
        <v>3069</v>
      </c>
    </row>
    <row r="464" spans="1:4" ht="15.75" customHeight="1" outlineLevel="1" x14ac:dyDescent="0.25">
      <c r="A464" s="140" t="s">
        <v>37</v>
      </c>
      <c r="B464" s="141" t="s">
        <v>56</v>
      </c>
      <c r="C464" s="140">
        <v>5.27</v>
      </c>
      <c r="D464" s="142"/>
    </row>
    <row r="465" spans="1:4" ht="15.75" customHeight="1" outlineLevel="1" x14ac:dyDescent="0.25">
      <c r="A465" s="140" t="s">
        <v>37</v>
      </c>
      <c r="B465" s="141" t="s">
        <v>1661</v>
      </c>
      <c r="C465" s="140">
        <v>5.1150000000000002</v>
      </c>
      <c r="D465" s="144" t="s">
        <v>3069</v>
      </c>
    </row>
    <row r="466" spans="1:4" ht="15.75" customHeight="1" outlineLevel="1" x14ac:dyDescent="0.25">
      <c r="A466" s="140" t="s">
        <v>37</v>
      </c>
      <c r="B466" s="141" t="s">
        <v>1662</v>
      </c>
      <c r="C466" s="140">
        <v>5.1159999999999997</v>
      </c>
      <c r="D466" s="144" t="s">
        <v>3069</v>
      </c>
    </row>
    <row r="467" spans="1:4" ht="15.75" customHeight="1" outlineLevel="1" x14ac:dyDescent="0.25">
      <c r="A467" s="140" t="s">
        <v>37</v>
      </c>
      <c r="B467" s="141" t="s">
        <v>94</v>
      </c>
      <c r="C467" s="140">
        <v>5.28</v>
      </c>
      <c r="D467" s="142"/>
    </row>
    <row r="468" spans="1:4" ht="15.75" customHeight="1" outlineLevel="1" x14ac:dyDescent="0.25">
      <c r="A468" s="140" t="s">
        <v>37</v>
      </c>
      <c r="B468" s="141" t="s">
        <v>57</v>
      </c>
      <c r="C468" s="140">
        <v>5.36</v>
      </c>
      <c r="D468" s="142"/>
    </row>
    <row r="469" spans="1:4" ht="15.75" customHeight="1" outlineLevel="1" x14ac:dyDescent="0.25">
      <c r="A469" s="140" t="s">
        <v>37</v>
      </c>
      <c r="B469" s="141" t="s">
        <v>1402</v>
      </c>
      <c r="C469" s="140">
        <v>5.37</v>
      </c>
      <c r="D469" s="142"/>
    </row>
    <row r="470" spans="1:4" ht="15.75" customHeight="1" outlineLevel="1" x14ac:dyDescent="0.25">
      <c r="A470" s="140" t="s">
        <v>37</v>
      </c>
      <c r="B470" s="141" t="s">
        <v>60</v>
      </c>
      <c r="C470" s="140">
        <v>5.53</v>
      </c>
      <c r="D470" s="142"/>
    </row>
    <row r="471" spans="1:4" ht="15.75" customHeight="1" outlineLevel="1" x14ac:dyDescent="0.25">
      <c r="A471" s="140" t="s">
        <v>37</v>
      </c>
      <c r="B471" s="141" t="s">
        <v>1408</v>
      </c>
      <c r="C471" s="140">
        <v>5.109</v>
      </c>
      <c r="D471" s="142"/>
    </row>
    <row r="472" spans="1:4" ht="15.75" customHeight="1" outlineLevel="1" x14ac:dyDescent="0.25">
      <c r="A472" s="140" t="s">
        <v>37</v>
      </c>
      <c r="B472" s="141" t="s">
        <v>1409</v>
      </c>
      <c r="C472" s="140">
        <v>5.1109999999999998</v>
      </c>
      <c r="D472" s="142"/>
    </row>
    <row r="473" spans="1:4" ht="15.75" customHeight="1" outlineLevel="1" x14ac:dyDescent="0.25">
      <c r="A473" s="140" t="s">
        <v>37</v>
      </c>
      <c r="B473" s="141" t="s">
        <v>1411</v>
      </c>
      <c r="C473" s="140">
        <v>5.1120000000000001</v>
      </c>
      <c r="D473" s="142"/>
    </row>
    <row r="474" spans="1:4" ht="15.75" customHeight="1" outlineLevel="1" x14ac:dyDescent="0.25">
      <c r="A474" s="140" t="s">
        <v>37</v>
      </c>
      <c r="B474" s="141" t="s">
        <v>62</v>
      </c>
      <c r="C474" s="140">
        <v>5.54</v>
      </c>
      <c r="D474" s="142"/>
    </row>
    <row r="475" spans="1:4" ht="15.75" customHeight="1" outlineLevel="1" x14ac:dyDescent="0.25">
      <c r="A475" s="140" t="s">
        <v>37</v>
      </c>
      <c r="B475" s="141" t="s">
        <v>3076</v>
      </c>
      <c r="C475" s="140">
        <v>5.61</v>
      </c>
      <c r="D475" s="142"/>
    </row>
    <row r="476" spans="1:4" ht="15.75" customHeight="1" outlineLevel="1" x14ac:dyDescent="0.25">
      <c r="A476" s="140" t="s">
        <v>37</v>
      </c>
      <c r="B476" s="141" t="s">
        <v>64</v>
      </c>
      <c r="C476" s="140">
        <v>5.63</v>
      </c>
      <c r="D476" s="142"/>
    </row>
    <row r="477" spans="1:4" ht="15.75" customHeight="1" outlineLevel="1" x14ac:dyDescent="0.25">
      <c r="A477" s="140" t="s">
        <v>37</v>
      </c>
      <c r="B477" s="141" t="s">
        <v>1664</v>
      </c>
      <c r="C477" s="140">
        <v>5.46</v>
      </c>
      <c r="D477" s="142"/>
    </row>
    <row r="478" spans="1:4" ht="15.75" customHeight="1" outlineLevel="1" x14ac:dyDescent="0.25">
      <c r="A478" s="140" t="s">
        <v>37</v>
      </c>
      <c r="B478" s="141" t="s">
        <v>65</v>
      </c>
      <c r="C478" s="140">
        <v>5.47</v>
      </c>
      <c r="D478" s="142"/>
    </row>
    <row r="479" spans="1:4" ht="15.75" customHeight="1" outlineLevel="1" x14ac:dyDescent="0.25">
      <c r="A479" s="140" t="s">
        <v>37</v>
      </c>
      <c r="B479" s="141" t="s">
        <v>66</v>
      </c>
      <c r="C479" s="140">
        <v>5.48</v>
      </c>
      <c r="D479" s="142"/>
    </row>
    <row r="480" spans="1:4" ht="15.75" customHeight="1" x14ac:dyDescent="0.25">
      <c r="A480" s="145" t="s">
        <v>37</v>
      </c>
      <c r="B480" s="141"/>
      <c r="C480" s="140"/>
      <c r="D480" s="142"/>
    </row>
    <row r="481" spans="1:4" ht="15.75" customHeight="1" outlineLevel="1" x14ac:dyDescent="0.25">
      <c r="A481" s="140" t="s">
        <v>38</v>
      </c>
      <c r="B481" s="141" t="s">
        <v>50</v>
      </c>
      <c r="C481" s="140">
        <v>5.0999999999999996</v>
      </c>
      <c r="D481" s="142"/>
    </row>
    <row r="482" spans="1:4" ht="15.75" customHeight="1" outlineLevel="1" x14ac:dyDescent="0.25">
      <c r="A482" s="140" t="s">
        <v>38</v>
      </c>
      <c r="B482" s="141" t="s">
        <v>51</v>
      </c>
      <c r="C482" s="140">
        <v>5.2</v>
      </c>
      <c r="D482" s="142"/>
    </row>
    <row r="483" spans="1:4" ht="15.75" customHeight="1" outlineLevel="1" x14ac:dyDescent="0.25">
      <c r="A483" s="140" t="s">
        <v>38</v>
      </c>
      <c r="B483" s="141" t="s">
        <v>91</v>
      </c>
      <c r="C483" s="140">
        <v>5.3</v>
      </c>
      <c r="D483" s="142"/>
    </row>
    <row r="484" spans="1:4" ht="15.75" customHeight="1" outlineLevel="1" x14ac:dyDescent="0.25">
      <c r="A484" s="140" t="s">
        <v>38</v>
      </c>
      <c r="B484" s="141" t="s">
        <v>198</v>
      </c>
      <c r="C484" s="140">
        <v>5.6</v>
      </c>
      <c r="D484" s="142"/>
    </row>
    <row r="485" spans="1:4" ht="15.75" customHeight="1" outlineLevel="1" x14ac:dyDescent="0.25">
      <c r="A485" s="140" t="s">
        <v>38</v>
      </c>
      <c r="B485" s="141" t="s">
        <v>3070</v>
      </c>
      <c r="C485" s="143">
        <v>5.0999999999999996</v>
      </c>
      <c r="D485" s="142"/>
    </row>
    <row r="486" spans="1:4" ht="15.75" customHeight="1" outlineLevel="1" x14ac:dyDescent="0.25">
      <c r="A486" s="140" t="s">
        <v>38</v>
      </c>
      <c r="B486" s="141" t="s">
        <v>1333</v>
      </c>
      <c r="C486" s="140">
        <v>5.14</v>
      </c>
      <c r="D486" s="142"/>
    </row>
    <row r="487" spans="1:4" ht="15.75" customHeight="1" outlineLevel="1" x14ac:dyDescent="0.25">
      <c r="A487" s="140" t="s">
        <v>38</v>
      </c>
      <c r="B487" s="141" t="s">
        <v>93</v>
      </c>
      <c r="C487" s="140">
        <v>5.19</v>
      </c>
      <c r="D487" s="142"/>
    </row>
    <row r="488" spans="1:4" ht="15.75" customHeight="1" outlineLevel="1" x14ac:dyDescent="0.25">
      <c r="A488" s="140" t="s">
        <v>38</v>
      </c>
      <c r="B488" s="141" t="s">
        <v>200</v>
      </c>
      <c r="C488" s="140">
        <v>5.24</v>
      </c>
      <c r="D488" s="142"/>
    </row>
    <row r="489" spans="1:4" ht="15.75" customHeight="1" outlineLevel="1" x14ac:dyDescent="0.25">
      <c r="A489" s="140" t="s">
        <v>38</v>
      </c>
      <c r="B489" s="141" t="s">
        <v>56</v>
      </c>
      <c r="C489" s="140">
        <v>5.27</v>
      </c>
      <c r="D489" s="142"/>
    </row>
    <row r="490" spans="1:4" ht="15.75" customHeight="1" outlineLevel="1" x14ac:dyDescent="0.25">
      <c r="A490" s="140" t="s">
        <v>38</v>
      </c>
      <c r="B490" s="141" t="s">
        <v>94</v>
      </c>
      <c r="C490" s="140">
        <v>5.28</v>
      </c>
      <c r="D490" s="142"/>
    </row>
    <row r="491" spans="1:4" ht="15.75" customHeight="1" outlineLevel="1" x14ac:dyDescent="0.25">
      <c r="A491" s="140" t="s">
        <v>38</v>
      </c>
      <c r="B491" s="141" t="s">
        <v>207</v>
      </c>
      <c r="C491" s="140">
        <v>5.29</v>
      </c>
      <c r="D491" s="142"/>
    </row>
    <row r="492" spans="1:4" ht="15.75" customHeight="1" outlineLevel="1" x14ac:dyDescent="0.25">
      <c r="A492" s="140" t="s">
        <v>38</v>
      </c>
      <c r="B492" s="141" t="s">
        <v>1383</v>
      </c>
      <c r="C492" s="140">
        <v>5.34</v>
      </c>
      <c r="D492" s="142"/>
    </row>
    <row r="493" spans="1:4" ht="15.75" customHeight="1" outlineLevel="1" x14ac:dyDescent="0.25">
      <c r="A493" s="140" t="s">
        <v>38</v>
      </c>
      <c r="B493" s="141" t="s">
        <v>201</v>
      </c>
      <c r="C493" s="140">
        <v>5.31</v>
      </c>
      <c r="D493" s="142"/>
    </row>
    <row r="494" spans="1:4" ht="15.75" customHeight="1" outlineLevel="1" x14ac:dyDescent="0.25">
      <c r="A494" s="140" t="s">
        <v>38</v>
      </c>
      <c r="B494" s="141" t="s">
        <v>1384</v>
      </c>
      <c r="C494" s="140">
        <v>5.101</v>
      </c>
      <c r="D494" s="142"/>
    </row>
    <row r="495" spans="1:4" ht="15.75" customHeight="1" outlineLevel="1" x14ac:dyDescent="0.25">
      <c r="A495" s="140" t="s">
        <v>38</v>
      </c>
      <c r="B495" s="141" t="s">
        <v>57</v>
      </c>
      <c r="C495" s="140">
        <v>5.36</v>
      </c>
      <c r="D495" s="142"/>
    </row>
    <row r="496" spans="1:4" ht="15.75" customHeight="1" outlineLevel="1" x14ac:dyDescent="0.25">
      <c r="A496" s="140" t="s">
        <v>38</v>
      </c>
      <c r="B496" s="141" t="s">
        <v>1402</v>
      </c>
      <c r="C496" s="140">
        <v>5.37</v>
      </c>
      <c r="D496" s="142"/>
    </row>
    <row r="497" spans="1:4" ht="15.75" customHeight="1" outlineLevel="1" x14ac:dyDescent="0.25">
      <c r="A497" s="140" t="s">
        <v>38</v>
      </c>
      <c r="B497" s="141" t="s">
        <v>60</v>
      </c>
      <c r="C497" s="140">
        <v>5.53</v>
      </c>
      <c r="D497" s="142"/>
    </row>
    <row r="498" spans="1:4" ht="15.75" customHeight="1" outlineLevel="1" x14ac:dyDescent="0.25">
      <c r="A498" s="140" t="s">
        <v>38</v>
      </c>
      <c r="B498" s="141" t="s">
        <v>1408</v>
      </c>
      <c r="C498" s="140">
        <v>5.109</v>
      </c>
      <c r="D498" s="142"/>
    </row>
    <row r="499" spans="1:4" ht="15.75" customHeight="1" outlineLevel="1" x14ac:dyDescent="0.25">
      <c r="A499" s="140" t="s">
        <v>38</v>
      </c>
      <c r="B499" s="141" t="s">
        <v>1409</v>
      </c>
      <c r="C499" s="140">
        <v>5.1109999999999998</v>
      </c>
      <c r="D499" s="142"/>
    </row>
    <row r="500" spans="1:4" ht="15.75" customHeight="1" outlineLevel="1" x14ac:dyDescent="0.25">
      <c r="A500" s="140" t="s">
        <v>38</v>
      </c>
      <c r="B500" s="141" t="s">
        <v>1411</v>
      </c>
      <c r="C500" s="140">
        <v>5.1120000000000001</v>
      </c>
      <c r="D500" s="142"/>
    </row>
    <row r="501" spans="1:4" ht="15.75" customHeight="1" outlineLevel="1" x14ac:dyDescent="0.25">
      <c r="A501" s="140" t="s">
        <v>38</v>
      </c>
      <c r="B501" s="141" t="s">
        <v>1385</v>
      </c>
      <c r="C501" s="140">
        <v>5.1020000000000003</v>
      </c>
      <c r="D501" s="142"/>
    </row>
    <row r="502" spans="1:4" ht="15.75" customHeight="1" outlineLevel="1" x14ac:dyDescent="0.25">
      <c r="A502" s="140" t="s">
        <v>38</v>
      </c>
      <c r="B502" s="141" t="s">
        <v>1386</v>
      </c>
      <c r="C502" s="146">
        <v>5.0999999999999996</v>
      </c>
      <c r="D502" s="142"/>
    </row>
    <row r="503" spans="1:4" ht="15.75" customHeight="1" outlineLevel="1" x14ac:dyDescent="0.25">
      <c r="A503" s="140" t="s">
        <v>38</v>
      </c>
      <c r="B503" s="141" t="s">
        <v>101</v>
      </c>
      <c r="C503" s="140">
        <v>5.58</v>
      </c>
      <c r="D503" s="142"/>
    </row>
    <row r="504" spans="1:4" ht="15.75" customHeight="1" outlineLevel="1" x14ac:dyDescent="0.25">
      <c r="A504" s="140" t="s">
        <v>38</v>
      </c>
      <c r="B504" s="141" t="s">
        <v>102</v>
      </c>
      <c r="C504" s="140">
        <v>5.55</v>
      </c>
      <c r="D504" s="142"/>
    </row>
    <row r="505" spans="1:4" ht="15.75" customHeight="1" outlineLevel="1" x14ac:dyDescent="0.25">
      <c r="A505" s="140" t="s">
        <v>38</v>
      </c>
      <c r="B505" s="141" t="s">
        <v>62</v>
      </c>
      <c r="C505" s="140">
        <v>5.54</v>
      </c>
      <c r="D505" s="142"/>
    </row>
    <row r="506" spans="1:4" ht="15.75" customHeight="1" outlineLevel="1" x14ac:dyDescent="0.25">
      <c r="A506" s="140" t="s">
        <v>38</v>
      </c>
      <c r="B506" s="141" t="s">
        <v>64</v>
      </c>
      <c r="C506" s="140">
        <v>5.63</v>
      </c>
      <c r="D506" s="142"/>
    </row>
    <row r="507" spans="1:4" ht="15.75" customHeight="1" outlineLevel="1" x14ac:dyDescent="0.25">
      <c r="A507" s="140" t="s">
        <v>38</v>
      </c>
      <c r="B507" s="141" t="s">
        <v>65</v>
      </c>
      <c r="C507" s="140">
        <v>5.47</v>
      </c>
      <c r="D507" s="142"/>
    </row>
    <row r="508" spans="1:4" ht="15.75" customHeight="1" outlineLevel="1" x14ac:dyDescent="0.25">
      <c r="A508" s="140" t="s">
        <v>38</v>
      </c>
      <c r="B508" s="141" t="s">
        <v>66</v>
      </c>
      <c r="C508" s="140">
        <v>5.48</v>
      </c>
      <c r="D508" s="142"/>
    </row>
    <row r="509" spans="1:4" ht="15.75" customHeight="1" x14ac:dyDescent="0.25">
      <c r="A509" s="145" t="s">
        <v>38</v>
      </c>
      <c r="B509" s="141"/>
      <c r="C509" s="140"/>
      <c r="D509" s="142"/>
    </row>
    <row r="510" spans="1:4" ht="15.75" customHeight="1" outlineLevel="1" x14ac:dyDescent="0.25">
      <c r="A510" s="140" t="s">
        <v>39</v>
      </c>
      <c r="B510" s="141" t="s">
        <v>50</v>
      </c>
      <c r="C510" s="140">
        <v>5.0999999999999996</v>
      </c>
      <c r="D510" s="142"/>
    </row>
    <row r="511" spans="1:4" ht="15.75" customHeight="1" outlineLevel="1" x14ac:dyDescent="0.25">
      <c r="A511" s="140" t="s">
        <v>39</v>
      </c>
      <c r="B511" s="141" t="s">
        <v>51</v>
      </c>
      <c r="C511" s="140">
        <v>5.2</v>
      </c>
      <c r="D511" s="142"/>
    </row>
    <row r="512" spans="1:4" ht="15.75" customHeight="1" outlineLevel="1" x14ac:dyDescent="0.25">
      <c r="A512" s="140" t="s">
        <v>39</v>
      </c>
      <c r="B512" s="141" t="s">
        <v>91</v>
      </c>
      <c r="C512" s="140">
        <v>5.3</v>
      </c>
      <c r="D512" s="142"/>
    </row>
    <row r="513" spans="1:4" ht="15.75" customHeight="1" outlineLevel="1" x14ac:dyDescent="0.25">
      <c r="A513" s="140" t="s">
        <v>39</v>
      </c>
      <c r="B513" s="141" t="s">
        <v>198</v>
      </c>
      <c r="C513" s="140">
        <v>5.6</v>
      </c>
      <c r="D513" s="142"/>
    </row>
    <row r="514" spans="1:4" ht="15.75" customHeight="1" outlineLevel="1" x14ac:dyDescent="0.25">
      <c r="A514" s="140" t="s">
        <v>39</v>
      </c>
      <c r="B514" s="141" t="s">
        <v>3070</v>
      </c>
      <c r="C514" s="143">
        <v>5.0999999999999996</v>
      </c>
      <c r="D514" s="142"/>
    </row>
    <row r="515" spans="1:4" ht="15.75" customHeight="1" outlineLevel="1" x14ac:dyDescent="0.25">
      <c r="A515" s="140" t="s">
        <v>39</v>
      </c>
      <c r="B515" s="141" t="s">
        <v>1333</v>
      </c>
      <c r="C515" s="140">
        <v>5.14</v>
      </c>
      <c r="D515" s="142"/>
    </row>
    <row r="516" spans="1:4" ht="15.75" customHeight="1" outlineLevel="1" x14ac:dyDescent="0.25">
      <c r="A516" s="140" t="s">
        <v>39</v>
      </c>
      <c r="B516" s="141" t="s">
        <v>93</v>
      </c>
      <c r="C516" s="140">
        <v>5.19</v>
      </c>
      <c r="D516" s="142"/>
    </row>
    <row r="517" spans="1:4" ht="15.75" customHeight="1" outlineLevel="1" x14ac:dyDescent="0.25">
      <c r="A517" s="140" t="s">
        <v>39</v>
      </c>
      <c r="B517" s="141" t="s">
        <v>200</v>
      </c>
      <c r="C517" s="140">
        <v>5.24</v>
      </c>
      <c r="D517" s="142"/>
    </row>
    <row r="518" spans="1:4" ht="15.75" customHeight="1" outlineLevel="1" x14ac:dyDescent="0.25">
      <c r="A518" s="140" t="s">
        <v>39</v>
      </c>
      <c r="B518" s="141" t="s">
        <v>55</v>
      </c>
      <c r="C518" s="140">
        <v>5.26</v>
      </c>
      <c r="D518" s="142"/>
    </row>
    <row r="519" spans="1:4" ht="15.75" customHeight="1" outlineLevel="1" x14ac:dyDescent="0.25">
      <c r="A519" s="140" t="s">
        <v>39</v>
      </c>
      <c r="B519" s="141" t="s">
        <v>56</v>
      </c>
      <c r="C519" s="140">
        <v>5.27</v>
      </c>
      <c r="D519" s="142"/>
    </row>
    <row r="520" spans="1:4" ht="15.75" customHeight="1" outlineLevel="1" x14ac:dyDescent="0.25">
      <c r="A520" s="140" t="s">
        <v>39</v>
      </c>
      <c r="B520" s="141" t="s">
        <v>94</v>
      </c>
      <c r="C520" s="140">
        <v>5.28</v>
      </c>
      <c r="D520" s="142"/>
    </row>
    <row r="521" spans="1:4" ht="15.75" customHeight="1" outlineLevel="1" x14ac:dyDescent="0.25">
      <c r="A521" s="140" t="s">
        <v>39</v>
      </c>
      <c r="B521" s="141" t="s">
        <v>201</v>
      </c>
      <c r="C521" s="140">
        <v>5.31</v>
      </c>
      <c r="D521" s="142"/>
    </row>
    <row r="522" spans="1:4" ht="15.75" customHeight="1" outlineLevel="1" x14ac:dyDescent="0.25">
      <c r="A522" s="140" t="s">
        <v>39</v>
      </c>
      <c r="B522" s="141" t="s">
        <v>1389</v>
      </c>
      <c r="C522" s="140">
        <v>5.33</v>
      </c>
      <c r="D522" s="142"/>
    </row>
    <row r="523" spans="1:4" ht="15.75" customHeight="1" outlineLevel="1" x14ac:dyDescent="0.25">
      <c r="A523" s="140" t="s">
        <v>39</v>
      </c>
      <c r="B523" s="141" t="s">
        <v>1384</v>
      </c>
      <c r="C523" s="140">
        <v>5.101</v>
      </c>
      <c r="D523" s="142"/>
    </row>
    <row r="524" spans="1:4" ht="15.75" customHeight="1" outlineLevel="1" x14ac:dyDescent="0.25">
      <c r="A524" s="140" t="s">
        <v>39</v>
      </c>
      <c r="B524" s="141" t="s">
        <v>57</v>
      </c>
      <c r="C524" s="140">
        <v>5.36</v>
      </c>
      <c r="D524" s="142"/>
    </row>
    <row r="525" spans="1:4" ht="15.75" customHeight="1" outlineLevel="1" x14ac:dyDescent="0.25">
      <c r="A525" s="140" t="s">
        <v>39</v>
      </c>
      <c r="B525" s="141" t="s">
        <v>1402</v>
      </c>
      <c r="C525" s="140">
        <v>5.37</v>
      </c>
      <c r="D525" s="142"/>
    </row>
    <row r="526" spans="1:4" ht="15.75" customHeight="1" outlineLevel="1" x14ac:dyDescent="0.25">
      <c r="A526" s="140" t="s">
        <v>39</v>
      </c>
      <c r="B526" s="141" t="s">
        <v>60</v>
      </c>
      <c r="C526" s="140">
        <v>5.53</v>
      </c>
      <c r="D526" s="142"/>
    </row>
    <row r="527" spans="1:4" ht="15.75" customHeight="1" outlineLevel="1" x14ac:dyDescent="0.25">
      <c r="A527" s="140" t="s">
        <v>39</v>
      </c>
      <c r="B527" s="141" t="s">
        <v>1408</v>
      </c>
      <c r="C527" s="140">
        <v>5.109</v>
      </c>
      <c r="D527" s="142"/>
    </row>
    <row r="528" spans="1:4" ht="15.75" customHeight="1" outlineLevel="1" x14ac:dyDescent="0.25">
      <c r="A528" s="140" t="s">
        <v>39</v>
      </c>
      <c r="B528" s="141" t="s">
        <v>1409</v>
      </c>
      <c r="C528" s="140">
        <v>5.1109999999999998</v>
      </c>
      <c r="D528" s="142"/>
    </row>
    <row r="529" spans="1:4" ht="15.75" customHeight="1" outlineLevel="1" x14ac:dyDescent="0.25">
      <c r="A529" s="140" t="s">
        <v>39</v>
      </c>
      <c r="B529" s="141" t="s">
        <v>1411</v>
      </c>
      <c r="C529" s="140">
        <v>5.1120000000000001</v>
      </c>
      <c r="D529" s="142"/>
    </row>
    <row r="530" spans="1:4" ht="15.75" customHeight="1" outlineLevel="1" x14ac:dyDescent="0.25">
      <c r="A530" s="140" t="s">
        <v>39</v>
      </c>
      <c r="B530" s="141" t="s">
        <v>1385</v>
      </c>
      <c r="C530" s="140">
        <v>5.1020000000000003</v>
      </c>
      <c r="D530" s="142"/>
    </row>
    <row r="531" spans="1:4" ht="15.75" customHeight="1" outlineLevel="1" x14ac:dyDescent="0.25">
      <c r="A531" s="140" t="s">
        <v>39</v>
      </c>
      <c r="B531" s="141" t="s">
        <v>1386</v>
      </c>
      <c r="C531" s="146">
        <v>5.0999999999999996</v>
      </c>
      <c r="D531" s="142"/>
    </row>
    <row r="532" spans="1:4" ht="15.75" customHeight="1" outlineLevel="1" x14ac:dyDescent="0.25">
      <c r="A532" s="140" t="s">
        <v>39</v>
      </c>
      <c r="B532" s="141" t="s">
        <v>101</v>
      </c>
      <c r="C532" s="140">
        <v>5.58</v>
      </c>
      <c r="D532" s="142"/>
    </row>
    <row r="533" spans="1:4" ht="15.75" customHeight="1" outlineLevel="1" x14ac:dyDescent="0.25">
      <c r="A533" s="140" t="s">
        <v>39</v>
      </c>
      <c r="B533" s="141" t="s">
        <v>102</v>
      </c>
      <c r="C533" s="140">
        <v>5.55</v>
      </c>
      <c r="D533" s="142"/>
    </row>
    <row r="534" spans="1:4" ht="15.75" customHeight="1" outlineLevel="1" x14ac:dyDescent="0.25">
      <c r="A534" s="140" t="s">
        <v>39</v>
      </c>
      <c r="B534" s="141" t="s">
        <v>62</v>
      </c>
      <c r="C534" s="140">
        <v>5.54</v>
      </c>
      <c r="D534" s="142"/>
    </row>
    <row r="535" spans="1:4" ht="15.75" customHeight="1" outlineLevel="1" x14ac:dyDescent="0.25">
      <c r="A535" s="140" t="s">
        <v>39</v>
      </c>
      <c r="B535" s="141" t="s">
        <v>64</v>
      </c>
      <c r="C535" s="140">
        <v>5.63</v>
      </c>
      <c r="D535" s="142"/>
    </row>
    <row r="536" spans="1:4" ht="15.75" customHeight="1" outlineLevel="1" x14ac:dyDescent="0.25">
      <c r="A536" s="140" t="s">
        <v>39</v>
      </c>
      <c r="B536" s="141" t="s">
        <v>65</v>
      </c>
      <c r="C536" s="140">
        <v>5.47</v>
      </c>
      <c r="D536" s="142"/>
    </row>
    <row r="537" spans="1:4" ht="15.75" customHeight="1" outlineLevel="1" x14ac:dyDescent="0.25">
      <c r="A537" s="140" t="s">
        <v>39</v>
      </c>
      <c r="B537" s="141" t="s">
        <v>66</v>
      </c>
      <c r="C537" s="140">
        <v>5.48</v>
      </c>
      <c r="D537" s="142"/>
    </row>
    <row r="538" spans="1:4" ht="15.75" customHeight="1" x14ac:dyDescent="0.25">
      <c r="A538" s="145" t="s">
        <v>39</v>
      </c>
      <c r="B538" s="141"/>
      <c r="C538" s="140"/>
      <c r="D538" s="142"/>
    </row>
    <row r="539" spans="1:4" ht="15.75" customHeight="1" outlineLevel="1" x14ac:dyDescent="0.25">
      <c r="A539" s="140" t="s">
        <v>40</v>
      </c>
      <c r="B539" s="141" t="s">
        <v>50</v>
      </c>
      <c r="C539" s="140">
        <v>5.0999999999999996</v>
      </c>
      <c r="D539" s="142"/>
    </row>
    <row r="540" spans="1:4" ht="15.75" customHeight="1" outlineLevel="1" x14ac:dyDescent="0.25">
      <c r="A540" s="140" t="s">
        <v>40</v>
      </c>
      <c r="B540" s="141" t="s">
        <v>51</v>
      </c>
      <c r="C540" s="140">
        <v>5.2</v>
      </c>
      <c r="D540" s="142"/>
    </row>
    <row r="541" spans="1:4" ht="15.75" customHeight="1" outlineLevel="1" x14ac:dyDescent="0.25">
      <c r="A541" s="140" t="s">
        <v>40</v>
      </c>
      <c r="B541" s="141" t="s">
        <v>55</v>
      </c>
      <c r="C541" s="140">
        <v>5.26</v>
      </c>
      <c r="D541" s="142"/>
    </row>
    <row r="542" spans="1:4" ht="15.75" customHeight="1" outlineLevel="1" x14ac:dyDescent="0.25">
      <c r="A542" s="140" t="s">
        <v>40</v>
      </c>
      <c r="B542" s="141" t="s">
        <v>2081</v>
      </c>
      <c r="C542" s="140">
        <v>5.21</v>
      </c>
      <c r="D542" s="142"/>
    </row>
    <row r="543" spans="1:4" ht="15.75" customHeight="1" outlineLevel="1" x14ac:dyDescent="0.25">
      <c r="A543" s="140" t="s">
        <v>40</v>
      </c>
      <c r="B543" s="141" t="s">
        <v>2082</v>
      </c>
      <c r="C543" s="140">
        <v>5.53</v>
      </c>
      <c r="D543" s="142"/>
    </row>
    <row r="544" spans="1:4" ht="15.75" customHeight="1" outlineLevel="1" x14ac:dyDescent="0.25">
      <c r="A544" s="140" t="s">
        <v>40</v>
      </c>
      <c r="B544" s="141" t="s">
        <v>62</v>
      </c>
      <c r="C544" s="140">
        <v>5.54</v>
      </c>
      <c r="D544" s="142"/>
    </row>
    <row r="545" spans="1:4" ht="15.75" customHeight="1" outlineLevel="1" x14ac:dyDescent="0.25">
      <c r="A545" s="140" t="s">
        <v>40</v>
      </c>
      <c r="B545" s="141" t="s">
        <v>2083</v>
      </c>
      <c r="C545" s="140">
        <v>5.58</v>
      </c>
      <c r="D545" s="142"/>
    </row>
    <row r="546" spans="1:4" ht="15.75" customHeight="1" outlineLevel="1" x14ac:dyDescent="0.25">
      <c r="A546" s="140" t="s">
        <v>40</v>
      </c>
      <c r="B546" s="141" t="s">
        <v>2084</v>
      </c>
      <c r="C546" s="140">
        <v>5.1180000000000003</v>
      </c>
      <c r="D546" s="142"/>
    </row>
    <row r="547" spans="1:4" ht="15.75" customHeight="1" outlineLevel="1" x14ac:dyDescent="0.25">
      <c r="A547" s="140" t="s">
        <v>40</v>
      </c>
      <c r="B547" s="141" t="s">
        <v>2085</v>
      </c>
      <c r="C547" s="140">
        <v>5.47</v>
      </c>
      <c r="D547" s="142"/>
    </row>
    <row r="548" spans="1:4" ht="15.75" customHeight="1" outlineLevel="1" x14ac:dyDescent="0.25">
      <c r="A548" s="140" t="s">
        <v>40</v>
      </c>
      <c r="B548" s="141" t="s">
        <v>2086</v>
      </c>
      <c r="C548" s="140">
        <v>5.48</v>
      </c>
      <c r="D548" s="142"/>
    </row>
    <row r="549" spans="1:4" ht="15.75" customHeight="1" outlineLevel="1" x14ac:dyDescent="0.25">
      <c r="A549" s="140" t="s">
        <v>40</v>
      </c>
      <c r="B549" s="141" t="s">
        <v>2087</v>
      </c>
      <c r="C549" s="140">
        <v>5.21</v>
      </c>
      <c r="D549" s="142"/>
    </row>
    <row r="550" spans="1:4" ht="15.75" customHeight="1" outlineLevel="1" x14ac:dyDescent="0.25">
      <c r="A550" s="140" t="s">
        <v>40</v>
      </c>
      <c r="B550" s="141" t="s">
        <v>2088</v>
      </c>
      <c r="C550" s="140">
        <v>5.53</v>
      </c>
      <c r="D550" s="142"/>
    </row>
    <row r="551" spans="1:4" ht="15.75" customHeight="1" outlineLevel="1" x14ac:dyDescent="0.25">
      <c r="A551" s="140" t="s">
        <v>40</v>
      </c>
      <c r="B551" s="141" t="s">
        <v>62</v>
      </c>
      <c r="C551" s="140">
        <v>5.54</v>
      </c>
      <c r="D551" s="142"/>
    </row>
    <row r="552" spans="1:4" ht="15.75" customHeight="1" outlineLevel="1" x14ac:dyDescent="0.25">
      <c r="A552" s="140" t="s">
        <v>40</v>
      </c>
      <c r="B552" s="141" t="s">
        <v>2089</v>
      </c>
      <c r="C552" s="140">
        <v>5.58</v>
      </c>
      <c r="D552" s="142"/>
    </row>
    <row r="553" spans="1:4" ht="15.75" customHeight="1" outlineLevel="1" x14ac:dyDescent="0.25">
      <c r="A553" s="140" t="s">
        <v>40</v>
      </c>
      <c r="B553" s="141" t="s">
        <v>2090</v>
      </c>
      <c r="C553" s="140">
        <v>5.1180000000000003</v>
      </c>
      <c r="D553" s="142"/>
    </row>
    <row r="554" spans="1:4" ht="15.75" customHeight="1" outlineLevel="1" x14ac:dyDescent="0.25">
      <c r="A554" s="140" t="s">
        <v>40</v>
      </c>
      <c r="B554" s="141" t="s">
        <v>3077</v>
      </c>
      <c r="C554" s="140">
        <v>5.47</v>
      </c>
      <c r="D554" s="142"/>
    </row>
    <row r="555" spans="1:4" ht="15.75" customHeight="1" outlineLevel="1" x14ac:dyDescent="0.25">
      <c r="A555" s="140" t="s">
        <v>40</v>
      </c>
      <c r="B555" s="141" t="s">
        <v>3078</v>
      </c>
      <c r="C555" s="140">
        <v>5.48</v>
      </c>
      <c r="D555" s="142"/>
    </row>
    <row r="556" spans="1:4" ht="15.75" customHeight="1" outlineLevel="1" x14ac:dyDescent="0.25">
      <c r="A556" s="140" t="s">
        <v>40</v>
      </c>
      <c r="B556" s="141" t="s">
        <v>3079</v>
      </c>
      <c r="C556" s="140">
        <v>5.63</v>
      </c>
      <c r="D556" s="142"/>
    </row>
    <row r="557" spans="1:4" ht="15.75" customHeight="1" outlineLevel="1" x14ac:dyDescent="0.25">
      <c r="A557" s="140" t="s">
        <v>40</v>
      </c>
      <c r="B557" s="141" t="s">
        <v>56</v>
      </c>
      <c r="C557" s="140">
        <v>5.27</v>
      </c>
      <c r="D557" s="142"/>
    </row>
    <row r="558" spans="1:4" ht="15.75" customHeight="1" outlineLevel="1" x14ac:dyDescent="0.25">
      <c r="A558" s="140" t="s">
        <v>40</v>
      </c>
      <c r="B558" s="141" t="s">
        <v>94</v>
      </c>
      <c r="C558" s="140">
        <v>5.28</v>
      </c>
      <c r="D558" s="142"/>
    </row>
    <row r="559" spans="1:4" ht="15.75" customHeight="1" outlineLevel="1" x14ac:dyDescent="0.25">
      <c r="A559" s="140" t="s">
        <v>40</v>
      </c>
      <c r="B559" s="141" t="s">
        <v>2094</v>
      </c>
      <c r="C559" s="140">
        <v>5.35</v>
      </c>
      <c r="D559" s="142"/>
    </row>
    <row r="560" spans="1:4" ht="15.75" customHeight="1" outlineLevel="1" x14ac:dyDescent="0.25">
      <c r="A560" s="140" t="s">
        <v>40</v>
      </c>
      <c r="B560" s="141" t="s">
        <v>2095</v>
      </c>
      <c r="C560" s="140">
        <v>5.1189999999999998</v>
      </c>
      <c r="D560" s="142"/>
    </row>
    <row r="561" spans="1:4" ht="15.75" customHeight="1" outlineLevel="1" x14ac:dyDescent="0.25">
      <c r="A561" s="140" t="s">
        <v>40</v>
      </c>
      <c r="B561" s="141" t="s">
        <v>2096</v>
      </c>
      <c r="C561" s="146">
        <v>5.12</v>
      </c>
      <c r="D561" s="142"/>
    </row>
    <row r="562" spans="1:4" ht="15.75" customHeight="1" outlineLevel="1" x14ac:dyDescent="0.25">
      <c r="A562" s="140" t="s">
        <v>40</v>
      </c>
      <c r="B562" s="141" t="s">
        <v>2097</v>
      </c>
      <c r="C562" s="140">
        <v>5.1210000000000004</v>
      </c>
      <c r="D562" s="142"/>
    </row>
    <row r="563" spans="1:4" ht="15.75" customHeight="1" outlineLevel="1" x14ac:dyDescent="0.25">
      <c r="A563" s="140" t="s">
        <v>40</v>
      </c>
      <c r="B563" s="141" t="s">
        <v>57</v>
      </c>
      <c r="C563" s="140">
        <v>5.36</v>
      </c>
      <c r="D563" s="142"/>
    </row>
    <row r="564" spans="1:4" ht="15.75" customHeight="1" outlineLevel="1" x14ac:dyDescent="0.25">
      <c r="A564" s="140" t="s">
        <v>40</v>
      </c>
      <c r="B564" s="141" t="s">
        <v>2098</v>
      </c>
      <c r="C564" s="140">
        <v>5.1219999999999999</v>
      </c>
      <c r="D564" s="142"/>
    </row>
    <row r="565" spans="1:4" ht="15.75" customHeight="1" outlineLevel="1" x14ac:dyDescent="0.25">
      <c r="A565" s="140" t="s">
        <v>40</v>
      </c>
      <c r="B565" s="141" t="s">
        <v>2099</v>
      </c>
      <c r="C565" s="140">
        <v>5.1230000000000002</v>
      </c>
      <c r="D565" s="142"/>
    </row>
    <row r="566" spans="1:4" ht="15.75" customHeight="1" outlineLevel="1" x14ac:dyDescent="0.25">
      <c r="A566" s="140" t="s">
        <v>40</v>
      </c>
      <c r="B566" s="141" t="s">
        <v>2100</v>
      </c>
      <c r="C566" s="140">
        <v>5.1239999999999997</v>
      </c>
      <c r="D566" s="142"/>
    </row>
    <row r="567" spans="1:4" ht="15.75" customHeight="1" outlineLevel="1" x14ac:dyDescent="0.25">
      <c r="A567" s="140" t="s">
        <v>40</v>
      </c>
      <c r="B567" s="141" t="s">
        <v>2101</v>
      </c>
      <c r="C567" s="140">
        <v>5.125</v>
      </c>
      <c r="D567" s="142"/>
    </row>
    <row r="568" spans="1:4" ht="15.75" customHeight="1" outlineLevel="1" x14ac:dyDescent="0.25">
      <c r="A568" s="140" t="s">
        <v>40</v>
      </c>
      <c r="B568" s="141" t="s">
        <v>2102</v>
      </c>
      <c r="C568" s="140">
        <v>5.1260000000000003</v>
      </c>
      <c r="D568" s="142"/>
    </row>
    <row r="569" spans="1:4" ht="15.75" customHeight="1" outlineLevel="1" x14ac:dyDescent="0.25">
      <c r="A569" s="140" t="s">
        <v>40</v>
      </c>
      <c r="B569" s="141" t="s">
        <v>2103</v>
      </c>
      <c r="C569" s="140">
        <v>5.1269999999999998</v>
      </c>
      <c r="D569" s="142"/>
    </row>
    <row r="570" spans="1:4" ht="15.75" customHeight="1" outlineLevel="1" x14ac:dyDescent="0.25">
      <c r="A570" s="140" t="s">
        <v>40</v>
      </c>
      <c r="B570" s="141" t="s">
        <v>203</v>
      </c>
      <c r="C570" s="143">
        <v>5.72</v>
      </c>
      <c r="D570" s="142"/>
    </row>
    <row r="571" spans="1:4" ht="15.75" customHeight="1" outlineLevel="1" x14ac:dyDescent="0.25">
      <c r="A571" s="140" t="s">
        <v>40</v>
      </c>
      <c r="B571" s="141" t="s">
        <v>2104</v>
      </c>
      <c r="C571" s="140">
        <v>5.1280000000000001</v>
      </c>
      <c r="D571" s="142"/>
    </row>
    <row r="572" spans="1:4" ht="15.75" customHeight="1" outlineLevel="1" x14ac:dyDescent="0.25">
      <c r="A572" s="140" t="s">
        <v>40</v>
      </c>
      <c r="B572" s="141" t="s">
        <v>2105</v>
      </c>
      <c r="C572" s="140">
        <v>5.1289999999999996</v>
      </c>
      <c r="D572" s="144" t="s">
        <v>3069</v>
      </c>
    </row>
    <row r="573" spans="1:4" ht="15.75" customHeight="1" outlineLevel="1" x14ac:dyDescent="0.25">
      <c r="A573" s="140" t="s">
        <v>40</v>
      </c>
      <c r="B573" s="141" t="s">
        <v>2106</v>
      </c>
      <c r="C573" s="140">
        <v>5.1310000000000002</v>
      </c>
      <c r="D573" s="142"/>
    </row>
    <row r="574" spans="1:4" ht="15.75" customHeight="1" outlineLevel="1" x14ac:dyDescent="0.25">
      <c r="A574" s="140" t="s">
        <v>40</v>
      </c>
      <c r="B574" s="141" t="s">
        <v>2107</v>
      </c>
      <c r="C574" s="140">
        <v>5.1319999999999997</v>
      </c>
      <c r="D574" s="144" t="s">
        <v>3069</v>
      </c>
    </row>
    <row r="575" spans="1:4" ht="15.75" customHeight="1" outlineLevel="1" x14ac:dyDescent="0.25">
      <c r="A575" s="140" t="s">
        <v>40</v>
      </c>
      <c r="B575" s="141" t="s">
        <v>2108</v>
      </c>
      <c r="C575" s="140">
        <v>5.133</v>
      </c>
      <c r="D575" s="144" t="s">
        <v>3069</v>
      </c>
    </row>
    <row r="576" spans="1:4" ht="15.75" customHeight="1" outlineLevel="1" x14ac:dyDescent="0.25">
      <c r="A576" s="140" t="s">
        <v>40</v>
      </c>
      <c r="B576" s="141" t="s">
        <v>2109</v>
      </c>
      <c r="C576" s="140">
        <v>5.1340000000000003</v>
      </c>
      <c r="D576" s="144" t="s">
        <v>3069</v>
      </c>
    </row>
    <row r="577" spans="1:4" ht="15.75" customHeight="1" outlineLevel="1" x14ac:dyDescent="0.25">
      <c r="A577" s="140" t="s">
        <v>40</v>
      </c>
      <c r="B577" s="141" t="s">
        <v>2110</v>
      </c>
      <c r="C577" s="146">
        <v>5.13</v>
      </c>
      <c r="D577" s="142"/>
    </row>
    <row r="578" spans="1:4" ht="15.75" customHeight="1" outlineLevel="1" x14ac:dyDescent="0.25">
      <c r="A578" s="140" t="s">
        <v>40</v>
      </c>
      <c r="B578" s="141" t="s">
        <v>65</v>
      </c>
      <c r="C578" s="140">
        <v>5.47</v>
      </c>
      <c r="D578" s="142"/>
    </row>
    <row r="579" spans="1:4" ht="15.75" customHeight="1" outlineLevel="1" x14ac:dyDescent="0.25">
      <c r="A579" s="140" t="s">
        <v>40</v>
      </c>
      <c r="B579" s="141" t="s">
        <v>66</v>
      </c>
      <c r="C579" s="140">
        <v>5.48</v>
      </c>
      <c r="D579" s="142"/>
    </row>
    <row r="580" spans="1:4" ht="15.75" customHeight="1" x14ac:dyDescent="0.25">
      <c r="A580" s="145" t="s">
        <v>40</v>
      </c>
      <c r="B580" s="141"/>
      <c r="C580" s="140"/>
      <c r="D580" s="142"/>
    </row>
    <row r="581" spans="1:4" ht="15.75" customHeight="1" outlineLevel="1" x14ac:dyDescent="0.25">
      <c r="A581" s="140" t="s">
        <v>41</v>
      </c>
      <c r="B581" s="141" t="s">
        <v>50</v>
      </c>
      <c r="C581" s="140">
        <v>5.0999999999999996</v>
      </c>
      <c r="D581" s="142"/>
    </row>
    <row r="582" spans="1:4" ht="15.75" customHeight="1" outlineLevel="1" x14ac:dyDescent="0.25">
      <c r="A582" s="140" t="s">
        <v>41</v>
      </c>
      <c r="B582" s="141" t="s">
        <v>51</v>
      </c>
      <c r="C582" s="140">
        <v>5.2</v>
      </c>
      <c r="D582" s="142"/>
    </row>
    <row r="583" spans="1:4" ht="15.75" customHeight="1" outlineLevel="1" x14ac:dyDescent="0.25">
      <c r="A583" s="140" t="s">
        <v>41</v>
      </c>
      <c r="B583" s="141" t="s">
        <v>2141</v>
      </c>
      <c r="C583" s="140">
        <v>5.9</v>
      </c>
      <c r="D583" s="144" t="s">
        <v>3069</v>
      </c>
    </row>
    <row r="584" spans="1:4" ht="15.75" customHeight="1" outlineLevel="1" x14ac:dyDescent="0.25">
      <c r="A584" s="140" t="s">
        <v>41</v>
      </c>
      <c r="B584" s="141" t="s">
        <v>2142</v>
      </c>
      <c r="C584" s="140">
        <v>5.13</v>
      </c>
      <c r="D584" s="144" t="s">
        <v>3069</v>
      </c>
    </row>
    <row r="585" spans="1:4" ht="15.75" customHeight="1" outlineLevel="1" x14ac:dyDescent="0.25">
      <c r="A585" s="140" t="s">
        <v>41</v>
      </c>
      <c r="B585" s="141" t="s">
        <v>2143</v>
      </c>
      <c r="C585" s="140">
        <v>5.16</v>
      </c>
      <c r="D585" s="144" t="s">
        <v>3069</v>
      </c>
    </row>
    <row r="586" spans="1:4" ht="15.75" customHeight="1" outlineLevel="1" x14ac:dyDescent="0.25">
      <c r="A586" s="140" t="s">
        <v>41</v>
      </c>
      <c r="B586" s="141" t="s">
        <v>2144</v>
      </c>
      <c r="C586" s="140">
        <v>5.22</v>
      </c>
      <c r="D586" s="144"/>
    </row>
    <row r="587" spans="1:4" ht="15.75" customHeight="1" outlineLevel="1" x14ac:dyDescent="0.25">
      <c r="A587" s="140" t="s">
        <v>41</v>
      </c>
      <c r="B587" s="141" t="s">
        <v>55</v>
      </c>
      <c r="C587" s="140">
        <v>5.26</v>
      </c>
      <c r="D587" s="142"/>
    </row>
    <row r="588" spans="1:4" ht="15.75" customHeight="1" outlineLevel="1" x14ac:dyDescent="0.25">
      <c r="A588" s="140" t="s">
        <v>41</v>
      </c>
      <c r="B588" s="141" t="s">
        <v>2145</v>
      </c>
      <c r="C588" s="140">
        <v>5.77</v>
      </c>
      <c r="D588" s="142"/>
    </row>
    <row r="589" spans="1:4" ht="15.75" customHeight="1" outlineLevel="1" x14ac:dyDescent="0.25">
      <c r="A589" s="140" t="s">
        <v>41</v>
      </c>
      <c r="B589" s="141" t="s">
        <v>56</v>
      </c>
      <c r="C589" s="140">
        <v>5.27</v>
      </c>
      <c r="D589" s="142"/>
    </row>
    <row r="590" spans="1:4" ht="15.75" customHeight="1" outlineLevel="1" x14ac:dyDescent="0.25">
      <c r="A590" s="140" t="s">
        <v>41</v>
      </c>
      <c r="B590" s="141" t="s">
        <v>94</v>
      </c>
      <c r="C590" s="140">
        <v>5.28</v>
      </c>
      <c r="D590" s="144" t="s">
        <v>3069</v>
      </c>
    </row>
    <row r="591" spans="1:4" ht="15.75" customHeight="1" outlineLevel="1" x14ac:dyDescent="0.25">
      <c r="A591" s="140" t="s">
        <v>41</v>
      </c>
      <c r="B591" s="141" t="s">
        <v>201</v>
      </c>
      <c r="C591" s="140">
        <v>5.31</v>
      </c>
      <c r="D591" s="142"/>
    </row>
    <row r="592" spans="1:4" ht="15.75" customHeight="1" outlineLevel="1" x14ac:dyDescent="0.25">
      <c r="A592" s="140" t="s">
        <v>41</v>
      </c>
      <c r="B592" s="141" t="s">
        <v>57</v>
      </c>
      <c r="C592" s="140">
        <v>5.36</v>
      </c>
      <c r="D592" s="142"/>
    </row>
    <row r="593" spans="1:4" ht="15.75" customHeight="1" outlineLevel="1" x14ac:dyDescent="0.25">
      <c r="A593" s="140" t="s">
        <v>41</v>
      </c>
      <c r="B593" s="141" t="s">
        <v>2146</v>
      </c>
      <c r="C593" s="140">
        <v>5.78</v>
      </c>
      <c r="D593" s="142"/>
    </row>
    <row r="594" spans="1:4" ht="15.75" customHeight="1" outlineLevel="1" x14ac:dyDescent="0.25">
      <c r="A594" s="140" t="s">
        <v>41</v>
      </c>
      <c r="B594" s="141" t="s">
        <v>2147</v>
      </c>
      <c r="C594" s="140">
        <v>5.79</v>
      </c>
      <c r="D594" s="144" t="s">
        <v>3069</v>
      </c>
    </row>
    <row r="595" spans="1:4" ht="15.75" customHeight="1" outlineLevel="1" x14ac:dyDescent="0.25">
      <c r="A595" s="140" t="s">
        <v>41</v>
      </c>
      <c r="B595" s="141" t="s">
        <v>2148</v>
      </c>
      <c r="C595" s="140">
        <v>5.41</v>
      </c>
      <c r="D595" s="142"/>
    </row>
    <row r="596" spans="1:4" ht="15.75" customHeight="1" outlineLevel="1" x14ac:dyDescent="0.25">
      <c r="A596" s="140" t="s">
        <v>41</v>
      </c>
      <c r="B596" s="141" t="s">
        <v>96</v>
      </c>
      <c r="C596" s="140">
        <v>5.49</v>
      </c>
      <c r="D596" s="142"/>
    </row>
    <row r="597" spans="1:4" ht="15.75" customHeight="1" outlineLevel="1" x14ac:dyDescent="0.25">
      <c r="A597" s="140" t="s">
        <v>41</v>
      </c>
      <c r="B597" s="141" t="s">
        <v>59</v>
      </c>
      <c r="C597" s="140">
        <v>5.51</v>
      </c>
      <c r="D597" s="142"/>
    </row>
    <row r="598" spans="1:4" ht="15.75" customHeight="1" outlineLevel="1" x14ac:dyDescent="0.25">
      <c r="A598" s="140" t="s">
        <v>41</v>
      </c>
      <c r="B598" s="141" t="s">
        <v>3080</v>
      </c>
      <c r="C598" s="140">
        <v>5.52</v>
      </c>
      <c r="D598" s="142"/>
    </row>
    <row r="599" spans="1:4" ht="15.75" customHeight="1" outlineLevel="1" x14ac:dyDescent="0.25">
      <c r="A599" s="140" t="s">
        <v>41</v>
      </c>
      <c r="B599" s="141" t="s">
        <v>60</v>
      </c>
      <c r="C599" s="140">
        <v>5.53</v>
      </c>
      <c r="D599" s="142"/>
    </row>
    <row r="600" spans="1:4" ht="15.75" customHeight="1" outlineLevel="1" x14ac:dyDescent="0.25">
      <c r="A600" s="140" t="s">
        <v>41</v>
      </c>
      <c r="B600" s="141" t="s">
        <v>97</v>
      </c>
      <c r="C600" s="140">
        <v>5.69</v>
      </c>
      <c r="D600" s="142"/>
    </row>
    <row r="601" spans="1:4" ht="15.75" customHeight="1" outlineLevel="1" x14ac:dyDescent="0.25">
      <c r="A601" s="140" t="s">
        <v>41</v>
      </c>
      <c r="B601" s="141" t="s">
        <v>2150</v>
      </c>
      <c r="C601" s="140">
        <v>5.71</v>
      </c>
      <c r="D601" s="142"/>
    </row>
    <row r="602" spans="1:4" ht="15.75" customHeight="1" outlineLevel="1" x14ac:dyDescent="0.25">
      <c r="A602" s="140" t="s">
        <v>41</v>
      </c>
      <c r="B602" s="141" t="s">
        <v>63</v>
      </c>
      <c r="C602" s="143">
        <v>5.7</v>
      </c>
      <c r="D602" s="142"/>
    </row>
    <row r="603" spans="1:4" ht="15.75" customHeight="1" outlineLevel="1" x14ac:dyDescent="0.25">
      <c r="A603" s="140" t="s">
        <v>41</v>
      </c>
      <c r="B603" s="141" t="s">
        <v>1403</v>
      </c>
      <c r="C603" s="143">
        <v>5.8</v>
      </c>
      <c r="D603" s="144" t="s">
        <v>3069</v>
      </c>
    </row>
    <row r="604" spans="1:4" ht="15.75" customHeight="1" outlineLevel="1" x14ac:dyDescent="0.25">
      <c r="A604" s="140" t="s">
        <v>41</v>
      </c>
      <c r="B604" s="141" t="s">
        <v>203</v>
      </c>
      <c r="C604" s="143">
        <v>5.72</v>
      </c>
      <c r="D604" s="144" t="s">
        <v>3069</v>
      </c>
    </row>
    <row r="605" spans="1:4" ht="15.75" customHeight="1" outlineLevel="1" x14ac:dyDescent="0.25">
      <c r="A605" s="140" t="s">
        <v>41</v>
      </c>
      <c r="B605" s="141" t="s">
        <v>2151</v>
      </c>
      <c r="C605" s="140">
        <v>5.73</v>
      </c>
      <c r="D605" s="144" t="s">
        <v>3069</v>
      </c>
    </row>
    <row r="606" spans="1:4" ht="15.75" customHeight="1" outlineLevel="1" x14ac:dyDescent="0.25">
      <c r="A606" s="140" t="s">
        <v>41</v>
      </c>
      <c r="B606" s="141" t="s">
        <v>99</v>
      </c>
      <c r="C606" s="140">
        <v>5.74</v>
      </c>
      <c r="D606" s="142"/>
    </row>
    <row r="607" spans="1:4" ht="15.75" customHeight="1" outlineLevel="1" x14ac:dyDescent="0.25">
      <c r="A607" s="140" t="s">
        <v>41</v>
      </c>
      <c r="B607" s="141" t="s">
        <v>98</v>
      </c>
      <c r="C607" s="140">
        <v>5.75</v>
      </c>
      <c r="D607" s="142"/>
    </row>
    <row r="608" spans="1:4" ht="15.75" customHeight="1" outlineLevel="1" x14ac:dyDescent="0.25">
      <c r="A608" s="140" t="s">
        <v>41</v>
      </c>
      <c r="B608" s="141" t="s">
        <v>204</v>
      </c>
      <c r="C608" s="140">
        <v>5.76</v>
      </c>
      <c r="D608" s="142"/>
    </row>
    <row r="609" spans="1:4" ht="15.75" customHeight="1" outlineLevel="1" x14ac:dyDescent="0.25">
      <c r="A609" s="140" t="s">
        <v>41</v>
      </c>
      <c r="B609" s="141" t="s">
        <v>2152</v>
      </c>
      <c r="C609" s="140">
        <v>5.81</v>
      </c>
      <c r="D609" s="144" t="s">
        <v>3069</v>
      </c>
    </row>
    <row r="610" spans="1:4" ht="15.75" customHeight="1" outlineLevel="1" x14ac:dyDescent="0.25">
      <c r="A610" s="140" t="s">
        <v>41</v>
      </c>
      <c r="B610" s="141" t="s">
        <v>2153</v>
      </c>
      <c r="C610" s="140">
        <v>5.82</v>
      </c>
      <c r="D610" s="144" t="s">
        <v>3069</v>
      </c>
    </row>
    <row r="611" spans="1:4" ht="15.75" customHeight="1" outlineLevel="1" x14ac:dyDescent="0.25">
      <c r="A611" s="140" t="s">
        <v>41</v>
      </c>
      <c r="B611" s="141" t="s">
        <v>2154</v>
      </c>
      <c r="C611" s="140">
        <v>5.83</v>
      </c>
      <c r="D611" s="144" t="s">
        <v>3069</v>
      </c>
    </row>
    <row r="612" spans="1:4" ht="15.75" customHeight="1" outlineLevel="1" x14ac:dyDescent="0.25">
      <c r="A612" s="140" t="s">
        <v>41</v>
      </c>
      <c r="B612" s="141" t="s">
        <v>2155</v>
      </c>
      <c r="C612" s="140">
        <v>5.84</v>
      </c>
      <c r="D612" s="142"/>
    </row>
    <row r="613" spans="1:4" ht="15.75" customHeight="1" outlineLevel="1" x14ac:dyDescent="0.25">
      <c r="A613" s="140" t="s">
        <v>41</v>
      </c>
      <c r="B613" s="141" t="s">
        <v>2156</v>
      </c>
      <c r="C613" s="140">
        <v>5.85</v>
      </c>
      <c r="D613" s="144" t="s">
        <v>3069</v>
      </c>
    </row>
    <row r="614" spans="1:4" ht="15.75" customHeight="1" outlineLevel="1" x14ac:dyDescent="0.25">
      <c r="A614" s="140" t="s">
        <v>41</v>
      </c>
      <c r="B614" s="141" t="s">
        <v>2157</v>
      </c>
      <c r="C614" s="140">
        <v>5.86</v>
      </c>
      <c r="D614" s="144" t="s">
        <v>3069</v>
      </c>
    </row>
    <row r="615" spans="1:4" ht="15.75" customHeight="1" outlineLevel="1" x14ac:dyDescent="0.25">
      <c r="A615" s="140" t="s">
        <v>41</v>
      </c>
      <c r="B615" s="141" t="s">
        <v>2158</v>
      </c>
      <c r="C615" s="140">
        <v>5.88</v>
      </c>
      <c r="D615" s="144" t="s">
        <v>3069</v>
      </c>
    </row>
    <row r="616" spans="1:4" ht="15.75" customHeight="1" outlineLevel="1" x14ac:dyDescent="0.25">
      <c r="A616" s="140" t="s">
        <v>41</v>
      </c>
      <c r="B616" s="141" t="s">
        <v>2159</v>
      </c>
      <c r="C616" s="140">
        <v>5.87</v>
      </c>
      <c r="D616" s="142"/>
    </row>
    <row r="617" spans="1:4" ht="15.75" customHeight="1" outlineLevel="1" x14ac:dyDescent="0.25">
      <c r="A617" s="140" t="s">
        <v>41</v>
      </c>
      <c r="B617" s="141" t="s">
        <v>1408</v>
      </c>
      <c r="C617" s="140">
        <v>5.109</v>
      </c>
      <c r="D617" s="142"/>
    </row>
    <row r="618" spans="1:4" ht="15.75" customHeight="1" outlineLevel="1" x14ac:dyDescent="0.25">
      <c r="A618" s="140" t="s">
        <v>41</v>
      </c>
      <c r="B618" s="141" t="s">
        <v>1410</v>
      </c>
      <c r="C618" s="146">
        <v>5.1100000000000003</v>
      </c>
      <c r="D618" s="144" t="s">
        <v>3069</v>
      </c>
    </row>
    <row r="619" spans="1:4" ht="15.75" customHeight="1" outlineLevel="1" x14ac:dyDescent="0.25">
      <c r="A619" s="140" t="s">
        <v>41</v>
      </c>
      <c r="B619" s="141" t="s">
        <v>1409</v>
      </c>
      <c r="C619" s="140">
        <v>5.1109999999999998</v>
      </c>
      <c r="D619" s="142"/>
    </row>
    <row r="620" spans="1:4" ht="15.75" customHeight="1" outlineLevel="1" x14ac:dyDescent="0.25">
      <c r="A620" s="140" t="s">
        <v>41</v>
      </c>
      <c r="B620" s="141" t="s">
        <v>1411</v>
      </c>
      <c r="C620" s="140">
        <v>5.1120000000000001</v>
      </c>
      <c r="D620" s="142"/>
    </row>
    <row r="621" spans="1:4" ht="15.75" customHeight="1" outlineLevel="1" x14ac:dyDescent="0.25">
      <c r="A621" s="140" t="s">
        <v>41</v>
      </c>
      <c r="B621" s="141" t="s">
        <v>3074</v>
      </c>
      <c r="C621" s="140">
        <v>5.1130000000000004</v>
      </c>
      <c r="D621" s="142"/>
    </row>
    <row r="622" spans="1:4" ht="15.75" customHeight="1" outlineLevel="1" x14ac:dyDescent="0.25">
      <c r="A622" s="140" t="s">
        <v>41</v>
      </c>
      <c r="B622" s="141" t="s">
        <v>2160</v>
      </c>
      <c r="C622" s="140">
        <v>5.99</v>
      </c>
      <c r="D622" s="144" t="s">
        <v>3069</v>
      </c>
    </row>
    <row r="623" spans="1:4" ht="15.75" customHeight="1" outlineLevel="1" x14ac:dyDescent="0.25">
      <c r="A623" s="140" t="s">
        <v>41</v>
      </c>
      <c r="B623" s="141" t="s">
        <v>2161</v>
      </c>
      <c r="C623" s="140">
        <v>5.58</v>
      </c>
      <c r="D623" s="144"/>
    </row>
    <row r="624" spans="1:4" ht="15.75" customHeight="1" outlineLevel="1" x14ac:dyDescent="0.25">
      <c r="A624" s="140" t="s">
        <v>41</v>
      </c>
      <c r="B624" s="141" t="s">
        <v>62</v>
      </c>
      <c r="C624" s="140">
        <v>5.54</v>
      </c>
      <c r="D624" s="142"/>
    </row>
    <row r="625" spans="1:4" ht="15.75" customHeight="1" outlineLevel="1" x14ac:dyDescent="0.25">
      <c r="A625" s="140" t="s">
        <v>41</v>
      </c>
      <c r="B625" s="141" t="s">
        <v>2162</v>
      </c>
      <c r="C625" s="140">
        <v>5.56</v>
      </c>
      <c r="D625" s="142"/>
    </row>
    <row r="626" spans="1:4" ht="15.75" customHeight="1" outlineLevel="1" x14ac:dyDescent="0.25">
      <c r="A626" s="140" t="s">
        <v>41</v>
      </c>
      <c r="B626" s="141" t="s">
        <v>64</v>
      </c>
      <c r="C626" s="140">
        <v>5.63</v>
      </c>
      <c r="D626" s="142"/>
    </row>
    <row r="627" spans="1:4" ht="15.75" customHeight="1" outlineLevel="1" x14ac:dyDescent="0.25">
      <c r="A627" s="140" t="s">
        <v>41</v>
      </c>
      <c r="B627" s="141" t="s">
        <v>2163</v>
      </c>
      <c r="C627" s="140">
        <v>5.64</v>
      </c>
      <c r="D627" s="142"/>
    </row>
    <row r="628" spans="1:4" ht="15.75" customHeight="1" outlineLevel="1" x14ac:dyDescent="0.25">
      <c r="A628" s="140" t="s">
        <v>41</v>
      </c>
      <c r="B628" s="141" t="s">
        <v>103</v>
      </c>
      <c r="C628" s="140">
        <v>5.65</v>
      </c>
      <c r="D628" s="142"/>
    </row>
    <row r="629" spans="1:4" ht="15.75" customHeight="1" outlineLevel="1" x14ac:dyDescent="0.25">
      <c r="A629" s="140" t="s">
        <v>41</v>
      </c>
      <c r="B629" s="141" t="s">
        <v>206</v>
      </c>
      <c r="C629" s="140">
        <v>5.66</v>
      </c>
      <c r="D629" s="142"/>
    </row>
    <row r="630" spans="1:4" ht="15.75" customHeight="1" outlineLevel="1" x14ac:dyDescent="0.25">
      <c r="A630" s="140" t="s">
        <v>41</v>
      </c>
      <c r="B630" s="141" t="s">
        <v>205</v>
      </c>
      <c r="C630" s="140">
        <v>5.89</v>
      </c>
      <c r="D630" s="144" t="s">
        <v>3069</v>
      </c>
    </row>
    <row r="631" spans="1:4" ht="15.75" customHeight="1" outlineLevel="1" x14ac:dyDescent="0.25">
      <c r="A631" s="140" t="s">
        <v>41</v>
      </c>
      <c r="B631" s="141" t="s">
        <v>18</v>
      </c>
      <c r="C631" s="140">
        <v>5.68</v>
      </c>
      <c r="D631" s="142"/>
    </row>
    <row r="632" spans="1:4" ht="15.75" customHeight="1" outlineLevel="1" x14ac:dyDescent="0.25">
      <c r="A632" s="140" t="s">
        <v>41</v>
      </c>
      <c r="B632" s="141" t="s">
        <v>65</v>
      </c>
      <c r="C632" s="140">
        <v>5.47</v>
      </c>
      <c r="D632" s="142"/>
    </row>
    <row r="633" spans="1:4" ht="15.75" customHeight="1" outlineLevel="1" x14ac:dyDescent="0.25">
      <c r="A633" s="140" t="s">
        <v>41</v>
      </c>
      <c r="B633" s="141" t="s">
        <v>66</v>
      </c>
      <c r="C633" s="140">
        <v>5.48</v>
      </c>
      <c r="D633" s="142"/>
    </row>
    <row r="634" spans="1:4" ht="15.75" customHeight="1" x14ac:dyDescent="0.25">
      <c r="A634" s="145" t="s">
        <v>41</v>
      </c>
      <c r="B634" s="141"/>
      <c r="C634" s="140"/>
      <c r="D634" s="142"/>
    </row>
    <row r="635" spans="1:4" ht="15.75" customHeight="1" outlineLevel="1" x14ac:dyDescent="0.25">
      <c r="A635" s="140" t="s">
        <v>42</v>
      </c>
      <c r="B635" s="141" t="s">
        <v>50</v>
      </c>
      <c r="C635" s="140">
        <v>5.0999999999999996</v>
      </c>
      <c r="D635" s="142"/>
    </row>
    <row r="636" spans="1:4" ht="15.75" customHeight="1" outlineLevel="1" x14ac:dyDescent="0.25">
      <c r="A636" s="140" t="s">
        <v>42</v>
      </c>
      <c r="B636" s="141" t="s">
        <v>51</v>
      </c>
      <c r="C636" s="140">
        <v>5.2</v>
      </c>
      <c r="D636" s="142"/>
    </row>
    <row r="637" spans="1:4" ht="15.75" customHeight="1" outlineLevel="1" x14ac:dyDescent="0.25">
      <c r="A637" s="140" t="s">
        <v>42</v>
      </c>
      <c r="B637" s="141" t="s">
        <v>91</v>
      </c>
      <c r="C637" s="140">
        <v>5.3</v>
      </c>
      <c r="D637" s="142"/>
    </row>
    <row r="638" spans="1:4" ht="15.75" customHeight="1" outlineLevel="1" x14ac:dyDescent="0.25">
      <c r="A638" s="140" t="s">
        <v>42</v>
      </c>
      <c r="B638" s="141" t="s">
        <v>198</v>
      </c>
      <c r="C638" s="140">
        <v>5.6</v>
      </c>
      <c r="D638" s="142"/>
    </row>
    <row r="639" spans="1:4" ht="15.75" customHeight="1" outlineLevel="1" x14ac:dyDescent="0.25">
      <c r="A639" s="140" t="s">
        <v>42</v>
      </c>
      <c r="B639" s="141" t="s">
        <v>3070</v>
      </c>
      <c r="C639" s="143">
        <v>5.0999999999999996</v>
      </c>
      <c r="D639" s="142"/>
    </row>
    <row r="640" spans="1:4" ht="15.75" customHeight="1" outlineLevel="1" x14ac:dyDescent="0.25">
      <c r="A640" s="140" t="s">
        <v>42</v>
      </c>
      <c r="B640" s="141" t="s">
        <v>1333</v>
      </c>
      <c r="C640" s="140">
        <v>5.14</v>
      </c>
      <c r="D640" s="142"/>
    </row>
    <row r="641" spans="1:4" ht="15.75" customHeight="1" outlineLevel="1" x14ac:dyDescent="0.25">
      <c r="A641" s="140" t="s">
        <v>42</v>
      </c>
      <c r="B641" s="141" t="s">
        <v>93</v>
      </c>
      <c r="C641" s="140">
        <v>5.19</v>
      </c>
      <c r="D641" s="142"/>
    </row>
    <row r="642" spans="1:4" ht="15.75" customHeight="1" outlineLevel="1" x14ac:dyDescent="0.25">
      <c r="A642" s="140" t="s">
        <v>42</v>
      </c>
      <c r="B642" s="141" t="s">
        <v>200</v>
      </c>
      <c r="C642" s="140">
        <v>5.24</v>
      </c>
      <c r="D642" s="142"/>
    </row>
    <row r="643" spans="1:4" ht="15.75" customHeight="1" outlineLevel="1" x14ac:dyDescent="0.25">
      <c r="A643" s="140" t="s">
        <v>42</v>
      </c>
      <c r="B643" s="141" t="s">
        <v>55</v>
      </c>
      <c r="C643" s="140">
        <v>5.26</v>
      </c>
      <c r="D643" s="142"/>
    </row>
    <row r="644" spans="1:4" ht="15.75" customHeight="1" outlineLevel="1" x14ac:dyDescent="0.25">
      <c r="A644" s="140" t="s">
        <v>42</v>
      </c>
      <c r="B644" s="141" t="s">
        <v>56</v>
      </c>
      <c r="C644" s="140">
        <v>5.27</v>
      </c>
      <c r="D644" s="142"/>
    </row>
    <row r="645" spans="1:4" ht="15.75" customHeight="1" outlineLevel="1" x14ac:dyDescent="0.25">
      <c r="A645" s="140" t="s">
        <v>42</v>
      </c>
      <c r="B645" s="141" t="s">
        <v>94</v>
      </c>
      <c r="C645" s="140">
        <v>5.28</v>
      </c>
      <c r="D645" s="142"/>
    </row>
    <row r="646" spans="1:4" ht="15.75" customHeight="1" outlineLevel="1" x14ac:dyDescent="0.25">
      <c r="A646" s="140" t="s">
        <v>42</v>
      </c>
      <c r="B646" s="141" t="s">
        <v>57</v>
      </c>
      <c r="C646" s="140">
        <v>5.36</v>
      </c>
      <c r="D646" s="142"/>
    </row>
    <row r="647" spans="1:4" ht="15.75" customHeight="1" outlineLevel="1" x14ac:dyDescent="0.25">
      <c r="A647" s="140" t="s">
        <v>42</v>
      </c>
      <c r="B647" s="141" t="s">
        <v>1389</v>
      </c>
      <c r="C647" s="140">
        <v>5.33</v>
      </c>
      <c r="D647" s="142"/>
    </row>
    <row r="648" spans="1:4" ht="15.75" customHeight="1" outlineLevel="1" x14ac:dyDescent="0.25">
      <c r="A648" s="140" t="s">
        <v>42</v>
      </c>
      <c r="B648" s="141" t="s">
        <v>1402</v>
      </c>
      <c r="C648" s="140">
        <v>5.37</v>
      </c>
      <c r="D648" s="142"/>
    </row>
    <row r="649" spans="1:4" ht="15.75" customHeight="1" outlineLevel="1" x14ac:dyDescent="0.25">
      <c r="A649" s="140" t="s">
        <v>42</v>
      </c>
      <c r="B649" s="141" t="s">
        <v>96</v>
      </c>
      <c r="C649" s="140">
        <v>5.49</v>
      </c>
      <c r="D649" s="142"/>
    </row>
    <row r="650" spans="1:4" ht="15.75" customHeight="1" outlineLevel="1" x14ac:dyDescent="0.25">
      <c r="A650" s="140" t="s">
        <v>42</v>
      </c>
      <c r="B650" s="141" t="s">
        <v>59</v>
      </c>
      <c r="C650" s="140">
        <v>5.51</v>
      </c>
      <c r="D650" s="142"/>
    </row>
    <row r="651" spans="1:4" ht="15.75" customHeight="1" outlineLevel="1" x14ac:dyDescent="0.25">
      <c r="A651" s="140" t="s">
        <v>42</v>
      </c>
      <c r="B651" s="141" t="s">
        <v>3071</v>
      </c>
      <c r="C651" s="140">
        <v>5.52</v>
      </c>
      <c r="D651" s="142"/>
    </row>
    <row r="652" spans="1:4" ht="15.75" customHeight="1" outlineLevel="1" x14ac:dyDescent="0.25">
      <c r="A652" s="140" t="s">
        <v>42</v>
      </c>
      <c r="B652" s="141" t="s">
        <v>60</v>
      </c>
      <c r="C652" s="140">
        <v>5.53</v>
      </c>
      <c r="D652" s="142"/>
    </row>
    <row r="653" spans="1:4" ht="15.75" customHeight="1" outlineLevel="1" x14ac:dyDescent="0.25">
      <c r="A653" s="140" t="s">
        <v>42</v>
      </c>
      <c r="B653" s="141" t="s">
        <v>97</v>
      </c>
      <c r="C653" s="140">
        <v>5.69</v>
      </c>
      <c r="D653" s="142"/>
    </row>
    <row r="654" spans="1:4" ht="15.75" customHeight="1" outlineLevel="1" x14ac:dyDescent="0.25">
      <c r="A654" s="140" t="s">
        <v>42</v>
      </c>
      <c r="B654" s="141" t="s">
        <v>63</v>
      </c>
      <c r="C654" s="143">
        <v>5.7</v>
      </c>
      <c r="D654" s="142"/>
    </row>
    <row r="655" spans="1:4" ht="15.75" customHeight="1" outlineLevel="1" x14ac:dyDescent="0.25">
      <c r="A655" s="140" t="s">
        <v>42</v>
      </c>
      <c r="B655" s="141" t="s">
        <v>99</v>
      </c>
      <c r="C655" s="140">
        <v>5.74</v>
      </c>
      <c r="D655" s="142"/>
    </row>
    <row r="656" spans="1:4" ht="15.75" customHeight="1" outlineLevel="1" x14ac:dyDescent="0.25">
      <c r="A656" s="140" t="s">
        <v>42</v>
      </c>
      <c r="B656" s="141" t="s">
        <v>1408</v>
      </c>
      <c r="C656" s="140">
        <v>5.109</v>
      </c>
      <c r="D656" s="142"/>
    </row>
    <row r="657" spans="1:4" ht="15.75" customHeight="1" outlineLevel="1" x14ac:dyDescent="0.25">
      <c r="A657" s="140" t="s">
        <v>42</v>
      </c>
      <c r="B657" s="141" t="s">
        <v>1409</v>
      </c>
      <c r="C657" s="140">
        <v>5.1109999999999998</v>
      </c>
      <c r="D657" s="142"/>
    </row>
    <row r="658" spans="1:4" ht="15.75" customHeight="1" outlineLevel="1" x14ac:dyDescent="0.25">
      <c r="A658" s="140" t="s">
        <v>42</v>
      </c>
      <c r="B658" s="141" t="s">
        <v>1411</v>
      </c>
      <c r="C658" s="140">
        <v>5.1120000000000001</v>
      </c>
      <c r="D658" s="142"/>
    </row>
    <row r="659" spans="1:4" ht="15.75" customHeight="1" outlineLevel="1" x14ac:dyDescent="0.25">
      <c r="A659" s="140" t="s">
        <v>42</v>
      </c>
      <c r="B659" s="141" t="s">
        <v>101</v>
      </c>
      <c r="C659" s="140">
        <v>5.58</v>
      </c>
      <c r="D659" s="142"/>
    </row>
    <row r="660" spans="1:4" ht="15.75" customHeight="1" outlineLevel="1" x14ac:dyDescent="0.25">
      <c r="A660" s="140" t="s">
        <v>42</v>
      </c>
      <c r="B660" s="141" t="s">
        <v>62</v>
      </c>
      <c r="C660" s="140">
        <v>5.54</v>
      </c>
      <c r="D660" s="142"/>
    </row>
    <row r="661" spans="1:4" ht="15.75" customHeight="1" outlineLevel="1" x14ac:dyDescent="0.25">
      <c r="A661" s="140" t="s">
        <v>42</v>
      </c>
      <c r="B661" s="141" t="s">
        <v>102</v>
      </c>
      <c r="C661" s="140">
        <v>5.55</v>
      </c>
      <c r="D661" s="142"/>
    </row>
    <row r="662" spans="1:4" ht="15.75" customHeight="1" outlineLevel="1" x14ac:dyDescent="0.25">
      <c r="A662" s="140" t="s">
        <v>42</v>
      </c>
      <c r="B662" s="141" t="s">
        <v>64</v>
      </c>
      <c r="C662" s="140">
        <v>5.63</v>
      </c>
      <c r="D662" s="142"/>
    </row>
    <row r="663" spans="1:4" ht="15.75" customHeight="1" outlineLevel="1" x14ac:dyDescent="0.25">
      <c r="A663" s="140" t="s">
        <v>42</v>
      </c>
      <c r="B663" s="141" t="s">
        <v>65</v>
      </c>
      <c r="C663" s="140">
        <v>5.47</v>
      </c>
      <c r="D663" s="142"/>
    </row>
    <row r="664" spans="1:4" ht="15.75" customHeight="1" outlineLevel="1" x14ac:dyDescent="0.25">
      <c r="A664" s="140" t="s">
        <v>42</v>
      </c>
      <c r="B664" s="141" t="s">
        <v>66</v>
      </c>
      <c r="C664" s="140">
        <v>5.48</v>
      </c>
      <c r="D664" s="142"/>
    </row>
    <row r="665" spans="1:4" ht="15.75" customHeight="1" x14ac:dyDescent="0.25">
      <c r="A665" s="145" t="s">
        <v>42</v>
      </c>
      <c r="B665" s="141"/>
      <c r="C665" s="140"/>
      <c r="D665" s="142"/>
    </row>
    <row r="666" spans="1:4" ht="15.75" customHeight="1" outlineLevel="1" x14ac:dyDescent="0.25">
      <c r="A666" s="140" t="s">
        <v>43</v>
      </c>
      <c r="B666" s="141" t="s">
        <v>50</v>
      </c>
      <c r="C666" s="140">
        <v>5.0999999999999996</v>
      </c>
      <c r="D666" s="142"/>
    </row>
    <row r="667" spans="1:4" ht="15.75" customHeight="1" outlineLevel="1" x14ac:dyDescent="0.25">
      <c r="A667" s="140" t="s">
        <v>43</v>
      </c>
      <c r="B667" s="141" t="s">
        <v>51</v>
      </c>
      <c r="C667" s="140">
        <v>5.2</v>
      </c>
      <c r="D667" s="142"/>
    </row>
    <row r="668" spans="1:4" ht="15.75" customHeight="1" outlineLevel="1" x14ac:dyDescent="0.25">
      <c r="A668" s="140" t="s">
        <v>43</v>
      </c>
      <c r="B668" s="141" t="s">
        <v>52</v>
      </c>
      <c r="C668" s="140">
        <v>5.4</v>
      </c>
      <c r="D668" s="142"/>
    </row>
    <row r="669" spans="1:4" ht="15.75" customHeight="1" outlineLevel="1" x14ac:dyDescent="0.25">
      <c r="A669" s="140" t="s">
        <v>43</v>
      </c>
      <c r="B669" s="141" t="s">
        <v>53</v>
      </c>
      <c r="C669" s="140">
        <v>5.7</v>
      </c>
      <c r="D669" s="142"/>
    </row>
    <row r="670" spans="1:4" ht="15.75" customHeight="1" outlineLevel="1" x14ac:dyDescent="0.25">
      <c r="A670" s="140" t="s">
        <v>43</v>
      </c>
      <c r="B670" s="141" t="s">
        <v>54</v>
      </c>
      <c r="C670" s="140">
        <v>5.1100000000000003</v>
      </c>
      <c r="D670" s="142"/>
    </row>
    <row r="671" spans="1:4" ht="15.75" customHeight="1" outlineLevel="1" x14ac:dyDescent="0.25">
      <c r="A671" s="140" t="s">
        <v>43</v>
      </c>
      <c r="B671" s="141" t="s">
        <v>55</v>
      </c>
      <c r="C671" s="140">
        <v>5.26</v>
      </c>
      <c r="D671" s="142"/>
    </row>
    <row r="672" spans="1:4" ht="15.75" customHeight="1" outlineLevel="1" x14ac:dyDescent="0.25">
      <c r="A672" s="140" t="s">
        <v>43</v>
      </c>
      <c r="B672" s="141" t="s">
        <v>2286</v>
      </c>
      <c r="C672" s="140">
        <v>5.43</v>
      </c>
      <c r="D672" s="142"/>
    </row>
    <row r="673" spans="1:4" ht="15.75" customHeight="1" outlineLevel="1" x14ac:dyDescent="0.25">
      <c r="A673" s="140" t="s">
        <v>43</v>
      </c>
      <c r="B673" s="141" t="s">
        <v>56</v>
      </c>
      <c r="C673" s="140">
        <v>5.27</v>
      </c>
      <c r="D673" s="142"/>
    </row>
    <row r="674" spans="1:4" ht="15.75" customHeight="1" outlineLevel="1" x14ac:dyDescent="0.25">
      <c r="A674" s="140" t="s">
        <v>43</v>
      </c>
      <c r="B674" s="141" t="s">
        <v>94</v>
      </c>
      <c r="C674" s="140">
        <v>5.28</v>
      </c>
      <c r="D674" s="142"/>
    </row>
    <row r="675" spans="1:4" ht="15.75" customHeight="1" outlineLevel="1" x14ac:dyDescent="0.25">
      <c r="A675" s="140" t="s">
        <v>43</v>
      </c>
      <c r="B675" s="141" t="s">
        <v>57</v>
      </c>
      <c r="C675" s="140">
        <v>5.36</v>
      </c>
      <c r="D675" s="142"/>
    </row>
    <row r="676" spans="1:4" ht="15.75" customHeight="1" outlineLevel="1" x14ac:dyDescent="0.25">
      <c r="A676" s="140" t="s">
        <v>43</v>
      </c>
      <c r="B676" s="141" t="s">
        <v>58</v>
      </c>
      <c r="C676" s="143">
        <v>5.5</v>
      </c>
      <c r="D676" s="142"/>
    </row>
    <row r="677" spans="1:4" ht="15.75" customHeight="1" outlineLevel="1" x14ac:dyDescent="0.25">
      <c r="A677" s="140" t="s">
        <v>43</v>
      </c>
      <c r="B677" s="141" t="s">
        <v>59</v>
      </c>
      <c r="C677" s="140">
        <v>5.51</v>
      </c>
      <c r="D677" s="142"/>
    </row>
    <row r="678" spans="1:4" ht="15.75" customHeight="1" outlineLevel="1" x14ac:dyDescent="0.25">
      <c r="A678" s="140" t="s">
        <v>43</v>
      </c>
      <c r="B678" s="141" t="s">
        <v>60</v>
      </c>
      <c r="C678" s="140">
        <v>5.53</v>
      </c>
      <c r="D678" s="142"/>
    </row>
    <row r="679" spans="1:4" ht="15.75" customHeight="1" outlineLevel="1" x14ac:dyDescent="0.25">
      <c r="A679" s="140" t="s">
        <v>43</v>
      </c>
      <c r="B679" s="141" t="s">
        <v>97</v>
      </c>
      <c r="C679" s="140">
        <v>5.69</v>
      </c>
      <c r="D679" s="142"/>
    </row>
    <row r="680" spans="1:4" ht="15.75" customHeight="1" outlineLevel="1" x14ac:dyDescent="0.25">
      <c r="A680" s="140" t="s">
        <v>43</v>
      </c>
      <c r="B680" s="141" t="s">
        <v>63</v>
      </c>
      <c r="C680" s="143">
        <v>5.7</v>
      </c>
      <c r="D680" s="144" t="s">
        <v>3069</v>
      </c>
    </row>
    <row r="681" spans="1:4" ht="15.75" customHeight="1" outlineLevel="1" x14ac:dyDescent="0.25">
      <c r="A681" s="140" t="s">
        <v>43</v>
      </c>
      <c r="B681" s="141" t="s">
        <v>99</v>
      </c>
      <c r="C681" s="140">
        <v>5.74</v>
      </c>
      <c r="D681" s="142"/>
    </row>
    <row r="682" spans="1:4" ht="15.75" customHeight="1" outlineLevel="1" x14ac:dyDescent="0.25">
      <c r="A682" s="140" t="s">
        <v>43</v>
      </c>
      <c r="B682" s="141" t="s">
        <v>61</v>
      </c>
      <c r="C682" s="140">
        <v>5.59</v>
      </c>
      <c r="D682" s="142"/>
    </row>
    <row r="683" spans="1:4" ht="15.75" customHeight="1" outlineLevel="1" x14ac:dyDescent="0.25">
      <c r="A683" s="140" t="s">
        <v>43</v>
      </c>
      <c r="B683" s="141" t="s">
        <v>62</v>
      </c>
      <c r="C683" s="140">
        <v>5.54</v>
      </c>
      <c r="D683" s="142"/>
    </row>
    <row r="684" spans="1:4" ht="15.75" customHeight="1" outlineLevel="1" x14ac:dyDescent="0.25">
      <c r="A684" s="140" t="s">
        <v>43</v>
      </c>
      <c r="B684" s="141" t="s">
        <v>2287</v>
      </c>
      <c r="C684" s="140">
        <v>5.57</v>
      </c>
      <c r="D684" s="142"/>
    </row>
    <row r="685" spans="1:4" ht="15.75" customHeight="1" outlineLevel="1" x14ac:dyDescent="0.25">
      <c r="A685" s="140" t="s">
        <v>43</v>
      </c>
      <c r="B685" s="141" t="s">
        <v>64</v>
      </c>
      <c r="C685" s="140">
        <v>5.63</v>
      </c>
      <c r="D685" s="142"/>
    </row>
    <row r="686" spans="1:4" ht="15.75" customHeight="1" outlineLevel="1" x14ac:dyDescent="0.25">
      <c r="A686" s="140" t="s">
        <v>43</v>
      </c>
      <c r="B686" s="141" t="s">
        <v>65</v>
      </c>
      <c r="C686" s="140">
        <v>5.47</v>
      </c>
      <c r="D686" s="142"/>
    </row>
    <row r="687" spans="1:4" ht="15.75" customHeight="1" outlineLevel="1" x14ac:dyDescent="0.25">
      <c r="A687" s="140" t="s">
        <v>43</v>
      </c>
      <c r="B687" s="141" t="s">
        <v>66</v>
      </c>
      <c r="C687" s="140">
        <v>5.48</v>
      </c>
      <c r="D687" s="142"/>
    </row>
    <row r="688" spans="1:4" ht="15.75" customHeight="1" x14ac:dyDescent="0.25">
      <c r="A688" s="145" t="s">
        <v>43</v>
      </c>
      <c r="B688" s="141"/>
      <c r="C688" s="140"/>
      <c r="D688" s="142"/>
    </row>
    <row r="689" spans="1:4" ht="15.75" customHeight="1" outlineLevel="1" x14ac:dyDescent="0.25">
      <c r="A689" s="140" t="s">
        <v>44</v>
      </c>
      <c r="B689" s="141" t="s">
        <v>50</v>
      </c>
      <c r="C689" s="140">
        <v>5.0999999999999996</v>
      </c>
      <c r="D689" s="142"/>
    </row>
    <row r="690" spans="1:4" ht="15.75" customHeight="1" outlineLevel="1" x14ac:dyDescent="0.25">
      <c r="A690" s="140" t="s">
        <v>44</v>
      </c>
      <c r="B690" s="141" t="s">
        <v>51</v>
      </c>
      <c r="C690" s="140">
        <v>5.2</v>
      </c>
      <c r="D690" s="142"/>
    </row>
    <row r="691" spans="1:4" ht="15.75" customHeight="1" outlineLevel="1" x14ac:dyDescent="0.25">
      <c r="A691" s="140" t="s">
        <v>44</v>
      </c>
      <c r="B691" s="141" t="s">
        <v>2290</v>
      </c>
      <c r="C691" s="140">
        <v>5.17</v>
      </c>
      <c r="D691" s="142"/>
    </row>
    <row r="692" spans="1:4" ht="15.75" customHeight="1" outlineLevel="1" x14ac:dyDescent="0.25">
      <c r="A692" s="140" t="s">
        <v>44</v>
      </c>
      <c r="B692" s="141" t="s">
        <v>55</v>
      </c>
      <c r="C692" s="140">
        <v>5.26</v>
      </c>
      <c r="D692" s="142"/>
    </row>
    <row r="693" spans="1:4" ht="15.75" customHeight="1" outlineLevel="1" x14ac:dyDescent="0.25">
      <c r="A693" s="140" t="s">
        <v>44</v>
      </c>
      <c r="B693" s="141" t="s">
        <v>2291</v>
      </c>
      <c r="C693" s="140">
        <v>5.1029999999999998</v>
      </c>
      <c r="D693" s="142"/>
    </row>
    <row r="694" spans="1:4" ht="15.75" customHeight="1" outlineLevel="1" x14ac:dyDescent="0.25">
      <c r="A694" s="140" t="s">
        <v>44</v>
      </c>
      <c r="B694" s="141" t="s">
        <v>57</v>
      </c>
      <c r="C694" s="140">
        <v>5.36</v>
      </c>
      <c r="D694" s="142"/>
    </row>
    <row r="695" spans="1:4" ht="15.75" customHeight="1" outlineLevel="1" x14ac:dyDescent="0.25">
      <c r="A695" s="140" t="s">
        <v>44</v>
      </c>
      <c r="B695" s="141" t="s">
        <v>1402</v>
      </c>
      <c r="C695" s="140">
        <v>5.37</v>
      </c>
      <c r="D695" s="142"/>
    </row>
    <row r="696" spans="1:4" ht="15.75" customHeight="1" outlineLevel="1" x14ac:dyDescent="0.25">
      <c r="A696" s="140" t="s">
        <v>44</v>
      </c>
      <c r="B696" s="141" t="s">
        <v>2292</v>
      </c>
      <c r="C696" s="140">
        <v>5.1040000000000001</v>
      </c>
      <c r="D696" s="142"/>
    </row>
    <row r="697" spans="1:4" ht="15.75" customHeight="1" outlineLevel="1" x14ac:dyDescent="0.25">
      <c r="A697" s="140" t="s">
        <v>44</v>
      </c>
      <c r="B697" s="141" t="s">
        <v>2293</v>
      </c>
      <c r="C697" s="140">
        <v>5.1050000000000004</v>
      </c>
      <c r="D697" s="142"/>
    </row>
    <row r="698" spans="1:4" ht="15.75" customHeight="1" outlineLevel="1" x14ac:dyDescent="0.25">
      <c r="A698" s="140" t="s">
        <v>44</v>
      </c>
      <c r="B698" s="141" t="s">
        <v>2294</v>
      </c>
      <c r="C698" s="140">
        <v>5.1059999999999999</v>
      </c>
      <c r="D698" s="142"/>
    </row>
    <row r="699" spans="1:4" ht="15.75" customHeight="1" outlineLevel="1" x14ac:dyDescent="0.25">
      <c r="A699" s="140" t="s">
        <v>44</v>
      </c>
      <c r="B699" s="141" t="s">
        <v>2295</v>
      </c>
      <c r="C699" s="140">
        <v>5.1070000000000002</v>
      </c>
      <c r="D699" s="142"/>
    </row>
    <row r="700" spans="1:4" ht="15.75" customHeight="1" outlineLevel="1" x14ac:dyDescent="0.25">
      <c r="A700" s="140" t="s">
        <v>44</v>
      </c>
      <c r="B700" s="141" t="s">
        <v>2897</v>
      </c>
      <c r="C700" s="140">
        <v>5.1079999999999997</v>
      </c>
      <c r="D700" s="144" t="s">
        <v>3069</v>
      </c>
    </row>
    <row r="701" spans="1:4" ht="15.75" customHeight="1" outlineLevel="1" x14ac:dyDescent="0.25">
      <c r="A701" s="140" t="s">
        <v>44</v>
      </c>
      <c r="B701" s="141" t="s">
        <v>1408</v>
      </c>
      <c r="C701" s="140">
        <v>5.109</v>
      </c>
      <c r="D701" s="142"/>
    </row>
    <row r="702" spans="1:4" ht="15.75" customHeight="1" outlineLevel="1" x14ac:dyDescent="0.25">
      <c r="A702" s="140" t="s">
        <v>44</v>
      </c>
      <c r="B702" s="141" t="s">
        <v>1410</v>
      </c>
      <c r="C702" s="146">
        <v>5.1100000000000003</v>
      </c>
      <c r="D702" s="144" t="s">
        <v>3069</v>
      </c>
    </row>
    <row r="703" spans="1:4" ht="15.75" customHeight="1" outlineLevel="1" x14ac:dyDescent="0.25">
      <c r="A703" s="140" t="s">
        <v>44</v>
      </c>
      <c r="B703" s="141" t="s">
        <v>1409</v>
      </c>
      <c r="C703" s="140">
        <v>5.1109999999999998</v>
      </c>
      <c r="D703" s="142"/>
    </row>
    <row r="704" spans="1:4" ht="15.75" customHeight="1" outlineLevel="1" x14ac:dyDescent="0.25">
      <c r="A704" s="140" t="s">
        <v>44</v>
      </c>
      <c r="B704" s="141" t="s">
        <v>1411</v>
      </c>
      <c r="C704" s="140">
        <v>5.1120000000000001</v>
      </c>
      <c r="D704" s="142"/>
    </row>
    <row r="705" spans="1:4" ht="15.75" customHeight="1" outlineLevel="1" x14ac:dyDescent="0.25">
      <c r="A705" s="140" t="s">
        <v>44</v>
      </c>
      <c r="B705" s="141" t="s">
        <v>60</v>
      </c>
      <c r="C705" s="140">
        <v>5.53</v>
      </c>
      <c r="D705" s="142"/>
    </row>
    <row r="706" spans="1:4" ht="15.75" customHeight="1" outlineLevel="1" x14ac:dyDescent="0.25">
      <c r="A706" s="140" t="s">
        <v>44</v>
      </c>
      <c r="B706" s="141" t="s">
        <v>2163</v>
      </c>
      <c r="C706" s="140">
        <v>5.64</v>
      </c>
      <c r="D706" s="142"/>
    </row>
    <row r="707" spans="1:4" ht="15.75" customHeight="1" outlineLevel="1" x14ac:dyDescent="0.25">
      <c r="A707" s="140" t="s">
        <v>44</v>
      </c>
      <c r="B707" s="141" t="s">
        <v>64</v>
      </c>
      <c r="C707" s="140">
        <v>5.63</v>
      </c>
      <c r="D707" s="142"/>
    </row>
    <row r="708" spans="1:4" ht="15.75" customHeight="1" outlineLevel="1" x14ac:dyDescent="0.25">
      <c r="A708" s="140" t="s">
        <v>44</v>
      </c>
      <c r="B708" s="141" t="s">
        <v>103</v>
      </c>
      <c r="C708" s="140">
        <v>5.65</v>
      </c>
      <c r="D708" s="142"/>
    </row>
    <row r="709" spans="1:4" ht="15.75" customHeight="1" outlineLevel="1" x14ac:dyDescent="0.25">
      <c r="A709" s="140" t="s">
        <v>44</v>
      </c>
      <c r="B709" s="141" t="s">
        <v>206</v>
      </c>
      <c r="C709" s="140">
        <v>5.66</v>
      </c>
      <c r="D709" s="142"/>
    </row>
    <row r="710" spans="1:4" ht="15.75" customHeight="1" outlineLevel="1" x14ac:dyDescent="0.25">
      <c r="A710" s="140" t="s">
        <v>44</v>
      </c>
      <c r="B710" s="141" t="s">
        <v>18</v>
      </c>
      <c r="C710" s="140">
        <v>5.68</v>
      </c>
      <c r="D710" s="142"/>
    </row>
    <row r="711" spans="1:4" ht="15.75" customHeight="1" outlineLevel="1" x14ac:dyDescent="0.25">
      <c r="A711" s="140" t="s">
        <v>44</v>
      </c>
      <c r="B711" s="141" t="s">
        <v>65</v>
      </c>
      <c r="C711" s="140">
        <v>5.47</v>
      </c>
      <c r="D711" s="142"/>
    </row>
    <row r="712" spans="1:4" ht="15.75" customHeight="1" outlineLevel="1" x14ac:dyDescent="0.25">
      <c r="A712" s="140" t="s">
        <v>44</v>
      </c>
      <c r="B712" s="141" t="s">
        <v>66</v>
      </c>
      <c r="C712" s="140">
        <v>5.48</v>
      </c>
      <c r="D712" s="142"/>
    </row>
    <row r="713" spans="1:4" ht="15.75" customHeight="1" x14ac:dyDescent="0.25">
      <c r="A713" s="145" t="s">
        <v>44</v>
      </c>
      <c r="B713" s="141"/>
      <c r="C713" s="140"/>
      <c r="D713" s="142"/>
    </row>
    <row r="714" spans="1:4" ht="15.75" customHeight="1" outlineLevel="1" x14ac:dyDescent="0.25">
      <c r="A714" s="140" t="s">
        <v>3081</v>
      </c>
      <c r="B714" s="141" t="s">
        <v>50</v>
      </c>
      <c r="C714" s="140">
        <v>5.0999999999999996</v>
      </c>
      <c r="D714" s="142"/>
    </row>
    <row r="715" spans="1:4" ht="15.75" customHeight="1" outlineLevel="1" x14ac:dyDescent="0.25">
      <c r="A715" s="140" t="s">
        <v>3081</v>
      </c>
      <c r="B715" s="141" t="s">
        <v>51</v>
      </c>
      <c r="C715" s="140">
        <v>5.2</v>
      </c>
      <c r="D715" s="142"/>
    </row>
    <row r="716" spans="1:4" ht="15.75" customHeight="1" outlineLevel="1" x14ac:dyDescent="0.25">
      <c r="A716" s="140" t="s">
        <v>3081</v>
      </c>
      <c r="B716" s="141" t="s">
        <v>91</v>
      </c>
      <c r="C716" s="140">
        <v>5.3</v>
      </c>
      <c r="D716" s="142"/>
    </row>
    <row r="717" spans="1:4" ht="15.75" customHeight="1" outlineLevel="1" x14ac:dyDescent="0.25">
      <c r="A717" s="140" t="s">
        <v>3081</v>
      </c>
      <c r="B717" s="141" t="s">
        <v>198</v>
      </c>
      <c r="C717" s="140">
        <v>5.6</v>
      </c>
      <c r="D717" s="142"/>
    </row>
    <row r="718" spans="1:4" ht="15.75" customHeight="1" outlineLevel="1" x14ac:dyDescent="0.25">
      <c r="A718" s="140" t="s">
        <v>3081</v>
      </c>
      <c r="B718" s="141" t="s">
        <v>3070</v>
      </c>
      <c r="C718" s="143">
        <v>5.0999999999999996</v>
      </c>
      <c r="D718" s="142"/>
    </row>
    <row r="719" spans="1:4" ht="15.75" customHeight="1" outlineLevel="1" x14ac:dyDescent="0.25">
      <c r="A719" s="140" t="s">
        <v>3081</v>
      </c>
      <c r="B719" s="141" t="s">
        <v>1333</v>
      </c>
      <c r="C719" s="140">
        <v>5.14</v>
      </c>
      <c r="D719" s="142"/>
    </row>
    <row r="720" spans="1:4" ht="15.75" customHeight="1" outlineLevel="1" x14ac:dyDescent="0.25">
      <c r="A720" s="140" t="s">
        <v>3081</v>
      </c>
      <c r="B720" s="141" t="s">
        <v>93</v>
      </c>
      <c r="C720" s="140">
        <v>5.19</v>
      </c>
      <c r="D720" s="142"/>
    </row>
    <row r="721" spans="1:4" ht="15.75" customHeight="1" outlineLevel="1" x14ac:dyDescent="0.25">
      <c r="A721" s="140" t="s">
        <v>3081</v>
      </c>
      <c r="B721" s="141" t="s">
        <v>200</v>
      </c>
      <c r="C721" s="140">
        <v>5.24</v>
      </c>
      <c r="D721" s="142"/>
    </row>
    <row r="722" spans="1:4" ht="15.75" customHeight="1" outlineLevel="1" x14ac:dyDescent="0.25">
      <c r="A722" s="140" t="s">
        <v>3081</v>
      </c>
      <c r="B722" s="141" t="s">
        <v>55</v>
      </c>
      <c r="C722" s="140">
        <v>5.26</v>
      </c>
      <c r="D722" s="142"/>
    </row>
    <row r="723" spans="1:4" ht="15.75" customHeight="1" outlineLevel="1" x14ac:dyDescent="0.25">
      <c r="A723" s="140" t="s">
        <v>3081</v>
      </c>
      <c r="B723" s="141" t="s">
        <v>56</v>
      </c>
      <c r="C723" s="140">
        <v>5.27</v>
      </c>
      <c r="D723" s="142"/>
    </row>
    <row r="724" spans="1:4" ht="15.75" customHeight="1" outlineLevel="1" x14ac:dyDescent="0.25">
      <c r="A724" s="140" t="s">
        <v>3081</v>
      </c>
      <c r="B724" s="141" t="s">
        <v>94</v>
      </c>
      <c r="C724" s="140">
        <v>5.28</v>
      </c>
      <c r="D724" s="142"/>
    </row>
    <row r="725" spans="1:4" ht="15.75" customHeight="1" outlineLevel="1" x14ac:dyDescent="0.25">
      <c r="A725" s="140" t="s">
        <v>3081</v>
      </c>
      <c r="B725" s="141" t="s">
        <v>201</v>
      </c>
      <c r="C725" s="140">
        <v>5.31</v>
      </c>
      <c r="D725" s="142"/>
    </row>
    <row r="726" spans="1:4" ht="15.75" customHeight="1" outlineLevel="1" x14ac:dyDescent="0.25">
      <c r="A726" s="140" t="s">
        <v>3081</v>
      </c>
      <c r="B726" s="141" t="s">
        <v>57</v>
      </c>
      <c r="C726" s="140">
        <v>5.36</v>
      </c>
      <c r="D726" s="142"/>
    </row>
    <row r="727" spans="1:4" ht="15.75" customHeight="1" outlineLevel="1" x14ac:dyDescent="0.25">
      <c r="A727" s="140" t="s">
        <v>3081</v>
      </c>
      <c r="B727" s="141" t="s">
        <v>60</v>
      </c>
      <c r="C727" s="140">
        <v>5.53</v>
      </c>
      <c r="D727" s="142"/>
    </row>
    <row r="728" spans="1:4" ht="15.75" customHeight="1" outlineLevel="1" x14ac:dyDescent="0.25">
      <c r="A728" s="140" t="s">
        <v>3081</v>
      </c>
      <c r="B728" s="141" t="s">
        <v>1408</v>
      </c>
      <c r="C728" s="140">
        <v>5.109</v>
      </c>
      <c r="D728" s="142"/>
    </row>
    <row r="729" spans="1:4" ht="15.75" customHeight="1" outlineLevel="1" x14ac:dyDescent="0.25">
      <c r="A729" s="140" t="s">
        <v>3081</v>
      </c>
      <c r="B729" s="141" t="s">
        <v>1409</v>
      </c>
      <c r="C729" s="140">
        <v>5.1109999999999998</v>
      </c>
      <c r="D729" s="142"/>
    </row>
    <row r="730" spans="1:4" ht="15.75" customHeight="1" outlineLevel="1" x14ac:dyDescent="0.25">
      <c r="A730" s="140" t="s">
        <v>3081</v>
      </c>
      <c r="B730" s="141" t="s">
        <v>1411</v>
      </c>
      <c r="C730" s="140">
        <v>5.1120000000000001</v>
      </c>
      <c r="D730" s="142"/>
    </row>
    <row r="731" spans="1:4" ht="15.75" customHeight="1" outlineLevel="1" x14ac:dyDescent="0.25">
      <c r="A731" s="140" t="s">
        <v>3081</v>
      </c>
      <c r="B731" s="141" t="s">
        <v>3074</v>
      </c>
      <c r="C731" s="140">
        <v>5.1130000000000004</v>
      </c>
      <c r="D731" s="142"/>
    </row>
    <row r="732" spans="1:4" ht="15.75" customHeight="1" outlineLevel="1" x14ac:dyDescent="0.25">
      <c r="A732" s="140" t="s">
        <v>3081</v>
      </c>
      <c r="B732" s="141" t="s">
        <v>2318</v>
      </c>
      <c r="C732" s="140">
        <v>5.117</v>
      </c>
      <c r="D732" s="142"/>
    </row>
    <row r="733" spans="1:4" ht="15.75" customHeight="1" outlineLevel="1" x14ac:dyDescent="0.25">
      <c r="A733" s="140" t="s">
        <v>3081</v>
      </c>
      <c r="B733" s="141" t="s">
        <v>2319</v>
      </c>
      <c r="C733" s="140">
        <v>5.67</v>
      </c>
      <c r="D733" s="142"/>
    </row>
    <row r="734" spans="1:4" ht="15.75" customHeight="1" outlineLevel="1" x14ac:dyDescent="0.25">
      <c r="A734" s="140" t="s">
        <v>3081</v>
      </c>
      <c r="B734" s="141" t="s">
        <v>64</v>
      </c>
      <c r="C734" s="140">
        <v>5.63</v>
      </c>
      <c r="D734" s="142"/>
    </row>
    <row r="735" spans="1:4" ht="15.75" customHeight="1" outlineLevel="1" x14ac:dyDescent="0.25">
      <c r="A735" s="140" t="s">
        <v>3081</v>
      </c>
      <c r="B735" s="141" t="s">
        <v>65</v>
      </c>
      <c r="C735" s="140">
        <v>5.47</v>
      </c>
      <c r="D735" s="142"/>
    </row>
    <row r="736" spans="1:4" ht="15.75" customHeight="1" outlineLevel="1" x14ac:dyDescent="0.25">
      <c r="A736" s="140" t="s">
        <v>3081</v>
      </c>
      <c r="B736" s="141" t="s">
        <v>66</v>
      </c>
      <c r="C736" s="140">
        <v>5.48</v>
      </c>
      <c r="D736" s="142"/>
    </row>
    <row r="737" spans="1:4" ht="15.75" customHeight="1" x14ac:dyDescent="0.25">
      <c r="A737" s="145" t="s">
        <v>3082</v>
      </c>
      <c r="B737" s="141"/>
      <c r="C737" s="140"/>
      <c r="D737" s="142"/>
    </row>
    <row r="738" spans="1:4" ht="15.75" customHeight="1" outlineLevel="1" x14ac:dyDescent="0.25">
      <c r="A738" s="140" t="s">
        <v>46</v>
      </c>
      <c r="B738" s="141" t="s">
        <v>50</v>
      </c>
      <c r="C738" s="140">
        <v>5.0999999999999996</v>
      </c>
      <c r="D738" s="142"/>
    </row>
    <row r="739" spans="1:4" ht="15.75" customHeight="1" outlineLevel="1" x14ac:dyDescent="0.25">
      <c r="A739" s="140" t="s">
        <v>46</v>
      </c>
      <c r="B739" s="141" t="s">
        <v>51</v>
      </c>
      <c r="C739" s="140">
        <v>5.2</v>
      </c>
      <c r="D739" s="142"/>
    </row>
    <row r="740" spans="1:4" ht="15.75" customHeight="1" outlineLevel="1" x14ac:dyDescent="0.25">
      <c r="A740" s="140" t="s">
        <v>46</v>
      </c>
      <c r="B740" s="141" t="s">
        <v>2320</v>
      </c>
      <c r="C740" s="140">
        <v>5.18</v>
      </c>
      <c r="D740" s="142"/>
    </row>
    <row r="741" spans="1:4" ht="15.75" customHeight="1" outlineLevel="1" x14ac:dyDescent="0.25">
      <c r="A741" s="140" t="s">
        <v>46</v>
      </c>
      <c r="B741" s="141" t="s">
        <v>2321</v>
      </c>
      <c r="C741" s="140">
        <v>5.23</v>
      </c>
      <c r="D741" s="142"/>
    </row>
    <row r="742" spans="1:4" ht="15.75" customHeight="1" outlineLevel="1" x14ac:dyDescent="0.25">
      <c r="A742" s="140" t="s">
        <v>46</v>
      </c>
      <c r="B742" s="141" t="s">
        <v>55</v>
      </c>
      <c r="C742" s="140">
        <v>5.26</v>
      </c>
      <c r="D742" s="142"/>
    </row>
    <row r="743" spans="1:4" ht="15.75" customHeight="1" outlineLevel="1" x14ac:dyDescent="0.25">
      <c r="A743" s="140" t="s">
        <v>46</v>
      </c>
      <c r="B743" s="141" t="s">
        <v>56</v>
      </c>
      <c r="C743" s="140">
        <v>5.27</v>
      </c>
      <c r="D743" s="142"/>
    </row>
    <row r="744" spans="1:4" ht="15.75" customHeight="1" outlineLevel="1" x14ac:dyDescent="0.25">
      <c r="A744" s="140" t="s">
        <v>46</v>
      </c>
      <c r="B744" s="141" t="s">
        <v>94</v>
      </c>
      <c r="C744" s="140">
        <v>5.28</v>
      </c>
      <c r="D744" s="142"/>
    </row>
    <row r="745" spans="1:4" ht="15.75" customHeight="1" outlineLevel="1" x14ac:dyDescent="0.25">
      <c r="A745" s="140" t="s">
        <v>46</v>
      </c>
      <c r="B745" s="141" t="s">
        <v>57</v>
      </c>
      <c r="C745" s="140">
        <v>5.36</v>
      </c>
      <c r="D745" s="142"/>
    </row>
    <row r="746" spans="1:4" ht="15.75" customHeight="1" outlineLevel="1" x14ac:dyDescent="0.25">
      <c r="A746" s="140" t="s">
        <v>46</v>
      </c>
      <c r="B746" s="141" t="s">
        <v>2322</v>
      </c>
      <c r="C746" s="140">
        <v>5.44</v>
      </c>
      <c r="D746" s="142"/>
    </row>
    <row r="747" spans="1:4" ht="15.75" customHeight="1" outlineLevel="1" x14ac:dyDescent="0.25">
      <c r="A747" s="140" t="s">
        <v>46</v>
      </c>
      <c r="B747" s="141" t="s">
        <v>60</v>
      </c>
      <c r="C747" s="140">
        <v>5.53</v>
      </c>
      <c r="D747" s="142"/>
    </row>
    <row r="748" spans="1:4" ht="15.75" customHeight="1" outlineLevel="1" x14ac:dyDescent="0.25">
      <c r="A748" s="140" t="s">
        <v>46</v>
      </c>
      <c r="B748" s="141" t="s">
        <v>1411</v>
      </c>
      <c r="C748" s="140">
        <v>5.1120000000000001</v>
      </c>
      <c r="D748" s="142"/>
    </row>
    <row r="749" spans="1:4" ht="15.75" customHeight="1" outlineLevel="1" x14ac:dyDescent="0.25">
      <c r="A749" s="140" t="s">
        <v>46</v>
      </c>
      <c r="B749" s="141" t="s">
        <v>61</v>
      </c>
      <c r="C749" s="140">
        <v>5.59</v>
      </c>
      <c r="D749" s="142"/>
    </row>
    <row r="750" spans="1:4" ht="15.75" customHeight="1" outlineLevel="1" x14ac:dyDescent="0.25">
      <c r="A750" s="140" t="s">
        <v>46</v>
      </c>
      <c r="B750" s="141" t="s">
        <v>62</v>
      </c>
      <c r="C750" s="140">
        <v>5.54</v>
      </c>
      <c r="D750" s="142"/>
    </row>
    <row r="751" spans="1:4" ht="15.75" customHeight="1" outlineLevel="1" x14ac:dyDescent="0.25">
      <c r="A751" s="140" t="s">
        <v>46</v>
      </c>
      <c r="B751" s="141" t="s">
        <v>64</v>
      </c>
      <c r="C751" s="140">
        <v>5.63</v>
      </c>
      <c r="D751" s="142"/>
    </row>
    <row r="752" spans="1:4" ht="15.75" customHeight="1" outlineLevel="1" x14ac:dyDescent="0.25">
      <c r="A752" s="140" t="s">
        <v>46</v>
      </c>
      <c r="B752" s="141" t="s">
        <v>103</v>
      </c>
      <c r="C752" s="140">
        <v>5.65</v>
      </c>
      <c r="D752" s="142"/>
    </row>
    <row r="753" spans="1:4" ht="15.75" customHeight="1" outlineLevel="1" x14ac:dyDescent="0.25">
      <c r="A753" s="140" t="s">
        <v>46</v>
      </c>
      <c r="B753" s="141" t="s">
        <v>18</v>
      </c>
      <c r="C753" s="140">
        <v>5.68</v>
      </c>
      <c r="D753" s="142"/>
    </row>
    <row r="754" spans="1:4" ht="15.75" customHeight="1" outlineLevel="1" x14ac:dyDescent="0.25">
      <c r="A754" s="140" t="s">
        <v>46</v>
      </c>
      <c r="B754" s="141" t="s">
        <v>65</v>
      </c>
      <c r="C754" s="140">
        <v>5.47</v>
      </c>
      <c r="D754" s="142"/>
    </row>
    <row r="755" spans="1:4" ht="15.75" customHeight="1" outlineLevel="1" x14ac:dyDescent="0.25">
      <c r="A755" s="140" t="s">
        <v>46</v>
      </c>
      <c r="B755" s="141" t="s">
        <v>66</v>
      </c>
      <c r="C755" s="140">
        <v>5.48</v>
      </c>
      <c r="D755" s="142"/>
    </row>
    <row r="756" spans="1:4" ht="15.75" customHeight="1" x14ac:dyDescent="0.25">
      <c r="A756" s="145" t="s">
        <v>46</v>
      </c>
      <c r="B756" s="141"/>
      <c r="C756" s="140"/>
      <c r="D756" s="142"/>
    </row>
    <row r="757" spans="1:4" ht="15.75" customHeight="1" outlineLevel="1" x14ac:dyDescent="0.25">
      <c r="A757" s="140" t="s">
        <v>48</v>
      </c>
      <c r="B757" s="141" t="s">
        <v>50</v>
      </c>
      <c r="C757" s="140">
        <v>5.0999999999999996</v>
      </c>
      <c r="D757" s="142"/>
    </row>
    <row r="758" spans="1:4" ht="15.75" customHeight="1" outlineLevel="1" x14ac:dyDescent="0.25">
      <c r="A758" s="140" t="s">
        <v>48</v>
      </c>
      <c r="B758" s="141" t="s">
        <v>51</v>
      </c>
      <c r="C758" s="140">
        <v>5.2</v>
      </c>
      <c r="D758" s="142"/>
    </row>
    <row r="759" spans="1:4" ht="15.75" customHeight="1" outlineLevel="1" x14ac:dyDescent="0.25">
      <c r="A759" s="140" t="s">
        <v>48</v>
      </c>
      <c r="B759" s="141" t="s">
        <v>2141</v>
      </c>
      <c r="C759" s="140">
        <v>5.9</v>
      </c>
      <c r="D759" s="144" t="s">
        <v>3069</v>
      </c>
    </row>
    <row r="760" spans="1:4" ht="15.75" customHeight="1" outlineLevel="1" x14ac:dyDescent="0.25">
      <c r="A760" s="140" t="s">
        <v>48</v>
      </c>
      <c r="B760" s="141" t="s">
        <v>2142</v>
      </c>
      <c r="C760" s="140">
        <v>5.13</v>
      </c>
      <c r="D760" s="142"/>
    </row>
    <row r="761" spans="1:4" ht="15.75" customHeight="1" outlineLevel="1" x14ac:dyDescent="0.25">
      <c r="A761" s="140" t="s">
        <v>48</v>
      </c>
      <c r="B761" s="141" t="s">
        <v>2143</v>
      </c>
      <c r="C761" s="140">
        <v>5.16</v>
      </c>
      <c r="D761" s="144" t="s">
        <v>3069</v>
      </c>
    </row>
    <row r="762" spans="1:4" ht="15.75" customHeight="1" outlineLevel="1" x14ac:dyDescent="0.25">
      <c r="A762" s="140" t="s">
        <v>48</v>
      </c>
      <c r="B762" s="141" t="s">
        <v>2144</v>
      </c>
      <c r="C762" s="140">
        <v>5.22</v>
      </c>
      <c r="D762" s="144"/>
    </row>
    <row r="763" spans="1:4" ht="15.75" customHeight="1" outlineLevel="1" x14ac:dyDescent="0.25">
      <c r="A763" s="140" t="s">
        <v>48</v>
      </c>
      <c r="B763" s="141" t="s">
        <v>2340</v>
      </c>
      <c r="C763" s="140">
        <v>5.42</v>
      </c>
      <c r="D763" s="142"/>
    </row>
    <row r="764" spans="1:4" ht="15.75" customHeight="1" outlineLevel="1" x14ac:dyDescent="0.25">
      <c r="A764" s="140" t="s">
        <v>48</v>
      </c>
      <c r="B764" s="141" t="s">
        <v>56</v>
      </c>
      <c r="C764" s="140">
        <v>5.27</v>
      </c>
      <c r="D764" s="142"/>
    </row>
    <row r="765" spans="1:4" ht="15.75" customHeight="1" outlineLevel="1" x14ac:dyDescent="0.25">
      <c r="A765" s="140" t="s">
        <v>48</v>
      </c>
      <c r="B765" s="141" t="s">
        <v>94</v>
      </c>
      <c r="C765" s="140">
        <v>5.28</v>
      </c>
      <c r="D765" s="144" t="s">
        <v>3069</v>
      </c>
    </row>
    <row r="766" spans="1:4" ht="15.75" customHeight="1" outlineLevel="1" x14ac:dyDescent="0.25">
      <c r="A766" s="140" t="s">
        <v>48</v>
      </c>
      <c r="B766" s="141" t="s">
        <v>57</v>
      </c>
      <c r="C766" s="140">
        <v>5.36</v>
      </c>
      <c r="D766" s="142"/>
    </row>
    <row r="767" spans="1:4" ht="15.75" customHeight="1" outlineLevel="1" x14ac:dyDescent="0.25">
      <c r="A767" s="140" t="s">
        <v>48</v>
      </c>
      <c r="B767" s="141" t="s">
        <v>96</v>
      </c>
      <c r="C767" s="140">
        <v>5.49</v>
      </c>
      <c r="D767" s="142"/>
    </row>
    <row r="768" spans="1:4" ht="15.75" customHeight="1" outlineLevel="1" x14ac:dyDescent="0.25">
      <c r="A768" s="140" t="s">
        <v>48</v>
      </c>
      <c r="B768" s="141" t="s">
        <v>59</v>
      </c>
      <c r="C768" s="140">
        <v>5.51</v>
      </c>
      <c r="D768" s="142"/>
    </row>
    <row r="769" spans="1:4" ht="15.75" customHeight="1" outlineLevel="1" x14ac:dyDescent="0.25">
      <c r="A769" s="140" t="s">
        <v>48</v>
      </c>
      <c r="B769" s="141" t="s">
        <v>3080</v>
      </c>
      <c r="C769" s="140">
        <v>5.52</v>
      </c>
      <c r="D769" s="142"/>
    </row>
    <row r="770" spans="1:4" ht="15.75" customHeight="1" outlineLevel="1" x14ac:dyDescent="0.25">
      <c r="A770" s="140" t="s">
        <v>48</v>
      </c>
      <c r="B770" s="141" t="s">
        <v>60</v>
      </c>
      <c r="C770" s="140">
        <v>5.53</v>
      </c>
      <c r="D770" s="142"/>
    </row>
    <row r="771" spans="1:4" ht="15.75" customHeight="1" outlineLevel="1" x14ac:dyDescent="0.25">
      <c r="A771" s="140" t="s">
        <v>48</v>
      </c>
      <c r="B771" s="141" t="s">
        <v>62</v>
      </c>
      <c r="C771" s="140">
        <v>5.54</v>
      </c>
      <c r="D771" s="142"/>
    </row>
    <row r="772" spans="1:4" ht="15.75" customHeight="1" outlineLevel="1" x14ac:dyDescent="0.25">
      <c r="A772" s="140" t="s">
        <v>48</v>
      </c>
      <c r="B772" s="141" t="s">
        <v>63</v>
      </c>
      <c r="C772" s="143">
        <v>5.7</v>
      </c>
      <c r="D772" s="142"/>
    </row>
    <row r="773" spans="1:4" ht="15.75" customHeight="1" outlineLevel="1" x14ac:dyDescent="0.25">
      <c r="A773" s="140" t="s">
        <v>48</v>
      </c>
      <c r="B773" s="141" t="s">
        <v>2150</v>
      </c>
      <c r="C773" s="140">
        <v>5.71</v>
      </c>
      <c r="D773" s="142"/>
    </row>
    <row r="774" spans="1:4" ht="15.75" customHeight="1" outlineLevel="1" x14ac:dyDescent="0.25">
      <c r="A774" s="140" t="s">
        <v>48</v>
      </c>
      <c r="B774" s="141" t="s">
        <v>2341</v>
      </c>
      <c r="C774" s="143">
        <v>5.9</v>
      </c>
      <c r="D774" s="142"/>
    </row>
    <row r="775" spans="1:4" ht="15.75" customHeight="1" outlineLevel="1" x14ac:dyDescent="0.25">
      <c r="A775" s="140" t="s">
        <v>48</v>
      </c>
      <c r="B775" s="141" t="s">
        <v>2342</v>
      </c>
      <c r="C775" s="140">
        <v>5.91</v>
      </c>
      <c r="D775" s="142"/>
    </row>
    <row r="776" spans="1:4" ht="15.75" customHeight="1" outlineLevel="1" x14ac:dyDescent="0.25">
      <c r="A776" s="140" t="s">
        <v>48</v>
      </c>
      <c r="B776" s="141" t="s">
        <v>2343</v>
      </c>
      <c r="C776" s="140">
        <v>5.97</v>
      </c>
      <c r="D776" s="142"/>
    </row>
    <row r="777" spans="1:4" ht="15.75" customHeight="1" x14ac:dyDescent="0.25">
      <c r="A777" s="145" t="s">
        <v>48</v>
      </c>
      <c r="B777" s="141"/>
      <c r="C777" s="140"/>
      <c r="D777" s="142"/>
    </row>
    <row r="778" spans="1:4" ht="15.75" customHeight="1" outlineLevel="1" x14ac:dyDescent="0.25">
      <c r="A778" s="140" t="s">
        <v>3056</v>
      </c>
      <c r="B778" s="141" t="s">
        <v>50</v>
      </c>
      <c r="C778" s="140">
        <v>5.0999999999999996</v>
      </c>
      <c r="D778" s="142"/>
    </row>
    <row r="779" spans="1:4" ht="15.75" customHeight="1" outlineLevel="1" x14ac:dyDescent="0.25">
      <c r="A779" s="140" t="s">
        <v>3056</v>
      </c>
      <c r="B779" s="141" t="s">
        <v>51</v>
      </c>
      <c r="C779" s="140">
        <v>5.2</v>
      </c>
      <c r="D779" s="142"/>
    </row>
    <row r="780" spans="1:4" ht="15.75" customHeight="1" outlineLevel="1" x14ac:dyDescent="0.25">
      <c r="A780" s="140" t="s">
        <v>3056</v>
      </c>
      <c r="B780" s="141" t="s">
        <v>55</v>
      </c>
      <c r="C780" s="140">
        <v>5.26</v>
      </c>
      <c r="D780" s="142"/>
    </row>
    <row r="781" spans="1:4" ht="15.75" customHeight="1" outlineLevel="1" x14ac:dyDescent="0.25">
      <c r="A781" s="140" t="s">
        <v>3056</v>
      </c>
      <c r="B781" s="141" t="s">
        <v>1654</v>
      </c>
      <c r="C781" s="140">
        <v>5.5</v>
      </c>
      <c r="D781" s="142"/>
    </row>
    <row r="782" spans="1:4" ht="15.75" customHeight="1" outlineLevel="1" x14ac:dyDescent="0.25">
      <c r="A782" s="140" t="s">
        <v>3056</v>
      </c>
      <c r="B782" s="141" t="s">
        <v>1655</v>
      </c>
      <c r="C782" s="140">
        <v>5.8</v>
      </c>
      <c r="D782" s="144" t="s">
        <v>3069</v>
      </c>
    </row>
    <row r="783" spans="1:4" ht="15.75" customHeight="1" outlineLevel="1" x14ac:dyDescent="0.25">
      <c r="A783" s="140" t="s">
        <v>3056</v>
      </c>
      <c r="B783" s="141" t="s">
        <v>1656</v>
      </c>
      <c r="C783" s="140">
        <v>5.12</v>
      </c>
      <c r="D783" s="140"/>
    </row>
    <row r="784" spans="1:4" ht="15.75" customHeight="1" outlineLevel="1" x14ac:dyDescent="0.25">
      <c r="A784" s="140" t="s">
        <v>3056</v>
      </c>
      <c r="B784" s="141" t="s">
        <v>1657</v>
      </c>
      <c r="C784" s="140">
        <v>5.15</v>
      </c>
      <c r="D784" s="140"/>
    </row>
    <row r="785" spans="1:4" ht="15.75" customHeight="1" outlineLevel="1" x14ac:dyDescent="0.25">
      <c r="A785" s="140" t="s">
        <v>3056</v>
      </c>
      <c r="B785" s="141" t="s">
        <v>1658</v>
      </c>
      <c r="C785" s="143">
        <v>5.2</v>
      </c>
      <c r="D785" s="144"/>
    </row>
    <row r="786" spans="1:4" ht="15.75" customHeight="1" outlineLevel="1" x14ac:dyDescent="0.25">
      <c r="A786" s="140" t="s">
        <v>3056</v>
      </c>
      <c r="B786" s="141" t="s">
        <v>1659</v>
      </c>
      <c r="C786" s="140">
        <v>5.25</v>
      </c>
      <c r="D786" s="140"/>
    </row>
    <row r="787" spans="1:4" ht="15.75" customHeight="1" outlineLevel="1" x14ac:dyDescent="0.25">
      <c r="A787" s="140" t="s">
        <v>3056</v>
      </c>
      <c r="B787" s="141" t="s">
        <v>60</v>
      </c>
      <c r="C787" s="140">
        <v>5.53</v>
      </c>
      <c r="D787" s="140"/>
    </row>
    <row r="788" spans="1:4" ht="15.75" customHeight="1" outlineLevel="1" x14ac:dyDescent="0.25">
      <c r="A788" s="140" t="s">
        <v>3056</v>
      </c>
      <c r="B788" s="141" t="s">
        <v>2344</v>
      </c>
      <c r="C788" s="143">
        <v>5.4</v>
      </c>
      <c r="D788" s="140"/>
    </row>
    <row r="789" spans="1:4" ht="15.75" customHeight="1" outlineLevel="1" x14ac:dyDescent="0.25">
      <c r="A789" s="140" t="s">
        <v>3056</v>
      </c>
      <c r="B789" s="141" t="s">
        <v>2345</v>
      </c>
      <c r="C789" s="140">
        <v>5.92</v>
      </c>
      <c r="D789" s="140"/>
    </row>
    <row r="790" spans="1:4" ht="15.75" customHeight="1" outlineLevel="1" x14ac:dyDescent="0.25">
      <c r="A790" s="140" t="s">
        <v>3056</v>
      </c>
      <c r="B790" s="141" t="s">
        <v>2346</v>
      </c>
      <c r="C790" s="140">
        <v>5.93</v>
      </c>
      <c r="D790" s="140"/>
    </row>
    <row r="791" spans="1:4" ht="31.5" customHeight="1" outlineLevel="1" x14ac:dyDescent="0.25">
      <c r="A791" s="140" t="s">
        <v>3056</v>
      </c>
      <c r="B791" s="141" t="s">
        <v>2347</v>
      </c>
      <c r="C791" s="140">
        <v>5.94</v>
      </c>
      <c r="D791" s="140"/>
    </row>
    <row r="792" spans="1:4" ht="15.75" customHeight="1" outlineLevel="1" x14ac:dyDescent="0.25">
      <c r="A792" s="140" t="s">
        <v>3056</v>
      </c>
      <c r="B792" s="141" t="s">
        <v>2348</v>
      </c>
      <c r="C792" s="140">
        <v>5.95</v>
      </c>
      <c r="D792" s="140"/>
    </row>
    <row r="793" spans="1:4" ht="15.75" customHeight="1" outlineLevel="1" x14ac:dyDescent="0.25">
      <c r="A793" s="140" t="s">
        <v>3056</v>
      </c>
      <c r="B793" s="141" t="s">
        <v>2349</v>
      </c>
      <c r="C793" s="140">
        <v>5.98</v>
      </c>
      <c r="D793" s="140"/>
    </row>
    <row r="794" spans="1:4" ht="15.75" customHeight="1" outlineLevel="1" x14ac:dyDescent="0.25">
      <c r="A794" s="140" t="s">
        <v>3056</v>
      </c>
      <c r="B794" s="141" t="s">
        <v>2350</v>
      </c>
      <c r="C794" s="140">
        <v>5.96</v>
      </c>
      <c r="D794" s="140"/>
    </row>
    <row r="795" spans="1:4" ht="15.75" customHeight="1" x14ac:dyDescent="0.25">
      <c r="A795" s="145" t="s">
        <v>3056</v>
      </c>
      <c r="B795" s="141"/>
      <c r="C795" s="140"/>
      <c r="D795" s="140"/>
    </row>
  </sheetData>
  <autoFilter ref="A1:D795" xr:uid="{00000000-0009-0000-0000-000020000000}"/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121"/>
  <sheetViews>
    <sheetView rightToLeft="1" zoomScaleNormal="100" workbookViewId="0"/>
  </sheetViews>
  <sheetFormatPr defaultColWidth="8.59765625" defaultRowHeight="13.8" x14ac:dyDescent="0.25"/>
  <cols>
    <col min="1" max="1" width="63.19921875" customWidth="1"/>
    <col min="2" max="2" width="13.796875" customWidth="1"/>
  </cols>
  <sheetData>
    <row r="2" spans="1:2" ht="15" customHeight="1" x14ac:dyDescent="0.25">
      <c r="A2" s="147" t="s">
        <v>3083</v>
      </c>
    </row>
    <row r="3" spans="1:2" x14ac:dyDescent="0.25">
      <c r="A3" t="s">
        <v>3084</v>
      </c>
      <c r="B3" t="s">
        <v>3085</v>
      </c>
    </row>
    <row r="4" spans="1:2" x14ac:dyDescent="0.25">
      <c r="A4" t="s">
        <v>2</v>
      </c>
      <c r="B4" t="s">
        <v>3086</v>
      </c>
    </row>
    <row r="5" spans="1:2" x14ac:dyDescent="0.25">
      <c r="A5" t="s">
        <v>3087</v>
      </c>
      <c r="B5" t="s">
        <v>3088</v>
      </c>
    </row>
    <row r="6" spans="1:2" x14ac:dyDescent="0.25">
      <c r="A6" t="s">
        <v>3089</v>
      </c>
      <c r="B6" t="s">
        <v>3090</v>
      </c>
    </row>
    <row r="7" spans="1:2" x14ac:dyDescent="0.25">
      <c r="A7" t="s">
        <v>3091</v>
      </c>
      <c r="B7" t="s">
        <v>3092</v>
      </c>
    </row>
    <row r="8" spans="1:2" x14ac:dyDescent="0.25">
      <c r="A8" t="s">
        <v>3093</v>
      </c>
      <c r="B8" t="s">
        <v>3094</v>
      </c>
    </row>
    <row r="10" spans="1:2" ht="15" customHeight="1" x14ac:dyDescent="0.25">
      <c r="A10" s="147" t="s">
        <v>3095</v>
      </c>
    </row>
    <row r="11" spans="1:2" x14ac:dyDescent="0.25">
      <c r="A11" t="s">
        <v>3096</v>
      </c>
    </row>
    <row r="12" spans="1:2" x14ac:dyDescent="0.25">
      <c r="A12" t="s">
        <v>3097</v>
      </c>
      <c r="B12" t="s">
        <v>3098</v>
      </c>
    </row>
    <row r="14" spans="1:2" ht="14.4" x14ac:dyDescent="0.3">
      <c r="A14" s="148"/>
    </row>
    <row r="15" spans="1:2" ht="15" customHeight="1" x14ac:dyDescent="0.25">
      <c r="A15" s="147" t="s">
        <v>3099</v>
      </c>
    </row>
    <row r="16" spans="1:2" x14ac:dyDescent="0.25">
      <c r="A16" s="149" t="s">
        <v>3100</v>
      </c>
    </row>
    <row r="17" spans="1:2" x14ac:dyDescent="0.25">
      <c r="A17" s="149" t="s">
        <v>3101</v>
      </c>
    </row>
    <row r="18" spans="1:2" x14ac:dyDescent="0.25">
      <c r="A18" s="149" t="s">
        <v>3102</v>
      </c>
    </row>
    <row r="19" spans="1:2" x14ac:dyDescent="0.25">
      <c r="A19" s="149" t="s">
        <v>3103</v>
      </c>
    </row>
    <row r="21" spans="1:2" ht="15" customHeight="1" x14ac:dyDescent="0.25">
      <c r="A21" s="150" t="s">
        <v>3104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ht="15" customHeight="1" x14ac:dyDescent="0.25">
      <c r="A34" s="147" t="s">
        <v>3105</v>
      </c>
      <c r="B34" s="147" t="s">
        <v>1721</v>
      </c>
    </row>
    <row r="35" spans="1:2" x14ac:dyDescent="0.25">
      <c r="A35" s="7" t="s">
        <v>3106</v>
      </c>
      <c r="B35" s="151">
        <v>512310509</v>
      </c>
    </row>
    <row r="36" spans="1:2" x14ac:dyDescent="0.25">
      <c r="A36" t="s">
        <v>3107</v>
      </c>
      <c r="B36" s="151">
        <v>513910703</v>
      </c>
    </row>
    <row r="37" spans="1:2" x14ac:dyDescent="0.25">
      <c r="A37" t="s">
        <v>3108</v>
      </c>
      <c r="B37" s="151">
        <v>512304882</v>
      </c>
    </row>
    <row r="38" spans="1:2" x14ac:dyDescent="0.25">
      <c r="A38" t="s">
        <v>3109</v>
      </c>
      <c r="B38" s="151">
        <v>520030677</v>
      </c>
    </row>
    <row r="39" spans="1:2" x14ac:dyDescent="0.25">
      <c r="A39" t="s">
        <v>3110</v>
      </c>
      <c r="B39" s="151">
        <v>513621110</v>
      </c>
    </row>
    <row r="40" spans="1:2" x14ac:dyDescent="0.25">
      <c r="A40" t="s">
        <v>3111</v>
      </c>
      <c r="B40" s="7">
        <v>513173393</v>
      </c>
    </row>
    <row r="41" spans="1:2" x14ac:dyDescent="0.25">
      <c r="A41" t="s">
        <v>3112</v>
      </c>
      <c r="B41" s="7">
        <v>511880460</v>
      </c>
    </row>
    <row r="42" spans="1:2" x14ac:dyDescent="0.25">
      <c r="A42" t="s">
        <v>3113</v>
      </c>
      <c r="B42" s="7">
        <v>510773922</v>
      </c>
    </row>
    <row r="43" spans="1:2" x14ac:dyDescent="0.25">
      <c r="A43" t="s">
        <v>3114</v>
      </c>
      <c r="B43">
        <v>520021916</v>
      </c>
    </row>
    <row r="44" spans="1:2" x14ac:dyDescent="0.25">
      <c r="A44" t="s">
        <v>3115</v>
      </c>
      <c r="B44">
        <v>520044025</v>
      </c>
    </row>
    <row r="45" spans="1:2" x14ac:dyDescent="0.25">
      <c r="A45" t="s">
        <v>3116</v>
      </c>
      <c r="B45">
        <v>570003152</v>
      </c>
    </row>
    <row r="46" spans="1:2" x14ac:dyDescent="0.25">
      <c r="A46" t="s">
        <v>3117</v>
      </c>
      <c r="B46" s="7">
        <v>520023094</v>
      </c>
    </row>
    <row r="47" spans="1:2" x14ac:dyDescent="0.25">
      <c r="A47" t="s">
        <v>3118</v>
      </c>
      <c r="B47" s="7">
        <v>512711409</v>
      </c>
    </row>
    <row r="48" spans="1:2" x14ac:dyDescent="0.25">
      <c r="A48" t="s">
        <v>3119</v>
      </c>
      <c r="B48">
        <v>515859379</v>
      </c>
    </row>
    <row r="49" spans="1:2" x14ac:dyDescent="0.25">
      <c r="A49" t="s">
        <v>3120</v>
      </c>
      <c r="B49" s="7">
        <v>520030990</v>
      </c>
    </row>
    <row r="50" spans="1:2" x14ac:dyDescent="0.25">
      <c r="A50" t="s">
        <v>3121</v>
      </c>
      <c r="B50" s="7">
        <v>520028812</v>
      </c>
    </row>
    <row r="51" spans="1:2" x14ac:dyDescent="0.25">
      <c r="A51" t="s">
        <v>3122</v>
      </c>
      <c r="B51" s="7">
        <v>520034968</v>
      </c>
    </row>
    <row r="52" spans="1:2" x14ac:dyDescent="0.25">
      <c r="A52" t="s">
        <v>3123</v>
      </c>
      <c r="B52" s="7">
        <v>520031824</v>
      </c>
    </row>
    <row r="53" spans="1:2" x14ac:dyDescent="0.25">
      <c r="A53" t="s">
        <v>3124</v>
      </c>
      <c r="B53" s="7">
        <v>520005497</v>
      </c>
    </row>
    <row r="54" spans="1:2" x14ac:dyDescent="0.25">
      <c r="A54" t="s">
        <v>3125</v>
      </c>
      <c r="B54" s="7">
        <v>520022518</v>
      </c>
    </row>
    <row r="55" spans="1:2" x14ac:dyDescent="0.25">
      <c r="A55" t="s">
        <v>3126</v>
      </c>
      <c r="B55" s="7">
        <v>520028556</v>
      </c>
    </row>
    <row r="56" spans="1:2" x14ac:dyDescent="0.25">
      <c r="A56" t="s">
        <v>3127</v>
      </c>
      <c r="B56" s="7">
        <v>520032269</v>
      </c>
    </row>
    <row r="57" spans="1:2" x14ac:dyDescent="0.25">
      <c r="A57" t="s">
        <v>3128</v>
      </c>
      <c r="B57" s="7">
        <v>520027954</v>
      </c>
    </row>
    <row r="58" spans="1:2" x14ac:dyDescent="0.25">
      <c r="A58" t="s">
        <v>3129</v>
      </c>
      <c r="B58">
        <v>520029620</v>
      </c>
    </row>
    <row r="59" spans="1:2" x14ac:dyDescent="0.25">
      <c r="A59" t="s">
        <v>3130</v>
      </c>
      <c r="B59" s="7">
        <v>520028861</v>
      </c>
    </row>
    <row r="60" spans="1:2" x14ac:dyDescent="0.25">
      <c r="A60" t="s">
        <v>3131</v>
      </c>
      <c r="B60" s="7">
        <v>520030743</v>
      </c>
    </row>
    <row r="61" spans="1:2" x14ac:dyDescent="0.25">
      <c r="A61" t="s">
        <v>3132</v>
      </c>
      <c r="B61">
        <v>520042177</v>
      </c>
    </row>
    <row r="62" spans="1:2" x14ac:dyDescent="0.25">
      <c r="A62" t="s">
        <v>3133</v>
      </c>
      <c r="B62" s="7">
        <v>515447035</v>
      </c>
    </row>
    <row r="63" spans="1:2" x14ac:dyDescent="0.25">
      <c r="A63" t="s">
        <v>3134</v>
      </c>
      <c r="B63" s="7">
        <v>520042607</v>
      </c>
    </row>
    <row r="64" spans="1:2" x14ac:dyDescent="0.25">
      <c r="A64" t="s">
        <v>3135</v>
      </c>
      <c r="B64" s="7">
        <v>513026484</v>
      </c>
    </row>
    <row r="65" spans="1:2" x14ac:dyDescent="0.25">
      <c r="A65" t="s">
        <v>3136</v>
      </c>
      <c r="B65">
        <v>520023185</v>
      </c>
    </row>
    <row r="66" spans="1:2" x14ac:dyDescent="0.25">
      <c r="A66" t="s">
        <v>3137</v>
      </c>
      <c r="B66">
        <v>520004078</v>
      </c>
    </row>
    <row r="67" spans="1:2" x14ac:dyDescent="0.25">
      <c r="A67" t="s">
        <v>3138</v>
      </c>
      <c r="B67" s="7">
        <v>512267592</v>
      </c>
    </row>
    <row r="68" spans="1:2" x14ac:dyDescent="0.25">
      <c r="A68" t="s">
        <v>3139</v>
      </c>
      <c r="B68">
        <v>515764868</v>
      </c>
    </row>
    <row r="69" spans="1:2" x14ac:dyDescent="0.25">
      <c r="A69" t="s">
        <v>3140</v>
      </c>
      <c r="B69" s="7">
        <v>513452003</v>
      </c>
    </row>
    <row r="70" spans="1:2" x14ac:dyDescent="0.25">
      <c r="A70" t="s">
        <v>3141</v>
      </c>
      <c r="B70" s="7">
        <v>510142789</v>
      </c>
    </row>
    <row r="71" spans="1:2" x14ac:dyDescent="0.25">
      <c r="A71" t="s">
        <v>3142</v>
      </c>
      <c r="B71" s="7">
        <v>510960586</v>
      </c>
    </row>
    <row r="72" spans="1:2" x14ac:dyDescent="0.25">
      <c r="A72" t="s">
        <v>3143</v>
      </c>
      <c r="B72" s="7">
        <v>510930670</v>
      </c>
    </row>
    <row r="73" spans="1:2" x14ac:dyDescent="0.25">
      <c r="A73" t="s">
        <v>3144</v>
      </c>
      <c r="B73" s="7">
        <v>510927536</v>
      </c>
    </row>
    <row r="74" spans="1:2" x14ac:dyDescent="0.25">
      <c r="A74" t="s">
        <v>3145</v>
      </c>
      <c r="B74" s="7">
        <v>510930654</v>
      </c>
    </row>
    <row r="75" spans="1:2" x14ac:dyDescent="0.25">
      <c r="A75" t="s">
        <v>3146</v>
      </c>
      <c r="B75" s="7">
        <v>520032566</v>
      </c>
    </row>
    <row r="76" spans="1:2" x14ac:dyDescent="0.25">
      <c r="A76" t="s">
        <v>3147</v>
      </c>
      <c r="B76" s="7">
        <v>513611509</v>
      </c>
    </row>
    <row r="77" spans="1:2" x14ac:dyDescent="0.25">
      <c r="A77" t="s">
        <v>3148</v>
      </c>
      <c r="B77">
        <v>510888985</v>
      </c>
    </row>
    <row r="78" spans="1:2" x14ac:dyDescent="0.25">
      <c r="A78" t="s">
        <v>3149</v>
      </c>
      <c r="B78">
        <v>520024647</v>
      </c>
    </row>
    <row r="79" spans="1:2" x14ac:dyDescent="0.25">
      <c r="A79" t="s">
        <v>3150</v>
      </c>
      <c r="B79" s="7">
        <v>512244146</v>
      </c>
    </row>
    <row r="80" spans="1:2" x14ac:dyDescent="0.25">
      <c r="A80" t="s">
        <v>3151</v>
      </c>
      <c r="B80" s="7">
        <v>510694821</v>
      </c>
    </row>
    <row r="81" spans="1:2" x14ac:dyDescent="0.25">
      <c r="A81" t="s">
        <v>3152</v>
      </c>
      <c r="B81">
        <v>515761625</v>
      </c>
    </row>
    <row r="82" spans="1:2" x14ac:dyDescent="0.25">
      <c r="A82" t="s">
        <v>3153</v>
      </c>
      <c r="B82" s="7">
        <v>511423048</v>
      </c>
    </row>
    <row r="83" spans="1:2" x14ac:dyDescent="0.25">
      <c r="A83" t="s">
        <v>3154</v>
      </c>
      <c r="B83" s="7">
        <v>520019688</v>
      </c>
    </row>
    <row r="84" spans="1:2" x14ac:dyDescent="0.25">
      <c r="A84" t="s">
        <v>3155</v>
      </c>
      <c r="B84">
        <v>520004896</v>
      </c>
    </row>
    <row r="85" spans="1:2" x14ac:dyDescent="0.25">
      <c r="A85" t="s">
        <v>3156</v>
      </c>
      <c r="B85" s="7">
        <v>512237744</v>
      </c>
    </row>
    <row r="86" spans="1:2" x14ac:dyDescent="0.25">
      <c r="A86" t="s">
        <v>3157</v>
      </c>
      <c r="B86" s="7">
        <v>514956465</v>
      </c>
    </row>
    <row r="87" spans="1:2" x14ac:dyDescent="0.25">
      <c r="A87" t="s">
        <v>3158</v>
      </c>
      <c r="B87" s="7">
        <v>512362914</v>
      </c>
    </row>
    <row r="88" spans="1:2" x14ac:dyDescent="0.25">
      <c r="A88" t="s">
        <v>3159</v>
      </c>
      <c r="B88" s="7">
        <v>520042615</v>
      </c>
    </row>
    <row r="89" spans="1:2" x14ac:dyDescent="0.25">
      <c r="A89" t="s">
        <v>3160</v>
      </c>
      <c r="B89" s="7">
        <v>512065202</v>
      </c>
    </row>
    <row r="90" spans="1:2" x14ac:dyDescent="0.25">
      <c r="A90" t="s">
        <v>3161</v>
      </c>
      <c r="B90">
        <v>520042540</v>
      </c>
    </row>
    <row r="91" spans="1:2" x14ac:dyDescent="0.25">
      <c r="A91" t="s">
        <v>3162</v>
      </c>
      <c r="B91" s="7">
        <v>520027715</v>
      </c>
    </row>
    <row r="92" spans="1:2" x14ac:dyDescent="0.25">
      <c r="A92" t="s">
        <v>3163</v>
      </c>
      <c r="B92" s="7">
        <v>512245812</v>
      </c>
    </row>
    <row r="93" spans="1:2" x14ac:dyDescent="0.25">
      <c r="A93" t="s">
        <v>3164</v>
      </c>
      <c r="B93" s="7">
        <v>520022351</v>
      </c>
    </row>
    <row r="94" spans="1:2" x14ac:dyDescent="0.25">
      <c r="A94" t="s">
        <v>3165</v>
      </c>
      <c r="B94" s="7">
        <v>514767490</v>
      </c>
    </row>
    <row r="95" spans="1:2" x14ac:dyDescent="0.25">
      <c r="A95" t="s">
        <v>3166</v>
      </c>
      <c r="B95" s="7">
        <v>520024985</v>
      </c>
    </row>
    <row r="96" spans="1:2" x14ac:dyDescent="0.25">
      <c r="A96" t="s">
        <v>3167</v>
      </c>
      <c r="B96" s="7">
        <v>520042573</v>
      </c>
    </row>
    <row r="97" spans="1:2" x14ac:dyDescent="0.25">
      <c r="A97" t="s">
        <v>3168</v>
      </c>
      <c r="B97" s="7">
        <v>570009449</v>
      </c>
    </row>
    <row r="98" spans="1:2" x14ac:dyDescent="0.25">
      <c r="A98" t="s">
        <v>3169</v>
      </c>
      <c r="B98" s="7">
        <v>520031659</v>
      </c>
    </row>
    <row r="99" spans="1:2" x14ac:dyDescent="0.25">
      <c r="A99" t="s">
        <v>3170</v>
      </c>
      <c r="B99" s="7">
        <v>520042581</v>
      </c>
    </row>
    <row r="100" spans="1:2" x14ac:dyDescent="0.25">
      <c r="A100" t="s">
        <v>3171</v>
      </c>
      <c r="B100">
        <v>520031030</v>
      </c>
    </row>
    <row r="101" spans="1:2" x14ac:dyDescent="0.25">
      <c r="A101" t="s">
        <v>3172</v>
      </c>
      <c r="B101" s="7">
        <v>520030941</v>
      </c>
    </row>
    <row r="102" spans="1:2" x14ac:dyDescent="0.25">
      <c r="A102" t="s">
        <v>3173</v>
      </c>
      <c r="B102" s="7">
        <v>512008335</v>
      </c>
    </row>
    <row r="103" spans="1:2" x14ac:dyDescent="0.25">
      <c r="A103" t="s">
        <v>3174</v>
      </c>
      <c r="B103" s="7">
        <v>520022963</v>
      </c>
    </row>
    <row r="104" spans="1:2" x14ac:dyDescent="0.25">
      <c r="A104" t="s">
        <v>3175</v>
      </c>
      <c r="B104" s="7">
        <v>570011767</v>
      </c>
    </row>
    <row r="105" spans="1:2" x14ac:dyDescent="0.25">
      <c r="A105" t="s">
        <v>3176</v>
      </c>
      <c r="B105" s="7">
        <v>570014928</v>
      </c>
    </row>
    <row r="106" spans="1:2" x14ac:dyDescent="0.25">
      <c r="A106" t="s">
        <v>3177</v>
      </c>
      <c r="B106" s="7">
        <v>570005959</v>
      </c>
    </row>
    <row r="107" spans="1:2" x14ac:dyDescent="0.25">
      <c r="A107" t="s">
        <v>3178</v>
      </c>
      <c r="B107" s="7">
        <v>510800402</v>
      </c>
    </row>
    <row r="108" spans="1:2" x14ac:dyDescent="0.25">
      <c r="A108" t="s">
        <v>3179</v>
      </c>
      <c r="B108" s="7">
        <v>570007476</v>
      </c>
    </row>
    <row r="109" spans="1:2" x14ac:dyDescent="0.25">
      <c r="A109" t="s">
        <v>3180</v>
      </c>
      <c r="B109" s="7">
        <v>570005850</v>
      </c>
    </row>
    <row r="110" spans="1:2" x14ac:dyDescent="0.25">
      <c r="A110" t="s">
        <v>3181</v>
      </c>
      <c r="B110" s="7">
        <v>520020504</v>
      </c>
    </row>
    <row r="111" spans="1:2" x14ac:dyDescent="0.25">
      <c r="A111" t="s">
        <v>3182</v>
      </c>
      <c r="B111" s="7">
        <v>520020447</v>
      </c>
    </row>
    <row r="112" spans="1:2" x14ac:dyDescent="0.25">
      <c r="A112" t="s">
        <v>3183</v>
      </c>
      <c r="B112" s="7">
        <v>511033060</v>
      </c>
    </row>
    <row r="113" spans="1:2" x14ac:dyDescent="0.25">
      <c r="A113" t="s">
        <v>3184</v>
      </c>
      <c r="B113">
        <v>520027848</v>
      </c>
    </row>
    <row r="114" spans="1:2" x14ac:dyDescent="0.25">
      <c r="A114" t="s">
        <v>3185</v>
      </c>
      <c r="B114" s="7">
        <v>570009852</v>
      </c>
    </row>
    <row r="115" spans="1:2" x14ac:dyDescent="0.25">
      <c r="A115" t="s">
        <v>3186</v>
      </c>
      <c r="B115" s="7">
        <v>520027251</v>
      </c>
    </row>
    <row r="116" spans="1:2" x14ac:dyDescent="0.25">
      <c r="A116" t="s">
        <v>3187</v>
      </c>
      <c r="B116" s="7">
        <v>520028390</v>
      </c>
    </row>
    <row r="117" spans="1:2" x14ac:dyDescent="0.25">
      <c r="A117" t="s">
        <v>3188</v>
      </c>
      <c r="B117" s="7">
        <v>510806870</v>
      </c>
    </row>
    <row r="118" spans="1:2" x14ac:dyDescent="0.25">
      <c r="A118" t="s">
        <v>3189</v>
      </c>
      <c r="B118">
        <v>513879189</v>
      </c>
    </row>
    <row r="119" spans="1:2" x14ac:dyDescent="0.25">
      <c r="A119" t="s">
        <v>3190</v>
      </c>
      <c r="B119">
        <v>510015951</v>
      </c>
    </row>
    <row r="120" spans="1:2" x14ac:dyDescent="0.25">
      <c r="A120" t="s">
        <v>3191</v>
      </c>
      <c r="B120" s="7">
        <v>520030693</v>
      </c>
    </row>
    <row r="121" spans="1:2" x14ac:dyDescent="0.25">
      <c r="A121" t="s">
        <v>3192</v>
      </c>
      <c r="B121" s="7">
        <v>570002618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dc:description/>
  <cp:lastModifiedBy>Lital</cp:lastModifiedBy>
  <cp:revision>0</cp:revision>
  <cp:lastPrinted>2022-08-08T09:16:18Z</cp:lastPrinted>
  <dcterms:created xsi:type="dcterms:W3CDTF">2021-05-03T04:41:48Z</dcterms:created>
  <dcterms:modified xsi:type="dcterms:W3CDTF">2026-04-29T13:48:55Z</dcterms:modified>
  <dc:language>en-US</dc:language>
</cp:coreProperties>
</file>