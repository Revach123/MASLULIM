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TA_TI_Aguda_iria\"/>
    </mc:Choice>
  </mc:AlternateContent>
  <xr:revisionPtr revIDLastSave="0" documentId="13_ncr:1_{9569DECE-E564-4A23-B413-B9B8F5D9EA47}" xr6:coauthVersionLast="47" xr6:coauthVersionMax="47" xr10:uidLastSave="{00000000-0000-0000-0000-000000000000}"/>
  <bookViews>
    <workbookView xWindow="-120" yWindow="-120" windowWidth="19440" windowHeight="1515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חוב'!$A$1:$AJ$587</definedName>
    <definedName name="_xlnm._FilterDatabase" localSheetId="31" hidden="1">'אפשרויות בחירה'!$A$1:$D$1040</definedName>
    <definedName name="_xlnm._FilterDatabase" localSheetId="2" hidden="1">'מזומנים ושווי מזומנים'!$A$1:$S$47</definedName>
    <definedName name="_xlnm._FilterDatabase" localSheetId="32" hidden="1">'מיפוי סעיפים'!$A$1:$D$795</definedName>
    <definedName name="_xlnm._FilterDatabase" localSheetId="6" hidden="1">'מניות מבכ ויהש'!$A$1:$AA$332</definedName>
    <definedName name="_xlnm._FilterDatabase" localSheetId="7" hidden="1">'קרנות סל'!$A$1:$Y$106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8" i="2" s="1"/>
  <c r="E6" i="2" l="1"/>
  <c r="E20" i="2"/>
  <c r="E3" i="2"/>
  <c r="E14" i="2"/>
  <c r="E26" i="2"/>
  <c r="E5" i="2"/>
  <c r="E23" i="2"/>
  <c r="E4" i="2"/>
  <c r="E32" i="2"/>
  <c r="E13" i="2"/>
  <c r="E21" i="2"/>
  <c r="E7" i="2"/>
  <c r="E22" i="2"/>
  <c r="E27" i="2"/>
  <c r="E18" i="2"/>
  <c r="E17" i="2"/>
  <c r="E11" i="2"/>
  <c r="E24" i="2"/>
  <c r="E15" i="2"/>
  <c r="E10" i="2"/>
  <c r="E9" i="2"/>
  <c r="E29" i="2"/>
  <c r="E8" i="2"/>
  <c r="E12" i="2"/>
  <c r="E25" i="2"/>
  <c r="E19" i="2"/>
  <c r="E16" i="2"/>
  <c r="E30" i="2" l="1"/>
</calcChain>
</file>

<file path=xl/sharedStrings.xml><?xml version="1.0" encoding="utf-8"?>
<sst xmlns="http://schemas.openxmlformats.org/spreadsheetml/2006/main" count="27055" uniqueCount="2970">
  <si>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</si>
  <si>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</si>
  <si>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</si>
  <si>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</si>
  <si>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</si>
  <si>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</si>
  <si>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</si>
  <si>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</si>
  <si>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</si>
  <si>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</si>
  <si>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</si>
  <si>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</si>
  <si>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</si>
  <si>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</si>
  <si>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</si>
  <si>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</si>
  <si>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</si>
  <si>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</si>
  <si>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</si>
  <si>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</si>
  <si>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</si>
  <si>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</si>
  <si>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</si>
  <si>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</si>
  <si>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</si>
  <si>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</si>
  <si>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</si>
  <si>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1115</t>
  </si>
  <si>
    <t>IL0082511184</t>
  </si>
  <si>
    <t>מק"מ קצר משנים עשר חודשים</t>
  </si>
  <si>
    <t>ישראל</t>
  </si>
  <si>
    <t>TASE </t>
  </si>
  <si>
    <t>RF</t>
  </si>
  <si>
    <t>פנימי</t>
  </si>
  <si>
    <t>ILS</t>
  </si>
  <si>
    <t>05/11/2025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</si>
  <si>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</si>
  <si>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</si>
  <si>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</si>
  <si>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</si>
  <si>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</si>
  <si>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</si>
  <si>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</si>
  <si>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</si>
  <si>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</si>
  <si>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</si>
  <si>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</si>
  <si>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</si>
  <si>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</si>
  <si>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</si>
  <si>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</si>
  <si>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</si>
  <si>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</si>
  <si>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</si>
  <si>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</si>
  <si>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</si>
  <si>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</si>
  <si>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4.60% 8/29</t>
  </si>
  <si>
    <t>IL0012128935</t>
  </si>
  <si>
    <t>31/08/2029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</si>
  <si>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</si>
  <si>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</si>
  <si>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</si>
  <si>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</si>
  <si>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</si>
  <si>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</si>
  <si>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</si>
  <si>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</si>
  <si>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</si>
  <si>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</si>
  <si>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</si>
  <si>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</si>
  <si>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</si>
  <si>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</si>
  <si>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</si>
  <si>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US Govt</t>
  </si>
  <si>
    <t>T 3.875% 08/34</t>
  </si>
  <si>
    <t>US91282CLF67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</si>
  <si>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</si>
  <si>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</si>
  <si>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</si>
  <si>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</si>
  <si>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</si>
  <si>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</si>
  <si>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</si>
  <si>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15/08/2034</t>
  </si>
  <si>
    <t>T-3 3/8 15/05/33</t>
  </si>
  <si>
    <t>US91282CHC82</t>
  </si>
  <si>
    <t>15/05/2033</t>
  </si>
  <si>
    <t>מלווה קצר מועד 515</t>
  </si>
  <si>
    <t>IL0082505160</t>
  </si>
  <si>
    <t>07/05/2025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</si>
  <si>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</si>
  <si>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</si>
  <si>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</si>
  <si>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</si>
  <si>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</si>
  <si>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</si>
  <si>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</si>
  <si>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</si>
  <si>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1.3% 04/32</t>
  </si>
  <si>
    <t>IL0011806606</t>
  </si>
  <si>
    <t>30/04/2032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</si>
  <si>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</si>
  <si>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</si>
  <si>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</si>
  <si>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</si>
  <si>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</si>
  <si>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</si>
  <si>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ממשלתית צמודה 0.5% 0529</t>
  </si>
  <si>
    <t>IL0011570236</t>
  </si>
  <si>
    <t>31/05/2029</t>
  </si>
  <si>
    <t>מלווה קצר מועד 715</t>
  </si>
  <si>
    <t>IL0082507141</t>
  </si>
  <si>
    <t>02/07/2025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</si>
  <si>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</si>
  <si>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</si>
  <si>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</si>
  <si>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</si>
  <si>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</si>
  <si>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</si>
  <si>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</si>
  <si>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</si>
  <si>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</si>
  <si>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</si>
  <si>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</si>
  <si>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</si>
  <si>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</si>
  <si>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</si>
  <si>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</si>
  <si>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</si>
  <si>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</si>
  <si>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</si>
  <si>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</si>
  <si>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</si>
  <si>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</si>
  <si>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</si>
  <si>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</si>
  <si>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</si>
  <si>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</si>
  <si>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</si>
  <si>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</si>
  <si>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</si>
  <si>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</si>
  <si>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</si>
  <si>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</si>
  <si>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</si>
  <si>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</si>
  <si>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</si>
  <si>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</si>
  <si>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</si>
  <si>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</si>
  <si>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</si>
  <si>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</si>
  <si>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</si>
  <si>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</si>
  <si>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</si>
  <si>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</si>
  <si>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</si>
  <si>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</si>
  <si>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</si>
  <si>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זכויות בנכסי מקרקעין נדל"ן</t>
  </si>
  <si>
    <t>נדל"ן לא מניב</t>
  </si>
  <si>
    <t>15/12/2014</t>
  </si>
  <si>
    <t>אחר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</si>
  <si>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</si>
  <si>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</si>
  <si>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</si>
  <si>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</si>
  <si>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</si>
  <si>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</si>
  <si>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</si>
  <si>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</si>
  <si>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</si>
  <si>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</si>
  <si>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</si>
  <si>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</si>
  <si>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</si>
  <si>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</si>
  <si>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</si>
  <si>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</si>
  <si>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</si>
  <si>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</si>
  <si>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</si>
  <si>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</si>
  <si>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</si>
  <si>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</si>
  <si>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</si>
  <si>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</si>
  <si>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</si>
  <si>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</si>
  <si>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</si>
  <si>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</si>
  <si>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</si>
  <si>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</si>
  <si>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</si>
  <si>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</si>
  <si>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</si>
  <si>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</si>
  <si>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</si>
  <si>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</si>
  <si>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</si>
  <si>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</si>
  <si>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</si>
  <si>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</si>
  <si>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</si>
  <si>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</si>
  <si>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</si>
  <si>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</si>
  <si>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</si>
  <si>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</si>
  <si>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</si>
  <si>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</si>
  <si>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</si>
  <si>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</si>
  <si>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</si>
  <si>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</si>
  <si>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</si>
  <si>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</si>
  <si>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</si>
  <si>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</si>
  <si>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</si>
  <si>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</si>
  <si>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</si>
  <si>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</si>
  <si>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</si>
  <si>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</si>
  <si>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</si>
  <si>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</si>
  <si>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</si>
  <si>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</si>
  <si>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</si>
  <si>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</si>
  <si>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</si>
  <si>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</si>
  <si>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</si>
  <si>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</si>
  <si>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</si>
  <si>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</si>
  <si>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</si>
  <si>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</si>
  <si>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</si>
  <si>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</si>
  <si>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</si>
  <si>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</si>
  <si>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</si>
  <si>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</si>
  <si>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</si>
  <si>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</si>
  <si>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</si>
  <si>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</si>
  <si>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</si>
  <si>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</si>
  <si>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</si>
  <si>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</si>
  <si>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</si>
  <si>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</si>
  <si>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</si>
  <si>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</si>
  <si>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</si>
  <si>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</si>
  <si>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</si>
  <si>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</si>
  <si>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</si>
  <si>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</si>
  <si>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</si>
  <si>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</si>
  <si>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</si>
  <si>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</si>
  <si>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</si>
  <si>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</si>
  <si>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</si>
  <si>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</si>
  <si>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</si>
  <si>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</si>
  <si>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</si>
  <si>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</si>
  <si>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</si>
  <si>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</si>
  <si>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</si>
  <si>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</si>
  <si>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</si>
  <si>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</si>
  <si>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</si>
  <si>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</si>
  <si>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</si>
  <si>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</si>
  <si>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</si>
  <si>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</si>
  <si>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</si>
  <si>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</si>
  <si>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</si>
  <si>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</si>
  <si>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</si>
  <si>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</si>
  <si>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</si>
  <si>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</si>
  <si>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</si>
  <si>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</si>
  <si>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</si>
  <si>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</si>
  <si>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</si>
  <si>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</si>
  <si>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</si>
  <si>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</si>
  <si>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</si>
  <si>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</si>
  <si>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</si>
  <si>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</si>
  <si>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</si>
  <si>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</si>
  <si>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</si>
  <si>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</si>
  <si>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</si>
  <si>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</si>
  <si>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</si>
  <si>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</si>
  <si>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</si>
  <si>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</si>
  <si>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</si>
  <si>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</si>
  <si>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</si>
  <si>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</si>
  <si>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</si>
  <si>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</si>
  <si>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</si>
  <si>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</si>
  <si>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</si>
  <si>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</si>
  <si>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</si>
  <si>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</si>
  <si>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</si>
  <si>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</si>
  <si>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</si>
  <si>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</si>
  <si>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</si>
  <si>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</si>
  <si>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</si>
  <si>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</si>
  <si>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</si>
  <si>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</si>
  <si>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</si>
  <si>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</si>
  <si>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</si>
  <si>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</si>
  <si>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</si>
  <si>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</si>
  <si>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</si>
  <si>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</si>
  <si>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</si>
  <si>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</si>
  <si>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</si>
  <si>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</si>
  <si>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</si>
  <si>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</si>
  <si>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</si>
  <si>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</si>
  <si>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</si>
  <si>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</si>
  <si>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</si>
  <si>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</si>
  <si>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</si>
  <si>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</si>
  <si>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</si>
  <si>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</si>
  <si>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</si>
  <si>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</si>
  <si>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</si>
  <si>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</si>
  <si>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</si>
  <si>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</si>
  <si>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</si>
  <si>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</si>
  <si>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</si>
  <si>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</si>
  <si>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</si>
  <si>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</si>
  <si>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</si>
  <si>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</si>
  <si>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</si>
  <si>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</si>
  <si>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</si>
  <si>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</si>
  <si>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</si>
  <si>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</si>
  <si>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</si>
  <si>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</si>
  <si>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</si>
  <si>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</si>
  <si>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</si>
  <si>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</si>
  <si>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</si>
  <si>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</si>
  <si>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</si>
  <si>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</si>
  <si>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</si>
  <si>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</si>
  <si>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</si>
  <si>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</si>
  <si>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</si>
  <si>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</si>
  <si>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</si>
  <si>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</si>
  <si>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</si>
  <si>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</si>
  <si>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</si>
  <si>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</si>
  <si>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</si>
  <si>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</si>
  <si>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</si>
  <si>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</si>
  <si>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</si>
  <si>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</si>
  <si>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</si>
  <si>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</si>
  <si>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</si>
  <si>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</si>
  <si>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</si>
  <si>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</si>
  <si>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</si>
  <si>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</si>
  <si>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</si>
  <si>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</si>
  <si>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</si>
  <si>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</si>
  <si>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</si>
  <si>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</si>
  <si>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</si>
  <si>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</si>
  <si>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</si>
  <si>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</si>
  <si>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</si>
  <si>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</si>
  <si>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</si>
  <si>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</si>
  <si>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</si>
  <si>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</si>
  <si>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</si>
  <si>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</si>
  <si>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</si>
  <si>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</si>
  <si>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</si>
  <si>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</si>
  <si>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</si>
  <si>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</si>
  <si>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</si>
  <si>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</si>
  <si>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</si>
  <si>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</si>
  <si>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</si>
  <si>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</si>
  <si>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</si>
  <si>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</si>
  <si>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</si>
  <si>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</si>
  <si>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</si>
  <si>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</si>
  <si>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</si>
  <si>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</si>
  <si>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</si>
  <si>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</si>
  <si>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</si>
  <si>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</si>
  <si>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</si>
  <si>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</si>
  <si>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</si>
  <si>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</si>
  <si>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</si>
  <si>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</si>
  <si>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</si>
  <si>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</si>
  <si>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</si>
  <si>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</si>
  <si>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</si>
  <si>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</si>
  <si>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</si>
  <si>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</si>
  <si>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</si>
  <si>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</si>
  <si>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</si>
  <si>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</si>
  <si>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</si>
  <si>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</si>
  <si>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</si>
  <si>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</si>
  <si>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</si>
  <si>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</si>
  <si>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</si>
  <si>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</si>
  <si>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</si>
  <si>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</si>
  <si>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</si>
  <si>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</si>
  <si>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</si>
  <si>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</si>
  <si>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</si>
  <si>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</si>
  <si>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</si>
  <si>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</si>
  <si>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</si>
  <si>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</si>
  <si>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</si>
  <si>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</si>
  <si>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</si>
  <si>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</si>
  <si>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</si>
  <si>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</si>
  <si>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</si>
  <si>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</si>
  <si>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</si>
  <si>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</si>
  <si>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</si>
  <si>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</si>
  <si>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</si>
  <si>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</si>
  <si>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</si>
  <si>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</si>
  <si>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</si>
  <si>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</si>
  <si>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</si>
  <si>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</si>
  <si>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</si>
  <si>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</si>
  <si>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</si>
  <si>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</si>
  <si>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</si>
  <si>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</si>
  <si>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</si>
  <si>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</si>
  <si>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</si>
  <si>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</si>
  <si>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</si>
  <si>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</si>
  <si>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</si>
  <si>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</si>
  <si>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</si>
  <si>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</si>
  <si>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</si>
  <si>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</si>
  <si>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</si>
  <si>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</si>
  <si>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</si>
  <si>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</si>
  <si>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</si>
  <si>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</si>
  <si>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</si>
  <si>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</si>
  <si>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</si>
  <si>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</si>
  <si>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</si>
  <si>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</si>
  <si>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</si>
  <si>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</si>
  <si>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</si>
  <si>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</si>
  <si>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</si>
  <si>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</si>
  <si>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</si>
  <si>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</si>
  <si>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</si>
  <si>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</si>
  <si>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</si>
  <si>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</si>
  <si>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</si>
  <si>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</si>
  <si>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</si>
  <si>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</si>
  <si>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</si>
  <si>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</si>
  <si>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</si>
  <si>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</si>
  <si>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</si>
  <si>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</si>
  <si>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</si>
  <si>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</si>
  <si>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</si>
  <si>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</si>
  <si>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</si>
  <si>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</si>
  <si>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</si>
  <si>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</si>
  <si>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</si>
  <si>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</si>
  <si>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</si>
  <si>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</si>
  <si>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</si>
  <si>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</si>
  <si>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</si>
  <si>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</si>
  <si>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</si>
  <si>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</si>
  <si>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</si>
  <si>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</si>
  <si>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</si>
  <si>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</si>
  <si>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</si>
  <si>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</si>
  <si>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</si>
  <si>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</si>
  <si>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</si>
  <si>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</si>
  <si>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</si>
  <si>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</si>
  <si>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</si>
  <si>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</si>
  <si>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</si>
  <si>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</si>
  <si>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</si>
  <si>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</si>
  <si>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</si>
  <si>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</si>
  <si>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</si>
  <si>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</si>
  <si>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</si>
  <si>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</si>
  <si>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</si>
  <si>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</si>
  <si>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</si>
  <si>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</si>
  <si>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</si>
  <si>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</si>
  <si>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</si>
  <si>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</si>
  <si>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</si>
  <si>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</si>
  <si>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</si>
  <si>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</si>
  <si>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</si>
  <si>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</si>
  <si>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</si>
  <si>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</si>
  <si>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</si>
  <si>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</si>
  <si>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</si>
  <si>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</si>
  <si>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</si>
  <si>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</si>
  <si>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</si>
  <si>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</si>
  <si>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</si>
  <si>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</si>
  <si>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</si>
  <si>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</si>
  <si>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</si>
  <si>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</si>
  <si>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</si>
  <si>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</si>
  <si>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</si>
  <si>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</si>
  <si>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</si>
  <si>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</si>
  <si>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</si>
  <si>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</si>
  <si>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</si>
  <si>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</si>
  <si>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</si>
  <si>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</si>
  <si>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</si>
  <si>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</si>
  <si>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</si>
  <si>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</si>
  <si>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</si>
  <si>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</si>
  <si>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</si>
  <si>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</si>
  <si>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</si>
  <si>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</si>
  <si>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</si>
  <si>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</si>
  <si>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</si>
  <si>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</si>
  <si>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</si>
  <si>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</si>
  <si>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</si>
  <si>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</si>
  <si>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</si>
  <si>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</si>
  <si>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</si>
  <si>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</si>
  <si>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</si>
  <si>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</si>
  <si>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</si>
  <si>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</si>
  <si>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</si>
  <si>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</si>
  <si>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</si>
  <si>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</si>
  <si>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</si>
  <si>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</si>
  <si>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</si>
  <si>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</si>
  <si>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</si>
  <si>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</si>
  <si>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</si>
  <si>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</si>
  <si>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</si>
  <si>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</si>
  <si>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</si>
  <si>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</si>
  <si>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</si>
  <si>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</si>
  <si>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</si>
  <si>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</si>
  <si>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</si>
  <si>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</si>
  <si>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</si>
  <si>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</si>
  <si>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</si>
  <si>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</si>
  <si>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</si>
  <si>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</si>
  <si>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</si>
  <si>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</si>
  <si>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</si>
  <si>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</si>
  <si>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</si>
  <si>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</si>
  <si>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</si>
  <si>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</si>
  <si>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</si>
  <si>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</si>
  <si>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</si>
  <si>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</si>
  <si>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</si>
  <si>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</si>
  <si>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</si>
  <si>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</si>
  <si>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</si>
  <si>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</si>
  <si>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</si>
  <si>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</si>
  <si>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</si>
  <si>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</si>
  <si>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</si>
  <si>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</si>
  <si>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</si>
  <si>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</si>
  <si>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</si>
  <si>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</si>
  <si>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</si>
  <si>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</si>
  <si>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</si>
  <si>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</si>
  <si>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</si>
  <si>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</si>
  <si>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</si>
  <si>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</si>
  <si>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</si>
  <si>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</si>
  <si>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</si>
  <si>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</si>
  <si>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</si>
  <si>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</si>
  <si>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</si>
  <si>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</si>
  <si>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</si>
  <si>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</si>
  <si>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</si>
  <si>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</si>
  <si>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</si>
  <si>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</si>
  <si>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</si>
  <si>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</si>
  <si>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</si>
  <si>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</si>
  <si>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</si>
  <si>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</si>
  <si>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</si>
  <si>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</si>
  <si>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</si>
  <si>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</si>
  <si>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</si>
  <si>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</si>
  <si>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</si>
  <si>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</si>
  <si>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</si>
  <si>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</si>
  <si>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</si>
  <si>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</si>
  <si>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</si>
  <si>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</si>
  <si>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</si>
  <si>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</si>
  <si>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</si>
  <si>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</si>
  <si>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</si>
  <si>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</si>
  <si>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</si>
  <si>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</si>
  <si>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</si>
  <si>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</si>
  <si>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</si>
  <si>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</si>
  <si>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</si>
  <si>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</si>
  <si>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</si>
  <si>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</si>
  <si>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</si>
  <si>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</si>
  <si>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</si>
  <si>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</si>
  <si>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</si>
  <si>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</si>
  <si>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</si>
  <si>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</si>
  <si>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</si>
  <si>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</si>
  <si>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</si>
  <si>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</si>
  <si>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</si>
  <si>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</si>
  <si>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</si>
  <si>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</si>
  <si>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</si>
  <si>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</si>
  <si>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</si>
  <si>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</si>
  <si>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</si>
  <si>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</si>
  <si>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</si>
  <si>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</si>
  <si>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</si>
  <si>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</si>
  <si>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</si>
  <si>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</si>
  <si>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</si>
  <si>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</si>
  <si>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</si>
  <si>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</si>
  <si>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</si>
  <si>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</si>
  <si>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</si>
  <si>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</si>
  <si>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</si>
  <si>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</si>
  <si>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</si>
  <si>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</si>
  <si>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</si>
  <si>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</si>
  <si>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</si>
  <si>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</si>
  <si>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</si>
  <si>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</si>
  <si>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</si>
  <si>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</si>
  <si>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</si>
  <si>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</si>
  <si>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</si>
  <si>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</si>
  <si>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</si>
  <si>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</si>
  <si>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</si>
  <si>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</si>
  <si>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</si>
  <si>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</si>
  <si>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</si>
  <si>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</si>
  <si>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</si>
  <si>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</si>
  <si>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</si>
  <si>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</si>
  <si>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</si>
  <si>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</si>
  <si>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</si>
  <si>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</si>
  <si>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</si>
  <si>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</si>
  <si>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</si>
  <si>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</si>
  <si>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</si>
  <si>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</si>
  <si>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</si>
  <si>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</si>
  <si>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</si>
  <si>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</si>
  <si>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</si>
  <si>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</si>
  <si>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</si>
  <si>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</si>
  <si>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</si>
  <si>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</si>
  <si>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</si>
  <si>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</si>
  <si>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</si>
  <si>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</si>
  <si>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</si>
  <si>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</si>
  <si>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</si>
  <si>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</si>
  <si>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</si>
  <si>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</si>
  <si>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</si>
  <si>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</si>
  <si>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</si>
  <si>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</si>
  <si>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</si>
  <si>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</si>
  <si>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</si>
  <si>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</si>
  <si>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</si>
  <si>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</si>
  <si>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</si>
  <si>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</si>
  <si>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</si>
  <si>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</si>
  <si>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</si>
  <si>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</si>
  <si>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</si>
  <si>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</si>
  <si>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</si>
  <si>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</si>
  <si>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</si>
  <si>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</si>
  <si>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</si>
  <si>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</si>
  <si>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</si>
  <si>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</si>
  <si>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</si>
  <si>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</si>
  <si>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</si>
  <si>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</si>
  <si>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</si>
  <si>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</si>
  <si>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</si>
  <si>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</si>
  <si>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</si>
  <si>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</si>
  <si>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</si>
  <si>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</si>
  <si>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</si>
  <si>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</si>
  <si>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</si>
  <si>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</si>
  <si>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</si>
  <si>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</si>
  <si>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</si>
  <si>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</si>
  <si>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</si>
  <si>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</si>
  <si>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</si>
  <si>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</si>
  <si>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</si>
  <si>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</si>
  <si>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</si>
  <si>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</si>
  <si>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</si>
  <si>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</si>
  <si>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</si>
  <si>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</si>
  <si>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</si>
  <si>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</si>
  <si>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</si>
  <si>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</si>
  <si>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</si>
  <si>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</si>
  <si>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</si>
  <si>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</si>
  <si>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</si>
  <si>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</si>
  <si>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</si>
  <si>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</si>
  <si>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</si>
  <si>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</si>
  <si>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</si>
  <si>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</si>
  <si>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</si>
  <si>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</si>
  <si>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</si>
  <si>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</si>
  <si>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</si>
  <si>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</si>
  <si>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</si>
  <si>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</si>
  <si>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</si>
  <si>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</si>
  <si>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</si>
  <si>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</si>
  <si>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</si>
  <si>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</si>
  <si>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</si>
  <si>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</si>
  <si>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</si>
  <si>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</si>
  <si>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</si>
  <si>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</si>
  <si>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</si>
  <si>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</si>
  <si>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</si>
  <si>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</si>
  <si>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</si>
  <si>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</si>
  <si>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</si>
  <si>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</si>
  <si>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</si>
  <si>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</si>
  <si>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</si>
  <si>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</si>
  <si>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</si>
  <si>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</si>
  <si>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</si>
  <si>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</si>
  <si>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</si>
  <si>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</si>
  <si>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</si>
  <si>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</si>
  <si>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</si>
  <si>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</si>
  <si>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</si>
  <si>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</si>
  <si>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</si>
  <si>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</si>
  <si>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</si>
  <si>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</si>
  <si>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</si>
  <si>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</si>
  <si>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</si>
  <si>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</si>
  <si>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</si>
  <si>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</si>
  <si>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</si>
  <si>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</si>
  <si>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</si>
  <si>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</si>
  <si>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</si>
  <si>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</si>
  <si>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</si>
  <si>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</si>
  <si>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</si>
  <si>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</si>
  <si>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</si>
  <si>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</si>
  <si>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</si>
  <si>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</si>
  <si>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</si>
  <si>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</si>
  <si>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</si>
  <si>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</si>
  <si>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</si>
  <si>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</si>
  <si>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</si>
  <si>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</si>
  <si>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</si>
  <si>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</si>
  <si>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</si>
  <si>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</si>
  <si>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</si>
  <si>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</si>
  <si>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</si>
  <si>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</si>
  <si>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</si>
  <si>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</si>
  <si>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</si>
  <si>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</si>
  <si>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</si>
  <si>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</si>
  <si>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</si>
  <si>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</si>
  <si>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</si>
  <si>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</si>
  <si>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</si>
  <si>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</si>
  <si>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</si>
  <si>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</si>
  <si>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</si>
  <si>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</si>
  <si>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</si>
  <si>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</si>
  <si>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</si>
  <si>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</si>
  <si>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</si>
  <si>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</si>
  <si>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</si>
  <si>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</si>
  <si>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</si>
  <si>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</si>
  <si>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</si>
  <si>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</si>
  <si>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</si>
  <si>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</si>
  <si>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</si>
  <si>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</si>
  <si>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</si>
  <si>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</si>
  <si>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</si>
  <si>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</si>
  <si>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</si>
  <si>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</si>
  <si>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</si>
  <si>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</si>
  <si>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</si>
  <si>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</si>
  <si>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</si>
  <si>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</si>
  <si>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</si>
  <si>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</si>
  <si>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</si>
  <si>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</si>
  <si>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</si>
  <si>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</si>
  <si>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</si>
  <si>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</si>
  <si>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</si>
  <si>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</si>
  <si>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</si>
  <si>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</si>
  <si>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</si>
  <si>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</si>
  <si>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</si>
  <si>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</si>
  <si>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</si>
  <si>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</si>
  <si>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</si>
  <si>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</si>
  <si>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</si>
  <si>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</si>
  <si>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</si>
  <si>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</si>
  <si>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</si>
  <si>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</si>
  <si>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</si>
  <si>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</si>
  <si>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</si>
  <si>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</si>
  <si>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</si>
  <si>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</si>
  <si>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</si>
  <si>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</si>
  <si>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</si>
  <si>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</si>
  <si>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</si>
  <si>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</si>
  <si>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</si>
  <si>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</si>
  <si>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</si>
  <si>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</si>
  <si>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</si>
  <si>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</si>
  <si>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</si>
  <si>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</si>
  <si>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</si>
  <si>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</si>
  <si>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</si>
  <si>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</si>
  <si>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</si>
  <si>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</si>
  <si>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</si>
  <si>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</si>
  <si>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</si>
  <si>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</si>
  <si>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</si>
  <si>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</si>
  <si>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</si>
  <si>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</si>
  <si>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</si>
  <si>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</si>
  <si>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</si>
  <si>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</si>
  <si>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</si>
  <si>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</si>
  <si>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</si>
  <si>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</si>
  <si>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</si>
  <si>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</si>
  <si>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</si>
  <si>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</si>
  <si>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</si>
  <si>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</si>
  <si>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</si>
  <si>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</si>
  <si>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</si>
  <si>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</si>
  <si>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</si>
  <si>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</si>
  <si>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</si>
  <si>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</si>
  <si>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</si>
  <si>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</si>
  <si>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</si>
  <si>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</si>
  <si>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JPY</t>
  </si>
  <si>
    <t>GBP</t>
  </si>
  <si>
    <t>CHF</t>
  </si>
  <si>
    <t>CAD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</si>
  <si>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</si>
  <si>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</si>
  <si>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</si>
  <si>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</si>
  <si>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</si>
  <si>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</si>
  <si>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</si>
  <si>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</si>
  <si>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</si>
  <si>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</si>
  <si>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</si>
  <si>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</si>
  <si>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</si>
  <si>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</si>
  <si>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</si>
  <si>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</si>
  <si>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</si>
  <si>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</si>
  <si>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</si>
  <si>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</si>
  <si>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</si>
  <si>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</si>
  <si>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</si>
  <si>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</si>
  <si>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</si>
  <si>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</si>
  <si>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</si>
  <si>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</si>
  <si>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</si>
  <si>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</si>
  <si>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</si>
  <si>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</si>
  <si>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</si>
  <si>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</si>
  <si>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</si>
  <si>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</si>
  <si>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</si>
  <si>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</si>
  <si>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</si>
  <si>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</si>
  <si>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</si>
  <si>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</si>
  <si>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</si>
  <si>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</si>
  <si>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</si>
  <si>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</si>
  <si>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</si>
  <si>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</si>
  <si>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</si>
  <si>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</si>
  <si>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</si>
  <si>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</si>
  <si>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</si>
  <si>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</si>
  <si>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</si>
  <si>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</si>
  <si>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</si>
  <si>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</si>
  <si>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</si>
  <si>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</si>
  <si>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</si>
  <si>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</si>
  <si>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</si>
  <si>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</si>
  <si>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</si>
  <si>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</si>
  <si>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</si>
  <si>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</si>
  <si>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</si>
  <si>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</si>
  <si>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</si>
  <si>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</si>
  <si>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</si>
  <si>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</si>
  <si>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</si>
  <si>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</si>
  <si>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</si>
  <si>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</si>
  <si>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</si>
  <si>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</si>
  <si>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</si>
  <si>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</si>
  <si>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</si>
  <si>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</si>
  <si>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</si>
  <si>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</si>
  <si>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</si>
  <si>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</si>
  <si>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</si>
  <si>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</si>
  <si>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</si>
  <si>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</si>
  <si>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</si>
  <si>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</si>
  <si>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</si>
  <si>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</si>
  <si>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</si>
  <si>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</si>
  <si>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</si>
  <si>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</si>
  <si>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</si>
  <si>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</si>
  <si>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</si>
  <si>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</si>
  <si>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</si>
  <si>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</si>
  <si>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</si>
  <si>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</si>
  <si>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</si>
  <si>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</si>
  <si>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</si>
  <si>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</si>
  <si>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</si>
  <si>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₪/מט"ח</t>
  </si>
  <si>
    <t>USD ILS</t>
  </si>
  <si>
    <t>delivery</t>
  </si>
  <si>
    <t>0</t>
  </si>
  <si>
    <t>POALILIT</t>
  </si>
  <si>
    <t>EUR ILS</t>
  </si>
  <si>
    <t>510960586</t>
  </si>
  <si>
    <t>ח.פ</t>
  </si>
  <si>
    <t>הלוואות לעמיתים</t>
  </si>
  <si>
    <t>1000090</t>
  </si>
  <si>
    <t>other</t>
  </si>
  <si>
    <t>שווי הוגן (בש"ח)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</si>
  <si>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</si>
  <si>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</si>
  <si>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</si>
  <si>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</si>
  <si>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</si>
  <si>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</si>
  <si>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</si>
  <si>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</si>
  <si>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</si>
  <si>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מגדל קרנות נאמנות בע"מ</t>
  </si>
  <si>
    <t>511303661</t>
  </si>
  <si>
    <t>MTF.תלבונדשקלי</t>
  </si>
  <si>
    <t>IL0011500027</t>
  </si>
  <si>
    <t xml:space="preserve">אג"ח בישראל - חברות והמרה  </t>
  </si>
  <si>
    <t>קסם קרנות נאמנות בע"מ</t>
  </si>
  <si>
    <t>510938608</t>
  </si>
  <si>
    <t>קסם תל בונד שקלי</t>
  </si>
  <si>
    <t>IL0011464141</t>
  </si>
  <si>
    <t xml:space="preserve">BlackRock  Asset Managment </t>
  </si>
  <si>
    <t>254900UWHMJRRODS3Z64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</si>
  <si>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</si>
  <si>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</si>
  <si>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</si>
  <si>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</si>
  <si>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</si>
  <si>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</si>
  <si>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NYSE </t>
  </si>
  <si>
    <t>MTF500SP ממ</t>
  </si>
  <si>
    <t>IL0011505729</t>
  </si>
  <si>
    <t xml:space="preserve">מניות בחו"ל משולבת </t>
  </si>
  <si>
    <t>אי.בי.אי קרנות נאמנות בע"מ</t>
  </si>
  <si>
    <t>513765339</t>
  </si>
  <si>
    <t>אי.בי.אי. סל (4D)י S&amp;P 500</t>
  </si>
  <si>
    <t>IL0011481624</t>
  </si>
  <si>
    <t>מניות בחו"ל חשופות מט"ח</t>
  </si>
  <si>
    <t>הראל קרנות נאמנות בע"מ</t>
  </si>
  <si>
    <t>511776783</t>
  </si>
  <si>
    <t>הראל סל (4A) MSCI AC World מנ</t>
  </si>
  <si>
    <t>IL0011502007</t>
  </si>
  <si>
    <t>הראל סל תא 90</t>
  </si>
  <si>
    <t>IL0011489312</t>
  </si>
  <si>
    <t>הראל קרן סל 4AׂSTOXX EUROPE 600ממ</t>
  </si>
  <si>
    <t>IL0011498891</t>
  </si>
  <si>
    <t>הראל.DAX 30 ממ</t>
  </si>
  <si>
    <t>IL0011491607</t>
  </si>
  <si>
    <t>מור ניהול קרנות נאמנות בע"מ</t>
  </si>
  <si>
    <t>514884485</t>
  </si>
  <si>
    <t>מור סל S&amp;P 500 ממ</t>
  </si>
  <si>
    <t>IL0011658288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</si>
  <si>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</si>
  <si>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</si>
  <si>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</si>
  <si>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</si>
  <si>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</si>
  <si>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</si>
  <si>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</si>
  <si>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</si>
  <si>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>שווקים מתעוררים</t>
  </si>
  <si>
    <t>Cef Ishares Russell iwm</t>
  </si>
  <si>
    <t>US4642876555</t>
  </si>
  <si>
    <t>Financial sel sector spdr</t>
  </si>
  <si>
    <t>US81369Y6059</t>
  </si>
  <si>
    <t>HSBC Holdings PLC</t>
  </si>
  <si>
    <t>MLU0ZO3ML4LN2LL2TL39</t>
  </si>
  <si>
    <t>Hsbc S&amp;P 500</t>
  </si>
  <si>
    <t>IE00B5KQNG97</t>
  </si>
  <si>
    <t>IGV US_ISHARES EXPANDED TECH</t>
  </si>
  <si>
    <t>US4642875151</t>
  </si>
  <si>
    <t>Invesco investment management limited</t>
  </si>
  <si>
    <t>ECPGFXU8A2SHKVVGJI15</t>
  </si>
  <si>
    <t>INVESCO S&amp;P EQUAL WEIGHT I</t>
  </si>
  <si>
    <t>US46137V3244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</si>
  <si>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</si>
  <si>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</si>
  <si>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</si>
  <si>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</si>
  <si>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</si>
  <si>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</si>
  <si>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</si>
  <si>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CORE STOXX EUROPE 600 DR</t>
  </si>
  <si>
    <t>LU0908500753</t>
  </si>
  <si>
    <t>LYXOR S&amp;P 500 UCITS ETF</t>
  </si>
  <si>
    <t>LU1135865084</t>
  </si>
  <si>
    <t>Lyxor S&amp;P 500 Ucits Etf - c-eu</t>
  </si>
  <si>
    <t>MCHI_Ishares Msci Chaina Etf</t>
  </si>
  <si>
    <t>US46429B6719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</si>
  <si>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</si>
  <si>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</si>
  <si>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</si>
  <si>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</si>
  <si>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</si>
  <si>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</si>
  <si>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Vanguard Group</t>
  </si>
  <si>
    <t>549300Y88GQ3VLJIBX57</t>
  </si>
  <si>
    <t>VANGUARD S&amp;P 500</t>
  </si>
  <si>
    <t>us9229083632</t>
  </si>
  <si>
    <t>MTF סל תלבונד 60</t>
  </si>
  <si>
    <t>IL0011499964</t>
  </si>
  <si>
    <t>הראל סל תל בונד שקלי</t>
  </si>
  <si>
    <t>IL0011505232</t>
  </si>
  <si>
    <t>קסם קרן סל תל בונד 60</t>
  </si>
  <si>
    <t>IL0011462327</t>
  </si>
  <si>
    <t>MTF600STX ממ</t>
  </si>
  <si>
    <t>IL0011506149</t>
  </si>
  <si>
    <t>הראל סל בונד שק- בנקוביט</t>
  </si>
  <si>
    <t>IL0011507477</t>
  </si>
  <si>
    <t>מור סל )00( תל בונד 60</t>
  </si>
  <si>
    <t>IL0011953044</t>
  </si>
  <si>
    <t>מור סל )4A( ת"א90-</t>
  </si>
  <si>
    <t>IL0011961468</t>
  </si>
  <si>
    <t>קסם.תלבונד ש 50</t>
  </si>
  <si>
    <t>IL0011507626</t>
  </si>
  <si>
    <t>MTF סל )00( תל בונד - שקלי A</t>
  </si>
  <si>
    <t>IL0011728248</t>
  </si>
  <si>
    <t>MTF סל (S&amp;P 500 (4D</t>
  </si>
  <si>
    <t>IL0011503336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</si>
  <si>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</si>
  <si>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</si>
  <si>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</si>
  <si>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</si>
  <si>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</si>
  <si>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</si>
  <si>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</si>
  <si>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</si>
  <si>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</si>
  <si>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</si>
  <si>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</si>
  <si>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</si>
  <si>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</si>
  <si>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</si>
  <si>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</si>
  <si>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</si>
  <si>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</si>
  <si>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</si>
  <si>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</si>
  <si>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</si>
  <si>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</si>
  <si>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</si>
  <si>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</si>
  <si>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</si>
  <si>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</si>
  <si>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</si>
  <si>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</si>
  <si>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</si>
  <si>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</si>
  <si>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</si>
  <si>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</si>
  <si>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</si>
  <si>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</si>
  <si>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</si>
  <si>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</si>
  <si>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</si>
  <si>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</si>
  <si>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</si>
  <si>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</si>
  <si>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</si>
  <si>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</si>
  <si>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</si>
  <si>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</si>
  <si>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</si>
  <si>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</si>
  <si>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</si>
  <si>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</si>
  <si>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</si>
  <si>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</si>
  <si>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</si>
  <si>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</si>
  <si>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</si>
  <si>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</si>
  <si>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</si>
  <si>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</si>
  <si>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</si>
  <si>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</si>
  <si>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</si>
  <si>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</si>
  <si>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</si>
  <si>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</si>
  <si>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</si>
  <si>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</si>
  <si>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</si>
  <si>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</si>
  <si>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</si>
  <si>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</si>
  <si>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</si>
  <si>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</si>
  <si>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</si>
  <si>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</si>
  <si>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</si>
  <si>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</si>
  <si>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</si>
  <si>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</si>
  <si>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</si>
  <si>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</si>
  <si>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</si>
  <si>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</si>
  <si>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</si>
  <si>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</si>
  <si>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</si>
  <si>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</si>
  <si>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</si>
  <si>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</si>
  <si>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</si>
  <si>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</si>
  <si>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</si>
  <si>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</si>
  <si>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</si>
  <si>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</si>
  <si>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</si>
  <si>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</si>
  <si>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</si>
  <si>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</si>
  <si>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</si>
  <si>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</si>
  <si>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</si>
  <si>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</si>
  <si>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</si>
  <si>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</si>
  <si>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</si>
  <si>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</si>
  <si>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</si>
  <si>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</si>
  <si>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</si>
  <si>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</si>
  <si>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</si>
  <si>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</si>
  <si>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</si>
  <si>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</si>
  <si>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</si>
  <si>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</si>
  <si>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</si>
  <si>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</si>
  <si>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</si>
  <si>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</si>
  <si>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</si>
  <si>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</si>
  <si>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</si>
  <si>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</si>
  <si>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</si>
  <si>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</si>
  <si>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</si>
  <si>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</si>
  <si>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</si>
  <si>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</si>
  <si>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</si>
  <si>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</si>
  <si>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</si>
  <si>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</si>
  <si>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</si>
  <si>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</si>
  <si>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</si>
  <si>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</si>
  <si>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</si>
  <si>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</si>
  <si>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</si>
  <si>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</si>
  <si>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</si>
  <si>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</si>
  <si>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</si>
  <si>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</si>
  <si>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</si>
  <si>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</si>
  <si>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</si>
  <si>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</si>
  <si>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</si>
  <si>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</si>
  <si>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</si>
  <si>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</si>
  <si>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</si>
  <si>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</si>
  <si>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</si>
  <si>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</si>
  <si>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</si>
  <si>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</si>
  <si>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</si>
  <si>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</si>
  <si>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</si>
  <si>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</si>
  <si>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</si>
  <si>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</si>
  <si>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</si>
  <si>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</si>
  <si>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</si>
  <si>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</si>
  <si>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</si>
  <si>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</si>
  <si>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</si>
  <si>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</si>
  <si>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</si>
  <si>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</si>
  <si>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</si>
  <si>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</si>
  <si>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</si>
  <si>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</si>
  <si>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</si>
  <si>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</si>
  <si>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</si>
  <si>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</si>
  <si>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</si>
  <si>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</si>
  <si>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</si>
  <si>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</si>
  <si>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</si>
  <si>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</si>
  <si>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</si>
  <si>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</si>
  <si>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</si>
  <si>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</si>
  <si>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</si>
  <si>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</si>
  <si>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</si>
  <si>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</si>
  <si>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</si>
  <si>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</si>
  <si>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</si>
  <si>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</si>
  <si>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</si>
  <si>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</si>
  <si>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</si>
  <si>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</si>
  <si>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</si>
  <si>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</si>
  <si>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</si>
  <si>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</si>
  <si>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</si>
  <si>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</si>
  <si>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</si>
  <si>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</si>
  <si>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</si>
  <si>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</si>
  <si>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</si>
  <si>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</si>
  <si>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</si>
  <si>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</si>
  <si>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</si>
  <si>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</si>
  <si>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</si>
  <si>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</si>
  <si>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</si>
  <si>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</si>
  <si>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</si>
  <si>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</si>
  <si>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</si>
  <si>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</si>
  <si>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</si>
  <si>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</si>
  <si>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</si>
  <si>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</si>
  <si>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</si>
  <si>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</si>
  <si>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</si>
  <si>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</si>
  <si>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</si>
  <si>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</si>
  <si>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</si>
  <si>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</si>
  <si>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</si>
  <si>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</si>
  <si>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</si>
  <si>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</si>
  <si>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</si>
  <si>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</si>
  <si>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</si>
  <si>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</si>
  <si>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</si>
  <si>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</si>
  <si>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</si>
  <si>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</si>
  <si>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</si>
  <si>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</si>
  <si>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</si>
  <si>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</si>
  <si>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</si>
  <si>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</si>
  <si>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</si>
  <si>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</si>
  <si>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</si>
  <si>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</si>
  <si>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</si>
  <si>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</si>
  <si>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</si>
  <si>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</si>
  <si>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</si>
  <si>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</si>
  <si>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</si>
  <si>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</si>
  <si>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</si>
  <si>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</si>
  <si>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</si>
  <si>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</si>
  <si>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</si>
  <si>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</si>
  <si>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</si>
  <si>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</si>
  <si>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</si>
  <si>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</si>
  <si>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</si>
  <si>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</si>
  <si>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</si>
  <si>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</si>
  <si>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</si>
  <si>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</si>
  <si>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</si>
  <si>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</si>
  <si>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</si>
  <si>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</si>
  <si>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</si>
  <si>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</si>
  <si>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amazon.com</t>
  </si>
  <si>
    <t>ZXTILKJKG63JELOEG630</t>
  </si>
  <si>
    <t>AMAZON.COM INC</t>
  </si>
  <si>
    <t>US0231351067</t>
  </si>
  <si>
    <t>ALIBABA COM LTD</t>
  </si>
  <si>
    <t>5493001NTNQJDH60PM02</t>
  </si>
  <si>
    <t>BABA US Alibaba Group Holding Ltd</t>
  </si>
  <si>
    <t>US01609W1027</t>
  </si>
  <si>
    <t>Bank of America</t>
  </si>
  <si>
    <t>254900ARY41P4V1JL861</t>
  </si>
  <si>
    <t>Bank of Ameica Corp</t>
  </si>
  <si>
    <t>US0605051046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</si>
  <si>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</si>
  <si>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</si>
  <si>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</si>
  <si>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</si>
  <si>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</si>
  <si>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</si>
  <si>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</si>
  <si>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</si>
  <si>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</si>
  <si>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</si>
  <si>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</si>
  <si>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</si>
  <si>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</si>
  <si>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INTEL CORP</t>
  </si>
  <si>
    <t>KNX4USFCNGPY45LOCE31</t>
  </si>
  <si>
    <t>Intel corp</t>
  </si>
  <si>
    <t>US4581401001</t>
  </si>
  <si>
    <t>Semiconductors &amp; Semiconductor</t>
  </si>
  <si>
    <t>JP MORGAN ASSET MANAGEMENT</t>
  </si>
  <si>
    <t>8I5DZWZKVSZI1NUHU748</t>
  </si>
  <si>
    <t>JPMORGAN CHASE &amp; CO</t>
  </si>
  <si>
    <t>US46625H1005</t>
  </si>
  <si>
    <t>MONDELEZ INTERNATIONAL</t>
  </si>
  <si>
    <t>549300DV9GIB88LZ5P30</t>
  </si>
  <si>
    <t>MONDELEZ INTERNATIONAL INC</t>
  </si>
  <si>
    <t>US6092071058</t>
  </si>
  <si>
    <t>NextEra Energy</t>
  </si>
  <si>
    <t>254900RHL9MEUS5NKX63</t>
  </si>
  <si>
    <t>NEXTERA ENERGY INC</t>
  </si>
  <si>
    <t>US65339F1012</t>
  </si>
  <si>
    <t>Utilities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</si>
  <si>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</si>
  <si>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</si>
  <si>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</si>
  <si>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</si>
  <si>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</si>
  <si>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</si>
  <si>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</si>
  <si>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</si>
  <si>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</si>
  <si>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</si>
  <si>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</si>
  <si>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</si>
  <si>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</si>
  <si>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</si>
  <si>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</si>
  <si>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Saleforce.com Inc</t>
  </si>
  <si>
    <t>RCGZFPDMRW58VJ54VR07</t>
  </si>
  <si>
    <t>Saleforce</t>
  </si>
  <si>
    <t>US794466L3024</t>
  </si>
  <si>
    <t>TAIWAN Semiconductor</t>
  </si>
  <si>
    <t>549300KB6NK5SBD14S87</t>
  </si>
  <si>
    <t>TAIWAN SEMICON ADR</t>
  </si>
  <si>
    <t>US8740391003</t>
  </si>
  <si>
    <t>החברה לישראל בע"מ</t>
  </si>
  <si>
    <t>520028010</t>
  </si>
  <si>
    <t>חברה לישראל</t>
  </si>
  <si>
    <t>IL0005760173</t>
  </si>
  <si>
    <t>י.ח.דמרי בניה ופיתוח בע"מ</t>
  </si>
  <si>
    <t>511399388</t>
  </si>
  <si>
    <t>דמרי</t>
  </si>
  <si>
    <t>IL0010903156</t>
  </si>
  <si>
    <t>הראל השקעות בביטוח ושרותים פיננסים בע"מ</t>
  </si>
  <si>
    <t>520033986</t>
  </si>
  <si>
    <t>הראל השקעות</t>
  </si>
  <si>
    <t>IL0005850180</t>
  </si>
  <si>
    <t>חפציבה ג'רוזלם גולד בע"מ</t>
  </si>
  <si>
    <t>510404460</t>
  </si>
  <si>
    <t>חפציבה גרוזלם</t>
  </si>
  <si>
    <t>IL0010999360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</si>
  <si>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</si>
  <si>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</si>
  <si>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</si>
  <si>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</si>
  <si>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</si>
  <si>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</si>
  <si>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</si>
  <si>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לוויתן בונד בע"מ</t>
  </si>
  <si>
    <t>516223864</t>
  </si>
  <si>
    <t>LVIATH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</si>
  <si>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</si>
  <si>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</si>
  <si>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</si>
  <si>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</si>
  <si>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</si>
  <si>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</si>
  <si>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</si>
  <si>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A2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</si>
  <si>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</si>
  <si>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</si>
  <si>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</si>
  <si>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</si>
  <si>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</si>
  <si>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</si>
  <si>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</si>
  <si>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</si>
  <si>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</si>
  <si>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</si>
  <si>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</si>
  <si>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</si>
  <si>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</si>
  <si>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</si>
  <si>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</si>
  <si>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</si>
  <si>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</si>
  <si>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אייסיאל   אגח ז</t>
  </si>
  <si>
    <t>IL0028103724</t>
  </si>
  <si>
    <t>AA</t>
  </si>
  <si>
    <t>31/12/2034</t>
  </si>
  <si>
    <t>איירפורט סיטי בע"מ</t>
  </si>
  <si>
    <t>511659401</t>
  </si>
  <si>
    <t>איירפורט אגח ה</t>
  </si>
  <si>
    <t>IL0011334872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</si>
  <si>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</si>
  <si>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</si>
  <si>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</si>
  <si>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</si>
  <si>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</si>
  <si>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</si>
  <si>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</si>
  <si>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</si>
  <si>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</si>
  <si>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</si>
  <si>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</si>
  <si>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</si>
  <si>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</si>
  <si>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</si>
  <si>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</si>
  <si>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</si>
  <si>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</si>
  <si>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</si>
  <si>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</si>
  <si>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</si>
  <si>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</si>
  <si>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</si>
  <si>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</si>
  <si>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</si>
  <si>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אלוני חץ אגח יב</t>
  </si>
  <si>
    <t>IL0039004952</t>
  </si>
  <si>
    <t>28/02/2031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</si>
  <si>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</si>
  <si>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</si>
  <si>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</si>
  <si>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</si>
  <si>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</si>
  <si>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</si>
  <si>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</si>
  <si>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</si>
  <si>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</si>
  <si>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</si>
  <si>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</si>
  <si>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</si>
  <si>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</si>
  <si>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</si>
  <si>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</si>
  <si>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</si>
  <si>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</si>
  <si>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</si>
  <si>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</si>
  <si>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</si>
  <si>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</si>
  <si>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</si>
  <si>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</si>
  <si>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</si>
  <si>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</si>
  <si>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</si>
  <si>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</si>
  <si>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</si>
  <si>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</si>
  <si>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</si>
  <si>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</si>
  <si>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</si>
  <si>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</si>
  <si>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</si>
  <si>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</si>
  <si>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</si>
  <si>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</si>
  <si>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</si>
  <si>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</si>
  <si>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</si>
  <si>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</si>
  <si>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</si>
  <si>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</si>
  <si>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30/06/2027</t>
  </si>
  <si>
    <t>אפי נכסים בע"מ</t>
  </si>
  <si>
    <t>510560188</t>
  </si>
  <si>
    <t>אפי נכסים אגח יא</t>
  </si>
  <si>
    <t>IL0011716284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</si>
  <si>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</si>
  <si>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</si>
  <si>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</si>
  <si>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</si>
  <si>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</si>
  <si>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</si>
  <si>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</si>
  <si>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</si>
  <si>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</si>
  <si>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</si>
  <si>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</si>
  <si>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</si>
  <si>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</si>
  <si>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</si>
  <si>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</si>
  <si>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</si>
  <si>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</si>
  <si>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</si>
  <si>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</si>
  <si>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</si>
  <si>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</si>
  <si>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</si>
  <si>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</si>
  <si>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</si>
  <si>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</si>
  <si>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</si>
  <si>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</si>
  <si>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</si>
  <si>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</si>
  <si>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</si>
  <si>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</si>
  <si>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</si>
  <si>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</si>
  <si>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</si>
  <si>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</si>
  <si>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</si>
  <si>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</si>
  <si>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</si>
  <si>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</si>
  <si>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</si>
  <si>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</si>
  <si>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</si>
  <si>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</si>
  <si>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</si>
  <si>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</si>
  <si>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</si>
  <si>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</si>
  <si>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</si>
  <si>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</si>
  <si>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</si>
  <si>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</si>
  <si>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</si>
  <si>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</si>
  <si>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</si>
  <si>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בינלאומי הנפק התח כז</t>
  </si>
  <si>
    <t>IL0011894974</t>
  </si>
  <si>
    <t>13/03/2029</t>
  </si>
  <si>
    <t>בית זיקוק אשדוד אגח 2</t>
  </si>
  <si>
    <t>IL0011994881</t>
  </si>
  <si>
    <t>30/04/2029</t>
  </si>
  <si>
    <t>בתי זקוק לנפט בע"מ</t>
  </si>
  <si>
    <t>520036658</t>
  </si>
  <si>
    <t>בתי זיקוק אגח יג</t>
  </si>
  <si>
    <t>IL0011953465</t>
  </si>
  <si>
    <t>26/09/2032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</si>
  <si>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</si>
  <si>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</si>
  <si>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</si>
  <si>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</si>
  <si>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</si>
  <si>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</si>
  <si>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</si>
  <si>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</si>
  <si>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</si>
  <si>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</si>
  <si>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</si>
  <si>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</si>
  <si>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</si>
  <si>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</si>
  <si>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</si>
  <si>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</si>
  <si>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</si>
  <si>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</si>
  <si>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</si>
  <si>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</si>
  <si>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</si>
  <si>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</si>
  <si>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</si>
  <si>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</si>
  <si>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</si>
  <si>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</si>
  <si>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</si>
  <si>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</si>
  <si>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</si>
  <si>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</si>
  <si>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</si>
  <si>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</si>
  <si>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</si>
  <si>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</si>
  <si>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 אגח לז</t>
  </si>
  <si>
    <t>IL0011928897</t>
  </si>
  <si>
    <t>דלק קבוצה    אגח מ</t>
  </si>
  <si>
    <t>IL0012173899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</si>
  <si>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</si>
  <si>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</si>
  <si>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</si>
  <si>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</si>
  <si>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</si>
  <si>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</si>
  <si>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</si>
  <si>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</si>
  <si>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</si>
  <si>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</si>
  <si>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</si>
  <si>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</si>
  <si>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ויתניה בע"מ</t>
  </si>
  <si>
    <t>512096793</t>
  </si>
  <si>
    <t>ויתניה אגח ז</t>
  </si>
  <si>
    <t>IL0012162413</t>
  </si>
  <si>
    <t>30/06/2032</t>
  </si>
  <si>
    <t>חג'ג' אגח יג 5.62%</t>
  </si>
  <si>
    <t>IL0011900409</t>
  </si>
  <si>
    <t>01/04/2025</t>
  </si>
  <si>
    <t>חברת החשמל לישראל בע"מ</t>
  </si>
  <si>
    <t>520000472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</si>
  <si>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</si>
  <si>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</si>
  <si>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</si>
  <si>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</si>
  <si>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</si>
  <si>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</si>
  <si>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</si>
  <si>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</si>
  <si>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</si>
  <si>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</si>
  <si>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</si>
  <si>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</si>
  <si>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</si>
  <si>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</si>
  <si>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</si>
  <si>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</si>
  <si>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</si>
  <si>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A1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</si>
  <si>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</si>
  <si>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</si>
  <si>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</si>
  <si>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</si>
  <si>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</si>
  <si>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</si>
  <si>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</si>
  <si>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</si>
  <si>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</si>
  <si>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</si>
  <si>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</si>
  <si>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</si>
  <si>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</si>
  <si>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</si>
  <si>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ישראמקו אגח ג</t>
  </si>
  <si>
    <t>IL0023202323</t>
  </si>
  <si>
    <t>10/10/2030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</si>
  <si>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</si>
  <si>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</si>
  <si>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</si>
  <si>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</si>
  <si>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</si>
  <si>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</si>
  <si>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</si>
  <si>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</si>
  <si>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</si>
  <si>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</si>
  <si>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</si>
  <si>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לאומי אגח  185</t>
  </si>
  <si>
    <t>IL0012018219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</si>
  <si>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</si>
  <si>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</si>
  <si>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</si>
  <si>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</si>
  <si>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</si>
  <si>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</si>
  <si>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</si>
  <si>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</si>
  <si>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</si>
  <si>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</si>
  <si>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</si>
  <si>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</si>
  <si>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</si>
  <si>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</si>
  <si>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</si>
  <si>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</si>
  <si>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</si>
  <si>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</si>
  <si>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</si>
  <si>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</si>
  <si>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</si>
  <si>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</si>
  <si>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מבנה אגח כה</t>
  </si>
  <si>
    <t>IL0022606367</t>
  </si>
  <si>
    <t>30/09/2033</t>
  </si>
  <si>
    <t>מבני תעשיה  אגח כ</t>
  </si>
  <si>
    <t>IL0022604958</t>
  </si>
  <si>
    <t>מגדלי הים התיכון</t>
  </si>
  <si>
    <t>512719485</t>
  </si>
  <si>
    <t>מגדלי ים תיכון אגח ה</t>
  </si>
  <si>
    <t>IL0011685174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</si>
  <si>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</si>
  <si>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</si>
  <si>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</si>
  <si>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</si>
  <si>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</si>
  <si>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</si>
  <si>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</si>
  <si>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</si>
  <si>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מגה אור אגח יא</t>
  </si>
  <si>
    <t>IL0011783755</t>
  </si>
  <si>
    <t>31/03/2032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</si>
  <si>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</si>
  <si>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</si>
  <si>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</si>
  <si>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</si>
  <si>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</si>
  <si>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</si>
  <si>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</si>
  <si>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</si>
  <si>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</si>
  <si>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</si>
  <si>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</si>
  <si>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</si>
  <si>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</si>
  <si>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</si>
  <si>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הנפק 52</t>
  </si>
  <si>
    <t>IL0023103810</t>
  </si>
  <si>
    <t>01/07/2030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</si>
  <si>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</si>
  <si>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</si>
  <si>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</si>
  <si>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</si>
  <si>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</si>
  <si>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</si>
  <si>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</si>
  <si>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</si>
  <si>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</si>
  <si>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</si>
  <si>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</si>
  <si>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</si>
  <si>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</si>
  <si>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</si>
  <si>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</si>
  <si>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</si>
  <si>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</si>
  <si>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</si>
  <si>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</si>
  <si>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</si>
  <si>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</si>
  <si>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</si>
  <si>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</si>
  <si>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</si>
  <si>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התח סד' ט</t>
  </si>
  <si>
    <t>IL0012193699</t>
  </si>
  <si>
    <t>Aa3</t>
  </si>
  <si>
    <t>30/09/2035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</si>
  <si>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</si>
  <si>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</si>
  <si>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</si>
  <si>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</si>
  <si>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</si>
  <si>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</si>
  <si>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</si>
  <si>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</si>
  <si>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</si>
  <si>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</si>
  <si>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</si>
  <si>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</si>
  <si>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</si>
  <si>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</si>
  <si>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</si>
  <si>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</si>
  <si>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</si>
  <si>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</si>
  <si>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</si>
  <si>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</si>
  <si>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</si>
  <si>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</si>
  <si>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</si>
  <si>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</si>
  <si>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</si>
  <si>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</si>
  <si>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</si>
  <si>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</si>
  <si>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</si>
  <si>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</si>
  <si>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</si>
  <si>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</si>
  <si>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</si>
  <si>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</si>
  <si>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</si>
  <si>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</si>
  <si>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</si>
  <si>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</si>
  <si>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סטרוברי פילדס ריט לימיטד</t>
  </si>
  <si>
    <t>1863501</t>
  </si>
  <si>
    <t>סטרוברי אגח ג</t>
  </si>
  <si>
    <t>IL0011790198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</si>
  <si>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</si>
  <si>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</si>
  <si>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</si>
  <si>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</si>
  <si>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</si>
  <si>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</si>
  <si>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</si>
  <si>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</si>
  <si>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</si>
  <si>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</si>
  <si>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ספנסר אקוויטי גרופ לימיטד</t>
  </si>
  <si>
    <t>1838863</t>
  </si>
  <si>
    <t>ספנסר אגח ב</t>
  </si>
  <si>
    <t>IL0011398984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</si>
  <si>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</si>
  <si>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</si>
  <si>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</si>
  <si>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</si>
  <si>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</si>
  <si>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</si>
  <si>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</si>
  <si>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</si>
  <si>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</si>
  <si>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</si>
  <si>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</si>
  <si>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</si>
  <si>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</si>
  <si>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</si>
  <si>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</si>
  <si>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</si>
  <si>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</si>
  <si>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</si>
  <si>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</si>
  <si>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</si>
  <si>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</si>
  <si>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</si>
  <si>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</si>
  <si>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</si>
  <si>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</si>
  <si>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</si>
  <si>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</si>
  <si>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</si>
  <si>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</si>
  <si>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</si>
  <si>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</si>
  <si>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</si>
  <si>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</si>
  <si>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</si>
  <si>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</si>
  <si>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</si>
  <si>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</si>
  <si>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</si>
  <si>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</si>
  <si>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</si>
  <si>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</si>
  <si>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</si>
  <si>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</si>
  <si>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</si>
  <si>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ו</t>
  </si>
  <si>
    <t>IL0012192865</t>
  </si>
  <si>
    <t>01/10/2034</t>
  </si>
  <si>
    <t>פתאל אירופה אגח ג</t>
  </si>
  <si>
    <t>IL0011418527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</si>
  <si>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</si>
  <si>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</si>
  <si>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</si>
  <si>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</si>
  <si>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</si>
  <si>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</si>
  <si>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</si>
  <si>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</si>
  <si>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</si>
  <si>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</si>
  <si>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</si>
  <si>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</si>
  <si>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</si>
  <si>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</si>
  <si>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</si>
  <si>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</si>
  <si>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</si>
  <si>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</si>
  <si>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</si>
  <si>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</si>
  <si>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</si>
  <si>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</si>
  <si>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</si>
  <si>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</si>
  <si>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</si>
  <si>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</si>
  <si>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</si>
  <si>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</si>
  <si>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</si>
  <si>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</si>
  <si>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</si>
  <si>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</si>
  <si>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</si>
  <si>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</si>
  <si>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</si>
  <si>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שופרסל אגח ז</t>
  </si>
  <si>
    <t>IL0077702582</t>
  </si>
  <si>
    <t>20/08/2030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</si>
  <si>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</si>
  <si>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</si>
  <si>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</si>
  <si>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</si>
  <si>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</si>
  <si>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</si>
  <si>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</si>
  <si>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</si>
  <si>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</si>
  <si>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</si>
  <si>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</si>
  <si>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</si>
  <si>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</si>
  <si>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31/12/2026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</si>
  <si>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</si>
  <si>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</si>
  <si>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</si>
  <si>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</si>
  <si>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</si>
  <si>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</si>
  <si>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</si>
  <si>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</si>
  <si>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</si>
  <si>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</si>
  <si>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</si>
  <si>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</si>
  <si>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</si>
  <si>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</si>
  <si>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</si>
  <si>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TEVA 4.375% 09/05/30</t>
  </si>
  <si>
    <t>XS2406607171</t>
  </si>
  <si>
    <t>09/05/2030</t>
  </si>
  <si>
    <t>TEVA 5.125% 09/05/29</t>
  </si>
  <si>
    <t>US88167AAQ40</t>
  </si>
  <si>
    <t>09/05/2029</t>
  </si>
  <si>
    <t>אלומיי קפיטל בע"מ</t>
  </si>
  <si>
    <t>520039868</t>
  </si>
  <si>
    <t>אלומיי אגח ו</t>
  </si>
  <si>
    <t>IL0012030743</t>
  </si>
  <si>
    <t>נכסים ובנין ד</t>
  </si>
  <si>
    <t>IL0069901549</t>
  </si>
  <si>
    <t>אלוני חץ אגח יג</t>
  </si>
  <si>
    <t>IL0011894065</t>
  </si>
  <si>
    <t>01/03/2037</t>
  </si>
  <si>
    <t>אמות אגח ז</t>
  </si>
  <si>
    <t>IL0011628661</t>
  </si>
  <si>
    <t>05/01/2032</t>
  </si>
  <si>
    <t>גבאי מניבים יב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</si>
  <si>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</si>
  <si>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</si>
  <si>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</si>
  <si>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</si>
  <si>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</si>
  <si>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</si>
  <si>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</si>
  <si>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</si>
  <si>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</si>
  <si>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</si>
  <si>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</si>
  <si>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</si>
  <si>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דיסקונט מנ נד ח</t>
  </si>
  <si>
    <t>IL0074803128</t>
  </si>
  <si>
    <t>01/11/2027</t>
  </si>
  <si>
    <t>דלק קבוצה אגח לט</t>
  </si>
  <si>
    <t>IL0012057720</t>
  </si>
  <si>
    <t>הפניקס אגח 5</t>
  </si>
  <si>
    <t>IL0076702849</t>
  </si>
  <si>
    <t>01/05/2030</t>
  </si>
  <si>
    <t>הראל הנפקות יג ש</t>
  </si>
  <si>
    <t>IL0011381717</t>
  </si>
  <si>
    <t>חג'ג' אגח יב</t>
  </si>
  <si>
    <t>IL0082303772</t>
  </si>
  <si>
    <t>חג'ג' אגח יד 01/01/2028</t>
  </si>
  <si>
    <t>IL0012066069</t>
  </si>
  <si>
    <t>01/01/2028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</si>
  <si>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</si>
  <si>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</si>
  <si>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</si>
  <si>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</si>
  <si>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</si>
  <si>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</si>
  <si>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</si>
  <si>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</si>
  <si>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</si>
  <si>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</si>
  <si>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</si>
  <si>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ביטוח אגח א</t>
  </si>
  <si>
    <t>IL0011934812</t>
  </si>
  <si>
    <t>28/02/2028</t>
  </si>
  <si>
    <t>כללביט מימון בע"מ</t>
  </si>
  <si>
    <t>513754069</t>
  </si>
  <si>
    <t>כלל מימון אגח יב</t>
  </si>
  <si>
    <t>IL0011799280</t>
  </si>
  <si>
    <t>כללביט אגח ט</t>
  </si>
  <si>
    <t>IL0011360505</t>
  </si>
  <si>
    <t>31/07/2025</t>
  </si>
  <si>
    <t>לאומי אגח 182</t>
  </si>
  <si>
    <t>IL0060405391</t>
  </si>
  <si>
    <t>25/11/2027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</si>
  <si>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</si>
  <si>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</si>
  <si>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</si>
  <si>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</si>
  <si>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</si>
  <si>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</si>
  <si>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</si>
  <si>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</si>
  <si>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</si>
  <si>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</si>
  <si>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מבני תעשיה אגח יז</t>
  </si>
  <si>
    <t>IL0022604461</t>
  </si>
  <si>
    <t>מליסרון אגח יא</t>
  </si>
  <si>
    <t>IL0032302080</t>
  </si>
  <si>
    <t>10/07/2025</t>
  </si>
  <si>
    <t>מקורות חברת מים בע"מ</t>
  </si>
  <si>
    <t>520010869</t>
  </si>
  <si>
    <t>מקורות אגח 11</t>
  </si>
  <si>
    <t>IL0011584765</t>
  </si>
  <si>
    <t>31/12/2053</t>
  </si>
  <si>
    <t>סולגרין בע"מ</t>
  </si>
  <si>
    <t>512882747</t>
  </si>
  <si>
    <t>סולגרין אגח ב</t>
  </si>
  <si>
    <t>IL0011862468</t>
  </si>
  <si>
    <t>סטרוברי אגח ד</t>
  </si>
  <si>
    <t>IL0011970295</t>
  </si>
  <si>
    <t>עזריאלי אגח ט</t>
  </si>
  <si>
    <t>IL0012092537</t>
  </si>
  <si>
    <t>02/01/2046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</si>
  <si>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</si>
  <si>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</si>
  <si>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</si>
  <si>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</si>
  <si>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</si>
  <si>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</si>
  <si>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פניקס הון אגח יא</t>
  </si>
  <si>
    <t>IL0011593592</t>
  </si>
  <si>
    <t>פסיפיק אגח ג</t>
  </si>
  <si>
    <t>IL0011976805</t>
  </si>
  <si>
    <t>רני צים מרכזי קניות בע"מ</t>
  </si>
  <si>
    <t>514353671</t>
  </si>
  <si>
    <t>רני צים אגח ב</t>
  </si>
  <si>
    <t>IL0011718348</t>
  </si>
  <si>
    <t>01/03/2028</t>
  </si>
  <si>
    <t>תמר פטרוליום בעמ</t>
  </si>
  <si>
    <t>515334662</t>
  </si>
  <si>
    <t>תמר פטרוליום אגח א</t>
  </si>
  <si>
    <t>IL0011413320</t>
  </si>
  <si>
    <t>30/08/2028</t>
  </si>
  <si>
    <t>אדגר אגח י</t>
  </si>
  <si>
    <t>IL0018202080</t>
  </si>
  <si>
    <t>01/09/2027</t>
  </si>
  <si>
    <t>אלקו אגח יד 30/05/2032 5.98%</t>
  </si>
  <si>
    <t>IL0012077520</t>
  </si>
  <si>
    <t>30/05/2032</t>
  </si>
  <si>
    <t>אמות אגח ח</t>
  </si>
  <si>
    <t>IL0011727828</t>
  </si>
  <si>
    <t>גב ים אגח י</t>
  </si>
  <si>
    <t>IL0075902846</t>
  </si>
  <si>
    <t>01/07/2035</t>
  </si>
  <si>
    <t>גירון פיתוח ובניה בע"מ</t>
  </si>
  <si>
    <t>520044520</t>
  </si>
  <si>
    <t>גירון אגח ו</t>
  </si>
  <si>
    <t>IL0011398497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</si>
  <si>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</si>
  <si>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</si>
  <si>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</si>
  <si>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</si>
  <si>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</si>
  <si>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</si>
  <si>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</si>
  <si>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</si>
  <si>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</si>
  <si>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</si>
  <si>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</si>
  <si>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</si>
  <si>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</si>
  <si>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</si>
  <si>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</si>
  <si>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</si>
  <si>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רני צים ג</t>
  </si>
  <si>
    <t>IL0011831935</t>
  </si>
  <si>
    <t>8.1%ISRAEL.E15.12.96</t>
  </si>
  <si>
    <t>USM60170AC79</t>
  </si>
  <si>
    <t>BBB</t>
  </si>
  <si>
    <t>15/12/2096</t>
  </si>
  <si>
    <t>ENOGLN 6.5% 30/4/27</t>
  </si>
  <si>
    <t>USG3044DAA49</t>
  </si>
  <si>
    <t>B+</t>
  </si>
  <si>
    <t>30/04/2027</t>
  </si>
  <si>
    <t>מליסרון אגח י'</t>
  </si>
  <si>
    <t>IL0032301900</t>
  </si>
  <si>
    <t>חוזים עתידיים בחול</t>
  </si>
  <si>
    <t>10527</t>
  </si>
  <si>
    <t>HWAM5_SP500 MIC  EMIN FUTJUN25</t>
  </si>
  <si>
    <t>HWAM5</t>
  </si>
  <si>
    <t>HWBM5_NASDAQ 100 MICRO JUN 25</t>
  </si>
  <si>
    <t>HWBM5</t>
  </si>
  <si>
    <t>US 10YR Ultra Fut  JUN 25</t>
  </si>
  <si>
    <t>UXYM5</t>
  </si>
  <si>
    <t>MINI NASDAQ 100 06/2025</t>
  </si>
  <si>
    <t>NQM5</t>
  </si>
  <si>
    <t>S&amp;P 500 EMINI FUT JUN25</t>
  </si>
  <si>
    <t>ESM5</t>
  </si>
  <si>
    <t>ביג אפ 7</t>
  </si>
  <si>
    <t>IL0012143454</t>
  </si>
  <si>
    <t>01/06/2026</t>
  </si>
  <si>
    <t>אלומיי אופ 2</t>
  </si>
  <si>
    <t>IL0012030826</t>
  </si>
  <si>
    <t>IL0010826357</t>
  </si>
  <si>
    <t>05/01/2028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</si>
  <si>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</si>
  <si>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</si>
  <si>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</si>
  <si>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</si>
  <si>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</si>
  <si>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</si>
  <si>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</si>
  <si>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Coller Credit Opportunities</t>
  </si>
  <si>
    <t>89525</t>
  </si>
  <si>
    <t>ג'רנסי</t>
  </si>
  <si>
    <t>02/09/2021</t>
  </si>
  <si>
    <t>Forma european fund 2</t>
  </si>
  <si>
    <t>516190006</t>
  </si>
  <si>
    <t>Forma European Fund II LP</t>
  </si>
  <si>
    <t>06/07/2021</t>
  </si>
  <si>
    <t>10/03/2025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</si>
  <si>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</si>
  <si>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</si>
  <si>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</si>
  <si>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</si>
  <si>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</si>
  <si>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</si>
  <si>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FUND III</t>
  </si>
  <si>
    <t>13/11/2019</t>
  </si>
  <si>
    <t>30/03/2025</t>
  </si>
  <si>
    <t>klirmark IV</t>
  </si>
  <si>
    <t>23/04/2023</t>
  </si>
  <si>
    <t>Peregrine Ventures Growth General Partner LP</t>
  </si>
  <si>
    <t>540297413</t>
  </si>
  <si>
    <t>07/07/2021</t>
  </si>
  <si>
    <t>540310885</t>
  </si>
  <si>
    <t>Qumra Opportunity fund</t>
  </si>
  <si>
    <t>11/05/2021</t>
  </si>
  <si>
    <t>09/02/2025</t>
  </si>
  <si>
    <t>קרן השקעה אלפא ערך 1</t>
  </si>
  <si>
    <t>530225416</t>
  </si>
  <si>
    <t>אלפא ערך 1 ש.מ</t>
  </si>
  <si>
    <t>26/12/2024</t>
  </si>
  <si>
    <t>אי תלות</t>
  </si>
  <si>
    <t>12/03/2025</t>
  </si>
  <si>
    <t>יסודות א נדלן שותפות מוגבלת</t>
  </si>
  <si>
    <t>550257125</t>
  </si>
  <si>
    <t>יסודות נדל"ן ג' פיתוח ושותפות</t>
  </si>
  <si>
    <t>26/03/2025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</si>
  <si>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</si>
  <si>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</si>
  <si>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</si>
  <si>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</si>
  <si>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</si>
  <si>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</si>
  <si>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</si>
  <si>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</si>
  <si>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</si>
  <si>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</si>
  <si>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</si>
  <si>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</si>
  <si>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ALTO FUND</t>
  </si>
  <si>
    <t>27092</t>
  </si>
  <si>
    <t>ALTO 3</t>
  </si>
  <si>
    <t>22/01/2017</t>
  </si>
  <si>
    <t>01/06/2015</t>
  </si>
  <si>
    <t>05/02/2025</t>
  </si>
  <si>
    <t>איפקס סבן</t>
  </si>
  <si>
    <t>512712548</t>
  </si>
  <si>
    <t>AMI OPPORTUNITY</t>
  </si>
  <si>
    <t>ג'נרסי</t>
  </si>
  <si>
    <t>16/12/2015</t>
  </si>
  <si>
    <t>18/03/2025</t>
  </si>
  <si>
    <t>Apexus Logisitcs RE Fund L.P</t>
  </si>
  <si>
    <t>89867</t>
  </si>
  <si>
    <t>Apexus</t>
  </si>
  <si>
    <t>14/04/2022</t>
  </si>
  <si>
    <t>Ares CIP Management II, L.P</t>
  </si>
  <si>
    <t>20187570751</t>
  </si>
  <si>
    <t>Ares Climate Infrastructure Partners II-A, L.P</t>
  </si>
  <si>
    <t>22/01/2025</t>
  </si>
  <si>
    <t>2138005O9XJIJN4JPN90</t>
  </si>
  <si>
    <t>Arkin Bio Capital</t>
  </si>
  <si>
    <t>23/01/2022</t>
  </si>
  <si>
    <t>28/01/2025</t>
  </si>
  <si>
    <t>Avenue Cpital Group</t>
  </si>
  <si>
    <t>12151</t>
  </si>
  <si>
    <t>Avenue B-1</t>
  </si>
  <si>
    <t>13/10/2021</t>
  </si>
  <si>
    <t>Avenue B-2</t>
  </si>
  <si>
    <t>bain capital senior loan fund</t>
  </si>
  <si>
    <t>27725</t>
  </si>
  <si>
    <t>BAIN CAPITAL DSS</t>
  </si>
  <si>
    <t>07/03/2021</t>
  </si>
  <si>
    <t>19/03/2025</t>
  </si>
  <si>
    <t>Crossroads European Real Estate Fund II</t>
  </si>
  <si>
    <t>3333</t>
  </si>
  <si>
    <t>25/11/2021</t>
  </si>
  <si>
    <t>DOVER STREET IX LP</t>
  </si>
  <si>
    <t>27949</t>
  </si>
  <si>
    <t>DOVER STREET XI L.P</t>
  </si>
  <si>
    <t>21/06/2023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</si>
  <si>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</si>
  <si>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</si>
  <si>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</si>
  <si>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</si>
  <si>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</si>
  <si>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</si>
  <si>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</si>
  <si>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</si>
  <si>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</si>
  <si>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</si>
  <si>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</si>
  <si>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</si>
  <si>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</si>
  <si>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</si>
  <si>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</si>
  <si>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16/02/2025</t>
  </si>
  <si>
    <t>Forma Fund</t>
  </si>
  <si>
    <t>530278654</t>
  </si>
  <si>
    <t>FORMA FUND</t>
  </si>
  <si>
    <t>Group 11 Fund  L.P</t>
  </si>
  <si>
    <t>28378</t>
  </si>
  <si>
    <t>Group 11 Fund IV</t>
  </si>
  <si>
    <t>09/03/2021</t>
  </si>
  <si>
    <t>Group 11 Fund V</t>
  </si>
  <si>
    <t>21/04/2021</t>
  </si>
  <si>
    <t>GROUP 11 FUND VI, L.P</t>
  </si>
  <si>
    <t>89899</t>
  </si>
  <si>
    <t>Group 11 Fund VI</t>
  </si>
  <si>
    <t>26/05/2022</t>
  </si>
  <si>
    <t>hanaco growth venturres</t>
  </si>
  <si>
    <t>28364</t>
  </si>
  <si>
    <t>Hanaco growth venturres</t>
  </si>
  <si>
    <t>03/03/2021</t>
  </si>
  <si>
    <t>27/03/2025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</si>
  <si>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</si>
  <si>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</si>
  <si>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</si>
  <si>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</si>
  <si>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</si>
  <si>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</si>
  <si>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</si>
  <si>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</si>
  <si>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31/12/2024</t>
  </si>
  <si>
    <t>ECP V, LLC</t>
  </si>
  <si>
    <t>27330</t>
  </si>
  <si>
    <t>harbur _ESS CO INVEST V</t>
  </si>
  <si>
    <t>27/10/2019</t>
  </si>
  <si>
    <t>02/02/2025</t>
  </si>
  <si>
    <t>HGI Multifamily Credit Fund</t>
  </si>
  <si>
    <t>89918</t>
  </si>
  <si>
    <t>12/01/2023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</si>
  <si>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</si>
  <si>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</si>
  <si>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</si>
  <si>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</si>
  <si>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</si>
  <si>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</si>
  <si>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</si>
  <si>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</si>
  <si>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</si>
  <si>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</si>
  <si>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</si>
  <si>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</si>
  <si>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</si>
  <si>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</si>
  <si>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</si>
  <si>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</si>
  <si>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</si>
  <si>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</si>
  <si>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</si>
  <si>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</si>
  <si>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</si>
  <si>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</si>
  <si>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</si>
  <si>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</si>
  <si>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</si>
  <si>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</si>
  <si>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</si>
  <si>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</si>
  <si>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>24/02/2025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</si>
  <si>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</si>
  <si>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</si>
  <si>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</si>
  <si>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</si>
  <si>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</si>
  <si>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</si>
  <si>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</si>
  <si>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</si>
  <si>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</si>
  <si>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</si>
  <si>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</si>
  <si>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</si>
  <si>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Pantheon Private Debt</t>
  </si>
  <si>
    <t>213800U3XYENZ6K2K182</t>
  </si>
  <si>
    <t>PGCO IV_פנתיאון</t>
  </si>
  <si>
    <t>18/11/2019</t>
  </si>
  <si>
    <t>20/03/2025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</si>
  <si>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</si>
  <si>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</si>
  <si>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</si>
  <si>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</si>
  <si>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</si>
  <si>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</si>
  <si>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</si>
  <si>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</si>
  <si>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Target Global</t>
  </si>
  <si>
    <t>89655</t>
  </si>
  <si>
    <t>Target Global Growth Fund II</t>
  </si>
  <si>
    <t>09/11/2021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</si>
  <si>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</si>
  <si>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</si>
  <si>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</si>
  <si>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</si>
  <si>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</si>
  <si>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</si>
  <si>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</si>
  <si>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89968</t>
  </si>
  <si>
    <t>24/10/2022</t>
  </si>
  <si>
    <t>13/02/2025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</si>
  <si>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</si>
  <si>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</si>
  <si>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</si>
  <si>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</si>
  <si>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</si>
  <si>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</si>
  <si>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</si>
  <si>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</si>
  <si>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</si>
  <si>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</si>
  <si>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</si>
  <si>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</si>
  <si>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</si>
  <si>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</si>
  <si>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</si>
  <si>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</si>
  <si>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</si>
  <si>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</si>
  <si>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PROSPECT CAPITAL CORP</t>
  </si>
  <si>
    <t>549300FSD8T39P5Q0O47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</si>
  <si>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</si>
  <si>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</si>
  <si>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</si>
  <si>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</si>
  <si>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</si>
  <si>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</si>
  <si>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</si>
  <si>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</si>
  <si>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>28/11/2023</t>
  </si>
  <si>
    <t xml:space="preserve">לוסיקס בע"מ </t>
  </si>
  <si>
    <t>515374742</t>
  </si>
  <si>
    <t>Lusix</t>
  </si>
  <si>
    <t>620201931</t>
  </si>
  <si>
    <t>02/12/2024</t>
  </si>
  <si>
    <t>28/11/2024</t>
  </si>
  <si>
    <t>UVEYE LTD</t>
  </si>
  <si>
    <t>514234202</t>
  </si>
  <si>
    <t>62018262</t>
  </si>
  <si>
    <t>18/05/2021</t>
  </si>
  <si>
    <t>26/12/2022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</si>
  <si>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</si>
  <si>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</si>
  <si>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</si>
  <si>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</si>
  <si>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</si>
  <si>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</si>
  <si>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</si>
  <si>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</si>
  <si>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19/02/2025</t>
  </si>
  <si>
    <t>מניבים קרן הריט החדשה בע"מ</t>
  </si>
  <si>
    <t>515327120</t>
  </si>
  <si>
    <t>מניבים ניהול הר</t>
  </si>
  <si>
    <t>36475</t>
  </si>
  <si>
    <t>03/11/2015</t>
  </si>
  <si>
    <t>05/03/2025</t>
  </si>
  <si>
    <t>Sunbit Inc</t>
  </si>
  <si>
    <t>89324</t>
  </si>
  <si>
    <t>SUNBIT</t>
  </si>
  <si>
    <t>62018403</t>
  </si>
  <si>
    <t>03/06/2021</t>
  </si>
  <si>
    <t>31/12/2023</t>
  </si>
  <si>
    <t>Rapyd financial network 2016 ltd</t>
  </si>
  <si>
    <t>28595</t>
  </si>
  <si>
    <t>TARGET GLOBAL -FLUORINE (RAPYD</t>
  </si>
  <si>
    <t>62018115</t>
  </si>
  <si>
    <t>03/07/2022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</si>
  <si>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</si>
  <si>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</si>
  <si>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</si>
  <si>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</si>
  <si>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</si>
  <si>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</si>
  <si>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</si>
  <si>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</si>
  <si>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</si>
  <si>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</si>
  <si>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</si>
  <si>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</si>
  <si>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</si>
  <si>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</si>
  <si>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</si>
  <si>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</si>
  <si>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</si>
  <si>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</si>
  <si>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</si>
  <si>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</si>
  <si>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</si>
  <si>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</si>
  <si>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</si>
  <si>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</si>
  <si>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</si>
  <si>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</si>
  <si>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</si>
  <si>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</si>
  <si>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</si>
  <si>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</si>
  <si>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</si>
  <si>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</si>
  <si>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</si>
  <si>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</si>
  <si>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</si>
  <si>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</si>
  <si>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</si>
  <si>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</si>
  <si>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</si>
  <si>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</si>
  <si>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</si>
  <si>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</si>
  <si>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</si>
  <si>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</si>
  <si>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</si>
  <si>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</si>
  <si>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</si>
  <si>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</si>
  <si>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</si>
  <si>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</si>
  <si>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</si>
  <si>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</si>
  <si>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</si>
  <si>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R/S</t>
  </si>
  <si>
    <t>30/06/2024</t>
  </si>
  <si>
    <t>גלובל פיננס ג'י.אר 8 בע"מ</t>
  </si>
  <si>
    <t>513739466</t>
  </si>
  <si>
    <t>גלובל פינס גיאר 8 סד  ה 2019</t>
  </si>
  <si>
    <t>32003</t>
  </si>
  <si>
    <t>19/01/2019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</si>
  <si>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</si>
  <si>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</si>
  <si>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</si>
  <si>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</si>
  <si>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</si>
  <si>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</si>
  <si>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</si>
  <si>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</si>
  <si>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</si>
  <si>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</si>
  <si>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</si>
  <si>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</si>
  <si>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</si>
  <si>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</si>
  <si>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12-591</t>
  </si>
  <si>
    <t>NA</t>
  </si>
  <si>
    <t>SOFR-1.5%</t>
  </si>
  <si>
    <t>cboe</t>
  </si>
  <si>
    <t>לכל מטרה</t>
  </si>
  <si>
    <t>מרווח הוגן</t>
  </si>
  <si>
    <t>פומבדיתא 4 תל אביב</t>
  </si>
  <si>
    <t xml:space="preserve">יצחק בן נוב, שמאי מקרקעין </t>
  </si>
  <si>
    <t>Gatewood Capital GP LLC</t>
  </si>
  <si>
    <t>47-4190465</t>
  </si>
  <si>
    <t>[GATEWOOD FUND (IBI)</t>
  </si>
  <si>
    <t xml:space="preserve">Alto Fund III GP, LLC  </t>
  </si>
  <si>
    <t>81-4386819</t>
  </si>
  <si>
    <t>ALTO III</t>
  </si>
  <si>
    <t>AMI GP L.P. Inc</t>
  </si>
  <si>
    <t>AMI OPPORTUNIT</t>
  </si>
  <si>
    <t>ARKIN BIO CAPITAL, LIMITED PARTNERSHIP</t>
  </si>
  <si>
    <t>Avenue Global Dislocation Opportunities GenPar, LLC,</t>
  </si>
  <si>
    <t>Bain Capital Distressed and Special Situations 2019 Investors, LLC</t>
  </si>
  <si>
    <t xml:space="preserve">98-1467575 </t>
  </si>
  <si>
    <t>Coller Credit Opportunities I General Partner, L.P.</t>
  </si>
  <si>
    <t>Crossroads Real Estate Partners II S.à r.l.</t>
  </si>
  <si>
    <t>B234123</t>
  </si>
  <si>
    <t>HarbourVest GP LLC</t>
  </si>
  <si>
    <t>801-53287</t>
  </si>
  <si>
    <t>Dover Street XI L.P. Dover Street XI L.P</t>
  </si>
  <si>
    <t>Electra America Hospitality AKA LLC</t>
  </si>
  <si>
    <t>86-3690594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</si>
  <si>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</si>
  <si>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</si>
  <si>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</si>
  <si>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</si>
  <si>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B243962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</si>
  <si>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</si>
  <si>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</si>
  <si>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</si>
  <si>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</si>
  <si>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</si>
  <si>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</si>
  <si>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</si>
  <si>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</si>
  <si>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</si>
  <si>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</si>
  <si>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</si>
  <si>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</si>
  <si>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</si>
  <si>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CO – 121764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</si>
  <si>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</si>
  <si>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</si>
  <si>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</si>
  <si>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</si>
  <si>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</si>
  <si>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</si>
  <si>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Pantheon PGIF IV GP (LUX) S.à r.l</t>
  </si>
  <si>
    <t>B 283012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</si>
  <si>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</si>
  <si>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</si>
  <si>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</si>
  <si>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</si>
  <si>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</si>
  <si>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</si>
  <si>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</si>
  <si>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</si>
  <si>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</si>
  <si>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RN157039</t>
  </si>
  <si>
    <t>Target Global Growth II GP S.à r.l.</t>
  </si>
  <si>
    <t>B241115</t>
  </si>
  <si>
    <t>Vertex Venturs Partners LTD</t>
  </si>
  <si>
    <t>Vestar Capital Partners GP</t>
  </si>
  <si>
    <t>549300WW8RO3OMLV4Z13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</si>
  <si>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</si>
  <si>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</si>
  <si>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</si>
  <si>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</si>
  <si>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</si>
  <si>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</si>
  <si>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</si>
  <si>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</si>
  <si>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</si>
  <si>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</si>
  <si>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</si>
  <si>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</si>
  <si>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</si>
  <si>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</si>
  <si>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Alpha Value Fund</t>
  </si>
  <si>
    <t>Alpha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</si>
</sst>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0.0000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0" fillId="0" borderId="0" xfId="0" applyNumberFormat="1" applyAlignment="1">
      <alignment horizontal="center"/>
    </xf>
    <xf numFmtId="168" fontId="2" fillId="0" borderId="0" xfId="0" applyNumberFormat="1" applyFont="1"/>
    <xf numFmtId="49" fontId="3" fillId="0" borderId="0" xfId="0" applyNumberFormat="1" applyFont="1" applyProtection="1">
      <protection locked="0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49" fontId="0" fillId="0" borderId="0" xfId="0" applyNumberForma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Protection="1">
      <protection locked="0"/>
    </xf>
    <xf numFmtId="0" fontId="2" fillId="0" borderId="0" xfId="0" applyFont="1"/>
    <xf numFmtId="164" fontId="0" fillId="0" borderId="0" xfId="0" applyNumberFormat="1"/>
    <xf numFmtId="166" fontId="0" fillId="0" borderId="0" xfId="4" applyNumberFormat="1" applyFont="1"/>
    <xf numFmtId="0" fontId="0" fillId="0" borderId="0" xfId="0" applyAlignment="1">
      <alignment horizontal="center"/>
    </xf>
    <xf numFmtId="2" fontId="2" fillId="0" borderId="0" xfId="0" applyNumberFormat="1" applyFont="1"/>
    <xf numFmtId="14" fontId="4" fillId="0" borderId="0" xfId="0" applyNumberFormat="1" applyFont="1" applyFill="1" applyBorder="1" applyProtection="1">
      <protection locked="0"/>
    </xf>
    <xf numFmtId="4" fontId="0" fillId="0" borderId="0" xfId="0" applyNumberFormat="1"/>
    <xf numFmtId="10" fontId="8" fillId="0" borderId="11" xfId="4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2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21" sqref="D2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0" t="s">
        <v>173</v>
      </c>
      <c r="B1" s="31"/>
      <c r="C1" s="31"/>
      <c r="D1" s="31"/>
    </row>
    <row r="3" spans="1:8">
      <c r="A3" t="s">
        <v>174</v>
      </c>
      <c r="D3" s="99" t="s">
        <v>175</v>
      </c>
    </row>
    <row r="5" spans="1:8">
      <c r="A5" t="s">
        <v>176</v>
      </c>
      <c r="D5" s="99" t="s">
        <v>1197</v>
      </c>
    </row>
    <row r="7" spans="1:8">
      <c r="A7" t="s">
        <v>177</v>
      </c>
      <c r="D7" s="99" t="s">
        <v>1200</v>
      </c>
    </row>
    <row r="8" spans="1:8">
      <c r="D8" s="29"/>
      <c r="E8" s="29"/>
      <c r="F8" s="29"/>
      <c r="G8" s="29"/>
      <c r="H8" s="29"/>
    </row>
    <row r="9" spans="1:8">
      <c r="A9" t="s">
        <v>178</v>
      </c>
      <c r="D9" s="99">
        <v>2025</v>
      </c>
    </row>
    <row r="11" spans="1:8">
      <c r="A11" t="s">
        <v>179</v>
      </c>
      <c r="D11" t="s">
        <v>1292</v>
      </c>
    </row>
    <row r="13" spans="1:8">
      <c r="A13" t="s">
        <v>180</v>
      </c>
      <c r="D13" s="100">
        <f>IFERROR(VLOOKUP(D11,'File Name Info'!A35:B121,2,0),"תא מחושב")</f>
        <v>570002618</v>
      </c>
    </row>
    <row r="15" spans="1:8" ht="15">
      <c r="A15" s="17" t="s">
        <v>181</v>
      </c>
      <c r="D15" s="10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570002618_gm_p_0125.xlsx</v>
      </c>
    </row>
    <row r="16" spans="1:8" ht="15">
      <c r="A16" s="17"/>
      <c r="D16" s="29"/>
      <c r="E16" s="29"/>
      <c r="F16" s="29"/>
      <c r="G16" s="29"/>
      <c r="H16" s="29"/>
    </row>
    <row r="17" spans="1:8" ht="15">
      <c r="A17" s="17" t="s">
        <v>182</v>
      </c>
      <c r="B17" s="15" t="s">
        <v>183</v>
      </c>
      <c r="C17" s="15"/>
      <c r="D17" s="189"/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184</v>
      </c>
      <c r="C19" s="15"/>
      <c r="D19" s="189"/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185</v>
      </c>
      <c r="C21" s="15"/>
      <c r="D21" s="190"/>
    </row>
    <row r="22" spans="1:8">
      <c r="A22" s="13"/>
      <c r="B22" s="14"/>
      <c r="C22" s="14"/>
    </row>
    <row r="23" spans="1:8" ht="15">
      <c r="A23" s="17" t="s">
        <v>186</v>
      </c>
      <c r="D23" t="s">
        <v>187</v>
      </c>
    </row>
    <row r="25" spans="1:8">
      <c r="D25" s="1"/>
    </row>
    <row r="28" spans="1:8" ht="14.1" customHeight="1">
      <c r="A28" s="24"/>
      <c r="D28" s="25"/>
      <c r="E28" s="27"/>
      <c r="F28" s="27"/>
      <c r="G28" s="27"/>
      <c r="H28" s="27"/>
    </row>
    <row r="29" spans="1:8">
      <c r="D29" s="15"/>
      <c r="E29" s="15"/>
      <c r="F29" s="15"/>
      <c r="G29" s="15"/>
      <c r="H29" s="15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B32" sqref="B32"/>
    </sheetView>
  </sheetViews>
  <sheetFormatPr defaultColWidth="9" defaultRowHeight="12.75"/>
  <cols>
    <col min="1" max="1" width="42.75" style="9" customWidth="1"/>
    <col min="2" max="2" width="13" style="133" customWidth="1"/>
    <col min="3" max="3" width="12.125" style="10" customWidth="1"/>
    <col min="4" max="4" width="13" style="133" customWidth="1"/>
    <col min="5" max="5" width="13" style="138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2"/>
      <c r="B1" s="130"/>
      <c r="C1" s="101" t="s">
        <v>1170</v>
      </c>
      <c r="D1" s="134"/>
      <c r="E1" s="135"/>
    </row>
    <row r="2" spans="1:5" ht="39.75" customHeight="1">
      <c r="A2" s="42"/>
      <c r="B2" s="130" t="s">
        <v>36</v>
      </c>
      <c r="C2" s="43" t="s">
        <v>896</v>
      </c>
      <c r="D2" s="130" t="s">
        <v>22</v>
      </c>
      <c r="E2" s="135" t="s">
        <v>1171</v>
      </c>
    </row>
    <row r="3" spans="1:5">
      <c r="A3" s="45" t="s">
        <v>949</v>
      </c>
      <c r="B3" s="131">
        <f>SUM('מזומנים ושווי מזומנים'!O:O)</f>
        <v>42002.319999999992</v>
      </c>
      <c r="C3" s="46"/>
      <c r="D3" s="131">
        <f>B3+C3</f>
        <v>42002.319999999992</v>
      </c>
      <c r="E3" s="213">
        <f>SUM('מזומנים ושווי מזומנים'!O:O)/B30</f>
        <v>3.575868384652426E-2</v>
      </c>
    </row>
    <row r="4" spans="1:5">
      <c r="A4" s="45" t="s">
        <v>959</v>
      </c>
      <c r="B4" s="131">
        <f>SUM('איגרות חוב ממשלתיות'!U:U)</f>
        <v>282970.53400000004</v>
      </c>
      <c r="C4" s="46"/>
      <c r="D4" s="131">
        <f t="shared" ref="D4:D29" si="0">B4+C4</f>
        <v>282970.53400000004</v>
      </c>
      <c r="E4" s="213">
        <f>SUM('איגרות חוב ממשלתיות'!U:U)/B30</f>
        <v>0.24090702283083759</v>
      </c>
    </row>
    <row r="5" spans="1:5">
      <c r="A5" s="45" t="s">
        <v>963</v>
      </c>
      <c r="B5" s="131">
        <f>SUM('ניירות ערך מסחריים'!AD:AD)</f>
        <v>0</v>
      </c>
      <c r="C5" s="46"/>
      <c r="D5" s="131">
        <f t="shared" si="0"/>
        <v>0</v>
      </c>
      <c r="E5" s="213">
        <f>SUM('ניירות ערך מסחריים'!AD:AD)/B30</f>
        <v>0</v>
      </c>
    </row>
    <row r="6" spans="1:5">
      <c r="A6" s="45" t="s">
        <v>964</v>
      </c>
      <c r="B6" s="131">
        <f>SUM('איגרות חוב'!AD:AD)</f>
        <v>200875.79000000004</v>
      </c>
      <c r="C6" s="46"/>
      <c r="D6" s="131">
        <f t="shared" si="0"/>
        <v>200875.79000000004</v>
      </c>
      <c r="E6" s="213">
        <f>SUM('איגרות חוב'!AD:AD)/B30</f>
        <v>0.17101564549364898</v>
      </c>
    </row>
    <row r="7" spans="1:5">
      <c r="A7" s="45" t="s">
        <v>971</v>
      </c>
      <c r="B7" s="131">
        <f>SUM('מניות מבכ ויהש'!U:U)</f>
        <v>195764.23900000003</v>
      </c>
      <c r="C7" s="46"/>
      <c r="D7" s="131">
        <f t="shared" si="0"/>
        <v>195764.23900000003</v>
      </c>
      <c r="E7" s="213">
        <f>SUM('מניות מבכ ויהש'!U:U)/B30</f>
        <v>0.16666392548926862</v>
      </c>
    </row>
    <row r="8" spans="1:5">
      <c r="A8" s="45" t="s">
        <v>469</v>
      </c>
      <c r="B8" s="131">
        <f>SUM('קרנות סל'!T:T)</f>
        <v>215671.82199999999</v>
      </c>
      <c r="C8" s="46"/>
      <c r="D8" s="131">
        <f t="shared" si="0"/>
        <v>215671.82199999999</v>
      </c>
      <c r="E8" s="213">
        <f>SUM('קרנות סל'!T:T)/B30</f>
        <v>0.18361225040668838</v>
      </c>
    </row>
    <row r="9" spans="1:5">
      <c r="A9" s="45" t="s">
        <v>984</v>
      </c>
      <c r="B9" s="131">
        <f>SUM('קרנות נאמנות'!T:T)</f>
        <v>8166.5039999999999</v>
      </c>
      <c r="C9" s="46"/>
      <c r="D9" s="131">
        <f t="shared" si="0"/>
        <v>8166.5039999999999</v>
      </c>
      <c r="E9" s="213">
        <f>SUM('קרנות נאמנות'!T:T)/B30</f>
        <v>6.9525548747634844E-3</v>
      </c>
    </row>
    <row r="10" spans="1:5">
      <c r="A10" s="45" t="s">
        <v>1115</v>
      </c>
      <c r="B10" s="131">
        <f>SUM('כתבי אופציה'!W:W)</f>
        <v>221.30499999999998</v>
      </c>
      <c r="C10" s="46"/>
      <c r="D10" s="131">
        <f t="shared" si="0"/>
        <v>221.30499999999998</v>
      </c>
      <c r="E10" s="213">
        <f>SUM('כתבי אופציה'!W:W)/B30</f>
        <v>1.8840805766574446E-4</v>
      </c>
    </row>
    <row r="11" spans="1:5">
      <c r="A11" s="45" t="s">
        <v>987</v>
      </c>
      <c r="B11" s="131">
        <f>SUM(אופציות!V:V)</f>
        <v>0</v>
      </c>
      <c r="C11" s="46"/>
      <c r="D11" s="131">
        <f t="shared" si="0"/>
        <v>0</v>
      </c>
      <c r="E11" s="213">
        <f>SUM(אופציות!V:V)/B30</f>
        <v>0</v>
      </c>
    </row>
    <row r="12" spans="1:5">
      <c r="A12" s="45" t="s">
        <v>1120</v>
      </c>
      <c r="B12" s="131">
        <f>SUM('חוזים עתידיים'!R:R)</f>
        <v>-925.69000000000017</v>
      </c>
      <c r="C12" s="46"/>
      <c r="D12" s="131">
        <f t="shared" si="0"/>
        <v>-925.69000000000017</v>
      </c>
      <c r="E12" s="213">
        <f>SUM('חוזים עתידיים'!R:R)/B30</f>
        <v>-7.8808637355958085E-4</v>
      </c>
    </row>
    <row r="13" spans="1:5">
      <c r="A13" s="45" t="s">
        <v>992</v>
      </c>
      <c r="B13" s="131">
        <f>SUM('מוצרים מובנים'!Z:Z)</f>
        <v>0</v>
      </c>
      <c r="C13" s="46"/>
      <c r="D13" s="131">
        <f t="shared" si="0"/>
        <v>0</v>
      </c>
      <c r="E13" s="213">
        <f>SUM('מוצרים מובנים'!Z:Z)/B30</f>
        <v>0</v>
      </c>
    </row>
    <row r="14" spans="1:5">
      <c r="A14" s="45" t="s">
        <v>999</v>
      </c>
      <c r="B14" s="131">
        <f>SUM('לא סחיר איגרות חוב ממשלתיות'!U:U)</f>
        <v>0</v>
      </c>
      <c r="C14" s="46"/>
      <c r="D14" s="131">
        <f t="shared" si="0"/>
        <v>0</v>
      </c>
      <c r="E14" s="213">
        <f>SUM('לא סחיר איגרות חוב ממשלתיות'!U:U)/B30</f>
        <v>0</v>
      </c>
    </row>
    <row r="15" spans="1:5">
      <c r="A15" s="45" t="s">
        <v>1000</v>
      </c>
      <c r="B15" s="131">
        <f>SUM('לא סחיר איגרות חוב מיועדות'!N:N)</f>
        <v>0</v>
      </c>
      <c r="C15" s="46"/>
      <c r="D15" s="131">
        <f t="shared" si="0"/>
        <v>0</v>
      </c>
      <c r="E15" s="213">
        <f>SUM('לא סחיר איגרות חוב מיועדות'!N:N)/B30</f>
        <v>0</v>
      </c>
    </row>
    <row r="16" spans="1:5">
      <c r="A16" s="45" t="s">
        <v>1006</v>
      </c>
      <c r="B16" s="131">
        <f>SUM('אפיק השקעה מובטח תשואה'!F:F)</f>
        <v>0</v>
      </c>
      <c r="C16" s="46"/>
      <c r="D16" s="131">
        <f t="shared" si="0"/>
        <v>0</v>
      </c>
      <c r="E16" s="213">
        <f>SUM('אפיק השקעה מובטח תשואה'!F:F)/B30</f>
        <v>0</v>
      </c>
    </row>
    <row r="17" spans="1:5">
      <c r="A17" s="45" t="s">
        <v>1010</v>
      </c>
      <c r="B17" s="131">
        <f>SUM('לא סחיר ניירות ערך מסחריים'!AI:AI)</f>
        <v>0</v>
      </c>
      <c r="C17" s="46"/>
      <c r="D17" s="131">
        <f t="shared" si="0"/>
        <v>0</v>
      </c>
      <c r="E17" s="213">
        <f>SUM('לא סחיר ניירות ערך מסחריים'!AI:AI)/B30</f>
        <v>0</v>
      </c>
    </row>
    <row r="18" spans="1:5">
      <c r="A18" s="45" t="s">
        <v>1012</v>
      </c>
      <c r="B18" s="131">
        <f>SUM('לא סחיר איגרות חוב'!AG:AG)</f>
        <v>13636.619999999997</v>
      </c>
      <c r="C18" s="46"/>
      <c r="D18" s="131">
        <f t="shared" si="0"/>
        <v>13636.619999999997</v>
      </c>
      <c r="E18" s="213">
        <f>SUM('לא סחיר איגרות חוב'!AG:AG)/B30</f>
        <v>1.16095392662879E-2</v>
      </c>
    </row>
    <row r="19" spans="1:5">
      <c r="A19" s="45" t="s">
        <v>1015</v>
      </c>
      <c r="B19" s="131">
        <f>SUM('לא סחיר מניות מבכ ויהש'!X:X)</f>
        <v>17049.103000000003</v>
      </c>
      <c r="C19" s="46"/>
      <c r="D19" s="131">
        <f t="shared" si="0"/>
        <v>17049.103000000003</v>
      </c>
      <c r="E19" s="213">
        <f>SUM('לא סחיר מניות מבכ ויהש'!X:X)/B30</f>
        <v>1.4514757376350365E-2</v>
      </c>
    </row>
    <row r="20" spans="1:5">
      <c r="A20" s="45" t="s">
        <v>773</v>
      </c>
      <c r="B20" s="131">
        <f>SUM('קרנות השקעה'!W:W)</f>
        <v>161154.67400000003</v>
      </c>
      <c r="C20" s="46"/>
      <c r="D20" s="131">
        <f t="shared" si="0"/>
        <v>161154.67400000003</v>
      </c>
      <c r="E20" s="213">
        <f>SUM('קרנות השקעה'!W:W)/B30</f>
        <v>0.13719906514582253</v>
      </c>
    </row>
    <row r="21" spans="1:5">
      <c r="A21" s="45" t="s">
        <v>1131</v>
      </c>
      <c r="B21" s="131">
        <f>SUM('לא סחיר כתבי אופציה'!Z:Z)</f>
        <v>0</v>
      </c>
      <c r="C21" s="46"/>
      <c r="D21" s="131">
        <f t="shared" si="0"/>
        <v>0</v>
      </c>
      <c r="E21" s="213">
        <f>SUM('לא סחיר כתבי אופציה'!Z:Z)/B30</f>
        <v>0</v>
      </c>
    </row>
    <row r="22" spans="1:5">
      <c r="A22" s="45" t="s">
        <v>1030</v>
      </c>
      <c r="B22" s="131">
        <f>SUM('לא סחיר אופציות'!Z:Z)</f>
        <v>0</v>
      </c>
      <c r="C22" s="46"/>
      <c r="D22" s="131">
        <f t="shared" si="0"/>
        <v>0</v>
      </c>
      <c r="E22" s="213">
        <f>SUM('לא סחיר אופציות'!Z:Z)/B30</f>
        <v>0</v>
      </c>
    </row>
    <row r="23" spans="1:5">
      <c r="A23" s="45" t="s">
        <v>1039</v>
      </c>
      <c r="B23" s="131">
        <f>SUM('לא סחיר נגזרים אחרים'!R:R)</f>
        <v>-6560.2100000000009</v>
      </c>
      <c r="C23" s="46"/>
      <c r="D23" s="131">
        <f t="shared" si="0"/>
        <v>-6560.2100000000009</v>
      </c>
      <c r="E23" s="213">
        <f>SUM('לא סחיר נגזרים אחרים'!R:R)/B30</f>
        <v>-5.5850361445940839E-3</v>
      </c>
    </row>
    <row r="24" spans="1:5">
      <c r="A24" s="45" t="s">
        <v>1032</v>
      </c>
      <c r="B24" s="131">
        <f>SUM(הלוואות!AT:AT)</f>
        <v>42251.296000000002</v>
      </c>
      <c r="C24" s="46"/>
      <c r="D24" s="131">
        <f t="shared" si="0"/>
        <v>42251.296000000002</v>
      </c>
      <c r="E24" s="213">
        <f>SUM(הלוואות!AT:AT)/B30</f>
        <v>3.5970649615781114E-2</v>
      </c>
    </row>
    <row r="25" spans="1:5">
      <c r="A25" s="45" t="s">
        <v>1051</v>
      </c>
      <c r="B25" s="131">
        <f>SUM('לא סחיר מוצרים מובנים'!AB:AB)</f>
        <v>0</v>
      </c>
      <c r="C25" s="46"/>
      <c r="D25" s="131">
        <f t="shared" si="0"/>
        <v>0</v>
      </c>
      <c r="E25" s="213">
        <f>SUM('לא סחיר מוצרים מובנים'!AB:AB)/B30</f>
        <v>0</v>
      </c>
    </row>
    <row r="26" spans="1:5">
      <c r="A26" s="45" t="s">
        <v>1056</v>
      </c>
      <c r="B26" s="131">
        <f>SUM('פיקדונות מעל 3 חודשים'!T:T)</f>
        <v>0</v>
      </c>
      <c r="C26" s="46"/>
      <c r="D26" s="131">
        <f t="shared" si="0"/>
        <v>0</v>
      </c>
      <c r="E26" s="213">
        <f>SUM('פיקדונות מעל 3 חודשים'!T:T)/B30</f>
        <v>0</v>
      </c>
    </row>
    <row r="27" spans="1:5">
      <c r="A27" s="45" t="s">
        <v>1059</v>
      </c>
      <c r="B27" s="131">
        <f>SUM('זכויות מקרקעין'!S:S)</f>
        <v>5100</v>
      </c>
      <c r="C27" s="46"/>
      <c r="D27" s="131">
        <f t="shared" si="0"/>
        <v>5100</v>
      </c>
      <c r="E27" s="213">
        <f>SUM('זכויות מקרקעין'!S:S)/B30</f>
        <v>4.341886058133783E-3</v>
      </c>
    </row>
    <row r="28" spans="1:5">
      <c r="A28" s="45" t="s">
        <v>1093</v>
      </c>
      <c r="B28" s="131">
        <f>SUM('השקעה בחברות מוחזקות'!U:U)</f>
        <v>0</v>
      </c>
      <c r="C28" s="46"/>
      <c r="D28" s="131">
        <f t="shared" si="0"/>
        <v>0</v>
      </c>
      <c r="E28" s="213">
        <f>SUM('השקעה בחברות מוחזקות'!U:U)/B30</f>
        <v>0</v>
      </c>
    </row>
    <row r="29" spans="1:5">
      <c r="A29" s="45" t="s">
        <v>1061</v>
      </c>
      <c r="B29" s="131">
        <f>SUM('נכסים אחרים'!N:N)</f>
        <v>-2773.5541999999996</v>
      </c>
      <c r="C29" s="46"/>
      <c r="D29" s="131">
        <f t="shared" si="0"/>
        <v>-2773.5541999999996</v>
      </c>
      <c r="E29" s="213">
        <f>SUM('נכסים אחרים'!N:N)/B30</f>
        <v>-2.3612659436192934E-3</v>
      </c>
    </row>
    <row r="30" spans="1:5">
      <c r="A30" s="44" t="s">
        <v>1172</v>
      </c>
      <c r="B30" s="132">
        <f>IF(SUM(B3:B29)=0,0.0001,SUM(B3:B29))</f>
        <v>1174604.7528000004</v>
      </c>
      <c r="C30" s="47">
        <f t="shared" ref="C30:E30" si="1">SUM(C3:C29)</f>
        <v>0</v>
      </c>
      <c r="D30" s="132">
        <f t="shared" si="1"/>
        <v>1174604.7528000004</v>
      </c>
      <c r="E30" s="137">
        <f t="shared" si="1"/>
        <v>0.99999999999999967</v>
      </c>
    </row>
    <row r="31" spans="1:5">
      <c r="A31" s="45" t="s">
        <v>1169</v>
      </c>
      <c r="B31" s="131"/>
      <c r="C31" s="46"/>
      <c r="D31" s="131"/>
      <c r="E31" s="136"/>
    </row>
    <row r="32" spans="1:5">
      <c r="A32" s="45" t="s">
        <v>1173</v>
      </c>
      <c r="B32" s="131">
        <f>SUM('יתרות התחייבות להשקעה'!O:O)</f>
        <v>46996.612675172015</v>
      </c>
      <c r="C32" s="46"/>
      <c r="D32" s="131"/>
      <c r="E32" s="213">
        <f>B32/B30</f>
        <v>4.0010575951733879E-2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/>
  <dimension ref="A1:Q47"/>
  <sheetViews>
    <sheetView rightToLeft="1" zoomScale="70" zoomScaleNormal="70" workbookViewId="0">
      <selection activeCell="M59" sqref="M59"/>
    </sheetView>
  </sheetViews>
  <sheetFormatPr defaultColWidth="9" defaultRowHeight="14.25"/>
  <cols>
    <col min="1" max="3" width="11.625" style="2" customWidth="1"/>
    <col min="4" max="4" width="19.5" style="2" customWidth="1"/>
    <col min="5" max="5" width="11.625" style="4" customWidth="1"/>
    <col min="6" max="13" width="11.625" style="2" customWidth="1"/>
    <col min="14" max="14" width="11.625" style="141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165</v>
      </c>
      <c r="D1" s="19" t="s">
        <v>166</v>
      </c>
      <c r="E1" s="19" t="s">
        <v>167</v>
      </c>
      <c r="F1" s="19" t="s">
        <v>5</v>
      </c>
      <c r="G1" s="19" t="s">
        <v>6</v>
      </c>
      <c r="H1" s="19" t="s">
        <v>120</v>
      </c>
      <c r="I1" s="19" t="s">
        <v>169</v>
      </c>
      <c r="J1" s="19" t="s">
        <v>10</v>
      </c>
      <c r="K1" s="19" t="s">
        <v>11</v>
      </c>
      <c r="L1" s="19" t="s">
        <v>130</v>
      </c>
      <c r="M1" s="157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 hidden="1">
      <c r="A2" s="2">
        <v>337</v>
      </c>
      <c r="B2" s="2">
        <v>1405</v>
      </c>
      <c r="C2" s="2" t="s">
        <v>1174</v>
      </c>
      <c r="D2" s="2" t="s">
        <v>1175</v>
      </c>
      <c r="E2" s="4" t="s">
        <v>312</v>
      </c>
      <c r="F2" s="2" t="s">
        <v>950</v>
      </c>
      <c r="G2" s="2" t="s">
        <v>30</v>
      </c>
      <c r="H2" s="2" t="s">
        <v>134</v>
      </c>
      <c r="I2" s="2" t="s">
        <v>1176</v>
      </c>
      <c r="J2" s="2" t="s">
        <v>410</v>
      </c>
      <c r="K2" s="2" t="s">
        <v>34</v>
      </c>
      <c r="L2" s="150">
        <v>57.255000000000003</v>
      </c>
      <c r="M2" s="158">
        <v>1</v>
      </c>
      <c r="N2" s="160">
        <v>0</v>
      </c>
      <c r="O2" s="151">
        <v>57.255000000000003</v>
      </c>
      <c r="P2" s="164">
        <v>9.9715539889905794E-2</v>
      </c>
      <c r="Q2" s="164">
        <v>6.2458649675060599E-3</v>
      </c>
    </row>
    <row r="3" spans="1:17" hidden="1">
      <c r="A3" s="2">
        <v>337</v>
      </c>
      <c r="B3" s="2">
        <v>1405</v>
      </c>
      <c r="C3" s="2" t="s">
        <v>1661</v>
      </c>
      <c r="D3" s="2" t="s">
        <v>2884</v>
      </c>
      <c r="E3" s="18" t="s">
        <v>312</v>
      </c>
      <c r="F3" s="2" t="s">
        <v>952</v>
      </c>
      <c r="G3" s="2" t="s">
        <v>30</v>
      </c>
      <c r="H3" s="2" t="s">
        <v>134</v>
      </c>
      <c r="I3" s="2" t="s">
        <v>1176</v>
      </c>
      <c r="J3" s="2" t="s">
        <v>410</v>
      </c>
      <c r="K3" s="2" t="s">
        <v>84</v>
      </c>
      <c r="L3" s="151">
        <v>53.091000000000001</v>
      </c>
      <c r="M3" s="158">
        <v>3.718</v>
      </c>
      <c r="N3" s="208" t="s">
        <v>2886</v>
      </c>
      <c r="O3" s="151">
        <v>197.392</v>
      </c>
      <c r="P3" s="164">
        <v>0.34377953078951301</v>
      </c>
      <c r="Q3" s="164">
        <v>2.15332588107588E-2</v>
      </c>
    </row>
    <row r="4" spans="1:17" hidden="1">
      <c r="A4" s="2">
        <v>337</v>
      </c>
      <c r="B4" s="2">
        <v>1405</v>
      </c>
      <c r="C4" s="2" t="s">
        <v>1661</v>
      </c>
      <c r="D4" s="2" t="s">
        <v>2884</v>
      </c>
      <c r="E4" s="18" t="s">
        <v>312</v>
      </c>
      <c r="F4" s="2" t="s">
        <v>952</v>
      </c>
      <c r="G4" s="2" t="s">
        <v>30</v>
      </c>
      <c r="H4" s="2" t="s">
        <v>134</v>
      </c>
      <c r="I4" s="2" t="s">
        <v>1176</v>
      </c>
      <c r="J4" s="2" t="s">
        <v>410</v>
      </c>
      <c r="K4" s="2" t="s">
        <v>1177</v>
      </c>
      <c r="L4" s="151">
        <v>4.8540000000000001</v>
      </c>
      <c r="M4" s="158">
        <v>4.0218999999999996</v>
      </c>
      <c r="N4" s="161">
        <v>0</v>
      </c>
      <c r="O4" s="151">
        <v>19.524000000000001</v>
      </c>
      <c r="P4" s="164">
        <v>3.4002602564993399E-2</v>
      </c>
      <c r="Q4" s="164">
        <v>2.1298151160712201E-3</v>
      </c>
    </row>
    <row r="5" spans="1:17">
      <c r="A5" s="2">
        <v>337</v>
      </c>
      <c r="B5" s="2">
        <v>1405</v>
      </c>
      <c r="C5" s="2" t="s">
        <v>1661</v>
      </c>
      <c r="D5" s="2" t="s">
        <v>2884</v>
      </c>
      <c r="E5" s="18" t="s">
        <v>312</v>
      </c>
      <c r="F5" s="2" t="s">
        <v>950</v>
      </c>
      <c r="G5" s="2" t="s">
        <v>30</v>
      </c>
      <c r="H5" s="2" t="s">
        <v>134</v>
      </c>
      <c r="I5" s="2" t="s">
        <v>1176</v>
      </c>
      <c r="J5" s="2" t="s">
        <v>410</v>
      </c>
      <c r="K5" s="2" t="s">
        <v>34</v>
      </c>
      <c r="L5" s="151">
        <v>300.00700000000001</v>
      </c>
      <c r="M5" s="158">
        <v>1</v>
      </c>
      <c r="N5" s="208">
        <v>4.0300000000000002E-2</v>
      </c>
      <c r="O5" s="151">
        <v>300.00700000000001</v>
      </c>
      <c r="P5" s="164">
        <v>0.52249455919474097</v>
      </c>
      <c r="Q5" s="164">
        <v>3.2727401030873002E-2</v>
      </c>
    </row>
    <row r="6" spans="1:17" hidden="1">
      <c r="A6" s="2">
        <v>337</v>
      </c>
      <c r="B6" s="2">
        <v>1405</v>
      </c>
      <c r="C6" s="2" t="s">
        <v>1174</v>
      </c>
      <c r="D6" s="2" t="s">
        <v>1175</v>
      </c>
      <c r="E6" s="18" t="s">
        <v>312</v>
      </c>
      <c r="F6" s="2" t="s">
        <v>950</v>
      </c>
      <c r="G6" s="2" t="s">
        <v>30</v>
      </c>
      <c r="H6" s="2" t="s">
        <v>134</v>
      </c>
      <c r="I6" s="2" t="s">
        <v>1176</v>
      </c>
      <c r="J6" s="2" t="s">
        <v>410</v>
      </c>
      <c r="K6" s="2" t="s">
        <v>34</v>
      </c>
      <c r="L6" s="151">
        <v>4.0000000000000001E-3</v>
      </c>
      <c r="M6" s="158">
        <v>1</v>
      </c>
      <c r="N6" s="161">
        <v>0</v>
      </c>
      <c r="O6" s="151">
        <v>4.0000000000000001E-3</v>
      </c>
      <c r="P6" s="164">
        <v>7.7675608468609307E-6</v>
      </c>
      <c r="Q6" s="164">
        <v>4.8653536078674502E-7</v>
      </c>
    </row>
    <row r="7" spans="1:17" hidden="1">
      <c r="A7" s="2">
        <v>337</v>
      </c>
      <c r="B7" s="2">
        <v>1477</v>
      </c>
      <c r="C7" s="2" t="s">
        <v>1174</v>
      </c>
      <c r="D7" s="2" t="s">
        <v>1175</v>
      </c>
      <c r="E7" s="18" t="s">
        <v>312</v>
      </c>
      <c r="F7" s="2" t="s">
        <v>950</v>
      </c>
      <c r="G7" s="2" t="s">
        <v>30</v>
      </c>
      <c r="H7" s="2" t="s">
        <v>134</v>
      </c>
      <c r="I7" s="2" t="s">
        <v>1176</v>
      </c>
      <c r="J7" s="2" t="s">
        <v>410</v>
      </c>
      <c r="K7" s="2" t="s">
        <v>34</v>
      </c>
      <c r="L7" s="151">
        <v>530.88900000000001</v>
      </c>
      <c r="M7" s="158">
        <v>1</v>
      </c>
      <c r="N7" s="161">
        <v>0</v>
      </c>
      <c r="O7" s="151">
        <v>530.88900000000001</v>
      </c>
      <c r="P7" s="164">
        <v>0.23525293417013801</v>
      </c>
      <c r="Q7" s="164">
        <v>3.3553120234916203E-2</v>
      </c>
    </row>
    <row r="8" spans="1:17" hidden="1">
      <c r="A8" s="2">
        <v>337</v>
      </c>
      <c r="B8" s="2">
        <v>1477</v>
      </c>
      <c r="C8" s="2" t="s">
        <v>1661</v>
      </c>
      <c r="D8" s="2" t="s">
        <v>2884</v>
      </c>
      <c r="E8" s="18" t="s">
        <v>312</v>
      </c>
      <c r="F8" s="2" t="s">
        <v>952</v>
      </c>
      <c r="G8" s="2" t="s">
        <v>30</v>
      </c>
      <c r="H8" s="2" t="s">
        <v>134</v>
      </c>
      <c r="I8" s="2" t="s">
        <v>1176</v>
      </c>
      <c r="J8" s="2" t="s">
        <v>410</v>
      </c>
      <c r="K8" s="2" t="s">
        <v>84</v>
      </c>
      <c r="L8" s="151">
        <v>282.55</v>
      </c>
      <c r="M8" s="158">
        <v>3.718</v>
      </c>
      <c r="N8" s="208" t="s">
        <v>2886</v>
      </c>
      <c r="O8" s="151">
        <v>1050.5219999999999</v>
      </c>
      <c r="P8" s="164">
        <v>0.46551842311272101</v>
      </c>
      <c r="Q8" s="164">
        <v>6.6394902479615506E-2</v>
      </c>
    </row>
    <row r="9" spans="1:17" hidden="1">
      <c r="A9" s="2">
        <v>337</v>
      </c>
      <c r="B9" s="2">
        <v>1477</v>
      </c>
      <c r="C9" s="2" t="s">
        <v>1661</v>
      </c>
      <c r="D9" s="2" t="s">
        <v>2884</v>
      </c>
      <c r="E9" s="18" t="s">
        <v>312</v>
      </c>
      <c r="F9" s="2" t="s">
        <v>952</v>
      </c>
      <c r="G9" s="2" t="s">
        <v>30</v>
      </c>
      <c r="H9" s="2" t="s">
        <v>134</v>
      </c>
      <c r="I9" s="2" t="s">
        <v>1176</v>
      </c>
      <c r="J9" s="2" t="s">
        <v>410</v>
      </c>
      <c r="K9" s="2" t="s">
        <v>1178</v>
      </c>
      <c r="L9" s="151">
        <v>2.9159999999999999</v>
      </c>
      <c r="M9" s="158">
        <v>0.47760000000000002</v>
      </c>
      <c r="N9" s="161">
        <v>0</v>
      </c>
      <c r="O9" s="151">
        <v>1.3919999999999999</v>
      </c>
      <c r="P9" s="164">
        <v>6.1703380176503404E-4</v>
      </c>
      <c r="Q9" s="164">
        <v>8.8004893170244802E-5</v>
      </c>
    </row>
    <row r="10" spans="1:17" hidden="1">
      <c r="A10" s="2">
        <v>337</v>
      </c>
      <c r="B10" s="2">
        <v>1477</v>
      </c>
      <c r="C10" s="2" t="s">
        <v>1661</v>
      </c>
      <c r="D10" s="2" t="s">
        <v>2884</v>
      </c>
      <c r="E10" s="18" t="s">
        <v>312</v>
      </c>
      <c r="F10" s="2" t="s">
        <v>952</v>
      </c>
      <c r="G10" s="2" t="s">
        <v>30</v>
      </c>
      <c r="H10" s="2" t="s">
        <v>134</v>
      </c>
      <c r="I10" s="2" t="s">
        <v>1176</v>
      </c>
      <c r="J10" s="2" t="s">
        <v>410</v>
      </c>
      <c r="K10" s="2" t="s">
        <v>1177</v>
      </c>
      <c r="L10" s="151">
        <v>31.797999999999998</v>
      </c>
      <c r="M10" s="158">
        <v>4.0218999999999996</v>
      </c>
      <c r="N10" s="161">
        <v>0</v>
      </c>
      <c r="O10" s="151">
        <v>127.89</v>
      </c>
      <c r="P10" s="164">
        <v>5.6672035440130199E-2</v>
      </c>
      <c r="Q10" s="164">
        <v>8.0828901275463595E-3</v>
      </c>
    </row>
    <row r="11" spans="1:17" hidden="1">
      <c r="A11" s="2">
        <v>337</v>
      </c>
      <c r="B11" s="2">
        <v>1477</v>
      </c>
      <c r="C11" s="2" t="s">
        <v>1661</v>
      </c>
      <c r="D11" s="2" t="s">
        <v>2884</v>
      </c>
      <c r="E11" s="18" t="s">
        <v>312</v>
      </c>
      <c r="F11" s="2" t="s">
        <v>952</v>
      </c>
      <c r="G11" s="2" t="s">
        <v>30</v>
      </c>
      <c r="H11" s="2" t="s">
        <v>134</v>
      </c>
      <c r="I11" s="2" t="s">
        <v>1176</v>
      </c>
      <c r="J11" s="2" t="s">
        <v>410</v>
      </c>
      <c r="K11" s="2" t="s">
        <v>1179</v>
      </c>
      <c r="L11" s="151">
        <v>88.168000000000006</v>
      </c>
      <c r="M11" s="158">
        <v>2.4892999999999998E-2</v>
      </c>
      <c r="N11" s="161">
        <v>0</v>
      </c>
      <c r="O11" s="151">
        <v>2.1949999999999998</v>
      </c>
      <c r="P11" s="164">
        <v>9.7257132472107E-4</v>
      </c>
      <c r="Q11" s="164">
        <v>1.3871369005666599E-4</v>
      </c>
    </row>
    <row r="12" spans="1:17" hidden="1">
      <c r="A12" s="2">
        <v>337</v>
      </c>
      <c r="B12" s="2">
        <v>1477</v>
      </c>
      <c r="C12" s="2" t="s">
        <v>1661</v>
      </c>
      <c r="D12" s="2" t="s">
        <v>2884</v>
      </c>
      <c r="E12" s="18" t="s">
        <v>312</v>
      </c>
      <c r="F12" s="2" t="s">
        <v>952</v>
      </c>
      <c r="G12" s="2" t="s">
        <v>30</v>
      </c>
      <c r="H12" s="2" t="s">
        <v>134</v>
      </c>
      <c r="I12" s="2" t="s">
        <v>1176</v>
      </c>
      <c r="J12" s="2" t="s">
        <v>410</v>
      </c>
      <c r="K12" s="2" t="s">
        <v>1180</v>
      </c>
      <c r="L12" s="151">
        <v>0.45600000000000002</v>
      </c>
      <c r="M12" s="158">
        <v>4.8108000000000004</v>
      </c>
      <c r="N12" s="161">
        <v>0</v>
      </c>
      <c r="O12" s="151">
        <v>2.1930000000000001</v>
      </c>
      <c r="P12" s="164">
        <v>9.7172252723903905E-4</v>
      </c>
      <c r="Q12" s="164">
        <v>1.38592629700628E-4</v>
      </c>
    </row>
    <row r="13" spans="1:17">
      <c r="A13" s="2">
        <v>337</v>
      </c>
      <c r="B13" s="2">
        <v>1477</v>
      </c>
      <c r="C13" s="2" t="s">
        <v>1661</v>
      </c>
      <c r="D13" s="2" t="s">
        <v>2884</v>
      </c>
      <c r="E13" s="18" t="s">
        <v>312</v>
      </c>
      <c r="F13" s="2" t="s">
        <v>950</v>
      </c>
      <c r="G13" s="2" t="s">
        <v>30</v>
      </c>
      <c r="H13" s="2" t="s">
        <v>134</v>
      </c>
      <c r="I13" s="2" t="s">
        <v>1176</v>
      </c>
      <c r="J13" s="2" t="s">
        <v>410</v>
      </c>
      <c r="K13" s="2" t="s">
        <v>34</v>
      </c>
      <c r="L13" s="151">
        <v>535.846</v>
      </c>
      <c r="M13" s="158">
        <v>1</v>
      </c>
      <c r="N13" s="208">
        <v>4.0300000000000002E-2</v>
      </c>
      <c r="O13" s="151">
        <v>535.846</v>
      </c>
      <c r="P13" s="164">
        <v>0.237449779953877</v>
      </c>
      <c r="Q13" s="164">
        <v>3.3866446956979802E-2</v>
      </c>
    </row>
    <row r="14" spans="1:17">
      <c r="A14" s="2">
        <v>337</v>
      </c>
      <c r="B14" s="2">
        <v>1477</v>
      </c>
      <c r="C14" s="2" t="s">
        <v>1661</v>
      </c>
      <c r="D14" s="2" t="s">
        <v>2884</v>
      </c>
      <c r="E14" s="18" t="s">
        <v>312</v>
      </c>
      <c r="F14" s="2" t="s">
        <v>953</v>
      </c>
      <c r="G14" s="2" t="s">
        <v>30</v>
      </c>
      <c r="H14" s="2" t="s">
        <v>134</v>
      </c>
      <c r="I14" s="2" t="s">
        <v>1176</v>
      </c>
      <c r="J14" s="2" t="s">
        <v>410</v>
      </c>
      <c r="K14" s="2" t="s">
        <v>34</v>
      </c>
      <c r="L14" s="151">
        <v>0.23699999999999999</v>
      </c>
      <c r="M14" s="158">
        <v>1</v>
      </c>
      <c r="N14" s="208">
        <v>4.0300000000000002E-2</v>
      </c>
      <c r="O14" s="151">
        <v>0.23699999999999999</v>
      </c>
      <c r="P14" s="164">
        <v>1.05075091827488E-4</v>
      </c>
      <c r="Q14" s="164">
        <v>1.49864111247718E-5</v>
      </c>
    </row>
    <row r="15" spans="1:17" hidden="1">
      <c r="A15" s="2">
        <v>337</v>
      </c>
      <c r="B15" s="2">
        <v>1477</v>
      </c>
      <c r="C15" s="2" t="s">
        <v>1661</v>
      </c>
      <c r="D15" s="2" t="s">
        <v>2884</v>
      </c>
      <c r="E15" s="18" t="s">
        <v>312</v>
      </c>
      <c r="F15" s="2" t="s">
        <v>952</v>
      </c>
      <c r="G15" s="2" t="s">
        <v>30</v>
      </c>
      <c r="H15" s="2" t="s">
        <v>134</v>
      </c>
      <c r="I15" s="2" t="s">
        <v>1176</v>
      </c>
      <c r="J15" s="2" t="s">
        <v>410</v>
      </c>
      <c r="K15" s="2" t="s">
        <v>1181</v>
      </c>
      <c r="L15" s="151">
        <v>1.306</v>
      </c>
      <c r="M15" s="158">
        <v>4.2171000000000003</v>
      </c>
      <c r="N15" s="161">
        <v>0</v>
      </c>
      <c r="O15" s="151">
        <v>5.5069999999999997</v>
      </c>
      <c r="P15" s="164">
        <v>2.44042457758099E-3</v>
      </c>
      <c r="Q15" s="164">
        <v>3.4806732406831502E-4</v>
      </c>
    </row>
    <row r="16" spans="1:17" hidden="1">
      <c r="A16" s="2">
        <v>337</v>
      </c>
      <c r="B16" s="2">
        <v>9962</v>
      </c>
      <c r="C16" s="2" t="s">
        <v>1174</v>
      </c>
      <c r="D16" s="2" t="s">
        <v>1175</v>
      </c>
      <c r="E16" s="18" t="s">
        <v>312</v>
      </c>
      <c r="F16" s="2" t="s">
        <v>950</v>
      </c>
      <c r="G16" s="2" t="s">
        <v>30</v>
      </c>
      <c r="H16" s="2" t="s">
        <v>134</v>
      </c>
      <c r="I16" s="2" t="s">
        <v>1176</v>
      </c>
      <c r="J16" s="2" t="s">
        <v>410</v>
      </c>
      <c r="K16" s="2" t="s">
        <v>34</v>
      </c>
      <c r="L16" s="151">
        <v>151.35400000000001</v>
      </c>
      <c r="M16" s="158">
        <v>1</v>
      </c>
      <c r="N16" s="161">
        <v>0</v>
      </c>
      <c r="O16" s="151">
        <v>151.35400000000001</v>
      </c>
      <c r="P16" s="164">
        <v>7.7504855827316393E-2</v>
      </c>
      <c r="Q16" s="164">
        <v>3.9542007246726896E-3</v>
      </c>
    </row>
    <row r="17" spans="1:17" hidden="1">
      <c r="A17" s="2">
        <v>337</v>
      </c>
      <c r="B17" s="2">
        <v>9962</v>
      </c>
      <c r="C17" s="2" t="s">
        <v>1661</v>
      </c>
      <c r="D17" s="2" t="s">
        <v>2884</v>
      </c>
      <c r="E17" s="18" t="s">
        <v>312</v>
      </c>
      <c r="F17" s="2" t="s">
        <v>952</v>
      </c>
      <c r="G17" s="2" t="s">
        <v>30</v>
      </c>
      <c r="H17" s="2" t="s">
        <v>134</v>
      </c>
      <c r="I17" s="2" t="s">
        <v>1176</v>
      </c>
      <c r="J17" s="2" t="s">
        <v>410</v>
      </c>
      <c r="K17" s="2" t="s">
        <v>84</v>
      </c>
      <c r="L17" s="151">
        <v>28.283000000000001</v>
      </c>
      <c r="M17" s="158">
        <v>3.718</v>
      </c>
      <c r="N17" s="208" t="s">
        <v>2886</v>
      </c>
      <c r="O17" s="151">
        <v>105.155</v>
      </c>
      <c r="P17" s="164">
        <v>5.3847555699835598E-2</v>
      </c>
      <c r="Q17" s="164">
        <v>2.7472348860895302E-3</v>
      </c>
    </row>
    <row r="18" spans="1:17" hidden="1">
      <c r="A18" s="2">
        <v>337</v>
      </c>
      <c r="B18" s="2">
        <v>9962</v>
      </c>
      <c r="C18" s="2" t="s">
        <v>1661</v>
      </c>
      <c r="D18" s="2" t="s">
        <v>2884</v>
      </c>
      <c r="E18" s="18" t="s">
        <v>312</v>
      </c>
      <c r="F18" s="2" t="s">
        <v>952</v>
      </c>
      <c r="G18" s="2" t="s">
        <v>30</v>
      </c>
      <c r="H18" s="2" t="s">
        <v>134</v>
      </c>
      <c r="I18" s="2" t="s">
        <v>1176</v>
      </c>
      <c r="J18" s="2" t="s">
        <v>410</v>
      </c>
      <c r="K18" s="2" t="s">
        <v>1178</v>
      </c>
      <c r="L18" s="151">
        <v>0.90800000000000003</v>
      </c>
      <c r="M18" s="158">
        <v>0.47760000000000002</v>
      </c>
      <c r="N18" s="161">
        <v>0</v>
      </c>
      <c r="O18" s="151">
        <v>0.434</v>
      </c>
      <c r="P18" s="164">
        <v>2.2200114443932499E-4</v>
      </c>
      <c r="Q18" s="164">
        <v>1.13262204909586E-5</v>
      </c>
    </row>
    <row r="19" spans="1:17" hidden="1">
      <c r="A19" s="2">
        <v>337</v>
      </c>
      <c r="B19" s="2">
        <v>9962</v>
      </c>
      <c r="C19" s="2" t="s">
        <v>1661</v>
      </c>
      <c r="D19" s="2" t="s">
        <v>2884</v>
      </c>
      <c r="E19" s="18" t="s">
        <v>312</v>
      </c>
      <c r="F19" s="2" t="s">
        <v>952</v>
      </c>
      <c r="G19" s="2" t="s">
        <v>30</v>
      </c>
      <c r="H19" s="2" t="s">
        <v>134</v>
      </c>
      <c r="I19" s="2" t="s">
        <v>1176</v>
      </c>
      <c r="J19" s="2" t="s">
        <v>410</v>
      </c>
      <c r="K19" s="2" t="s">
        <v>1177</v>
      </c>
      <c r="L19" s="151">
        <v>19.324000000000002</v>
      </c>
      <c r="M19" s="158">
        <v>4.0218999999999996</v>
      </c>
      <c r="N19" s="161">
        <v>0</v>
      </c>
      <c r="O19" s="151">
        <v>77.718999999999994</v>
      </c>
      <c r="P19" s="164">
        <v>3.9797847320945601E-2</v>
      </c>
      <c r="Q19" s="164">
        <v>2.0304363518528299E-3</v>
      </c>
    </row>
    <row r="20" spans="1:17" hidden="1">
      <c r="A20" s="2">
        <v>337</v>
      </c>
      <c r="B20" s="2">
        <v>9962</v>
      </c>
      <c r="C20" s="2" t="s">
        <v>1661</v>
      </c>
      <c r="D20" s="2" t="s">
        <v>2884</v>
      </c>
      <c r="E20" s="18" t="s">
        <v>312</v>
      </c>
      <c r="F20" s="2" t="s">
        <v>952</v>
      </c>
      <c r="G20" s="2" t="s">
        <v>30</v>
      </c>
      <c r="H20" s="2" t="s">
        <v>134</v>
      </c>
      <c r="I20" s="2" t="s">
        <v>1176</v>
      </c>
      <c r="J20" s="2" t="s">
        <v>410</v>
      </c>
      <c r="K20" s="2" t="s">
        <v>1179</v>
      </c>
      <c r="L20" s="151">
        <v>99.373000000000005</v>
      </c>
      <c r="M20" s="158">
        <v>2.4892999999999998E-2</v>
      </c>
      <c r="N20" s="161">
        <v>0</v>
      </c>
      <c r="O20" s="151">
        <v>2.4740000000000002</v>
      </c>
      <c r="P20" s="164">
        <v>1.2667233048510201E-3</v>
      </c>
      <c r="Q20" s="164">
        <v>6.4626637344654294E-5</v>
      </c>
    </row>
    <row r="21" spans="1:17" hidden="1">
      <c r="A21" s="2">
        <v>337</v>
      </c>
      <c r="B21" s="2">
        <v>9962</v>
      </c>
      <c r="C21" s="2" t="s">
        <v>1661</v>
      </c>
      <c r="D21" s="2" t="s">
        <v>2884</v>
      </c>
      <c r="E21" s="4" t="s">
        <v>312</v>
      </c>
      <c r="F21" s="2" t="s">
        <v>952</v>
      </c>
      <c r="G21" s="2" t="s">
        <v>30</v>
      </c>
      <c r="H21" s="2" t="s">
        <v>134</v>
      </c>
      <c r="I21" s="2" t="s">
        <v>1176</v>
      </c>
      <c r="J21" s="2" t="s">
        <v>410</v>
      </c>
      <c r="K21" s="2" t="s">
        <v>1180</v>
      </c>
      <c r="L21" s="151">
        <v>0.55600000000000005</v>
      </c>
      <c r="M21" s="158">
        <v>4.8108000000000004</v>
      </c>
      <c r="N21" s="162">
        <v>0</v>
      </c>
      <c r="O21" s="151">
        <v>2.6760000000000002</v>
      </c>
      <c r="P21" s="164">
        <v>1.3704170763769201E-3</v>
      </c>
      <c r="Q21" s="164">
        <v>6.9916963765302196E-5</v>
      </c>
    </row>
    <row r="22" spans="1:17">
      <c r="A22" s="2">
        <v>337</v>
      </c>
      <c r="B22" s="2">
        <v>9962</v>
      </c>
      <c r="C22" s="2" t="s">
        <v>1661</v>
      </c>
      <c r="D22" s="2" t="s">
        <v>2884</v>
      </c>
      <c r="E22" s="4" t="s">
        <v>312</v>
      </c>
      <c r="F22" s="2" t="s">
        <v>950</v>
      </c>
      <c r="G22" s="2" t="s">
        <v>30</v>
      </c>
      <c r="H22" s="2" t="s">
        <v>134</v>
      </c>
      <c r="I22" s="2" t="s">
        <v>1176</v>
      </c>
      <c r="J22" s="2" t="s">
        <v>410</v>
      </c>
      <c r="K22" s="2" t="s">
        <v>34</v>
      </c>
      <c r="L22" s="151">
        <v>1601.905</v>
      </c>
      <c r="M22" s="158">
        <v>1</v>
      </c>
      <c r="N22" s="208">
        <v>4.0300000000000002E-2</v>
      </c>
      <c r="O22" s="151">
        <v>1601.905</v>
      </c>
      <c r="P22" s="164">
        <v>0.82029651852169405</v>
      </c>
      <c r="Q22" s="164">
        <v>4.1850501537759897E-2</v>
      </c>
    </row>
    <row r="23" spans="1:17" hidden="1">
      <c r="A23" s="2">
        <v>337</v>
      </c>
      <c r="B23" s="2">
        <v>9962</v>
      </c>
      <c r="C23" s="2" t="s">
        <v>1661</v>
      </c>
      <c r="D23" s="2" t="s">
        <v>2884</v>
      </c>
      <c r="E23" s="4" t="s">
        <v>312</v>
      </c>
      <c r="F23" s="2" t="s">
        <v>952</v>
      </c>
      <c r="G23" s="2" t="s">
        <v>30</v>
      </c>
      <c r="H23" s="2" t="s">
        <v>134</v>
      </c>
      <c r="I23" s="2" t="s">
        <v>1176</v>
      </c>
      <c r="J23" s="2" t="s">
        <v>410</v>
      </c>
      <c r="K23" s="2" t="s">
        <v>1181</v>
      </c>
      <c r="L23" s="151">
        <v>2.637</v>
      </c>
      <c r="M23" s="158">
        <v>4.2171000000000003</v>
      </c>
      <c r="N23" s="162">
        <v>0</v>
      </c>
      <c r="O23" s="151">
        <v>11.12</v>
      </c>
      <c r="P23" s="164">
        <v>5.6940811045412603E-3</v>
      </c>
      <c r="Q23" s="164">
        <v>2.9050489017214002E-4</v>
      </c>
    </row>
    <row r="24" spans="1:17" hidden="1">
      <c r="A24" s="2">
        <v>337</v>
      </c>
      <c r="B24" s="2">
        <v>9963</v>
      </c>
      <c r="C24" s="2" t="s">
        <v>1174</v>
      </c>
      <c r="D24" s="2" t="s">
        <v>1175</v>
      </c>
      <c r="E24" s="4" t="s">
        <v>312</v>
      </c>
      <c r="F24" s="2" t="s">
        <v>950</v>
      </c>
      <c r="G24" s="2" t="s">
        <v>30</v>
      </c>
      <c r="H24" s="2" t="s">
        <v>134</v>
      </c>
      <c r="I24" s="2" t="s">
        <v>1176</v>
      </c>
      <c r="J24" s="2" t="s">
        <v>410</v>
      </c>
      <c r="K24" s="2" t="s">
        <v>34</v>
      </c>
      <c r="L24" s="151">
        <v>941.00599999999997</v>
      </c>
      <c r="M24" s="158">
        <v>1</v>
      </c>
      <c r="N24" s="162">
        <v>0</v>
      </c>
      <c r="O24" s="151">
        <v>941.00599999999997</v>
      </c>
      <c r="P24" s="164">
        <v>2.6735966542342001E-2</v>
      </c>
      <c r="Q24" s="164">
        <v>8.7533374790889297E-4</v>
      </c>
    </row>
    <row r="25" spans="1:17" hidden="1">
      <c r="A25" s="2">
        <v>337</v>
      </c>
      <c r="B25" s="2">
        <v>9963</v>
      </c>
      <c r="C25" s="2" t="s">
        <v>1661</v>
      </c>
      <c r="D25" s="2" t="s">
        <v>2884</v>
      </c>
      <c r="E25" s="4" t="s">
        <v>312</v>
      </c>
      <c r="F25" s="2" t="s">
        <v>952</v>
      </c>
      <c r="G25" s="2" t="s">
        <v>30</v>
      </c>
      <c r="H25" s="2" t="s">
        <v>134</v>
      </c>
      <c r="I25" s="2" t="s">
        <v>1176</v>
      </c>
      <c r="J25" s="2" t="s">
        <v>410</v>
      </c>
      <c r="K25" s="2" t="s">
        <v>84</v>
      </c>
      <c r="L25" s="151">
        <v>1398.3109999999999</v>
      </c>
      <c r="M25" s="158">
        <v>3.718</v>
      </c>
      <c r="N25" s="208" t="s">
        <v>2886</v>
      </c>
      <c r="O25" s="151">
        <v>5198.92</v>
      </c>
      <c r="P25" s="164">
        <v>0.14771229999063401</v>
      </c>
      <c r="Q25" s="164">
        <v>4.8360907752586597E-3</v>
      </c>
    </row>
    <row r="26" spans="1:17" hidden="1">
      <c r="A26" s="2">
        <v>337</v>
      </c>
      <c r="B26" s="2">
        <v>9963</v>
      </c>
      <c r="C26" s="2" t="s">
        <v>1661</v>
      </c>
      <c r="D26" s="2" t="s">
        <v>2884</v>
      </c>
      <c r="E26" s="4" t="s">
        <v>312</v>
      </c>
      <c r="F26" s="2" t="s">
        <v>952</v>
      </c>
      <c r="G26" s="2" t="s">
        <v>30</v>
      </c>
      <c r="H26" s="2" t="s">
        <v>134</v>
      </c>
      <c r="I26" s="2" t="s">
        <v>1176</v>
      </c>
      <c r="J26" s="2" t="s">
        <v>410</v>
      </c>
      <c r="K26" s="2" t="s">
        <v>1178</v>
      </c>
      <c r="L26" s="151">
        <v>87.459000000000003</v>
      </c>
      <c r="M26" s="158">
        <v>0.47760000000000002</v>
      </c>
      <c r="N26" s="162">
        <v>0</v>
      </c>
      <c r="O26" s="151">
        <v>41.771000000000001</v>
      </c>
      <c r="P26" s="164">
        <v>1.18679096668743E-3</v>
      </c>
      <c r="Q26" s="164">
        <v>3.8855456495642597E-5</v>
      </c>
    </row>
    <row r="27" spans="1:17" hidden="1">
      <c r="A27" s="2">
        <v>337</v>
      </c>
      <c r="B27" s="2">
        <v>9963</v>
      </c>
      <c r="C27" s="2" t="s">
        <v>1661</v>
      </c>
      <c r="D27" s="2" t="s">
        <v>2884</v>
      </c>
      <c r="E27" s="4" t="s">
        <v>312</v>
      </c>
      <c r="F27" s="2" t="s">
        <v>952</v>
      </c>
      <c r="G27" s="2" t="s">
        <v>30</v>
      </c>
      <c r="H27" s="2" t="s">
        <v>134</v>
      </c>
      <c r="I27" s="2" t="s">
        <v>1176</v>
      </c>
      <c r="J27" s="2" t="s">
        <v>410</v>
      </c>
      <c r="K27" s="2" t="s">
        <v>1182</v>
      </c>
      <c r="L27" s="151">
        <v>7.4950000000000001</v>
      </c>
      <c r="M27" s="158">
        <v>2.589</v>
      </c>
      <c r="N27" s="162">
        <v>0</v>
      </c>
      <c r="O27" s="151">
        <v>19.405000000000001</v>
      </c>
      <c r="P27" s="164">
        <v>5.5134204614668599E-4</v>
      </c>
      <c r="Q27" s="164">
        <v>1.8050901540029399E-5</v>
      </c>
    </row>
    <row r="28" spans="1:17" hidden="1">
      <c r="A28" s="2">
        <v>337</v>
      </c>
      <c r="B28" s="2">
        <v>9963</v>
      </c>
      <c r="C28" s="2" t="s">
        <v>1661</v>
      </c>
      <c r="D28" s="2" t="s">
        <v>2884</v>
      </c>
      <c r="E28" s="4" t="s">
        <v>312</v>
      </c>
      <c r="F28" s="2" t="s">
        <v>952</v>
      </c>
      <c r="G28" s="2" t="s">
        <v>30</v>
      </c>
      <c r="H28" s="2" t="s">
        <v>134</v>
      </c>
      <c r="I28" s="2" t="s">
        <v>1176</v>
      </c>
      <c r="J28" s="2" t="s">
        <v>410</v>
      </c>
      <c r="K28" s="2" t="s">
        <v>1177</v>
      </c>
      <c r="L28" s="151">
        <v>1473.095</v>
      </c>
      <c r="M28" s="158">
        <v>4.0218999999999996</v>
      </c>
      <c r="N28" s="162">
        <v>0</v>
      </c>
      <c r="O28" s="151">
        <v>5924.6409999999996</v>
      </c>
      <c r="P28" s="164">
        <v>0.16833157060385801</v>
      </c>
      <c r="Q28" s="164">
        <v>5.5111643094971604E-3</v>
      </c>
    </row>
    <row r="29" spans="1:17" hidden="1">
      <c r="A29" s="2">
        <v>337</v>
      </c>
      <c r="B29" s="2">
        <v>9963</v>
      </c>
      <c r="C29" s="2" t="s">
        <v>1661</v>
      </c>
      <c r="D29" s="2" t="s">
        <v>2884</v>
      </c>
      <c r="E29" s="4" t="s">
        <v>312</v>
      </c>
      <c r="F29" s="2" t="s">
        <v>952</v>
      </c>
      <c r="G29" s="2" t="s">
        <v>30</v>
      </c>
      <c r="H29" s="2" t="s">
        <v>134</v>
      </c>
      <c r="I29" s="2" t="s">
        <v>1176</v>
      </c>
      <c r="J29" s="2" t="s">
        <v>410</v>
      </c>
      <c r="K29" s="2" t="s">
        <v>1179</v>
      </c>
      <c r="L29" s="151">
        <v>57.023000000000003</v>
      </c>
      <c r="M29" s="158">
        <v>2.4892999999999998E-2</v>
      </c>
      <c r="N29" s="162">
        <v>0</v>
      </c>
      <c r="O29" s="151">
        <v>1.419</v>
      </c>
      <c r="P29" s="164">
        <v>4.0330106939435302E-5</v>
      </c>
      <c r="Q29" s="164">
        <v>1.3204049909680199E-6</v>
      </c>
    </row>
    <row r="30" spans="1:17" hidden="1">
      <c r="A30" s="2">
        <v>337</v>
      </c>
      <c r="B30" s="2">
        <v>9963</v>
      </c>
      <c r="C30" s="2" t="s">
        <v>1661</v>
      </c>
      <c r="D30" s="2" t="s">
        <v>2884</v>
      </c>
      <c r="E30" s="4" t="s">
        <v>312</v>
      </c>
      <c r="F30" s="2" t="s">
        <v>952</v>
      </c>
      <c r="G30" s="2" t="s">
        <v>30</v>
      </c>
      <c r="H30" s="2" t="s">
        <v>134</v>
      </c>
      <c r="I30" s="2" t="s">
        <v>1176</v>
      </c>
      <c r="J30" s="2" t="s">
        <v>410</v>
      </c>
      <c r="K30" s="2" t="s">
        <v>1180</v>
      </c>
      <c r="L30" s="151">
        <v>4.4930000000000003</v>
      </c>
      <c r="M30" s="158">
        <v>4.8108000000000004</v>
      </c>
      <c r="N30" s="162">
        <v>0</v>
      </c>
      <c r="O30" s="151">
        <v>21.614000000000001</v>
      </c>
      <c r="P30" s="164">
        <v>6.1410378558350001E-4</v>
      </c>
      <c r="Q30" s="164">
        <v>2.0105716671530401E-5</v>
      </c>
    </row>
    <row r="31" spans="1:17">
      <c r="A31" s="2">
        <v>337</v>
      </c>
      <c r="B31" s="2">
        <v>9963</v>
      </c>
      <c r="C31" s="2" t="s">
        <v>1661</v>
      </c>
      <c r="D31" s="2" t="s">
        <v>2884</v>
      </c>
      <c r="E31" s="4" t="s">
        <v>312</v>
      </c>
      <c r="F31" s="2" t="s">
        <v>950</v>
      </c>
      <c r="G31" s="2" t="s">
        <v>30</v>
      </c>
      <c r="H31" s="2" t="s">
        <v>134</v>
      </c>
      <c r="I31" s="2" t="s">
        <v>1176</v>
      </c>
      <c r="J31" s="2" t="s">
        <v>410</v>
      </c>
      <c r="K31" s="2" t="s">
        <v>34</v>
      </c>
      <c r="L31" s="151">
        <v>19550.694</v>
      </c>
      <c r="M31" s="158">
        <v>1</v>
      </c>
      <c r="N31" s="208">
        <v>4.0300000000000002E-2</v>
      </c>
      <c r="O31" s="151">
        <v>19550.694</v>
      </c>
      <c r="P31" s="164">
        <v>0.55547650226039003</v>
      </c>
      <c r="Q31" s="164">
        <v>1.8186263355351898E-2</v>
      </c>
    </row>
    <row r="32" spans="1:17" hidden="1">
      <c r="A32" s="2">
        <v>337</v>
      </c>
      <c r="B32" s="2">
        <v>9963</v>
      </c>
      <c r="C32" s="2" t="s">
        <v>1661</v>
      </c>
      <c r="D32" s="2" t="s">
        <v>2884</v>
      </c>
      <c r="E32" s="4" t="s">
        <v>312</v>
      </c>
      <c r="F32" s="2" t="s">
        <v>952</v>
      </c>
      <c r="G32" s="2" t="s">
        <v>30</v>
      </c>
      <c r="H32" s="2" t="s">
        <v>134</v>
      </c>
      <c r="I32" s="2" t="s">
        <v>1176</v>
      </c>
      <c r="J32" s="2" t="s">
        <v>410</v>
      </c>
      <c r="K32" s="2" t="s">
        <v>1181</v>
      </c>
      <c r="L32" s="151">
        <v>9.4139999999999997</v>
      </c>
      <c r="M32" s="158">
        <v>4.2171000000000003</v>
      </c>
      <c r="N32" s="162">
        <v>0</v>
      </c>
      <c r="O32" s="151">
        <v>39.698999999999998</v>
      </c>
      <c r="P32" s="164">
        <v>1.1279210341531799E-3</v>
      </c>
      <c r="Q32" s="164">
        <v>3.6928058860597802E-5</v>
      </c>
    </row>
    <row r="33" spans="1:17" hidden="1">
      <c r="A33" s="2">
        <v>337</v>
      </c>
      <c r="B33" s="2">
        <v>9963</v>
      </c>
      <c r="C33" s="2" t="s">
        <v>1174</v>
      </c>
      <c r="D33" s="2" t="s">
        <v>1175</v>
      </c>
      <c r="E33" s="4" t="s">
        <v>312</v>
      </c>
      <c r="F33" s="2" t="s">
        <v>950</v>
      </c>
      <c r="G33" s="2" t="s">
        <v>30</v>
      </c>
      <c r="H33" s="2" t="s">
        <v>134</v>
      </c>
      <c r="I33" s="2" t="s">
        <v>1176</v>
      </c>
      <c r="J33" s="2" t="s">
        <v>410</v>
      </c>
      <c r="K33" s="2" t="s">
        <v>34</v>
      </c>
      <c r="L33" s="151">
        <v>3201.6370000000002</v>
      </c>
      <c r="M33" s="158">
        <v>1</v>
      </c>
      <c r="N33" s="162">
        <v>0</v>
      </c>
      <c r="O33" s="151">
        <v>3201.6370000000002</v>
      </c>
      <c r="P33" s="164">
        <v>9.0965265384016905E-2</v>
      </c>
      <c r="Q33" s="164">
        <v>2.9781966757033399E-3</v>
      </c>
    </row>
    <row r="34" spans="1:17" hidden="1">
      <c r="A34" s="2">
        <v>337</v>
      </c>
      <c r="B34" s="2">
        <v>9963</v>
      </c>
      <c r="C34" s="2" t="s">
        <v>1174</v>
      </c>
      <c r="D34" s="2" t="s">
        <v>1175</v>
      </c>
      <c r="E34" s="4" t="s">
        <v>312</v>
      </c>
      <c r="F34" s="2" t="s">
        <v>950</v>
      </c>
      <c r="G34" s="2" t="s">
        <v>30</v>
      </c>
      <c r="H34" s="2" t="s">
        <v>134</v>
      </c>
      <c r="I34" s="2" t="s">
        <v>1176</v>
      </c>
      <c r="J34" s="2" t="s">
        <v>410</v>
      </c>
      <c r="K34" s="2" t="s">
        <v>34</v>
      </c>
      <c r="L34" s="151">
        <v>247.86099999999999</v>
      </c>
      <c r="M34" s="158">
        <v>1</v>
      </c>
      <c r="N34" s="162">
        <v>0</v>
      </c>
      <c r="O34" s="151">
        <v>247.86099999999999</v>
      </c>
      <c r="P34" s="164">
        <v>7.04224258523071E-3</v>
      </c>
      <c r="Q34" s="164">
        <v>2.3056254899373599E-4</v>
      </c>
    </row>
    <row r="35" spans="1:17">
      <c r="A35" s="2">
        <v>337</v>
      </c>
      <c r="B35" s="2">
        <v>9963</v>
      </c>
      <c r="C35" s="2" t="s">
        <v>1661</v>
      </c>
      <c r="D35" s="2" t="s">
        <v>2884</v>
      </c>
      <c r="E35" s="4" t="s">
        <v>312</v>
      </c>
      <c r="F35" s="2" t="s">
        <v>950</v>
      </c>
      <c r="G35" s="2" t="s">
        <v>30</v>
      </c>
      <c r="H35" s="2" t="s">
        <v>134</v>
      </c>
      <c r="I35" s="2" t="s">
        <v>1176</v>
      </c>
      <c r="J35" s="2" t="s">
        <v>410</v>
      </c>
      <c r="K35" s="2" t="s">
        <v>34</v>
      </c>
      <c r="L35" s="151">
        <v>0</v>
      </c>
      <c r="M35" s="158">
        <v>1</v>
      </c>
      <c r="N35" s="208">
        <v>4.0300000000000002E-2</v>
      </c>
      <c r="O35" s="151">
        <v>0</v>
      </c>
      <c r="P35" s="164">
        <v>3.4094534525324105E-9</v>
      </c>
      <c r="Q35" s="164">
        <v>1.11625276916758E-10</v>
      </c>
    </row>
    <row r="36" spans="1:17" hidden="1">
      <c r="A36" s="2">
        <v>337</v>
      </c>
      <c r="B36" s="2">
        <v>9963</v>
      </c>
      <c r="C36" s="2" t="s">
        <v>1174</v>
      </c>
      <c r="D36" s="2" t="s">
        <v>1175</v>
      </c>
      <c r="E36" s="4" t="s">
        <v>312</v>
      </c>
      <c r="F36" s="2" t="s">
        <v>950</v>
      </c>
      <c r="G36" s="2" t="s">
        <v>30</v>
      </c>
      <c r="H36" s="2" t="s">
        <v>134</v>
      </c>
      <c r="I36" s="2" t="s">
        <v>1176</v>
      </c>
      <c r="J36" s="2" t="s">
        <v>410</v>
      </c>
      <c r="K36" s="2" t="s">
        <v>34</v>
      </c>
      <c r="L36" s="151">
        <v>7.59</v>
      </c>
      <c r="M36" s="158">
        <v>1</v>
      </c>
      <c r="N36" s="162">
        <v>0</v>
      </c>
      <c r="O36" s="151">
        <v>7.59</v>
      </c>
      <c r="P36" s="164">
        <v>2.15661284565364E-4</v>
      </c>
      <c r="Q36" s="164">
        <v>7.0607359639862201E-6</v>
      </c>
    </row>
    <row r="37" spans="1:17" hidden="1">
      <c r="A37" s="2">
        <v>337</v>
      </c>
      <c r="B37" s="2">
        <v>9964</v>
      </c>
      <c r="C37" s="2" t="s">
        <v>1174</v>
      </c>
      <c r="D37" s="2" t="s">
        <v>1175</v>
      </c>
      <c r="E37" s="4" t="s">
        <v>312</v>
      </c>
      <c r="F37" s="2" t="s">
        <v>950</v>
      </c>
      <c r="G37" s="2" t="s">
        <v>30</v>
      </c>
      <c r="H37" s="2" t="s">
        <v>134</v>
      </c>
      <c r="I37" s="2" t="s">
        <v>1176</v>
      </c>
      <c r="J37" s="2" t="s">
        <v>410</v>
      </c>
      <c r="K37" s="2" t="s">
        <v>34</v>
      </c>
      <c r="L37" s="151">
        <v>185.13300000000001</v>
      </c>
      <c r="M37" s="158">
        <v>1</v>
      </c>
      <c r="N37" s="162">
        <v>0</v>
      </c>
      <c r="O37" s="151">
        <v>185.13300000000001</v>
      </c>
      <c r="P37" s="164">
        <v>9.6747834766452795E-2</v>
      </c>
      <c r="Q37" s="164">
        <v>5.0418606098687098E-3</v>
      </c>
    </row>
    <row r="38" spans="1:17" hidden="1">
      <c r="A38" s="2">
        <v>337</v>
      </c>
      <c r="B38" s="2">
        <v>9964</v>
      </c>
      <c r="C38" s="2" t="s">
        <v>1661</v>
      </c>
      <c r="D38" s="2" t="s">
        <v>2884</v>
      </c>
      <c r="E38" s="4" t="s">
        <v>312</v>
      </c>
      <c r="F38" s="2" t="s">
        <v>952</v>
      </c>
      <c r="G38" s="2" t="s">
        <v>30</v>
      </c>
      <c r="H38" s="2" t="s">
        <v>134</v>
      </c>
      <c r="I38" s="2" t="s">
        <v>1176</v>
      </c>
      <c r="J38" s="2" t="s">
        <v>410</v>
      </c>
      <c r="K38" s="2" t="s">
        <v>84</v>
      </c>
      <c r="L38" s="151">
        <v>38.090000000000003</v>
      </c>
      <c r="M38" s="158">
        <v>3.718</v>
      </c>
      <c r="N38" s="208" t="s">
        <v>2886</v>
      </c>
      <c r="O38" s="151">
        <v>141.61699999999999</v>
      </c>
      <c r="P38" s="164">
        <v>7.4007173869469894E-2</v>
      </c>
      <c r="Q38" s="164">
        <v>3.8567669827539001E-3</v>
      </c>
    </row>
    <row r="39" spans="1:17" hidden="1">
      <c r="A39" s="2">
        <v>337</v>
      </c>
      <c r="B39" s="2">
        <v>9964</v>
      </c>
      <c r="C39" s="2" t="s">
        <v>1661</v>
      </c>
      <c r="D39" s="2" t="s">
        <v>2884</v>
      </c>
      <c r="E39" s="4" t="s">
        <v>312</v>
      </c>
      <c r="F39" s="2" t="s">
        <v>952</v>
      </c>
      <c r="G39" s="2" t="s">
        <v>30</v>
      </c>
      <c r="H39" s="2" t="s">
        <v>134</v>
      </c>
      <c r="I39" s="2" t="s">
        <v>1176</v>
      </c>
      <c r="J39" s="2" t="s">
        <v>410</v>
      </c>
      <c r="K39" s="2" t="s">
        <v>1178</v>
      </c>
      <c r="L39" s="151">
        <v>3.056</v>
      </c>
      <c r="M39" s="158">
        <v>0.47760000000000002</v>
      </c>
      <c r="N39" s="162">
        <v>0</v>
      </c>
      <c r="O39" s="151">
        <v>1.46</v>
      </c>
      <c r="P39" s="164">
        <v>7.62804325566645E-4</v>
      </c>
      <c r="Q39" s="164">
        <v>3.9752342689590797E-5</v>
      </c>
    </row>
    <row r="40" spans="1:17" hidden="1">
      <c r="A40" s="2">
        <v>337</v>
      </c>
      <c r="B40" s="2">
        <v>9964</v>
      </c>
      <c r="C40" s="2" t="s">
        <v>1661</v>
      </c>
      <c r="D40" s="2" t="s">
        <v>2884</v>
      </c>
      <c r="E40" s="4" t="s">
        <v>312</v>
      </c>
      <c r="F40" s="2" t="s">
        <v>952</v>
      </c>
      <c r="G40" s="2" t="s">
        <v>30</v>
      </c>
      <c r="H40" s="2" t="s">
        <v>134</v>
      </c>
      <c r="I40" s="2" t="s">
        <v>1176</v>
      </c>
      <c r="J40" s="2" t="s">
        <v>410</v>
      </c>
      <c r="K40" s="2" t="s">
        <v>1177</v>
      </c>
      <c r="L40" s="151">
        <v>27.364000000000001</v>
      </c>
      <c r="M40" s="158">
        <v>4.0218999999999996</v>
      </c>
      <c r="N40" s="162">
        <v>0</v>
      </c>
      <c r="O40" s="151">
        <v>110.056</v>
      </c>
      <c r="P40" s="164">
        <v>5.7513614017403097E-2</v>
      </c>
      <c r="Q40" s="164">
        <v>2.9972311602170002E-3</v>
      </c>
    </row>
    <row r="41" spans="1:17" hidden="1">
      <c r="A41" s="2">
        <v>337</v>
      </c>
      <c r="B41" s="2">
        <v>9964</v>
      </c>
      <c r="C41" s="2" t="s">
        <v>1661</v>
      </c>
      <c r="D41" s="2" t="s">
        <v>2884</v>
      </c>
      <c r="E41" s="4" t="s">
        <v>312</v>
      </c>
      <c r="F41" s="2" t="s">
        <v>952</v>
      </c>
      <c r="G41" s="2" t="s">
        <v>30</v>
      </c>
      <c r="H41" s="2" t="s">
        <v>134</v>
      </c>
      <c r="I41" s="2" t="s">
        <v>1176</v>
      </c>
      <c r="J41" s="2" t="s">
        <v>410</v>
      </c>
      <c r="K41" s="2" t="s">
        <v>1179</v>
      </c>
      <c r="L41" s="151">
        <v>15.502000000000001</v>
      </c>
      <c r="M41" s="158">
        <v>2.4892999999999998E-2</v>
      </c>
      <c r="N41" s="162">
        <v>0</v>
      </c>
      <c r="O41" s="151">
        <v>0.38600000000000001</v>
      </c>
      <c r="P41" s="164">
        <v>2.0166602026555299E-4</v>
      </c>
      <c r="Q41" s="164">
        <v>1.05095061443013E-5</v>
      </c>
    </row>
    <row r="42" spans="1:17" hidden="1">
      <c r="A42" s="2">
        <v>337</v>
      </c>
      <c r="B42" s="2">
        <v>9964</v>
      </c>
      <c r="C42" s="2" t="s">
        <v>1661</v>
      </c>
      <c r="D42" s="2" t="s">
        <v>2884</v>
      </c>
      <c r="E42" s="4" t="s">
        <v>312</v>
      </c>
      <c r="F42" s="2" t="s">
        <v>952</v>
      </c>
      <c r="G42" s="2" t="s">
        <v>30</v>
      </c>
      <c r="H42" s="2" t="s">
        <v>134</v>
      </c>
      <c r="I42" s="2" t="s">
        <v>1176</v>
      </c>
      <c r="J42" s="2" t="s">
        <v>410</v>
      </c>
      <c r="K42" s="2" t="s">
        <v>1180</v>
      </c>
      <c r="L42" s="151">
        <v>1.145</v>
      </c>
      <c r="M42" s="158">
        <v>4.8108000000000004</v>
      </c>
      <c r="N42" s="162">
        <v>0</v>
      </c>
      <c r="O42" s="151">
        <v>5.5069999999999997</v>
      </c>
      <c r="P42" s="164">
        <v>2.8776855184541399E-3</v>
      </c>
      <c r="Q42" s="164">
        <v>1.49966035912925E-4</v>
      </c>
    </row>
    <row r="43" spans="1:17">
      <c r="A43" s="2">
        <v>337</v>
      </c>
      <c r="B43" s="2">
        <v>9964</v>
      </c>
      <c r="C43" s="2" t="s">
        <v>1661</v>
      </c>
      <c r="D43" s="2" t="s">
        <v>2884</v>
      </c>
      <c r="E43" s="4" t="s">
        <v>312</v>
      </c>
      <c r="F43" s="2" t="s">
        <v>950</v>
      </c>
      <c r="G43" s="2" t="s">
        <v>30</v>
      </c>
      <c r="H43" s="2" t="s">
        <v>134</v>
      </c>
      <c r="I43" s="2" t="s">
        <v>1176</v>
      </c>
      <c r="J43" s="2" t="s">
        <v>410</v>
      </c>
      <c r="K43" s="2" t="s">
        <v>34</v>
      </c>
      <c r="L43" s="151">
        <v>1448.5709999999999</v>
      </c>
      <c r="M43" s="158">
        <v>1</v>
      </c>
      <c r="N43" s="208">
        <v>4.0300000000000002E-2</v>
      </c>
      <c r="O43" s="151">
        <v>1448.5709999999999</v>
      </c>
      <c r="P43" s="164">
        <v>0.75700177356411202</v>
      </c>
      <c r="Q43" s="164">
        <v>3.9449951856256799E-2</v>
      </c>
    </row>
    <row r="44" spans="1:17" hidden="1">
      <c r="A44" s="2">
        <v>337</v>
      </c>
      <c r="B44" s="2">
        <v>9964</v>
      </c>
      <c r="C44" s="2" t="s">
        <v>1661</v>
      </c>
      <c r="D44" s="2" t="s">
        <v>2884</v>
      </c>
      <c r="E44" s="4" t="s">
        <v>312</v>
      </c>
      <c r="F44" s="2" t="s">
        <v>952</v>
      </c>
      <c r="G44" s="2" t="s">
        <v>30</v>
      </c>
      <c r="H44" s="2" t="s">
        <v>134</v>
      </c>
      <c r="I44" s="2" t="s">
        <v>1176</v>
      </c>
      <c r="J44" s="2" t="s">
        <v>410</v>
      </c>
      <c r="K44" s="2" t="s">
        <v>1181</v>
      </c>
      <c r="L44" s="151">
        <v>4.9400000000000004</v>
      </c>
      <c r="M44" s="158">
        <v>4.2171000000000003</v>
      </c>
      <c r="N44" s="162">
        <v>0</v>
      </c>
      <c r="O44" s="151">
        <v>20.834</v>
      </c>
      <c r="P44" s="164">
        <v>1.0887447918276401E-2</v>
      </c>
      <c r="Q44" s="164">
        <v>5.6738215313723202E-4</v>
      </c>
    </row>
    <row r="45" spans="1:17" hidden="1">
      <c r="A45" s="2">
        <v>337</v>
      </c>
      <c r="B45" s="2">
        <v>15372</v>
      </c>
      <c r="C45" s="2" t="s">
        <v>1174</v>
      </c>
      <c r="D45" s="2" t="s">
        <v>1175</v>
      </c>
      <c r="E45" s="4" t="s">
        <v>312</v>
      </c>
      <c r="F45" s="2" t="s">
        <v>950</v>
      </c>
      <c r="G45" s="2" t="s">
        <v>30</v>
      </c>
      <c r="H45" s="2" t="s">
        <v>134</v>
      </c>
      <c r="I45" s="2" t="s">
        <v>1176</v>
      </c>
      <c r="J45" s="2" t="s">
        <v>410</v>
      </c>
      <c r="K45" s="2" t="s">
        <v>34</v>
      </c>
      <c r="L45" s="151">
        <v>20.448</v>
      </c>
      <c r="M45" s="158">
        <v>1</v>
      </c>
      <c r="N45" s="162">
        <v>0</v>
      </c>
      <c r="O45" s="151">
        <v>20.448</v>
      </c>
      <c r="P45" s="164">
        <v>0.187923210003279</v>
      </c>
      <c r="Q45" s="164">
        <v>3.3076715119807198E-3</v>
      </c>
    </row>
    <row r="46" spans="1:17" hidden="1">
      <c r="A46" s="2">
        <v>337</v>
      </c>
      <c r="B46" s="2">
        <v>15372</v>
      </c>
      <c r="C46" s="2" t="s">
        <v>1661</v>
      </c>
      <c r="D46" s="2" t="s">
        <v>2884</v>
      </c>
      <c r="E46" s="4" t="s">
        <v>312</v>
      </c>
      <c r="F46" s="2" t="s">
        <v>952</v>
      </c>
      <c r="G46" s="2" t="s">
        <v>30</v>
      </c>
      <c r="H46" s="2" t="s">
        <v>134</v>
      </c>
      <c r="I46" s="2" t="s">
        <v>1176</v>
      </c>
      <c r="J46" s="2" t="s">
        <v>410</v>
      </c>
      <c r="K46" s="2" t="s">
        <v>84</v>
      </c>
      <c r="L46" s="151">
        <v>5.2519999999999998</v>
      </c>
      <c r="M46" s="158">
        <v>3.718</v>
      </c>
      <c r="N46" s="208" t="s">
        <v>2886</v>
      </c>
      <c r="O46" s="151">
        <v>19.527999999999999</v>
      </c>
      <c r="P46" s="164">
        <v>0.17946884018905501</v>
      </c>
      <c r="Q46" s="164">
        <v>3.1588645701145601E-3</v>
      </c>
    </row>
    <row r="47" spans="1:17">
      <c r="A47" s="2">
        <v>337</v>
      </c>
      <c r="B47" s="2">
        <v>15372</v>
      </c>
      <c r="C47" s="2" t="s">
        <v>1661</v>
      </c>
      <c r="D47" s="2" t="s">
        <v>2884</v>
      </c>
      <c r="E47" s="4" t="s">
        <v>312</v>
      </c>
      <c r="F47" s="2" t="s">
        <v>950</v>
      </c>
      <c r="G47" s="2" t="s">
        <v>30</v>
      </c>
      <c r="H47" s="2" t="s">
        <v>134</v>
      </c>
      <c r="I47" s="2" t="s">
        <v>1176</v>
      </c>
      <c r="J47" s="2" t="s">
        <v>410</v>
      </c>
      <c r="K47" s="2" t="s">
        <v>34</v>
      </c>
      <c r="L47" s="151">
        <v>68.832999999999998</v>
      </c>
      <c r="M47" s="158">
        <v>1</v>
      </c>
      <c r="N47" s="208">
        <v>4.0300000000000002E-2</v>
      </c>
      <c r="O47" s="151">
        <v>68.832999999999998</v>
      </c>
      <c r="P47" s="164">
        <v>0.63260794980766599</v>
      </c>
      <c r="Q47" s="164">
        <v>1.1134650657547001E-2</v>
      </c>
    </row>
  </sheetData>
  <sheetProtection formatColumns="0"/>
  <autoFilter ref="A1:S47" xr:uid="{00000000-0001-0000-0200-000000000000}">
    <filterColumn colId="2">
      <filters>
        <filter val="פועלים"/>
      </filters>
    </filterColumn>
    <filterColumn colId="10">
      <filters>
        <filter val="ILS"/>
      </filters>
    </filterColumn>
  </autoFilter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7" zoomScale="70" zoomScaleNormal="70" workbookViewId="0">
      <selection activeCell="D1" sqref="D1:D1048576"/>
    </sheetView>
  </sheetViews>
  <sheetFormatPr defaultColWidth="9" defaultRowHeight="14.25"/>
  <cols>
    <col min="1" max="2" width="11.625" style="4" customWidth="1"/>
    <col min="3" max="3" width="25.5" style="4" customWidth="1"/>
    <col min="4" max="4" width="27.375" style="4" customWidth="1"/>
    <col min="5" max="5" width="11.625" style="4" customWidth="1"/>
    <col min="6" max="6" width="31.25" style="4" customWidth="1"/>
    <col min="7" max="8" width="11.625" style="4" customWidth="1"/>
    <col min="9" max="9" width="25.875" style="4" customWidth="1"/>
    <col min="10" max="14" width="11.625" style="4" customWidth="1"/>
    <col min="15" max="15" width="11.625" style="142" customWidth="1"/>
    <col min="16" max="17" width="11.625" style="4" customWidth="1"/>
    <col min="18" max="18" width="16.2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57" t="s">
        <v>18</v>
      </c>
      <c r="T1" s="168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>
      <c r="A2" s="18">
        <v>337</v>
      </c>
      <c r="B2" s="18">
        <v>1405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2">
        <v>0.59699999999999998</v>
      </c>
      <c r="N2" s="4" t="s">
        <v>35</v>
      </c>
      <c r="O2" s="161">
        <v>0</v>
      </c>
      <c r="P2" s="166">
        <v>4.258E-2</v>
      </c>
      <c r="R2" s="152">
        <v>150000</v>
      </c>
      <c r="S2" s="167">
        <v>1</v>
      </c>
      <c r="T2" s="169">
        <v>97.54</v>
      </c>
      <c r="U2" s="152">
        <v>146.31</v>
      </c>
      <c r="W2" s="18" t="s">
        <v>36</v>
      </c>
      <c r="X2" s="170">
        <v>1.1E-5</v>
      </c>
      <c r="Y2" s="166">
        <v>3.5778534176201998E-2</v>
      </c>
      <c r="Z2" s="166">
        <v>1.5960759784015399E-2</v>
      </c>
    </row>
    <row r="3" spans="1:26">
      <c r="A3" s="18">
        <v>337</v>
      </c>
      <c r="B3" s="18">
        <v>1405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32</v>
      </c>
      <c r="K3" s="18" t="s">
        <v>33</v>
      </c>
      <c r="L3" s="4" t="s">
        <v>34</v>
      </c>
      <c r="M3" s="152">
        <v>2.1419999999999999</v>
      </c>
      <c r="N3" s="4" t="s">
        <v>42</v>
      </c>
      <c r="O3" s="161">
        <v>7.4999999999999997E-3</v>
      </c>
      <c r="P3" s="166">
        <v>1.9449999999999999E-2</v>
      </c>
      <c r="R3" s="152">
        <v>320378</v>
      </c>
      <c r="S3" s="167">
        <v>1</v>
      </c>
      <c r="T3" s="169">
        <v>114.63</v>
      </c>
      <c r="U3" s="152">
        <v>367.24900000000002</v>
      </c>
      <c r="W3" s="18" t="s">
        <v>36</v>
      </c>
      <c r="X3" s="170">
        <v>1.2999999999999999E-5</v>
      </c>
      <c r="Y3" s="166">
        <v>8.9806859963954599E-2</v>
      </c>
      <c r="Z3" s="166">
        <v>4.0062729003436999E-2</v>
      </c>
    </row>
    <row r="4" spans="1:26">
      <c r="A4" s="18">
        <v>337</v>
      </c>
      <c r="B4" s="18">
        <v>1405</v>
      </c>
      <c r="C4" s="18" t="s">
        <v>37</v>
      </c>
      <c r="D4" s="18" t="s">
        <v>43</v>
      </c>
      <c r="E4" s="18" t="s">
        <v>44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32</v>
      </c>
      <c r="K4" s="18" t="s">
        <v>33</v>
      </c>
      <c r="L4" s="4" t="s">
        <v>34</v>
      </c>
      <c r="M4" s="152">
        <v>0.58399999999999996</v>
      </c>
      <c r="N4" s="4" t="s">
        <v>45</v>
      </c>
      <c r="O4" s="161">
        <v>7.4999999999999997E-3</v>
      </c>
      <c r="P4" s="166">
        <v>1.2359999999999999E-2</v>
      </c>
      <c r="R4" s="152">
        <v>155925</v>
      </c>
      <c r="S4" s="167">
        <v>1</v>
      </c>
      <c r="T4" s="169">
        <v>116.16</v>
      </c>
      <c r="U4" s="152">
        <v>181.12200000000001</v>
      </c>
      <c r="W4" s="18" t="s">
        <v>36</v>
      </c>
      <c r="X4" s="170">
        <v>6.9999999999999999E-6</v>
      </c>
      <c r="Y4" s="166">
        <v>4.4291551095335002E-2</v>
      </c>
      <c r="Z4" s="166">
        <v>1.9758406088203999E-2</v>
      </c>
    </row>
    <row r="5" spans="1:26">
      <c r="A5" s="18">
        <v>337</v>
      </c>
      <c r="B5" s="18">
        <v>1405</v>
      </c>
      <c r="C5" s="18" t="s">
        <v>46</v>
      </c>
      <c r="D5" s="18" t="s">
        <v>47</v>
      </c>
      <c r="E5" s="18" t="s">
        <v>48</v>
      </c>
      <c r="F5" s="18" t="s">
        <v>49</v>
      </c>
      <c r="G5" s="18" t="s">
        <v>30</v>
      </c>
      <c r="H5" s="18" t="s">
        <v>30</v>
      </c>
      <c r="I5" s="18" t="s">
        <v>41</v>
      </c>
      <c r="J5" s="18" t="s">
        <v>32</v>
      </c>
      <c r="K5" s="18" t="s">
        <v>33</v>
      </c>
      <c r="L5" s="4" t="s">
        <v>34</v>
      </c>
      <c r="M5" s="152">
        <v>3.36</v>
      </c>
      <c r="N5" s="4" t="s">
        <v>50</v>
      </c>
      <c r="O5" s="161">
        <v>2.2499999999999999E-2</v>
      </c>
      <c r="P5" s="166">
        <v>4.2610000000000002E-2</v>
      </c>
      <c r="R5" s="152">
        <v>766614</v>
      </c>
      <c r="S5" s="167">
        <v>1</v>
      </c>
      <c r="T5" s="169">
        <v>94.71</v>
      </c>
      <c r="U5" s="152">
        <v>726.06</v>
      </c>
      <c r="W5" s="18" t="s">
        <v>36</v>
      </c>
      <c r="X5" s="170">
        <v>2.1999999999999999E-5</v>
      </c>
      <c r="Y5" s="166">
        <v>0.17755017972749801</v>
      </c>
      <c r="Z5" s="166">
        <v>7.9204915279180804E-2</v>
      </c>
    </row>
    <row r="6" spans="1:26">
      <c r="A6" s="18">
        <v>337</v>
      </c>
      <c r="B6" s="18">
        <v>1405</v>
      </c>
      <c r="C6" s="18" t="s">
        <v>46</v>
      </c>
      <c r="D6" s="18" t="s">
        <v>51</v>
      </c>
      <c r="E6" s="18" t="s">
        <v>52</v>
      </c>
      <c r="F6" s="18" t="s">
        <v>49</v>
      </c>
      <c r="G6" s="18" t="s">
        <v>30</v>
      </c>
      <c r="H6" s="18" t="s">
        <v>30</v>
      </c>
      <c r="I6" s="18" t="s">
        <v>41</v>
      </c>
      <c r="J6" s="18" t="s">
        <v>32</v>
      </c>
      <c r="K6" s="18" t="s">
        <v>33</v>
      </c>
      <c r="L6" s="4" t="s">
        <v>34</v>
      </c>
      <c r="M6" s="152">
        <v>1.9770000000000001</v>
      </c>
      <c r="N6" s="4" t="s">
        <v>53</v>
      </c>
      <c r="O6" s="161">
        <v>0.02</v>
      </c>
      <c r="P6" s="166">
        <v>4.224E-2</v>
      </c>
      <c r="R6" s="152">
        <v>238045</v>
      </c>
      <c r="S6" s="167">
        <v>1</v>
      </c>
      <c r="T6" s="169">
        <v>95.83</v>
      </c>
      <c r="U6" s="152">
        <v>228.119</v>
      </c>
      <c r="W6" s="18" t="s">
        <v>36</v>
      </c>
      <c r="X6" s="170">
        <v>7.9999999999999996E-6</v>
      </c>
      <c r="Y6" s="166">
        <v>5.5783927204357098E-2</v>
      </c>
      <c r="Z6" s="166">
        <v>2.4885140837043102E-2</v>
      </c>
    </row>
    <row r="7" spans="1:26">
      <c r="A7" s="18">
        <v>337</v>
      </c>
      <c r="B7" s="18">
        <v>1405</v>
      </c>
      <c r="C7" s="18" t="s">
        <v>46</v>
      </c>
      <c r="D7" s="18" t="s">
        <v>54</v>
      </c>
      <c r="E7" s="18" t="s">
        <v>55</v>
      </c>
      <c r="F7" s="18" t="s">
        <v>49</v>
      </c>
      <c r="G7" s="18" t="s">
        <v>30</v>
      </c>
      <c r="H7" s="18" t="s">
        <v>30</v>
      </c>
      <c r="I7" s="18" t="s">
        <v>41</v>
      </c>
      <c r="J7" s="18" t="s">
        <v>32</v>
      </c>
      <c r="K7" s="18" t="s">
        <v>33</v>
      </c>
      <c r="L7" s="4" t="s">
        <v>34</v>
      </c>
      <c r="M7" s="152">
        <v>8.3979999999999997</v>
      </c>
      <c r="N7" s="4" t="s">
        <v>56</v>
      </c>
      <c r="O7" s="161">
        <v>0.04</v>
      </c>
      <c r="P7" s="166">
        <v>4.4850000000000001E-2</v>
      </c>
      <c r="R7" s="152">
        <v>210941</v>
      </c>
      <c r="S7" s="167">
        <v>1</v>
      </c>
      <c r="T7" s="169">
        <v>96.17</v>
      </c>
      <c r="U7" s="152">
        <v>202.86199999999999</v>
      </c>
      <c r="W7" s="18" t="s">
        <v>36</v>
      </c>
      <c r="X7" s="170">
        <v>6.9999999999999999E-6</v>
      </c>
      <c r="Y7" s="166">
        <v>4.9607706637808502E-2</v>
      </c>
      <c r="Z7" s="166">
        <v>2.2129936491602199E-2</v>
      </c>
    </row>
    <row r="8" spans="1:26">
      <c r="A8" s="18">
        <v>337</v>
      </c>
      <c r="B8" s="18">
        <v>1405</v>
      </c>
      <c r="C8" s="18" t="s">
        <v>46</v>
      </c>
      <c r="D8" s="18" t="s">
        <v>57</v>
      </c>
      <c r="E8" s="18" t="s">
        <v>58</v>
      </c>
      <c r="F8" s="18" t="s">
        <v>49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4" t="s">
        <v>34</v>
      </c>
      <c r="M8" s="152">
        <v>4.03</v>
      </c>
      <c r="N8" s="4" t="s">
        <v>59</v>
      </c>
      <c r="O8" s="161">
        <v>4.5999999999999999E-2</v>
      </c>
      <c r="P8" s="166">
        <v>4.267E-2</v>
      </c>
      <c r="R8" s="152">
        <v>97599</v>
      </c>
      <c r="S8" s="167">
        <v>1</v>
      </c>
      <c r="T8" s="169">
        <v>103.16</v>
      </c>
      <c r="U8" s="152">
        <v>100.68300000000001</v>
      </c>
      <c r="W8" s="18" t="s">
        <v>36</v>
      </c>
      <c r="X8" s="170">
        <v>9.0000000000000002E-6</v>
      </c>
      <c r="Y8" s="166">
        <v>2.4620974304055299E-2</v>
      </c>
      <c r="Z8" s="166">
        <v>1.0983386143773999E-2</v>
      </c>
    </row>
    <row r="9" spans="1:26">
      <c r="A9" s="18">
        <v>337</v>
      </c>
      <c r="B9" s="18">
        <v>1405</v>
      </c>
      <c r="C9" s="18" t="s">
        <v>46</v>
      </c>
      <c r="D9" s="18" t="s">
        <v>60</v>
      </c>
      <c r="E9" s="18" t="s">
        <v>61</v>
      </c>
      <c r="F9" s="18" t="s">
        <v>49</v>
      </c>
      <c r="G9" s="18" t="s">
        <v>30</v>
      </c>
      <c r="H9" s="18" t="s">
        <v>30</v>
      </c>
      <c r="I9" s="18" t="s">
        <v>41</v>
      </c>
      <c r="J9" s="18" t="s">
        <v>32</v>
      </c>
      <c r="K9" s="18" t="s">
        <v>33</v>
      </c>
      <c r="L9" s="4" t="s">
        <v>34</v>
      </c>
      <c r="M9" s="152">
        <v>11.552</v>
      </c>
      <c r="N9" s="4" t="s">
        <v>62</v>
      </c>
      <c r="O9" s="161">
        <v>5.5E-2</v>
      </c>
      <c r="P9" s="166">
        <v>4.7300000000000002E-2</v>
      </c>
      <c r="R9" s="152">
        <v>531206</v>
      </c>
      <c r="S9" s="167">
        <v>1</v>
      </c>
      <c r="T9" s="169">
        <v>109.69</v>
      </c>
      <c r="U9" s="152">
        <v>582.67999999999995</v>
      </c>
      <c r="W9" s="18" t="s">
        <v>36</v>
      </c>
      <c r="X9" s="170">
        <v>2.0000000000000002E-5</v>
      </c>
      <c r="Y9" s="166">
        <v>0.14248808239275901</v>
      </c>
      <c r="Z9" s="166">
        <v>6.3563757082829506E-2</v>
      </c>
    </row>
    <row r="10" spans="1:26">
      <c r="A10" s="18">
        <v>337</v>
      </c>
      <c r="B10" s="18">
        <v>1405</v>
      </c>
      <c r="C10" s="18" t="s">
        <v>37</v>
      </c>
      <c r="D10" s="18" t="s">
        <v>63</v>
      </c>
      <c r="E10" s="18" t="s">
        <v>64</v>
      </c>
      <c r="F10" s="18" t="s">
        <v>40</v>
      </c>
      <c r="G10" s="18" t="s">
        <v>30</v>
      </c>
      <c r="H10" s="18" t="s">
        <v>30</v>
      </c>
      <c r="I10" s="18" t="s">
        <v>41</v>
      </c>
      <c r="J10" s="18" t="s">
        <v>32</v>
      </c>
      <c r="K10" s="18" t="s">
        <v>33</v>
      </c>
      <c r="L10" s="4" t="s">
        <v>34</v>
      </c>
      <c r="M10" s="152">
        <v>1.331</v>
      </c>
      <c r="N10" s="4" t="s">
        <v>65</v>
      </c>
      <c r="O10" s="161">
        <v>1E-3</v>
      </c>
      <c r="P10" s="166">
        <v>1.9599999999999999E-2</v>
      </c>
      <c r="R10" s="152">
        <v>116422</v>
      </c>
      <c r="S10" s="167">
        <v>1</v>
      </c>
      <c r="T10" s="169">
        <v>112.95</v>
      </c>
      <c r="U10" s="152">
        <v>131.499</v>
      </c>
      <c r="W10" s="18" t="s">
        <v>36</v>
      </c>
      <c r="X10" s="170">
        <v>6.0000000000000002E-6</v>
      </c>
      <c r="Y10" s="166">
        <v>3.2156577864608599E-2</v>
      </c>
      <c r="Z10" s="166">
        <v>1.4345009559234199E-2</v>
      </c>
    </row>
    <row r="11" spans="1:26">
      <c r="A11" s="18">
        <v>337</v>
      </c>
      <c r="B11" s="18">
        <v>1405</v>
      </c>
      <c r="C11" s="18" t="s">
        <v>37</v>
      </c>
      <c r="D11" s="18" t="s">
        <v>66</v>
      </c>
      <c r="E11" s="18" t="s">
        <v>67</v>
      </c>
      <c r="F11" s="18" t="s">
        <v>40</v>
      </c>
      <c r="G11" s="18" t="s">
        <v>30</v>
      </c>
      <c r="H11" s="18" t="s">
        <v>30</v>
      </c>
      <c r="I11" s="18" t="s">
        <v>41</v>
      </c>
      <c r="J11" s="18" t="s">
        <v>32</v>
      </c>
      <c r="K11" s="18" t="s">
        <v>33</v>
      </c>
      <c r="L11" s="4" t="s">
        <v>34</v>
      </c>
      <c r="M11" s="152">
        <v>3.52</v>
      </c>
      <c r="N11" s="4" t="s">
        <v>68</v>
      </c>
      <c r="O11" s="161">
        <v>1.0999999999999999E-2</v>
      </c>
      <c r="P11" s="166">
        <v>1.9820000000000001E-2</v>
      </c>
      <c r="R11" s="152">
        <v>176782</v>
      </c>
      <c r="S11" s="167">
        <v>1</v>
      </c>
      <c r="T11" s="169">
        <v>101.93</v>
      </c>
      <c r="U11" s="152">
        <v>180.19399999999999</v>
      </c>
      <c r="W11" s="18" t="s">
        <v>36</v>
      </c>
      <c r="X11" s="170">
        <v>6.0000000000000002E-6</v>
      </c>
      <c r="Y11" s="166">
        <v>4.4064475051137801E-2</v>
      </c>
      <c r="Z11" s="166">
        <v>1.9657107746123101E-2</v>
      </c>
    </row>
    <row r="12" spans="1:26">
      <c r="A12" s="18">
        <v>337</v>
      </c>
      <c r="B12" s="18">
        <v>1405</v>
      </c>
      <c r="C12" s="18" t="s">
        <v>46</v>
      </c>
      <c r="D12" s="18" t="s">
        <v>69</v>
      </c>
      <c r="E12" s="18" t="s">
        <v>70</v>
      </c>
      <c r="F12" s="18" t="s">
        <v>49</v>
      </c>
      <c r="G12" s="18" t="s">
        <v>30</v>
      </c>
      <c r="H12" s="18" t="s">
        <v>30</v>
      </c>
      <c r="I12" s="18" t="s">
        <v>41</v>
      </c>
      <c r="J12" s="18" t="s">
        <v>32</v>
      </c>
      <c r="K12" s="18" t="s">
        <v>33</v>
      </c>
      <c r="L12" s="4" t="s">
        <v>34</v>
      </c>
      <c r="M12" s="152">
        <v>10.805999999999999</v>
      </c>
      <c r="N12" s="4" t="s">
        <v>71</v>
      </c>
      <c r="O12" s="161">
        <v>1.4999999999999999E-2</v>
      </c>
      <c r="P12" s="166">
        <v>4.616E-2</v>
      </c>
      <c r="R12" s="152">
        <v>109758</v>
      </c>
      <c r="S12" s="167">
        <v>1</v>
      </c>
      <c r="T12" s="169">
        <v>72.72</v>
      </c>
      <c r="U12" s="152">
        <v>79.816000000000003</v>
      </c>
      <c r="W12" s="18" t="s">
        <v>36</v>
      </c>
      <c r="X12" s="170">
        <v>3.0000000000000001E-6</v>
      </c>
      <c r="Y12" s="166">
        <v>1.9518147177294401E-2</v>
      </c>
      <c r="Z12" s="166">
        <v>8.7070212824164103E-3</v>
      </c>
    </row>
    <row r="13" spans="1:26">
      <c r="A13" s="18">
        <v>337</v>
      </c>
      <c r="B13" s="18">
        <v>1405</v>
      </c>
      <c r="C13" s="18" t="s">
        <v>46</v>
      </c>
      <c r="D13" s="18" t="s">
        <v>72</v>
      </c>
      <c r="E13" s="18" t="s">
        <v>73</v>
      </c>
      <c r="F13" s="18" t="s">
        <v>49</v>
      </c>
      <c r="G13" s="18" t="s">
        <v>30</v>
      </c>
      <c r="H13" s="18" t="s">
        <v>30</v>
      </c>
      <c r="I13" s="18" t="s">
        <v>41</v>
      </c>
      <c r="J13" s="18" t="s">
        <v>32</v>
      </c>
      <c r="K13" s="18" t="s">
        <v>33</v>
      </c>
      <c r="L13" s="4" t="s">
        <v>34</v>
      </c>
      <c r="M13" s="152">
        <v>4.8920000000000003</v>
      </c>
      <c r="N13" s="4" t="s">
        <v>74</v>
      </c>
      <c r="O13" s="161">
        <v>0.01</v>
      </c>
      <c r="P13" s="166">
        <v>4.2889999999999998E-2</v>
      </c>
      <c r="R13" s="152">
        <v>975818</v>
      </c>
      <c r="S13" s="167">
        <v>1</v>
      </c>
      <c r="T13" s="169">
        <v>85.48</v>
      </c>
      <c r="U13" s="152">
        <v>834.12900000000002</v>
      </c>
      <c r="W13" s="18" t="s">
        <v>36</v>
      </c>
      <c r="X13" s="170">
        <v>2.5999999999999998E-5</v>
      </c>
      <c r="Y13" s="166">
        <v>0.20397731552266599</v>
      </c>
      <c r="Z13" s="166">
        <v>9.0994027827195595E-2</v>
      </c>
    </row>
    <row r="14" spans="1:26">
      <c r="A14" s="18">
        <v>337</v>
      </c>
      <c r="B14" s="18">
        <v>1405</v>
      </c>
      <c r="C14" s="18" t="s">
        <v>75</v>
      </c>
      <c r="D14" s="18" t="s">
        <v>76</v>
      </c>
      <c r="E14" s="18" t="s">
        <v>77</v>
      </c>
      <c r="F14" s="18" t="s">
        <v>78</v>
      </c>
      <c r="G14" s="18" t="s">
        <v>79</v>
      </c>
      <c r="H14" s="18" t="s">
        <v>80</v>
      </c>
      <c r="I14" s="18" t="s">
        <v>81</v>
      </c>
      <c r="J14" s="18" t="s">
        <v>82</v>
      </c>
      <c r="K14" s="18" t="s">
        <v>83</v>
      </c>
      <c r="L14" s="4" t="s">
        <v>84</v>
      </c>
      <c r="M14" s="152">
        <v>7.8890000000000002</v>
      </c>
      <c r="N14" s="4" t="s">
        <v>85</v>
      </c>
      <c r="O14" s="161">
        <v>3.875E-2</v>
      </c>
      <c r="P14" s="166">
        <v>4.1610000000000001E-2</v>
      </c>
      <c r="R14" s="152">
        <v>27500</v>
      </c>
      <c r="S14" s="167">
        <v>3.718</v>
      </c>
      <c r="T14" s="169">
        <v>97.957999999999998</v>
      </c>
      <c r="U14" s="152">
        <v>100.157</v>
      </c>
      <c r="W14" s="18" t="s">
        <v>36</v>
      </c>
      <c r="X14" s="170">
        <v>0</v>
      </c>
      <c r="Y14" s="166">
        <v>2.4492403695209001E-2</v>
      </c>
      <c r="Z14" s="166">
        <v>1.09260309544034E-2</v>
      </c>
    </row>
    <row r="15" spans="1:26">
      <c r="A15" s="18">
        <v>337</v>
      </c>
      <c r="B15" s="18">
        <v>1405</v>
      </c>
      <c r="C15" s="18" t="s">
        <v>75</v>
      </c>
      <c r="D15" s="18" t="s">
        <v>86</v>
      </c>
      <c r="E15" s="18" t="s">
        <v>87</v>
      </c>
      <c r="F15" s="18" t="s">
        <v>78</v>
      </c>
      <c r="G15" s="18" t="s">
        <v>79</v>
      </c>
      <c r="H15" s="18" t="s">
        <v>80</v>
      </c>
      <c r="I15" s="18" t="s">
        <v>81</v>
      </c>
      <c r="J15" s="18" t="s">
        <v>82</v>
      </c>
      <c r="K15" s="18" t="s">
        <v>83</v>
      </c>
      <c r="L15" s="4" t="s">
        <v>84</v>
      </c>
      <c r="M15" s="152">
        <v>7.0430000000000001</v>
      </c>
      <c r="N15" s="4" t="s">
        <v>88</v>
      </c>
      <c r="O15" s="161">
        <v>3.3750000000000002E-2</v>
      </c>
      <c r="P15" s="166">
        <v>4.1050000000000003E-2</v>
      </c>
      <c r="R15" s="152">
        <v>64000</v>
      </c>
      <c r="S15" s="167">
        <v>3.718</v>
      </c>
      <c r="T15" s="169">
        <v>96.004000000000005</v>
      </c>
      <c r="U15" s="152">
        <v>228.44300000000001</v>
      </c>
      <c r="W15" s="18" t="s">
        <v>36</v>
      </c>
      <c r="X15" s="170">
        <v>9.9999999999999995E-7</v>
      </c>
      <c r="Y15" s="166">
        <v>5.5863265187115201E-2</v>
      </c>
      <c r="Z15" s="166">
        <v>2.49205334128908E-2</v>
      </c>
    </row>
    <row r="16" spans="1:26">
      <c r="A16" s="18">
        <v>337</v>
      </c>
      <c r="B16" s="18">
        <v>1477</v>
      </c>
      <c r="C16" s="18" t="s">
        <v>26</v>
      </c>
      <c r="D16" s="18" t="s">
        <v>27</v>
      </c>
      <c r="E16" s="18" t="s">
        <v>28</v>
      </c>
      <c r="F16" s="18" t="s">
        <v>29</v>
      </c>
      <c r="G16" s="18" t="s">
        <v>30</v>
      </c>
      <c r="H16" s="18" t="s">
        <v>30</v>
      </c>
      <c r="I16" s="18" t="s">
        <v>31</v>
      </c>
      <c r="J16" s="18" t="s">
        <v>32</v>
      </c>
      <c r="K16" s="18" t="s">
        <v>33</v>
      </c>
      <c r="L16" s="4" t="s">
        <v>34</v>
      </c>
      <c r="M16" s="152">
        <v>0.59699999999999998</v>
      </c>
      <c r="N16" s="4" t="s">
        <v>35</v>
      </c>
      <c r="O16" s="161">
        <v>0</v>
      </c>
      <c r="P16" s="166">
        <v>4.258E-2</v>
      </c>
      <c r="R16" s="152">
        <v>186412</v>
      </c>
      <c r="S16" s="167">
        <v>1</v>
      </c>
      <c r="T16" s="169">
        <v>97.54</v>
      </c>
      <c r="U16" s="152">
        <v>181.82599999999999</v>
      </c>
      <c r="W16" s="18" t="s">
        <v>36</v>
      </c>
      <c r="X16" s="170">
        <v>1.2999999999999999E-5</v>
      </c>
      <c r="Y16" s="166">
        <v>1</v>
      </c>
      <c r="Z16" s="166">
        <v>1.14917474594063E-2</v>
      </c>
    </row>
    <row r="17" spans="1:26">
      <c r="A17" s="18">
        <v>337</v>
      </c>
      <c r="B17" s="18">
        <v>9962</v>
      </c>
      <c r="C17" s="18" t="s">
        <v>26</v>
      </c>
      <c r="D17" s="18" t="s">
        <v>89</v>
      </c>
      <c r="E17" s="18" t="s">
        <v>90</v>
      </c>
      <c r="F17" s="18" t="s">
        <v>29</v>
      </c>
      <c r="G17" s="18" t="s">
        <v>30</v>
      </c>
      <c r="H17" s="18" t="s">
        <v>30</v>
      </c>
      <c r="I17" s="18" t="s">
        <v>31</v>
      </c>
      <c r="J17" s="18" t="s">
        <v>32</v>
      </c>
      <c r="K17" s="18" t="s">
        <v>33</v>
      </c>
      <c r="L17" s="4" t="s">
        <v>34</v>
      </c>
      <c r="M17" s="152">
        <v>9.9000000000000005E-2</v>
      </c>
      <c r="N17" s="4" t="s">
        <v>91</v>
      </c>
      <c r="O17" s="161">
        <v>0</v>
      </c>
      <c r="P17" s="166">
        <v>4.2540000000000001E-2</v>
      </c>
      <c r="R17" s="152">
        <v>1032000</v>
      </c>
      <c r="S17" s="167">
        <v>1</v>
      </c>
      <c r="T17" s="169">
        <v>99.59</v>
      </c>
      <c r="U17" s="152">
        <v>1027.769</v>
      </c>
      <c r="W17" s="18" t="s">
        <v>36</v>
      </c>
      <c r="X17" s="170">
        <v>2.8E-5</v>
      </c>
      <c r="Y17" s="166">
        <v>8.67913973508814E-2</v>
      </c>
      <c r="Z17" s="166">
        <v>2.68509363181271E-2</v>
      </c>
    </row>
    <row r="18" spans="1:26">
      <c r="A18" s="18">
        <v>337</v>
      </c>
      <c r="B18" s="18">
        <v>9962</v>
      </c>
      <c r="C18" s="18" t="s">
        <v>37</v>
      </c>
      <c r="D18" s="18" t="s">
        <v>38</v>
      </c>
      <c r="E18" s="18" t="s">
        <v>39</v>
      </c>
      <c r="F18" s="18" t="s">
        <v>40</v>
      </c>
      <c r="G18" s="18" t="s">
        <v>30</v>
      </c>
      <c r="H18" s="18" t="s">
        <v>30</v>
      </c>
      <c r="I18" s="18" t="s">
        <v>41</v>
      </c>
      <c r="J18" s="18" t="s">
        <v>32</v>
      </c>
      <c r="K18" s="18" t="s">
        <v>33</v>
      </c>
      <c r="L18" s="4" t="s">
        <v>34</v>
      </c>
      <c r="M18" s="152">
        <v>2.1419999999999999</v>
      </c>
      <c r="N18" s="4" t="s">
        <v>42</v>
      </c>
      <c r="O18" s="161">
        <v>7.4999999999999997E-3</v>
      </c>
      <c r="P18" s="166">
        <v>1.9449999999999999E-2</v>
      </c>
      <c r="R18" s="152">
        <v>268729</v>
      </c>
      <c r="S18" s="167">
        <v>1</v>
      </c>
      <c r="T18" s="169">
        <v>114.63</v>
      </c>
      <c r="U18" s="152">
        <v>308.04399999999998</v>
      </c>
      <c r="W18" s="18" t="s">
        <v>36</v>
      </c>
      <c r="X18" s="170">
        <v>1.1E-5</v>
      </c>
      <c r="Y18" s="166">
        <v>2.6013217933314899E-2</v>
      </c>
      <c r="Z18" s="166">
        <v>8.0477936693792301E-3</v>
      </c>
    </row>
    <row r="19" spans="1:26">
      <c r="A19" s="18">
        <v>337</v>
      </c>
      <c r="B19" s="18">
        <v>9962</v>
      </c>
      <c r="C19" s="18" t="s">
        <v>37</v>
      </c>
      <c r="D19" s="18" t="s">
        <v>43</v>
      </c>
      <c r="E19" s="18" t="s">
        <v>44</v>
      </c>
      <c r="F19" s="18" t="s">
        <v>40</v>
      </c>
      <c r="G19" s="18" t="s">
        <v>30</v>
      </c>
      <c r="H19" s="18" t="s">
        <v>30</v>
      </c>
      <c r="I19" s="18" t="s">
        <v>41</v>
      </c>
      <c r="J19" s="18" t="s">
        <v>32</v>
      </c>
      <c r="K19" s="18" t="s">
        <v>33</v>
      </c>
      <c r="L19" s="4" t="s">
        <v>34</v>
      </c>
      <c r="M19" s="152">
        <v>0.58399999999999996</v>
      </c>
      <c r="N19" s="4" t="s">
        <v>45</v>
      </c>
      <c r="O19" s="161">
        <v>7.4999999999999997E-3</v>
      </c>
      <c r="P19" s="166">
        <v>1.2359999999999999E-2</v>
      </c>
      <c r="R19" s="152">
        <v>616036</v>
      </c>
      <c r="S19" s="167">
        <v>1</v>
      </c>
      <c r="T19" s="169">
        <v>116.16</v>
      </c>
      <c r="U19" s="152">
        <v>715.58699999999999</v>
      </c>
      <c r="W19" s="18" t="s">
        <v>36</v>
      </c>
      <c r="X19" s="170">
        <v>2.8E-5</v>
      </c>
      <c r="Y19" s="166">
        <v>6.0428796729588098E-2</v>
      </c>
      <c r="Z19" s="166">
        <v>1.8695052992492699E-2</v>
      </c>
    </row>
    <row r="20" spans="1:26">
      <c r="A20" s="4">
        <v>337</v>
      </c>
      <c r="B20" s="4">
        <v>9962</v>
      </c>
      <c r="C20" s="4" t="s">
        <v>46</v>
      </c>
      <c r="D20" s="4" t="s">
        <v>47</v>
      </c>
      <c r="E20" s="4" t="s">
        <v>48</v>
      </c>
      <c r="F20" s="18" t="s">
        <v>49</v>
      </c>
      <c r="G20" s="18" t="s">
        <v>30</v>
      </c>
      <c r="H20" s="18" t="s">
        <v>30</v>
      </c>
      <c r="I20" s="18" t="s">
        <v>41</v>
      </c>
      <c r="J20" s="4" t="s">
        <v>32</v>
      </c>
      <c r="K20" s="18" t="s">
        <v>33</v>
      </c>
      <c r="L20" s="4" t="s">
        <v>34</v>
      </c>
      <c r="M20" s="152">
        <v>3.36</v>
      </c>
      <c r="N20" s="4" t="s">
        <v>50</v>
      </c>
      <c r="O20" s="161">
        <v>2.2499999999999999E-2</v>
      </c>
      <c r="P20" s="166">
        <v>4.2610000000000002E-2</v>
      </c>
      <c r="R20" s="152">
        <v>819502</v>
      </c>
      <c r="S20" s="167">
        <v>1</v>
      </c>
      <c r="T20" s="169">
        <v>94.71</v>
      </c>
      <c r="U20" s="152">
        <v>776.15</v>
      </c>
      <c r="W20" s="18" t="s">
        <v>36</v>
      </c>
      <c r="X20" s="170">
        <v>2.4000000000000001E-5</v>
      </c>
      <c r="Y20" s="166">
        <v>6.5543119160151195E-2</v>
      </c>
      <c r="Z20" s="166">
        <v>2.02772875236207E-2</v>
      </c>
    </row>
    <row r="21" spans="1:26">
      <c r="A21" s="4">
        <v>337</v>
      </c>
      <c r="B21" s="4">
        <v>9962</v>
      </c>
      <c r="C21" s="4" t="s">
        <v>46</v>
      </c>
      <c r="D21" s="4" t="s">
        <v>92</v>
      </c>
      <c r="E21" s="4" t="s">
        <v>93</v>
      </c>
      <c r="F21" s="4" t="s">
        <v>49</v>
      </c>
      <c r="G21" s="4" t="s">
        <v>30</v>
      </c>
      <c r="H21" s="4" t="s">
        <v>30</v>
      </c>
      <c r="I21" s="4" t="s">
        <v>41</v>
      </c>
      <c r="J21" s="4" t="s">
        <v>32</v>
      </c>
      <c r="K21" s="4" t="s">
        <v>33</v>
      </c>
      <c r="L21" s="18" t="s">
        <v>34</v>
      </c>
      <c r="M21" s="152">
        <v>2.391</v>
      </c>
      <c r="N21" s="4" t="s">
        <v>94</v>
      </c>
      <c r="O21" s="165">
        <v>3.7499999999999999E-2</v>
      </c>
      <c r="P21" s="166">
        <v>4.258E-2</v>
      </c>
      <c r="R21" s="152">
        <v>1118681</v>
      </c>
      <c r="S21" s="167">
        <v>1</v>
      </c>
      <c r="T21" s="169">
        <v>100.68</v>
      </c>
      <c r="U21" s="152">
        <v>1126.288</v>
      </c>
      <c r="W21" s="4" t="s">
        <v>36</v>
      </c>
      <c r="X21" s="166">
        <v>3.8000000000000002E-5</v>
      </c>
      <c r="Y21" s="166">
        <v>9.5110993846772296E-2</v>
      </c>
      <c r="Z21" s="166">
        <v>2.9424796890973499E-2</v>
      </c>
    </row>
    <row r="22" spans="1:26">
      <c r="A22" s="4">
        <v>337</v>
      </c>
      <c r="B22" s="4">
        <v>9962</v>
      </c>
      <c r="C22" s="4" t="s">
        <v>46</v>
      </c>
      <c r="D22" s="4" t="s">
        <v>54</v>
      </c>
      <c r="E22" s="4" t="s">
        <v>55</v>
      </c>
      <c r="F22" s="4" t="s">
        <v>49</v>
      </c>
      <c r="G22" s="4" t="s">
        <v>30</v>
      </c>
      <c r="H22" s="4" t="s">
        <v>30</v>
      </c>
      <c r="I22" s="4" t="s">
        <v>41</v>
      </c>
      <c r="J22" s="4" t="s">
        <v>32</v>
      </c>
      <c r="K22" s="4" t="s">
        <v>33</v>
      </c>
      <c r="L22" s="18" t="s">
        <v>34</v>
      </c>
      <c r="M22" s="152">
        <v>8.3979999999999997</v>
      </c>
      <c r="N22" s="4" t="s">
        <v>56</v>
      </c>
      <c r="O22" s="165">
        <v>0.04</v>
      </c>
      <c r="P22" s="166">
        <v>4.4850000000000001E-2</v>
      </c>
      <c r="R22" s="152">
        <v>2070740</v>
      </c>
      <c r="S22" s="167">
        <v>1</v>
      </c>
      <c r="T22" s="169">
        <v>96.17</v>
      </c>
      <c r="U22" s="152">
        <v>1991.431</v>
      </c>
      <c r="W22" s="4" t="s">
        <v>36</v>
      </c>
      <c r="X22" s="166">
        <v>6.9999999999999994E-5</v>
      </c>
      <c r="Y22" s="166">
        <v>0.168169192852717</v>
      </c>
      <c r="Z22" s="166">
        <v>5.2027049059987E-2</v>
      </c>
    </row>
    <row r="23" spans="1:26">
      <c r="A23" s="4">
        <v>337</v>
      </c>
      <c r="B23" s="4">
        <v>9962</v>
      </c>
      <c r="C23" s="4" t="s">
        <v>46</v>
      </c>
      <c r="D23" s="4" t="s">
        <v>57</v>
      </c>
      <c r="E23" s="4" t="s">
        <v>58</v>
      </c>
      <c r="F23" s="4" t="s">
        <v>49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8" t="s">
        <v>34</v>
      </c>
      <c r="M23" s="152">
        <v>4.03</v>
      </c>
      <c r="N23" s="4" t="s">
        <v>59</v>
      </c>
      <c r="O23" s="165">
        <v>4.5999999999999999E-2</v>
      </c>
      <c r="P23" s="166">
        <v>4.267E-2</v>
      </c>
      <c r="R23" s="152">
        <v>292797</v>
      </c>
      <c r="S23" s="167">
        <v>1</v>
      </c>
      <c r="T23" s="169">
        <v>103.16</v>
      </c>
      <c r="U23" s="152">
        <v>302.04899999999998</v>
      </c>
      <c r="W23" s="4" t="s">
        <v>36</v>
      </c>
      <c r="X23" s="166">
        <v>2.6999999999999999E-5</v>
      </c>
      <c r="Y23" s="166">
        <v>2.5506989714498701E-2</v>
      </c>
      <c r="Z23" s="166">
        <v>7.89118020213753E-3</v>
      </c>
    </row>
    <row r="24" spans="1:26">
      <c r="A24" s="4">
        <v>337</v>
      </c>
      <c r="B24" s="4">
        <v>9962</v>
      </c>
      <c r="C24" s="4" t="s">
        <v>46</v>
      </c>
      <c r="D24" s="4" t="s">
        <v>60</v>
      </c>
      <c r="E24" s="4" t="s">
        <v>61</v>
      </c>
      <c r="F24" s="4" t="s">
        <v>49</v>
      </c>
      <c r="G24" s="4" t="s">
        <v>30</v>
      </c>
      <c r="H24" s="4" t="s">
        <v>30</v>
      </c>
      <c r="I24" s="4" t="s">
        <v>41</v>
      </c>
      <c r="J24" s="4" t="s">
        <v>32</v>
      </c>
      <c r="K24" s="4" t="s">
        <v>33</v>
      </c>
      <c r="L24" s="18" t="s">
        <v>34</v>
      </c>
      <c r="M24" s="152">
        <v>11.552</v>
      </c>
      <c r="N24" s="4" t="s">
        <v>62</v>
      </c>
      <c r="O24" s="165">
        <v>5.5E-2</v>
      </c>
      <c r="P24" s="166">
        <v>4.7300000000000002E-2</v>
      </c>
      <c r="R24" s="152">
        <v>836605</v>
      </c>
      <c r="S24" s="167">
        <v>1</v>
      </c>
      <c r="T24" s="169">
        <v>109.69</v>
      </c>
      <c r="U24" s="152">
        <v>917.67200000000003</v>
      </c>
      <c r="W24" s="4" t="s">
        <v>36</v>
      </c>
      <c r="X24" s="166">
        <v>3.1000000000000001E-5</v>
      </c>
      <c r="Y24" s="166">
        <v>7.7494118634626102E-2</v>
      </c>
      <c r="Z24" s="166">
        <v>2.39746070232685E-2</v>
      </c>
    </row>
    <row r="25" spans="1:26">
      <c r="A25" s="4">
        <v>337</v>
      </c>
      <c r="B25" s="4">
        <v>9962</v>
      </c>
      <c r="C25" s="4" t="s">
        <v>95</v>
      </c>
      <c r="D25" s="4" t="s">
        <v>96</v>
      </c>
      <c r="E25" s="4" t="s">
        <v>97</v>
      </c>
      <c r="F25" s="4" t="s">
        <v>98</v>
      </c>
      <c r="G25" s="4" t="s">
        <v>30</v>
      </c>
      <c r="H25" s="4" t="s">
        <v>30</v>
      </c>
      <c r="I25" s="4" t="s">
        <v>41</v>
      </c>
      <c r="J25" s="4" t="s">
        <v>32</v>
      </c>
      <c r="K25" s="4" t="s">
        <v>33</v>
      </c>
      <c r="L25" s="18" t="s">
        <v>34</v>
      </c>
      <c r="M25" s="152">
        <v>1.1379999999999999</v>
      </c>
      <c r="N25" s="4" t="s">
        <v>99</v>
      </c>
      <c r="O25" s="165">
        <v>4.3200000000000002E-2</v>
      </c>
      <c r="P25" s="166">
        <v>4.5109999999999997E-2</v>
      </c>
      <c r="R25" s="152">
        <v>78000</v>
      </c>
      <c r="S25" s="167">
        <v>1</v>
      </c>
      <c r="T25" s="169">
        <v>100.16</v>
      </c>
      <c r="U25" s="152">
        <v>78.125</v>
      </c>
      <c r="W25" s="4" t="s">
        <v>36</v>
      </c>
      <c r="X25" s="166">
        <v>3.9999999999999998E-6</v>
      </c>
      <c r="Y25" s="166">
        <v>6.5973597950805098E-3</v>
      </c>
      <c r="Z25" s="166">
        <v>2.04104661443937E-3</v>
      </c>
    </row>
    <row r="26" spans="1:26">
      <c r="A26" s="4">
        <v>337</v>
      </c>
      <c r="B26" s="4">
        <v>9962</v>
      </c>
      <c r="C26" s="4" t="s">
        <v>37</v>
      </c>
      <c r="D26" s="4" t="s">
        <v>66</v>
      </c>
      <c r="E26" s="4" t="s">
        <v>67</v>
      </c>
      <c r="F26" s="4" t="s">
        <v>40</v>
      </c>
      <c r="G26" s="4" t="s">
        <v>30</v>
      </c>
      <c r="H26" s="4" t="s">
        <v>30</v>
      </c>
      <c r="I26" s="4" t="s">
        <v>41</v>
      </c>
      <c r="J26" s="4" t="s">
        <v>32</v>
      </c>
      <c r="K26" s="4" t="s">
        <v>33</v>
      </c>
      <c r="L26" s="18" t="s">
        <v>34</v>
      </c>
      <c r="M26" s="152">
        <v>3.52</v>
      </c>
      <c r="N26" s="4" t="s">
        <v>68</v>
      </c>
      <c r="O26" s="165">
        <v>1.0999999999999999E-2</v>
      </c>
      <c r="P26" s="166">
        <v>1.9820000000000001E-2</v>
      </c>
      <c r="R26" s="152">
        <v>815000</v>
      </c>
      <c r="S26" s="167">
        <v>1</v>
      </c>
      <c r="T26" s="169">
        <v>101.93</v>
      </c>
      <c r="U26" s="152">
        <v>830.73</v>
      </c>
      <c r="W26" s="4" t="s">
        <v>36</v>
      </c>
      <c r="X26" s="166">
        <v>2.8E-5</v>
      </c>
      <c r="Y26" s="166">
        <v>7.0152133559219801E-2</v>
      </c>
      <c r="Z26" s="166">
        <v>2.1703193268845601E-2</v>
      </c>
    </row>
    <row r="27" spans="1:26">
      <c r="A27" s="4">
        <v>337</v>
      </c>
      <c r="B27" s="4">
        <v>9962</v>
      </c>
      <c r="C27" s="4" t="s">
        <v>46</v>
      </c>
      <c r="D27" s="4" t="s">
        <v>69</v>
      </c>
      <c r="E27" s="4" t="s">
        <v>70</v>
      </c>
      <c r="F27" s="4" t="s">
        <v>49</v>
      </c>
      <c r="G27" s="4" t="s">
        <v>30</v>
      </c>
      <c r="H27" s="4" t="s">
        <v>30</v>
      </c>
      <c r="I27" s="4" t="s">
        <v>41</v>
      </c>
      <c r="J27" s="4" t="s">
        <v>32</v>
      </c>
      <c r="K27" s="4" t="s">
        <v>33</v>
      </c>
      <c r="L27" s="4" t="s">
        <v>34</v>
      </c>
      <c r="M27" s="152">
        <v>10.805999999999999</v>
      </c>
      <c r="N27" s="4" t="s">
        <v>71</v>
      </c>
      <c r="O27" s="165">
        <v>1.4999999999999999E-2</v>
      </c>
      <c r="P27" s="166">
        <v>4.616E-2</v>
      </c>
      <c r="R27" s="152">
        <v>131927</v>
      </c>
      <c r="S27" s="167">
        <v>1</v>
      </c>
      <c r="T27" s="169">
        <v>72.72</v>
      </c>
      <c r="U27" s="152">
        <v>95.936999999999998</v>
      </c>
      <c r="W27" s="4" t="s">
        <v>36</v>
      </c>
      <c r="X27" s="166">
        <v>3.9999999999999998E-6</v>
      </c>
      <c r="Y27" s="166">
        <v>8.1015628951441598E-3</v>
      </c>
      <c r="Z27" s="166">
        <v>2.50640681005936E-3</v>
      </c>
    </row>
    <row r="28" spans="1:26">
      <c r="A28" s="4">
        <v>337</v>
      </c>
      <c r="B28" s="4">
        <v>9962</v>
      </c>
      <c r="C28" s="4" t="s">
        <v>46</v>
      </c>
      <c r="D28" s="4" t="s">
        <v>72</v>
      </c>
      <c r="E28" s="4" t="s">
        <v>73</v>
      </c>
      <c r="F28" s="4" t="s">
        <v>49</v>
      </c>
      <c r="G28" s="4" t="s">
        <v>30</v>
      </c>
      <c r="H28" s="4" t="s">
        <v>30</v>
      </c>
      <c r="I28" s="4" t="s">
        <v>41</v>
      </c>
      <c r="J28" s="4" t="s">
        <v>32</v>
      </c>
      <c r="K28" s="4" t="s">
        <v>33</v>
      </c>
      <c r="L28" s="4" t="s">
        <v>34</v>
      </c>
      <c r="M28" s="152">
        <v>4.8920000000000003</v>
      </c>
      <c r="N28" s="4" t="s">
        <v>74</v>
      </c>
      <c r="O28" s="165">
        <v>0.01</v>
      </c>
      <c r="P28" s="166">
        <v>4.2889999999999998E-2</v>
      </c>
      <c r="R28" s="152">
        <v>2395568</v>
      </c>
      <c r="S28" s="167">
        <v>1</v>
      </c>
      <c r="T28" s="169">
        <v>85.48</v>
      </c>
      <c r="U28" s="152">
        <v>2047.732</v>
      </c>
      <c r="W28" s="4" t="s">
        <v>36</v>
      </c>
      <c r="X28" s="166">
        <v>6.3E-5</v>
      </c>
      <c r="Y28" s="166">
        <v>0.17292359971981</v>
      </c>
      <c r="Z28" s="166">
        <v>5.3497935344979902E-2</v>
      </c>
    </row>
    <row r="29" spans="1:26">
      <c r="A29" s="4">
        <v>337</v>
      </c>
      <c r="B29" s="4">
        <v>9962</v>
      </c>
      <c r="C29" s="4" t="s">
        <v>46</v>
      </c>
      <c r="D29" s="4" t="s">
        <v>100</v>
      </c>
      <c r="E29" s="4" t="s">
        <v>101</v>
      </c>
      <c r="F29" s="4" t="s">
        <v>49</v>
      </c>
      <c r="G29" s="4" t="s">
        <v>30</v>
      </c>
      <c r="H29" s="4" t="s">
        <v>30</v>
      </c>
      <c r="I29" s="4" t="s">
        <v>41</v>
      </c>
      <c r="J29" s="4" t="s">
        <v>32</v>
      </c>
      <c r="K29" s="4" t="s">
        <v>33</v>
      </c>
      <c r="L29" s="4" t="s">
        <v>34</v>
      </c>
      <c r="M29" s="152">
        <v>6.681</v>
      </c>
      <c r="N29" s="4" t="s">
        <v>102</v>
      </c>
      <c r="O29" s="165">
        <v>1.2999999999999999E-2</v>
      </c>
      <c r="P29" s="166">
        <v>4.3790000000000003E-2</v>
      </c>
      <c r="R29" s="152">
        <v>1009268</v>
      </c>
      <c r="S29" s="167">
        <v>1</v>
      </c>
      <c r="T29" s="169">
        <v>82.78</v>
      </c>
      <c r="U29" s="152">
        <v>835.47199999999998</v>
      </c>
      <c r="W29" s="4" t="s">
        <v>36</v>
      </c>
      <c r="X29" s="166">
        <v>2.9E-5</v>
      </c>
      <c r="Y29" s="166">
        <v>7.0552624969567101E-2</v>
      </c>
      <c r="Z29" s="166">
        <v>2.1827094596436E-2</v>
      </c>
    </row>
    <row r="30" spans="1:26">
      <c r="A30" s="4">
        <v>337</v>
      </c>
      <c r="B30" s="4">
        <v>9962</v>
      </c>
      <c r="C30" s="4" t="s">
        <v>75</v>
      </c>
      <c r="D30" s="4" t="s">
        <v>86</v>
      </c>
      <c r="E30" s="4" t="s">
        <v>87</v>
      </c>
      <c r="F30" s="4" t="s">
        <v>78</v>
      </c>
      <c r="G30" s="4" t="s">
        <v>79</v>
      </c>
      <c r="H30" s="4" t="s">
        <v>80</v>
      </c>
      <c r="I30" s="4" t="s">
        <v>81</v>
      </c>
      <c r="J30" s="4" t="s">
        <v>82</v>
      </c>
      <c r="K30" s="4" t="s">
        <v>83</v>
      </c>
      <c r="L30" s="4" t="s">
        <v>84</v>
      </c>
      <c r="M30" s="152">
        <v>7.0430000000000001</v>
      </c>
      <c r="N30" s="4" t="s">
        <v>88</v>
      </c>
      <c r="O30" s="165">
        <v>3.3750000000000002E-2</v>
      </c>
      <c r="P30" s="166">
        <v>4.1050000000000003E-2</v>
      </c>
      <c r="R30" s="152">
        <v>221000</v>
      </c>
      <c r="S30" s="167">
        <v>3.718</v>
      </c>
      <c r="T30" s="169">
        <v>96.004000000000005</v>
      </c>
      <c r="U30" s="152">
        <v>788.84199999999998</v>
      </c>
      <c r="W30" s="4" t="s">
        <v>36</v>
      </c>
      <c r="X30" s="166">
        <v>1.9999999999999999E-6</v>
      </c>
      <c r="Y30" s="166">
        <v>6.6614892838629203E-2</v>
      </c>
      <c r="Z30" s="166">
        <v>2.06088656254447E-2</v>
      </c>
    </row>
    <row r="31" spans="1:26">
      <c r="A31" s="4">
        <v>337</v>
      </c>
      <c r="B31" s="4">
        <v>9963</v>
      </c>
      <c r="C31" s="4" t="s">
        <v>37</v>
      </c>
      <c r="D31" s="4" t="s">
        <v>38</v>
      </c>
      <c r="E31" s="4" t="s">
        <v>39</v>
      </c>
      <c r="F31" s="4" t="s">
        <v>40</v>
      </c>
      <c r="G31" s="4" t="s">
        <v>30</v>
      </c>
      <c r="H31" s="4" t="s">
        <v>30</v>
      </c>
      <c r="I31" s="4" t="s">
        <v>41</v>
      </c>
      <c r="J31" s="4" t="s">
        <v>32</v>
      </c>
      <c r="K31" s="4" t="s">
        <v>33</v>
      </c>
      <c r="L31" s="4" t="s">
        <v>34</v>
      </c>
      <c r="M31" s="152">
        <v>2.1419999999999999</v>
      </c>
      <c r="N31" s="4" t="s">
        <v>42</v>
      </c>
      <c r="O31" s="165">
        <v>7.4999999999999997E-3</v>
      </c>
      <c r="P31" s="166">
        <v>1.9449999999999999E-2</v>
      </c>
      <c r="R31" s="152">
        <v>26771687</v>
      </c>
      <c r="S31" s="167">
        <v>1</v>
      </c>
      <c r="T31" s="169">
        <v>114.63</v>
      </c>
      <c r="U31" s="152">
        <v>30688.384999999998</v>
      </c>
      <c r="W31" s="4" t="s">
        <v>36</v>
      </c>
      <c r="X31" s="166">
        <v>1.0989999999999999E-3</v>
      </c>
      <c r="Y31" s="166">
        <v>0.12248833504498</v>
      </c>
      <c r="Z31" s="166">
        <v>2.8546662102768301E-2</v>
      </c>
    </row>
    <row r="32" spans="1:26">
      <c r="A32" s="4">
        <v>337</v>
      </c>
      <c r="B32" s="4">
        <v>9963</v>
      </c>
      <c r="C32" s="4" t="s">
        <v>37</v>
      </c>
      <c r="D32" s="4" t="s">
        <v>43</v>
      </c>
      <c r="E32" s="4" t="s">
        <v>44</v>
      </c>
      <c r="F32" s="4" t="s">
        <v>40</v>
      </c>
      <c r="G32" s="4" t="s">
        <v>30</v>
      </c>
      <c r="H32" s="4" t="s">
        <v>30</v>
      </c>
      <c r="I32" s="4" t="s">
        <v>41</v>
      </c>
      <c r="J32" s="4" t="s">
        <v>32</v>
      </c>
      <c r="K32" s="4" t="s">
        <v>33</v>
      </c>
      <c r="L32" s="4" t="s">
        <v>34</v>
      </c>
      <c r="M32" s="152">
        <v>0.58399999999999996</v>
      </c>
      <c r="N32" s="4" t="s">
        <v>45</v>
      </c>
      <c r="O32" s="165">
        <v>7.4999999999999997E-3</v>
      </c>
      <c r="P32" s="166">
        <v>1.2359999999999999E-2</v>
      </c>
      <c r="R32" s="152">
        <v>24013674</v>
      </c>
      <c r="S32" s="167">
        <v>1</v>
      </c>
      <c r="T32" s="169">
        <v>116.16</v>
      </c>
      <c r="U32" s="152">
        <v>27894.284</v>
      </c>
      <c r="W32" s="4" t="s">
        <v>36</v>
      </c>
      <c r="X32" s="166">
        <v>1.106E-3</v>
      </c>
      <c r="Y32" s="166">
        <v>0.111336076867665</v>
      </c>
      <c r="Z32" s="166">
        <v>2.5947559537175199E-2</v>
      </c>
    </row>
    <row r="33" spans="1:26">
      <c r="A33" s="4">
        <v>337</v>
      </c>
      <c r="B33" s="4">
        <v>9963</v>
      </c>
      <c r="C33" s="4" t="s">
        <v>37</v>
      </c>
      <c r="D33" s="4" t="s">
        <v>103</v>
      </c>
      <c r="E33" s="4" t="s">
        <v>104</v>
      </c>
      <c r="F33" s="4" t="s">
        <v>40</v>
      </c>
      <c r="G33" s="4" t="s">
        <v>30</v>
      </c>
      <c r="H33" s="4" t="s">
        <v>30</v>
      </c>
      <c r="I33" s="4" t="s">
        <v>41</v>
      </c>
      <c r="J33" s="4" t="s">
        <v>32</v>
      </c>
      <c r="K33" s="4" t="s">
        <v>33</v>
      </c>
      <c r="L33" s="4" t="s">
        <v>34</v>
      </c>
      <c r="M33" s="152">
        <v>6.6459999999999999</v>
      </c>
      <c r="N33" s="4" t="s">
        <v>105</v>
      </c>
      <c r="O33" s="165">
        <v>1E-3</v>
      </c>
      <c r="P33" s="166">
        <v>2.0310000000000002E-2</v>
      </c>
      <c r="R33" s="152">
        <v>500000</v>
      </c>
      <c r="S33" s="167">
        <v>1</v>
      </c>
      <c r="T33" s="169">
        <v>101.91</v>
      </c>
      <c r="U33" s="152">
        <v>509.55</v>
      </c>
      <c r="W33" s="4" t="s">
        <v>36</v>
      </c>
      <c r="X33" s="166">
        <v>1.5999999999999999E-5</v>
      </c>
      <c r="Y33" s="166">
        <v>2.0337965491652702E-3</v>
      </c>
      <c r="Z33" s="166">
        <v>4.7398883210778502E-4</v>
      </c>
    </row>
    <row r="34" spans="1:26">
      <c r="A34" s="4">
        <v>337</v>
      </c>
      <c r="B34" s="4">
        <v>9963</v>
      </c>
      <c r="C34" s="4" t="s">
        <v>46</v>
      </c>
      <c r="D34" s="4" t="s">
        <v>47</v>
      </c>
      <c r="E34" s="4" t="s">
        <v>48</v>
      </c>
      <c r="F34" s="4" t="s">
        <v>49</v>
      </c>
      <c r="G34" s="4" t="s">
        <v>30</v>
      </c>
      <c r="H34" s="4" t="s">
        <v>30</v>
      </c>
      <c r="I34" s="4" t="s">
        <v>41</v>
      </c>
      <c r="J34" s="4" t="s">
        <v>32</v>
      </c>
      <c r="K34" s="4" t="s">
        <v>33</v>
      </c>
      <c r="L34" s="4" t="s">
        <v>34</v>
      </c>
      <c r="M34" s="152">
        <v>3.36</v>
      </c>
      <c r="N34" s="4" t="s">
        <v>50</v>
      </c>
      <c r="O34" s="165">
        <v>2.2499999999999999E-2</v>
      </c>
      <c r="P34" s="166">
        <v>4.2610000000000002E-2</v>
      </c>
      <c r="R34" s="152">
        <v>921666</v>
      </c>
      <c r="S34" s="167">
        <v>1</v>
      </c>
      <c r="T34" s="169">
        <v>94.71</v>
      </c>
      <c r="U34" s="152">
        <v>872.91</v>
      </c>
      <c r="W34" s="4" t="s">
        <v>36</v>
      </c>
      <c r="X34" s="166">
        <v>2.6999999999999999E-5</v>
      </c>
      <c r="Y34" s="166">
        <v>3.4840959248179501E-3</v>
      </c>
      <c r="Z34" s="166">
        <v>8.1199004838205103E-4</v>
      </c>
    </row>
    <row r="35" spans="1:26">
      <c r="A35" s="4">
        <v>337</v>
      </c>
      <c r="B35" s="4">
        <v>9963</v>
      </c>
      <c r="C35" s="4" t="s">
        <v>46</v>
      </c>
      <c r="D35" s="4" t="s">
        <v>106</v>
      </c>
      <c r="E35" s="4" t="s">
        <v>107</v>
      </c>
      <c r="F35" s="4" t="s">
        <v>49</v>
      </c>
      <c r="G35" s="4" t="s">
        <v>30</v>
      </c>
      <c r="H35" s="4" t="s">
        <v>30</v>
      </c>
      <c r="I35" s="4" t="s">
        <v>41</v>
      </c>
      <c r="J35" s="4" t="s">
        <v>32</v>
      </c>
      <c r="K35" s="4" t="s">
        <v>33</v>
      </c>
      <c r="L35" s="4" t="s">
        <v>34</v>
      </c>
      <c r="M35" s="152">
        <v>3.7010000000000001</v>
      </c>
      <c r="N35" s="4" t="s">
        <v>108</v>
      </c>
      <c r="O35" s="165">
        <v>3.7499999999999999E-2</v>
      </c>
      <c r="P35" s="166">
        <v>4.2680000000000003E-2</v>
      </c>
      <c r="R35" s="152">
        <v>5000000</v>
      </c>
      <c r="S35" s="167">
        <v>1</v>
      </c>
      <c r="T35" s="169">
        <v>98.49</v>
      </c>
      <c r="U35" s="152">
        <v>4924.5</v>
      </c>
      <c r="W35" s="4" t="s">
        <v>36</v>
      </c>
      <c r="X35" s="166">
        <v>1.4100000000000001E-4</v>
      </c>
      <c r="Y35" s="166">
        <v>1.9655443246716399E-2</v>
      </c>
      <c r="Z35" s="166">
        <v>4.5808223014714702E-3</v>
      </c>
    </row>
    <row r="36" spans="1:26">
      <c r="A36" s="4">
        <v>337</v>
      </c>
      <c r="B36" s="4">
        <v>9963</v>
      </c>
      <c r="C36" s="4" t="s">
        <v>46</v>
      </c>
      <c r="D36" s="4" t="s">
        <v>54</v>
      </c>
      <c r="E36" s="4" t="s">
        <v>55</v>
      </c>
      <c r="F36" s="4" t="s">
        <v>49</v>
      </c>
      <c r="G36" s="4" t="s">
        <v>30</v>
      </c>
      <c r="H36" s="4" t="s">
        <v>30</v>
      </c>
      <c r="I36" s="4" t="s">
        <v>41</v>
      </c>
      <c r="J36" s="4" t="s">
        <v>32</v>
      </c>
      <c r="K36" s="4" t="s">
        <v>33</v>
      </c>
      <c r="L36" s="4" t="s">
        <v>34</v>
      </c>
      <c r="M36" s="152">
        <v>8.3979999999999997</v>
      </c>
      <c r="N36" s="4" t="s">
        <v>56</v>
      </c>
      <c r="O36" s="165">
        <v>0.04</v>
      </c>
      <c r="P36" s="166">
        <v>4.4850000000000001E-2</v>
      </c>
      <c r="R36" s="152">
        <v>53615547</v>
      </c>
      <c r="S36" s="167">
        <v>1</v>
      </c>
      <c r="T36" s="169">
        <v>96.17</v>
      </c>
      <c r="U36" s="152">
        <v>51562.072</v>
      </c>
      <c r="W36" s="4" t="s">
        <v>36</v>
      </c>
      <c r="X36" s="166">
        <v>1.812E-3</v>
      </c>
      <c r="Y36" s="166">
        <v>0.20580269489941999</v>
      </c>
      <c r="Z36" s="166">
        <v>4.7963587626327402E-2</v>
      </c>
    </row>
    <row r="37" spans="1:26">
      <c r="A37" s="4">
        <v>337</v>
      </c>
      <c r="B37" s="4">
        <v>9963</v>
      </c>
      <c r="C37" s="4" t="s">
        <v>46</v>
      </c>
      <c r="D37" s="4" t="s">
        <v>57</v>
      </c>
      <c r="E37" s="4" t="s">
        <v>58</v>
      </c>
      <c r="F37" s="4" t="s">
        <v>49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2">
        <v>4.03</v>
      </c>
      <c r="N37" s="4" t="s">
        <v>59</v>
      </c>
      <c r="O37" s="165">
        <v>4.5999999999999999E-2</v>
      </c>
      <c r="P37" s="166">
        <v>4.267E-2</v>
      </c>
      <c r="R37" s="152">
        <v>9759906</v>
      </c>
      <c r="S37" s="167">
        <v>1</v>
      </c>
      <c r="T37" s="169">
        <v>103.16</v>
      </c>
      <c r="U37" s="152">
        <v>10068.319</v>
      </c>
      <c r="W37" s="4" t="s">
        <v>36</v>
      </c>
      <c r="X37" s="166">
        <v>9.1299999999999997E-4</v>
      </c>
      <c r="Y37" s="166">
        <v>4.0186267291326599E-2</v>
      </c>
      <c r="Z37" s="166">
        <v>9.3656574980447299E-3</v>
      </c>
    </row>
    <row r="38" spans="1:26">
      <c r="A38" s="4">
        <v>337</v>
      </c>
      <c r="B38" s="4">
        <v>9963</v>
      </c>
      <c r="C38" s="4" t="s">
        <v>46</v>
      </c>
      <c r="D38" s="4" t="s">
        <v>60</v>
      </c>
      <c r="E38" s="4" t="s">
        <v>61</v>
      </c>
      <c r="F38" s="4" t="s">
        <v>49</v>
      </c>
      <c r="G38" s="4" t="s">
        <v>30</v>
      </c>
      <c r="H38" s="4" t="s">
        <v>30</v>
      </c>
      <c r="I38" s="4" t="s">
        <v>41</v>
      </c>
      <c r="J38" s="4" t="s">
        <v>32</v>
      </c>
      <c r="K38" s="4" t="s">
        <v>33</v>
      </c>
      <c r="L38" s="4" t="s">
        <v>34</v>
      </c>
      <c r="M38" s="152">
        <v>11.552</v>
      </c>
      <c r="N38" s="4" t="s">
        <v>62</v>
      </c>
      <c r="O38" s="165">
        <v>5.5E-2</v>
      </c>
      <c r="P38" s="166">
        <v>4.7300000000000002E-2</v>
      </c>
      <c r="R38" s="152">
        <v>43816585</v>
      </c>
      <c r="S38" s="167">
        <v>1</v>
      </c>
      <c r="T38" s="169">
        <v>109.69</v>
      </c>
      <c r="U38" s="152">
        <v>48062.411999999997</v>
      </c>
      <c r="W38" s="4" t="s">
        <v>36</v>
      </c>
      <c r="X38" s="166">
        <v>1.614E-3</v>
      </c>
      <c r="Y38" s="166">
        <v>0.19183430055162901</v>
      </c>
      <c r="Z38" s="166">
        <v>4.47081671536909E-2</v>
      </c>
    </row>
    <row r="39" spans="1:26">
      <c r="A39" s="4">
        <v>337</v>
      </c>
      <c r="B39" s="4">
        <v>9963</v>
      </c>
      <c r="C39" s="4" t="s">
        <v>37</v>
      </c>
      <c r="D39" s="4" t="s">
        <v>109</v>
      </c>
      <c r="E39" s="4" t="s">
        <v>110</v>
      </c>
      <c r="F39" s="4" t="s">
        <v>40</v>
      </c>
      <c r="G39" s="4" t="s">
        <v>30</v>
      </c>
      <c r="H39" s="4" t="s">
        <v>30</v>
      </c>
      <c r="I39" s="4" t="s">
        <v>41</v>
      </c>
      <c r="J39" s="4" t="s">
        <v>32</v>
      </c>
      <c r="K39" s="4" t="s">
        <v>33</v>
      </c>
      <c r="L39" s="4" t="s">
        <v>34</v>
      </c>
      <c r="M39" s="152">
        <v>4.1150000000000002</v>
      </c>
      <c r="N39" s="4" t="s">
        <v>111</v>
      </c>
      <c r="O39" s="165">
        <v>5.0000000000000001E-3</v>
      </c>
      <c r="P39" s="166">
        <v>1.9689999999999999E-2</v>
      </c>
      <c r="R39" s="152">
        <v>8172213</v>
      </c>
      <c r="S39" s="167">
        <v>1</v>
      </c>
      <c r="T39" s="169">
        <v>109.42</v>
      </c>
      <c r="U39" s="152">
        <v>8942.0349999999999</v>
      </c>
      <c r="W39" s="4" t="s">
        <v>36</v>
      </c>
      <c r="X39" s="166">
        <v>2.9700000000000001E-4</v>
      </c>
      <c r="Y39" s="166">
        <v>3.5690866196481097E-2</v>
      </c>
      <c r="Z39" s="166">
        <v>8.3179765411287403E-3</v>
      </c>
    </row>
    <row r="40" spans="1:26">
      <c r="A40" s="4">
        <v>337</v>
      </c>
      <c r="B40" s="4">
        <v>9963</v>
      </c>
      <c r="C40" s="4" t="s">
        <v>37</v>
      </c>
      <c r="D40" s="4" t="s">
        <v>66</v>
      </c>
      <c r="E40" s="4" t="s">
        <v>67</v>
      </c>
      <c r="F40" s="4" t="s">
        <v>40</v>
      </c>
      <c r="G40" s="4" t="s">
        <v>30</v>
      </c>
      <c r="H40" s="4" t="s">
        <v>30</v>
      </c>
      <c r="I40" s="4" t="s">
        <v>41</v>
      </c>
      <c r="J40" s="4" t="s">
        <v>32</v>
      </c>
      <c r="K40" s="4" t="s">
        <v>33</v>
      </c>
      <c r="L40" s="4" t="s">
        <v>34</v>
      </c>
      <c r="M40" s="152">
        <v>3.52</v>
      </c>
      <c r="N40" s="4" t="s">
        <v>68</v>
      </c>
      <c r="O40" s="165">
        <v>1.0999999999999999E-2</v>
      </c>
      <c r="P40" s="166">
        <v>1.9820000000000001E-2</v>
      </c>
      <c r="R40" s="152">
        <v>21600000</v>
      </c>
      <c r="S40" s="167">
        <v>1</v>
      </c>
      <c r="T40" s="169">
        <v>101.93</v>
      </c>
      <c r="U40" s="152">
        <v>22016.880000000001</v>
      </c>
      <c r="W40" s="4" t="s">
        <v>36</v>
      </c>
      <c r="X40" s="166">
        <v>7.2900000000000005E-4</v>
      </c>
      <c r="Y40" s="166">
        <v>8.7877253591179996E-2</v>
      </c>
      <c r="Z40" s="166">
        <v>2.0480336057025299E-2</v>
      </c>
    </row>
    <row r="41" spans="1:26">
      <c r="A41" s="4">
        <v>337</v>
      </c>
      <c r="B41" s="4">
        <v>9963</v>
      </c>
      <c r="C41" s="4" t="s">
        <v>46</v>
      </c>
      <c r="D41" s="4" t="s">
        <v>69</v>
      </c>
      <c r="E41" s="4" t="s">
        <v>70</v>
      </c>
      <c r="F41" s="4" t="s">
        <v>49</v>
      </c>
      <c r="G41" s="4" t="s">
        <v>30</v>
      </c>
      <c r="H41" s="4" t="s">
        <v>30</v>
      </c>
      <c r="I41" s="4" t="s">
        <v>41</v>
      </c>
      <c r="J41" s="4" t="s">
        <v>32</v>
      </c>
      <c r="K41" s="4" t="s">
        <v>33</v>
      </c>
      <c r="L41" s="4" t="s">
        <v>34</v>
      </c>
      <c r="M41" s="152">
        <v>10.805999999999999</v>
      </c>
      <c r="N41" s="4" t="s">
        <v>71</v>
      </c>
      <c r="O41" s="165">
        <v>1.4999999999999999E-2</v>
      </c>
      <c r="P41" s="166">
        <v>4.616E-2</v>
      </c>
      <c r="R41" s="152">
        <v>7603293</v>
      </c>
      <c r="S41" s="167">
        <v>1</v>
      </c>
      <c r="T41" s="169">
        <v>72.72</v>
      </c>
      <c r="U41" s="152">
        <v>5529.1149999999998</v>
      </c>
      <c r="W41" s="4" t="s">
        <v>36</v>
      </c>
      <c r="X41" s="166">
        <v>2.33E-4</v>
      </c>
      <c r="Y41" s="166">
        <v>2.2068676940381799E-2</v>
      </c>
      <c r="Z41" s="166">
        <v>5.1432413008217501E-3</v>
      </c>
    </row>
    <row r="42" spans="1:26">
      <c r="A42" s="4">
        <v>337</v>
      </c>
      <c r="B42" s="4">
        <v>9963</v>
      </c>
      <c r="C42" s="4" t="s">
        <v>46</v>
      </c>
      <c r="D42" s="4" t="s">
        <v>72</v>
      </c>
      <c r="E42" s="4" t="s">
        <v>73</v>
      </c>
      <c r="F42" s="4" t="s">
        <v>49</v>
      </c>
      <c r="G42" s="4" t="s">
        <v>30</v>
      </c>
      <c r="H42" s="4" t="s">
        <v>30</v>
      </c>
      <c r="I42" s="4" t="s">
        <v>41</v>
      </c>
      <c r="J42" s="4" t="s">
        <v>32</v>
      </c>
      <c r="K42" s="4" t="s">
        <v>33</v>
      </c>
      <c r="L42" s="4" t="s">
        <v>34</v>
      </c>
      <c r="M42" s="152">
        <v>4.8920000000000003</v>
      </c>
      <c r="N42" s="4" t="s">
        <v>74</v>
      </c>
      <c r="O42" s="165">
        <v>0.01</v>
      </c>
      <c r="P42" s="166">
        <v>4.2889999999999998E-2</v>
      </c>
      <c r="R42" s="152">
        <v>46175507</v>
      </c>
      <c r="S42" s="167">
        <v>1</v>
      </c>
      <c r="T42" s="169">
        <v>85.48</v>
      </c>
      <c r="U42" s="152">
        <v>39470.822999999997</v>
      </c>
      <c r="W42" s="4" t="s">
        <v>36</v>
      </c>
      <c r="X42" s="166">
        <v>1.2229999999999999E-3</v>
      </c>
      <c r="Y42" s="166">
        <v>0.157542192896237</v>
      </c>
      <c r="Z42" s="166">
        <v>3.67161799193901E-2</v>
      </c>
    </row>
    <row r="43" spans="1:26">
      <c r="A43" s="4">
        <v>337</v>
      </c>
      <c r="B43" s="4">
        <v>9964</v>
      </c>
      <c r="C43" s="4" t="s">
        <v>26</v>
      </c>
      <c r="D43" s="4" t="s">
        <v>89</v>
      </c>
      <c r="E43" s="4" t="s">
        <v>90</v>
      </c>
      <c r="F43" s="4" t="s">
        <v>29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2">
        <v>9.9000000000000005E-2</v>
      </c>
      <c r="N43" s="4" t="s">
        <v>91</v>
      </c>
      <c r="O43" s="165">
        <v>0</v>
      </c>
      <c r="P43" s="166">
        <v>4.2540000000000001E-2</v>
      </c>
      <c r="R43" s="152">
        <v>234000</v>
      </c>
      <c r="S43" s="167">
        <v>1</v>
      </c>
      <c r="T43" s="169">
        <v>99.59</v>
      </c>
      <c r="U43" s="152">
        <v>233.041</v>
      </c>
      <c r="W43" s="4" t="s">
        <v>36</v>
      </c>
      <c r="X43" s="166">
        <v>6.0000000000000002E-6</v>
      </c>
      <c r="Y43" s="166">
        <v>1.42827110144525E-2</v>
      </c>
      <c r="Z43" s="166">
        <v>6.3465584017305303E-3</v>
      </c>
    </row>
    <row r="44" spans="1:26">
      <c r="A44" s="4">
        <v>337</v>
      </c>
      <c r="B44" s="4">
        <v>9964</v>
      </c>
      <c r="C44" s="4" t="s">
        <v>26</v>
      </c>
      <c r="D44" s="4" t="s">
        <v>112</v>
      </c>
      <c r="E44" s="4" t="s">
        <v>113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2">
        <v>0.252</v>
      </c>
      <c r="N44" s="4" t="s">
        <v>114</v>
      </c>
      <c r="O44" s="165">
        <v>0</v>
      </c>
      <c r="P44" s="166">
        <v>4.2770000000000002E-2</v>
      </c>
      <c r="R44" s="152">
        <v>350000</v>
      </c>
      <c r="S44" s="167">
        <v>1</v>
      </c>
      <c r="T44" s="169">
        <v>98.95</v>
      </c>
      <c r="U44" s="152">
        <v>346.32499999999999</v>
      </c>
      <c r="W44" s="4" t="s">
        <v>36</v>
      </c>
      <c r="X44" s="166">
        <v>2.9E-5</v>
      </c>
      <c r="Y44" s="166">
        <v>2.12257430339618E-2</v>
      </c>
      <c r="Z44" s="166">
        <v>9.4317120642468597E-3</v>
      </c>
    </row>
    <row r="45" spans="1:26">
      <c r="A45" s="4">
        <v>337</v>
      </c>
      <c r="B45" s="4">
        <v>9964</v>
      </c>
      <c r="C45" s="4" t="s">
        <v>37</v>
      </c>
      <c r="D45" s="4" t="s">
        <v>38</v>
      </c>
      <c r="E45" s="4" t="s">
        <v>39</v>
      </c>
      <c r="F45" s="4" t="s">
        <v>40</v>
      </c>
      <c r="G45" s="4" t="s">
        <v>30</v>
      </c>
      <c r="H45" s="4" t="s">
        <v>30</v>
      </c>
      <c r="I45" s="4" t="s">
        <v>41</v>
      </c>
      <c r="J45" s="4" t="s">
        <v>32</v>
      </c>
      <c r="K45" s="4" t="s">
        <v>33</v>
      </c>
      <c r="L45" s="4" t="s">
        <v>34</v>
      </c>
      <c r="M45" s="152">
        <v>2.1419999999999999</v>
      </c>
      <c r="N45" s="4" t="s">
        <v>42</v>
      </c>
      <c r="O45" s="165">
        <v>7.4999999999999997E-3</v>
      </c>
      <c r="P45" s="166">
        <v>1.9449999999999999E-2</v>
      </c>
      <c r="R45" s="152">
        <v>1717849</v>
      </c>
      <c r="S45" s="167">
        <v>1</v>
      </c>
      <c r="T45" s="169">
        <v>114.63</v>
      </c>
      <c r="U45" s="152">
        <v>1969.17</v>
      </c>
      <c r="W45" s="4" t="s">
        <v>36</v>
      </c>
      <c r="X45" s="166">
        <v>7.1000000000000005E-5</v>
      </c>
      <c r="Y45" s="166">
        <v>0.120687513065974</v>
      </c>
      <c r="Z45" s="166">
        <v>5.3627798620147202E-2</v>
      </c>
    </row>
    <row r="46" spans="1:26">
      <c r="A46" s="4">
        <v>337</v>
      </c>
      <c r="B46" s="4">
        <v>9964</v>
      </c>
      <c r="C46" s="4" t="s">
        <v>37</v>
      </c>
      <c r="D46" s="4" t="s">
        <v>43</v>
      </c>
      <c r="E46" s="4" t="s">
        <v>44</v>
      </c>
      <c r="F46" s="4" t="s">
        <v>40</v>
      </c>
      <c r="G46" s="4" t="s">
        <v>30</v>
      </c>
      <c r="H46" s="4" t="s">
        <v>30</v>
      </c>
      <c r="I46" s="4" t="s">
        <v>41</v>
      </c>
      <c r="J46" s="4" t="s">
        <v>32</v>
      </c>
      <c r="K46" s="4" t="s">
        <v>33</v>
      </c>
      <c r="L46" s="4" t="s">
        <v>34</v>
      </c>
      <c r="M46" s="152">
        <v>0.58399999999999996</v>
      </c>
      <c r="N46" s="4" t="s">
        <v>45</v>
      </c>
      <c r="O46" s="165">
        <v>7.4999999999999997E-3</v>
      </c>
      <c r="P46" s="166">
        <v>1.2359999999999999E-2</v>
      </c>
      <c r="R46" s="152">
        <v>542582</v>
      </c>
      <c r="S46" s="167">
        <v>1</v>
      </c>
      <c r="T46" s="169">
        <v>116.16</v>
      </c>
      <c r="U46" s="152">
        <v>630.26300000000003</v>
      </c>
      <c r="W46" s="4" t="s">
        <v>36</v>
      </c>
      <c r="X46" s="166">
        <v>2.5000000000000001E-5</v>
      </c>
      <c r="Y46" s="166">
        <v>3.8627895224775902E-2</v>
      </c>
      <c r="Z46" s="166">
        <v>1.7164401963457698E-2</v>
      </c>
    </row>
    <row r="47" spans="1:26">
      <c r="A47" s="4">
        <v>337</v>
      </c>
      <c r="B47" s="4">
        <v>9964</v>
      </c>
      <c r="C47" s="4" t="s">
        <v>46</v>
      </c>
      <c r="D47" s="4" t="s">
        <v>47</v>
      </c>
      <c r="E47" s="4" t="s">
        <v>48</v>
      </c>
      <c r="F47" s="4" t="s">
        <v>49</v>
      </c>
      <c r="G47" s="4" t="s">
        <v>30</v>
      </c>
      <c r="H47" s="4" t="s">
        <v>30</v>
      </c>
      <c r="I47" s="4" t="s">
        <v>41</v>
      </c>
      <c r="J47" s="4" t="s">
        <v>32</v>
      </c>
      <c r="K47" s="4" t="s">
        <v>33</v>
      </c>
      <c r="L47" s="4" t="s">
        <v>34</v>
      </c>
      <c r="M47" s="152">
        <v>3.36</v>
      </c>
      <c r="N47" s="4" t="s">
        <v>50</v>
      </c>
      <c r="O47" s="165">
        <v>2.2499999999999999E-2</v>
      </c>
      <c r="P47" s="166">
        <v>4.2610000000000002E-2</v>
      </c>
      <c r="R47" s="152">
        <v>1649875</v>
      </c>
      <c r="S47" s="167">
        <v>1</v>
      </c>
      <c r="T47" s="169">
        <v>94.71</v>
      </c>
      <c r="U47" s="152">
        <v>1562.597</v>
      </c>
      <c r="W47" s="4" t="s">
        <v>36</v>
      </c>
      <c r="X47" s="166">
        <v>4.8000000000000001E-5</v>
      </c>
      <c r="Y47" s="166">
        <v>9.5769217245835994E-2</v>
      </c>
      <c r="Z47" s="166">
        <v>4.25552914795857E-2</v>
      </c>
    </row>
    <row r="48" spans="1:26">
      <c r="A48" s="4">
        <v>337</v>
      </c>
      <c r="B48" s="4">
        <v>9964</v>
      </c>
      <c r="C48" s="4" t="s">
        <v>46</v>
      </c>
      <c r="D48" s="4" t="s">
        <v>106</v>
      </c>
      <c r="E48" s="4" t="s">
        <v>107</v>
      </c>
      <c r="F48" s="4" t="s">
        <v>49</v>
      </c>
      <c r="G48" s="4" t="s">
        <v>30</v>
      </c>
      <c r="H48" s="4" t="s">
        <v>30</v>
      </c>
      <c r="I48" s="4" t="s">
        <v>41</v>
      </c>
      <c r="J48" s="4" t="s">
        <v>32</v>
      </c>
      <c r="K48" s="4" t="s">
        <v>33</v>
      </c>
      <c r="L48" s="4" t="s">
        <v>34</v>
      </c>
      <c r="M48" s="152">
        <v>3.7010000000000001</v>
      </c>
      <c r="N48" s="4" t="s">
        <v>108</v>
      </c>
      <c r="O48" s="165">
        <v>3.7499999999999999E-2</v>
      </c>
      <c r="P48" s="166">
        <v>4.2680000000000003E-2</v>
      </c>
      <c r="R48" s="152">
        <v>1006137</v>
      </c>
      <c r="S48" s="167">
        <v>1</v>
      </c>
      <c r="T48" s="169">
        <v>98.49</v>
      </c>
      <c r="U48" s="152">
        <v>990.94399999999996</v>
      </c>
      <c r="W48" s="4" t="s">
        <v>36</v>
      </c>
      <c r="X48" s="166">
        <v>2.8E-5</v>
      </c>
      <c r="Y48" s="166">
        <v>6.0733501009557198E-2</v>
      </c>
      <c r="Z48" s="166">
        <v>2.69870832441182E-2</v>
      </c>
    </row>
    <row r="49" spans="1:26">
      <c r="A49" s="4">
        <v>337</v>
      </c>
      <c r="B49" s="4">
        <v>9964</v>
      </c>
      <c r="C49" s="4" t="s">
        <v>46</v>
      </c>
      <c r="D49" s="4" t="s">
        <v>54</v>
      </c>
      <c r="E49" s="4" t="s">
        <v>55</v>
      </c>
      <c r="F49" s="4" t="s">
        <v>49</v>
      </c>
      <c r="G49" s="4" t="s">
        <v>30</v>
      </c>
      <c r="H49" s="4" t="s">
        <v>30</v>
      </c>
      <c r="I49" s="4" t="s">
        <v>41</v>
      </c>
      <c r="J49" s="4" t="s">
        <v>32</v>
      </c>
      <c r="K49" s="4" t="s">
        <v>33</v>
      </c>
      <c r="L49" s="4" t="s">
        <v>34</v>
      </c>
      <c r="M49" s="152">
        <v>8.3979999999999997</v>
      </c>
      <c r="N49" s="4" t="s">
        <v>56</v>
      </c>
      <c r="O49" s="165">
        <v>0.04</v>
      </c>
      <c r="P49" s="166">
        <v>4.4850000000000001E-2</v>
      </c>
      <c r="R49" s="152">
        <v>2236486</v>
      </c>
      <c r="S49" s="167">
        <v>1</v>
      </c>
      <c r="T49" s="169">
        <v>96.17</v>
      </c>
      <c r="U49" s="152">
        <v>2150.8290000000002</v>
      </c>
      <c r="W49" s="4" t="s">
        <v>36</v>
      </c>
      <c r="X49" s="166">
        <v>7.6000000000000004E-5</v>
      </c>
      <c r="Y49" s="166">
        <v>0.13182107812251601</v>
      </c>
      <c r="Z49" s="166">
        <v>5.85750261303387E-2</v>
      </c>
    </row>
    <row r="50" spans="1:26">
      <c r="A50" s="4">
        <v>337</v>
      </c>
      <c r="B50" s="4">
        <v>9964</v>
      </c>
      <c r="C50" s="4" t="s">
        <v>46</v>
      </c>
      <c r="D50" s="4" t="s">
        <v>57</v>
      </c>
      <c r="E50" s="4" t="s">
        <v>58</v>
      </c>
      <c r="F50" s="4" t="s">
        <v>49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2">
        <v>4.03</v>
      </c>
      <c r="N50" s="4" t="s">
        <v>59</v>
      </c>
      <c r="O50" s="165">
        <v>4.5999999999999999E-2</v>
      </c>
      <c r="P50" s="166">
        <v>4.267E-2</v>
      </c>
      <c r="R50" s="152">
        <v>292797</v>
      </c>
      <c r="S50" s="167">
        <v>1</v>
      </c>
      <c r="T50" s="169">
        <v>103.16</v>
      </c>
      <c r="U50" s="152">
        <v>302.04899999999998</v>
      </c>
      <c r="W50" s="4" t="s">
        <v>36</v>
      </c>
      <c r="X50" s="166">
        <v>2.6999999999999999E-5</v>
      </c>
      <c r="Y50" s="166">
        <v>1.8512156598054798E-2</v>
      </c>
      <c r="Z50" s="166">
        <v>8.2259231369066193E-3</v>
      </c>
    </row>
    <row r="51" spans="1:26">
      <c r="A51" s="4">
        <v>337</v>
      </c>
      <c r="B51" s="4">
        <v>9964</v>
      </c>
      <c r="C51" s="4" t="s">
        <v>46</v>
      </c>
      <c r="D51" s="4" t="s">
        <v>60</v>
      </c>
      <c r="E51" s="4" t="s">
        <v>61</v>
      </c>
      <c r="F51" s="4" t="s">
        <v>49</v>
      </c>
      <c r="G51" s="4" t="s">
        <v>30</v>
      </c>
      <c r="H51" s="4" t="s">
        <v>30</v>
      </c>
      <c r="I51" s="4" t="s">
        <v>41</v>
      </c>
      <c r="J51" s="4" t="s">
        <v>32</v>
      </c>
      <c r="K51" s="4" t="s">
        <v>33</v>
      </c>
      <c r="L51" s="4" t="s">
        <v>34</v>
      </c>
      <c r="M51" s="152">
        <v>11.552</v>
      </c>
      <c r="N51" s="4" t="s">
        <v>62</v>
      </c>
      <c r="O51" s="165">
        <v>5.5E-2</v>
      </c>
      <c r="P51" s="166">
        <v>4.7300000000000002E-2</v>
      </c>
      <c r="R51" s="152">
        <v>708654</v>
      </c>
      <c r="S51" s="167">
        <v>1</v>
      </c>
      <c r="T51" s="169">
        <v>109.69</v>
      </c>
      <c r="U51" s="152">
        <v>777.32299999999998</v>
      </c>
      <c r="W51" s="4" t="s">
        <v>36</v>
      </c>
      <c r="X51" s="166">
        <v>2.5999999999999998E-5</v>
      </c>
      <c r="Y51" s="166">
        <v>4.7640941833554301E-2</v>
      </c>
      <c r="Z51" s="166">
        <v>2.1169371791822201E-2</v>
      </c>
    </row>
    <row r="52" spans="1:26">
      <c r="A52" s="4">
        <v>337</v>
      </c>
      <c r="B52" s="4">
        <v>9964</v>
      </c>
      <c r="C52" s="4" t="s">
        <v>95</v>
      </c>
      <c r="D52" s="4" t="s">
        <v>96</v>
      </c>
      <c r="E52" s="4" t="s">
        <v>97</v>
      </c>
      <c r="F52" s="4" t="s">
        <v>98</v>
      </c>
      <c r="G52" s="4" t="s">
        <v>30</v>
      </c>
      <c r="H52" s="4" t="s">
        <v>30</v>
      </c>
      <c r="I52" s="4" t="s">
        <v>41</v>
      </c>
      <c r="J52" s="4" t="s">
        <v>32</v>
      </c>
      <c r="K52" s="4" t="s">
        <v>33</v>
      </c>
      <c r="L52" s="4" t="s">
        <v>34</v>
      </c>
      <c r="M52" s="152">
        <v>1.1379999999999999</v>
      </c>
      <c r="N52" s="4" t="s">
        <v>99</v>
      </c>
      <c r="O52" s="165">
        <v>4.3200000000000002E-2</v>
      </c>
      <c r="P52" s="166">
        <v>4.5109999999999997E-2</v>
      </c>
      <c r="R52" s="152">
        <v>94000</v>
      </c>
      <c r="S52" s="167">
        <v>1</v>
      </c>
      <c r="T52" s="169">
        <v>100.16</v>
      </c>
      <c r="U52" s="152">
        <v>94.15</v>
      </c>
      <c r="W52" s="4" t="s">
        <v>36</v>
      </c>
      <c r="X52" s="166">
        <v>3.9999999999999998E-6</v>
      </c>
      <c r="Y52" s="166">
        <v>5.7703376797652896E-3</v>
      </c>
      <c r="Z52" s="166">
        <v>2.56406399634351E-3</v>
      </c>
    </row>
    <row r="53" spans="1:26">
      <c r="A53" s="4">
        <v>337</v>
      </c>
      <c r="B53" s="4">
        <v>9964</v>
      </c>
      <c r="C53" s="4" t="s">
        <v>37</v>
      </c>
      <c r="D53" s="4" t="s">
        <v>63</v>
      </c>
      <c r="E53" s="4" t="s">
        <v>64</v>
      </c>
      <c r="F53" s="4" t="s">
        <v>40</v>
      </c>
      <c r="G53" s="4" t="s">
        <v>30</v>
      </c>
      <c r="H53" s="4" t="s">
        <v>30</v>
      </c>
      <c r="I53" s="4" t="s">
        <v>41</v>
      </c>
      <c r="J53" s="4" t="s">
        <v>32</v>
      </c>
      <c r="K53" s="4" t="s">
        <v>33</v>
      </c>
      <c r="L53" s="4" t="s">
        <v>34</v>
      </c>
      <c r="M53" s="152">
        <v>1.331</v>
      </c>
      <c r="N53" s="4" t="s">
        <v>65</v>
      </c>
      <c r="O53" s="165">
        <v>1E-3</v>
      </c>
      <c r="P53" s="166">
        <v>1.9599999999999999E-2</v>
      </c>
      <c r="R53" s="152">
        <v>1320000</v>
      </c>
      <c r="S53" s="167">
        <v>1</v>
      </c>
      <c r="T53" s="169">
        <v>112.95</v>
      </c>
      <c r="U53" s="152">
        <v>1490.94</v>
      </c>
      <c r="W53" s="4" t="s">
        <v>36</v>
      </c>
      <c r="X53" s="166">
        <v>6.4999999999999994E-5</v>
      </c>
      <c r="Y53" s="166">
        <v>9.1377490273745698E-2</v>
      </c>
      <c r="Z53" s="166">
        <v>4.0603816603098801E-2</v>
      </c>
    </row>
    <row r="54" spans="1:26">
      <c r="A54" s="4">
        <v>337</v>
      </c>
      <c r="B54" s="4">
        <v>9964</v>
      </c>
      <c r="C54" s="4" t="s">
        <v>37</v>
      </c>
      <c r="D54" s="4" t="s">
        <v>66</v>
      </c>
      <c r="E54" s="4" t="s">
        <v>67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32</v>
      </c>
      <c r="K54" s="4" t="s">
        <v>33</v>
      </c>
      <c r="L54" s="4" t="s">
        <v>34</v>
      </c>
      <c r="M54" s="152">
        <v>3.52</v>
      </c>
      <c r="N54" s="4" t="s">
        <v>68</v>
      </c>
      <c r="O54" s="165">
        <v>1.0999999999999999E-2</v>
      </c>
      <c r="P54" s="166">
        <v>1.9820000000000001E-2</v>
      </c>
      <c r="R54" s="152">
        <v>730000</v>
      </c>
      <c r="S54" s="167">
        <v>1</v>
      </c>
      <c r="T54" s="169">
        <v>101.93</v>
      </c>
      <c r="U54" s="152">
        <v>744.08900000000006</v>
      </c>
      <c r="W54" s="4" t="s">
        <v>36</v>
      </c>
      <c r="X54" s="166">
        <v>2.5000000000000001E-5</v>
      </c>
      <c r="Y54" s="166">
        <v>4.5604105705327601E-2</v>
      </c>
      <c r="Z54" s="166">
        <v>2.0264298558213802E-2</v>
      </c>
    </row>
    <row r="55" spans="1:26">
      <c r="A55" s="4">
        <v>337</v>
      </c>
      <c r="B55" s="4">
        <v>9964</v>
      </c>
      <c r="C55" s="4" t="s">
        <v>46</v>
      </c>
      <c r="D55" s="4" t="s">
        <v>69</v>
      </c>
      <c r="E55" s="4" t="s">
        <v>70</v>
      </c>
      <c r="F55" s="4" t="s">
        <v>49</v>
      </c>
      <c r="G55" s="4" t="s">
        <v>30</v>
      </c>
      <c r="H55" s="4" t="s">
        <v>30</v>
      </c>
      <c r="I55" s="4" t="s">
        <v>41</v>
      </c>
      <c r="J55" s="4" t="s">
        <v>32</v>
      </c>
      <c r="K55" s="4" t="s">
        <v>33</v>
      </c>
      <c r="L55" s="4" t="s">
        <v>34</v>
      </c>
      <c r="M55" s="152">
        <v>10.805999999999999</v>
      </c>
      <c r="N55" s="4" t="s">
        <v>71</v>
      </c>
      <c r="O55" s="165">
        <v>1.4999999999999999E-2</v>
      </c>
      <c r="P55" s="166">
        <v>4.616E-2</v>
      </c>
      <c r="R55" s="152">
        <v>129073</v>
      </c>
      <c r="S55" s="167">
        <v>1</v>
      </c>
      <c r="T55" s="169">
        <v>72.72</v>
      </c>
      <c r="U55" s="152">
        <v>93.861999999999995</v>
      </c>
      <c r="W55" s="4" t="s">
        <v>36</v>
      </c>
      <c r="X55" s="166">
        <v>3.9999999999999998E-6</v>
      </c>
      <c r="Y55" s="166">
        <v>5.7526550622355203E-3</v>
      </c>
      <c r="Z55" s="166">
        <v>2.55620668096868E-3</v>
      </c>
    </row>
    <row r="56" spans="1:26">
      <c r="A56" s="4">
        <v>337</v>
      </c>
      <c r="B56" s="4">
        <v>9964</v>
      </c>
      <c r="C56" s="4" t="s">
        <v>46</v>
      </c>
      <c r="D56" s="4" t="s">
        <v>72</v>
      </c>
      <c r="E56" s="4" t="s">
        <v>73</v>
      </c>
      <c r="F56" s="4" t="s">
        <v>49</v>
      </c>
      <c r="G56" s="4" t="s">
        <v>30</v>
      </c>
      <c r="H56" s="4" t="s">
        <v>30</v>
      </c>
      <c r="I56" s="4" t="s">
        <v>41</v>
      </c>
      <c r="J56" s="4" t="s">
        <v>32</v>
      </c>
      <c r="K56" s="4" t="s">
        <v>33</v>
      </c>
      <c r="L56" s="4" t="s">
        <v>34</v>
      </c>
      <c r="M56" s="152">
        <v>4.8920000000000003</v>
      </c>
      <c r="N56" s="4" t="s">
        <v>74</v>
      </c>
      <c r="O56" s="165">
        <v>0.01</v>
      </c>
      <c r="P56" s="166">
        <v>4.2889999999999998E-2</v>
      </c>
      <c r="R56" s="152">
        <v>3858236</v>
      </c>
      <c r="S56" s="167">
        <v>1</v>
      </c>
      <c r="T56" s="169">
        <v>85.48</v>
      </c>
      <c r="U56" s="152">
        <v>3298.02</v>
      </c>
      <c r="W56" s="4" t="s">
        <v>36</v>
      </c>
      <c r="X56" s="166">
        <v>1.02E-4</v>
      </c>
      <c r="Y56" s="166">
        <v>0.202130738062933</v>
      </c>
      <c r="Z56" s="166">
        <v>8.9817299573114198E-2</v>
      </c>
    </row>
    <row r="57" spans="1:26">
      <c r="A57" s="4">
        <v>337</v>
      </c>
      <c r="B57" s="4">
        <v>9964</v>
      </c>
      <c r="C57" s="4" t="s">
        <v>46</v>
      </c>
      <c r="D57" s="4" t="s">
        <v>100</v>
      </c>
      <c r="E57" s="4" t="s">
        <v>101</v>
      </c>
      <c r="F57" s="4" t="s">
        <v>49</v>
      </c>
      <c r="G57" s="4" t="s">
        <v>30</v>
      </c>
      <c r="H57" s="4" t="s">
        <v>30</v>
      </c>
      <c r="I57" s="4" t="s">
        <v>41</v>
      </c>
      <c r="J57" s="4" t="s">
        <v>32</v>
      </c>
      <c r="K57" s="4" t="s">
        <v>33</v>
      </c>
      <c r="L57" s="4" t="s">
        <v>34</v>
      </c>
      <c r="M57" s="152">
        <v>6.681</v>
      </c>
      <c r="N57" s="4" t="s">
        <v>102</v>
      </c>
      <c r="O57" s="165">
        <v>1.2999999999999999E-2</v>
      </c>
      <c r="P57" s="166">
        <v>4.3790000000000003E-2</v>
      </c>
      <c r="R57" s="152">
        <v>756334</v>
      </c>
      <c r="S57" s="167">
        <v>1</v>
      </c>
      <c r="T57" s="169">
        <v>82.78</v>
      </c>
      <c r="U57" s="152">
        <v>626.09299999999996</v>
      </c>
      <c r="W57" s="4" t="s">
        <v>36</v>
      </c>
      <c r="X57" s="166">
        <v>2.1999999999999999E-5</v>
      </c>
      <c r="Y57" s="166">
        <v>3.8372324224194503E-2</v>
      </c>
      <c r="Z57" s="166">
        <v>1.7050838349425501E-2</v>
      </c>
    </row>
    <row r="58" spans="1:26">
      <c r="A58" s="4">
        <v>337</v>
      </c>
      <c r="B58" s="4">
        <v>9964</v>
      </c>
      <c r="C58" s="4" t="s">
        <v>75</v>
      </c>
      <c r="D58" s="4" t="s">
        <v>86</v>
      </c>
      <c r="E58" s="4" t="s">
        <v>87</v>
      </c>
      <c r="F58" s="4" t="s">
        <v>78</v>
      </c>
      <c r="G58" s="4" t="s">
        <v>79</v>
      </c>
      <c r="H58" s="4" t="s">
        <v>80</v>
      </c>
      <c r="I58" s="4" t="s">
        <v>81</v>
      </c>
      <c r="J58" s="4" t="s">
        <v>82</v>
      </c>
      <c r="K58" s="4" t="s">
        <v>83</v>
      </c>
      <c r="L58" s="4" t="s">
        <v>84</v>
      </c>
      <c r="M58" s="152">
        <v>7.0430000000000001</v>
      </c>
      <c r="N58" s="4" t="s">
        <v>88</v>
      </c>
      <c r="O58" s="165">
        <v>3.3750000000000002E-2</v>
      </c>
      <c r="P58" s="166">
        <v>4.1050000000000003E-2</v>
      </c>
      <c r="R58" s="152">
        <v>282000</v>
      </c>
      <c r="S58" s="167">
        <v>3.718</v>
      </c>
      <c r="T58" s="169">
        <v>96.004000000000005</v>
      </c>
      <c r="U58" s="152">
        <v>1006.577</v>
      </c>
      <c r="W58" s="4" t="s">
        <v>36</v>
      </c>
      <c r="X58" s="166">
        <v>3.0000000000000001E-6</v>
      </c>
      <c r="Y58" s="166">
        <v>6.1691591843115297E-2</v>
      </c>
      <c r="Z58" s="166">
        <v>2.74128133049719E-2</v>
      </c>
    </row>
    <row r="59" spans="1:26">
      <c r="X59" s="147"/>
    </row>
    <row r="60" spans="1:26">
      <c r="X60" s="147"/>
    </row>
    <row r="61" spans="1:26">
      <c r="X61" s="147"/>
    </row>
    <row r="62" spans="1:26">
      <c r="X62" s="147"/>
    </row>
    <row r="63" spans="1:26">
      <c r="X63" s="147"/>
    </row>
    <row r="64" spans="1:26">
      <c r="X64" s="147"/>
    </row>
    <row r="65" spans="24:24">
      <c r="X65" s="147"/>
    </row>
    <row r="66" spans="24:24">
      <c r="X66" s="147"/>
    </row>
    <row r="67" spans="24:24">
      <c r="X67" s="147"/>
    </row>
    <row r="68" spans="24:24">
      <c r="X68" s="147"/>
    </row>
    <row r="69" spans="24:24">
      <c r="X69" s="147"/>
    </row>
    <row r="70" spans="24:24">
      <c r="X70" s="147"/>
    </row>
    <row r="71" spans="24:24">
      <c r="X71" s="147"/>
    </row>
    <row r="72" spans="24:24">
      <c r="X72" s="147"/>
    </row>
    <row r="73" spans="24:24">
      <c r="X73" s="147"/>
    </row>
    <row r="74" spans="24:24">
      <c r="X74" s="147"/>
    </row>
    <row r="75" spans="24:24">
      <c r="X75" s="147"/>
    </row>
    <row r="76" spans="24:24">
      <c r="X76" s="147"/>
    </row>
    <row r="77" spans="24:24">
      <c r="X77" s="147"/>
    </row>
    <row r="78" spans="24:24">
      <c r="X78" s="147"/>
    </row>
    <row r="79" spans="24:24">
      <c r="X79" s="147"/>
    </row>
    <row r="80" spans="24:24">
      <c r="X80" s="147"/>
    </row>
    <row r="81" spans="24:24">
      <c r="X81" s="147"/>
    </row>
    <row r="82" spans="24:24">
      <c r="X82" s="147"/>
    </row>
    <row r="83" spans="24:24">
      <c r="X83" s="147"/>
    </row>
    <row r="84" spans="24:24">
      <c r="X84" s="147"/>
    </row>
    <row r="85" spans="24:24">
      <c r="X85" s="147"/>
    </row>
    <row r="86" spans="24:24">
      <c r="X86" s="147"/>
    </row>
    <row r="87" spans="24:24">
      <c r="X87" s="147"/>
    </row>
    <row r="88" spans="24:24">
      <c r="X88" s="147"/>
    </row>
    <row r="89" spans="24:24">
      <c r="X89" s="147"/>
    </row>
    <row r="90" spans="24:24">
      <c r="X90" s="147"/>
    </row>
    <row r="91" spans="24:24">
      <c r="X91" s="147"/>
    </row>
    <row r="92" spans="24:24">
      <c r="X92" s="147"/>
    </row>
    <row r="93" spans="24:24">
      <c r="X93" s="147"/>
    </row>
    <row r="94" spans="24:24">
      <c r="X94" s="147"/>
    </row>
    <row r="95" spans="24:24">
      <c r="X95" s="147"/>
    </row>
    <row r="96" spans="24:24">
      <c r="X96" s="147"/>
    </row>
    <row r="97" spans="24:24">
      <c r="X97" s="147"/>
    </row>
    <row r="98" spans="24:24">
      <c r="X98" s="147"/>
    </row>
    <row r="99" spans="24:24">
      <c r="X99" s="147"/>
    </row>
    <row r="100" spans="24:24">
      <c r="X100" s="147"/>
    </row>
    <row r="101" spans="24:24">
      <c r="X101" s="147"/>
    </row>
    <row r="102" spans="24:24">
      <c r="X102" s="147"/>
    </row>
    <row r="103" spans="24:24">
      <c r="X103" s="147"/>
    </row>
    <row r="104" spans="24:24">
      <c r="X104" s="147"/>
    </row>
    <row r="105" spans="24:24">
      <c r="X105" s="147"/>
    </row>
    <row r="106" spans="24:24">
      <c r="X106" s="147"/>
    </row>
    <row r="107" spans="24:24">
      <c r="X107" s="147"/>
    </row>
    <row r="108" spans="24:24">
      <c r="X108" s="147"/>
    </row>
    <row r="109" spans="24:24">
      <c r="X109" s="147"/>
    </row>
    <row r="110" spans="24:24">
      <c r="X110" s="147"/>
    </row>
    <row r="111" spans="24:24">
      <c r="X111" s="147"/>
    </row>
    <row r="112" spans="24:24">
      <c r="X112" s="147"/>
    </row>
    <row r="113" spans="24:24">
      <c r="X113" s="147"/>
    </row>
    <row r="114" spans="24:24">
      <c r="X114" s="147"/>
    </row>
    <row r="115" spans="24:24">
      <c r="X115" s="147"/>
    </row>
    <row r="116" spans="24:24">
      <c r="X116" s="147"/>
    </row>
    <row r="117" spans="24:24">
      <c r="X117" s="147"/>
    </row>
    <row r="118" spans="24:24">
      <c r="X118" s="147"/>
    </row>
    <row r="119" spans="24:24">
      <c r="X119" s="147"/>
    </row>
    <row r="120" spans="24:24">
      <c r="X120" s="147"/>
    </row>
    <row r="121" spans="24:24">
      <c r="X121" s="147"/>
    </row>
    <row r="122" spans="24:24">
      <c r="X122" s="147"/>
    </row>
    <row r="123" spans="24:24">
      <c r="X123" s="147"/>
    </row>
    <row r="124" spans="24:24">
      <c r="X124" s="147"/>
    </row>
    <row r="125" spans="24:24">
      <c r="X125" s="147"/>
    </row>
    <row r="126" spans="24:24">
      <c r="X126" s="147"/>
    </row>
    <row r="127" spans="24:24">
      <c r="X127" s="147"/>
    </row>
    <row r="128" spans="24:24">
      <c r="X128" s="147"/>
    </row>
    <row r="129" spans="24:24">
      <c r="X129" s="147"/>
    </row>
    <row r="130" spans="24:24">
      <c r="X130" s="147"/>
    </row>
    <row r="131" spans="24:24">
      <c r="X131" s="147"/>
    </row>
    <row r="132" spans="24:24">
      <c r="X132" s="147"/>
    </row>
    <row r="133" spans="24:24">
      <c r="X133" s="147"/>
    </row>
    <row r="134" spans="24:24">
      <c r="X134" s="147"/>
    </row>
    <row r="135" spans="24:24">
      <c r="X135" s="147"/>
    </row>
    <row r="136" spans="24:24">
      <c r="X136" s="147"/>
    </row>
    <row r="137" spans="24:24">
      <c r="X137" s="147"/>
    </row>
    <row r="138" spans="24:24">
      <c r="X138" s="147"/>
    </row>
    <row r="139" spans="24:24">
      <c r="X139" s="147"/>
    </row>
    <row r="140" spans="24:24">
      <c r="X140" s="147"/>
    </row>
    <row r="141" spans="24:24">
      <c r="X141" s="147"/>
    </row>
    <row r="142" spans="24:24">
      <c r="X142" s="147"/>
    </row>
    <row r="143" spans="24:24">
      <c r="X143" s="147"/>
    </row>
    <row r="144" spans="24:24">
      <c r="X144" s="147"/>
    </row>
    <row r="145" spans="24:24">
      <c r="X145" s="147"/>
    </row>
    <row r="146" spans="24:24">
      <c r="X146" s="147"/>
    </row>
    <row r="147" spans="24:24">
      <c r="X147" s="147"/>
    </row>
    <row r="148" spans="24:24">
      <c r="X148" s="147"/>
    </row>
    <row r="149" spans="24:24">
      <c r="X149" s="147"/>
    </row>
    <row r="150" spans="24:24">
      <c r="X150" s="147"/>
    </row>
    <row r="151" spans="24:24">
      <c r="X151" s="147"/>
    </row>
    <row r="152" spans="24:24">
      <c r="X152" s="147"/>
    </row>
    <row r="153" spans="24:24">
      <c r="X153" s="147"/>
    </row>
    <row r="154" spans="24:24">
      <c r="X154" s="147"/>
    </row>
    <row r="155" spans="24:24">
      <c r="X155" s="147"/>
    </row>
    <row r="156" spans="24:24">
      <c r="X156" s="147"/>
    </row>
    <row r="157" spans="24:24">
      <c r="X157" s="147"/>
    </row>
    <row r="158" spans="24:24">
      <c r="X158" s="147"/>
    </row>
    <row r="159" spans="24:24">
      <c r="X159" s="147"/>
    </row>
    <row r="160" spans="24:24">
      <c r="X160" s="147"/>
    </row>
    <row r="161" spans="24:24">
      <c r="X161" s="147"/>
    </row>
    <row r="162" spans="24:24">
      <c r="X162" s="147"/>
    </row>
    <row r="163" spans="24:24">
      <c r="X163" s="147"/>
    </row>
    <row r="164" spans="24:24">
      <c r="X164" s="147"/>
    </row>
    <row r="165" spans="24:24">
      <c r="X165" s="147"/>
    </row>
    <row r="166" spans="24:24">
      <c r="X166" s="147"/>
    </row>
    <row r="167" spans="24:24">
      <c r="X167" s="147"/>
    </row>
    <row r="168" spans="24:24">
      <c r="X168" s="147"/>
    </row>
    <row r="169" spans="24:24">
      <c r="X169" s="147"/>
    </row>
    <row r="170" spans="24:24">
      <c r="X170" s="147"/>
    </row>
    <row r="171" spans="24:24">
      <c r="X171" s="147"/>
    </row>
    <row r="172" spans="24:24">
      <c r="X172" s="147"/>
    </row>
    <row r="173" spans="24:24">
      <c r="X173" s="147"/>
    </row>
    <row r="174" spans="24:24">
      <c r="X174" s="147"/>
    </row>
    <row r="175" spans="24:24">
      <c r="X175" s="147"/>
    </row>
    <row r="176" spans="24:24">
      <c r="X176" s="147"/>
    </row>
    <row r="177" spans="24:24">
      <c r="X177" s="147"/>
    </row>
    <row r="178" spans="24:24">
      <c r="X178" s="147"/>
    </row>
    <row r="179" spans="24:24">
      <c r="X179" s="147"/>
    </row>
    <row r="180" spans="24:24">
      <c r="X180" s="147"/>
    </row>
    <row r="181" spans="24:24">
      <c r="X181" s="147"/>
    </row>
    <row r="182" spans="24:24">
      <c r="X182" s="147"/>
    </row>
    <row r="183" spans="24:24">
      <c r="X183" s="147"/>
    </row>
    <row r="184" spans="24:24">
      <c r="X184" s="147"/>
    </row>
    <row r="185" spans="24:24">
      <c r="X185" s="147"/>
    </row>
    <row r="186" spans="24:24">
      <c r="X186" s="147"/>
    </row>
    <row r="187" spans="24:24">
      <c r="X187" s="147"/>
    </row>
    <row r="188" spans="24:24">
      <c r="X188" s="147"/>
    </row>
    <row r="189" spans="24:24">
      <c r="X189" s="147"/>
    </row>
    <row r="190" spans="24:24">
      <c r="X190" s="147"/>
    </row>
    <row r="191" spans="24:24">
      <c r="X191" s="147"/>
    </row>
    <row r="192" spans="24:24">
      <c r="X192" s="147"/>
    </row>
    <row r="193" spans="24:24">
      <c r="X193" s="147"/>
    </row>
    <row r="194" spans="24:24">
      <c r="X194" s="147"/>
    </row>
    <row r="195" spans="24:24">
      <c r="X195" s="147"/>
    </row>
    <row r="196" spans="24:24">
      <c r="X196" s="147"/>
    </row>
    <row r="197" spans="24:24">
      <c r="X197" s="147"/>
    </row>
    <row r="198" spans="24:24">
      <c r="X198" s="147"/>
    </row>
    <row r="199" spans="24:24">
      <c r="X199" s="147"/>
    </row>
    <row r="200" spans="24:24">
      <c r="X200" s="147"/>
    </row>
    <row r="201" spans="24:24">
      <c r="X201" s="147"/>
    </row>
    <row r="202" spans="24:24">
      <c r="X202" s="147"/>
    </row>
    <row r="203" spans="24:24">
      <c r="X203" s="147"/>
    </row>
    <row r="204" spans="24:24">
      <c r="X204" s="147"/>
    </row>
    <row r="205" spans="24:24">
      <c r="X205" s="147"/>
    </row>
    <row r="206" spans="24:24">
      <c r="X206" s="147"/>
    </row>
    <row r="207" spans="24:24">
      <c r="X207" s="147"/>
    </row>
    <row r="208" spans="24:24">
      <c r="X208" s="147"/>
    </row>
    <row r="209" spans="24:24">
      <c r="X209" s="147"/>
    </row>
    <row r="210" spans="24:24">
      <c r="X210" s="147"/>
    </row>
    <row r="211" spans="24:24">
      <c r="X211" s="147"/>
    </row>
    <row r="212" spans="24:24">
      <c r="X212" s="147"/>
    </row>
    <row r="213" spans="24:24">
      <c r="X213" s="147"/>
    </row>
    <row r="214" spans="24:24">
      <c r="X214" s="147"/>
    </row>
    <row r="215" spans="24:24">
      <c r="X215" s="147"/>
    </row>
    <row r="216" spans="24:24">
      <c r="X216" s="147"/>
    </row>
    <row r="217" spans="24:24">
      <c r="X217" s="147"/>
    </row>
    <row r="218" spans="24:24">
      <c r="X218" s="147"/>
    </row>
    <row r="219" spans="24:24">
      <c r="X219" s="147"/>
    </row>
    <row r="220" spans="24:24">
      <c r="X220" s="147"/>
    </row>
    <row r="221" spans="24:24">
      <c r="X221" s="147"/>
    </row>
    <row r="222" spans="24:24">
      <c r="X222" s="147"/>
    </row>
    <row r="223" spans="24:24">
      <c r="X223" s="147"/>
    </row>
    <row r="224" spans="24:24">
      <c r="X224" s="147"/>
    </row>
    <row r="225" spans="24:24">
      <c r="X225" s="147"/>
    </row>
    <row r="226" spans="24:24">
      <c r="X226" s="147"/>
    </row>
    <row r="227" spans="24:24">
      <c r="X227" s="147"/>
    </row>
    <row r="228" spans="24:24">
      <c r="X228" s="147"/>
    </row>
    <row r="229" spans="24:24">
      <c r="X229" s="147"/>
    </row>
    <row r="230" spans="24:24">
      <c r="X230" s="147"/>
    </row>
    <row r="231" spans="24:24">
      <c r="X231" s="147"/>
    </row>
    <row r="232" spans="24:24">
      <c r="X232" s="147"/>
    </row>
    <row r="233" spans="24:24">
      <c r="X233" s="147"/>
    </row>
    <row r="234" spans="24:24">
      <c r="X234" s="147"/>
    </row>
    <row r="235" spans="24:24">
      <c r="X235" s="147"/>
    </row>
    <row r="236" spans="24:24">
      <c r="X236" s="147"/>
    </row>
    <row r="237" spans="24:24">
      <c r="X237" s="147"/>
    </row>
    <row r="238" spans="24:24">
      <c r="X238" s="147"/>
    </row>
    <row r="239" spans="24:24">
      <c r="X239" s="147"/>
    </row>
    <row r="240" spans="24:24">
      <c r="X240" s="147"/>
    </row>
    <row r="241" spans="24:24">
      <c r="X241" s="147"/>
    </row>
    <row r="242" spans="24:24">
      <c r="X242" s="147"/>
    </row>
    <row r="243" spans="24:24">
      <c r="X243" s="147"/>
    </row>
    <row r="244" spans="24:24">
      <c r="X244" s="147"/>
    </row>
    <row r="245" spans="24:24">
      <c r="X245" s="147"/>
    </row>
    <row r="246" spans="24:24">
      <c r="X246" s="147"/>
    </row>
    <row r="247" spans="24:24">
      <c r="X247" s="147"/>
    </row>
    <row r="248" spans="24:24">
      <c r="X248" s="147"/>
    </row>
    <row r="249" spans="24:24">
      <c r="X249" s="147"/>
    </row>
    <row r="250" spans="24:24">
      <c r="X250" s="147"/>
    </row>
    <row r="251" spans="24:24">
      <c r="X251" s="147"/>
    </row>
    <row r="252" spans="24:24">
      <c r="X252" s="147"/>
    </row>
    <row r="253" spans="24:24">
      <c r="X253" s="147"/>
    </row>
    <row r="254" spans="24:24">
      <c r="X254" s="147"/>
    </row>
    <row r="255" spans="24:24">
      <c r="X255" s="147"/>
    </row>
    <row r="256" spans="24:24">
      <c r="X256" s="147"/>
    </row>
    <row r="257" spans="24:24">
      <c r="X257" s="147"/>
    </row>
    <row r="258" spans="24:24">
      <c r="X258" s="147"/>
    </row>
    <row r="259" spans="24:24">
      <c r="X259" s="147"/>
    </row>
    <row r="260" spans="24:24">
      <c r="X260" s="147"/>
    </row>
    <row r="261" spans="24:24">
      <c r="X261" s="147"/>
    </row>
    <row r="262" spans="24:24">
      <c r="X262" s="147"/>
    </row>
    <row r="263" spans="24:24">
      <c r="X263" s="147"/>
    </row>
    <row r="264" spans="24:24">
      <c r="X264" s="147"/>
    </row>
    <row r="265" spans="24:24">
      <c r="X265" s="147"/>
    </row>
    <row r="266" spans="24:24">
      <c r="X266" s="147"/>
    </row>
    <row r="267" spans="24:24">
      <c r="X267" s="147"/>
    </row>
    <row r="268" spans="24:24">
      <c r="X268" s="147"/>
    </row>
    <row r="269" spans="24:24">
      <c r="X269" s="147"/>
    </row>
    <row r="270" spans="24:24">
      <c r="X270" s="147"/>
    </row>
    <row r="271" spans="24:24">
      <c r="X271" s="147"/>
    </row>
    <row r="272" spans="24:24">
      <c r="X272" s="147"/>
    </row>
    <row r="273" spans="24:24">
      <c r="X273" s="147"/>
    </row>
    <row r="274" spans="24:24">
      <c r="X274" s="147"/>
    </row>
    <row r="275" spans="24:24">
      <c r="X275" s="147"/>
    </row>
    <row r="276" spans="24:24">
      <c r="X276" s="147"/>
    </row>
    <row r="277" spans="24:24">
      <c r="X277" s="147"/>
    </row>
    <row r="278" spans="24:24">
      <c r="X278" s="147"/>
    </row>
    <row r="279" spans="24:24">
      <c r="X279" s="147"/>
    </row>
    <row r="280" spans="24:24">
      <c r="X280" s="147"/>
    </row>
    <row r="281" spans="24:24">
      <c r="X281" s="147"/>
    </row>
    <row r="282" spans="24:24">
      <c r="X282" s="147"/>
    </row>
    <row r="283" spans="24:24">
      <c r="X283" s="147"/>
    </row>
    <row r="284" spans="24:24">
      <c r="X284" s="147"/>
    </row>
    <row r="285" spans="24:24">
      <c r="X285" s="147"/>
    </row>
    <row r="286" spans="24:24">
      <c r="X286" s="147"/>
    </row>
    <row r="287" spans="24:24">
      <c r="X287" s="147"/>
    </row>
    <row r="288" spans="24:24">
      <c r="X288" s="147"/>
    </row>
    <row r="289" spans="24:24">
      <c r="X289" s="147"/>
    </row>
    <row r="290" spans="24:24">
      <c r="X290" s="147"/>
    </row>
    <row r="291" spans="24:24">
      <c r="X291" s="147"/>
    </row>
    <row r="292" spans="24:24">
      <c r="X292" s="147"/>
    </row>
    <row r="293" spans="24:24">
      <c r="X293" s="147"/>
    </row>
    <row r="294" spans="24:24">
      <c r="X294" s="147"/>
    </row>
    <row r="295" spans="24:24">
      <c r="X295" s="147"/>
    </row>
    <row r="296" spans="24:24">
      <c r="X296" s="147"/>
    </row>
    <row r="297" spans="24:24">
      <c r="X297" s="147"/>
    </row>
    <row r="298" spans="24:24">
      <c r="X298" s="147"/>
    </row>
    <row r="299" spans="24:24">
      <c r="X299" s="147"/>
    </row>
    <row r="300" spans="24:24">
      <c r="X300" s="147"/>
    </row>
    <row r="301" spans="24:24">
      <c r="X301" s="147"/>
    </row>
    <row r="302" spans="24:24">
      <c r="X302" s="147"/>
    </row>
    <row r="303" spans="24:24">
      <c r="X303" s="147"/>
    </row>
    <row r="304" spans="24:24">
      <c r="X304" s="147"/>
    </row>
    <row r="305" spans="24:24">
      <c r="X305" s="147"/>
    </row>
    <row r="306" spans="24:24">
      <c r="X306" s="147"/>
    </row>
    <row r="307" spans="24:24">
      <c r="X307" s="147"/>
    </row>
    <row r="308" spans="24:24">
      <c r="X308" s="147"/>
    </row>
    <row r="309" spans="24:24">
      <c r="X309" s="147"/>
    </row>
    <row r="310" spans="24:24">
      <c r="X310" s="147"/>
    </row>
    <row r="311" spans="24:24">
      <c r="X311" s="147"/>
    </row>
    <row r="312" spans="24:24">
      <c r="X312" s="147"/>
    </row>
    <row r="313" spans="24:24">
      <c r="X313" s="147"/>
    </row>
    <row r="314" spans="24:24">
      <c r="X314" s="147"/>
    </row>
    <row r="315" spans="24:24">
      <c r="X315" s="147"/>
    </row>
    <row r="316" spans="24:24">
      <c r="X316" s="147"/>
    </row>
    <row r="317" spans="24:24">
      <c r="X317" s="147"/>
    </row>
    <row r="318" spans="24:24">
      <c r="X318" s="147"/>
    </row>
    <row r="319" spans="24:24">
      <c r="X319" s="147"/>
    </row>
    <row r="320" spans="24:24">
      <c r="X320" s="147"/>
    </row>
    <row r="321" spans="24:24">
      <c r="X321" s="147"/>
    </row>
    <row r="322" spans="24:24">
      <c r="X322" s="147"/>
    </row>
    <row r="323" spans="24:24">
      <c r="X323" s="147"/>
    </row>
    <row r="324" spans="24:24">
      <c r="X324" s="147"/>
    </row>
    <row r="325" spans="24:24">
      <c r="X325" s="147"/>
    </row>
    <row r="326" spans="24:24">
      <c r="X326" s="147"/>
    </row>
    <row r="327" spans="24:24">
      <c r="X327" s="147"/>
    </row>
    <row r="328" spans="24:24">
      <c r="X328" s="147"/>
    </row>
    <row r="329" spans="24:24">
      <c r="X329" s="147"/>
    </row>
    <row r="330" spans="24:24">
      <c r="X330" s="147"/>
    </row>
    <row r="331" spans="24:24">
      <c r="X331" s="147"/>
    </row>
    <row r="332" spans="24:24">
      <c r="X332" s="147"/>
    </row>
    <row r="333" spans="24:24">
      <c r="X333" s="147"/>
    </row>
    <row r="334" spans="24:24">
      <c r="X334" s="147"/>
    </row>
    <row r="335" spans="24:24">
      <c r="X335" s="147"/>
    </row>
    <row r="336" spans="24:24">
      <c r="X336" s="147"/>
    </row>
    <row r="337" spans="24:24">
      <c r="X337" s="147"/>
    </row>
    <row r="338" spans="24:24">
      <c r="X338" s="147"/>
    </row>
    <row r="339" spans="24:24">
      <c r="X339" s="147"/>
    </row>
    <row r="340" spans="24:24">
      <c r="X340" s="147"/>
    </row>
    <row r="341" spans="24:24">
      <c r="X341" s="147"/>
    </row>
    <row r="342" spans="24:24">
      <c r="X342" s="147"/>
    </row>
    <row r="343" spans="24:24">
      <c r="X343" s="147"/>
    </row>
    <row r="344" spans="24:24">
      <c r="X344" s="147"/>
    </row>
    <row r="345" spans="24:24">
      <c r="X345" s="147"/>
    </row>
    <row r="346" spans="24:24">
      <c r="X346" s="147"/>
    </row>
    <row r="347" spans="24:24">
      <c r="X347" s="147"/>
    </row>
    <row r="348" spans="24:24">
      <c r="X348" s="147"/>
    </row>
    <row r="349" spans="24:24">
      <c r="X349" s="147"/>
    </row>
    <row r="350" spans="24:24">
      <c r="X350" s="147"/>
    </row>
    <row r="351" spans="24:24">
      <c r="X351" s="147"/>
    </row>
    <row r="352" spans="24:24">
      <c r="X352" s="147"/>
    </row>
    <row r="353" spans="24:24">
      <c r="X353" s="147"/>
    </row>
    <row r="354" spans="24:24">
      <c r="X354" s="147"/>
    </row>
    <row r="355" spans="24:24">
      <c r="X355" s="147"/>
    </row>
    <row r="356" spans="24:24">
      <c r="X356" s="147"/>
    </row>
    <row r="357" spans="24:24">
      <c r="X357" s="147"/>
    </row>
    <row r="358" spans="24:24">
      <c r="X358" s="147"/>
    </row>
    <row r="359" spans="24:24">
      <c r="X359" s="147"/>
    </row>
    <row r="360" spans="24:24">
      <c r="X360" s="147"/>
    </row>
    <row r="361" spans="24:24">
      <c r="X361" s="147"/>
    </row>
    <row r="362" spans="24:24">
      <c r="X362" s="147"/>
    </row>
    <row r="363" spans="24:24">
      <c r="X363" s="147"/>
    </row>
    <row r="364" spans="24:24">
      <c r="X364" s="147"/>
    </row>
    <row r="365" spans="24:24">
      <c r="X365" s="147"/>
    </row>
    <row r="366" spans="24:24">
      <c r="X366" s="147"/>
    </row>
    <row r="367" spans="24:24">
      <c r="X367" s="147"/>
    </row>
    <row r="368" spans="24:24">
      <c r="X368" s="147"/>
    </row>
    <row r="369" spans="24:24">
      <c r="X369" s="147"/>
    </row>
    <row r="370" spans="24:24">
      <c r="X370" s="147"/>
    </row>
    <row r="371" spans="24:24">
      <c r="X371" s="147"/>
    </row>
    <row r="372" spans="24:24">
      <c r="X372" s="147"/>
    </row>
    <row r="373" spans="24:24">
      <c r="X373" s="147"/>
    </row>
    <row r="374" spans="24:24">
      <c r="X374" s="147"/>
    </row>
    <row r="375" spans="24:24">
      <c r="X375" s="147"/>
    </row>
    <row r="376" spans="24:24">
      <c r="X376" s="147"/>
    </row>
    <row r="377" spans="24:24">
      <c r="X377" s="147"/>
    </row>
    <row r="378" spans="24:24">
      <c r="X378" s="147"/>
    </row>
    <row r="379" spans="24:24">
      <c r="X379" s="147"/>
    </row>
    <row r="380" spans="24:24">
      <c r="X380" s="147"/>
    </row>
    <row r="381" spans="24:24">
      <c r="X381" s="147"/>
    </row>
    <row r="382" spans="24:24">
      <c r="X382" s="147"/>
    </row>
    <row r="383" spans="24:24">
      <c r="X383" s="147"/>
    </row>
    <row r="384" spans="24:24">
      <c r="X384" s="147"/>
    </row>
    <row r="385" spans="24:24">
      <c r="X385" s="147"/>
    </row>
    <row r="386" spans="24:24">
      <c r="X386" s="147"/>
    </row>
    <row r="387" spans="24:24">
      <c r="X387" s="147"/>
    </row>
    <row r="388" spans="24:24">
      <c r="X388" s="147"/>
    </row>
    <row r="389" spans="24:24">
      <c r="X389" s="147"/>
    </row>
    <row r="390" spans="24:24">
      <c r="X390" s="147"/>
    </row>
    <row r="391" spans="24:24">
      <c r="X391" s="147"/>
    </row>
    <row r="392" spans="24:24">
      <c r="X392" s="147"/>
    </row>
    <row r="393" spans="24:24">
      <c r="X393" s="147"/>
    </row>
    <row r="394" spans="24:24">
      <c r="X394" s="147"/>
    </row>
    <row r="395" spans="24:24">
      <c r="X395" s="147"/>
    </row>
    <row r="396" spans="24:24">
      <c r="X396" s="147"/>
    </row>
    <row r="397" spans="24:24">
      <c r="X397" s="147"/>
    </row>
    <row r="398" spans="24:24">
      <c r="X398" s="147"/>
    </row>
    <row r="399" spans="24:24">
      <c r="X399" s="147"/>
    </row>
    <row r="400" spans="24:24">
      <c r="X400" s="147"/>
    </row>
    <row r="401" spans="24:24">
      <c r="X401" s="147"/>
    </row>
    <row r="402" spans="24:24">
      <c r="X402" s="147"/>
    </row>
    <row r="403" spans="24:24">
      <c r="X403" s="147"/>
    </row>
    <row r="404" spans="24:24">
      <c r="X404" s="147"/>
    </row>
    <row r="405" spans="24:24">
      <c r="X405" s="147"/>
    </row>
    <row r="406" spans="24:24">
      <c r="X406" s="147"/>
    </row>
    <row r="407" spans="24:24">
      <c r="X407" s="147"/>
    </row>
    <row r="408" spans="24:24">
      <c r="X408" s="147"/>
    </row>
    <row r="409" spans="24:24">
      <c r="X409" s="147"/>
    </row>
    <row r="410" spans="24:24">
      <c r="X410" s="147"/>
    </row>
    <row r="411" spans="24:24">
      <c r="X411" s="147"/>
    </row>
    <row r="412" spans="24:24">
      <c r="X412" s="147"/>
    </row>
    <row r="413" spans="24:24">
      <c r="X413" s="147"/>
    </row>
    <row r="414" spans="24:24">
      <c r="X414" s="147"/>
    </row>
    <row r="415" spans="24:24">
      <c r="X415" s="147"/>
    </row>
    <row r="416" spans="24:24">
      <c r="X416" s="147"/>
    </row>
    <row r="417" spans="24:24">
      <c r="X417" s="147"/>
    </row>
    <row r="418" spans="24:24">
      <c r="X418" s="147"/>
    </row>
    <row r="419" spans="24:24">
      <c r="X419" s="147"/>
    </row>
    <row r="420" spans="24:24">
      <c r="X420" s="147"/>
    </row>
    <row r="421" spans="24:24">
      <c r="X421" s="147"/>
    </row>
    <row r="422" spans="24:24">
      <c r="X422" s="147"/>
    </row>
    <row r="423" spans="24:24">
      <c r="X423" s="147"/>
    </row>
    <row r="424" spans="24:24">
      <c r="X424" s="147"/>
    </row>
    <row r="425" spans="24:24">
      <c r="X425" s="147"/>
    </row>
    <row r="426" spans="24:24">
      <c r="X426" s="147"/>
    </row>
    <row r="427" spans="24:24">
      <c r="X427" s="147"/>
    </row>
    <row r="428" spans="24:24">
      <c r="X428" s="147"/>
    </row>
    <row r="429" spans="24:24">
      <c r="X429" s="147"/>
    </row>
    <row r="430" spans="24:24">
      <c r="X430" s="147"/>
    </row>
    <row r="431" spans="24:24">
      <c r="X431" s="147"/>
    </row>
    <row r="432" spans="24:24">
      <c r="X432" s="147"/>
    </row>
    <row r="433" spans="24:24">
      <c r="X433" s="147"/>
    </row>
    <row r="434" spans="24:24">
      <c r="X434" s="147"/>
    </row>
    <row r="435" spans="24:24">
      <c r="X435" s="147"/>
    </row>
    <row r="436" spans="24:24">
      <c r="X436" s="147"/>
    </row>
    <row r="437" spans="24:24">
      <c r="X437" s="147"/>
    </row>
    <row r="438" spans="24:24">
      <c r="X438" s="147"/>
    </row>
    <row r="439" spans="24:24">
      <c r="X439" s="147"/>
    </row>
    <row r="440" spans="24:24">
      <c r="X440" s="147"/>
    </row>
    <row r="441" spans="24:24">
      <c r="X441" s="147"/>
    </row>
    <row r="442" spans="24:24">
      <c r="X442" s="147"/>
    </row>
    <row r="443" spans="24:24">
      <c r="X443" s="147"/>
    </row>
    <row r="444" spans="24:24">
      <c r="X444" s="147"/>
    </row>
    <row r="445" spans="24:24">
      <c r="X445" s="147"/>
    </row>
    <row r="446" spans="24:24">
      <c r="X446" s="147"/>
    </row>
    <row r="447" spans="24:24">
      <c r="X447" s="147"/>
    </row>
    <row r="448" spans="24:24">
      <c r="X448" s="147"/>
    </row>
    <row r="449" spans="24:24">
      <c r="X449" s="147"/>
    </row>
    <row r="450" spans="24:24">
      <c r="X450" s="147"/>
    </row>
    <row r="451" spans="24:24">
      <c r="X451" s="147"/>
    </row>
    <row r="452" spans="24:24">
      <c r="X452" s="147"/>
    </row>
    <row r="453" spans="24:24">
      <c r="X453" s="147"/>
    </row>
    <row r="454" spans="24:24">
      <c r="X454" s="147"/>
    </row>
    <row r="455" spans="24:24">
      <c r="X455" s="147"/>
    </row>
    <row r="456" spans="24:24">
      <c r="X456" s="147"/>
    </row>
    <row r="457" spans="24:24">
      <c r="X457" s="147"/>
    </row>
    <row r="458" spans="24:24">
      <c r="X458" s="147"/>
    </row>
    <row r="459" spans="24:24">
      <c r="X459" s="147"/>
    </row>
    <row r="460" spans="24:24">
      <c r="X460" s="147"/>
    </row>
    <row r="461" spans="24:24">
      <c r="X461" s="147"/>
    </row>
    <row r="462" spans="24:24">
      <c r="X462" s="147"/>
    </row>
    <row r="463" spans="24:24">
      <c r="X463" s="147"/>
    </row>
    <row r="464" spans="24:24">
      <c r="X464" s="147"/>
    </row>
    <row r="465" spans="24:24">
      <c r="X465" s="147"/>
    </row>
    <row r="466" spans="24:24">
      <c r="X466" s="147"/>
    </row>
    <row r="467" spans="24:24">
      <c r="X467" s="147"/>
    </row>
    <row r="468" spans="24:24">
      <c r="X468" s="147"/>
    </row>
    <row r="469" spans="24:24">
      <c r="X469" s="147"/>
    </row>
    <row r="470" spans="24:24">
      <c r="X470" s="147"/>
    </row>
    <row r="471" spans="24:24">
      <c r="X471" s="147"/>
    </row>
    <row r="472" spans="24:24">
      <c r="X472" s="147"/>
    </row>
    <row r="473" spans="24:24">
      <c r="X473" s="147"/>
    </row>
    <row r="474" spans="24:24">
      <c r="X474" s="147"/>
    </row>
    <row r="475" spans="24:24">
      <c r="X475" s="147"/>
    </row>
    <row r="476" spans="24:24">
      <c r="X476" s="147"/>
    </row>
    <row r="477" spans="24:24">
      <c r="X477" s="147"/>
    </row>
    <row r="478" spans="24:24">
      <c r="X478" s="147"/>
    </row>
    <row r="479" spans="24:24">
      <c r="X479" s="147"/>
    </row>
    <row r="480" spans="24:24">
      <c r="X480" s="147"/>
    </row>
    <row r="481" spans="24:24">
      <c r="X481" s="147"/>
    </row>
    <row r="482" spans="24:24">
      <c r="X482" s="147"/>
    </row>
    <row r="483" spans="24:24">
      <c r="X483" s="147"/>
    </row>
    <row r="484" spans="24:24">
      <c r="X484" s="147"/>
    </row>
    <row r="485" spans="24:24">
      <c r="X485" s="147"/>
    </row>
    <row r="486" spans="24:24">
      <c r="X486" s="147"/>
    </row>
    <row r="487" spans="24:24">
      <c r="X487" s="147"/>
    </row>
    <row r="488" spans="24:24">
      <c r="X488" s="147"/>
    </row>
    <row r="489" spans="24:24">
      <c r="X489" s="147"/>
    </row>
    <row r="490" spans="24:24">
      <c r="X490" s="147"/>
    </row>
    <row r="491" spans="24:24">
      <c r="X491" s="147"/>
    </row>
    <row r="492" spans="24:24">
      <c r="X492" s="147"/>
    </row>
    <row r="493" spans="24:24">
      <c r="X493" s="147"/>
    </row>
    <row r="494" spans="24:24">
      <c r="X494" s="147"/>
    </row>
    <row r="495" spans="24:24">
      <c r="X495" s="147"/>
    </row>
    <row r="496" spans="24:24">
      <c r="X496" s="147"/>
    </row>
    <row r="497" spans="24:24">
      <c r="X497" s="147"/>
    </row>
    <row r="498" spans="24:24">
      <c r="X498" s="147"/>
    </row>
    <row r="499" spans="24:24">
      <c r="X499" s="147"/>
    </row>
    <row r="500" spans="24:24">
      <c r="X500" s="147"/>
    </row>
    <row r="501" spans="24:24">
      <c r="X501" s="147"/>
    </row>
    <row r="502" spans="24:24">
      <c r="X502" s="147"/>
    </row>
    <row r="503" spans="24:24">
      <c r="X503" s="147"/>
    </row>
    <row r="504" spans="24:24">
      <c r="X504" s="147"/>
    </row>
    <row r="505" spans="24:24">
      <c r="X505" s="147"/>
    </row>
    <row r="506" spans="24:24">
      <c r="X506" s="147"/>
    </row>
    <row r="507" spans="24:24">
      <c r="X507" s="147"/>
    </row>
    <row r="508" spans="24:24">
      <c r="X508" s="147"/>
    </row>
    <row r="509" spans="24:24">
      <c r="X509" s="147"/>
    </row>
    <row r="510" spans="24:24">
      <c r="X510" s="147"/>
    </row>
    <row r="511" spans="24:24">
      <c r="X511" s="147"/>
    </row>
    <row r="512" spans="24:24">
      <c r="X512" s="147"/>
    </row>
    <row r="513" spans="24:24">
      <c r="X513" s="147"/>
    </row>
    <row r="514" spans="24:24">
      <c r="X514" s="147"/>
    </row>
    <row r="515" spans="24:24">
      <c r="X515" s="147"/>
    </row>
    <row r="516" spans="24:24">
      <c r="X516" s="147"/>
    </row>
    <row r="517" spans="24:24">
      <c r="X517" s="147"/>
    </row>
    <row r="518" spans="24:24">
      <c r="X518" s="147"/>
    </row>
    <row r="519" spans="24:24">
      <c r="X519" s="147"/>
    </row>
    <row r="520" spans="24:24">
      <c r="X520" s="147"/>
    </row>
    <row r="521" spans="24:24">
      <c r="X521" s="147"/>
    </row>
    <row r="522" spans="24:24">
      <c r="X522" s="147"/>
    </row>
    <row r="523" spans="24:24">
      <c r="X523" s="147"/>
    </row>
    <row r="524" spans="24:24">
      <c r="X524" s="147"/>
    </row>
    <row r="525" spans="24:24">
      <c r="X525" s="147"/>
    </row>
    <row r="526" spans="24:24">
      <c r="X526" s="147"/>
    </row>
    <row r="527" spans="24:24">
      <c r="X527" s="147"/>
    </row>
    <row r="528" spans="24:24">
      <c r="X528" s="147"/>
    </row>
    <row r="529" spans="24:24">
      <c r="X529" s="147"/>
    </row>
    <row r="530" spans="24:24">
      <c r="X530" s="147"/>
    </row>
    <row r="531" spans="24:24">
      <c r="X531" s="147"/>
    </row>
    <row r="532" spans="24:24">
      <c r="X532" s="147"/>
    </row>
    <row r="533" spans="24:24">
      <c r="X533" s="147"/>
    </row>
    <row r="534" spans="24:24">
      <c r="X534" s="147"/>
    </row>
    <row r="535" spans="24:24">
      <c r="X535" s="147"/>
    </row>
    <row r="536" spans="24:24">
      <c r="X536" s="147"/>
    </row>
    <row r="537" spans="24:24">
      <c r="X537" s="147"/>
    </row>
    <row r="538" spans="24:24">
      <c r="X538" s="147"/>
    </row>
    <row r="539" spans="24:24">
      <c r="X539" s="147"/>
    </row>
    <row r="540" spans="24:24">
      <c r="X540" s="147"/>
    </row>
    <row r="541" spans="24:24">
      <c r="X541" s="147"/>
    </row>
    <row r="542" spans="24:24">
      <c r="X542" s="147"/>
    </row>
    <row r="543" spans="24:24">
      <c r="X543" s="147"/>
    </row>
    <row r="544" spans="24:24">
      <c r="X544" s="147"/>
    </row>
    <row r="545" spans="24:24">
      <c r="X545" s="147"/>
    </row>
    <row r="546" spans="24:24">
      <c r="X546" s="147"/>
    </row>
    <row r="547" spans="24:24">
      <c r="X547" s="147"/>
    </row>
    <row r="548" spans="24:24">
      <c r="X548" s="147"/>
    </row>
    <row r="549" spans="24:24">
      <c r="X549" s="147"/>
    </row>
    <row r="550" spans="24:24">
      <c r="X550" s="147"/>
    </row>
    <row r="551" spans="24:24">
      <c r="X551" s="147"/>
    </row>
    <row r="552" spans="24:24">
      <c r="X552" s="147"/>
    </row>
    <row r="553" spans="24:24">
      <c r="X553" s="147"/>
    </row>
    <row r="554" spans="24:24">
      <c r="X554" s="147"/>
    </row>
    <row r="555" spans="24:24">
      <c r="X555" s="147"/>
    </row>
    <row r="556" spans="24:24">
      <c r="X556" s="147"/>
    </row>
    <row r="557" spans="24:24">
      <c r="X557" s="147"/>
    </row>
    <row r="558" spans="24:24">
      <c r="X558" s="147"/>
    </row>
    <row r="559" spans="24:24">
      <c r="X559" s="147"/>
    </row>
    <row r="560" spans="24:24">
      <c r="X560" s="147"/>
    </row>
    <row r="561" spans="24:24">
      <c r="X561" s="147"/>
    </row>
    <row r="562" spans="24:24">
      <c r="X562" s="147"/>
    </row>
    <row r="563" spans="24:24">
      <c r="X563" s="147"/>
    </row>
    <row r="564" spans="24:24">
      <c r="X564" s="147"/>
    </row>
    <row r="565" spans="24:24">
      <c r="X565" s="147"/>
    </row>
    <row r="566" spans="24:24">
      <c r="X566" s="147"/>
    </row>
    <row r="567" spans="24:24">
      <c r="X567" s="147"/>
    </row>
    <row r="568" spans="24:24">
      <c r="X568" s="147"/>
    </row>
    <row r="569" spans="24:24">
      <c r="X569" s="147"/>
    </row>
    <row r="570" spans="24:24">
      <c r="X570" s="147"/>
    </row>
    <row r="571" spans="24:24">
      <c r="X571" s="147"/>
    </row>
    <row r="572" spans="24:24">
      <c r="X572" s="147"/>
    </row>
    <row r="573" spans="24:24">
      <c r="X573" s="147"/>
    </row>
    <row r="574" spans="24:24">
      <c r="X574" s="147"/>
    </row>
    <row r="575" spans="24:24">
      <c r="X575" s="147"/>
    </row>
    <row r="576" spans="24:24">
      <c r="X576" s="147"/>
    </row>
    <row r="577" spans="24:24">
      <c r="X577" s="147"/>
    </row>
    <row r="578" spans="24:24">
      <c r="X578" s="147"/>
    </row>
    <row r="579" spans="24:24">
      <c r="X579" s="147"/>
    </row>
    <row r="580" spans="24:24">
      <c r="X580" s="147"/>
    </row>
    <row r="581" spans="24:24">
      <c r="X581" s="147"/>
    </row>
    <row r="582" spans="24:24">
      <c r="X582" s="147"/>
    </row>
    <row r="583" spans="24:24">
      <c r="X583" s="147"/>
    </row>
    <row r="584" spans="24:24">
      <c r="X584" s="147"/>
    </row>
    <row r="585" spans="24:24">
      <c r="X585" s="147"/>
    </row>
    <row r="586" spans="24:24">
      <c r="X586" s="147"/>
    </row>
    <row r="587" spans="24:24">
      <c r="X587" s="147"/>
    </row>
    <row r="588" spans="24:24">
      <c r="X588" s="147"/>
    </row>
    <row r="589" spans="24:24">
      <c r="X589" s="147"/>
    </row>
    <row r="590" spans="24:24">
      <c r="X590" s="147"/>
    </row>
    <row r="591" spans="24:24">
      <c r="X591" s="147"/>
    </row>
    <row r="592" spans="24:24">
      <c r="X592" s="147"/>
    </row>
    <row r="593" spans="24:24">
      <c r="X593" s="147"/>
    </row>
    <row r="594" spans="24:24">
      <c r="X594" s="147"/>
    </row>
    <row r="595" spans="24:24">
      <c r="X595" s="147"/>
    </row>
    <row r="596" spans="24:24">
      <c r="X596" s="147"/>
    </row>
    <row r="597" spans="24:24">
      <c r="X597" s="147"/>
    </row>
    <row r="598" spans="24:24">
      <c r="X598" s="147"/>
    </row>
    <row r="599" spans="24:24">
      <c r="X599" s="147"/>
    </row>
    <row r="600" spans="24:24">
      <c r="X600" s="147"/>
    </row>
    <row r="601" spans="24:24">
      <c r="X601" s="147"/>
    </row>
    <row r="602" spans="24:24">
      <c r="X602" s="147"/>
    </row>
    <row r="603" spans="24:24">
      <c r="X603" s="147"/>
    </row>
    <row r="604" spans="24:24">
      <c r="X604" s="147"/>
    </row>
    <row r="605" spans="24:24">
      <c r="X605" s="147"/>
    </row>
    <row r="606" spans="24:24">
      <c r="X606" s="147"/>
    </row>
    <row r="607" spans="24:24">
      <c r="X607" s="147"/>
    </row>
    <row r="608" spans="24:24">
      <c r="X608" s="147"/>
    </row>
    <row r="609" spans="24:24">
      <c r="X609" s="147"/>
    </row>
    <row r="610" spans="24:24">
      <c r="X610" s="147"/>
    </row>
    <row r="611" spans="24:24">
      <c r="X611" s="147"/>
    </row>
    <row r="612" spans="24:24">
      <c r="X612" s="147"/>
    </row>
    <row r="613" spans="24:24">
      <c r="X613" s="147"/>
    </row>
    <row r="614" spans="24:24">
      <c r="X614" s="147"/>
    </row>
    <row r="615" spans="24:24">
      <c r="X615" s="147"/>
    </row>
    <row r="616" spans="24:24">
      <c r="X616" s="147"/>
    </row>
    <row r="617" spans="24:24">
      <c r="X617" s="147"/>
    </row>
    <row r="618" spans="24:24">
      <c r="X618" s="147"/>
    </row>
    <row r="619" spans="24:24">
      <c r="X619" s="147"/>
    </row>
    <row r="620" spans="24:24">
      <c r="X620" s="147"/>
    </row>
    <row r="621" spans="24:24">
      <c r="X621" s="147"/>
    </row>
    <row r="622" spans="24:24">
      <c r="X622" s="147"/>
    </row>
    <row r="623" spans="24:24">
      <c r="X623" s="147"/>
    </row>
    <row r="624" spans="24:24">
      <c r="X624" s="147"/>
    </row>
    <row r="625" spans="24:24">
      <c r="X625" s="147"/>
    </row>
    <row r="626" spans="24:24">
      <c r="X626" s="147"/>
    </row>
    <row r="627" spans="24:24">
      <c r="X627" s="147"/>
    </row>
    <row r="628" spans="24:24">
      <c r="X628" s="147"/>
    </row>
    <row r="629" spans="24:24">
      <c r="X629" s="147"/>
    </row>
    <row r="630" spans="24:24">
      <c r="X630" s="147"/>
    </row>
    <row r="631" spans="24:24">
      <c r="X631" s="147"/>
    </row>
    <row r="632" spans="24:24">
      <c r="X632" s="147"/>
    </row>
    <row r="633" spans="24:24">
      <c r="X633" s="147"/>
    </row>
    <row r="634" spans="24:24">
      <c r="X634" s="147"/>
    </row>
    <row r="635" spans="24:24">
      <c r="X635" s="147"/>
    </row>
    <row r="636" spans="24:24">
      <c r="X636" s="147"/>
    </row>
    <row r="637" spans="24:24">
      <c r="X637" s="147"/>
    </row>
    <row r="638" spans="24:24">
      <c r="X638" s="147"/>
    </row>
    <row r="639" spans="24:24">
      <c r="X639" s="147"/>
    </row>
    <row r="640" spans="24:24">
      <c r="X640" s="147"/>
    </row>
    <row r="641" spans="24:24">
      <c r="X641" s="147"/>
    </row>
    <row r="642" spans="24:24">
      <c r="X642" s="147"/>
    </row>
    <row r="643" spans="24:24">
      <c r="X643" s="147"/>
    </row>
    <row r="644" spans="24:24">
      <c r="X644" s="147"/>
    </row>
    <row r="645" spans="24:24">
      <c r="X645" s="147"/>
    </row>
    <row r="646" spans="24:24">
      <c r="X646" s="147"/>
    </row>
    <row r="647" spans="24:24">
      <c r="X647" s="147"/>
    </row>
    <row r="648" spans="24:24">
      <c r="X648" s="147"/>
    </row>
    <row r="649" spans="24:24">
      <c r="X649" s="147"/>
    </row>
    <row r="650" spans="24:24">
      <c r="X650" s="147"/>
    </row>
    <row r="651" spans="24:24">
      <c r="X651" s="147"/>
    </row>
    <row r="652" spans="24:24">
      <c r="X652" s="147"/>
    </row>
    <row r="653" spans="24:24">
      <c r="X653" s="147"/>
    </row>
    <row r="654" spans="24:24">
      <c r="X654" s="147"/>
    </row>
    <row r="655" spans="24:24">
      <c r="X655" s="147"/>
    </row>
    <row r="656" spans="24:24">
      <c r="X656" s="147"/>
    </row>
    <row r="657" spans="24:24">
      <c r="X657" s="147"/>
    </row>
    <row r="658" spans="24:24">
      <c r="X658" s="147"/>
    </row>
    <row r="659" spans="24:24">
      <c r="X659" s="147"/>
    </row>
    <row r="660" spans="24:24">
      <c r="X660" s="147"/>
    </row>
    <row r="661" spans="24:24">
      <c r="X661" s="147"/>
    </row>
    <row r="662" spans="24:24">
      <c r="X662" s="147"/>
    </row>
    <row r="663" spans="24:24">
      <c r="X663" s="147"/>
    </row>
    <row r="664" spans="24:24">
      <c r="X664" s="147"/>
    </row>
    <row r="665" spans="24:24">
      <c r="X665" s="147"/>
    </row>
    <row r="666" spans="24:24">
      <c r="X666" s="147"/>
    </row>
    <row r="667" spans="24:24">
      <c r="X667" s="147"/>
    </row>
    <row r="668" spans="24:24">
      <c r="X668" s="147"/>
    </row>
    <row r="669" spans="24:24">
      <c r="X669" s="147"/>
    </row>
    <row r="670" spans="24:24">
      <c r="X670" s="147"/>
    </row>
    <row r="671" spans="24:24">
      <c r="X671" s="147"/>
    </row>
    <row r="672" spans="24:24">
      <c r="X672" s="147"/>
    </row>
    <row r="673" spans="24:24">
      <c r="X673" s="147"/>
    </row>
    <row r="674" spans="24:24">
      <c r="X674" s="147"/>
    </row>
    <row r="675" spans="24:24">
      <c r="X675" s="147"/>
    </row>
    <row r="676" spans="24:24">
      <c r="X676" s="147"/>
    </row>
    <row r="677" spans="24:24">
      <c r="X677" s="147"/>
    </row>
    <row r="678" spans="24:24">
      <c r="X678" s="147"/>
    </row>
    <row r="679" spans="24:24">
      <c r="X679" s="147"/>
    </row>
    <row r="680" spans="24:24">
      <c r="X680" s="147"/>
    </row>
    <row r="681" spans="24:24">
      <c r="X681" s="147"/>
    </row>
    <row r="682" spans="24:24">
      <c r="X682" s="147"/>
    </row>
    <row r="683" spans="24:24">
      <c r="X683" s="147"/>
    </row>
    <row r="684" spans="24:24">
      <c r="X684" s="147"/>
    </row>
    <row r="685" spans="24:24">
      <c r="X685" s="147"/>
    </row>
    <row r="686" spans="24:24">
      <c r="X686" s="147"/>
    </row>
    <row r="687" spans="24:24">
      <c r="X687" s="147"/>
    </row>
    <row r="688" spans="24:24">
      <c r="X688" s="147"/>
    </row>
    <row r="689" spans="24:24">
      <c r="X689" s="147"/>
    </row>
    <row r="690" spans="24:24">
      <c r="X690" s="147"/>
    </row>
    <row r="691" spans="24:24">
      <c r="X691" s="147"/>
    </row>
    <row r="692" spans="24:24">
      <c r="X692" s="147"/>
    </row>
    <row r="693" spans="24:24">
      <c r="X693" s="147"/>
    </row>
    <row r="694" spans="24:24">
      <c r="X694" s="147"/>
    </row>
    <row r="695" spans="24:24">
      <c r="X695" s="147"/>
    </row>
    <row r="696" spans="24:24">
      <c r="X696" s="147"/>
    </row>
    <row r="697" spans="24:24">
      <c r="X697" s="147"/>
    </row>
    <row r="698" spans="24:24">
      <c r="X698" s="147"/>
    </row>
    <row r="699" spans="24:24">
      <c r="X699" s="147"/>
    </row>
    <row r="700" spans="24:24">
      <c r="X700" s="147"/>
    </row>
    <row r="701" spans="24:24">
      <c r="X701" s="147"/>
    </row>
    <row r="702" spans="24:24">
      <c r="X702" s="147"/>
    </row>
    <row r="703" spans="24:24">
      <c r="X703" s="147"/>
    </row>
    <row r="704" spans="24:24">
      <c r="X704" s="147"/>
    </row>
    <row r="705" spans="24:24">
      <c r="X705" s="147"/>
    </row>
    <row r="706" spans="24:24">
      <c r="X706" s="147"/>
    </row>
    <row r="707" spans="24:24">
      <c r="X707" s="147"/>
    </row>
    <row r="708" spans="24:24">
      <c r="X708" s="147"/>
    </row>
    <row r="709" spans="24:24">
      <c r="X709" s="147"/>
    </row>
    <row r="710" spans="24:24">
      <c r="X710" s="147"/>
    </row>
    <row r="711" spans="24:24">
      <c r="X711" s="147"/>
    </row>
    <row r="712" spans="24:24">
      <c r="X712" s="147"/>
    </row>
    <row r="713" spans="24:24">
      <c r="X713" s="147"/>
    </row>
    <row r="714" spans="24:24">
      <c r="X714" s="147"/>
    </row>
    <row r="715" spans="24:24">
      <c r="X715" s="147"/>
    </row>
    <row r="716" spans="24:24">
      <c r="X716" s="147"/>
    </row>
    <row r="717" spans="24:24">
      <c r="X717" s="147"/>
    </row>
    <row r="718" spans="24:24">
      <c r="X718" s="147"/>
    </row>
    <row r="719" spans="24:24">
      <c r="X719" s="147"/>
    </row>
    <row r="720" spans="24:24">
      <c r="X720" s="147"/>
    </row>
    <row r="721" spans="24:24">
      <c r="X721" s="147"/>
    </row>
    <row r="722" spans="24:24">
      <c r="X722" s="147"/>
    </row>
    <row r="723" spans="24:24">
      <c r="X723" s="147"/>
    </row>
    <row r="724" spans="24:24">
      <c r="X724" s="147"/>
    </row>
    <row r="725" spans="24:24">
      <c r="X725" s="147"/>
    </row>
    <row r="726" spans="24:24">
      <c r="X726" s="147"/>
    </row>
    <row r="727" spans="24:24">
      <c r="X727" s="147"/>
    </row>
    <row r="728" spans="24:24">
      <c r="X728" s="147"/>
    </row>
    <row r="729" spans="24:24">
      <c r="X729" s="147"/>
    </row>
    <row r="730" spans="24:24">
      <c r="X730" s="147"/>
    </row>
    <row r="731" spans="24:24">
      <c r="X731" s="147"/>
    </row>
    <row r="732" spans="24:24">
      <c r="X732" s="147"/>
    </row>
    <row r="733" spans="24:24">
      <c r="X733" s="147"/>
    </row>
    <row r="734" spans="24:24">
      <c r="X734" s="147"/>
    </row>
    <row r="735" spans="24:24">
      <c r="X735" s="147"/>
    </row>
    <row r="736" spans="24:24">
      <c r="X736" s="147"/>
    </row>
    <row r="737" spans="24:24">
      <c r="X737" s="147"/>
    </row>
    <row r="738" spans="24:24">
      <c r="X738" s="147"/>
    </row>
    <row r="739" spans="24:24">
      <c r="X739" s="147"/>
    </row>
    <row r="740" spans="24:24">
      <c r="X740" s="147"/>
    </row>
    <row r="741" spans="24:24">
      <c r="X741" s="147"/>
    </row>
    <row r="742" spans="24:24">
      <c r="X742" s="147"/>
    </row>
    <row r="743" spans="24:24">
      <c r="X743" s="147"/>
    </row>
    <row r="744" spans="24:24">
      <c r="X744" s="147"/>
    </row>
    <row r="745" spans="24:24">
      <c r="X745" s="147"/>
    </row>
    <row r="746" spans="24:24">
      <c r="X746" s="147"/>
    </row>
    <row r="747" spans="24:24">
      <c r="X747" s="147"/>
    </row>
    <row r="748" spans="24:24">
      <c r="X748" s="147"/>
    </row>
    <row r="749" spans="24:24">
      <c r="X749" s="147"/>
    </row>
    <row r="750" spans="24:24">
      <c r="X750" s="147"/>
    </row>
    <row r="751" spans="24:24">
      <c r="X751" s="147"/>
    </row>
    <row r="752" spans="24:24">
      <c r="X752" s="147"/>
    </row>
    <row r="753" spans="24:24">
      <c r="X753" s="147"/>
    </row>
    <row r="754" spans="24:24">
      <c r="X754" s="147"/>
    </row>
    <row r="755" spans="24:24">
      <c r="X755" s="147"/>
    </row>
    <row r="756" spans="24:24">
      <c r="X756" s="147"/>
    </row>
    <row r="757" spans="24:24">
      <c r="X757" s="147"/>
    </row>
    <row r="758" spans="24:24">
      <c r="X758" s="147"/>
    </row>
    <row r="759" spans="24:24">
      <c r="X759" s="147"/>
    </row>
    <row r="760" spans="24:24">
      <c r="X760" s="147"/>
    </row>
    <row r="761" spans="24:24">
      <c r="X761" s="147"/>
    </row>
    <row r="762" spans="24:24">
      <c r="X762" s="147"/>
    </row>
    <row r="763" spans="24:24">
      <c r="X763" s="147"/>
    </row>
    <row r="764" spans="24:24">
      <c r="X764" s="147"/>
    </row>
    <row r="765" spans="24:24">
      <c r="X765" s="147"/>
    </row>
    <row r="766" spans="24:24">
      <c r="X766" s="147"/>
    </row>
    <row r="767" spans="24:24">
      <c r="X767" s="147"/>
    </row>
    <row r="768" spans="24:24">
      <c r="X768" s="147"/>
    </row>
    <row r="769" spans="24:24">
      <c r="X769" s="147"/>
    </row>
    <row r="770" spans="24:24">
      <c r="X770" s="147"/>
    </row>
    <row r="771" spans="24:24">
      <c r="X771" s="147"/>
    </row>
    <row r="772" spans="24:24">
      <c r="X772" s="147"/>
    </row>
    <row r="773" spans="24:24">
      <c r="X773" s="147"/>
    </row>
    <row r="774" spans="24:24">
      <c r="X774" s="147"/>
    </row>
    <row r="775" spans="24:24">
      <c r="X775" s="147"/>
    </row>
    <row r="776" spans="24:24">
      <c r="X776" s="147"/>
    </row>
    <row r="777" spans="24:24">
      <c r="X777" s="147"/>
    </row>
    <row r="778" spans="24:24">
      <c r="X778" s="147"/>
    </row>
    <row r="779" spans="24:24">
      <c r="X779" s="147"/>
    </row>
    <row r="780" spans="24:24">
      <c r="X780" s="147"/>
    </row>
    <row r="781" spans="24:24">
      <c r="X781" s="147"/>
    </row>
    <row r="782" spans="24:24">
      <c r="X782" s="147"/>
    </row>
    <row r="783" spans="24:24">
      <c r="X783" s="147"/>
    </row>
    <row r="784" spans="24:24">
      <c r="X784" s="147"/>
    </row>
    <row r="785" spans="24:24">
      <c r="X785" s="147"/>
    </row>
    <row r="786" spans="24:24">
      <c r="X786" s="147"/>
    </row>
    <row r="787" spans="24:24">
      <c r="X787" s="147"/>
    </row>
    <row r="788" spans="24:24">
      <c r="X788" s="147"/>
    </row>
    <row r="789" spans="24:24">
      <c r="X789" s="147"/>
    </row>
    <row r="790" spans="24:24">
      <c r="X790" s="147"/>
    </row>
    <row r="791" spans="24:24">
      <c r="X791" s="147"/>
    </row>
    <row r="792" spans="24:24">
      <c r="X792" s="147"/>
    </row>
    <row r="793" spans="24:24">
      <c r="X793" s="147"/>
    </row>
    <row r="794" spans="24:24">
      <c r="X794" s="147"/>
    </row>
    <row r="795" spans="24:24">
      <c r="X795" s="147"/>
    </row>
    <row r="796" spans="24:24">
      <c r="X796" s="147"/>
    </row>
    <row r="797" spans="24:24">
      <c r="X797" s="147"/>
    </row>
    <row r="798" spans="24:24">
      <c r="X798" s="147"/>
    </row>
    <row r="799" spans="24:24">
      <c r="X799" s="147"/>
    </row>
    <row r="800" spans="24:24">
      <c r="X800" s="147"/>
    </row>
    <row r="801" spans="24:24">
      <c r="X801" s="147"/>
    </row>
    <row r="802" spans="24:24">
      <c r="X802" s="147"/>
    </row>
    <row r="803" spans="24:24">
      <c r="X803" s="147"/>
    </row>
    <row r="804" spans="24:24">
      <c r="X804" s="147"/>
    </row>
    <row r="805" spans="24:24">
      <c r="X805" s="147"/>
    </row>
    <row r="806" spans="24:24">
      <c r="X806" s="147"/>
    </row>
    <row r="807" spans="24:24">
      <c r="X807" s="147"/>
    </row>
    <row r="808" spans="24:24">
      <c r="X808" s="147"/>
    </row>
    <row r="809" spans="24:24">
      <c r="X809" s="147"/>
    </row>
    <row r="810" spans="24:24">
      <c r="X810" s="147"/>
    </row>
    <row r="811" spans="24:24">
      <c r="X811" s="147"/>
    </row>
    <row r="812" spans="24:24">
      <c r="X812" s="147"/>
    </row>
    <row r="813" spans="24:24">
      <c r="X813" s="147"/>
    </row>
    <row r="814" spans="24:24">
      <c r="X814" s="147"/>
    </row>
    <row r="815" spans="24:24">
      <c r="X815" s="147"/>
    </row>
    <row r="816" spans="24:24">
      <c r="X816" s="147"/>
    </row>
    <row r="817" spans="24:24">
      <c r="X817" s="147"/>
    </row>
    <row r="818" spans="24:24">
      <c r="X818" s="147"/>
    </row>
    <row r="819" spans="24:24">
      <c r="X819" s="147"/>
    </row>
    <row r="820" spans="24:24">
      <c r="X820" s="147"/>
    </row>
    <row r="821" spans="24:24">
      <c r="X821" s="147"/>
    </row>
    <row r="822" spans="24:24">
      <c r="X822" s="147"/>
    </row>
    <row r="823" spans="24:24">
      <c r="X823" s="147"/>
    </row>
    <row r="824" spans="24:24">
      <c r="X824" s="147"/>
    </row>
    <row r="825" spans="24:24">
      <c r="X825" s="147"/>
    </row>
    <row r="826" spans="24:24">
      <c r="X826" s="147"/>
    </row>
    <row r="827" spans="24:24">
      <c r="X827" s="147"/>
    </row>
    <row r="828" spans="24:24">
      <c r="X828" s="147"/>
    </row>
    <row r="829" spans="24:24">
      <c r="X829" s="147"/>
    </row>
    <row r="830" spans="24:24">
      <c r="X830" s="147"/>
    </row>
    <row r="831" spans="24:24">
      <c r="X831" s="147"/>
    </row>
    <row r="832" spans="24:24">
      <c r="X832" s="147"/>
    </row>
    <row r="833" spans="24:24">
      <c r="X833" s="147"/>
    </row>
    <row r="834" spans="24:24">
      <c r="X834" s="147"/>
    </row>
    <row r="835" spans="24:24">
      <c r="X835" s="147"/>
    </row>
    <row r="836" spans="24:24">
      <c r="X836" s="147"/>
    </row>
    <row r="837" spans="24:24">
      <c r="X837" s="147"/>
    </row>
    <row r="838" spans="24:24">
      <c r="X838" s="147"/>
    </row>
    <row r="839" spans="24:24">
      <c r="X839" s="147"/>
    </row>
    <row r="840" spans="24:24">
      <c r="X840" s="147"/>
    </row>
    <row r="841" spans="24:24">
      <c r="X841" s="147"/>
    </row>
    <row r="842" spans="24:24">
      <c r="X842" s="147"/>
    </row>
    <row r="843" spans="24:24">
      <c r="X843" s="147"/>
    </row>
    <row r="844" spans="24:24">
      <c r="X844" s="14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2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144</v>
      </c>
      <c r="N1" s="19" t="s">
        <v>120</v>
      </c>
      <c r="O1" s="19" t="s">
        <v>9</v>
      </c>
      <c r="P1" s="19" t="s">
        <v>10</v>
      </c>
      <c r="Q1" s="19" t="s">
        <v>172</v>
      </c>
      <c r="R1" s="19" t="s">
        <v>11</v>
      </c>
      <c r="S1" s="19" t="s">
        <v>12</v>
      </c>
      <c r="T1" s="19" t="s">
        <v>908</v>
      </c>
      <c r="U1" s="19" t="s">
        <v>13</v>
      </c>
      <c r="V1" s="139" t="s">
        <v>14</v>
      </c>
      <c r="W1" s="19" t="s">
        <v>15</v>
      </c>
      <c r="X1" s="19" t="s">
        <v>407</v>
      </c>
      <c r="Y1" s="19" t="s">
        <v>829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160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3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3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3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3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3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3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3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3"/>
      <c r="W9" s="18"/>
      <c r="X9" s="18"/>
      <c r="Y9" s="18"/>
      <c r="Z9" s="18"/>
      <c r="AB9" s="20"/>
      <c r="AC9" s="20"/>
      <c r="AD9" s="26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3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3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3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3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3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3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3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3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3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3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87"/>
  <sheetViews>
    <sheetView rightToLeft="1" topLeftCell="A411" zoomScale="70" zoomScaleNormal="70" workbookViewId="0">
      <selection activeCell="D430" sqref="D430"/>
    </sheetView>
  </sheetViews>
  <sheetFormatPr defaultColWidth="11.625" defaultRowHeight="14.25"/>
  <cols>
    <col min="1" max="2" width="11.625" style="2" customWidth="1"/>
    <col min="3" max="3" width="20.25" style="2" customWidth="1"/>
    <col min="4" max="4" width="17.5" style="2" customWidth="1"/>
    <col min="5" max="5" width="11.625" style="4" customWidth="1"/>
    <col min="6" max="6" width="20.75" style="2" customWidth="1"/>
    <col min="7" max="7" width="16.25" style="2" customWidth="1"/>
    <col min="8" max="21" width="11.625" style="2" customWidth="1"/>
    <col min="22" max="22" width="11.625" style="141" customWidth="1"/>
    <col min="23" max="23" width="11.625" style="2" customWidth="1"/>
    <col min="24" max="25" width="11.625" style="4" customWidth="1"/>
    <col min="26" max="26" width="17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8</v>
      </c>
      <c r="N1" s="19" t="s">
        <v>144</v>
      </c>
      <c r="O1" s="19" t="s">
        <v>120</v>
      </c>
      <c r="P1" s="19" t="s">
        <v>9</v>
      </c>
      <c r="Q1" s="19" t="s">
        <v>10</v>
      </c>
      <c r="R1" s="19" t="s">
        <v>172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407</v>
      </c>
      <c r="Y1" s="19" t="s">
        <v>829</v>
      </c>
      <c r="Z1" s="19" t="s">
        <v>17</v>
      </c>
      <c r="AA1" s="157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160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>
        <v>337</v>
      </c>
      <c r="B2" s="20">
        <v>1405</v>
      </c>
      <c r="C2" s="20" t="s">
        <v>1804</v>
      </c>
      <c r="D2" s="20" t="s">
        <v>1805</v>
      </c>
      <c r="E2" s="18" t="s">
        <v>1303</v>
      </c>
      <c r="F2" s="20" t="s">
        <v>1806</v>
      </c>
      <c r="G2" s="20" t="s">
        <v>1807</v>
      </c>
      <c r="H2" s="18" t="s">
        <v>318</v>
      </c>
      <c r="I2" s="26" t="s">
        <v>754</v>
      </c>
      <c r="J2" s="18" t="s">
        <v>79</v>
      </c>
      <c r="K2" s="18" t="s">
        <v>30</v>
      </c>
      <c r="L2" s="20" t="s">
        <v>324</v>
      </c>
      <c r="M2" s="18" t="s">
        <v>164</v>
      </c>
      <c r="N2" s="20" t="s">
        <v>483</v>
      </c>
      <c r="O2" s="20" t="s">
        <v>134</v>
      </c>
      <c r="P2" s="20" t="s">
        <v>1808</v>
      </c>
      <c r="Q2" s="20" t="s">
        <v>429</v>
      </c>
      <c r="R2" s="20" t="s">
        <v>403</v>
      </c>
      <c r="S2" s="18" t="s">
        <v>84</v>
      </c>
      <c r="T2" s="153">
        <v>0.23899999999999999</v>
      </c>
      <c r="U2" s="20" t="s">
        <v>1809</v>
      </c>
      <c r="V2" s="171">
        <v>6.1249999999999999E-2</v>
      </c>
      <c r="W2" s="172">
        <v>6.862E-2</v>
      </c>
      <c r="X2" s="18" t="s">
        <v>409</v>
      </c>
      <c r="Y2" s="18" t="s">
        <v>134</v>
      </c>
      <c r="Z2" s="153">
        <v>6000</v>
      </c>
      <c r="AA2" s="173">
        <v>3.718</v>
      </c>
      <c r="AB2" s="174">
        <v>101.505</v>
      </c>
      <c r="AC2" s="20"/>
      <c r="AD2" s="153">
        <v>22.643999999999998</v>
      </c>
      <c r="AE2" s="20"/>
      <c r="AF2" s="26"/>
      <c r="AG2" s="18" t="s">
        <v>36</v>
      </c>
      <c r="AH2" s="164">
        <v>1.0000000000000001E-5</v>
      </c>
      <c r="AI2" s="164">
        <v>6.1438228141515597E-3</v>
      </c>
      <c r="AJ2" s="164">
        <v>2.4701817339217698E-3</v>
      </c>
    </row>
    <row r="3" spans="1:36">
      <c r="A3" s="20">
        <v>337</v>
      </c>
      <c r="B3" s="20">
        <v>1405</v>
      </c>
      <c r="C3" s="20" t="s">
        <v>1810</v>
      </c>
      <c r="D3" s="20" t="s">
        <v>1811</v>
      </c>
      <c r="E3" s="18" t="s">
        <v>1303</v>
      </c>
      <c r="F3" s="20" t="s">
        <v>1812</v>
      </c>
      <c r="G3" s="20" t="s">
        <v>1813</v>
      </c>
      <c r="H3" s="18" t="s">
        <v>318</v>
      </c>
      <c r="I3" s="20" t="s">
        <v>965</v>
      </c>
      <c r="J3" s="18" t="s">
        <v>30</v>
      </c>
      <c r="K3" s="18" t="s">
        <v>30</v>
      </c>
      <c r="L3" s="20" t="s">
        <v>324</v>
      </c>
      <c r="M3" s="18" t="s">
        <v>41</v>
      </c>
      <c r="N3" s="20" t="s">
        <v>443</v>
      </c>
      <c r="O3" s="20" t="s">
        <v>134</v>
      </c>
      <c r="P3" s="20" t="s">
        <v>1814</v>
      </c>
      <c r="Q3" s="20" t="s">
        <v>412</v>
      </c>
      <c r="R3" s="20" t="s">
        <v>403</v>
      </c>
      <c r="S3" s="18" t="s">
        <v>34</v>
      </c>
      <c r="T3" s="153">
        <v>1.456</v>
      </c>
      <c r="U3" s="20" t="s">
        <v>94</v>
      </c>
      <c r="V3" s="171">
        <v>3.5000000000000003E-2</v>
      </c>
      <c r="W3" s="172">
        <v>5.4859999999999999E-2</v>
      </c>
      <c r="X3" s="18" t="s">
        <v>409</v>
      </c>
      <c r="Y3" s="18" t="s">
        <v>134</v>
      </c>
      <c r="Z3" s="153">
        <v>28912</v>
      </c>
      <c r="AA3" s="173">
        <v>1</v>
      </c>
      <c r="AB3" s="174">
        <v>97.31</v>
      </c>
      <c r="AC3" s="20"/>
      <c r="AD3" s="153">
        <v>28.134</v>
      </c>
      <c r="AE3" s="20"/>
      <c r="AG3" s="18" t="s">
        <v>36</v>
      </c>
      <c r="AH3" s="164">
        <v>2.0799999999999999E-4</v>
      </c>
      <c r="AI3" s="164">
        <v>7.6335215353647203E-3</v>
      </c>
      <c r="AJ3" s="164">
        <v>3.0691291126956699E-3</v>
      </c>
    </row>
    <row r="4" spans="1:36">
      <c r="A4" s="20">
        <v>337</v>
      </c>
      <c r="B4" s="20">
        <v>1405</v>
      </c>
      <c r="C4" s="20" t="s">
        <v>1810</v>
      </c>
      <c r="D4" s="20" t="s">
        <v>1811</v>
      </c>
      <c r="E4" s="18" t="s">
        <v>1303</v>
      </c>
      <c r="F4" s="20" t="s">
        <v>1815</v>
      </c>
      <c r="G4" s="20" t="s">
        <v>1816</v>
      </c>
      <c r="H4" s="18" t="s">
        <v>318</v>
      </c>
      <c r="I4" s="20" t="s">
        <v>753</v>
      </c>
      <c r="J4" s="18" t="s">
        <v>30</v>
      </c>
      <c r="K4" s="18" t="s">
        <v>30</v>
      </c>
      <c r="L4" s="20" t="s">
        <v>324</v>
      </c>
      <c r="M4" s="18" t="s">
        <v>41</v>
      </c>
      <c r="N4" s="20" t="s">
        <v>443</v>
      </c>
      <c r="O4" s="20" t="s">
        <v>134</v>
      </c>
      <c r="P4" s="20" t="s">
        <v>1814</v>
      </c>
      <c r="Q4" s="20" t="s">
        <v>412</v>
      </c>
      <c r="R4" s="20" t="s">
        <v>403</v>
      </c>
      <c r="S4" s="18" t="s">
        <v>34</v>
      </c>
      <c r="T4" s="153">
        <v>2.367</v>
      </c>
      <c r="U4" s="20" t="s">
        <v>1817</v>
      </c>
      <c r="V4" s="171">
        <v>3.85E-2</v>
      </c>
      <c r="W4" s="172">
        <v>3.3009999999999998E-2</v>
      </c>
      <c r="X4" s="18" t="s">
        <v>409</v>
      </c>
      <c r="Y4" s="18" t="s">
        <v>134</v>
      </c>
      <c r="Z4" s="153">
        <v>19000</v>
      </c>
      <c r="AA4" s="173">
        <v>1</v>
      </c>
      <c r="AB4" s="174">
        <v>108.67</v>
      </c>
      <c r="AC4" s="20"/>
      <c r="AD4" s="153">
        <v>20.646999999999998</v>
      </c>
      <c r="AE4" s="20"/>
      <c r="AG4" s="18" t="s">
        <v>36</v>
      </c>
      <c r="AH4" s="164">
        <v>6.3E-5</v>
      </c>
      <c r="AI4" s="164">
        <v>5.6021224251803503E-3</v>
      </c>
      <c r="AJ4" s="164">
        <v>2.2523859988278399E-3</v>
      </c>
    </row>
    <row r="5" spans="1:36">
      <c r="A5" s="20">
        <v>337</v>
      </c>
      <c r="B5" s="20">
        <v>1405</v>
      </c>
      <c r="C5" s="20" t="s">
        <v>1818</v>
      </c>
      <c r="D5" s="20" t="s">
        <v>1819</v>
      </c>
      <c r="E5" s="18" t="s">
        <v>1303</v>
      </c>
      <c r="F5" s="20" t="s">
        <v>1820</v>
      </c>
      <c r="G5" s="20" t="s">
        <v>1821</v>
      </c>
      <c r="H5" s="18" t="s">
        <v>318</v>
      </c>
      <c r="I5" s="20" t="s">
        <v>753</v>
      </c>
      <c r="J5" s="18" t="s">
        <v>30</v>
      </c>
      <c r="K5" s="18" t="s">
        <v>295</v>
      </c>
      <c r="L5" s="20" t="s">
        <v>324</v>
      </c>
      <c r="M5" s="18" t="s">
        <v>41</v>
      </c>
      <c r="N5" s="20" t="s">
        <v>461</v>
      </c>
      <c r="O5" s="20" t="s">
        <v>134</v>
      </c>
      <c r="P5" s="20" t="s">
        <v>1814</v>
      </c>
      <c r="Q5" s="20" t="s">
        <v>412</v>
      </c>
      <c r="R5" s="20" t="s">
        <v>403</v>
      </c>
      <c r="S5" s="18" t="s">
        <v>34</v>
      </c>
      <c r="T5" s="153">
        <v>2.87</v>
      </c>
      <c r="U5" s="20" t="s">
        <v>74</v>
      </c>
      <c r="V5" s="171">
        <v>2.4500000000000001E-2</v>
      </c>
      <c r="W5" s="172">
        <v>3.3500000000000002E-2</v>
      </c>
      <c r="X5" s="18" t="s">
        <v>409</v>
      </c>
      <c r="Y5" s="18" t="s">
        <v>134</v>
      </c>
      <c r="Z5" s="153">
        <v>4565.22</v>
      </c>
      <c r="AA5" s="173">
        <v>1</v>
      </c>
      <c r="AB5" s="174">
        <v>112.51</v>
      </c>
      <c r="AC5" s="20"/>
      <c r="AD5" s="153">
        <v>5.1360000000000001</v>
      </c>
      <c r="AE5" s="20"/>
      <c r="AG5" s="18" t="s">
        <v>36</v>
      </c>
      <c r="AH5" s="164">
        <v>1.0000000000000001E-5</v>
      </c>
      <c r="AI5" s="164">
        <v>1.39361291777864E-3</v>
      </c>
      <c r="AJ5" s="164">
        <v>5.6031517799062802E-4</v>
      </c>
    </row>
    <row r="6" spans="1:36">
      <c r="A6" s="20">
        <v>337</v>
      </c>
      <c r="B6" s="20">
        <v>1405</v>
      </c>
      <c r="C6" s="20" t="s">
        <v>1822</v>
      </c>
      <c r="D6" s="20" t="s">
        <v>1823</v>
      </c>
      <c r="E6" s="18" t="s">
        <v>1303</v>
      </c>
      <c r="F6" s="20" t="s">
        <v>1824</v>
      </c>
      <c r="G6" s="20" t="s">
        <v>1825</v>
      </c>
      <c r="H6" s="18" t="s">
        <v>318</v>
      </c>
      <c r="I6" s="20" t="s">
        <v>753</v>
      </c>
      <c r="J6" s="18" t="s">
        <v>30</v>
      </c>
      <c r="K6" s="18" t="s">
        <v>30</v>
      </c>
      <c r="L6" s="20" t="s">
        <v>324</v>
      </c>
      <c r="M6" s="18" t="s">
        <v>41</v>
      </c>
      <c r="N6" s="20" t="s">
        <v>452</v>
      </c>
      <c r="O6" s="20" t="s">
        <v>134</v>
      </c>
      <c r="P6" s="20" t="s">
        <v>1826</v>
      </c>
      <c r="Q6" s="20" t="s">
        <v>410</v>
      </c>
      <c r="R6" s="20" t="s">
        <v>403</v>
      </c>
      <c r="S6" s="18" t="s">
        <v>34</v>
      </c>
      <c r="T6" s="153">
        <v>5.1289999999999996</v>
      </c>
      <c r="U6" s="20" t="s">
        <v>1827</v>
      </c>
      <c r="V6" s="171">
        <v>5.1499999999999997E-2</v>
      </c>
      <c r="W6" s="172">
        <v>4.5159999999999999E-2</v>
      </c>
      <c r="X6" s="18" t="s">
        <v>409</v>
      </c>
      <c r="Y6" s="18" t="s">
        <v>134</v>
      </c>
      <c r="Z6" s="151">
        <v>0.77</v>
      </c>
      <c r="AA6" s="158">
        <v>1</v>
      </c>
      <c r="AB6" s="175">
        <v>146.6</v>
      </c>
      <c r="AC6" s="20"/>
      <c r="AD6" s="151">
        <v>1E-3</v>
      </c>
      <c r="AG6" s="2" t="s">
        <v>36</v>
      </c>
      <c r="AH6" s="164">
        <v>0</v>
      </c>
      <c r="AI6" s="164">
        <v>3.0627674494932002E-7</v>
      </c>
      <c r="AJ6" s="164">
        <v>1.2314144528324999E-7</v>
      </c>
    </row>
    <row r="7" spans="1:36">
      <c r="A7" s="20">
        <v>337</v>
      </c>
      <c r="B7" s="20">
        <v>1405</v>
      </c>
      <c r="C7" s="20" t="s">
        <v>1430</v>
      </c>
      <c r="D7" s="20" t="s">
        <v>1431</v>
      </c>
      <c r="E7" s="18" t="s">
        <v>1303</v>
      </c>
      <c r="F7" s="20" t="s">
        <v>1828</v>
      </c>
      <c r="G7" s="20" t="s">
        <v>1829</v>
      </c>
      <c r="H7" s="18" t="s">
        <v>318</v>
      </c>
      <c r="I7" s="20" t="s">
        <v>753</v>
      </c>
      <c r="J7" s="18" t="s">
        <v>30</v>
      </c>
      <c r="K7" s="18" t="s">
        <v>30</v>
      </c>
      <c r="L7" s="20" t="s">
        <v>324</v>
      </c>
      <c r="M7" s="18" t="s">
        <v>41</v>
      </c>
      <c r="N7" s="20" t="s">
        <v>436</v>
      </c>
      <c r="O7" s="20" t="s">
        <v>134</v>
      </c>
      <c r="P7" s="20" t="s">
        <v>1830</v>
      </c>
      <c r="Q7" s="20" t="s">
        <v>410</v>
      </c>
      <c r="R7" s="20" t="s">
        <v>403</v>
      </c>
      <c r="S7" s="18" t="s">
        <v>34</v>
      </c>
      <c r="T7" s="153">
        <v>2.7240000000000002</v>
      </c>
      <c r="U7" s="20" t="s">
        <v>1831</v>
      </c>
      <c r="V7" s="171">
        <v>2.75E-2</v>
      </c>
      <c r="W7" s="172">
        <v>3.075E-2</v>
      </c>
      <c r="X7" s="18" t="s">
        <v>409</v>
      </c>
      <c r="Y7" s="18" t="s">
        <v>134</v>
      </c>
      <c r="Z7" s="151">
        <v>32076.49</v>
      </c>
      <c r="AA7" s="158">
        <v>1</v>
      </c>
      <c r="AB7" s="175">
        <v>114.05</v>
      </c>
      <c r="AC7" s="20"/>
      <c r="AD7" s="151">
        <v>36.582999999999998</v>
      </c>
      <c r="AG7" s="2" t="s">
        <v>36</v>
      </c>
      <c r="AH7" s="164">
        <v>4.3000000000000002E-5</v>
      </c>
      <c r="AI7" s="164">
        <v>9.9259356678625607E-3</v>
      </c>
      <c r="AJ7" s="164">
        <v>3.9908157706567303E-3</v>
      </c>
    </row>
    <row r="8" spans="1:36">
      <c r="A8" s="20">
        <v>337</v>
      </c>
      <c r="B8" s="20">
        <v>1405</v>
      </c>
      <c r="C8" s="20" t="s">
        <v>1442</v>
      </c>
      <c r="D8" s="20" t="s">
        <v>1443</v>
      </c>
      <c r="E8" s="18" t="s">
        <v>1303</v>
      </c>
      <c r="F8" s="20" t="s">
        <v>1832</v>
      </c>
      <c r="G8" s="20" t="s">
        <v>1833</v>
      </c>
      <c r="H8" s="18" t="s">
        <v>318</v>
      </c>
      <c r="I8" s="20" t="s">
        <v>965</v>
      </c>
      <c r="J8" s="18" t="s">
        <v>30</v>
      </c>
      <c r="K8" s="18" t="s">
        <v>30</v>
      </c>
      <c r="L8" s="20" t="s">
        <v>324</v>
      </c>
      <c r="M8" s="18" t="s">
        <v>41</v>
      </c>
      <c r="N8" s="20" t="s">
        <v>452</v>
      </c>
      <c r="O8" s="20" t="s">
        <v>134</v>
      </c>
      <c r="P8" s="20" t="s">
        <v>1834</v>
      </c>
      <c r="Q8" s="20" t="s">
        <v>410</v>
      </c>
      <c r="R8" s="20" t="s">
        <v>403</v>
      </c>
      <c r="S8" s="18" t="s">
        <v>34</v>
      </c>
      <c r="T8" s="153">
        <v>7.4489999999999998</v>
      </c>
      <c r="U8" s="20" t="s">
        <v>1835</v>
      </c>
      <c r="V8" s="171">
        <v>2.4E-2</v>
      </c>
      <c r="W8" s="172">
        <v>5.0520000000000002E-2</v>
      </c>
      <c r="X8" s="18" t="s">
        <v>409</v>
      </c>
      <c r="Y8" s="18" t="s">
        <v>134</v>
      </c>
      <c r="Z8" s="153">
        <v>36491</v>
      </c>
      <c r="AA8" s="173">
        <v>1</v>
      </c>
      <c r="AB8" s="174">
        <v>82.99</v>
      </c>
      <c r="AC8" s="20"/>
      <c r="AD8" s="153">
        <v>30.283999999999999</v>
      </c>
      <c r="AE8" s="20"/>
      <c r="AG8" s="18" t="s">
        <v>36</v>
      </c>
      <c r="AH8" s="164">
        <v>5.1E-5</v>
      </c>
      <c r="AI8" s="164">
        <v>8.2167648221017301E-3</v>
      </c>
      <c r="AJ8" s="164">
        <v>3.3036275604718199E-3</v>
      </c>
    </row>
    <row r="9" spans="1:36">
      <c r="A9" s="20">
        <v>337</v>
      </c>
      <c r="B9" s="20">
        <v>1405</v>
      </c>
      <c r="C9" s="20" t="s">
        <v>1836</v>
      </c>
      <c r="D9" s="20" t="s">
        <v>1837</v>
      </c>
      <c r="E9" s="18" t="s">
        <v>1303</v>
      </c>
      <c r="F9" s="20" t="s">
        <v>1838</v>
      </c>
      <c r="G9" s="20" t="s">
        <v>1839</v>
      </c>
      <c r="H9" s="18" t="s">
        <v>318</v>
      </c>
      <c r="I9" s="20" t="s">
        <v>753</v>
      </c>
      <c r="J9" s="18" t="s">
        <v>30</v>
      </c>
      <c r="K9" s="18" t="s">
        <v>30</v>
      </c>
      <c r="L9" s="20" t="s">
        <v>324</v>
      </c>
      <c r="M9" s="18" t="s">
        <v>41</v>
      </c>
      <c r="N9" s="20" t="s">
        <v>460</v>
      </c>
      <c r="O9" s="20" t="s">
        <v>134</v>
      </c>
      <c r="P9" s="20" t="s">
        <v>1834</v>
      </c>
      <c r="Q9" s="20" t="s">
        <v>410</v>
      </c>
      <c r="R9" s="20" t="s">
        <v>403</v>
      </c>
      <c r="S9" s="18" t="s">
        <v>34</v>
      </c>
      <c r="T9" s="153">
        <v>2.2669999999999999</v>
      </c>
      <c r="U9" s="20" t="s">
        <v>108</v>
      </c>
      <c r="V9" s="171">
        <v>2.3400000000000001E-2</v>
      </c>
      <c r="W9" s="172">
        <v>2.7969999999999998E-2</v>
      </c>
      <c r="X9" s="18" t="s">
        <v>409</v>
      </c>
      <c r="Y9" s="18" t="s">
        <v>134</v>
      </c>
      <c r="Z9" s="153">
        <v>44835.17</v>
      </c>
      <c r="AA9" s="173">
        <v>1</v>
      </c>
      <c r="AB9" s="174">
        <v>114.39</v>
      </c>
      <c r="AC9" s="20"/>
      <c r="AD9" s="153">
        <v>51.286999999999999</v>
      </c>
      <c r="AE9" s="20"/>
      <c r="AG9" s="18" t="s">
        <v>36</v>
      </c>
      <c r="AH9" s="164">
        <v>2.8E-5</v>
      </c>
      <c r="AI9" s="164">
        <v>1.39154164519791E-2</v>
      </c>
      <c r="AJ9" s="164">
        <v>5.5948240337298904E-3</v>
      </c>
    </row>
    <row r="10" spans="1:36">
      <c r="A10" s="20">
        <v>337</v>
      </c>
      <c r="B10" s="20">
        <v>1405</v>
      </c>
      <c r="C10" s="20" t="s">
        <v>1450</v>
      </c>
      <c r="D10" s="20" t="s">
        <v>1451</v>
      </c>
      <c r="E10" s="18" t="s">
        <v>1303</v>
      </c>
      <c r="F10" s="20" t="s">
        <v>1840</v>
      </c>
      <c r="G10" s="20" t="s">
        <v>1841</v>
      </c>
      <c r="H10" s="18" t="s">
        <v>318</v>
      </c>
      <c r="I10" s="20" t="s">
        <v>966</v>
      </c>
      <c r="J10" s="18" t="s">
        <v>30</v>
      </c>
      <c r="K10" s="18" t="s">
        <v>30</v>
      </c>
      <c r="L10" s="20" t="s">
        <v>324</v>
      </c>
      <c r="M10" s="18" t="s">
        <v>41</v>
      </c>
      <c r="N10" s="20" t="s">
        <v>457</v>
      </c>
      <c r="O10" s="20" t="s">
        <v>134</v>
      </c>
      <c r="P10" s="20" t="s">
        <v>1842</v>
      </c>
      <c r="Q10" s="20" t="s">
        <v>406</v>
      </c>
      <c r="R10" s="20" t="s">
        <v>406</v>
      </c>
      <c r="S10" s="18" t="s">
        <v>34</v>
      </c>
      <c r="T10" s="153">
        <v>3.0169999999999999</v>
      </c>
      <c r="U10" s="20" t="s">
        <v>1843</v>
      </c>
      <c r="V10" s="171">
        <v>4.8500000000000001E-2</v>
      </c>
      <c r="W10" s="172">
        <v>2.4250000000000001E-2</v>
      </c>
      <c r="X10" s="18" t="s">
        <v>409</v>
      </c>
      <c r="Y10" s="18" t="s">
        <v>134</v>
      </c>
      <c r="Z10" s="153">
        <v>13000</v>
      </c>
      <c r="AA10" s="173">
        <v>1</v>
      </c>
      <c r="AB10" s="174">
        <v>104.5</v>
      </c>
      <c r="AC10" s="20"/>
      <c r="AD10" s="153">
        <v>13.585000000000001</v>
      </c>
      <c r="AE10" s="20"/>
      <c r="AG10" s="18" t="s">
        <v>36</v>
      </c>
      <c r="AH10" s="164">
        <v>4.3000000000000002E-5</v>
      </c>
      <c r="AI10" s="164">
        <v>3.6859460145430701E-3</v>
      </c>
      <c r="AJ10" s="164">
        <v>1.4819692547730801E-3</v>
      </c>
    </row>
    <row r="11" spans="1:36">
      <c r="A11" s="20">
        <v>337</v>
      </c>
      <c r="B11" s="20">
        <v>1405</v>
      </c>
      <c r="C11" s="20" t="s">
        <v>1844</v>
      </c>
      <c r="D11" s="20" t="s">
        <v>1845</v>
      </c>
      <c r="E11" s="18" t="s">
        <v>1303</v>
      </c>
      <c r="F11" s="20" t="s">
        <v>1846</v>
      </c>
      <c r="G11" s="20" t="s">
        <v>1847</v>
      </c>
      <c r="H11" s="18" t="s">
        <v>318</v>
      </c>
      <c r="I11" s="20" t="s">
        <v>753</v>
      </c>
      <c r="J11" s="18" t="s">
        <v>30</v>
      </c>
      <c r="K11" s="18" t="s">
        <v>30</v>
      </c>
      <c r="L11" s="20" t="s">
        <v>324</v>
      </c>
      <c r="M11" s="18" t="s">
        <v>41</v>
      </c>
      <c r="N11" s="20" t="s">
        <v>474</v>
      </c>
      <c r="O11" s="20" t="s">
        <v>134</v>
      </c>
      <c r="P11" s="20" t="s">
        <v>1848</v>
      </c>
      <c r="Q11" s="20" t="s">
        <v>410</v>
      </c>
      <c r="R11" s="20" t="s">
        <v>403</v>
      </c>
      <c r="S11" s="18" t="s">
        <v>34</v>
      </c>
      <c r="T11" s="153">
        <v>1.571</v>
      </c>
      <c r="U11" s="20" t="s">
        <v>1849</v>
      </c>
      <c r="V11" s="171">
        <v>3.2000000000000001E-2</v>
      </c>
      <c r="W11" s="172">
        <v>3.1649999999999998E-2</v>
      </c>
      <c r="X11" s="18" t="s">
        <v>409</v>
      </c>
      <c r="Y11" s="18" t="s">
        <v>134</v>
      </c>
      <c r="Z11" s="153">
        <v>6500</v>
      </c>
      <c r="AA11" s="173">
        <v>1</v>
      </c>
      <c r="AB11" s="174">
        <v>107.84</v>
      </c>
      <c r="AC11" s="20"/>
      <c r="AD11" s="153">
        <v>7.01</v>
      </c>
      <c r="AE11" s="20"/>
      <c r="AG11" s="18" t="s">
        <v>36</v>
      </c>
      <c r="AH11" s="164">
        <v>9.0000000000000002E-6</v>
      </c>
      <c r="AI11" s="164">
        <v>1.90187759908289E-3</v>
      </c>
      <c r="AJ11" s="164">
        <v>7.6466777241497E-4</v>
      </c>
    </row>
    <row r="12" spans="1:36">
      <c r="A12" s="20">
        <v>337</v>
      </c>
      <c r="B12" s="20">
        <v>1405</v>
      </c>
      <c r="C12" s="20" t="s">
        <v>1844</v>
      </c>
      <c r="D12" s="20" t="s">
        <v>1845</v>
      </c>
      <c r="E12" s="18" t="s">
        <v>1303</v>
      </c>
      <c r="F12" s="20" t="s">
        <v>1850</v>
      </c>
      <c r="G12" s="20" t="s">
        <v>1851</v>
      </c>
      <c r="H12" s="18" t="s">
        <v>318</v>
      </c>
      <c r="I12" s="20" t="s">
        <v>965</v>
      </c>
      <c r="J12" s="18" t="s">
        <v>30</v>
      </c>
      <c r="K12" s="18" t="s">
        <v>30</v>
      </c>
      <c r="L12" s="20" t="s">
        <v>324</v>
      </c>
      <c r="M12" s="18" t="s">
        <v>41</v>
      </c>
      <c r="N12" s="20" t="s">
        <v>474</v>
      </c>
      <c r="O12" s="20" t="s">
        <v>134</v>
      </c>
      <c r="P12" s="20" t="s">
        <v>1848</v>
      </c>
      <c r="Q12" s="20" t="s">
        <v>410</v>
      </c>
      <c r="R12" s="20" t="s">
        <v>403</v>
      </c>
      <c r="S12" s="18" t="s">
        <v>34</v>
      </c>
      <c r="T12" s="153">
        <v>1.629</v>
      </c>
      <c r="U12" s="20" t="s">
        <v>1852</v>
      </c>
      <c r="V12" s="171">
        <v>5.7000000000000002E-2</v>
      </c>
      <c r="W12" s="172">
        <v>5.5789999999999999E-2</v>
      </c>
      <c r="X12" s="18" t="s">
        <v>409</v>
      </c>
      <c r="Y12" s="18" t="s">
        <v>134</v>
      </c>
      <c r="Z12" s="153">
        <v>7800</v>
      </c>
      <c r="AA12" s="173">
        <v>1</v>
      </c>
      <c r="AB12" s="174">
        <v>100.54</v>
      </c>
      <c r="AC12" s="20"/>
      <c r="AD12" s="153">
        <v>7.8419999999999996</v>
      </c>
      <c r="AE12" s="20"/>
      <c r="AG12" s="18" t="s">
        <v>36</v>
      </c>
      <c r="AH12" s="164">
        <v>9.0000000000000002E-6</v>
      </c>
      <c r="AI12" s="164">
        <v>2.12776083618465E-3</v>
      </c>
      <c r="AJ12" s="164">
        <v>8.5548625191321699E-4</v>
      </c>
    </row>
    <row r="13" spans="1:36">
      <c r="A13" s="20">
        <v>337</v>
      </c>
      <c r="B13" s="20">
        <v>1405</v>
      </c>
      <c r="C13" s="20" t="s">
        <v>1853</v>
      </c>
      <c r="D13" s="20" t="s">
        <v>1854</v>
      </c>
      <c r="E13" s="18" t="s">
        <v>1303</v>
      </c>
      <c r="F13" s="20" t="s">
        <v>1855</v>
      </c>
      <c r="G13" s="20" t="s">
        <v>1856</v>
      </c>
      <c r="H13" s="18" t="s">
        <v>318</v>
      </c>
      <c r="I13" s="20" t="s">
        <v>753</v>
      </c>
      <c r="J13" s="18" t="s">
        <v>30</v>
      </c>
      <c r="K13" s="18" t="s">
        <v>30</v>
      </c>
      <c r="L13" s="20" t="s">
        <v>324</v>
      </c>
      <c r="M13" s="18" t="s">
        <v>41</v>
      </c>
      <c r="N13" s="20" t="s">
        <v>474</v>
      </c>
      <c r="O13" s="20" t="s">
        <v>134</v>
      </c>
      <c r="P13" s="20" t="s">
        <v>1848</v>
      </c>
      <c r="Q13" s="20" t="s">
        <v>410</v>
      </c>
      <c r="R13" s="20" t="s">
        <v>403</v>
      </c>
      <c r="S13" s="18" t="s">
        <v>34</v>
      </c>
      <c r="T13" s="153">
        <v>2.419</v>
      </c>
      <c r="U13" s="20" t="s">
        <v>1857</v>
      </c>
      <c r="V13" s="171">
        <v>3.2300000000000002E-2</v>
      </c>
      <c r="W13" s="172">
        <v>3.0110000000000001E-2</v>
      </c>
      <c r="X13" s="18" t="s">
        <v>409</v>
      </c>
      <c r="Y13" s="18" t="s">
        <v>134</v>
      </c>
      <c r="Z13" s="153">
        <v>10080</v>
      </c>
      <c r="AA13" s="173">
        <v>1</v>
      </c>
      <c r="AB13" s="174">
        <v>107.78</v>
      </c>
      <c r="AC13" s="20"/>
      <c r="AD13" s="153">
        <v>10.864000000000001</v>
      </c>
      <c r="AE13" s="20"/>
      <c r="AG13" s="18" t="s">
        <v>36</v>
      </c>
      <c r="AH13" s="164">
        <v>2.0000000000000002E-5</v>
      </c>
      <c r="AI13" s="164">
        <v>2.9477322895769698E-3</v>
      </c>
      <c r="AJ13" s="164">
        <v>1.1851634850914799E-3</v>
      </c>
    </row>
    <row r="14" spans="1:36">
      <c r="A14" s="20">
        <v>337</v>
      </c>
      <c r="B14" s="20">
        <v>1405</v>
      </c>
      <c r="C14" s="20" t="s">
        <v>1858</v>
      </c>
      <c r="D14" s="20" t="s">
        <v>1859</v>
      </c>
      <c r="E14" s="18" t="s">
        <v>1303</v>
      </c>
      <c r="F14" s="20" t="s">
        <v>1860</v>
      </c>
      <c r="G14" s="20" t="s">
        <v>1861</v>
      </c>
      <c r="H14" s="18" t="s">
        <v>318</v>
      </c>
      <c r="I14" s="20" t="s">
        <v>753</v>
      </c>
      <c r="J14" s="18" t="s">
        <v>30</v>
      </c>
      <c r="K14" s="18" t="s">
        <v>30</v>
      </c>
      <c r="L14" s="20" t="s">
        <v>324</v>
      </c>
      <c r="M14" s="18" t="s">
        <v>41</v>
      </c>
      <c r="N14" s="20" t="s">
        <v>460</v>
      </c>
      <c r="O14" s="20" t="s">
        <v>134</v>
      </c>
      <c r="P14" s="20" t="s">
        <v>1862</v>
      </c>
      <c r="Q14" s="20" t="s">
        <v>410</v>
      </c>
      <c r="R14" s="20" t="s">
        <v>403</v>
      </c>
      <c r="S14" s="18" t="s">
        <v>34</v>
      </c>
      <c r="T14" s="153">
        <v>2.1549999999999998</v>
      </c>
      <c r="U14" s="20" t="s">
        <v>1863</v>
      </c>
      <c r="V14" s="171">
        <v>2.4899999999999999E-2</v>
      </c>
      <c r="W14" s="172">
        <v>3.4090000000000002E-2</v>
      </c>
      <c r="X14" s="18" t="s">
        <v>409</v>
      </c>
      <c r="Y14" s="18" t="s">
        <v>134</v>
      </c>
      <c r="Z14" s="153">
        <v>20700</v>
      </c>
      <c r="AA14" s="173">
        <v>1</v>
      </c>
      <c r="AB14" s="174">
        <v>106.72</v>
      </c>
      <c r="AC14" s="20"/>
      <c r="AD14" s="153">
        <v>22.091000000000001</v>
      </c>
      <c r="AE14" s="20"/>
      <c r="AG14" s="18" t="s">
        <v>36</v>
      </c>
      <c r="AH14" s="164">
        <v>9.8999999999999994E-5</v>
      </c>
      <c r="AI14" s="164">
        <v>5.9938447438433202E-3</v>
      </c>
      <c r="AJ14" s="164">
        <v>2.4098816404830498E-3</v>
      </c>
    </row>
    <row r="15" spans="1:36">
      <c r="A15" s="20">
        <v>337</v>
      </c>
      <c r="B15" s="20">
        <v>1405</v>
      </c>
      <c r="C15" s="20" t="s">
        <v>1458</v>
      </c>
      <c r="D15" s="20" t="s">
        <v>1459</v>
      </c>
      <c r="E15" s="18" t="s">
        <v>1303</v>
      </c>
      <c r="F15" s="20" t="s">
        <v>1864</v>
      </c>
      <c r="G15" s="20" t="s">
        <v>1865</v>
      </c>
      <c r="H15" s="18" t="s">
        <v>318</v>
      </c>
      <c r="I15" s="20" t="s">
        <v>965</v>
      </c>
      <c r="J15" s="18" t="s">
        <v>30</v>
      </c>
      <c r="K15" s="18" t="s">
        <v>30</v>
      </c>
      <c r="L15" s="20" t="s">
        <v>324</v>
      </c>
      <c r="M15" s="18" t="s">
        <v>41</v>
      </c>
      <c r="N15" s="20" t="s">
        <v>460</v>
      </c>
      <c r="O15" s="20" t="s">
        <v>134</v>
      </c>
      <c r="P15" s="20" t="s">
        <v>1826</v>
      </c>
      <c r="Q15" s="20" t="s">
        <v>410</v>
      </c>
      <c r="R15" s="20" t="s">
        <v>403</v>
      </c>
      <c r="S15" s="18" t="s">
        <v>34</v>
      </c>
      <c r="T15" s="153">
        <v>3.9510000000000001</v>
      </c>
      <c r="U15" s="20" t="s">
        <v>1866</v>
      </c>
      <c r="V15" s="171">
        <v>2.41E-2</v>
      </c>
      <c r="W15" s="172">
        <v>5.2909999999999999E-2</v>
      </c>
      <c r="X15" s="18" t="s">
        <v>409</v>
      </c>
      <c r="Y15" s="18" t="s">
        <v>134</v>
      </c>
      <c r="Z15" s="153">
        <v>32851</v>
      </c>
      <c r="AA15" s="173">
        <v>1</v>
      </c>
      <c r="AB15" s="174">
        <v>89.75</v>
      </c>
      <c r="AC15" s="20"/>
      <c r="AD15" s="153">
        <v>29.484000000000002</v>
      </c>
      <c r="AE15" s="20"/>
      <c r="AG15" s="18" t="s">
        <v>36</v>
      </c>
      <c r="AH15" s="164">
        <v>1.5999999999999999E-5</v>
      </c>
      <c r="AI15" s="164">
        <v>7.9996756525630899E-3</v>
      </c>
      <c r="AJ15" s="164">
        <v>3.21634481852956E-3</v>
      </c>
    </row>
    <row r="16" spans="1:36">
      <c r="A16" s="20">
        <v>337</v>
      </c>
      <c r="B16" s="20">
        <v>1405</v>
      </c>
      <c r="C16" s="20" t="s">
        <v>1867</v>
      </c>
      <c r="D16" s="20" t="s">
        <v>1868</v>
      </c>
      <c r="E16" s="18" t="s">
        <v>1303</v>
      </c>
      <c r="F16" s="20" t="s">
        <v>1869</v>
      </c>
      <c r="G16" s="20" t="s">
        <v>1870</v>
      </c>
      <c r="H16" s="18" t="s">
        <v>318</v>
      </c>
      <c r="I16" s="20" t="s">
        <v>965</v>
      </c>
      <c r="J16" s="18" t="s">
        <v>30</v>
      </c>
      <c r="K16" s="18" t="s">
        <v>30</v>
      </c>
      <c r="L16" s="20" t="s">
        <v>324</v>
      </c>
      <c r="M16" s="18" t="s">
        <v>41</v>
      </c>
      <c r="N16" s="20" t="s">
        <v>447</v>
      </c>
      <c r="O16" s="20" t="s">
        <v>134</v>
      </c>
      <c r="P16" s="20" t="s">
        <v>1826</v>
      </c>
      <c r="Q16" s="20" t="s">
        <v>410</v>
      </c>
      <c r="R16" s="20" t="s">
        <v>403</v>
      </c>
      <c r="S16" s="18" t="s">
        <v>34</v>
      </c>
      <c r="T16" s="153">
        <v>2.3330000000000002</v>
      </c>
      <c r="U16" s="20" t="s">
        <v>1871</v>
      </c>
      <c r="V16" s="171">
        <v>2.0400000000000001E-2</v>
      </c>
      <c r="W16" s="172">
        <v>5.0250000000000003E-2</v>
      </c>
      <c r="X16" s="18" t="s">
        <v>409</v>
      </c>
      <c r="Y16" s="18" t="s">
        <v>134</v>
      </c>
      <c r="Z16" s="153">
        <v>18750</v>
      </c>
      <c r="AA16" s="173">
        <v>1</v>
      </c>
      <c r="AB16" s="174">
        <v>93.52</v>
      </c>
      <c r="AC16" s="20"/>
      <c r="AD16" s="153">
        <v>17.535</v>
      </c>
      <c r="AE16" s="20"/>
      <c r="AG16" s="18" t="s">
        <v>36</v>
      </c>
      <c r="AH16" s="164">
        <v>5.0000000000000002E-5</v>
      </c>
      <c r="AI16" s="164">
        <v>4.7576785693789298E-3</v>
      </c>
      <c r="AJ16" s="164">
        <v>1.91286940614251E-3</v>
      </c>
    </row>
    <row r="17" spans="1:36">
      <c r="A17" s="20">
        <v>337</v>
      </c>
      <c r="B17" s="20">
        <v>1405</v>
      </c>
      <c r="C17" s="20" t="s">
        <v>1872</v>
      </c>
      <c r="D17" s="20" t="s">
        <v>1873</v>
      </c>
      <c r="E17" s="18" t="s">
        <v>1303</v>
      </c>
      <c r="F17" s="20" t="s">
        <v>1874</v>
      </c>
      <c r="G17" s="20" t="s">
        <v>1875</v>
      </c>
      <c r="H17" s="18" t="s">
        <v>318</v>
      </c>
      <c r="I17" s="20" t="s">
        <v>965</v>
      </c>
      <c r="J17" s="18" t="s">
        <v>30</v>
      </c>
      <c r="K17" s="18" t="s">
        <v>30</v>
      </c>
      <c r="L17" s="20" t="s">
        <v>324</v>
      </c>
      <c r="M17" s="18" t="s">
        <v>41</v>
      </c>
      <c r="N17" s="20" t="s">
        <v>447</v>
      </c>
      <c r="O17" s="20" t="s">
        <v>134</v>
      </c>
      <c r="P17" s="20" t="s">
        <v>1848</v>
      </c>
      <c r="Q17" s="20" t="s">
        <v>410</v>
      </c>
      <c r="R17" s="20" t="s">
        <v>403</v>
      </c>
      <c r="S17" s="18" t="s">
        <v>34</v>
      </c>
      <c r="T17" s="153">
        <v>2.996</v>
      </c>
      <c r="U17" s="20" t="s">
        <v>1876</v>
      </c>
      <c r="V17" s="171">
        <v>0.04</v>
      </c>
      <c r="W17" s="172">
        <v>5.2400000000000002E-2</v>
      </c>
      <c r="X17" s="18" t="s">
        <v>409</v>
      </c>
      <c r="Y17" s="18" t="s">
        <v>134</v>
      </c>
      <c r="Z17" s="153">
        <v>9750</v>
      </c>
      <c r="AA17" s="173">
        <v>1</v>
      </c>
      <c r="AB17" s="174">
        <v>97.45</v>
      </c>
      <c r="AC17" s="20"/>
      <c r="AD17" s="153">
        <v>9.5009999999999994</v>
      </c>
      <c r="AE17" s="20"/>
      <c r="AG17" s="18" t="s">
        <v>36</v>
      </c>
      <c r="AH17" s="164">
        <v>1.7E-5</v>
      </c>
      <c r="AI17" s="164">
        <v>2.5779576970135598E-3</v>
      </c>
      <c r="AJ17" s="164">
        <v>1.0364921330930899E-3</v>
      </c>
    </row>
    <row r="18" spans="1:36">
      <c r="A18" s="20">
        <v>337</v>
      </c>
      <c r="B18" s="20">
        <v>1405</v>
      </c>
      <c r="C18" s="20" t="s">
        <v>1872</v>
      </c>
      <c r="D18" s="20" t="s">
        <v>1873</v>
      </c>
      <c r="E18" s="18" t="s">
        <v>1303</v>
      </c>
      <c r="F18" s="20" t="s">
        <v>1877</v>
      </c>
      <c r="G18" s="20" t="s">
        <v>1878</v>
      </c>
      <c r="H18" s="18" t="s">
        <v>318</v>
      </c>
      <c r="I18" s="20" t="s">
        <v>965</v>
      </c>
      <c r="J18" s="18" t="s">
        <v>30</v>
      </c>
      <c r="K18" s="18" t="s">
        <v>30</v>
      </c>
      <c r="L18" s="20" t="s">
        <v>324</v>
      </c>
      <c r="M18" s="18" t="s">
        <v>41</v>
      </c>
      <c r="N18" s="20" t="s">
        <v>447</v>
      </c>
      <c r="O18" s="20" t="s">
        <v>134</v>
      </c>
      <c r="P18" s="20" t="s">
        <v>1848</v>
      </c>
      <c r="Q18" s="20" t="s">
        <v>410</v>
      </c>
      <c r="R18" s="20" t="s">
        <v>403</v>
      </c>
      <c r="S18" s="18" t="s">
        <v>34</v>
      </c>
      <c r="T18" s="153">
        <v>4.9290000000000003</v>
      </c>
      <c r="U18" s="20" t="s">
        <v>1879</v>
      </c>
      <c r="V18" s="171">
        <v>2.07E-2</v>
      </c>
      <c r="W18" s="172">
        <v>5.3780000000000001E-2</v>
      </c>
      <c r="X18" s="18" t="s">
        <v>409</v>
      </c>
      <c r="Y18" s="18" t="s">
        <v>134</v>
      </c>
      <c r="Z18" s="153">
        <v>19000</v>
      </c>
      <c r="AA18" s="173">
        <v>1</v>
      </c>
      <c r="AB18" s="174">
        <v>85.61</v>
      </c>
      <c r="AC18" s="20"/>
      <c r="AD18" s="153">
        <v>16.265999999999998</v>
      </c>
      <c r="AE18" s="20"/>
      <c r="AG18" s="18" t="s">
        <v>36</v>
      </c>
      <c r="AH18" s="164">
        <v>2.5999999999999998E-5</v>
      </c>
      <c r="AI18" s="164">
        <v>4.4133403958745701E-3</v>
      </c>
      <c r="AJ18" s="164">
        <v>1.7744250056101201E-3</v>
      </c>
    </row>
    <row r="19" spans="1:36">
      <c r="A19" s="20">
        <v>337</v>
      </c>
      <c r="B19" s="20">
        <v>1405</v>
      </c>
      <c r="C19" s="20" t="s">
        <v>1880</v>
      </c>
      <c r="D19" s="20" t="s">
        <v>1881</v>
      </c>
      <c r="E19" s="18" t="s">
        <v>1303</v>
      </c>
      <c r="F19" s="20" t="s">
        <v>1882</v>
      </c>
      <c r="G19" s="20" t="s">
        <v>1883</v>
      </c>
      <c r="H19" s="18" t="s">
        <v>318</v>
      </c>
      <c r="I19" s="20" t="s">
        <v>965</v>
      </c>
      <c r="J19" s="18" t="s">
        <v>30</v>
      </c>
      <c r="K19" s="18" t="s">
        <v>80</v>
      </c>
      <c r="L19" s="20" t="s">
        <v>324</v>
      </c>
      <c r="M19" s="18" t="s">
        <v>41</v>
      </c>
      <c r="N19" s="20" t="s">
        <v>439</v>
      </c>
      <c r="O19" s="20" t="s">
        <v>134</v>
      </c>
      <c r="P19" s="20" t="s">
        <v>1848</v>
      </c>
      <c r="Q19" s="20" t="s">
        <v>410</v>
      </c>
      <c r="R19" s="20" t="s">
        <v>403</v>
      </c>
      <c r="S19" s="18" t="s">
        <v>34</v>
      </c>
      <c r="T19" s="153">
        <v>0.47399999999999998</v>
      </c>
      <c r="U19" s="20" t="s">
        <v>1884</v>
      </c>
      <c r="V19" s="171">
        <v>4.7500000000000001E-2</v>
      </c>
      <c r="W19" s="172">
        <v>5.9470000000000002E-2</v>
      </c>
      <c r="X19" s="18" t="s">
        <v>409</v>
      </c>
      <c r="Y19" s="18" t="s">
        <v>134</v>
      </c>
      <c r="Z19" s="153">
        <v>0.77</v>
      </c>
      <c r="AA19" s="173">
        <v>1</v>
      </c>
      <c r="AB19" s="174">
        <v>99.61</v>
      </c>
      <c r="AC19" s="20"/>
      <c r="AD19" s="153">
        <v>1E-3</v>
      </c>
      <c r="AE19" s="20"/>
      <c r="AG19" s="18" t="s">
        <v>36</v>
      </c>
      <c r="AH19" s="164">
        <v>0</v>
      </c>
      <c r="AI19" s="164">
        <v>2.08105228952263E-7</v>
      </c>
      <c r="AJ19" s="164">
        <v>8.3670664151872406E-8</v>
      </c>
    </row>
    <row r="20" spans="1:36">
      <c r="A20" s="2">
        <v>337</v>
      </c>
      <c r="B20" s="2">
        <v>1405</v>
      </c>
      <c r="C20" s="2" t="s">
        <v>1466</v>
      </c>
      <c r="D20" s="2" t="s">
        <v>1467</v>
      </c>
      <c r="E20" s="18" t="s">
        <v>1303</v>
      </c>
      <c r="F20" s="2" t="s">
        <v>1885</v>
      </c>
      <c r="G20" s="2" t="s">
        <v>1886</v>
      </c>
      <c r="H20" s="18" t="s">
        <v>318</v>
      </c>
      <c r="I20" s="20" t="s">
        <v>753</v>
      </c>
      <c r="J20" s="18" t="s">
        <v>30</v>
      </c>
      <c r="K20" s="18" t="s">
        <v>30</v>
      </c>
      <c r="L20" s="20" t="s">
        <v>324</v>
      </c>
      <c r="M20" s="18" t="s">
        <v>41</v>
      </c>
      <c r="N20" s="20" t="s">
        <v>460</v>
      </c>
      <c r="O20" s="20" t="s">
        <v>134</v>
      </c>
      <c r="P20" s="2" t="s">
        <v>1834</v>
      </c>
      <c r="Q20" s="20" t="s">
        <v>410</v>
      </c>
      <c r="R20" s="20" t="s">
        <v>403</v>
      </c>
      <c r="S20" s="2" t="s">
        <v>34</v>
      </c>
      <c r="T20" s="151">
        <v>2.8319999999999999</v>
      </c>
      <c r="U20" s="2" t="s">
        <v>1887</v>
      </c>
      <c r="V20" s="162">
        <v>1.14E-2</v>
      </c>
      <c r="W20" s="164">
        <v>2.7900000000000001E-2</v>
      </c>
      <c r="X20" s="18" t="s">
        <v>409</v>
      </c>
      <c r="Y20" s="18" t="s">
        <v>134</v>
      </c>
      <c r="Z20" s="151">
        <v>40000</v>
      </c>
      <c r="AA20" s="158">
        <v>1</v>
      </c>
      <c r="AB20" s="175">
        <v>109.34</v>
      </c>
      <c r="AD20" s="151">
        <v>43.735999999999997</v>
      </c>
      <c r="AG20" s="2" t="s">
        <v>36</v>
      </c>
      <c r="AH20" s="164">
        <v>1.7E-5</v>
      </c>
      <c r="AI20" s="164">
        <v>1.18666569666585E-2</v>
      </c>
      <c r="AJ20" s="164">
        <v>4.7711010177957603E-3</v>
      </c>
    </row>
    <row r="21" spans="1:36">
      <c r="A21" s="2">
        <v>337</v>
      </c>
      <c r="B21" s="2">
        <v>1405</v>
      </c>
      <c r="C21" s="2" t="s">
        <v>1888</v>
      </c>
      <c r="D21" s="2" t="s">
        <v>1889</v>
      </c>
      <c r="E21" s="4" t="s">
        <v>1303</v>
      </c>
      <c r="F21" s="2" t="s">
        <v>1890</v>
      </c>
      <c r="G21" s="2" t="s">
        <v>1891</v>
      </c>
      <c r="H21" s="4" t="s">
        <v>318</v>
      </c>
      <c r="I21" s="2" t="s">
        <v>965</v>
      </c>
      <c r="J21" s="2" t="s">
        <v>30</v>
      </c>
      <c r="K21" s="2" t="s">
        <v>30</v>
      </c>
      <c r="L21" s="2" t="s">
        <v>324</v>
      </c>
      <c r="M21" s="4" t="s">
        <v>41</v>
      </c>
      <c r="N21" s="2" t="s">
        <v>460</v>
      </c>
      <c r="O21" s="2" t="s">
        <v>134</v>
      </c>
      <c r="P21" s="2" t="s">
        <v>1842</v>
      </c>
      <c r="Q21" s="2" t="s">
        <v>406</v>
      </c>
      <c r="R21" s="2" t="s">
        <v>406</v>
      </c>
      <c r="S21" s="2" t="s">
        <v>34</v>
      </c>
      <c r="T21" s="151">
        <v>0.44600000000000001</v>
      </c>
      <c r="U21" s="2" t="s">
        <v>1892</v>
      </c>
      <c r="V21" s="162">
        <v>6.5000000000000002E-2</v>
      </c>
      <c r="W21" s="164">
        <v>0.10415000000000001</v>
      </c>
      <c r="X21" s="4" t="s">
        <v>409</v>
      </c>
      <c r="Y21" s="4" t="s">
        <v>134</v>
      </c>
      <c r="Z21" s="151">
        <v>21063</v>
      </c>
      <c r="AA21" s="158">
        <v>1</v>
      </c>
      <c r="AB21" s="175">
        <v>100.31</v>
      </c>
      <c r="AD21" s="151">
        <v>21.128</v>
      </c>
      <c r="AG21" s="2" t="s">
        <v>36</v>
      </c>
      <c r="AH21" s="164">
        <v>1.92E-4</v>
      </c>
      <c r="AI21" s="164">
        <v>5.7326283294165696E-3</v>
      </c>
      <c r="AJ21" s="164">
        <v>2.3048571247969501E-3</v>
      </c>
    </row>
    <row r="22" spans="1:36">
      <c r="A22" s="2">
        <v>337</v>
      </c>
      <c r="B22" s="2">
        <v>1405</v>
      </c>
      <c r="C22" s="2" t="s">
        <v>1470</v>
      </c>
      <c r="D22" s="2" t="s">
        <v>1471</v>
      </c>
      <c r="E22" s="4" t="s">
        <v>1303</v>
      </c>
      <c r="F22" s="2" t="s">
        <v>1893</v>
      </c>
      <c r="G22" s="2" t="s">
        <v>1894</v>
      </c>
      <c r="H22" s="4" t="s">
        <v>318</v>
      </c>
      <c r="I22" s="2" t="s">
        <v>965</v>
      </c>
      <c r="J22" s="2" t="s">
        <v>30</v>
      </c>
      <c r="K22" s="2" t="s">
        <v>80</v>
      </c>
      <c r="L22" s="2" t="s">
        <v>324</v>
      </c>
      <c r="M22" s="4" t="s">
        <v>41</v>
      </c>
      <c r="N22" s="2" t="s">
        <v>437</v>
      </c>
      <c r="O22" s="2" t="s">
        <v>134</v>
      </c>
      <c r="P22" s="2" t="s">
        <v>1814</v>
      </c>
      <c r="Q22" s="2" t="s">
        <v>412</v>
      </c>
      <c r="R22" s="2" t="s">
        <v>403</v>
      </c>
      <c r="S22" s="2" t="s">
        <v>34</v>
      </c>
      <c r="T22" s="151">
        <v>1.2609999999999999</v>
      </c>
      <c r="U22" s="2" t="s">
        <v>1895</v>
      </c>
      <c r="V22" s="162">
        <v>3.4500000000000003E-2</v>
      </c>
      <c r="W22" s="164">
        <v>5.4989999999999997E-2</v>
      </c>
      <c r="X22" s="4" t="s">
        <v>409</v>
      </c>
      <c r="Y22" s="4" t="s">
        <v>134</v>
      </c>
      <c r="Z22" s="151">
        <v>9705.8799999999992</v>
      </c>
      <c r="AA22" s="158">
        <v>1</v>
      </c>
      <c r="AB22" s="175">
        <v>97.86</v>
      </c>
      <c r="AD22" s="151">
        <v>9.4979999999999993</v>
      </c>
      <c r="AG22" s="2" t="s">
        <v>36</v>
      </c>
      <c r="AH22" s="164">
        <v>1.5E-5</v>
      </c>
      <c r="AI22" s="164">
        <v>2.5770892322396401E-3</v>
      </c>
      <c r="AJ22" s="164">
        <v>1.0361429586643999E-3</v>
      </c>
    </row>
    <row r="23" spans="1:36">
      <c r="A23" s="2">
        <v>337</v>
      </c>
      <c r="B23" s="2">
        <v>1405</v>
      </c>
      <c r="C23" s="2" t="s">
        <v>1470</v>
      </c>
      <c r="D23" s="2" t="s">
        <v>1471</v>
      </c>
      <c r="E23" s="4" t="s">
        <v>1303</v>
      </c>
      <c r="F23" s="2" t="s">
        <v>1896</v>
      </c>
      <c r="G23" s="2" t="s">
        <v>1897</v>
      </c>
      <c r="H23" s="4" t="s">
        <v>318</v>
      </c>
      <c r="I23" s="2" t="s">
        <v>965</v>
      </c>
      <c r="J23" s="2" t="s">
        <v>30</v>
      </c>
      <c r="K23" s="2" t="s">
        <v>80</v>
      </c>
      <c r="L23" s="2" t="s">
        <v>324</v>
      </c>
      <c r="M23" s="2" t="s">
        <v>41</v>
      </c>
      <c r="N23" s="2" t="s">
        <v>437</v>
      </c>
      <c r="O23" s="2" t="s">
        <v>134</v>
      </c>
      <c r="P23" s="2" t="s">
        <v>1814</v>
      </c>
      <c r="Q23" s="2" t="s">
        <v>412</v>
      </c>
      <c r="R23" s="2" t="s">
        <v>403</v>
      </c>
      <c r="S23" s="2" t="s">
        <v>34</v>
      </c>
      <c r="T23" s="151">
        <v>3.2930000000000001</v>
      </c>
      <c r="U23" s="2" t="s">
        <v>1898</v>
      </c>
      <c r="V23" s="162">
        <v>1.4999999999999999E-2</v>
      </c>
      <c r="W23" s="164">
        <v>5.5910000000000001E-2</v>
      </c>
      <c r="X23" s="4" t="s">
        <v>409</v>
      </c>
      <c r="Y23" s="4" t="s">
        <v>134</v>
      </c>
      <c r="Z23" s="151">
        <v>12000</v>
      </c>
      <c r="AA23" s="158">
        <v>1</v>
      </c>
      <c r="AB23" s="175">
        <v>87.84</v>
      </c>
      <c r="AD23" s="151">
        <v>10.541</v>
      </c>
      <c r="AG23" s="2" t="s">
        <v>36</v>
      </c>
      <c r="AH23" s="164">
        <v>1.0000000000000001E-5</v>
      </c>
      <c r="AI23" s="164">
        <v>2.8599793706364099E-3</v>
      </c>
      <c r="AJ23" s="164">
        <v>1.1498815988746499E-3</v>
      </c>
    </row>
    <row r="24" spans="1:36">
      <c r="A24" s="2">
        <v>337</v>
      </c>
      <c r="B24" s="2">
        <v>1405</v>
      </c>
      <c r="C24" s="2" t="s">
        <v>1478</v>
      </c>
      <c r="D24" s="2" t="s">
        <v>1479</v>
      </c>
      <c r="E24" s="4" t="s">
        <v>1303</v>
      </c>
      <c r="F24" s="2" t="s">
        <v>1899</v>
      </c>
      <c r="G24" s="2" t="s">
        <v>1900</v>
      </c>
      <c r="H24" s="2" t="s">
        <v>318</v>
      </c>
      <c r="I24" s="2" t="s">
        <v>965</v>
      </c>
      <c r="J24" s="2" t="s">
        <v>30</v>
      </c>
      <c r="K24" s="2" t="s">
        <v>30</v>
      </c>
      <c r="L24" s="2" t="s">
        <v>324</v>
      </c>
      <c r="M24" s="2" t="s">
        <v>41</v>
      </c>
      <c r="N24" s="2" t="s">
        <v>437</v>
      </c>
      <c r="O24" s="2" t="s">
        <v>134</v>
      </c>
      <c r="P24" s="2" t="s">
        <v>1862</v>
      </c>
      <c r="Q24" s="2" t="s">
        <v>410</v>
      </c>
      <c r="R24" s="2" t="s">
        <v>403</v>
      </c>
      <c r="S24" s="2" t="s">
        <v>34</v>
      </c>
      <c r="T24" s="151">
        <v>2.6560000000000001</v>
      </c>
      <c r="U24" s="2" t="s">
        <v>1901</v>
      </c>
      <c r="V24" s="162">
        <v>2.0500000000000001E-2</v>
      </c>
      <c r="W24" s="164">
        <v>5.4919999999999997E-2</v>
      </c>
      <c r="X24" s="4" t="s">
        <v>409</v>
      </c>
      <c r="Y24" s="4" t="s">
        <v>134</v>
      </c>
      <c r="Z24" s="151">
        <v>16000</v>
      </c>
      <c r="AA24" s="158">
        <v>1</v>
      </c>
      <c r="AB24" s="175">
        <v>91.77</v>
      </c>
      <c r="AD24" s="151">
        <v>14.683</v>
      </c>
      <c r="AG24" s="2" t="s">
        <v>36</v>
      </c>
      <c r="AH24" s="164">
        <v>1.7E-5</v>
      </c>
      <c r="AI24" s="164">
        <v>3.9839147972571803E-3</v>
      </c>
      <c r="AJ24" s="164">
        <v>1.6017704057183699E-3</v>
      </c>
    </row>
    <row r="25" spans="1:36">
      <c r="A25" s="2">
        <v>337</v>
      </c>
      <c r="B25" s="2">
        <v>1405</v>
      </c>
      <c r="C25" s="2" t="s">
        <v>1478</v>
      </c>
      <c r="D25" s="2" t="s">
        <v>1479</v>
      </c>
      <c r="E25" s="4" t="s">
        <v>1303</v>
      </c>
      <c r="F25" s="2" t="s">
        <v>1902</v>
      </c>
      <c r="G25" s="2" t="s">
        <v>1903</v>
      </c>
      <c r="H25" s="2" t="s">
        <v>318</v>
      </c>
      <c r="I25" s="2" t="s">
        <v>966</v>
      </c>
      <c r="J25" s="2" t="s">
        <v>30</v>
      </c>
      <c r="K25" s="2" t="s">
        <v>30</v>
      </c>
      <c r="L25" s="2" t="s">
        <v>324</v>
      </c>
      <c r="M25" s="2" t="s">
        <v>41</v>
      </c>
      <c r="N25" s="2" t="s">
        <v>437</v>
      </c>
      <c r="O25" s="2" t="s">
        <v>134</v>
      </c>
      <c r="P25" s="2" t="s">
        <v>1862</v>
      </c>
      <c r="Q25" s="2" t="s">
        <v>410</v>
      </c>
      <c r="R25" s="2" t="s">
        <v>403</v>
      </c>
      <c r="S25" s="2" t="s">
        <v>34</v>
      </c>
      <c r="T25" s="151">
        <v>2.3250000000000002</v>
      </c>
      <c r="U25" s="2" t="s">
        <v>1904</v>
      </c>
      <c r="V25" s="162">
        <v>1.25E-3</v>
      </c>
      <c r="W25" s="164">
        <v>5.6779999999999997E-2</v>
      </c>
      <c r="X25" s="4" t="s">
        <v>409</v>
      </c>
      <c r="Y25" s="4" t="s">
        <v>134</v>
      </c>
      <c r="Z25" s="151">
        <v>7000</v>
      </c>
      <c r="AA25" s="158">
        <v>1</v>
      </c>
      <c r="AB25" s="175">
        <v>88.8</v>
      </c>
      <c r="AD25" s="151">
        <v>6.2160000000000002</v>
      </c>
      <c r="AG25" s="2" t="s">
        <v>36</v>
      </c>
      <c r="AH25" s="164">
        <v>1.2E-5</v>
      </c>
      <c r="AI25" s="164">
        <v>1.68655431920498E-3</v>
      </c>
      <c r="AJ25" s="164">
        <v>6.7809502301578598E-4</v>
      </c>
    </row>
    <row r="26" spans="1:36">
      <c r="A26" s="2">
        <v>337</v>
      </c>
      <c r="B26" s="2">
        <v>1405</v>
      </c>
      <c r="C26" s="2" t="s">
        <v>1905</v>
      </c>
      <c r="D26" s="2" t="s">
        <v>1906</v>
      </c>
      <c r="E26" s="4" t="s">
        <v>1303</v>
      </c>
      <c r="F26" s="2" t="s">
        <v>1907</v>
      </c>
      <c r="G26" s="2" t="s">
        <v>1908</v>
      </c>
      <c r="H26" s="2" t="s">
        <v>318</v>
      </c>
      <c r="I26" s="2" t="s">
        <v>753</v>
      </c>
      <c r="J26" s="2" t="s">
        <v>30</v>
      </c>
      <c r="K26" s="2" t="s">
        <v>30</v>
      </c>
      <c r="L26" s="2" t="s">
        <v>324</v>
      </c>
      <c r="M26" s="2" t="s">
        <v>41</v>
      </c>
      <c r="N26" s="2" t="s">
        <v>439</v>
      </c>
      <c r="O26" s="2" t="s">
        <v>134</v>
      </c>
      <c r="P26" s="2" t="s">
        <v>1909</v>
      </c>
      <c r="Q26" s="2" t="s">
        <v>412</v>
      </c>
      <c r="R26" s="2" t="s">
        <v>403</v>
      </c>
      <c r="S26" s="2" t="s">
        <v>34</v>
      </c>
      <c r="T26" s="151">
        <v>1.222</v>
      </c>
      <c r="U26" s="2" t="s">
        <v>1910</v>
      </c>
      <c r="V26" s="162">
        <v>1.2500000000000001E-2</v>
      </c>
      <c r="W26" s="164">
        <v>4.19E-2</v>
      </c>
      <c r="X26" s="4" t="s">
        <v>409</v>
      </c>
      <c r="Y26" s="4" t="s">
        <v>134</v>
      </c>
      <c r="Z26" s="151">
        <v>0.23</v>
      </c>
      <c r="AA26" s="158">
        <v>1</v>
      </c>
      <c r="AB26" s="175">
        <v>105.98</v>
      </c>
      <c r="AD26" s="151">
        <v>0</v>
      </c>
      <c r="AG26" s="2" t="s">
        <v>36</v>
      </c>
      <c r="AH26" s="164">
        <v>0</v>
      </c>
      <c r="AI26" s="164">
        <v>6.6136480296572001E-8</v>
      </c>
      <c r="AJ26" s="164">
        <v>2.6590793796684399E-8</v>
      </c>
    </row>
    <row r="27" spans="1:36">
      <c r="A27" s="2">
        <v>337</v>
      </c>
      <c r="B27" s="2">
        <v>1405</v>
      </c>
      <c r="C27" s="2" t="s">
        <v>1911</v>
      </c>
      <c r="D27" s="2" t="s">
        <v>1912</v>
      </c>
      <c r="E27" s="4" t="s">
        <v>1303</v>
      </c>
      <c r="F27" s="2" t="s">
        <v>1913</v>
      </c>
      <c r="G27" s="2" t="s">
        <v>1914</v>
      </c>
      <c r="H27" s="2" t="s">
        <v>318</v>
      </c>
      <c r="I27" s="2" t="s">
        <v>753</v>
      </c>
      <c r="J27" s="2" t="s">
        <v>30</v>
      </c>
      <c r="K27" s="2" t="s">
        <v>30</v>
      </c>
      <c r="L27" s="2" t="s">
        <v>324</v>
      </c>
      <c r="M27" s="2" t="s">
        <v>41</v>
      </c>
      <c r="N27" s="2" t="s">
        <v>461</v>
      </c>
      <c r="O27" s="2" t="s">
        <v>134</v>
      </c>
      <c r="P27" s="2" t="s">
        <v>1848</v>
      </c>
      <c r="Q27" s="2" t="s">
        <v>410</v>
      </c>
      <c r="R27" s="2" t="s">
        <v>403</v>
      </c>
      <c r="S27" s="2" t="s">
        <v>34</v>
      </c>
      <c r="T27" s="151">
        <v>0.247</v>
      </c>
      <c r="U27" s="2" t="s">
        <v>1809</v>
      </c>
      <c r="V27" s="162">
        <v>1.2200000000000001E-2</v>
      </c>
      <c r="W27" s="164">
        <v>1.8450000000000001E-2</v>
      </c>
      <c r="X27" s="4" t="s">
        <v>409</v>
      </c>
      <c r="Y27" s="4" t="s">
        <v>134</v>
      </c>
      <c r="Z27" s="151">
        <v>12500</v>
      </c>
      <c r="AA27" s="158">
        <v>1</v>
      </c>
      <c r="AB27" s="175">
        <v>115.74</v>
      </c>
      <c r="AD27" s="151">
        <v>14.467000000000001</v>
      </c>
      <c r="AG27" s="2" t="s">
        <v>36</v>
      </c>
      <c r="AH27" s="164">
        <v>5.3999999999999998E-5</v>
      </c>
      <c r="AI27" s="164">
        <v>3.9253900600222198E-3</v>
      </c>
      <c r="AJ27" s="164">
        <v>1.5782399847942201E-3</v>
      </c>
    </row>
    <row r="28" spans="1:36">
      <c r="A28" s="2">
        <v>337</v>
      </c>
      <c r="B28" s="2">
        <v>1405</v>
      </c>
      <c r="C28" s="2" t="s">
        <v>1911</v>
      </c>
      <c r="D28" s="2" t="s">
        <v>1912</v>
      </c>
      <c r="E28" s="4" t="s">
        <v>1303</v>
      </c>
      <c r="F28" s="2" t="s">
        <v>1915</v>
      </c>
      <c r="G28" s="2" t="s">
        <v>1916</v>
      </c>
      <c r="H28" s="2" t="s">
        <v>318</v>
      </c>
      <c r="I28" s="2" t="s">
        <v>753</v>
      </c>
      <c r="J28" s="2" t="s">
        <v>30</v>
      </c>
      <c r="K28" s="2" t="s">
        <v>30</v>
      </c>
      <c r="L28" s="2" t="s">
        <v>324</v>
      </c>
      <c r="M28" s="2" t="s">
        <v>41</v>
      </c>
      <c r="N28" s="2" t="s">
        <v>461</v>
      </c>
      <c r="O28" s="2" t="s">
        <v>134</v>
      </c>
      <c r="P28" s="2" t="s">
        <v>1848</v>
      </c>
      <c r="Q28" s="2" t="s">
        <v>410</v>
      </c>
      <c r="R28" s="2" t="s">
        <v>403</v>
      </c>
      <c r="S28" s="2" t="s">
        <v>34</v>
      </c>
      <c r="T28" s="151">
        <v>3.665</v>
      </c>
      <c r="U28" s="2" t="s">
        <v>1863</v>
      </c>
      <c r="V28" s="162">
        <v>1.09E-2</v>
      </c>
      <c r="W28" s="164">
        <v>3.2640000000000002E-2</v>
      </c>
      <c r="X28" s="4" t="s">
        <v>409</v>
      </c>
      <c r="Y28" s="4" t="s">
        <v>134</v>
      </c>
      <c r="Z28" s="151">
        <v>10000</v>
      </c>
      <c r="AA28" s="158">
        <v>1</v>
      </c>
      <c r="AB28" s="175">
        <v>105.7</v>
      </c>
      <c r="AD28" s="151">
        <v>10.57</v>
      </c>
      <c r="AG28" s="2" t="s">
        <v>36</v>
      </c>
      <c r="AH28" s="164">
        <v>1.4E-5</v>
      </c>
      <c r="AI28" s="164">
        <v>2.8679020518012702E-3</v>
      </c>
      <c r="AJ28" s="164">
        <v>1.1530669873354E-3</v>
      </c>
    </row>
    <row r="29" spans="1:36">
      <c r="A29" s="2">
        <v>337</v>
      </c>
      <c r="B29" s="2">
        <v>1405</v>
      </c>
      <c r="C29" s="2" t="s">
        <v>1911</v>
      </c>
      <c r="D29" s="2" t="s">
        <v>1912</v>
      </c>
      <c r="E29" s="4" t="s">
        <v>1303</v>
      </c>
      <c r="F29" s="2" t="s">
        <v>1917</v>
      </c>
      <c r="G29" s="2" t="s">
        <v>1918</v>
      </c>
      <c r="H29" s="2" t="s">
        <v>318</v>
      </c>
      <c r="I29" s="2" t="s">
        <v>753</v>
      </c>
      <c r="J29" s="2" t="s">
        <v>30</v>
      </c>
      <c r="K29" s="2" t="s">
        <v>30</v>
      </c>
      <c r="L29" s="2" t="s">
        <v>324</v>
      </c>
      <c r="M29" s="2" t="s">
        <v>31</v>
      </c>
      <c r="N29" s="2" t="s">
        <v>461</v>
      </c>
      <c r="O29" s="2" t="s">
        <v>134</v>
      </c>
      <c r="P29" s="2" t="s">
        <v>1848</v>
      </c>
      <c r="Q29" s="2" t="s">
        <v>410</v>
      </c>
      <c r="R29" s="2" t="s">
        <v>403</v>
      </c>
      <c r="S29" s="2" t="s">
        <v>34</v>
      </c>
      <c r="T29" s="151">
        <v>6.8319999999999999</v>
      </c>
      <c r="U29" s="2" t="s">
        <v>1919</v>
      </c>
      <c r="V29" s="162">
        <v>4.02E-2</v>
      </c>
      <c r="W29" s="164">
        <v>3.5560000000000001E-2</v>
      </c>
      <c r="X29" s="4" t="s">
        <v>409</v>
      </c>
      <c r="Y29" s="4" t="s">
        <v>134</v>
      </c>
      <c r="Z29" s="151">
        <v>16000</v>
      </c>
      <c r="AA29" s="158">
        <v>1</v>
      </c>
      <c r="AB29" s="175">
        <v>104.52</v>
      </c>
      <c r="AD29" s="151">
        <v>16.722999999999999</v>
      </c>
      <c r="AG29" s="2" t="s">
        <v>36</v>
      </c>
      <c r="AH29" s="164">
        <v>2.0000000000000002E-5</v>
      </c>
      <c r="AI29" s="164">
        <v>4.53741718000785E-3</v>
      </c>
      <c r="AJ29" s="164">
        <v>1.82431124338764E-3</v>
      </c>
    </row>
    <row r="30" spans="1:36">
      <c r="A30" s="2">
        <v>337</v>
      </c>
      <c r="B30" s="2">
        <v>1405</v>
      </c>
      <c r="C30" s="2" t="s">
        <v>1920</v>
      </c>
      <c r="D30" s="2" t="s">
        <v>1921</v>
      </c>
      <c r="E30" s="4" t="s">
        <v>1303</v>
      </c>
      <c r="F30" s="2" t="s">
        <v>1922</v>
      </c>
      <c r="G30" s="2" t="s">
        <v>1923</v>
      </c>
      <c r="H30" s="2" t="s">
        <v>318</v>
      </c>
      <c r="I30" s="2" t="s">
        <v>965</v>
      </c>
      <c r="J30" s="2" t="s">
        <v>30</v>
      </c>
      <c r="K30" s="2" t="s">
        <v>30</v>
      </c>
      <c r="L30" s="2" t="s">
        <v>324</v>
      </c>
      <c r="M30" s="2" t="s">
        <v>41</v>
      </c>
      <c r="N30" s="2" t="s">
        <v>443</v>
      </c>
      <c r="O30" s="2" t="s">
        <v>134</v>
      </c>
      <c r="P30" s="2" t="s">
        <v>1842</v>
      </c>
      <c r="Q30" s="2" t="s">
        <v>406</v>
      </c>
      <c r="R30" s="2" t="s">
        <v>406</v>
      </c>
      <c r="S30" s="2" t="s">
        <v>34</v>
      </c>
      <c r="T30" s="151">
        <v>1.629</v>
      </c>
      <c r="U30" s="2" t="s">
        <v>1910</v>
      </c>
      <c r="V30" s="162">
        <v>8.5000000000000006E-2</v>
      </c>
      <c r="W30" s="164">
        <v>6.3089999999999993E-2</v>
      </c>
      <c r="X30" s="4" t="s">
        <v>409</v>
      </c>
      <c r="Y30" s="4" t="s">
        <v>134</v>
      </c>
      <c r="Z30" s="151">
        <v>10000</v>
      </c>
      <c r="AA30" s="158">
        <v>1</v>
      </c>
      <c r="AB30" s="175">
        <v>105.85</v>
      </c>
      <c r="AD30" s="151">
        <v>10.585000000000001</v>
      </c>
      <c r="AG30" s="2" t="s">
        <v>36</v>
      </c>
      <c r="AH30" s="164">
        <v>7.7000000000000001E-5</v>
      </c>
      <c r="AI30" s="164">
        <v>2.87197192226267E-3</v>
      </c>
      <c r="AJ30" s="164">
        <v>1.15470331702415E-3</v>
      </c>
    </row>
    <row r="31" spans="1:36">
      <c r="A31" s="2">
        <v>337</v>
      </c>
      <c r="B31" s="2">
        <v>1405</v>
      </c>
      <c r="C31" s="2" t="s">
        <v>1924</v>
      </c>
      <c r="D31" s="2" t="s">
        <v>1925</v>
      </c>
      <c r="E31" s="4" t="s">
        <v>1303</v>
      </c>
      <c r="F31" s="2" t="s">
        <v>1926</v>
      </c>
      <c r="G31" s="2" t="s">
        <v>1927</v>
      </c>
      <c r="H31" s="2" t="s">
        <v>318</v>
      </c>
      <c r="I31" s="2" t="s">
        <v>753</v>
      </c>
      <c r="J31" s="2" t="s">
        <v>30</v>
      </c>
      <c r="K31" s="2" t="s">
        <v>30</v>
      </c>
      <c r="L31" s="2" t="s">
        <v>324</v>
      </c>
      <c r="M31" s="2" t="s">
        <v>41</v>
      </c>
      <c r="N31" s="2" t="s">
        <v>447</v>
      </c>
      <c r="O31" s="2" t="s">
        <v>134</v>
      </c>
      <c r="P31" s="2" t="s">
        <v>1830</v>
      </c>
      <c r="Q31" s="2" t="s">
        <v>410</v>
      </c>
      <c r="R31" s="2" t="s">
        <v>403</v>
      </c>
      <c r="S31" s="2" t="s">
        <v>34</v>
      </c>
      <c r="T31" s="151">
        <v>2.4510000000000001</v>
      </c>
      <c r="U31" s="2" t="s">
        <v>1928</v>
      </c>
      <c r="V31" s="162">
        <v>2.8799999999999999E-2</v>
      </c>
      <c r="W31" s="164">
        <v>3.218E-2</v>
      </c>
      <c r="X31" s="4" t="s">
        <v>409</v>
      </c>
      <c r="Y31" s="4" t="s">
        <v>134</v>
      </c>
      <c r="Z31" s="151">
        <v>14777.78</v>
      </c>
      <c r="AA31" s="158">
        <v>1</v>
      </c>
      <c r="AB31" s="175">
        <v>114.69</v>
      </c>
      <c r="AD31" s="151">
        <v>16.949000000000002</v>
      </c>
      <c r="AG31" s="2" t="s">
        <v>36</v>
      </c>
      <c r="AH31" s="164">
        <v>6.4999999999999994E-5</v>
      </c>
      <c r="AI31" s="164">
        <v>4.5985835024806403E-3</v>
      </c>
      <c r="AJ31" s="164">
        <v>1.8489037384959699E-3</v>
      </c>
    </row>
    <row r="32" spans="1:36">
      <c r="A32" s="2">
        <v>337</v>
      </c>
      <c r="B32" s="2">
        <v>1405</v>
      </c>
      <c r="C32" s="2" t="s">
        <v>1929</v>
      </c>
      <c r="D32" s="2" t="s">
        <v>1930</v>
      </c>
      <c r="E32" s="4" t="s">
        <v>1303</v>
      </c>
      <c r="F32" s="2" t="s">
        <v>1931</v>
      </c>
      <c r="G32" s="2" t="s">
        <v>1932</v>
      </c>
      <c r="H32" s="2" t="s">
        <v>318</v>
      </c>
      <c r="I32" s="2" t="s">
        <v>965</v>
      </c>
      <c r="J32" s="2" t="s">
        <v>30</v>
      </c>
      <c r="K32" s="2" t="s">
        <v>30</v>
      </c>
      <c r="L32" s="2" t="s">
        <v>324</v>
      </c>
      <c r="M32" s="2" t="s">
        <v>41</v>
      </c>
      <c r="N32" s="2" t="s">
        <v>447</v>
      </c>
      <c r="O32" s="2" t="s">
        <v>134</v>
      </c>
      <c r="P32" s="2" t="s">
        <v>1834</v>
      </c>
      <c r="Q32" s="2" t="s">
        <v>410</v>
      </c>
      <c r="R32" s="2" t="s">
        <v>403</v>
      </c>
      <c r="S32" s="2" t="s">
        <v>34</v>
      </c>
      <c r="T32" s="151">
        <v>6.0330000000000004</v>
      </c>
      <c r="U32" s="2" t="s">
        <v>1933</v>
      </c>
      <c r="V32" s="162">
        <v>5.3100000000000001E-2</v>
      </c>
      <c r="W32" s="164">
        <v>5.2409999999999998E-2</v>
      </c>
      <c r="X32" s="4" t="s">
        <v>409</v>
      </c>
      <c r="Y32" s="4" t="s">
        <v>134</v>
      </c>
      <c r="Z32" s="151">
        <v>5000</v>
      </c>
      <c r="AA32" s="158">
        <v>1</v>
      </c>
      <c r="AB32" s="175">
        <v>101.76</v>
      </c>
      <c r="AD32" s="151">
        <v>5.0880000000000001</v>
      </c>
      <c r="AG32" s="2" t="s">
        <v>36</v>
      </c>
      <c r="AH32" s="164">
        <v>1.5999999999999999E-5</v>
      </c>
      <c r="AI32" s="164">
        <v>1.3805000605075499E-3</v>
      </c>
      <c r="AJ32" s="164">
        <v>5.5504303042218795E-4</v>
      </c>
    </row>
    <row r="33" spans="1:36">
      <c r="A33" s="2">
        <v>337</v>
      </c>
      <c r="B33" s="2">
        <v>1405</v>
      </c>
      <c r="C33" s="2" t="s">
        <v>1934</v>
      </c>
      <c r="D33" s="2" t="s">
        <v>1935</v>
      </c>
      <c r="E33" s="4" t="s">
        <v>310</v>
      </c>
      <c r="F33" s="2" t="s">
        <v>1936</v>
      </c>
      <c r="G33" s="2" t="s">
        <v>1937</v>
      </c>
      <c r="H33" s="2" t="s">
        <v>318</v>
      </c>
      <c r="I33" s="2" t="s">
        <v>965</v>
      </c>
      <c r="J33" s="2" t="s">
        <v>30</v>
      </c>
      <c r="K33" s="2" t="s">
        <v>30</v>
      </c>
      <c r="L33" s="2" t="s">
        <v>324</v>
      </c>
      <c r="M33" s="2" t="s">
        <v>41</v>
      </c>
      <c r="N33" s="2" t="s">
        <v>461</v>
      </c>
      <c r="O33" s="2" t="s">
        <v>134</v>
      </c>
      <c r="P33" s="2" t="s">
        <v>1909</v>
      </c>
      <c r="Q33" s="2" t="s">
        <v>412</v>
      </c>
      <c r="R33" s="2" t="s">
        <v>403</v>
      </c>
      <c r="S33" s="2" t="s">
        <v>34</v>
      </c>
      <c r="T33" s="151">
        <v>0.98</v>
      </c>
      <c r="U33" s="2" t="s">
        <v>1938</v>
      </c>
      <c r="V33" s="162">
        <v>7.0000000000000007E-2</v>
      </c>
      <c r="W33" s="164">
        <v>6.5449999999999994E-2</v>
      </c>
      <c r="X33" s="4" t="s">
        <v>409</v>
      </c>
      <c r="Y33" s="4" t="s">
        <v>134</v>
      </c>
      <c r="Z33" s="151">
        <v>0.39</v>
      </c>
      <c r="AA33" s="158">
        <v>1</v>
      </c>
      <c r="AB33" s="175">
        <v>100.55</v>
      </c>
      <c r="AD33" s="151">
        <v>0</v>
      </c>
      <c r="AG33" s="2" t="s">
        <v>36</v>
      </c>
      <c r="AH33" s="164">
        <v>0</v>
      </c>
      <c r="AI33" s="164">
        <v>1.06398623472432E-7</v>
      </c>
      <c r="AJ33" s="164">
        <v>4.27785670528516E-8</v>
      </c>
    </row>
    <row r="34" spans="1:36">
      <c r="A34" s="2">
        <v>337</v>
      </c>
      <c r="B34" s="2">
        <v>1405</v>
      </c>
      <c r="C34" s="2" t="s">
        <v>1939</v>
      </c>
      <c r="D34" s="2" t="s">
        <v>1940</v>
      </c>
      <c r="E34" s="4" t="s">
        <v>1303</v>
      </c>
      <c r="F34" s="2" t="s">
        <v>1941</v>
      </c>
      <c r="G34" s="2" t="s">
        <v>1942</v>
      </c>
      <c r="H34" s="2" t="s">
        <v>318</v>
      </c>
      <c r="I34" s="2" t="s">
        <v>753</v>
      </c>
      <c r="J34" s="2" t="s">
        <v>30</v>
      </c>
      <c r="K34" s="2" t="s">
        <v>30</v>
      </c>
      <c r="L34" s="2" t="s">
        <v>324</v>
      </c>
      <c r="M34" s="2" t="s">
        <v>41</v>
      </c>
      <c r="N34" s="2" t="s">
        <v>460</v>
      </c>
      <c r="O34" s="2" t="s">
        <v>134</v>
      </c>
      <c r="P34" s="2" t="s">
        <v>1842</v>
      </c>
      <c r="Q34" s="2" t="s">
        <v>406</v>
      </c>
      <c r="R34" s="2" t="s">
        <v>406</v>
      </c>
      <c r="S34" s="2" t="s">
        <v>34</v>
      </c>
      <c r="T34" s="151">
        <v>1.9239999999999999</v>
      </c>
      <c r="U34" s="2" t="s">
        <v>1943</v>
      </c>
      <c r="V34" s="162">
        <v>1.9E-2</v>
      </c>
      <c r="W34" s="164">
        <v>3.32E-2</v>
      </c>
      <c r="X34" s="4" t="s">
        <v>409</v>
      </c>
      <c r="Y34" s="4" t="s">
        <v>134</v>
      </c>
      <c r="Z34" s="151">
        <v>11280</v>
      </c>
      <c r="AA34" s="158">
        <v>1</v>
      </c>
      <c r="AB34" s="175">
        <v>108</v>
      </c>
      <c r="AC34" s="151">
        <v>0.32</v>
      </c>
      <c r="AD34" s="151">
        <v>12.503</v>
      </c>
      <c r="AG34" s="2" t="s">
        <v>36</v>
      </c>
      <c r="AH34" s="164">
        <v>2.0000000000000002E-5</v>
      </c>
      <c r="AI34" s="164">
        <v>3.39230214750594E-3</v>
      </c>
      <c r="AJ34" s="164">
        <v>1.3639069768436899E-3</v>
      </c>
    </row>
    <row r="35" spans="1:36">
      <c r="A35" s="2">
        <v>337</v>
      </c>
      <c r="B35" s="2">
        <v>1405</v>
      </c>
      <c r="C35" s="2" t="s">
        <v>1836</v>
      </c>
      <c r="D35" s="2" t="s">
        <v>1837</v>
      </c>
      <c r="E35" s="4" t="s">
        <v>1303</v>
      </c>
      <c r="F35" s="2" t="s">
        <v>1944</v>
      </c>
      <c r="G35" s="2" t="s">
        <v>1945</v>
      </c>
      <c r="H35" s="2" t="s">
        <v>318</v>
      </c>
      <c r="I35" s="2" t="s">
        <v>753</v>
      </c>
      <c r="J35" s="2" t="s">
        <v>30</v>
      </c>
      <c r="K35" s="2" t="s">
        <v>30</v>
      </c>
      <c r="L35" s="2" t="s">
        <v>324</v>
      </c>
      <c r="M35" s="2" t="s">
        <v>41</v>
      </c>
      <c r="N35" s="2" t="s">
        <v>460</v>
      </c>
      <c r="O35" s="2" t="s">
        <v>134</v>
      </c>
      <c r="P35" s="2" t="s">
        <v>1834</v>
      </c>
      <c r="Q35" s="2" t="s">
        <v>410</v>
      </c>
      <c r="R35" s="2" t="s">
        <v>403</v>
      </c>
      <c r="S35" s="2" t="s">
        <v>34</v>
      </c>
      <c r="T35" s="151">
        <v>4.91</v>
      </c>
      <c r="U35" s="2" t="s">
        <v>1946</v>
      </c>
      <c r="V35" s="162">
        <v>6.4999999999999997E-3</v>
      </c>
      <c r="W35" s="164">
        <v>2.9739999999999999E-2</v>
      </c>
      <c r="X35" s="4" t="s">
        <v>409</v>
      </c>
      <c r="Y35" s="4" t="s">
        <v>134</v>
      </c>
      <c r="Z35" s="151">
        <v>10204.82</v>
      </c>
      <c r="AA35" s="158">
        <v>1</v>
      </c>
      <c r="AB35" s="175">
        <v>102.5</v>
      </c>
      <c r="AD35" s="151">
        <v>10.46</v>
      </c>
      <c r="AG35" s="2" t="s">
        <v>36</v>
      </c>
      <c r="AH35" s="164">
        <v>5.0000000000000004E-6</v>
      </c>
      <c r="AI35" s="164">
        <v>2.83804019126482E-3</v>
      </c>
      <c r="AJ35" s="164">
        <v>1.14106074551018E-3</v>
      </c>
    </row>
    <row r="36" spans="1:36">
      <c r="A36" s="2">
        <v>337</v>
      </c>
      <c r="B36" s="2">
        <v>1405</v>
      </c>
      <c r="C36" s="2" t="s">
        <v>1836</v>
      </c>
      <c r="D36" s="2" t="s">
        <v>1837</v>
      </c>
      <c r="E36" s="4" t="s">
        <v>1303</v>
      </c>
      <c r="F36" s="2" t="s">
        <v>1947</v>
      </c>
      <c r="G36" s="2" t="s">
        <v>1948</v>
      </c>
      <c r="H36" s="2" t="s">
        <v>318</v>
      </c>
      <c r="I36" s="2" t="s">
        <v>753</v>
      </c>
      <c r="J36" s="2" t="s">
        <v>30</v>
      </c>
      <c r="K36" s="2" t="s">
        <v>30</v>
      </c>
      <c r="L36" s="2" t="s">
        <v>324</v>
      </c>
      <c r="M36" s="2" t="s">
        <v>31</v>
      </c>
      <c r="N36" s="2" t="s">
        <v>460</v>
      </c>
      <c r="O36" s="2" t="s">
        <v>134</v>
      </c>
      <c r="P36" s="2" t="s">
        <v>1834</v>
      </c>
      <c r="Q36" s="2" t="s">
        <v>410</v>
      </c>
      <c r="R36" s="2" t="s">
        <v>403</v>
      </c>
      <c r="S36" s="2" t="s">
        <v>34</v>
      </c>
      <c r="T36" s="151">
        <v>7.2910000000000004</v>
      </c>
      <c r="U36" s="2" t="s">
        <v>1949</v>
      </c>
      <c r="V36" s="162">
        <v>3.5999999999999997E-2</v>
      </c>
      <c r="W36" s="164">
        <v>3.2489999999999998E-2</v>
      </c>
      <c r="X36" s="4" t="s">
        <v>409</v>
      </c>
      <c r="Y36" s="4" t="s">
        <v>134</v>
      </c>
      <c r="Z36" s="151">
        <v>21000</v>
      </c>
      <c r="AA36" s="158">
        <v>1</v>
      </c>
      <c r="AB36" s="175">
        <v>104.88</v>
      </c>
      <c r="AD36" s="151">
        <v>22.024999999999999</v>
      </c>
      <c r="AG36" s="2" t="s">
        <v>36</v>
      </c>
      <c r="AH36" s="164">
        <v>2.9E-5</v>
      </c>
      <c r="AI36" s="164">
        <v>5.9758721958857704E-3</v>
      </c>
      <c r="AJ36" s="164">
        <v>2.4026556085775599E-3</v>
      </c>
    </row>
    <row r="37" spans="1:36">
      <c r="A37" s="2">
        <v>337</v>
      </c>
      <c r="B37" s="2">
        <v>1405</v>
      </c>
      <c r="C37" s="2" t="s">
        <v>1950</v>
      </c>
      <c r="D37" s="2" t="s">
        <v>1951</v>
      </c>
      <c r="E37" s="4" t="s">
        <v>1303</v>
      </c>
      <c r="F37" s="2" t="s">
        <v>1952</v>
      </c>
      <c r="G37" s="2" t="s">
        <v>1953</v>
      </c>
      <c r="H37" s="2" t="s">
        <v>318</v>
      </c>
      <c r="I37" s="2" t="s">
        <v>753</v>
      </c>
      <c r="J37" s="2" t="s">
        <v>30</v>
      </c>
      <c r="K37" s="2" t="s">
        <v>30</v>
      </c>
      <c r="L37" s="2" t="s">
        <v>324</v>
      </c>
      <c r="M37" s="2" t="s">
        <v>41</v>
      </c>
      <c r="N37" s="2" t="s">
        <v>460</v>
      </c>
      <c r="O37" s="2" t="s">
        <v>134</v>
      </c>
      <c r="P37" s="2" t="s">
        <v>1862</v>
      </c>
      <c r="Q37" s="2" t="s">
        <v>410</v>
      </c>
      <c r="R37" s="2" t="s">
        <v>403</v>
      </c>
      <c r="S37" s="2" t="s">
        <v>34</v>
      </c>
      <c r="T37" s="151">
        <v>5.7060000000000004</v>
      </c>
      <c r="U37" s="2" t="s">
        <v>1954</v>
      </c>
      <c r="V37" s="162">
        <v>3.6799999999999999E-2</v>
      </c>
      <c r="W37" s="164">
        <v>3.5349999999999999E-2</v>
      </c>
      <c r="X37" s="4" t="s">
        <v>409</v>
      </c>
      <c r="Y37" s="4" t="s">
        <v>134</v>
      </c>
      <c r="Z37" s="151">
        <v>21000</v>
      </c>
      <c r="AA37" s="158">
        <v>1</v>
      </c>
      <c r="AB37" s="175">
        <v>105.69</v>
      </c>
      <c r="AD37" s="151">
        <v>22.195</v>
      </c>
      <c r="AG37" s="2" t="s">
        <v>36</v>
      </c>
      <c r="AH37" s="164">
        <v>4.6999999999999997E-5</v>
      </c>
      <c r="AI37" s="164">
        <v>6.0220245269180699E-3</v>
      </c>
      <c r="AJ37" s="164">
        <v>2.4212115872479199E-3</v>
      </c>
    </row>
    <row r="38" spans="1:36">
      <c r="A38" s="2">
        <v>337</v>
      </c>
      <c r="B38" s="2">
        <v>1405</v>
      </c>
      <c r="C38" s="2" t="s">
        <v>1950</v>
      </c>
      <c r="D38" s="2" t="s">
        <v>1951</v>
      </c>
      <c r="E38" s="4" t="s">
        <v>1303</v>
      </c>
      <c r="F38" s="2" t="s">
        <v>1955</v>
      </c>
      <c r="G38" s="2" t="s">
        <v>1956</v>
      </c>
      <c r="H38" s="2" t="s">
        <v>318</v>
      </c>
      <c r="I38" s="2" t="s">
        <v>965</v>
      </c>
      <c r="J38" s="2" t="s">
        <v>30</v>
      </c>
      <c r="K38" s="2" t="s">
        <v>30</v>
      </c>
      <c r="L38" s="2" t="s">
        <v>324</v>
      </c>
      <c r="M38" s="2" t="s">
        <v>41</v>
      </c>
      <c r="N38" s="2" t="s">
        <v>443</v>
      </c>
      <c r="O38" s="2" t="s">
        <v>134</v>
      </c>
      <c r="P38" s="2" t="s">
        <v>1862</v>
      </c>
      <c r="Q38" s="2" t="s">
        <v>410</v>
      </c>
      <c r="R38" s="2" t="s">
        <v>403</v>
      </c>
      <c r="S38" s="2" t="s">
        <v>34</v>
      </c>
      <c r="T38" s="151">
        <v>2.3279999999999998</v>
      </c>
      <c r="U38" s="2" t="s">
        <v>1957</v>
      </c>
      <c r="V38" s="162">
        <v>5.2999999999999999E-2</v>
      </c>
      <c r="W38" s="164">
        <v>5.57E-2</v>
      </c>
      <c r="X38" s="4" t="s">
        <v>409</v>
      </c>
      <c r="Y38" s="4" t="s">
        <v>134</v>
      </c>
      <c r="Z38" s="151">
        <v>44891</v>
      </c>
      <c r="AA38" s="158">
        <v>1</v>
      </c>
      <c r="AB38" s="175">
        <v>99.54</v>
      </c>
      <c r="AC38" s="151">
        <v>1.19</v>
      </c>
      <c r="AD38" s="151">
        <v>45.874000000000002</v>
      </c>
      <c r="AG38" s="2" t="s">
        <v>36</v>
      </c>
      <c r="AH38" s="164">
        <v>1.1900000000000001E-4</v>
      </c>
      <c r="AI38" s="164">
        <v>1.2446779395328299E-2</v>
      </c>
      <c r="AJ38" s="164">
        <v>5.0043446952399897E-3</v>
      </c>
    </row>
    <row r="39" spans="1:36">
      <c r="A39" s="2">
        <v>337</v>
      </c>
      <c r="B39" s="2">
        <v>1405</v>
      </c>
      <c r="C39" s="2" t="s">
        <v>1493</v>
      </c>
      <c r="D39" s="2" t="s">
        <v>1494</v>
      </c>
      <c r="E39" s="4" t="s">
        <v>1303</v>
      </c>
      <c r="F39" s="2" t="s">
        <v>1958</v>
      </c>
      <c r="G39" s="2" t="s">
        <v>1959</v>
      </c>
      <c r="H39" s="2" t="s">
        <v>318</v>
      </c>
      <c r="I39" s="2" t="s">
        <v>965</v>
      </c>
      <c r="J39" s="2" t="s">
        <v>30</v>
      </c>
      <c r="K39" s="2" t="s">
        <v>30</v>
      </c>
      <c r="L39" s="2" t="s">
        <v>324</v>
      </c>
      <c r="M39" s="2" t="s">
        <v>41</v>
      </c>
      <c r="N39" s="2" t="s">
        <v>481</v>
      </c>
      <c r="O39" s="2" t="s">
        <v>134</v>
      </c>
      <c r="P39" s="2" t="s">
        <v>1834</v>
      </c>
      <c r="Q39" s="2" t="s">
        <v>410</v>
      </c>
      <c r="R39" s="2" t="s">
        <v>403</v>
      </c>
      <c r="S39" s="2" t="s">
        <v>34</v>
      </c>
      <c r="T39" s="151">
        <v>7.5209999999999999</v>
      </c>
      <c r="U39" s="2" t="s">
        <v>1960</v>
      </c>
      <c r="V39" s="162">
        <v>2.7900000000000001E-2</v>
      </c>
      <c r="W39" s="164">
        <v>5.1869999999999999E-2</v>
      </c>
      <c r="X39" s="4" t="s">
        <v>409</v>
      </c>
      <c r="Y39" s="4" t="s">
        <v>134</v>
      </c>
      <c r="Z39" s="151">
        <v>56566</v>
      </c>
      <c r="AA39" s="158">
        <v>1</v>
      </c>
      <c r="AB39" s="175">
        <v>84.82</v>
      </c>
      <c r="AD39" s="151">
        <v>47.978999999999999</v>
      </c>
      <c r="AG39" s="2" t="s">
        <v>36</v>
      </c>
      <c r="AH39" s="164">
        <v>4.0000000000000003E-5</v>
      </c>
      <c r="AI39" s="164">
        <v>1.3017963954345299E-2</v>
      </c>
      <c r="AJ39" s="164">
        <v>5.2339948181458996E-3</v>
      </c>
    </row>
    <row r="40" spans="1:36">
      <c r="A40" s="2">
        <v>337</v>
      </c>
      <c r="B40" s="2">
        <v>1405</v>
      </c>
      <c r="C40" s="2" t="s">
        <v>1497</v>
      </c>
      <c r="D40" s="2" t="s">
        <v>1498</v>
      </c>
      <c r="E40" s="4" t="s">
        <v>1303</v>
      </c>
      <c r="F40" s="2" t="s">
        <v>1961</v>
      </c>
      <c r="G40" s="2" t="s">
        <v>1962</v>
      </c>
      <c r="H40" s="2" t="s">
        <v>318</v>
      </c>
      <c r="I40" s="2" t="s">
        <v>753</v>
      </c>
      <c r="J40" s="2" t="s">
        <v>30</v>
      </c>
      <c r="K40" s="2" t="s">
        <v>30</v>
      </c>
      <c r="L40" s="2" t="s">
        <v>324</v>
      </c>
      <c r="M40" s="2" t="s">
        <v>41</v>
      </c>
      <c r="N40" s="2" t="s">
        <v>460</v>
      </c>
      <c r="O40" s="2" t="s">
        <v>134</v>
      </c>
      <c r="P40" s="2" t="s">
        <v>1826</v>
      </c>
      <c r="Q40" s="2" t="s">
        <v>410</v>
      </c>
      <c r="R40" s="2" t="s">
        <v>403</v>
      </c>
      <c r="S40" s="2" t="s">
        <v>34</v>
      </c>
      <c r="T40" s="151">
        <v>4.8780000000000001</v>
      </c>
      <c r="U40" s="2" t="s">
        <v>1963</v>
      </c>
      <c r="V40" s="162">
        <v>1.8700000000000001E-2</v>
      </c>
      <c r="W40" s="164">
        <v>3.1629999999999998E-2</v>
      </c>
      <c r="X40" s="4" t="s">
        <v>409</v>
      </c>
      <c r="Y40" s="4" t="s">
        <v>134</v>
      </c>
      <c r="Z40" s="151">
        <v>20000</v>
      </c>
      <c r="AA40" s="158">
        <v>1</v>
      </c>
      <c r="AB40" s="175">
        <v>105.08</v>
      </c>
      <c r="AD40" s="151">
        <v>21.015999999999998</v>
      </c>
      <c r="AG40" s="2" t="s">
        <v>36</v>
      </c>
      <c r="AH40" s="164">
        <v>2.0000000000000002E-5</v>
      </c>
      <c r="AI40" s="164">
        <v>5.7021598411216099E-3</v>
      </c>
      <c r="AJ40" s="164">
        <v>2.2926069825771802E-3</v>
      </c>
    </row>
    <row r="41" spans="1:36">
      <c r="A41" s="2">
        <v>337</v>
      </c>
      <c r="B41" s="2">
        <v>1405</v>
      </c>
      <c r="C41" s="2" t="s">
        <v>1964</v>
      </c>
      <c r="D41" s="2" t="s">
        <v>1965</v>
      </c>
      <c r="E41" s="4" t="s">
        <v>1303</v>
      </c>
      <c r="F41" s="2" t="s">
        <v>1966</v>
      </c>
      <c r="G41" s="2" t="s">
        <v>1967</v>
      </c>
      <c r="H41" s="2" t="s">
        <v>318</v>
      </c>
      <c r="I41" s="2" t="s">
        <v>753</v>
      </c>
      <c r="J41" s="2" t="s">
        <v>30</v>
      </c>
      <c r="K41" s="2" t="s">
        <v>30</v>
      </c>
      <c r="L41" s="2" t="s">
        <v>324</v>
      </c>
      <c r="M41" s="2" t="s">
        <v>41</v>
      </c>
      <c r="N41" s="2" t="s">
        <v>444</v>
      </c>
      <c r="O41" s="2" t="s">
        <v>134</v>
      </c>
      <c r="P41" s="2" t="s">
        <v>1826</v>
      </c>
      <c r="Q41" s="2" t="s">
        <v>410</v>
      </c>
      <c r="R41" s="2" t="s">
        <v>403</v>
      </c>
      <c r="S41" s="2" t="s">
        <v>34</v>
      </c>
      <c r="T41" s="151">
        <v>2.9670000000000001</v>
      </c>
      <c r="U41" s="2" t="s">
        <v>1968</v>
      </c>
      <c r="V41" s="162">
        <v>1.09E-2</v>
      </c>
      <c r="W41" s="164">
        <v>2.9389999999999999E-2</v>
      </c>
      <c r="X41" s="4" t="s">
        <v>409</v>
      </c>
      <c r="Y41" s="4" t="s">
        <v>134</v>
      </c>
      <c r="Z41" s="151">
        <v>50000</v>
      </c>
      <c r="AA41" s="158">
        <v>1</v>
      </c>
      <c r="AB41" s="175">
        <v>105.7</v>
      </c>
      <c r="AD41" s="151">
        <v>52.85</v>
      </c>
      <c r="AG41" s="2" t="s">
        <v>36</v>
      </c>
      <c r="AH41" s="164">
        <v>5.5000000000000002E-5</v>
      </c>
      <c r="AI41" s="164">
        <v>1.4339510259006301E-2</v>
      </c>
      <c r="AJ41" s="164">
        <v>5.7653349366770098E-3</v>
      </c>
    </row>
    <row r="42" spans="1:36">
      <c r="A42" s="2">
        <v>337</v>
      </c>
      <c r="B42" s="2">
        <v>1405</v>
      </c>
      <c r="C42" s="2" t="s">
        <v>1964</v>
      </c>
      <c r="D42" s="2" t="s">
        <v>1965</v>
      </c>
      <c r="E42" s="4" t="s">
        <v>1303</v>
      </c>
      <c r="F42" s="2" t="s">
        <v>1969</v>
      </c>
      <c r="G42" s="2" t="s">
        <v>1970</v>
      </c>
      <c r="H42" s="2" t="s">
        <v>318</v>
      </c>
      <c r="I42" s="2" t="s">
        <v>753</v>
      </c>
      <c r="J42" s="2" t="s">
        <v>30</v>
      </c>
      <c r="K42" s="2" t="s">
        <v>30</v>
      </c>
      <c r="L42" s="2" t="s">
        <v>324</v>
      </c>
      <c r="M42" s="2" t="s">
        <v>41</v>
      </c>
      <c r="N42" s="2" t="s">
        <v>444</v>
      </c>
      <c r="O42" s="2" t="s">
        <v>134</v>
      </c>
      <c r="P42" s="2" t="s">
        <v>1826</v>
      </c>
      <c r="Q42" s="2" t="s">
        <v>410</v>
      </c>
      <c r="R42" s="2" t="s">
        <v>403</v>
      </c>
      <c r="S42" s="2" t="s">
        <v>34</v>
      </c>
      <c r="T42" s="151">
        <v>3.78</v>
      </c>
      <c r="U42" s="2" t="s">
        <v>1971</v>
      </c>
      <c r="V42" s="162">
        <v>2.9899999999999999E-2</v>
      </c>
      <c r="W42" s="164">
        <v>3.065E-2</v>
      </c>
      <c r="X42" s="4" t="s">
        <v>409</v>
      </c>
      <c r="Y42" s="4" t="s">
        <v>134</v>
      </c>
      <c r="Z42" s="151">
        <v>50000</v>
      </c>
      <c r="AA42" s="158">
        <v>1</v>
      </c>
      <c r="AB42" s="175">
        <v>107.65</v>
      </c>
      <c r="AD42" s="151">
        <v>53.825000000000003</v>
      </c>
      <c r="AG42" s="2" t="s">
        <v>36</v>
      </c>
      <c r="AH42" s="164">
        <v>6.3E-5</v>
      </c>
      <c r="AI42" s="164">
        <v>1.46040518389975E-2</v>
      </c>
      <c r="AJ42" s="164">
        <v>5.87169636644542E-3</v>
      </c>
    </row>
    <row r="43" spans="1:36">
      <c r="A43" s="2">
        <v>337</v>
      </c>
      <c r="B43" s="2">
        <v>1405</v>
      </c>
      <c r="C43" s="2" t="s">
        <v>1671</v>
      </c>
      <c r="D43" s="2" t="s">
        <v>1672</v>
      </c>
      <c r="E43" s="4" t="s">
        <v>1303</v>
      </c>
      <c r="F43" s="2" t="s">
        <v>1972</v>
      </c>
      <c r="G43" s="2" t="s">
        <v>1973</v>
      </c>
      <c r="H43" s="2" t="s">
        <v>318</v>
      </c>
      <c r="I43" s="2" t="s">
        <v>965</v>
      </c>
      <c r="J43" s="2" t="s">
        <v>30</v>
      </c>
      <c r="K43" s="2" t="s">
        <v>30</v>
      </c>
      <c r="L43" s="2" t="s">
        <v>324</v>
      </c>
      <c r="M43" s="2" t="s">
        <v>41</v>
      </c>
      <c r="N43" s="2" t="s">
        <v>436</v>
      </c>
      <c r="O43" s="2" t="s">
        <v>134</v>
      </c>
      <c r="P43" s="2" t="s">
        <v>1909</v>
      </c>
      <c r="Q43" s="2" t="s">
        <v>412</v>
      </c>
      <c r="R43" s="2" t="s">
        <v>403</v>
      </c>
      <c r="S43" s="2" t="s">
        <v>34</v>
      </c>
      <c r="T43" s="151">
        <v>2.621</v>
      </c>
      <c r="U43" s="2" t="s">
        <v>1974</v>
      </c>
      <c r="V43" s="162">
        <v>7.2499999999999995E-2</v>
      </c>
      <c r="W43" s="164">
        <v>5.6919999999999998E-2</v>
      </c>
      <c r="X43" s="4" t="s">
        <v>409</v>
      </c>
      <c r="Y43" s="4" t="s">
        <v>134</v>
      </c>
      <c r="Z43" s="151">
        <v>54000</v>
      </c>
      <c r="AA43" s="158">
        <v>1</v>
      </c>
      <c r="AB43" s="175">
        <v>107.37</v>
      </c>
      <c r="AD43" s="151">
        <v>57.98</v>
      </c>
      <c r="AG43" s="2" t="s">
        <v>36</v>
      </c>
      <c r="AH43" s="164">
        <v>7.4999999999999993E-5</v>
      </c>
      <c r="AI43" s="164">
        <v>1.5731351691866301E-2</v>
      </c>
      <c r="AJ43" s="164">
        <v>6.3249378724984998E-3</v>
      </c>
    </row>
    <row r="44" spans="1:36">
      <c r="A44" s="2">
        <v>337</v>
      </c>
      <c r="B44" s="2">
        <v>1405</v>
      </c>
      <c r="C44" s="2" t="s">
        <v>1975</v>
      </c>
      <c r="D44" s="2" t="s">
        <v>1976</v>
      </c>
      <c r="E44" s="4" t="s">
        <v>1303</v>
      </c>
      <c r="F44" s="2" t="s">
        <v>1977</v>
      </c>
      <c r="G44" s="2" t="s">
        <v>1978</v>
      </c>
      <c r="H44" s="2" t="s">
        <v>318</v>
      </c>
      <c r="I44" s="2" t="s">
        <v>965</v>
      </c>
      <c r="J44" s="2" t="s">
        <v>30</v>
      </c>
      <c r="K44" s="2" t="s">
        <v>30</v>
      </c>
      <c r="L44" s="2" t="s">
        <v>324</v>
      </c>
      <c r="M44" s="2" t="s">
        <v>41</v>
      </c>
      <c r="N44" s="2" t="s">
        <v>436</v>
      </c>
      <c r="O44" s="2" t="s">
        <v>134</v>
      </c>
      <c r="P44" s="2" t="s">
        <v>1848</v>
      </c>
      <c r="Q44" s="2" t="s">
        <v>410</v>
      </c>
      <c r="R44" s="2" t="s">
        <v>403</v>
      </c>
      <c r="S44" s="2" t="s">
        <v>34</v>
      </c>
      <c r="T44" s="151">
        <v>4.2629999999999999</v>
      </c>
      <c r="U44" s="2" t="s">
        <v>1979</v>
      </c>
      <c r="V44" s="162">
        <v>5.7500000000000002E-2</v>
      </c>
      <c r="W44" s="164">
        <v>5.493E-2</v>
      </c>
      <c r="X44" s="4" t="s">
        <v>409</v>
      </c>
      <c r="Y44" s="4" t="s">
        <v>134</v>
      </c>
      <c r="Z44" s="151">
        <v>28929</v>
      </c>
      <c r="AA44" s="158">
        <v>1</v>
      </c>
      <c r="AB44" s="175">
        <v>101.46</v>
      </c>
      <c r="AD44" s="151">
        <v>29.350999999999999</v>
      </c>
      <c r="AG44" s="2" t="s">
        <v>36</v>
      </c>
      <c r="AH44" s="164">
        <v>5.5000000000000002E-5</v>
      </c>
      <c r="AI44" s="164">
        <v>7.9637497935690308E-3</v>
      </c>
      <c r="AJ44" s="164">
        <v>3.2019004891035599E-3</v>
      </c>
    </row>
    <row r="45" spans="1:36">
      <c r="A45" s="2">
        <v>337</v>
      </c>
      <c r="B45" s="2">
        <v>1405</v>
      </c>
      <c r="C45" s="2" t="s">
        <v>1513</v>
      </c>
      <c r="D45" s="2" t="s">
        <v>1514</v>
      </c>
      <c r="E45" s="4" t="s">
        <v>1303</v>
      </c>
      <c r="F45" s="2" t="s">
        <v>1980</v>
      </c>
      <c r="G45" s="2" t="s">
        <v>1981</v>
      </c>
      <c r="H45" s="2" t="s">
        <v>318</v>
      </c>
      <c r="I45" s="2" t="s">
        <v>965</v>
      </c>
      <c r="J45" s="2" t="s">
        <v>30</v>
      </c>
      <c r="K45" s="2" t="s">
        <v>30</v>
      </c>
      <c r="L45" s="2" t="s">
        <v>324</v>
      </c>
      <c r="M45" s="2" t="s">
        <v>41</v>
      </c>
      <c r="N45" s="2" t="s">
        <v>460</v>
      </c>
      <c r="O45" s="2" t="s">
        <v>134</v>
      </c>
      <c r="P45" s="2" t="s">
        <v>1834</v>
      </c>
      <c r="Q45" s="2" t="s">
        <v>410</v>
      </c>
      <c r="R45" s="2" t="s">
        <v>403</v>
      </c>
      <c r="S45" s="2" t="s">
        <v>34</v>
      </c>
      <c r="T45" s="151">
        <v>4.7640000000000002</v>
      </c>
      <c r="U45" s="2" t="s">
        <v>1982</v>
      </c>
      <c r="V45" s="162">
        <v>2.5499999999999998E-2</v>
      </c>
      <c r="W45" s="164">
        <v>5.2690000000000001E-2</v>
      </c>
      <c r="X45" s="4" t="s">
        <v>409</v>
      </c>
      <c r="Y45" s="4" t="s">
        <v>134</v>
      </c>
      <c r="Z45" s="151">
        <v>33871</v>
      </c>
      <c r="AA45" s="158">
        <v>1</v>
      </c>
      <c r="AB45" s="175">
        <v>88.7</v>
      </c>
      <c r="AD45" s="151">
        <v>30.044</v>
      </c>
      <c r="AG45" s="2" t="s">
        <v>36</v>
      </c>
      <c r="AH45" s="164">
        <v>1.4E-5</v>
      </c>
      <c r="AI45" s="164">
        <v>8.1515644391437492E-3</v>
      </c>
      <c r="AJ45" s="164">
        <v>3.2774131334124099E-3</v>
      </c>
    </row>
    <row r="46" spans="1:36">
      <c r="A46" s="2">
        <v>337</v>
      </c>
      <c r="B46" s="2">
        <v>1405</v>
      </c>
      <c r="C46" s="2" t="s">
        <v>1513</v>
      </c>
      <c r="D46" s="2" t="s">
        <v>1514</v>
      </c>
      <c r="E46" s="4" t="s">
        <v>1303</v>
      </c>
      <c r="F46" s="2" t="s">
        <v>1983</v>
      </c>
      <c r="G46" s="2" t="s">
        <v>1984</v>
      </c>
      <c r="H46" s="2" t="s">
        <v>318</v>
      </c>
      <c r="I46" s="2" t="s">
        <v>753</v>
      </c>
      <c r="J46" s="2" t="s">
        <v>30</v>
      </c>
      <c r="K46" s="2" t="s">
        <v>30</v>
      </c>
      <c r="L46" s="2" t="s">
        <v>324</v>
      </c>
      <c r="M46" s="2" t="s">
        <v>41</v>
      </c>
      <c r="N46" s="2" t="s">
        <v>460</v>
      </c>
      <c r="O46" s="2" t="s">
        <v>134</v>
      </c>
      <c r="P46" s="2" t="s">
        <v>1834</v>
      </c>
      <c r="Q46" s="2" t="s">
        <v>410</v>
      </c>
      <c r="R46" s="2" t="s">
        <v>403</v>
      </c>
      <c r="S46" s="2" t="s">
        <v>34</v>
      </c>
      <c r="T46" s="151">
        <v>3.4889999999999999</v>
      </c>
      <c r="U46" s="2" t="s">
        <v>1985</v>
      </c>
      <c r="V46" s="162">
        <v>5.0000000000000001E-3</v>
      </c>
      <c r="W46" s="164">
        <v>3.0589999999999999E-2</v>
      </c>
      <c r="X46" s="4" t="s">
        <v>409</v>
      </c>
      <c r="Y46" s="4" t="s">
        <v>134</v>
      </c>
      <c r="Z46" s="151">
        <v>20789.060000000001</v>
      </c>
      <c r="AA46" s="158">
        <v>1</v>
      </c>
      <c r="AB46" s="175">
        <v>105.54</v>
      </c>
      <c r="AD46" s="151">
        <v>21.940999999999999</v>
      </c>
      <c r="AG46" s="2" t="s">
        <v>36</v>
      </c>
      <c r="AH46" s="164">
        <v>1.2999999999999999E-5</v>
      </c>
      <c r="AI46" s="164">
        <v>5.9530738462391097E-3</v>
      </c>
      <c r="AJ46" s="164">
        <v>2.3934893177250602E-3</v>
      </c>
    </row>
    <row r="47" spans="1:36">
      <c r="A47" s="2">
        <v>337</v>
      </c>
      <c r="B47" s="2">
        <v>1405</v>
      </c>
      <c r="C47" s="2" t="s">
        <v>1513</v>
      </c>
      <c r="D47" s="2" t="s">
        <v>1514</v>
      </c>
      <c r="E47" s="4" t="s">
        <v>1303</v>
      </c>
      <c r="F47" s="2" t="s">
        <v>1986</v>
      </c>
      <c r="G47" s="2" t="s">
        <v>1987</v>
      </c>
      <c r="H47" s="2" t="s">
        <v>318</v>
      </c>
      <c r="I47" s="2" t="s">
        <v>753</v>
      </c>
      <c r="J47" s="2" t="s">
        <v>30</v>
      </c>
      <c r="K47" s="2" t="s">
        <v>30</v>
      </c>
      <c r="L47" s="2" t="s">
        <v>324</v>
      </c>
      <c r="M47" s="2" t="s">
        <v>31</v>
      </c>
      <c r="N47" s="2" t="s">
        <v>460</v>
      </c>
      <c r="O47" s="2" t="s">
        <v>134</v>
      </c>
      <c r="P47" s="2" t="s">
        <v>1834</v>
      </c>
      <c r="Q47" s="2" t="s">
        <v>410</v>
      </c>
      <c r="R47" s="2" t="s">
        <v>403</v>
      </c>
      <c r="S47" s="2" t="s">
        <v>34</v>
      </c>
      <c r="T47" s="151">
        <v>3.3180000000000001</v>
      </c>
      <c r="U47" s="2" t="s">
        <v>74</v>
      </c>
      <c r="V47" s="162">
        <v>3.3399999999999999E-2</v>
      </c>
      <c r="W47" s="164">
        <v>3.0470000000000001E-2</v>
      </c>
      <c r="X47" s="4" t="s">
        <v>409</v>
      </c>
      <c r="Y47" s="4" t="s">
        <v>134</v>
      </c>
      <c r="Z47" s="151">
        <v>30000</v>
      </c>
      <c r="AA47" s="158">
        <v>1</v>
      </c>
      <c r="AB47" s="175">
        <v>102.84</v>
      </c>
      <c r="AD47" s="151">
        <v>30.852</v>
      </c>
      <c r="AG47" s="2" t="s">
        <v>36</v>
      </c>
      <c r="AH47" s="164">
        <v>2.8E-5</v>
      </c>
      <c r="AI47" s="164">
        <v>8.3709095650116097E-3</v>
      </c>
      <c r="AJ47" s="164">
        <v>3.36560290381001E-3</v>
      </c>
    </row>
    <row r="48" spans="1:36">
      <c r="A48" s="2">
        <v>337</v>
      </c>
      <c r="B48" s="2">
        <v>1405</v>
      </c>
      <c r="C48" s="2" t="s">
        <v>1988</v>
      </c>
      <c r="D48" s="2" t="s">
        <v>1989</v>
      </c>
      <c r="E48" s="4" t="s">
        <v>1303</v>
      </c>
      <c r="F48" s="2" t="s">
        <v>1990</v>
      </c>
      <c r="G48" s="2" t="s">
        <v>1991</v>
      </c>
      <c r="H48" s="2" t="s">
        <v>318</v>
      </c>
      <c r="I48" s="2" t="s">
        <v>965</v>
      </c>
      <c r="J48" s="2" t="s">
        <v>30</v>
      </c>
      <c r="K48" s="2" t="s">
        <v>30</v>
      </c>
      <c r="L48" s="2" t="s">
        <v>324</v>
      </c>
      <c r="M48" s="2" t="s">
        <v>41</v>
      </c>
      <c r="N48" s="2" t="s">
        <v>443</v>
      </c>
      <c r="O48" s="2" t="s">
        <v>134</v>
      </c>
      <c r="P48" s="2" t="s">
        <v>1842</v>
      </c>
      <c r="Q48" s="2" t="s">
        <v>406</v>
      </c>
      <c r="R48" s="2" t="s">
        <v>406</v>
      </c>
      <c r="S48" s="2" t="s">
        <v>34</v>
      </c>
      <c r="T48" s="151">
        <v>1.177</v>
      </c>
      <c r="U48" s="2" t="s">
        <v>1992</v>
      </c>
      <c r="V48" s="162">
        <v>3.8699999999999998E-2</v>
      </c>
      <c r="W48" s="164">
        <v>5.9119999999999999E-2</v>
      </c>
      <c r="X48" s="4" t="s">
        <v>409</v>
      </c>
      <c r="Y48" s="4" t="s">
        <v>134</v>
      </c>
      <c r="Z48" s="151">
        <v>10412.299999999999</v>
      </c>
      <c r="AA48" s="158">
        <v>1</v>
      </c>
      <c r="AB48" s="175">
        <v>98.73</v>
      </c>
      <c r="AD48" s="151">
        <v>10.28</v>
      </c>
      <c r="AG48" s="2" t="s">
        <v>36</v>
      </c>
      <c r="AH48" s="164">
        <v>3.1000000000000001E-5</v>
      </c>
      <c r="AI48" s="164">
        <v>2.7892351973499499E-3</v>
      </c>
      <c r="AJ48" s="164">
        <v>1.1214382387844E-3</v>
      </c>
    </row>
    <row r="49" spans="1:36">
      <c r="A49" s="2">
        <v>337</v>
      </c>
      <c r="B49" s="2">
        <v>1405</v>
      </c>
      <c r="C49" s="2" t="s">
        <v>1988</v>
      </c>
      <c r="D49" s="2" t="s">
        <v>1989</v>
      </c>
      <c r="E49" s="4" t="s">
        <v>1303</v>
      </c>
      <c r="F49" s="2" t="s">
        <v>1993</v>
      </c>
      <c r="G49" s="2" t="s">
        <v>1994</v>
      </c>
      <c r="H49" s="2" t="s">
        <v>318</v>
      </c>
      <c r="I49" s="2" t="s">
        <v>965</v>
      </c>
      <c r="J49" s="2" t="s">
        <v>30</v>
      </c>
      <c r="K49" s="2" t="s">
        <v>30</v>
      </c>
      <c r="L49" s="2" t="s">
        <v>324</v>
      </c>
      <c r="M49" s="2" t="s">
        <v>41</v>
      </c>
      <c r="N49" s="2" t="s">
        <v>443</v>
      </c>
      <c r="O49" s="2" t="s">
        <v>134</v>
      </c>
      <c r="P49" s="2" t="s">
        <v>1842</v>
      </c>
      <c r="Q49" s="2" t="s">
        <v>406</v>
      </c>
      <c r="R49" s="2" t="s">
        <v>406</v>
      </c>
      <c r="S49" s="2" t="s">
        <v>34</v>
      </c>
      <c r="T49" s="151">
        <v>1.18</v>
      </c>
      <c r="U49" s="2" t="s">
        <v>1910</v>
      </c>
      <c r="V49" s="162">
        <v>6.25E-2</v>
      </c>
      <c r="W49" s="164">
        <v>6.8479999999999999E-2</v>
      </c>
      <c r="X49" s="4" t="s">
        <v>409</v>
      </c>
      <c r="Y49" s="4" t="s">
        <v>134</v>
      </c>
      <c r="Z49" s="151">
        <v>0.75</v>
      </c>
      <c r="AA49" s="158">
        <v>1</v>
      </c>
      <c r="AB49" s="175">
        <v>101.01</v>
      </c>
      <c r="AD49" s="151">
        <v>1E-3</v>
      </c>
      <c r="AG49" s="2" t="s">
        <v>36</v>
      </c>
      <c r="AH49" s="164">
        <v>0</v>
      </c>
      <c r="AI49" s="164">
        <v>2.0554880765310801E-7</v>
      </c>
      <c r="AJ49" s="164">
        <v>8.2642830930049005E-8</v>
      </c>
    </row>
    <row r="50" spans="1:36">
      <c r="A50" s="2">
        <v>337</v>
      </c>
      <c r="B50" s="2">
        <v>1405</v>
      </c>
      <c r="C50" s="2" t="s">
        <v>1995</v>
      </c>
      <c r="D50" s="2" t="s">
        <v>1996</v>
      </c>
      <c r="E50" s="4" t="s">
        <v>1303</v>
      </c>
      <c r="F50" s="2" t="s">
        <v>1997</v>
      </c>
      <c r="G50" s="2" t="s">
        <v>1998</v>
      </c>
      <c r="H50" s="2" t="s">
        <v>318</v>
      </c>
      <c r="I50" s="2" t="s">
        <v>966</v>
      </c>
      <c r="J50" s="2" t="s">
        <v>30</v>
      </c>
      <c r="K50" s="2" t="s">
        <v>30</v>
      </c>
      <c r="L50" s="2" t="s">
        <v>324</v>
      </c>
      <c r="M50" s="2" t="s">
        <v>41</v>
      </c>
      <c r="N50" s="2" t="s">
        <v>443</v>
      </c>
      <c r="O50" s="2" t="s">
        <v>134</v>
      </c>
      <c r="P50" s="2" t="s">
        <v>1842</v>
      </c>
      <c r="Q50" s="2" t="s">
        <v>406</v>
      </c>
      <c r="R50" s="2" t="s">
        <v>406</v>
      </c>
      <c r="S50" s="2" t="s">
        <v>34</v>
      </c>
      <c r="T50" s="151">
        <v>3.24</v>
      </c>
      <c r="U50" s="2" t="s">
        <v>1831</v>
      </c>
      <c r="V50" s="162">
        <v>7.0000000000000007E-2</v>
      </c>
      <c r="W50" s="164">
        <v>-6.3850000000000004E-2</v>
      </c>
      <c r="X50" s="4" t="s">
        <v>409</v>
      </c>
      <c r="Y50" s="4" t="s">
        <v>134</v>
      </c>
      <c r="Z50" s="151">
        <v>10000</v>
      </c>
      <c r="AA50" s="158">
        <v>1</v>
      </c>
      <c r="AB50" s="175">
        <v>133.1</v>
      </c>
      <c r="AD50" s="151">
        <v>13.31</v>
      </c>
      <c r="AG50" s="2" t="s">
        <v>36</v>
      </c>
      <c r="AH50" s="164">
        <v>2.0000000000000001E-4</v>
      </c>
      <c r="AI50" s="164">
        <v>3.6113317227507002E-3</v>
      </c>
      <c r="AJ50" s="164">
        <v>1.4519698771460899E-3</v>
      </c>
    </row>
    <row r="51" spans="1:36">
      <c r="A51" s="2">
        <v>337</v>
      </c>
      <c r="B51" s="2">
        <v>1405</v>
      </c>
      <c r="C51" s="2" t="s">
        <v>1999</v>
      </c>
      <c r="D51" s="2" t="s">
        <v>2000</v>
      </c>
      <c r="E51" s="4" t="s">
        <v>1303</v>
      </c>
      <c r="F51" s="2" t="s">
        <v>2001</v>
      </c>
      <c r="G51" s="2" t="s">
        <v>2002</v>
      </c>
      <c r="H51" s="2" t="s">
        <v>318</v>
      </c>
      <c r="I51" s="2" t="s">
        <v>753</v>
      </c>
      <c r="J51" s="2" t="s">
        <v>30</v>
      </c>
      <c r="K51" s="2" t="s">
        <v>30</v>
      </c>
      <c r="L51" s="2" t="s">
        <v>324</v>
      </c>
      <c r="M51" s="2" t="s">
        <v>41</v>
      </c>
      <c r="N51" s="2" t="s">
        <v>444</v>
      </c>
      <c r="O51" s="2" t="s">
        <v>134</v>
      </c>
      <c r="P51" s="2" t="s">
        <v>1176</v>
      </c>
      <c r="Q51" s="2" t="s">
        <v>410</v>
      </c>
      <c r="R51" s="2" t="s">
        <v>403</v>
      </c>
      <c r="S51" s="2" t="s">
        <v>34</v>
      </c>
      <c r="T51" s="151">
        <v>3.7480000000000002</v>
      </c>
      <c r="U51" s="2" t="s">
        <v>2003</v>
      </c>
      <c r="V51" s="162">
        <v>2E-3</v>
      </c>
      <c r="W51" s="164">
        <v>2.5999999999999999E-2</v>
      </c>
      <c r="X51" s="4" t="s">
        <v>409</v>
      </c>
      <c r="Y51" s="4" t="s">
        <v>134</v>
      </c>
      <c r="Z51" s="151">
        <v>18115.93</v>
      </c>
      <c r="AA51" s="158">
        <v>1</v>
      </c>
      <c r="AB51" s="175">
        <v>103.06</v>
      </c>
      <c r="AD51" s="151">
        <v>18.670000000000002</v>
      </c>
      <c r="AG51" s="2" t="s">
        <v>36</v>
      </c>
      <c r="AH51" s="164">
        <v>5.0000000000000004E-6</v>
      </c>
      <c r="AI51" s="164">
        <v>5.0657073821662396E-3</v>
      </c>
      <c r="AJ51" s="164">
        <v>2.0367152867750401E-3</v>
      </c>
    </row>
    <row r="52" spans="1:36">
      <c r="A52" s="2">
        <v>337</v>
      </c>
      <c r="B52" s="2">
        <v>1405</v>
      </c>
      <c r="C52" s="2" t="s">
        <v>1999</v>
      </c>
      <c r="D52" s="2" t="s">
        <v>2000</v>
      </c>
      <c r="E52" s="4" t="s">
        <v>1303</v>
      </c>
      <c r="F52" s="2" t="s">
        <v>2004</v>
      </c>
      <c r="G52" s="2" t="s">
        <v>2005</v>
      </c>
      <c r="H52" s="2" t="s">
        <v>318</v>
      </c>
      <c r="I52" s="2" t="s">
        <v>965</v>
      </c>
      <c r="J52" s="2" t="s">
        <v>30</v>
      </c>
      <c r="K52" s="2" t="s">
        <v>30</v>
      </c>
      <c r="L52" s="2" t="s">
        <v>324</v>
      </c>
      <c r="M52" s="2" t="s">
        <v>41</v>
      </c>
      <c r="N52" s="2" t="s">
        <v>444</v>
      </c>
      <c r="O52" s="2" t="s">
        <v>134</v>
      </c>
      <c r="P52" s="2" t="s">
        <v>1176</v>
      </c>
      <c r="Q52" s="2" t="s">
        <v>410</v>
      </c>
      <c r="R52" s="2" t="s">
        <v>403</v>
      </c>
      <c r="S52" s="2" t="s">
        <v>34</v>
      </c>
      <c r="T52" s="151">
        <v>2.9780000000000002</v>
      </c>
      <c r="U52" s="2" t="s">
        <v>2006</v>
      </c>
      <c r="V52" s="162">
        <v>2.6800000000000001E-2</v>
      </c>
      <c r="W52" s="164">
        <v>4.7109999999999999E-2</v>
      </c>
      <c r="X52" s="4" t="s">
        <v>409</v>
      </c>
      <c r="Y52" s="4" t="s">
        <v>134</v>
      </c>
      <c r="Z52" s="151">
        <v>56681.77</v>
      </c>
      <c r="AA52" s="158">
        <v>1</v>
      </c>
      <c r="AB52" s="175">
        <v>95.08</v>
      </c>
      <c r="AD52" s="151">
        <v>53.893000000000001</v>
      </c>
      <c r="AG52" s="2" t="s">
        <v>36</v>
      </c>
      <c r="AH52" s="164">
        <v>2.9E-5</v>
      </c>
      <c r="AI52" s="164">
        <v>1.4622509221397999E-2</v>
      </c>
      <c r="AJ52" s="164">
        <v>5.8791173305977199E-3</v>
      </c>
    </row>
    <row r="53" spans="1:36">
      <c r="A53" s="2">
        <v>337</v>
      </c>
      <c r="B53" s="2">
        <v>1405</v>
      </c>
      <c r="C53" s="2" t="s">
        <v>2007</v>
      </c>
      <c r="D53" s="2" t="s">
        <v>2008</v>
      </c>
      <c r="E53" s="4" t="s">
        <v>1303</v>
      </c>
      <c r="F53" s="2" t="s">
        <v>2009</v>
      </c>
      <c r="G53" s="2" t="s">
        <v>2010</v>
      </c>
      <c r="H53" s="2" t="s">
        <v>318</v>
      </c>
      <c r="I53" s="2" t="s">
        <v>753</v>
      </c>
      <c r="J53" s="2" t="s">
        <v>30</v>
      </c>
      <c r="K53" s="2" t="s">
        <v>30</v>
      </c>
      <c r="L53" s="2" t="s">
        <v>324</v>
      </c>
      <c r="M53" s="2" t="s">
        <v>41</v>
      </c>
      <c r="N53" s="2" t="s">
        <v>436</v>
      </c>
      <c r="O53" s="2" t="s">
        <v>134</v>
      </c>
      <c r="P53" s="2" t="s">
        <v>1909</v>
      </c>
      <c r="Q53" s="2" t="s">
        <v>412</v>
      </c>
      <c r="R53" s="2" t="s">
        <v>403</v>
      </c>
      <c r="S53" s="2" t="s">
        <v>34</v>
      </c>
      <c r="T53" s="151">
        <v>3.448</v>
      </c>
      <c r="U53" s="2" t="s">
        <v>2011</v>
      </c>
      <c r="V53" s="162">
        <v>1.7999999999999999E-2</v>
      </c>
      <c r="W53" s="164">
        <v>3.4950000000000002E-2</v>
      </c>
      <c r="X53" s="4" t="s">
        <v>409</v>
      </c>
      <c r="Y53" s="4" t="s">
        <v>134</v>
      </c>
      <c r="Z53" s="151">
        <v>14211.5</v>
      </c>
      <c r="AA53" s="158">
        <v>1</v>
      </c>
      <c r="AB53" s="175">
        <v>109.14</v>
      </c>
      <c r="AD53" s="151">
        <v>15.51</v>
      </c>
      <c r="AG53" s="2" t="s">
        <v>36</v>
      </c>
      <c r="AH53" s="164">
        <v>1.5999999999999999E-5</v>
      </c>
      <c r="AI53" s="164">
        <v>4.20836302516672E-3</v>
      </c>
      <c r="AJ53" s="164">
        <v>1.69201192627723E-3</v>
      </c>
    </row>
    <row r="54" spans="1:36">
      <c r="A54" s="2">
        <v>337</v>
      </c>
      <c r="B54" s="2">
        <v>1405</v>
      </c>
      <c r="C54" s="2" t="s">
        <v>2012</v>
      </c>
      <c r="D54" s="2" t="s">
        <v>2013</v>
      </c>
      <c r="E54" s="4" t="s">
        <v>1303</v>
      </c>
      <c r="F54" s="2" t="s">
        <v>2014</v>
      </c>
      <c r="G54" s="2" t="s">
        <v>2015</v>
      </c>
      <c r="H54" s="2" t="s">
        <v>318</v>
      </c>
      <c r="I54" s="2" t="s">
        <v>965</v>
      </c>
      <c r="J54" s="2" t="s">
        <v>30</v>
      </c>
      <c r="K54" s="2" t="s">
        <v>30</v>
      </c>
      <c r="L54" s="2" t="s">
        <v>324</v>
      </c>
      <c r="M54" s="2" t="s">
        <v>41</v>
      </c>
      <c r="N54" s="2" t="s">
        <v>450</v>
      </c>
      <c r="O54" s="2" t="s">
        <v>134</v>
      </c>
      <c r="P54" s="2" t="s">
        <v>1830</v>
      </c>
      <c r="Q54" s="2" t="s">
        <v>410</v>
      </c>
      <c r="R54" s="2" t="s">
        <v>403</v>
      </c>
      <c r="S54" s="2" t="s">
        <v>34</v>
      </c>
      <c r="T54" s="151">
        <v>2.5819999999999999</v>
      </c>
      <c r="U54" s="2" t="s">
        <v>1817</v>
      </c>
      <c r="V54" s="162">
        <v>6.7500000000000004E-2</v>
      </c>
      <c r="W54" s="164">
        <v>5.6399999999999999E-2</v>
      </c>
      <c r="X54" s="4" t="s">
        <v>409</v>
      </c>
      <c r="Y54" s="4" t="s">
        <v>134</v>
      </c>
      <c r="Z54" s="151">
        <v>25290</v>
      </c>
      <c r="AA54" s="158">
        <v>1</v>
      </c>
      <c r="AB54" s="175">
        <v>104.13</v>
      </c>
      <c r="AD54" s="151">
        <v>26.334</v>
      </c>
      <c r="AG54" s="2" t="s">
        <v>36</v>
      </c>
      <c r="AH54" s="164">
        <v>1.5999999999999999E-5</v>
      </c>
      <c r="AI54" s="164">
        <v>7.1451940039180002E-3</v>
      </c>
      <c r="AJ54" s="164">
        <v>2.87279243684422E-3</v>
      </c>
    </row>
    <row r="55" spans="1:36">
      <c r="A55" s="2">
        <v>337</v>
      </c>
      <c r="B55" s="2">
        <v>1405</v>
      </c>
      <c r="C55" s="2" t="s">
        <v>2012</v>
      </c>
      <c r="D55" s="2" t="s">
        <v>2013</v>
      </c>
      <c r="E55" s="4" t="s">
        <v>1303</v>
      </c>
      <c r="F55" s="2" t="s">
        <v>2016</v>
      </c>
      <c r="G55" s="2" t="s">
        <v>2017</v>
      </c>
      <c r="H55" s="2" t="s">
        <v>318</v>
      </c>
      <c r="I55" s="2" t="s">
        <v>965</v>
      </c>
      <c r="J55" s="2" t="s">
        <v>30</v>
      </c>
      <c r="K55" s="2" t="s">
        <v>30</v>
      </c>
      <c r="L55" s="2" t="s">
        <v>324</v>
      </c>
      <c r="M55" s="2" t="s">
        <v>31</v>
      </c>
      <c r="N55" s="2" t="s">
        <v>450</v>
      </c>
      <c r="O55" s="2" t="s">
        <v>134</v>
      </c>
      <c r="P55" s="2" t="s">
        <v>1830</v>
      </c>
      <c r="Q55" s="2" t="s">
        <v>410</v>
      </c>
      <c r="R55" s="2" t="s">
        <v>403</v>
      </c>
      <c r="S55" s="2" t="s">
        <v>34</v>
      </c>
      <c r="T55" s="151">
        <v>5.6980000000000004</v>
      </c>
      <c r="U55" s="2" t="s">
        <v>1985</v>
      </c>
      <c r="V55" s="162">
        <v>5.6899999999999999E-2</v>
      </c>
      <c r="W55" s="164">
        <v>6.0499999999999998E-2</v>
      </c>
      <c r="X55" s="4" t="s">
        <v>409</v>
      </c>
      <c r="Y55" s="4" t="s">
        <v>134</v>
      </c>
      <c r="Z55" s="151">
        <v>16000</v>
      </c>
      <c r="AA55" s="158">
        <v>1</v>
      </c>
      <c r="AB55" s="175">
        <v>99.25</v>
      </c>
      <c r="AD55" s="151">
        <v>15.88</v>
      </c>
      <c r="AG55" s="2" t="s">
        <v>36</v>
      </c>
      <c r="AH55" s="164">
        <v>1.5E-5</v>
      </c>
      <c r="AI55" s="164">
        <v>4.3086361951375704E-3</v>
      </c>
      <c r="AJ55" s="164">
        <v>1.73232769715101E-3</v>
      </c>
    </row>
    <row r="56" spans="1:36">
      <c r="A56" s="2">
        <v>337</v>
      </c>
      <c r="B56" s="2">
        <v>1405</v>
      </c>
      <c r="C56" s="2" t="s">
        <v>2018</v>
      </c>
      <c r="D56" s="2" t="s">
        <v>2019</v>
      </c>
      <c r="E56" s="4" t="s">
        <v>1303</v>
      </c>
      <c r="F56" s="2" t="s">
        <v>2020</v>
      </c>
      <c r="G56" s="2" t="s">
        <v>2021</v>
      </c>
      <c r="H56" s="2" t="s">
        <v>318</v>
      </c>
      <c r="I56" s="2" t="s">
        <v>753</v>
      </c>
      <c r="J56" s="2" t="s">
        <v>30</v>
      </c>
      <c r="K56" s="2" t="s">
        <v>30</v>
      </c>
      <c r="L56" s="2" t="s">
        <v>324</v>
      </c>
      <c r="M56" s="2" t="s">
        <v>41</v>
      </c>
      <c r="N56" s="2" t="s">
        <v>460</v>
      </c>
      <c r="O56" s="2" t="s">
        <v>134</v>
      </c>
      <c r="P56" s="2" t="s">
        <v>1862</v>
      </c>
      <c r="Q56" s="2" t="s">
        <v>410</v>
      </c>
      <c r="R56" s="2" t="s">
        <v>403</v>
      </c>
      <c r="S56" s="2" t="s">
        <v>34</v>
      </c>
      <c r="T56" s="151">
        <v>3.077</v>
      </c>
      <c r="U56" s="2" t="s">
        <v>2022</v>
      </c>
      <c r="V56" s="162">
        <v>2.7E-2</v>
      </c>
      <c r="W56" s="164">
        <v>3.3090000000000001E-2</v>
      </c>
      <c r="X56" s="4" t="s">
        <v>409</v>
      </c>
      <c r="Y56" s="4" t="s">
        <v>134</v>
      </c>
      <c r="Z56" s="151">
        <v>6300</v>
      </c>
      <c r="AA56" s="158">
        <v>1</v>
      </c>
      <c r="AB56" s="175">
        <v>106.11</v>
      </c>
      <c r="AD56" s="151">
        <v>6.6849999999999996</v>
      </c>
      <c r="AG56" s="2" t="s">
        <v>36</v>
      </c>
      <c r="AH56" s="164">
        <v>1.5999999999999999E-5</v>
      </c>
      <c r="AI56" s="164">
        <v>1.8137866095693301E-3</v>
      </c>
      <c r="AJ56" s="164">
        <v>7.2924996174532201E-4</v>
      </c>
    </row>
    <row r="57" spans="1:36">
      <c r="A57" s="2">
        <v>337</v>
      </c>
      <c r="B57" s="2">
        <v>1405</v>
      </c>
      <c r="C57" s="2" t="s">
        <v>2018</v>
      </c>
      <c r="D57" s="2" t="s">
        <v>2019</v>
      </c>
      <c r="E57" s="4" t="s">
        <v>1303</v>
      </c>
      <c r="F57" s="2" t="s">
        <v>2023</v>
      </c>
      <c r="G57" s="2" t="s">
        <v>2024</v>
      </c>
      <c r="H57" s="2" t="s">
        <v>318</v>
      </c>
      <c r="I57" s="2" t="s">
        <v>753</v>
      </c>
      <c r="J57" s="2" t="s">
        <v>30</v>
      </c>
      <c r="K57" s="2" t="s">
        <v>30</v>
      </c>
      <c r="L57" s="2" t="s">
        <v>324</v>
      </c>
      <c r="M57" s="2" t="s">
        <v>41</v>
      </c>
      <c r="N57" s="2" t="s">
        <v>460</v>
      </c>
      <c r="O57" s="2" t="s">
        <v>134</v>
      </c>
      <c r="P57" s="2" t="s">
        <v>1862</v>
      </c>
      <c r="Q57" s="2" t="s">
        <v>410</v>
      </c>
      <c r="R57" s="2" t="s">
        <v>403</v>
      </c>
      <c r="S57" s="2" t="s">
        <v>34</v>
      </c>
      <c r="T57" s="151">
        <v>2.492</v>
      </c>
      <c r="U57" s="2" t="s">
        <v>2025</v>
      </c>
      <c r="V57" s="162">
        <v>1.7999999999999999E-2</v>
      </c>
      <c r="W57" s="164">
        <v>2.9749999999999999E-2</v>
      </c>
      <c r="X57" s="4" t="s">
        <v>409</v>
      </c>
      <c r="Y57" s="4" t="s">
        <v>134</v>
      </c>
      <c r="Z57" s="151">
        <v>44517.53</v>
      </c>
      <c r="AA57" s="158">
        <v>1</v>
      </c>
      <c r="AB57" s="175">
        <v>113.34</v>
      </c>
      <c r="AD57" s="151">
        <v>50.456000000000003</v>
      </c>
      <c r="AG57" s="2" t="s">
        <v>36</v>
      </c>
      <c r="AH57" s="164">
        <v>6.0000000000000002E-5</v>
      </c>
      <c r="AI57" s="164">
        <v>1.36900046521208E-2</v>
      </c>
      <c r="AJ57" s="164">
        <v>5.50419510000838E-3</v>
      </c>
    </row>
    <row r="58" spans="1:36">
      <c r="A58" s="2">
        <v>337</v>
      </c>
      <c r="B58" s="2">
        <v>1405</v>
      </c>
      <c r="C58" s="2" t="s">
        <v>2026</v>
      </c>
      <c r="D58" s="2" t="s">
        <v>2027</v>
      </c>
      <c r="E58" s="4" t="s">
        <v>1303</v>
      </c>
      <c r="F58" s="2" t="s">
        <v>2028</v>
      </c>
      <c r="G58" s="2" t="s">
        <v>2029</v>
      </c>
      <c r="H58" s="2" t="s">
        <v>318</v>
      </c>
      <c r="I58" s="2" t="s">
        <v>965</v>
      </c>
      <c r="J58" s="2" t="s">
        <v>30</v>
      </c>
      <c r="K58" s="2" t="s">
        <v>30</v>
      </c>
      <c r="L58" s="2" t="s">
        <v>324</v>
      </c>
      <c r="M58" s="2" t="s">
        <v>31</v>
      </c>
      <c r="N58" s="2" t="s">
        <v>441</v>
      </c>
      <c r="O58" s="2" t="s">
        <v>134</v>
      </c>
      <c r="P58" s="2" t="s">
        <v>1826</v>
      </c>
      <c r="Q58" s="2" t="s">
        <v>410</v>
      </c>
      <c r="R58" s="2" t="s">
        <v>403</v>
      </c>
      <c r="S58" s="2" t="s">
        <v>34</v>
      </c>
      <c r="T58" s="151">
        <v>6.8940000000000001</v>
      </c>
      <c r="U58" s="2" t="s">
        <v>1954</v>
      </c>
      <c r="V58" s="162">
        <v>6.0199999999999997E-2</v>
      </c>
      <c r="W58" s="164">
        <v>5.289E-2</v>
      </c>
      <c r="X58" s="4" t="s">
        <v>409</v>
      </c>
      <c r="Y58" s="4" t="s">
        <v>134</v>
      </c>
      <c r="Z58" s="151">
        <v>28307</v>
      </c>
      <c r="AA58" s="158">
        <v>1</v>
      </c>
      <c r="AB58" s="175">
        <v>107.02</v>
      </c>
      <c r="AD58" s="151">
        <v>30.294</v>
      </c>
      <c r="AG58" s="2" t="s">
        <v>36</v>
      </c>
      <c r="AH58" s="164">
        <v>5.7000000000000003E-5</v>
      </c>
      <c r="AI58" s="164">
        <v>8.2195514624066497E-3</v>
      </c>
      <c r="AJ58" s="164">
        <v>3.3047479554096999E-3</v>
      </c>
    </row>
    <row r="59" spans="1:36">
      <c r="A59" s="2">
        <v>337</v>
      </c>
      <c r="B59" s="2">
        <v>1405</v>
      </c>
      <c r="C59" s="2" t="s">
        <v>2030</v>
      </c>
      <c r="D59" s="2" t="s">
        <v>2031</v>
      </c>
      <c r="E59" s="4" t="s">
        <v>1303</v>
      </c>
      <c r="F59" s="2" t="s">
        <v>2032</v>
      </c>
      <c r="G59" s="2" t="s">
        <v>2033</v>
      </c>
      <c r="H59" s="2" t="s">
        <v>318</v>
      </c>
      <c r="I59" s="2" t="s">
        <v>753</v>
      </c>
      <c r="J59" s="2" t="s">
        <v>30</v>
      </c>
      <c r="K59" s="2" t="s">
        <v>30</v>
      </c>
      <c r="L59" s="2" t="s">
        <v>324</v>
      </c>
      <c r="M59" s="2" t="s">
        <v>31</v>
      </c>
      <c r="N59" s="2" t="s">
        <v>460</v>
      </c>
      <c r="O59" s="2" t="s">
        <v>134</v>
      </c>
      <c r="P59" s="2" t="s">
        <v>1814</v>
      </c>
      <c r="Q59" s="2" t="s">
        <v>412</v>
      </c>
      <c r="R59" s="2" t="s">
        <v>403</v>
      </c>
      <c r="S59" s="2" t="s">
        <v>34</v>
      </c>
      <c r="T59" s="151">
        <v>5.2880000000000003</v>
      </c>
      <c r="U59" s="2" t="s">
        <v>2034</v>
      </c>
      <c r="V59" s="162">
        <v>3.1800000000000002E-2</v>
      </c>
      <c r="W59" s="164">
        <v>3.2190000000000003E-2</v>
      </c>
      <c r="X59" s="4" t="s">
        <v>409</v>
      </c>
      <c r="Y59" s="4" t="s">
        <v>134</v>
      </c>
      <c r="Z59" s="151">
        <v>21000</v>
      </c>
      <c r="AA59" s="158">
        <v>1</v>
      </c>
      <c r="AB59" s="175">
        <v>101.12</v>
      </c>
      <c r="AD59" s="151">
        <v>21.234999999999999</v>
      </c>
      <c r="AG59" s="2" t="s">
        <v>36</v>
      </c>
      <c r="AH59" s="164">
        <v>9.3999999999999994E-5</v>
      </c>
      <c r="AI59" s="164">
        <v>5.7616342147975702E-3</v>
      </c>
      <c r="AJ59" s="164">
        <v>2.3165192137620401E-3</v>
      </c>
    </row>
    <row r="60" spans="1:36">
      <c r="A60" s="2">
        <v>337</v>
      </c>
      <c r="B60" s="2">
        <v>1405</v>
      </c>
      <c r="C60" s="2" t="s">
        <v>1553</v>
      </c>
      <c r="D60" s="2" t="s">
        <v>1554</v>
      </c>
      <c r="E60" s="4" t="s">
        <v>1303</v>
      </c>
      <c r="F60" s="2" t="s">
        <v>2035</v>
      </c>
      <c r="G60" s="2" t="s">
        <v>2036</v>
      </c>
      <c r="H60" s="2" t="s">
        <v>318</v>
      </c>
      <c r="I60" s="2" t="s">
        <v>965</v>
      </c>
      <c r="J60" s="2" t="s">
        <v>30</v>
      </c>
      <c r="K60" s="2" t="s">
        <v>30</v>
      </c>
      <c r="L60" s="2" t="s">
        <v>324</v>
      </c>
      <c r="M60" s="2" t="s">
        <v>41</v>
      </c>
      <c r="N60" s="2" t="s">
        <v>443</v>
      </c>
      <c r="O60" s="2" t="s">
        <v>134</v>
      </c>
      <c r="P60" s="2" t="s">
        <v>1842</v>
      </c>
      <c r="Q60" s="2" t="s">
        <v>406</v>
      </c>
      <c r="R60" s="2" t="s">
        <v>406</v>
      </c>
      <c r="S60" s="2" t="s">
        <v>34</v>
      </c>
      <c r="T60" s="151">
        <v>3.0000000000000001E-3</v>
      </c>
      <c r="U60" s="2" t="s">
        <v>2037</v>
      </c>
      <c r="V60" s="162">
        <v>5.62E-2</v>
      </c>
      <c r="W60" s="164">
        <v>1.46231</v>
      </c>
      <c r="X60" s="4" t="s">
        <v>409</v>
      </c>
      <c r="Y60" s="4" t="s">
        <v>134</v>
      </c>
      <c r="Z60" s="151">
        <v>13600</v>
      </c>
      <c r="AA60" s="158">
        <v>1</v>
      </c>
      <c r="AB60" s="175">
        <v>101.14</v>
      </c>
      <c r="AD60" s="151">
        <v>13.755000000000001</v>
      </c>
      <c r="AG60" s="2" t="s">
        <v>36</v>
      </c>
      <c r="AH60" s="164">
        <v>6.7999999999999999E-5</v>
      </c>
      <c r="AI60" s="164">
        <v>3.7320820660935198E-3</v>
      </c>
      <c r="AJ60" s="164">
        <v>1.50051868812469E-3</v>
      </c>
    </row>
    <row r="61" spans="1:36">
      <c r="A61" s="2">
        <v>337</v>
      </c>
      <c r="B61" s="2">
        <v>1405</v>
      </c>
      <c r="C61" s="2" t="s">
        <v>2038</v>
      </c>
      <c r="D61" s="2" t="s">
        <v>2039</v>
      </c>
      <c r="E61" s="4" t="s">
        <v>1303</v>
      </c>
      <c r="F61" s="2" t="s">
        <v>2040</v>
      </c>
      <c r="G61" s="2" t="s">
        <v>2041</v>
      </c>
      <c r="H61" s="2" t="s">
        <v>318</v>
      </c>
      <c r="I61" s="2" t="s">
        <v>753</v>
      </c>
      <c r="J61" s="2" t="s">
        <v>30</v>
      </c>
      <c r="K61" s="2" t="s">
        <v>30</v>
      </c>
      <c r="L61" s="2" t="s">
        <v>324</v>
      </c>
      <c r="M61" s="2" t="s">
        <v>41</v>
      </c>
      <c r="N61" s="2" t="s">
        <v>436</v>
      </c>
      <c r="O61" s="2" t="s">
        <v>134</v>
      </c>
      <c r="P61" s="2" t="s">
        <v>1176</v>
      </c>
      <c r="Q61" s="2" t="s">
        <v>410</v>
      </c>
      <c r="R61" s="2" t="s">
        <v>403</v>
      </c>
      <c r="S61" s="2" t="s">
        <v>34</v>
      </c>
      <c r="T61" s="151">
        <v>10.119999999999999</v>
      </c>
      <c r="U61" s="2" t="s">
        <v>2042</v>
      </c>
      <c r="V61" s="162">
        <v>3.2000000000000001E-2</v>
      </c>
      <c r="W61" s="164">
        <v>3.1019999999999999E-2</v>
      </c>
      <c r="X61" s="4" t="s">
        <v>409</v>
      </c>
      <c r="Y61" s="4" t="s">
        <v>134</v>
      </c>
      <c r="Z61" s="151">
        <v>26000</v>
      </c>
      <c r="AA61" s="158">
        <v>1</v>
      </c>
      <c r="AB61" s="175">
        <v>107.1</v>
      </c>
      <c r="AD61" s="151">
        <v>27.846</v>
      </c>
      <c r="AG61" s="2" t="s">
        <v>36</v>
      </c>
      <c r="AH61" s="164">
        <v>5.0000000000000004E-6</v>
      </c>
      <c r="AI61" s="164">
        <v>7.5553075245466499E-3</v>
      </c>
      <c r="AJ61" s="164">
        <v>3.0376824341855802E-3</v>
      </c>
    </row>
    <row r="62" spans="1:36">
      <c r="A62" s="2">
        <v>337</v>
      </c>
      <c r="B62" s="2">
        <v>1405</v>
      </c>
      <c r="C62" s="2" t="s">
        <v>2043</v>
      </c>
      <c r="D62" s="2" t="s">
        <v>2044</v>
      </c>
      <c r="E62" s="4" t="s">
        <v>33</v>
      </c>
      <c r="F62" s="2" t="s">
        <v>2045</v>
      </c>
      <c r="G62" s="2" t="s">
        <v>2046</v>
      </c>
      <c r="H62" s="2" t="s">
        <v>318</v>
      </c>
      <c r="I62" s="2" t="s">
        <v>754</v>
      </c>
      <c r="J62" s="2" t="s">
        <v>30</v>
      </c>
      <c r="K62" s="2" t="s">
        <v>80</v>
      </c>
      <c r="L62" s="2" t="s">
        <v>324</v>
      </c>
      <c r="M62" s="2" t="s">
        <v>41</v>
      </c>
      <c r="N62" s="2" t="s">
        <v>461</v>
      </c>
      <c r="O62" s="2" t="s">
        <v>134</v>
      </c>
      <c r="P62" s="2" t="s">
        <v>1826</v>
      </c>
      <c r="Q62" s="2" t="s">
        <v>410</v>
      </c>
      <c r="R62" s="2" t="s">
        <v>403</v>
      </c>
      <c r="S62" s="2" t="s">
        <v>84</v>
      </c>
      <c r="T62" s="151">
        <v>1.843</v>
      </c>
      <c r="U62" s="2" t="s">
        <v>2047</v>
      </c>
      <c r="V62" s="162">
        <v>4.7199999999999999E-2</v>
      </c>
      <c r="W62" s="164">
        <v>6.2030000000000002E-2</v>
      </c>
      <c r="X62" s="4" t="s">
        <v>409</v>
      </c>
      <c r="Y62" s="4" t="s">
        <v>134</v>
      </c>
      <c r="Z62" s="151">
        <v>18000</v>
      </c>
      <c r="AA62" s="158">
        <v>3.718</v>
      </c>
      <c r="AB62" s="175">
        <v>30.661999999999999</v>
      </c>
      <c r="AD62" s="151">
        <v>20.52</v>
      </c>
      <c r="AG62" s="2" t="s">
        <v>36</v>
      </c>
      <c r="AH62" s="164">
        <v>5.5000000000000002E-5</v>
      </c>
      <c r="AI62" s="164">
        <v>5.5675827911979203E-3</v>
      </c>
      <c r="AJ62" s="164">
        <v>2.2384990142026899E-3</v>
      </c>
    </row>
    <row r="63" spans="1:36">
      <c r="A63" s="2">
        <v>337</v>
      </c>
      <c r="B63" s="2">
        <v>1405</v>
      </c>
      <c r="C63" s="2" t="s">
        <v>2048</v>
      </c>
      <c r="D63" s="2" t="s">
        <v>2049</v>
      </c>
      <c r="E63" s="4" t="s">
        <v>1303</v>
      </c>
      <c r="F63" s="2" t="s">
        <v>2050</v>
      </c>
      <c r="G63" s="2" t="s">
        <v>2051</v>
      </c>
      <c r="H63" s="2" t="s">
        <v>318</v>
      </c>
      <c r="I63" s="2" t="s">
        <v>965</v>
      </c>
      <c r="J63" s="2" t="s">
        <v>30</v>
      </c>
      <c r="K63" s="2" t="s">
        <v>30</v>
      </c>
      <c r="L63" s="2" t="s">
        <v>324</v>
      </c>
      <c r="M63" s="2" t="s">
        <v>41</v>
      </c>
      <c r="N63" s="2" t="s">
        <v>443</v>
      </c>
      <c r="O63" s="2" t="s">
        <v>134</v>
      </c>
      <c r="P63" s="2" t="s">
        <v>1842</v>
      </c>
      <c r="Q63" s="2" t="s">
        <v>406</v>
      </c>
      <c r="R63" s="2" t="s">
        <v>406</v>
      </c>
      <c r="S63" s="2" t="s">
        <v>34</v>
      </c>
      <c r="T63" s="151">
        <v>1.0269999999999999</v>
      </c>
      <c r="U63" s="2" t="s">
        <v>2052</v>
      </c>
      <c r="V63" s="162">
        <v>5.6000000000000001E-2</v>
      </c>
      <c r="W63" s="164">
        <v>6.4949999999999994E-2</v>
      </c>
      <c r="X63" s="4" t="s">
        <v>409</v>
      </c>
      <c r="Y63" s="4" t="s">
        <v>134</v>
      </c>
      <c r="Z63" s="151">
        <v>17000</v>
      </c>
      <c r="AA63" s="158">
        <v>1</v>
      </c>
      <c r="AB63" s="175">
        <v>100.53</v>
      </c>
      <c r="AD63" s="151">
        <v>17.09</v>
      </c>
      <c r="AG63" s="2" t="s">
        <v>36</v>
      </c>
      <c r="AH63" s="164">
        <v>1E-4</v>
      </c>
      <c r="AI63" s="164">
        <v>4.6369662114937402E-3</v>
      </c>
      <c r="AJ63" s="164">
        <v>1.86433586757434E-3</v>
      </c>
    </row>
    <row r="64" spans="1:36">
      <c r="A64" s="2">
        <v>337</v>
      </c>
      <c r="B64" s="2">
        <v>1405</v>
      </c>
      <c r="C64" s="2" t="s">
        <v>2053</v>
      </c>
      <c r="D64" s="2" t="s">
        <v>2054</v>
      </c>
      <c r="E64" s="4" t="s">
        <v>1303</v>
      </c>
      <c r="F64" s="2" t="s">
        <v>2055</v>
      </c>
      <c r="G64" s="2" t="s">
        <v>2056</v>
      </c>
      <c r="H64" s="2" t="s">
        <v>318</v>
      </c>
      <c r="I64" s="2" t="s">
        <v>965</v>
      </c>
      <c r="J64" s="2" t="s">
        <v>30</v>
      </c>
      <c r="K64" s="2" t="s">
        <v>30</v>
      </c>
      <c r="L64" s="2" t="s">
        <v>324</v>
      </c>
      <c r="M64" s="2" t="s">
        <v>41</v>
      </c>
      <c r="N64" s="2" t="s">
        <v>472</v>
      </c>
      <c r="O64" s="2" t="s">
        <v>134</v>
      </c>
      <c r="P64" s="2" t="s">
        <v>2057</v>
      </c>
      <c r="Q64" s="2" t="s">
        <v>412</v>
      </c>
      <c r="R64" s="2" t="s">
        <v>403</v>
      </c>
      <c r="S64" s="2" t="s">
        <v>34</v>
      </c>
      <c r="T64" s="151">
        <v>3.3610000000000002</v>
      </c>
      <c r="U64" s="2" t="s">
        <v>2058</v>
      </c>
      <c r="V64" s="162">
        <v>3.9399999999999998E-2</v>
      </c>
      <c r="W64" s="164">
        <v>5.1810000000000002E-2</v>
      </c>
      <c r="X64" s="4" t="s">
        <v>409</v>
      </c>
      <c r="Y64" s="4" t="s">
        <v>134</v>
      </c>
      <c r="Z64" s="151">
        <v>1354.5</v>
      </c>
      <c r="AA64" s="158">
        <v>1</v>
      </c>
      <c r="AB64" s="175">
        <v>97.11</v>
      </c>
      <c r="AD64" s="151">
        <v>1.3149999999999999</v>
      </c>
      <c r="AG64" s="2" t="s">
        <v>36</v>
      </c>
      <c r="AH64" s="164">
        <v>9.0000000000000002E-6</v>
      </c>
      <c r="AI64" s="164">
        <v>3.5688828381759299E-4</v>
      </c>
      <c r="AJ64" s="164">
        <v>1.4349029039481599E-4</v>
      </c>
    </row>
    <row r="65" spans="1:36">
      <c r="A65" s="2">
        <v>337</v>
      </c>
      <c r="B65" s="2">
        <v>1405</v>
      </c>
      <c r="C65" s="2" t="s">
        <v>2059</v>
      </c>
      <c r="D65" s="2" t="s">
        <v>2060</v>
      </c>
      <c r="E65" s="4" t="s">
        <v>1303</v>
      </c>
      <c r="F65" s="2" t="s">
        <v>2061</v>
      </c>
      <c r="G65" s="2" t="s">
        <v>2062</v>
      </c>
      <c r="H65" s="2" t="s">
        <v>318</v>
      </c>
      <c r="I65" s="2" t="s">
        <v>753</v>
      </c>
      <c r="J65" s="2" t="s">
        <v>30</v>
      </c>
      <c r="K65" s="2" t="s">
        <v>30</v>
      </c>
      <c r="L65" s="2" t="s">
        <v>324</v>
      </c>
      <c r="M65" s="2" t="s">
        <v>41</v>
      </c>
      <c r="N65" s="2" t="s">
        <v>444</v>
      </c>
      <c r="O65" s="2" t="s">
        <v>134</v>
      </c>
      <c r="P65" s="2" t="s">
        <v>1826</v>
      </c>
      <c r="Q65" s="2" t="s">
        <v>410</v>
      </c>
      <c r="R65" s="2" t="s">
        <v>403</v>
      </c>
      <c r="S65" s="2" t="s">
        <v>34</v>
      </c>
      <c r="T65" s="151">
        <v>4.1260000000000003</v>
      </c>
      <c r="U65" s="2" t="s">
        <v>2063</v>
      </c>
      <c r="V65" s="162">
        <v>2.5899999999999999E-2</v>
      </c>
      <c r="W65" s="164">
        <v>2.7740000000000001E-2</v>
      </c>
      <c r="X65" s="4" t="s">
        <v>409</v>
      </c>
      <c r="Y65" s="4" t="s">
        <v>134</v>
      </c>
      <c r="Z65" s="151">
        <v>10000</v>
      </c>
      <c r="AA65" s="158">
        <v>1</v>
      </c>
      <c r="AB65" s="175">
        <v>103.09</v>
      </c>
      <c r="AD65" s="151">
        <v>10.308999999999999</v>
      </c>
      <c r="AG65" s="2" t="s">
        <v>36</v>
      </c>
      <c r="AH65" s="164">
        <v>1.5E-5</v>
      </c>
      <c r="AI65" s="164">
        <v>2.79708630577287E-3</v>
      </c>
      <c r="AJ65" s="164">
        <v>1.1245948507512501E-3</v>
      </c>
    </row>
    <row r="66" spans="1:36">
      <c r="A66" s="2">
        <v>337</v>
      </c>
      <c r="B66" s="2">
        <v>1405</v>
      </c>
      <c r="C66" s="2" t="s">
        <v>2064</v>
      </c>
      <c r="D66" s="2" t="s">
        <v>2065</v>
      </c>
      <c r="E66" s="4" t="s">
        <v>1303</v>
      </c>
      <c r="F66" s="2" t="s">
        <v>2066</v>
      </c>
      <c r="G66" s="2" t="s">
        <v>2067</v>
      </c>
      <c r="H66" s="2" t="s">
        <v>318</v>
      </c>
      <c r="I66" s="2" t="s">
        <v>753</v>
      </c>
      <c r="J66" s="2" t="s">
        <v>30</v>
      </c>
      <c r="K66" s="2" t="s">
        <v>30</v>
      </c>
      <c r="L66" s="2" t="s">
        <v>324</v>
      </c>
      <c r="M66" s="2" t="s">
        <v>41</v>
      </c>
      <c r="N66" s="2" t="s">
        <v>460</v>
      </c>
      <c r="O66" s="2" t="s">
        <v>134</v>
      </c>
      <c r="P66" s="2" t="s">
        <v>1842</v>
      </c>
      <c r="Q66" s="2" t="s">
        <v>406</v>
      </c>
      <c r="R66" s="2" t="s">
        <v>406</v>
      </c>
      <c r="S66" s="2" t="s">
        <v>34</v>
      </c>
      <c r="T66" s="151">
        <v>2.56</v>
      </c>
      <c r="U66" s="2" t="s">
        <v>2025</v>
      </c>
      <c r="V66" s="162">
        <v>4.4999999999999998E-2</v>
      </c>
      <c r="W66" s="164">
        <v>3.4479999999999997E-2</v>
      </c>
      <c r="X66" s="4" t="s">
        <v>409</v>
      </c>
      <c r="Y66" s="4" t="s">
        <v>134</v>
      </c>
      <c r="Z66" s="151">
        <v>16000</v>
      </c>
      <c r="AA66" s="158">
        <v>1</v>
      </c>
      <c r="AB66" s="175">
        <v>108.36</v>
      </c>
      <c r="AD66" s="151">
        <v>17.338000000000001</v>
      </c>
      <c r="AG66" s="2" t="s">
        <v>36</v>
      </c>
      <c r="AH66" s="164">
        <v>1.5999999999999999E-5</v>
      </c>
      <c r="AI66" s="164">
        <v>4.70411907410688E-3</v>
      </c>
      <c r="AJ66" s="164">
        <v>1.89133530743863E-3</v>
      </c>
    </row>
    <row r="67" spans="1:36">
      <c r="A67" s="2">
        <v>337</v>
      </c>
      <c r="B67" s="2">
        <v>1405</v>
      </c>
      <c r="C67" s="2" t="s">
        <v>2068</v>
      </c>
      <c r="D67" s="2" t="s">
        <v>2069</v>
      </c>
      <c r="E67" s="4" t="s">
        <v>1303</v>
      </c>
      <c r="F67" s="2" t="s">
        <v>2070</v>
      </c>
      <c r="G67" s="2" t="s">
        <v>2071</v>
      </c>
      <c r="H67" s="2" t="s">
        <v>318</v>
      </c>
      <c r="I67" s="2" t="s">
        <v>965</v>
      </c>
      <c r="J67" s="2" t="s">
        <v>30</v>
      </c>
      <c r="K67" s="2" t="s">
        <v>30</v>
      </c>
      <c r="L67" s="2" t="s">
        <v>324</v>
      </c>
      <c r="M67" s="2" t="s">
        <v>41</v>
      </c>
      <c r="N67" s="2" t="s">
        <v>443</v>
      </c>
      <c r="O67" s="2" t="s">
        <v>134</v>
      </c>
      <c r="P67" s="2" t="s">
        <v>1830</v>
      </c>
      <c r="Q67" s="2" t="s">
        <v>410</v>
      </c>
      <c r="R67" s="2" t="s">
        <v>403</v>
      </c>
      <c r="S67" s="2" t="s">
        <v>34</v>
      </c>
      <c r="T67" s="151">
        <v>1.24</v>
      </c>
      <c r="U67" s="2" t="s">
        <v>1910</v>
      </c>
      <c r="V67" s="162">
        <v>3.95E-2</v>
      </c>
      <c r="W67" s="164">
        <v>6.1929999999999999E-2</v>
      </c>
      <c r="X67" s="4" t="s">
        <v>409</v>
      </c>
      <c r="Y67" s="4" t="s">
        <v>134</v>
      </c>
      <c r="Z67" s="151">
        <v>29000</v>
      </c>
      <c r="AA67" s="158">
        <v>1</v>
      </c>
      <c r="AB67" s="175">
        <v>98.39</v>
      </c>
      <c r="AD67" s="151">
        <v>28.533000000000001</v>
      </c>
      <c r="AG67" s="2" t="s">
        <v>36</v>
      </c>
      <c r="AH67" s="164">
        <v>3.4999999999999997E-5</v>
      </c>
      <c r="AI67" s="164">
        <v>7.7417347241486101E-3</v>
      </c>
      <c r="AJ67" s="164">
        <v>3.1126372427946799E-3</v>
      </c>
    </row>
    <row r="68" spans="1:36">
      <c r="A68" s="2">
        <v>337</v>
      </c>
      <c r="B68" s="2">
        <v>1405</v>
      </c>
      <c r="C68" s="2" t="s">
        <v>1577</v>
      </c>
      <c r="D68" s="2" t="s">
        <v>1578</v>
      </c>
      <c r="E68" s="4" t="s">
        <v>309</v>
      </c>
      <c r="F68" s="2" t="s">
        <v>2072</v>
      </c>
      <c r="G68" s="2" t="s">
        <v>2073</v>
      </c>
      <c r="H68" s="2" t="s">
        <v>318</v>
      </c>
      <c r="I68" s="2" t="s">
        <v>965</v>
      </c>
      <c r="J68" s="2" t="s">
        <v>30</v>
      </c>
      <c r="K68" s="2" t="s">
        <v>30</v>
      </c>
      <c r="L68" s="2" t="s">
        <v>324</v>
      </c>
      <c r="M68" s="2" t="s">
        <v>41</v>
      </c>
      <c r="N68" s="2" t="s">
        <v>450</v>
      </c>
      <c r="O68" s="2" t="s">
        <v>134</v>
      </c>
      <c r="P68" s="2" t="s">
        <v>1834</v>
      </c>
      <c r="Q68" s="2" t="s">
        <v>410</v>
      </c>
      <c r="R68" s="2" t="s">
        <v>403</v>
      </c>
      <c r="S68" s="2" t="s">
        <v>34</v>
      </c>
      <c r="T68" s="151">
        <v>2.9729999999999999</v>
      </c>
      <c r="U68" s="2" t="s">
        <v>2074</v>
      </c>
      <c r="V68" s="162">
        <v>2.24E-2</v>
      </c>
      <c r="W68" s="164">
        <v>4.9860000000000002E-2</v>
      </c>
      <c r="X68" s="4" t="s">
        <v>409</v>
      </c>
      <c r="Y68" s="4" t="s">
        <v>134</v>
      </c>
      <c r="Z68" s="151">
        <v>49542</v>
      </c>
      <c r="AA68" s="158">
        <v>1</v>
      </c>
      <c r="AB68" s="175">
        <v>93.35</v>
      </c>
      <c r="AD68" s="151">
        <v>46.247</v>
      </c>
      <c r="AG68" s="2" t="s">
        <v>36</v>
      </c>
      <c r="AH68" s="164">
        <v>8.7999999999999998E-5</v>
      </c>
      <c r="AI68" s="164">
        <v>1.25480772772839E-2</v>
      </c>
      <c r="AJ68" s="164">
        <v>5.0450724612028002E-3</v>
      </c>
    </row>
    <row r="69" spans="1:36">
      <c r="A69" s="2">
        <v>337</v>
      </c>
      <c r="B69" s="2">
        <v>1405</v>
      </c>
      <c r="C69" s="2" t="s">
        <v>2075</v>
      </c>
      <c r="D69" s="2" t="s">
        <v>2076</v>
      </c>
      <c r="E69" s="4" t="s">
        <v>1303</v>
      </c>
      <c r="F69" s="2" t="s">
        <v>2077</v>
      </c>
      <c r="G69" s="2" t="s">
        <v>2078</v>
      </c>
      <c r="H69" s="2" t="s">
        <v>318</v>
      </c>
      <c r="I69" s="2" t="s">
        <v>753</v>
      </c>
      <c r="J69" s="2" t="s">
        <v>30</v>
      </c>
      <c r="K69" s="2" t="s">
        <v>30</v>
      </c>
      <c r="L69" s="2" t="s">
        <v>324</v>
      </c>
      <c r="M69" s="2" t="s">
        <v>41</v>
      </c>
      <c r="N69" s="2" t="s">
        <v>460</v>
      </c>
      <c r="O69" s="2" t="s">
        <v>134</v>
      </c>
      <c r="P69" s="2" t="s">
        <v>1834</v>
      </c>
      <c r="Q69" s="2" t="s">
        <v>410</v>
      </c>
      <c r="R69" s="2" t="s">
        <v>403</v>
      </c>
      <c r="S69" s="2" t="s">
        <v>34</v>
      </c>
      <c r="T69" s="151">
        <v>1.835</v>
      </c>
      <c r="U69" s="2" t="s">
        <v>2079</v>
      </c>
      <c r="V69" s="162">
        <v>1.5800000000000002E-2</v>
      </c>
      <c r="W69" s="164">
        <v>2.708E-2</v>
      </c>
      <c r="X69" s="4" t="s">
        <v>409</v>
      </c>
      <c r="Y69" s="4" t="s">
        <v>134</v>
      </c>
      <c r="Z69" s="151">
        <v>0.28000000000000003</v>
      </c>
      <c r="AA69" s="158">
        <v>1</v>
      </c>
      <c r="AB69" s="175">
        <v>115.06</v>
      </c>
      <c r="AD69" s="151">
        <v>0</v>
      </c>
      <c r="AG69" s="2" t="s">
        <v>36</v>
      </c>
      <c r="AH69" s="164">
        <v>0</v>
      </c>
      <c r="AI69" s="164">
        <v>8.7412135120597099E-8</v>
      </c>
      <c r="AJ69" s="164">
        <v>3.5144870877565897E-8</v>
      </c>
    </row>
    <row r="70" spans="1:36">
      <c r="A70" s="2">
        <v>337</v>
      </c>
      <c r="B70" s="2">
        <v>1405</v>
      </c>
      <c r="C70" s="2" t="s">
        <v>2075</v>
      </c>
      <c r="D70" s="2" t="s">
        <v>2076</v>
      </c>
      <c r="E70" s="4" t="s">
        <v>1303</v>
      </c>
      <c r="F70" s="2" t="s">
        <v>2080</v>
      </c>
      <c r="G70" s="2" t="s">
        <v>2081</v>
      </c>
      <c r="H70" s="2" t="s">
        <v>318</v>
      </c>
      <c r="I70" s="2" t="s">
        <v>753</v>
      </c>
      <c r="J70" s="2" t="s">
        <v>30</v>
      </c>
      <c r="K70" s="2" t="s">
        <v>30</v>
      </c>
      <c r="L70" s="2" t="s">
        <v>324</v>
      </c>
      <c r="M70" s="2" t="s">
        <v>41</v>
      </c>
      <c r="N70" s="2" t="s">
        <v>460</v>
      </c>
      <c r="O70" s="2" t="s">
        <v>134</v>
      </c>
      <c r="P70" s="2" t="s">
        <v>1826</v>
      </c>
      <c r="Q70" s="2" t="s">
        <v>410</v>
      </c>
      <c r="R70" s="2" t="s">
        <v>403</v>
      </c>
      <c r="S70" s="2" t="s">
        <v>34</v>
      </c>
      <c r="T70" s="151">
        <v>3.226</v>
      </c>
      <c r="U70" s="2" t="s">
        <v>2082</v>
      </c>
      <c r="V70" s="162">
        <v>2.4E-2</v>
      </c>
      <c r="W70" s="164">
        <v>2.9659999999999999E-2</v>
      </c>
      <c r="X70" s="4" t="s">
        <v>409</v>
      </c>
      <c r="Y70" s="4" t="s">
        <v>134</v>
      </c>
      <c r="Z70" s="151">
        <v>26447.37</v>
      </c>
      <c r="AA70" s="158">
        <v>1</v>
      </c>
      <c r="AB70" s="175">
        <v>115.05</v>
      </c>
      <c r="AD70" s="151">
        <v>30.428000000000001</v>
      </c>
      <c r="AG70" s="2" t="s">
        <v>36</v>
      </c>
      <c r="AH70" s="164">
        <v>2.1999999999999999E-5</v>
      </c>
      <c r="AI70" s="164">
        <v>8.2557862747637892E-3</v>
      </c>
      <c r="AJ70" s="164">
        <v>3.31931650244048E-3</v>
      </c>
    </row>
    <row r="71" spans="1:36">
      <c r="A71" s="2">
        <v>337</v>
      </c>
      <c r="B71" s="2">
        <v>1405</v>
      </c>
      <c r="C71" s="2" t="s">
        <v>2075</v>
      </c>
      <c r="D71" s="2" t="s">
        <v>2076</v>
      </c>
      <c r="E71" s="4" t="s">
        <v>1303</v>
      </c>
      <c r="F71" s="2" t="s">
        <v>2083</v>
      </c>
      <c r="G71" s="2" t="s">
        <v>2084</v>
      </c>
      <c r="H71" s="2" t="s">
        <v>318</v>
      </c>
      <c r="I71" s="2" t="s">
        <v>753</v>
      </c>
      <c r="J71" s="2" t="s">
        <v>30</v>
      </c>
      <c r="K71" s="2" t="s">
        <v>30</v>
      </c>
      <c r="L71" s="2" t="s">
        <v>324</v>
      </c>
      <c r="M71" s="2" t="s">
        <v>41</v>
      </c>
      <c r="N71" s="2" t="s">
        <v>460</v>
      </c>
      <c r="O71" s="2" t="s">
        <v>134</v>
      </c>
      <c r="P71" s="2" t="s">
        <v>1834</v>
      </c>
      <c r="Q71" s="2" t="s">
        <v>410</v>
      </c>
      <c r="R71" s="2" t="s">
        <v>403</v>
      </c>
      <c r="S71" s="2" t="s">
        <v>34</v>
      </c>
      <c r="T71" s="151">
        <v>4.4550000000000001</v>
      </c>
      <c r="U71" s="2" t="s">
        <v>2085</v>
      </c>
      <c r="V71" s="162">
        <v>8.3999999999999995E-3</v>
      </c>
      <c r="W71" s="164">
        <v>2.86E-2</v>
      </c>
      <c r="X71" s="4" t="s">
        <v>409</v>
      </c>
      <c r="Y71" s="4" t="s">
        <v>134</v>
      </c>
      <c r="Z71" s="151">
        <v>20549.46</v>
      </c>
      <c r="AA71" s="158">
        <v>1</v>
      </c>
      <c r="AB71" s="175">
        <v>105.34</v>
      </c>
      <c r="AD71" s="151">
        <v>21.646999999999998</v>
      </c>
      <c r="AG71" s="2" t="s">
        <v>36</v>
      </c>
      <c r="AH71" s="164">
        <v>2.6999999999999999E-5</v>
      </c>
      <c r="AI71" s="164">
        <v>5.87331177608039E-3</v>
      </c>
      <c r="AJ71" s="164">
        <v>2.3614202274003801E-3</v>
      </c>
    </row>
    <row r="72" spans="1:36">
      <c r="A72" s="2">
        <v>337</v>
      </c>
      <c r="B72" s="2">
        <v>1405</v>
      </c>
      <c r="C72" s="2" t="s">
        <v>1174</v>
      </c>
      <c r="D72" s="2" t="s">
        <v>1589</v>
      </c>
      <c r="E72" s="4" t="s">
        <v>1303</v>
      </c>
      <c r="F72" s="2" t="s">
        <v>2086</v>
      </c>
      <c r="G72" s="2" t="s">
        <v>2087</v>
      </c>
      <c r="H72" s="2" t="s">
        <v>318</v>
      </c>
      <c r="I72" s="2" t="s">
        <v>753</v>
      </c>
      <c r="J72" s="2" t="s">
        <v>30</v>
      </c>
      <c r="K72" s="2" t="s">
        <v>30</v>
      </c>
      <c r="L72" s="2" t="s">
        <v>324</v>
      </c>
      <c r="M72" s="2" t="s">
        <v>41</v>
      </c>
      <c r="N72" s="2" t="s">
        <v>444</v>
      </c>
      <c r="O72" s="2" t="s">
        <v>134</v>
      </c>
      <c r="P72" s="2" t="s">
        <v>1176</v>
      </c>
      <c r="Q72" s="2" t="s">
        <v>410</v>
      </c>
      <c r="R72" s="2" t="s">
        <v>403</v>
      </c>
      <c r="S72" s="2" t="s">
        <v>34</v>
      </c>
      <c r="T72" s="151">
        <v>2.3460000000000001</v>
      </c>
      <c r="U72" s="2" t="s">
        <v>59</v>
      </c>
      <c r="V72" s="162">
        <v>1.8599999999999998E-2</v>
      </c>
      <c r="W72" s="164">
        <v>2.4129999999999999E-2</v>
      </c>
      <c r="X72" s="4" t="s">
        <v>409</v>
      </c>
      <c r="Y72" s="4" t="s">
        <v>134</v>
      </c>
      <c r="Z72" s="151">
        <v>14400</v>
      </c>
      <c r="AA72" s="158">
        <v>1</v>
      </c>
      <c r="AB72" s="175">
        <v>102.59</v>
      </c>
      <c r="AD72" s="151">
        <v>14.773</v>
      </c>
      <c r="AG72" s="2" t="s">
        <v>36</v>
      </c>
      <c r="AH72" s="164">
        <v>5.0000000000000004E-6</v>
      </c>
      <c r="AI72" s="164">
        <v>4.0082689020982101E-3</v>
      </c>
      <c r="AJ72" s="164">
        <v>1.61156220257582E-3</v>
      </c>
    </row>
    <row r="73" spans="1:36">
      <c r="A73" s="2">
        <v>337</v>
      </c>
      <c r="B73" s="2">
        <v>1405</v>
      </c>
      <c r="C73" s="2" t="s">
        <v>1174</v>
      </c>
      <c r="D73" s="2" t="s">
        <v>1589</v>
      </c>
      <c r="E73" s="4" t="s">
        <v>1303</v>
      </c>
      <c r="F73" s="2" t="s">
        <v>2088</v>
      </c>
      <c r="G73" s="2" t="s">
        <v>2089</v>
      </c>
      <c r="H73" s="2" t="s">
        <v>318</v>
      </c>
      <c r="I73" s="2" t="s">
        <v>753</v>
      </c>
      <c r="J73" s="2" t="s">
        <v>30</v>
      </c>
      <c r="K73" s="2" t="s">
        <v>30</v>
      </c>
      <c r="L73" s="2" t="s">
        <v>324</v>
      </c>
      <c r="M73" s="2" t="s">
        <v>41</v>
      </c>
      <c r="N73" s="2" t="s">
        <v>444</v>
      </c>
      <c r="O73" s="2" t="s">
        <v>134</v>
      </c>
      <c r="P73" s="2" t="s">
        <v>1176</v>
      </c>
      <c r="Q73" s="2" t="s">
        <v>410</v>
      </c>
      <c r="R73" s="2" t="s">
        <v>403</v>
      </c>
      <c r="S73" s="2" t="s">
        <v>34</v>
      </c>
      <c r="T73" s="151">
        <v>4.5970000000000004</v>
      </c>
      <c r="U73" s="2" t="s">
        <v>2090</v>
      </c>
      <c r="V73" s="162">
        <v>2.0199999999999999E-2</v>
      </c>
      <c r="W73" s="164">
        <v>2.5819999999999999E-2</v>
      </c>
      <c r="X73" s="4" t="s">
        <v>409</v>
      </c>
      <c r="Y73" s="4" t="s">
        <v>134</v>
      </c>
      <c r="Z73" s="151">
        <v>66000</v>
      </c>
      <c r="AA73" s="158">
        <v>1</v>
      </c>
      <c r="AB73" s="175">
        <v>101.85</v>
      </c>
      <c r="AD73" s="151">
        <v>67.221000000000004</v>
      </c>
      <c r="AG73" s="2" t="s">
        <v>36</v>
      </c>
      <c r="AH73" s="164">
        <v>1.8E-5</v>
      </c>
      <c r="AI73" s="164">
        <v>1.8238717485726901E-2</v>
      </c>
      <c r="AJ73" s="164">
        <v>7.3330478671403097E-3</v>
      </c>
    </row>
    <row r="74" spans="1:36">
      <c r="A74" s="2">
        <v>337</v>
      </c>
      <c r="B74" s="2">
        <v>1405</v>
      </c>
      <c r="C74" s="2" t="s">
        <v>1174</v>
      </c>
      <c r="D74" s="2" t="s">
        <v>1589</v>
      </c>
      <c r="E74" s="4" t="s">
        <v>1303</v>
      </c>
      <c r="F74" s="2" t="s">
        <v>2091</v>
      </c>
      <c r="G74" s="2" t="s">
        <v>2092</v>
      </c>
      <c r="H74" s="2" t="s">
        <v>318</v>
      </c>
      <c r="I74" s="2" t="s">
        <v>753</v>
      </c>
      <c r="J74" s="2" t="s">
        <v>30</v>
      </c>
      <c r="K74" s="2" t="s">
        <v>30</v>
      </c>
      <c r="L74" s="2" t="s">
        <v>324</v>
      </c>
      <c r="M74" s="2" t="s">
        <v>41</v>
      </c>
      <c r="N74" s="2" t="s">
        <v>444</v>
      </c>
      <c r="O74" s="2" t="s">
        <v>134</v>
      </c>
      <c r="P74" s="2" t="s">
        <v>1176</v>
      </c>
      <c r="Q74" s="2" t="s">
        <v>410</v>
      </c>
      <c r="R74" s="2" t="s">
        <v>403</v>
      </c>
      <c r="S74" s="2" t="s">
        <v>34</v>
      </c>
      <c r="T74" s="151">
        <v>4.6440000000000001</v>
      </c>
      <c r="U74" s="2" t="s">
        <v>2093</v>
      </c>
      <c r="V74" s="162">
        <v>1E-3</v>
      </c>
      <c r="W74" s="164">
        <v>2.571E-2</v>
      </c>
      <c r="X74" s="4" t="s">
        <v>409</v>
      </c>
      <c r="Y74" s="4" t="s">
        <v>134</v>
      </c>
      <c r="Z74" s="151">
        <v>79000</v>
      </c>
      <c r="AA74" s="158">
        <v>1</v>
      </c>
      <c r="AB74" s="175">
        <v>100.7</v>
      </c>
      <c r="AD74" s="151">
        <v>79.552999999999997</v>
      </c>
      <c r="AG74" s="2" t="s">
        <v>36</v>
      </c>
      <c r="AH74" s="164">
        <v>3.1999999999999999E-5</v>
      </c>
      <c r="AI74" s="164">
        <v>2.1584693654394201E-2</v>
      </c>
      <c r="AJ74" s="164">
        <v>8.6783290485802494E-3</v>
      </c>
    </row>
    <row r="75" spans="1:36">
      <c r="A75" s="2">
        <v>337</v>
      </c>
      <c r="B75" s="2">
        <v>1405</v>
      </c>
      <c r="C75" s="2" t="s">
        <v>1174</v>
      </c>
      <c r="D75" s="2" t="s">
        <v>1589</v>
      </c>
      <c r="E75" s="4" t="s">
        <v>1303</v>
      </c>
      <c r="F75" s="2" t="s">
        <v>2094</v>
      </c>
      <c r="G75" s="2" t="s">
        <v>2095</v>
      </c>
      <c r="H75" s="2" t="s">
        <v>318</v>
      </c>
      <c r="I75" s="2" t="s">
        <v>753</v>
      </c>
      <c r="J75" s="2" t="s">
        <v>30</v>
      </c>
      <c r="K75" s="2" t="s">
        <v>30</v>
      </c>
      <c r="L75" s="2" t="s">
        <v>324</v>
      </c>
      <c r="M75" s="2" t="s">
        <v>41</v>
      </c>
      <c r="N75" s="2" t="s">
        <v>444</v>
      </c>
      <c r="O75" s="2" t="s">
        <v>134</v>
      </c>
      <c r="P75" s="2" t="s">
        <v>1826</v>
      </c>
      <c r="Q75" s="2" t="s">
        <v>410</v>
      </c>
      <c r="R75" s="2" t="s">
        <v>403</v>
      </c>
      <c r="S75" s="2" t="s">
        <v>34</v>
      </c>
      <c r="T75" s="151">
        <v>2.944</v>
      </c>
      <c r="U75" s="2" t="s">
        <v>2096</v>
      </c>
      <c r="V75" s="162">
        <v>1.4999999999999999E-2</v>
      </c>
      <c r="W75" s="164">
        <v>3.0460000000000001E-2</v>
      </c>
      <c r="X75" s="4" t="s">
        <v>409</v>
      </c>
      <c r="Y75" s="4" t="s">
        <v>134</v>
      </c>
      <c r="Z75" s="151">
        <v>50000</v>
      </c>
      <c r="AA75" s="158">
        <v>1</v>
      </c>
      <c r="AB75" s="175">
        <v>106.7</v>
      </c>
      <c r="AD75" s="151">
        <v>53.35</v>
      </c>
      <c r="AG75" s="2" t="s">
        <v>36</v>
      </c>
      <c r="AH75" s="164">
        <v>3.6000000000000001E-5</v>
      </c>
      <c r="AI75" s="164">
        <v>1.4475172607719701E-2</v>
      </c>
      <c r="AJ75" s="164">
        <v>5.8198792596351702E-3</v>
      </c>
    </row>
    <row r="76" spans="1:36">
      <c r="A76" s="2">
        <v>337</v>
      </c>
      <c r="B76" s="2">
        <v>1405</v>
      </c>
      <c r="C76" s="2" t="s">
        <v>1174</v>
      </c>
      <c r="D76" s="2" t="s">
        <v>1589</v>
      </c>
      <c r="E76" s="4" t="s">
        <v>1303</v>
      </c>
      <c r="F76" s="2" t="s">
        <v>2097</v>
      </c>
      <c r="G76" s="2" t="s">
        <v>2098</v>
      </c>
      <c r="H76" s="2" t="s">
        <v>318</v>
      </c>
      <c r="I76" s="2" t="s">
        <v>753</v>
      </c>
      <c r="J76" s="2" t="s">
        <v>30</v>
      </c>
      <c r="K76" s="2" t="s">
        <v>30</v>
      </c>
      <c r="L76" s="2" t="s">
        <v>324</v>
      </c>
      <c r="M76" s="2" t="s">
        <v>31</v>
      </c>
      <c r="N76" s="2" t="s">
        <v>444</v>
      </c>
      <c r="O76" s="2" t="s">
        <v>134</v>
      </c>
      <c r="P76" s="2" t="s">
        <v>1826</v>
      </c>
      <c r="Q76" s="2" t="s">
        <v>410</v>
      </c>
      <c r="R76" s="2" t="s">
        <v>403</v>
      </c>
      <c r="S76" s="2" t="s">
        <v>34</v>
      </c>
      <c r="T76" s="151">
        <v>5.4809999999999999</v>
      </c>
      <c r="U76" s="2" t="s">
        <v>2099</v>
      </c>
      <c r="V76" s="162">
        <v>3.1E-2</v>
      </c>
      <c r="W76" s="164">
        <v>3.1029999999999999E-2</v>
      </c>
      <c r="X76" s="4" t="s">
        <v>409</v>
      </c>
      <c r="Y76" s="4" t="s">
        <v>134</v>
      </c>
      <c r="Z76" s="151">
        <v>21000</v>
      </c>
      <c r="AA76" s="158">
        <v>1</v>
      </c>
      <c r="AB76" s="175">
        <v>100.81</v>
      </c>
      <c r="AD76" s="151">
        <v>21.17</v>
      </c>
      <c r="AG76" s="2" t="s">
        <v>36</v>
      </c>
      <c r="AH76" s="164">
        <v>1.4E-5</v>
      </c>
      <c r="AI76" s="164">
        <v>5.7439709769950796E-3</v>
      </c>
      <c r="AJ76" s="164">
        <v>2.3094175429128898E-3</v>
      </c>
    </row>
    <row r="77" spans="1:36">
      <c r="A77" s="2">
        <v>337</v>
      </c>
      <c r="B77" s="2">
        <v>1405</v>
      </c>
      <c r="C77" s="2" t="s">
        <v>2100</v>
      </c>
      <c r="D77" s="2" t="s">
        <v>2101</v>
      </c>
      <c r="E77" s="4" t="s">
        <v>1303</v>
      </c>
      <c r="F77" s="2" t="s">
        <v>2102</v>
      </c>
      <c r="G77" s="2" t="s">
        <v>2103</v>
      </c>
      <c r="H77" s="2" t="s">
        <v>318</v>
      </c>
      <c r="I77" s="2" t="s">
        <v>965</v>
      </c>
      <c r="J77" s="2" t="s">
        <v>30</v>
      </c>
      <c r="K77" s="2" t="s">
        <v>30</v>
      </c>
      <c r="L77" s="2" t="s">
        <v>324</v>
      </c>
      <c r="M77" s="2" t="s">
        <v>41</v>
      </c>
      <c r="N77" s="2" t="s">
        <v>443</v>
      </c>
      <c r="O77" s="2" t="s">
        <v>134</v>
      </c>
      <c r="P77" s="2" t="s">
        <v>1842</v>
      </c>
      <c r="Q77" s="2" t="s">
        <v>406</v>
      </c>
      <c r="R77" s="2" t="s">
        <v>406</v>
      </c>
      <c r="S77" s="2" t="s">
        <v>34</v>
      </c>
      <c r="T77" s="151">
        <v>3.0840000000000001</v>
      </c>
      <c r="U77" s="2" t="s">
        <v>2104</v>
      </c>
      <c r="V77" s="162">
        <v>8.1500000000000003E-2</v>
      </c>
      <c r="W77" s="164">
        <v>6.1679999999999999E-2</v>
      </c>
      <c r="X77" s="4" t="s">
        <v>409</v>
      </c>
      <c r="Y77" s="4" t="s">
        <v>134</v>
      </c>
      <c r="Z77" s="151">
        <v>10000</v>
      </c>
      <c r="AA77" s="158">
        <v>1</v>
      </c>
      <c r="AB77" s="175">
        <v>106.44</v>
      </c>
      <c r="AD77" s="151">
        <v>10.644</v>
      </c>
      <c r="AG77" s="2" t="s">
        <v>36</v>
      </c>
      <c r="AH77" s="164">
        <v>4.8000000000000001E-5</v>
      </c>
      <c r="AI77" s="164">
        <v>2.8879800794108499E-3</v>
      </c>
      <c r="AJ77" s="164">
        <v>1.1611395471332101E-3</v>
      </c>
    </row>
    <row r="78" spans="1:36">
      <c r="A78" s="2">
        <v>337</v>
      </c>
      <c r="B78" s="2">
        <v>1405</v>
      </c>
      <c r="C78" s="2" t="s">
        <v>2105</v>
      </c>
      <c r="D78" s="2" t="s">
        <v>2106</v>
      </c>
      <c r="E78" s="4" t="s">
        <v>1303</v>
      </c>
      <c r="F78" s="2" t="s">
        <v>2107</v>
      </c>
      <c r="G78" s="2" t="s">
        <v>2108</v>
      </c>
      <c r="H78" s="2" t="s">
        <v>318</v>
      </c>
      <c r="I78" s="2" t="s">
        <v>965</v>
      </c>
      <c r="J78" s="2" t="s">
        <v>30</v>
      </c>
      <c r="K78" s="2" t="s">
        <v>80</v>
      </c>
      <c r="L78" s="2" t="s">
        <v>324</v>
      </c>
      <c r="M78" s="2" t="s">
        <v>41</v>
      </c>
      <c r="N78" s="2" t="s">
        <v>461</v>
      </c>
      <c r="O78" s="2" t="s">
        <v>134</v>
      </c>
      <c r="P78" s="2" t="s">
        <v>1848</v>
      </c>
      <c r="Q78" s="2" t="s">
        <v>410</v>
      </c>
      <c r="R78" s="2" t="s">
        <v>403</v>
      </c>
      <c r="S78" s="2" t="s">
        <v>34</v>
      </c>
      <c r="T78" s="151">
        <v>0.65600000000000003</v>
      </c>
      <c r="U78" s="2" t="s">
        <v>2109</v>
      </c>
      <c r="V78" s="162">
        <v>3.95E-2</v>
      </c>
      <c r="W78" s="164">
        <v>5.8720000000000001E-2</v>
      </c>
      <c r="X78" s="4" t="s">
        <v>409</v>
      </c>
      <c r="Y78" s="4" t="s">
        <v>134</v>
      </c>
      <c r="Z78" s="151">
        <v>5000</v>
      </c>
      <c r="AA78" s="158">
        <v>1</v>
      </c>
      <c r="AB78" s="175">
        <v>100.13</v>
      </c>
      <c r="AD78" s="151">
        <v>5.0060000000000002</v>
      </c>
      <c r="AG78" s="2" t="s">
        <v>36</v>
      </c>
      <c r="AH78" s="164">
        <v>1.5999999999999999E-5</v>
      </c>
      <c r="AI78" s="164">
        <v>1.3583870976672701E-3</v>
      </c>
      <c r="AJ78" s="164">
        <v>5.46152305780009E-4</v>
      </c>
    </row>
    <row r="79" spans="1:36">
      <c r="A79" s="2">
        <v>337</v>
      </c>
      <c r="B79" s="2">
        <v>1405</v>
      </c>
      <c r="C79" s="2" t="s">
        <v>1592</v>
      </c>
      <c r="D79" s="2" t="s">
        <v>1593</v>
      </c>
      <c r="E79" s="4" t="s">
        <v>1303</v>
      </c>
      <c r="F79" s="2" t="s">
        <v>2110</v>
      </c>
      <c r="G79" s="2" t="s">
        <v>2111</v>
      </c>
      <c r="H79" s="2" t="s">
        <v>318</v>
      </c>
      <c r="I79" s="2" t="s">
        <v>753</v>
      </c>
      <c r="J79" s="2" t="s">
        <v>30</v>
      </c>
      <c r="K79" s="2" t="s">
        <v>30</v>
      </c>
      <c r="L79" s="2" t="s">
        <v>324</v>
      </c>
      <c r="M79" s="2" t="s">
        <v>41</v>
      </c>
      <c r="N79" s="2" t="s">
        <v>460</v>
      </c>
      <c r="O79" s="2" t="s">
        <v>134</v>
      </c>
      <c r="P79" s="2" t="s">
        <v>1834</v>
      </c>
      <c r="Q79" s="2" t="s">
        <v>410</v>
      </c>
      <c r="R79" s="2" t="s">
        <v>403</v>
      </c>
      <c r="S79" s="2" t="s">
        <v>34</v>
      </c>
      <c r="T79" s="151">
        <v>5.3559999999999999</v>
      </c>
      <c r="U79" s="2" t="s">
        <v>2112</v>
      </c>
      <c r="V79" s="162">
        <v>3.5000000000000001E-3</v>
      </c>
      <c r="W79" s="164">
        <v>3.125E-2</v>
      </c>
      <c r="X79" s="4" t="s">
        <v>409</v>
      </c>
      <c r="Y79" s="4" t="s">
        <v>134</v>
      </c>
      <c r="Z79" s="151">
        <v>45000</v>
      </c>
      <c r="AA79" s="158">
        <v>1</v>
      </c>
      <c r="AB79" s="175">
        <v>97.32</v>
      </c>
      <c r="AD79" s="151">
        <v>43.793999999999997</v>
      </c>
      <c r="AG79" s="2" t="s">
        <v>36</v>
      </c>
      <c r="AH79" s="164">
        <v>1.2999999999999999E-5</v>
      </c>
      <c r="AI79" s="164">
        <v>1.18823937991092E-2</v>
      </c>
      <c r="AJ79" s="164">
        <v>4.7774281592588997E-3</v>
      </c>
    </row>
    <row r="80" spans="1:36">
      <c r="A80" s="2">
        <v>337</v>
      </c>
      <c r="B80" s="2">
        <v>1405</v>
      </c>
      <c r="C80" s="2" t="s">
        <v>1592</v>
      </c>
      <c r="D80" s="2" t="s">
        <v>1593</v>
      </c>
      <c r="E80" s="4" t="s">
        <v>1303</v>
      </c>
      <c r="F80" s="2" t="s">
        <v>2113</v>
      </c>
      <c r="G80" s="2" t="s">
        <v>2114</v>
      </c>
      <c r="H80" s="2" t="s">
        <v>318</v>
      </c>
      <c r="I80" s="2" t="s">
        <v>753</v>
      </c>
      <c r="J80" s="2" t="s">
        <v>30</v>
      </c>
      <c r="K80" s="2" t="s">
        <v>30</v>
      </c>
      <c r="L80" s="2" t="s">
        <v>324</v>
      </c>
      <c r="M80" s="2" t="s">
        <v>41</v>
      </c>
      <c r="N80" s="2" t="s">
        <v>460</v>
      </c>
      <c r="O80" s="2" t="s">
        <v>134</v>
      </c>
      <c r="P80" s="2" t="s">
        <v>1834</v>
      </c>
      <c r="Q80" s="2" t="s">
        <v>410</v>
      </c>
      <c r="R80" s="2" t="s">
        <v>403</v>
      </c>
      <c r="S80" s="2" t="s">
        <v>34</v>
      </c>
      <c r="T80" s="151">
        <v>2.9889999999999999</v>
      </c>
      <c r="U80" s="2" t="s">
        <v>2022</v>
      </c>
      <c r="V80" s="162">
        <v>2.81E-2</v>
      </c>
      <c r="W80" s="164">
        <v>2.8590000000000001E-2</v>
      </c>
      <c r="X80" s="4" t="s">
        <v>409</v>
      </c>
      <c r="Y80" s="4" t="s">
        <v>134</v>
      </c>
      <c r="Z80" s="151">
        <v>55250</v>
      </c>
      <c r="AA80" s="158">
        <v>1</v>
      </c>
      <c r="AB80" s="175">
        <v>117.66</v>
      </c>
      <c r="AD80" s="151">
        <v>65.007000000000005</v>
      </c>
      <c r="AG80" s="2" t="s">
        <v>36</v>
      </c>
      <c r="AH80" s="164">
        <v>4.0000000000000003E-5</v>
      </c>
      <c r="AI80" s="164">
        <v>1.7638045304328599E-2</v>
      </c>
      <c r="AJ80" s="164">
        <v>7.0915419683784901E-3</v>
      </c>
    </row>
    <row r="81" spans="1:36">
      <c r="A81" s="2">
        <v>337</v>
      </c>
      <c r="B81" s="2">
        <v>1405</v>
      </c>
      <c r="C81" s="2" t="s">
        <v>2115</v>
      </c>
      <c r="D81" s="2" t="s">
        <v>2116</v>
      </c>
      <c r="E81" s="4" t="s">
        <v>1303</v>
      </c>
      <c r="F81" s="2" t="s">
        <v>2117</v>
      </c>
      <c r="G81" s="2" t="s">
        <v>2118</v>
      </c>
      <c r="H81" s="2" t="s">
        <v>318</v>
      </c>
      <c r="I81" s="2" t="s">
        <v>965</v>
      </c>
      <c r="J81" s="2" t="s">
        <v>30</v>
      </c>
      <c r="K81" s="2" t="s">
        <v>30</v>
      </c>
      <c r="L81" s="2" t="s">
        <v>324</v>
      </c>
      <c r="M81" s="2" t="s">
        <v>41</v>
      </c>
      <c r="N81" s="2" t="s">
        <v>460</v>
      </c>
      <c r="O81" s="2" t="s">
        <v>134</v>
      </c>
      <c r="P81" s="2" t="s">
        <v>1814</v>
      </c>
      <c r="Q81" s="2" t="s">
        <v>412</v>
      </c>
      <c r="R81" s="2" t="s">
        <v>403</v>
      </c>
      <c r="S81" s="2" t="s">
        <v>34</v>
      </c>
      <c r="T81" s="151">
        <v>2.6680000000000001</v>
      </c>
      <c r="U81" s="2" t="s">
        <v>1863</v>
      </c>
      <c r="V81" s="162">
        <v>3.04E-2</v>
      </c>
      <c r="W81" s="164">
        <v>5.0459999999999998E-2</v>
      </c>
      <c r="X81" s="4" t="s">
        <v>409</v>
      </c>
      <c r="Y81" s="4" t="s">
        <v>134</v>
      </c>
      <c r="Z81" s="151">
        <v>26669.15</v>
      </c>
      <c r="AA81" s="158">
        <v>1</v>
      </c>
      <c r="AB81" s="175">
        <v>95.73</v>
      </c>
      <c r="AD81" s="151">
        <v>25.53</v>
      </c>
      <c r="AG81" s="2" t="s">
        <v>36</v>
      </c>
      <c r="AH81" s="164">
        <v>7.7999999999999999E-5</v>
      </c>
      <c r="AI81" s="164">
        <v>6.9270218947578999E-3</v>
      </c>
      <c r="AJ81" s="164">
        <v>2.78507428884407E-3</v>
      </c>
    </row>
    <row r="82" spans="1:36">
      <c r="A82" s="2">
        <v>337</v>
      </c>
      <c r="B82" s="2">
        <v>1405</v>
      </c>
      <c r="C82" s="2" t="s">
        <v>2119</v>
      </c>
      <c r="D82" s="2" t="s">
        <v>2120</v>
      </c>
      <c r="E82" s="4" t="s">
        <v>1303</v>
      </c>
      <c r="F82" s="2" t="s">
        <v>2121</v>
      </c>
      <c r="G82" s="2" t="s">
        <v>2122</v>
      </c>
      <c r="H82" s="2" t="s">
        <v>318</v>
      </c>
      <c r="I82" s="2" t="s">
        <v>753</v>
      </c>
      <c r="J82" s="2" t="s">
        <v>30</v>
      </c>
      <c r="K82" s="2" t="s">
        <v>30</v>
      </c>
      <c r="L82" s="2" t="s">
        <v>324</v>
      </c>
      <c r="M82" s="2" t="s">
        <v>41</v>
      </c>
      <c r="N82" s="2" t="s">
        <v>460</v>
      </c>
      <c r="O82" s="2" t="s">
        <v>134</v>
      </c>
      <c r="P82" s="2" t="s">
        <v>1848</v>
      </c>
      <c r="Q82" s="2" t="s">
        <v>410</v>
      </c>
      <c r="R82" s="2" t="s">
        <v>403</v>
      </c>
      <c r="S82" s="2" t="s">
        <v>34</v>
      </c>
      <c r="T82" s="151">
        <v>1.3859999999999999</v>
      </c>
      <c r="U82" s="2" t="s">
        <v>2123</v>
      </c>
      <c r="V82" s="162">
        <v>2.0500000000000001E-2</v>
      </c>
      <c r="W82" s="164">
        <v>3.1309999999999998E-2</v>
      </c>
      <c r="X82" s="4" t="s">
        <v>409</v>
      </c>
      <c r="Y82" s="4" t="s">
        <v>134</v>
      </c>
      <c r="Z82" s="151">
        <v>16267.71</v>
      </c>
      <c r="AA82" s="158">
        <v>1</v>
      </c>
      <c r="AB82" s="175">
        <v>115.58</v>
      </c>
      <c r="AD82" s="151">
        <v>18.802</v>
      </c>
      <c r="AG82" s="2" t="s">
        <v>36</v>
      </c>
      <c r="AH82" s="164">
        <v>2.1999999999999999E-5</v>
      </c>
      <c r="AI82" s="164">
        <v>5.1015064402761996E-3</v>
      </c>
      <c r="AJ82" s="164">
        <v>2.0511086347132501E-3</v>
      </c>
    </row>
    <row r="83" spans="1:36">
      <c r="A83" s="2">
        <v>337</v>
      </c>
      <c r="B83" s="2">
        <v>1405</v>
      </c>
      <c r="C83" s="2" t="s">
        <v>2119</v>
      </c>
      <c r="D83" s="2" t="s">
        <v>2120</v>
      </c>
      <c r="E83" s="4" t="s">
        <v>1303</v>
      </c>
      <c r="F83" s="2" t="s">
        <v>2124</v>
      </c>
      <c r="G83" s="2" t="s">
        <v>2125</v>
      </c>
      <c r="H83" s="2" t="s">
        <v>318</v>
      </c>
      <c r="I83" s="2" t="s">
        <v>753</v>
      </c>
      <c r="J83" s="2" t="s">
        <v>30</v>
      </c>
      <c r="K83" s="2" t="s">
        <v>30</v>
      </c>
      <c r="L83" s="2" t="s">
        <v>324</v>
      </c>
      <c r="M83" s="2" t="s">
        <v>41</v>
      </c>
      <c r="N83" s="2" t="s">
        <v>460</v>
      </c>
      <c r="O83" s="2" t="s">
        <v>134</v>
      </c>
      <c r="P83" s="2" t="s">
        <v>1848</v>
      </c>
      <c r="Q83" s="2" t="s">
        <v>410</v>
      </c>
      <c r="R83" s="2" t="s">
        <v>403</v>
      </c>
      <c r="S83" s="2" t="s">
        <v>34</v>
      </c>
      <c r="T83" s="151">
        <v>3.8359999999999999</v>
      </c>
      <c r="U83" s="2" t="s">
        <v>2126</v>
      </c>
      <c r="V83" s="162">
        <v>8.3999999999999995E-3</v>
      </c>
      <c r="W83" s="164">
        <v>3.1480000000000001E-2</v>
      </c>
      <c r="X83" s="4" t="s">
        <v>409</v>
      </c>
      <c r="Y83" s="4" t="s">
        <v>134</v>
      </c>
      <c r="Z83" s="151">
        <v>30000</v>
      </c>
      <c r="AA83" s="158">
        <v>1</v>
      </c>
      <c r="AB83" s="175">
        <v>105.8</v>
      </c>
      <c r="AD83" s="151">
        <v>31.74</v>
      </c>
      <c r="AG83" s="2" t="s">
        <v>36</v>
      </c>
      <c r="AH83" s="164">
        <v>3.6000000000000001E-5</v>
      </c>
      <c r="AI83" s="164">
        <v>8.6118458963266101E-3</v>
      </c>
      <c r="AJ83" s="164">
        <v>3.4624736213836999E-3</v>
      </c>
    </row>
    <row r="84" spans="1:36">
      <c r="A84" s="2">
        <v>337</v>
      </c>
      <c r="B84" s="2">
        <v>1405</v>
      </c>
      <c r="C84" s="2" t="s">
        <v>2119</v>
      </c>
      <c r="D84" s="2" t="s">
        <v>2120</v>
      </c>
      <c r="E84" s="4" t="s">
        <v>1303</v>
      </c>
      <c r="F84" s="2" t="s">
        <v>2127</v>
      </c>
      <c r="G84" s="2" t="s">
        <v>2128</v>
      </c>
      <c r="H84" s="2" t="s">
        <v>318</v>
      </c>
      <c r="I84" s="2" t="s">
        <v>753</v>
      </c>
      <c r="J84" s="2" t="s">
        <v>30</v>
      </c>
      <c r="K84" s="2" t="s">
        <v>30</v>
      </c>
      <c r="L84" s="2" t="s">
        <v>324</v>
      </c>
      <c r="M84" s="2" t="s">
        <v>41</v>
      </c>
      <c r="N84" s="2" t="s">
        <v>460</v>
      </c>
      <c r="O84" s="2" t="s">
        <v>134</v>
      </c>
      <c r="P84" s="2" t="s">
        <v>1848</v>
      </c>
      <c r="Q84" s="2" t="s">
        <v>410</v>
      </c>
      <c r="R84" s="2" t="s">
        <v>403</v>
      </c>
      <c r="S84" s="2" t="s">
        <v>34</v>
      </c>
      <c r="T84" s="151">
        <v>5.3570000000000002</v>
      </c>
      <c r="U84" s="2" t="s">
        <v>2129</v>
      </c>
      <c r="V84" s="162">
        <v>9.7000000000000003E-3</v>
      </c>
      <c r="W84" s="164">
        <v>3.3239999999999999E-2</v>
      </c>
      <c r="X84" s="4" t="s">
        <v>409</v>
      </c>
      <c r="Y84" s="4" t="s">
        <v>134</v>
      </c>
      <c r="Z84" s="151">
        <v>15529.41</v>
      </c>
      <c r="AA84" s="158">
        <v>1</v>
      </c>
      <c r="AB84" s="175">
        <v>100.61</v>
      </c>
      <c r="AD84" s="151">
        <v>15.624000000000001</v>
      </c>
      <c r="AG84" s="2" t="s">
        <v>36</v>
      </c>
      <c r="AH84" s="164">
        <v>2.5999999999999998E-5</v>
      </c>
      <c r="AI84" s="164">
        <v>4.2392148955304604E-3</v>
      </c>
      <c r="AJ84" s="164">
        <v>1.70441621086277E-3</v>
      </c>
    </row>
    <row r="85" spans="1:36">
      <c r="A85" s="2">
        <v>337</v>
      </c>
      <c r="B85" s="2">
        <v>1405</v>
      </c>
      <c r="C85" s="2" t="s">
        <v>2130</v>
      </c>
      <c r="D85" s="2" t="s">
        <v>2131</v>
      </c>
      <c r="E85" s="4" t="s">
        <v>1303</v>
      </c>
      <c r="F85" s="2" t="s">
        <v>2132</v>
      </c>
      <c r="G85" s="2" t="s">
        <v>2133</v>
      </c>
      <c r="H85" s="2" t="s">
        <v>318</v>
      </c>
      <c r="I85" s="2" t="s">
        <v>753</v>
      </c>
      <c r="J85" s="2" t="s">
        <v>30</v>
      </c>
      <c r="K85" s="2" t="s">
        <v>30</v>
      </c>
      <c r="L85" s="2" t="s">
        <v>324</v>
      </c>
      <c r="M85" s="2" t="s">
        <v>41</v>
      </c>
      <c r="N85" s="2" t="s">
        <v>444</v>
      </c>
      <c r="O85" s="2" t="s">
        <v>134</v>
      </c>
      <c r="P85" s="2" t="s">
        <v>1176</v>
      </c>
      <c r="Q85" s="2" t="s">
        <v>410</v>
      </c>
      <c r="R85" s="2" t="s">
        <v>403</v>
      </c>
      <c r="S85" s="2" t="s">
        <v>34</v>
      </c>
      <c r="T85" s="151">
        <v>2.456</v>
      </c>
      <c r="U85" s="2" t="s">
        <v>2134</v>
      </c>
      <c r="V85" s="162">
        <v>1.2200000000000001E-2</v>
      </c>
      <c r="W85" s="164">
        <v>2.4389999999999998E-2</v>
      </c>
      <c r="X85" s="4" t="s">
        <v>409</v>
      </c>
      <c r="Y85" s="4" t="s">
        <v>134</v>
      </c>
      <c r="Z85" s="151">
        <v>80000</v>
      </c>
      <c r="AA85" s="158">
        <v>1</v>
      </c>
      <c r="AB85" s="175">
        <v>114.03</v>
      </c>
      <c r="AD85" s="151">
        <v>91.224000000000004</v>
      </c>
      <c r="AG85" s="2" t="s">
        <v>36</v>
      </c>
      <c r="AH85" s="164">
        <v>2.6999999999999999E-5</v>
      </c>
      <c r="AI85" s="164">
        <v>2.4751324198062301E-2</v>
      </c>
      <c r="AJ85" s="164">
        <v>9.9515026350695205E-3</v>
      </c>
    </row>
    <row r="86" spans="1:36">
      <c r="A86" s="2">
        <v>337</v>
      </c>
      <c r="B86" s="2">
        <v>1405</v>
      </c>
      <c r="C86" s="2" t="s">
        <v>2130</v>
      </c>
      <c r="D86" s="2" t="s">
        <v>2131</v>
      </c>
      <c r="E86" s="4" t="s">
        <v>1303</v>
      </c>
      <c r="F86" s="2" t="s">
        <v>2135</v>
      </c>
      <c r="G86" s="2" t="s">
        <v>2136</v>
      </c>
      <c r="H86" s="2" t="s">
        <v>318</v>
      </c>
      <c r="I86" s="2" t="s">
        <v>753</v>
      </c>
      <c r="J86" s="2" t="s">
        <v>30</v>
      </c>
      <c r="K86" s="2" t="s">
        <v>30</v>
      </c>
      <c r="L86" s="2" t="s">
        <v>324</v>
      </c>
      <c r="M86" s="2" t="s">
        <v>41</v>
      </c>
      <c r="N86" s="2" t="s">
        <v>444</v>
      </c>
      <c r="O86" s="2" t="s">
        <v>134</v>
      </c>
      <c r="P86" s="2" t="s">
        <v>1176</v>
      </c>
      <c r="Q86" s="2" t="s">
        <v>410</v>
      </c>
      <c r="R86" s="2" t="s">
        <v>403</v>
      </c>
      <c r="S86" s="2" t="s">
        <v>34</v>
      </c>
      <c r="T86" s="151">
        <v>3.5550000000000002</v>
      </c>
      <c r="U86" s="2" t="s">
        <v>2137</v>
      </c>
      <c r="V86" s="162">
        <v>1E-3</v>
      </c>
      <c r="W86" s="164">
        <v>2.5600000000000001E-2</v>
      </c>
      <c r="X86" s="4" t="s">
        <v>409</v>
      </c>
      <c r="Y86" s="4" t="s">
        <v>134</v>
      </c>
      <c r="Z86" s="151">
        <v>54000</v>
      </c>
      <c r="AA86" s="158">
        <v>1</v>
      </c>
      <c r="AB86" s="175">
        <v>103.56</v>
      </c>
      <c r="AD86" s="151">
        <v>55.921999999999997</v>
      </c>
      <c r="AG86" s="2" t="s">
        <v>36</v>
      </c>
      <c r="AH86" s="164">
        <v>1.5999999999999999E-5</v>
      </c>
      <c r="AI86" s="164">
        <v>1.51731282593804E-2</v>
      </c>
      <c r="AJ86" s="164">
        <v>6.1004988923902903E-3</v>
      </c>
    </row>
    <row r="87" spans="1:36">
      <c r="A87" s="2">
        <v>337</v>
      </c>
      <c r="B87" s="2">
        <v>1405</v>
      </c>
      <c r="C87" s="2" t="s">
        <v>2130</v>
      </c>
      <c r="D87" s="2" t="s">
        <v>2131</v>
      </c>
      <c r="E87" s="4" t="s">
        <v>1303</v>
      </c>
      <c r="F87" s="2" t="s">
        <v>2138</v>
      </c>
      <c r="G87" s="2" t="s">
        <v>2139</v>
      </c>
      <c r="H87" s="2" t="s">
        <v>318</v>
      </c>
      <c r="I87" s="2" t="s">
        <v>965</v>
      </c>
      <c r="J87" s="2" t="s">
        <v>30</v>
      </c>
      <c r="K87" s="2" t="s">
        <v>30</v>
      </c>
      <c r="L87" s="2" t="s">
        <v>324</v>
      </c>
      <c r="M87" s="2" t="s">
        <v>41</v>
      </c>
      <c r="N87" s="2" t="s">
        <v>444</v>
      </c>
      <c r="O87" s="2" t="s">
        <v>134</v>
      </c>
      <c r="P87" s="2" t="s">
        <v>1176</v>
      </c>
      <c r="Q87" s="2" t="s">
        <v>410</v>
      </c>
      <c r="R87" s="2" t="s">
        <v>403</v>
      </c>
      <c r="S87" s="2" t="s">
        <v>34</v>
      </c>
      <c r="T87" s="151">
        <v>2.7530000000000001</v>
      </c>
      <c r="U87" s="2" t="s">
        <v>2140</v>
      </c>
      <c r="V87" s="162">
        <v>2.7400000000000001E-2</v>
      </c>
      <c r="W87" s="164">
        <v>4.6640000000000001E-2</v>
      </c>
      <c r="X87" s="4" t="s">
        <v>409</v>
      </c>
      <c r="Y87" s="4" t="s">
        <v>134</v>
      </c>
      <c r="Z87" s="151">
        <v>51610</v>
      </c>
      <c r="AA87" s="158">
        <v>1</v>
      </c>
      <c r="AB87" s="175">
        <v>97.47</v>
      </c>
      <c r="AD87" s="151">
        <v>50.304000000000002</v>
      </c>
      <c r="AG87" s="2" t="s">
        <v>36</v>
      </c>
      <c r="AH87" s="164">
        <v>3.4E-5</v>
      </c>
      <c r="AI87" s="164">
        <v>1.36487900230519E-2</v>
      </c>
      <c r="AJ87" s="164">
        <v>5.4876243708425502E-3</v>
      </c>
    </row>
    <row r="88" spans="1:36">
      <c r="A88" s="2">
        <v>337</v>
      </c>
      <c r="B88" s="2">
        <v>1405</v>
      </c>
      <c r="C88" s="2" t="s">
        <v>2130</v>
      </c>
      <c r="D88" s="2" t="s">
        <v>2131</v>
      </c>
      <c r="E88" s="4" t="s">
        <v>1303</v>
      </c>
      <c r="F88" s="2" t="s">
        <v>2141</v>
      </c>
      <c r="G88" s="2" t="s">
        <v>2142</v>
      </c>
      <c r="H88" s="2" t="s">
        <v>318</v>
      </c>
      <c r="I88" s="2" t="s">
        <v>753</v>
      </c>
      <c r="J88" s="2" t="s">
        <v>30</v>
      </c>
      <c r="K88" s="2" t="s">
        <v>30</v>
      </c>
      <c r="L88" s="2" t="s">
        <v>324</v>
      </c>
      <c r="M88" s="2" t="s">
        <v>41</v>
      </c>
      <c r="N88" s="2" t="s">
        <v>444</v>
      </c>
      <c r="O88" s="2" t="s">
        <v>134</v>
      </c>
      <c r="P88" s="2" t="s">
        <v>1176</v>
      </c>
      <c r="Q88" s="2" t="s">
        <v>410</v>
      </c>
      <c r="R88" s="2" t="s">
        <v>403</v>
      </c>
      <c r="S88" s="2" t="s">
        <v>34</v>
      </c>
      <c r="T88" s="151">
        <v>3.9049999999999998</v>
      </c>
      <c r="U88" s="2" t="s">
        <v>2143</v>
      </c>
      <c r="V88" s="162">
        <v>2.06E-2</v>
      </c>
      <c r="W88" s="164">
        <v>2.597E-2</v>
      </c>
      <c r="X88" s="4" t="s">
        <v>409</v>
      </c>
      <c r="Y88" s="4" t="s">
        <v>134</v>
      </c>
      <c r="Z88" s="151">
        <v>90000</v>
      </c>
      <c r="AA88" s="158">
        <v>1</v>
      </c>
      <c r="AB88" s="175">
        <v>104.37</v>
      </c>
      <c r="AD88" s="151">
        <v>93.933000000000007</v>
      </c>
      <c r="AG88" s="2" t="s">
        <v>36</v>
      </c>
      <c r="AH88" s="164">
        <v>5.0000000000000002E-5</v>
      </c>
      <c r="AI88" s="164">
        <v>2.5486342803391501E-2</v>
      </c>
      <c r="AJ88" s="164">
        <v>1.02470237768568E-2</v>
      </c>
    </row>
    <row r="89" spans="1:36">
      <c r="A89" s="2">
        <v>337</v>
      </c>
      <c r="B89" s="2">
        <v>1405</v>
      </c>
      <c r="C89" s="2" t="s">
        <v>2130</v>
      </c>
      <c r="D89" s="2" t="s">
        <v>2131</v>
      </c>
      <c r="E89" s="4" t="s">
        <v>1303</v>
      </c>
      <c r="F89" s="2" t="s">
        <v>2144</v>
      </c>
      <c r="G89" s="2" t="s">
        <v>2145</v>
      </c>
      <c r="H89" s="2" t="s">
        <v>318</v>
      </c>
      <c r="I89" s="2" t="s">
        <v>753</v>
      </c>
      <c r="J89" s="2" t="s">
        <v>30</v>
      </c>
      <c r="K89" s="2" t="s">
        <v>30</v>
      </c>
      <c r="L89" s="2" t="s">
        <v>324</v>
      </c>
      <c r="M89" s="2" t="s">
        <v>41</v>
      </c>
      <c r="N89" s="2" t="s">
        <v>444</v>
      </c>
      <c r="O89" s="2" t="s">
        <v>134</v>
      </c>
      <c r="P89" s="2" t="s">
        <v>1176</v>
      </c>
      <c r="Q89" s="2" t="s">
        <v>410</v>
      </c>
      <c r="R89" s="2" t="s">
        <v>403</v>
      </c>
      <c r="S89" s="2" t="s">
        <v>34</v>
      </c>
      <c r="T89" s="151">
        <v>5.22</v>
      </c>
      <c r="U89" s="2" t="s">
        <v>2146</v>
      </c>
      <c r="V89" s="162">
        <v>2E-3</v>
      </c>
      <c r="W89" s="164">
        <v>2.606E-2</v>
      </c>
      <c r="X89" s="4" t="s">
        <v>409</v>
      </c>
      <c r="Y89" s="4" t="s">
        <v>134</v>
      </c>
      <c r="Z89" s="151">
        <v>21000</v>
      </c>
      <c r="AA89" s="158">
        <v>1</v>
      </c>
      <c r="AB89" s="175">
        <v>102.35</v>
      </c>
      <c r="AD89" s="151">
        <v>21.494</v>
      </c>
      <c r="AG89" s="2" t="s">
        <v>36</v>
      </c>
      <c r="AH89" s="164">
        <v>6.0000000000000002E-6</v>
      </c>
      <c r="AI89" s="164">
        <v>5.8317173841429103E-3</v>
      </c>
      <c r="AJ89" s="164">
        <v>2.3446968110022201E-3</v>
      </c>
    </row>
    <row r="90" spans="1:36">
      <c r="A90" s="2">
        <v>337</v>
      </c>
      <c r="B90" s="2">
        <v>1405</v>
      </c>
      <c r="C90" s="2" t="s">
        <v>2130</v>
      </c>
      <c r="D90" s="2" t="s">
        <v>2131</v>
      </c>
      <c r="E90" s="4" t="s">
        <v>1303</v>
      </c>
      <c r="F90" s="2" t="s">
        <v>2147</v>
      </c>
      <c r="G90" s="2" t="s">
        <v>2148</v>
      </c>
      <c r="H90" s="2" t="s">
        <v>318</v>
      </c>
      <c r="I90" s="2" t="s">
        <v>753</v>
      </c>
      <c r="J90" s="2" t="s">
        <v>30</v>
      </c>
      <c r="K90" s="2" t="s">
        <v>30</v>
      </c>
      <c r="L90" s="2" t="s">
        <v>324</v>
      </c>
      <c r="M90" s="2" t="s">
        <v>41</v>
      </c>
      <c r="N90" s="2" t="s">
        <v>444</v>
      </c>
      <c r="O90" s="2" t="s">
        <v>134</v>
      </c>
      <c r="P90" s="2" t="s">
        <v>1176</v>
      </c>
      <c r="Q90" s="2" t="s">
        <v>410</v>
      </c>
      <c r="R90" s="2" t="s">
        <v>403</v>
      </c>
      <c r="S90" s="2" t="s">
        <v>34</v>
      </c>
      <c r="T90" s="151">
        <v>2.9279999999999999</v>
      </c>
      <c r="U90" s="2" t="s">
        <v>2140</v>
      </c>
      <c r="V90" s="162">
        <v>1E-3</v>
      </c>
      <c r="W90" s="164">
        <v>2.5739999999999999E-2</v>
      </c>
      <c r="X90" s="4" t="s">
        <v>409</v>
      </c>
      <c r="Y90" s="4" t="s">
        <v>134</v>
      </c>
      <c r="Z90" s="151">
        <v>50000</v>
      </c>
      <c r="AA90" s="158">
        <v>1</v>
      </c>
      <c r="AB90" s="175">
        <v>103.82</v>
      </c>
      <c r="AD90" s="151">
        <v>51.91</v>
      </c>
      <c r="AG90" s="2" t="s">
        <v>36</v>
      </c>
      <c r="AH90" s="164">
        <v>1.9000000000000001E-5</v>
      </c>
      <c r="AI90" s="164">
        <v>1.40844650434252E-2</v>
      </c>
      <c r="AJ90" s="164">
        <v>5.6627916095156796E-3</v>
      </c>
    </row>
    <row r="91" spans="1:36">
      <c r="A91" s="2">
        <v>337</v>
      </c>
      <c r="B91" s="2">
        <v>1405</v>
      </c>
      <c r="C91" s="2" t="s">
        <v>2149</v>
      </c>
      <c r="D91" s="2" t="s">
        <v>2150</v>
      </c>
      <c r="E91" s="4" t="s">
        <v>1303</v>
      </c>
      <c r="F91" s="2" t="s">
        <v>2151</v>
      </c>
      <c r="G91" s="2" t="s">
        <v>2152</v>
      </c>
      <c r="H91" s="2" t="s">
        <v>318</v>
      </c>
      <c r="I91" s="2" t="s">
        <v>753</v>
      </c>
      <c r="J91" s="2" t="s">
        <v>30</v>
      </c>
      <c r="K91" s="2" t="s">
        <v>30</v>
      </c>
      <c r="L91" s="2" t="s">
        <v>324</v>
      </c>
      <c r="M91" s="2" t="s">
        <v>41</v>
      </c>
      <c r="N91" s="2" t="s">
        <v>439</v>
      </c>
      <c r="O91" s="2" t="s">
        <v>134</v>
      </c>
      <c r="P91" s="2" t="s">
        <v>2057</v>
      </c>
      <c r="Q91" s="2" t="s">
        <v>412</v>
      </c>
      <c r="R91" s="2" t="s">
        <v>403</v>
      </c>
      <c r="S91" s="2" t="s">
        <v>34</v>
      </c>
      <c r="T91" s="151">
        <v>3.0270000000000001</v>
      </c>
      <c r="U91" s="2" t="s">
        <v>2153</v>
      </c>
      <c r="V91" s="162">
        <v>0.01</v>
      </c>
      <c r="W91" s="164">
        <v>3.3369999999999997E-2</v>
      </c>
      <c r="X91" s="4" t="s">
        <v>409</v>
      </c>
      <c r="Y91" s="4" t="s">
        <v>134</v>
      </c>
      <c r="Z91" s="151">
        <v>23828.880000000001</v>
      </c>
      <c r="AA91" s="158">
        <v>1</v>
      </c>
      <c r="AB91" s="175">
        <v>105.29</v>
      </c>
      <c r="AD91" s="151">
        <v>25.088999999999999</v>
      </c>
      <c r="AG91" s="2" t="s">
        <v>36</v>
      </c>
      <c r="AH91" s="164">
        <v>1.2999999999999999E-5</v>
      </c>
      <c r="AI91" s="164">
        <v>6.8073813934229404E-3</v>
      </c>
      <c r="AJ91" s="164">
        <v>2.7369717002807799E-3</v>
      </c>
    </row>
    <row r="92" spans="1:36">
      <c r="A92" s="2">
        <v>337</v>
      </c>
      <c r="B92" s="2">
        <v>1405</v>
      </c>
      <c r="C92" s="2" t="s">
        <v>2149</v>
      </c>
      <c r="D92" s="2" t="s">
        <v>2150</v>
      </c>
      <c r="E92" s="4" t="s">
        <v>1303</v>
      </c>
      <c r="F92" s="2" t="s">
        <v>2154</v>
      </c>
      <c r="G92" s="2" t="s">
        <v>2155</v>
      </c>
      <c r="H92" s="2" t="s">
        <v>318</v>
      </c>
      <c r="I92" s="2" t="s">
        <v>753</v>
      </c>
      <c r="J92" s="2" t="s">
        <v>30</v>
      </c>
      <c r="K92" s="2" t="s">
        <v>30</v>
      </c>
      <c r="L92" s="2" t="s">
        <v>324</v>
      </c>
      <c r="M92" s="2" t="s">
        <v>41</v>
      </c>
      <c r="N92" s="2" t="s">
        <v>439</v>
      </c>
      <c r="O92" s="2" t="s">
        <v>134</v>
      </c>
      <c r="P92" s="2" t="s">
        <v>2057</v>
      </c>
      <c r="Q92" s="2" t="s">
        <v>412</v>
      </c>
      <c r="R92" s="2" t="s">
        <v>403</v>
      </c>
      <c r="S92" s="2" t="s">
        <v>34</v>
      </c>
      <c r="T92" s="151">
        <v>1.3089999999999999</v>
      </c>
      <c r="U92" s="2" t="s">
        <v>53</v>
      </c>
      <c r="V92" s="162">
        <v>3.5400000000000001E-2</v>
      </c>
      <c r="W92" s="164">
        <v>3.0630000000000001E-2</v>
      </c>
      <c r="X92" s="4" t="s">
        <v>409</v>
      </c>
      <c r="Y92" s="4" t="s">
        <v>134</v>
      </c>
      <c r="Z92" s="151">
        <v>20700</v>
      </c>
      <c r="AA92" s="158">
        <v>1</v>
      </c>
      <c r="AB92" s="175">
        <v>107.99</v>
      </c>
      <c r="AD92" s="151">
        <v>22.353999999999999</v>
      </c>
      <c r="AG92" s="2" t="s">
        <v>36</v>
      </c>
      <c r="AH92" s="164">
        <v>2.0999999999999999E-5</v>
      </c>
      <c r="AI92" s="164">
        <v>6.0651732935498503E-3</v>
      </c>
      <c r="AJ92" s="164">
        <v>2.4385599546079902E-3</v>
      </c>
    </row>
    <row r="93" spans="1:36">
      <c r="A93" s="2">
        <v>337</v>
      </c>
      <c r="B93" s="2">
        <v>1405</v>
      </c>
      <c r="C93" s="2" t="s">
        <v>2149</v>
      </c>
      <c r="D93" s="2" t="s">
        <v>2150</v>
      </c>
      <c r="E93" s="4" t="s">
        <v>1303</v>
      </c>
      <c r="F93" s="2" t="s">
        <v>2156</v>
      </c>
      <c r="G93" s="2" t="s">
        <v>2157</v>
      </c>
      <c r="H93" s="2" t="s">
        <v>318</v>
      </c>
      <c r="I93" s="2" t="s">
        <v>753</v>
      </c>
      <c r="J93" s="2" t="s">
        <v>30</v>
      </c>
      <c r="K93" s="2" t="s">
        <v>30</v>
      </c>
      <c r="L93" s="2" t="s">
        <v>324</v>
      </c>
      <c r="M93" s="2" t="s">
        <v>41</v>
      </c>
      <c r="N93" s="2" t="s">
        <v>439</v>
      </c>
      <c r="O93" s="2" t="s">
        <v>134</v>
      </c>
      <c r="P93" s="2" t="s">
        <v>2057</v>
      </c>
      <c r="Q93" s="2" t="s">
        <v>412</v>
      </c>
      <c r="R93" s="2" t="s">
        <v>403</v>
      </c>
      <c r="S93" s="2" t="s">
        <v>34</v>
      </c>
      <c r="T93" s="151">
        <v>0.432</v>
      </c>
      <c r="U93" s="2" t="s">
        <v>2158</v>
      </c>
      <c r="V93" s="162">
        <v>0.01</v>
      </c>
      <c r="W93" s="164">
        <v>2.8709999999999999E-2</v>
      </c>
      <c r="X93" s="4" t="s">
        <v>409</v>
      </c>
      <c r="Y93" s="4" t="s">
        <v>134</v>
      </c>
      <c r="Z93" s="151">
        <v>16800</v>
      </c>
      <c r="AA93" s="158">
        <v>1</v>
      </c>
      <c r="AB93" s="175">
        <v>113.7</v>
      </c>
      <c r="AD93" s="151">
        <v>19.102</v>
      </c>
      <c r="AG93" s="2" t="s">
        <v>36</v>
      </c>
      <c r="AH93" s="164">
        <v>9.8999999999999994E-5</v>
      </c>
      <c r="AI93" s="164">
        <v>5.1827358403677502E-3</v>
      </c>
      <c r="AJ93" s="164">
        <v>2.0837676788350002E-3</v>
      </c>
    </row>
    <row r="94" spans="1:36">
      <c r="A94" s="2">
        <v>337</v>
      </c>
      <c r="B94" s="2">
        <v>1405</v>
      </c>
      <c r="C94" s="2" t="s">
        <v>1604</v>
      </c>
      <c r="D94" s="2" t="s">
        <v>1605</v>
      </c>
      <c r="E94" s="4" t="s">
        <v>1303</v>
      </c>
      <c r="F94" s="2" t="s">
        <v>2159</v>
      </c>
      <c r="G94" s="2" t="s">
        <v>2160</v>
      </c>
      <c r="H94" s="2" t="s">
        <v>318</v>
      </c>
      <c r="I94" s="2" t="s">
        <v>753</v>
      </c>
      <c r="J94" s="2" t="s">
        <v>30</v>
      </c>
      <c r="K94" s="2" t="s">
        <v>30</v>
      </c>
      <c r="L94" s="2" t="s">
        <v>324</v>
      </c>
      <c r="M94" s="2" t="s">
        <v>41</v>
      </c>
      <c r="N94" s="2" t="s">
        <v>460</v>
      </c>
      <c r="O94" s="2" t="s">
        <v>134</v>
      </c>
      <c r="P94" s="2" t="s">
        <v>1834</v>
      </c>
      <c r="Q94" s="2" t="s">
        <v>410</v>
      </c>
      <c r="R94" s="2" t="s">
        <v>403</v>
      </c>
      <c r="S94" s="2" t="s">
        <v>34</v>
      </c>
      <c r="T94" s="151">
        <v>3.9249999999999998</v>
      </c>
      <c r="U94" s="2" t="s">
        <v>1863</v>
      </c>
      <c r="V94" s="162">
        <v>1.43E-2</v>
      </c>
      <c r="W94" s="164">
        <v>2.8070000000000001E-2</v>
      </c>
      <c r="X94" s="4" t="s">
        <v>409</v>
      </c>
      <c r="Y94" s="4" t="s">
        <v>134</v>
      </c>
      <c r="Z94" s="151">
        <v>46907.24</v>
      </c>
      <c r="AA94" s="158">
        <v>1</v>
      </c>
      <c r="AB94" s="175">
        <v>110</v>
      </c>
      <c r="AD94" s="151">
        <v>51.597999999999999</v>
      </c>
      <c r="AG94" s="2" t="s">
        <v>36</v>
      </c>
      <c r="AH94" s="164">
        <v>2.9E-5</v>
      </c>
      <c r="AI94" s="164">
        <v>1.3999801970138901E-2</v>
      </c>
      <c r="AJ94" s="164">
        <v>5.6287520247985398E-3</v>
      </c>
    </row>
    <row r="95" spans="1:36">
      <c r="A95" s="2">
        <v>337</v>
      </c>
      <c r="B95" s="2">
        <v>1405</v>
      </c>
      <c r="C95" s="2" t="s">
        <v>1604</v>
      </c>
      <c r="D95" s="2" t="s">
        <v>1605</v>
      </c>
      <c r="E95" s="4" t="s">
        <v>1303</v>
      </c>
      <c r="F95" s="2" t="s">
        <v>2161</v>
      </c>
      <c r="G95" s="2" t="s">
        <v>2162</v>
      </c>
      <c r="H95" s="2" t="s">
        <v>318</v>
      </c>
      <c r="I95" s="2" t="s">
        <v>753</v>
      </c>
      <c r="J95" s="2" t="s">
        <v>30</v>
      </c>
      <c r="K95" s="2" t="s">
        <v>30</v>
      </c>
      <c r="L95" s="2" t="s">
        <v>324</v>
      </c>
      <c r="M95" s="2" t="s">
        <v>41</v>
      </c>
      <c r="N95" s="2" t="s">
        <v>460</v>
      </c>
      <c r="O95" s="2" t="s">
        <v>134</v>
      </c>
      <c r="P95" s="2" t="s">
        <v>1834</v>
      </c>
      <c r="Q95" s="2" t="s">
        <v>410</v>
      </c>
      <c r="R95" s="2" t="s">
        <v>403</v>
      </c>
      <c r="S95" s="2" t="s">
        <v>34</v>
      </c>
      <c r="T95" s="151">
        <v>5.726</v>
      </c>
      <c r="U95" s="2" t="s">
        <v>2163</v>
      </c>
      <c r="V95" s="162">
        <v>3.61E-2</v>
      </c>
      <c r="W95" s="164">
        <v>3.0759999999999999E-2</v>
      </c>
      <c r="X95" s="4" t="s">
        <v>409</v>
      </c>
      <c r="Y95" s="4" t="s">
        <v>134</v>
      </c>
      <c r="Z95" s="151">
        <v>20946.43</v>
      </c>
      <c r="AA95" s="158">
        <v>1</v>
      </c>
      <c r="AB95" s="175">
        <v>110.37</v>
      </c>
      <c r="AD95" s="151">
        <v>23.119</v>
      </c>
      <c r="AG95" s="2" t="s">
        <v>36</v>
      </c>
      <c r="AH95" s="164">
        <v>1.2999999999999999E-5</v>
      </c>
      <c r="AI95" s="164">
        <v>6.2726403101069101E-3</v>
      </c>
      <c r="AJ95" s="164">
        <v>2.5219740194651402E-3</v>
      </c>
    </row>
    <row r="96" spans="1:36">
      <c r="A96" s="2">
        <v>337</v>
      </c>
      <c r="B96" s="2">
        <v>1405</v>
      </c>
      <c r="C96" s="2" t="s">
        <v>1604</v>
      </c>
      <c r="D96" s="2" t="s">
        <v>1605</v>
      </c>
      <c r="E96" s="4" t="s">
        <v>1303</v>
      </c>
      <c r="F96" s="2" t="s">
        <v>2164</v>
      </c>
      <c r="G96" s="2" t="s">
        <v>2165</v>
      </c>
      <c r="H96" s="2" t="s">
        <v>318</v>
      </c>
      <c r="I96" s="2" t="s">
        <v>753</v>
      </c>
      <c r="J96" s="2" t="s">
        <v>30</v>
      </c>
      <c r="K96" s="2" t="s">
        <v>30</v>
      </c>
      <c r="L96" s="2" t="s">
        <v>324</v>
      </c>
      <c r="M96" s="2" t="s">
        <v>41</v>
      </c>
      <c r="N96" s="2" t="s">
        <v>460</v>
      </c>
      <c r="O96" s="2" t="s">
        <v>134</v>
      </c>
      <c r="P96" s="2" t="s">
        <v>1834</v>
      </c>
      <c r="Q96" s="2" t="s">
        <v>410</v>
      </c>
      <c r="R96" s="2" t="s">
        <v>403</v>
      </c>
      <c r="S96" s="2" t="s">
        <v>34</v>
      </c>
      <c r="T96" s="151">
        <v>3.4910000000000001</v>
      </c>
      <c r="U96" s="2" t="s">
        <v>2166</v>
      </c>
      <c r="V96" s="162">
        <v>2.2499999999999999E-2</v>
      </c>
      <c r="W96" s="164">
        <v>2.9399999999999999E-2</v>
      </c>
      <c r="X96" s="4" t="s">
        <v>409</v>
      </c>
      <c r="Y96" s="4" t="s">
        <v>134</v>
      </c>
      <c r="Z96" s="151">
        <v>19161.04</v>
      </c>
      <c r="AA96" s="158">
        <v>1</v>
      </c>
      <c r="AB96" s="175">
        <v>115.02</v>
      </c>
      <c r="AD96" s="151">
        <v>22.039000000000001</v>
      </c>
      <c r="AG96" s="2" t="s">
        <v>36</v>
      </c>
      <c r="AH96" s="164">
        <v>1.1E-5</v>
      </c>
      <c r="AI96" s="164">
        <v>5.9797326601162999E-3</v>
      </c>
      <c r="AJ96" s="164">
        <v>2.40420774452209E-3</v>
      </c>
    </row>
    <row r="97" spans="1:36">
      <c r="A97" s="2">
        <v>337</v>
      </c>
      <c r="B97" s="2">
        <v>1405</v>
      </c>
      <c r="C97" s="2" t="s">
        <v>1604</v>
      </c>
      <c r="D97" s="2" t="s">
        <v>1605</v>
      </c>
      <c r="E97" s="4" t="s">
        <v>1303</v>
      </c>
      <c r="F97" s="2" t="s">
        <v>2167</v>
      </c>
      <c r="G97" s="2" t="s">
        <v>2168</v>
      </c>
      <c r="H97" s="2" t="s">
        <v>318</v>
      </c>
      <c r="I97" s="2" t="s">
        <v>753</v>
      </c>
      <c r="J97" s="2" t="s">
        <v>30</v>
      </c>
      <c r="K97" s="2" t="s">
        <v>30</v>
      </c>
      <c r="L97" s="2" t="s">
        <v>324</v>
      </c>
      <c r="M97" s="2" t="s">
        <v>41</v>
      </c>
      <c r="N97" s="2" t="s">
        <v>460</v>
      </c>
      <c r="O97" s="2" t="s">
        <v>134</v>
      </c>
      <c r="P97" s="2" t="s">
        <v>1834</v>
      </c>
      <c r="Q97" s="2" t="s">
        <v>410</v>
      </c>
      <c r="R97" s="2" t="s">
        <v>403</v>
      </c>
      <c r="S97" s="2" t="s">
        <v>34</v>
      </c>
      <c r="T97" s="151">
        <v>4.8760000000000003</v>
      </c>
      <c r="U97" s="2" t="s">
        <v>2146</v>
      </c>
      <c r="V97" s="162">
        <v>2.5000000000000001E-3</v>
      </c>
      <c r="W97" s="164">
        <v>2.7699999999999999E-2</v>
      </c>
      <c r="X97" s="4" t="s">
        <v>409</v>
      </c>
      <c r="Y97" s="4" t="s">
        <v>134</v>
      </c>
      <c r="Z97" s="151">
        <v>42630</v>
      </c>
      <c r="AA97" s="158">
        <v>1</v>
      </c>
      <c r="AB97" s="175">
        <v>100.5</v>
      </c>
      <c r="AD97" s="151">
        <v>42.843000000000004</v>
      </c>
      <c r="AG97" s="2" t="s">
        <v>36</v>
      </c>
      <c r="AH97" s="164">
        <v>3.1999999999999999E-5</v>
      </c>
      <c r="AI97" s="164">
        <v>1.1624404710561E-2</v>
      </c>
      <c r="AJ97" s="164">
        <v>4.6737012202893802E-3</v>
      </c>
    </row>
    <row r="98" spans="1:36">
      <c r="A98" s="2">
        <v>337</v>
      </c>
      <c r="B98" s="2">
        <v>1405</v>
      </c>
      <c r="C98" s="2" t="s">
        <v>2169</v>
      </c>
      <c r="D98" s="2" t="s">
        <v>2170</v>
      </c>
      <c r="E98" s="4" t="s">
        <v>1303</v>
      </c>
      <c r="F98" s="2" t="s">
        <v>2171</v>
      </c>
      <c r="G98" s="2" t="s">
        <v>2172</v>
      </c>
      <c r="H98" s="2" t="s">
        <v>318</v>
      </c>
      <c r="I98" s="2" t="s">
        <v>965</v>
      </c>
      <c r="J98" s="2" t="s">
        <v>30</v>
      </c>
      <c r="K98" s="2" t="s">
        <v>30</v>
      </c>
      <c r="L98" s="2" t="s">
        <v>324</v>
      </c>
      <c r="M98" s="2" t="s">
        <v>41</v>
      </c>
      <c r="N98" s="2" t="s">
        <v>441</v>
      </c>
      <c r="O98" s="2" t="s">
        <v>134</v>
      </c>
      <c r="P98" s="2" t="s">
        <v>2173</v>
      </c>
      <c r="Q98" s="2" t="s">
        <v>412</v>
      </c>
      <c r="R98" s="2" t="s">
        <v>403</v>
      </c>
      <c r="S98" s="2" t="s">
        <v>34</v>
      </c>
      <c r="T98" s="151">
        <v>6.3310000000000004</v>
      </c>
      <c r="U98" s="2" t="s">
        <v>2174</v>
      </c>
      <c r="V98" s="162">
        <v>5.0200000000000002E-2</v>
      </c>
      <c r="W98" s="164">
        <v>5.2510000000000001E-2</v>
      </c>
      <c r="X98" s="4" t="s">
        <v>409</v>
      </c>
      <c r="Y98" s="4" t="s">
        <v>134</v>
      </c>
      <c r="Z98" s="151">
        <v>16000</v>
      </c>
      <c r="AA98" s="158">
        <v>1</v>
      </c>
      <c r="AB98" s="175">
        <v>99.08</v>
      </c>
      <c r="AD98" s="151">
        <v>15.853</v>
      </c>
      <c r="AG98" s="2" t="s">
        <v>36</v>
      </c>
      <c r="AH98" s="164">
        <v>4.0000000000000003E-5</v>
      </c>
      <c r="AI98" s="164">
        <v>4.3012561633675598E-3</v>
      </c>
      <c r="AJ98" s="164">
        <v>1.72936048598209E-3</v>
      </c>
    </row>
    <row r="99" spans="1:36">
      <c r="A99" s="2">
        <v>337</v>
      </c>
      <c r="B99" s="2">
        <v>1405</v>
      </c>
      <c r="C99" s="2" t="s">
        <v>1612</v>
      </c>
      <c r="D99" s="2" t="s">
        <v>1613</v>
      </c>
      <c r="E99" s="4" t="s">
        <v>1303</v>
      </c>
      <c r="F99" s="2" t="s">
        <v>2175</v>
      </c>
      <c r="G99" s="2" t="s">
        <v>2176</v>
      </c>
      <c r="H99" s="2" t="s">
        <v>318</v>
      </c>
      <c r="I99" s="2" t="s">
        <v>965</v>
      </c>
      <c r="J99" s="2" t="s">
        <v>30</v>
      </c>
      <c r="K99" s="2" t="s">
        <v>30</v>
      </c>
      <c r="L99" s="2" t="s">
        <v>324</v>
      </c>
      <c r="M99" s="2" t="s">
        <v>41</v>
      </c>
      <c r="N99" s="2" t="s">
        <v>439</v>
      </c>
      <c r="O99" s="2" t="s">
        <v>134</v>
      </c>
      <c r="P99" s="2" t="s">
        <v>1909</v>
      </c>
      <c r="Q99" s="2" t="s">
        <v>412</v>
      </c>
      <c r="R99" s="2" t="s">
        <v>403</v>
      </c>
      <c r="S99" s="2" t="s">
        <v>34</v>
      </c>
      <c r="T99" s="151">
        <v>0.98399999999999999</v>
      </c>
      <c r="U99" s="2" t="s">
        <v>2177</v>
      </c>
      <c r="V99" s="162">
        <v>0.114</v>
      </c>
      <c r="W99" s="164">
        <v>5.747E-2</v>
      </c>
      <c r="X99" s="4" t="s">
        <v>409</v>
      </c>
      <c r="Y99" s="4" t="s">
        <v>134</v>
      </c>
      <c r="Z99" s="151">
        <v>15410</v>
      </c>
      <c r="AA99" s="158">
        <v>1</v>
      </c>
      <c r="AB99" s="175">
        <v>101.2</v>
      </c>
      <c r="AD99" s="151">
        <v>15.595000000000001</v>
      </c>
      <c r="AG99" s="2" t="s">
        <v>36</v>
      </c>
      <c r="AH99" s="164">
        <v>6.3999999999999997E-5</v>
      </c>
      <c r="AI99" s="164">
        <v>4.2312869503951401E-3</v>
      </c>
      <c r="AJ99" s="164">
        <v>1.70122870597319E-3</v>
      </c>
    </row>
    <row r="100" spans="1:36">
      <c r="A100" s="2">
        <v>337</v>
      </c>
      <c r="B100" s="2">
        <v>1405</v>
      </c>
      <c r="C100" s="2" t="s">
        <v>1612</v>
      </c>
      <c r="D100" s="2" t="s">
        <v>1613</v>
      </c>
      <c r="E100" s="4" t="s">
        <v>1303</v>
      </c>
      <c r="F100" s="2" t="s">
        <v>2178</v>
      </c>
      <c r="G100" s="2" t="s">
        <v>2179</v>
      </c>
      <c r="H100" s="2" t="s">
        <v>318</v>
      </c>
      <c r="I100" s="2" t="s">
        <v>965</v>
      </c>
      <c r="J100" s="2" t="s">
        <v>30</v>
      </c>
      <c r="K100" s="2" t="s">
        <v>30</v>
      </c>
      <c r="L100" s="2" t="s">
        <v>324</v>
      </c>
      <c r="M100" s="2" t="s">
        <v>31</v>
      </c>
      <c r="N100" s="2" t="s">
        <v>439</v>
      </c>
      <c r="O100" s="2" t="s">
        <v>134</v>
      </c>
      <c r="P100" s="2" t="s">
        <v>1909</v>
      </c>
      <c r="Q100" s="2" t="s">
        <v>412</v>
      </c>
      <c r="R100" s="2" t="s">
        <v>403</v>
      </c>
      <c r="S100" s="2" t="s">
        <v>34</v>
      </c>
      <c r="T100" s="151">
        <v>3.2839999999999998</v>
      </c>
      <c r="U100" s="2" t="s">
        <v>2180</v>
      </c>
      <c r="V100" s="162">
        <v>6.4000000000000001E-2</v>
      </c>
      <c r="W100" s="164">
        <v>6.4170000000000005E-2</v>
      </c>
      <c r="X100" s="4" t="s">
        <v>409</v>
      </c>
      <c r="Y100" s="4" t="s">
        <v>134</v>
      </c>
      <c r="Z100" s="151">
        <v>10000</v>
      </c>
      <c r="AA100" s="158">
        <v>1</v>
      </c>
      <c r="AB100" s="175">
        <v>101.3</v>
      </c>
      <c r="AD100" s="151">
        <v>10.130000000000001</v>
      </c>
      <c r="AG100" s="2" t="s">
        <v>36</v>
      </c>
      <c r="AH100" s="164">
        <v>5.0000000000000002E-5</v>
      </c>
      <c r="AI100" s="164">
        <v>2.74851918493348E-3</v>
      </c>
      <c r="AJ100" s="164">
        <v>1.1050679831322301E-3</v>
      </c>
    </row>
    <row r="101" spans="1:36">
      <c r="A101" s="2">
        <v>337</v>
      </c>
      <c r="B101" s="2">
        <v>1405</v>
      </c>
      <c r="C101" s="2" t="s">
        <v>2181</v>
      </c>
      <c r="D101" s="2" t="s">
        <v>2182</v>
      </c>
      <c r="E101" s="4" t="s">
        <v>1303</v>
      </c>
      <c r="F101" s="2" t="s">
        <v>2183</v>
      </c>
      <c r="G101" s="2" t="s">
        <v>2184</v>
      </c>
      <c r="H101" s="2" t="s">
        <v>318</v>
      </c>
      <c r="I101" s="2" t="s">
        <v>753</v>
      </c>
      <c r="J101" s="2" t="s">
        <v>30</v>
      </c>
      <c r="K101" s="2" t="s">
        <v>30</v>
      </c>
      <c r="L101" s="2" t="s">
        <v>324</v>
      </c>
      <c r="M101" s="2" t="s">
        <v>41</v>
      </c>
      <c r="N101" s="2" t="s">
        <v>443</v>
      </c>
      <c r="O101" s="2" t="s">
        <v>134</v>
      </c>
      <c r="P101" s="2" t="s">
        <v>2185</v>
      </c>
      <c r="Q101" s="2" t="s">
        <v>412</v>
      </c>
      <c r="R101" s="2" t="s">
        <v>403</v>
      </c>
      <c r="S101" s="2" t="s">
        <v>34</v>
      </c>
      <c r="T101" s="151">
        <v>3.2440000000000002</v>
      </c>
      <c r="U101" s="2" t="s">
        <v>2186</v>
      </c>
      <c r="V101" s="162">
        <v>2.07E-2</v>
      </c>
      <c r="W101" s="164">
        <v>4.1939999999999998E-2</v>
      </c>
      <c r="X101" s="4" t="s">
        <v>409</v>
      </c>
      <c r="Y101" s="4" t="s">
        <v>134</v>
      </c>
      <c r="Z101" s="151">
        <v>28444.799999999999</v>
      </c>
      <c r="AA101" s="158">
        <v>1</v>
      </c>
      <c r="AB101" s="175">
        <v>105.96</v>
      </c>
      <c r="AD101" s="151">
        <v>30.14</v>
      </c>
      <c r="AG101" s="2" t="s">
        <v>36</v>
      </c>
      <c r="AH101" s="164">
        <v>6.0000000000000002E-5</v>
      </c>
      <c r="AI101" s="164">
        <v>8.1777562478664197E-3</v>
      </c>
      <c r="AJ101" s="164">
        <v>3.2879437963957399E-3</v>
      </c>
    </row>
    <row r="102" spans="1:36">
      <c r="A102" s="2">
        <v>337</v>
      </c>
      <c r="B102" s="2">
        <v>1405</v>
      </c>
      <c r="C102" s="2" t="s">
        <v>1616</v>
      </c>
      <c r="D102" s="2" t="s">
        <v>1617</v>
      </c>
      <c r="E102" s="4" t="s">
        <v>309</v>
      </c>
      <c r="F102" s="2" t="s">
        <v>2187</v>
      </c>
      <c r="G102" s="2" t="s">
        <v>2188</v>
      </c>
      <c r="H102" s="2" t="s">
        <v>318</v>
      </c>
      <c r="I102" s="2" t="s">
        <v>965</v>
      </c>
      <c r="J102" s="2" t="s">
        <v>30</v>
      </c>
      <c r="K102" s="2" t="s">
        <v>30</v>
      </c>
      <c r="L102" s="2" t="s">
        <v>324</v>
      </c>
      <c r="M102" s="2" t="s">
        <v>41</v>
      </c>
      <c r="N102" s="2" t="s">
        <v>450</v>
      </c>
      <c r="O102" s="2" t="s">
        <v>134</v>
      </c>
      <c r="P102" s="2" t="s">
        <v>1830</v>
      </c>
      <c r="Q102" s="2" t="s">
        <v>410</v>
      </c>
      <c r="R102" s="2" t="s">
        <v>403</v>
      </c>
      <c r="S102" s="2" t="s">
        <v>34</v>
      </c>
      <c r="T102" s="151">
        <v>1.958</v>
      </c>
      <c r="U102" s="2" t="s">
        <v>2189</v>
      </c>
      <c r="V102" s="162">
        <v>5.2499999999999998E-2</v>
      </c>
      <c r="W102" s="164">
        <v>5.4800000000000001E-2</v>
      </c>
      <c r="X102" s="4" t="s">
        <v>409</v>
      </c>
      <c r="Y102" s="4" t="s">
        <v>134</v>
      </c>
      <c r="Z102" s="151">
        <v>34000</v>
      </c>
      <c r="AA102" s="158">
        <v>1</v>
      </c>
      <c r="AB102" s="175">
        <v>100.79</v>
      </c>
      <c r="AD102" s="151">
        <v>34.268999999999998</v>
      </c>
      <c r="AG102" s="2" t="s">
        <v>36</v>
      </c>
      <c r="AH102" s="164">
        <v>1.03E-4</v>
      </c>
      <c r="AI102" s="164">
        <v>9.2979175262400092E-3</v>
      </c>
      <c r="AJ102" s="164">
        <v>3.7383151714476801E-3</v>
      </c>
    </row>
    <row r="103" spans="1:36">
      <c r="A103" s="2">
        <v>337</v>
      </c>
      <c r="B103" s="2">
        <v>1405</v>
      </c>
      <c r="C103" s="2" t="s">
        <v>1616</v>
      </c>
      <c r="D103" s="2" t="s">
        <v>1617</v>
      </c>
      <c r="E103" s="4" t="s">
        <v>309</v>
      </c>
      <c r="F103" s="2" t="s">
        <v>2190</v>
      </c>
      <c r="G103" s="2" t="s">
        <v>2191</v>
      </c>
      <c r="H103" s="2" t="s">
        <v>318</v>
      </c>
      <c r="I103" s="2" t="s">
        <v>965</v>
      </c>
      <c r="J103" s="2" t="s">
        <v>30</v>
      </c>
      <c r="K103" s="2" t="s">
        <v>80</v>
      </c>
      <c r="L103" s="2" t="s">
        <v>324</v>
      </c>
      <c r="M103" s="2" t="s">
        <v>41</v>
      </c>
      <c r="N103" s="2" t="s">
        <v>450</v>
      </c>
      <c r="O103" s="2" t="s">
        <v>134</v>
      </c>
      <c r="P103" s="2" t="s">
        <v>1830</v>
      </c>
      <c r="Q103" s="2" t="s">
        <v>410</v>
      </c>
      <c r="R103" s="2" t="s">
        <v>403</v>
      </c>
      <c r="S103" s="2" t="s">
        <v>34</v>
      </c>
      <c r="T103" s="151">
        <v>2.7229999999999999</v>
      </c>
      <c r="U103" s="2" t="s">
        <v>2192</v>
      </c>
      <c r="V103" s="162">
        <v>6.5000000000000002E-2</v>
      </c>
      <c r="W103" s="164">
        <v>5.7889999999999997E-2</v>
      </c>
      <c r="X103" s="4" t="s">
        <v>409</v>
      </c>
      <c r="Y103" s="4" t="s">
        <v>134</v>
      </c>
      <c r="Z103" s="151">
        <v>21000</v>
      </c>
      <c r="AA103" s="158">
        <v>1</v>
      </c>
      <c r="AB103" s="175">
        <v>103.75</v>
      </c>
      <c r="AD103" s="151">
        <v>21.788</v>
      </c>
      <c r="AG103" s="2" t="s">
        <v>36</v>
      </c>
      <c r="AH103" s="164">
        <v>4.1999999999999998E-5</v>
      </c>
      <c r="AI103" s="164">
        <v>5.9114868451863901E-3</v>
      </c>
      <c r="AJ103" s="164">
        <v>2.3767688729016199E-3</v>
      </c>
    </row>
    <row r="104" spans="1:36">
      <c r="A104" s="2">
        <v>337</v>
      </c>
      <c r="B104" s="2">
        <v>1405</v>
      </c>
      <c r="C104" s="2" t="s">
        <v>1616</v>
      </c>
      <c r="D104" s="2" t="s">
        <v>1617</v>
      </c>
      <c r="E104" s="4" t="s">
        <v>309</v>
      </c>
      <c r="F104" s="2" t="s">
        <v>2193</v>
      </c>
      <c r="G104" s="2" t="s">
        <v>2194</v>
      </c>
      <c r="H104" s="2" t="s">
        <v>318</v>
      </c>
      <c r="I104" s="2" t="s">
        <v>965</v>
      </c>
      <c r="J104" s="2" t="s">
        <v>30</v>
      </c>
      <c r="K104" s="2" t="s">
        <v>30</v>
      </c>
      <c r="L104" s="2" t="s">
        <v>324</v>
      </c>
      <c r="M104" s="2" t="s">
        <v>31</v>
      </c>
      <c r="N104" s="2" t="s">
        <v>450</v>
      </c>
      <c r="O104" s="2" t="s">
        <v>134</v>
      </c>
      <c r="P104" s="2" t="s">
        <v>1830</v>
      </c>
      <c r="Q104" s="2" t="s">
        <v>410</v>
      </c>
      <c r="R104" s="2" t="s">
        <v>403</v>
      </c>
      <c r="S104" s="2" t="s">
        <v>34</v>
      </c>
      <c r="T104" s="151">
        <v>3.3740000000000001</v>
      </c>
      <c r="U104" s="2" t="s">
        <v>1857</v>
      </c>
      <c r="V104" s="162">
        <v>6.7000000000000004E-2</v>
      </c>
      <c r="W104" s="164">
        <v>5.6849999999999998E-2</v>
      </c>
      <c r="X104" s="4" t="s">
        <v>409</v>
      </c>
      <c r="Y104" s="4" t="s">
        <v>134</v>
      </c>
      <c r="Z104" s="151">
        <v>17000</v>
      </c>
      <c r="AA104" s="158">
        <v>1</v>
      </c>
      <c r="AB104" s="175">
        <v>103.63</v>
      </c>
      <c r="AD104" s="151">
        <v>17.617000000000001</v>
      </c>
      <c r="AG104" s="2" t="s">
        <v>36</v>
      </c>
      <c r="AH104" s="164">
        <v>1.9000000000000001E-5</v>
      </c>
      <c r="AI104" s="164">
        <v>4.7799543270376698E-3</v>
      </c>
      <c r="AJ104" s="164">
        <v>1.92182558397223E-3</v>
      </c>
    </row>
    <row r="105" spans="1:36">
      <c r="A105" s="2">
        <v>337</v>
      </c>
      <c r="B105" s="2">
        <v>1405</v>
      </c>
      <c r="C105" s="2" t="s">
        <v>1624</v>
      </c>
      <c r="D105" s="2" t="s">
        <v>1625</v>
      </c>
      <c r="E105" s="4" t="s">
        <v>1303</v>
      </c>
      <c r="F105" s="2" t="s">
        <v>2195</v>
      </c>
      <c r="G105" s="2" t="s">
        <v>2196</v>
      </c>
      <c r="H105" s="2" t="s">
        <v>318</v>
      </c>
      <c r="I105" s="2" t="s">
        <v>753</v>
      </c>
      <c r="J105" s="2" t="s">
        <v>30</v>
      </c>
      <c r="K105" s="2" t="s">
        <v>30</v>
      </c>
      <c r="L105" s="2" t="s">
        <v>324</v>
      </c>
      <c r="M105" s="2" t="s">
        <v>41</v>
      </c>
      <c r="N105" s="2" t="s">
        <v>437</v>
      </c>
      <c r="O105" s="2" t="s">
        <v>134</v>
      </c>
      <c r="P105" s="2" t="s">
        <v>1909</v>
      </c>
      <c r="Q105" s="2" t="s">
        <v>412</v>
      </c>
      <c r="R105" s="2" t="s">
        <v>403</v>
      </c>
      <c r="S105" s="2" t="s">
        <v>34</v>
      </c>
      <c r="T105" s="151">
        <v>2.21</v>
      </c>
      <c r="U105" s="2" t="s">
        <v>2025</v>
      </c>
      <c r="V105" s="162">
        <v>1.4800000000000001E-2</v>
      </c>
      <c r="W105" s="164">
        <v>3.1119999999999998E-2</v>
      </c>
      <c r="X105" s="4" t="s">
        <v>409</v>
      </c>
      <c r="Y105" s="4" t="s">
        <v>134</v>
      </c>
      <c r="Z105" s="151">
        <v>23760</v>
      </c>
      <c r="AA105" s="158">
        <v>1</v>
      </c>
      <c r="AB105" s="175">
        <v>109.88</v>
      </c>
      <c r="AD105" s="151">
        <v>26.106999999999999</v>
      </c>
      <c r="AG105" s="2" t="s">
        <v>36</v>
      </c>
      <c r="AH105" s="164">
        <v>7.4999999999999993E-5</v>
      </c>
      <c r="AI105" s="164">
        <v>7.0836062821737896E-3</v>
      </c>
      <c r="AJ105" s="164">
        <v>2.8480305141963301E-3</v>
      </c>
    </row>
    <row r="106" spans="1:36">
      <c r="A106" s="2">
        <v>337</v>
      </c>
      <c r="B106" s="2">
        <v>1405</v>
      </c>
      <c r="C106" s="2" t="s">
        <v>1636</v>
      </c>
      <c r="D106" s="2" t="s">
        <v>1637</v>
      </c>
      <c r="E106" s="4" t="s">
        <v>1303</v>
      </c>
      <c r="F106" s="2" t="s">
        <v>2197</v>
      </c>
      <c r="G106" s="2" t="s">
        <v>2198</v>
      </c>
      <c r="H106" s="2" t="s">
        <v>318</v>
      </c>
      <c r="I106" s="2" t="s">
        <v>965</v>
      </c>
      <c r="J106" s="2" t="s">
        <v>30</v>
      </c>
      <c r="K106" s="2" t="s">
        <v>30</v>
      </c>
      <c r="L106" s="2" t="s">
        <v>324</v>
      </c>
      <c r="M106" s="2" t="s">
        <v>41</v>
      </c>
      <c r="N106" s="2" t="s">
        <v>460</v>
      </c>
      <c r="O106" s="2" t="s">
        <v>134</v>
      </c>
      <c r="P106" s="2" t="s">
        <v>1862</v>
      </c>
      <c r="Q106" s="2" t="s">
        <v>410</v>
      </c>
      <c r="R106" s="2" t="s">
        <v>403</v>
      </c>
      <c r="S106" s="2" t="s">
        <v>34</v>
      </c>
      <c r="T106" s="151">
        <v>2.4750000000000001</v>
      </c>
      <c r="U106" s="2" t="s">
        <v>1863</v>
      </c>
      <c r="V106" s="162">
        <v>3.95E-2</v>
      </c>
      <c r="W106" s="164">
        <v>6.0600000000000001E-2</v>
      </c>
      <c r="X106" s="4" t="s">
        <v>409</v>
      </c>
      <c r="Y106" s="4" t="s">
        <v>134</v>
      </c>
      <c r="Z106" s="151">
        <v>25612.43</v>
      </c>
      <c r="AA106" s="158">
        <v>1</v>
      </c>
      <c r="AB106" s="175">
        <v>96.15</v>
      </c>
      <c r="AD106" s="151">
        <v>24.626000000000001</v>
      </c>
      <c r="AG106" s="2" t="s">
        <v>36</v>
      </c>
      <c r="AH106" s="164">
        <v>2.0999999999999999E-5</v>
      </c>
      <c r="AI106" s="164">
        <v>6.6817373545406504E-3</v>
      </c>
      <c r="AJ106" s="164">
        <v>2.6864553329942302E-3</v>
      </c>
    </row>
    <row r="107" spans="1:36">
      <c r="A107" s="2">
        <v>337</v>
      </c>
      <c r="B107" s="2">
        <v>1405</v>
      </c>
      <c r="C107" s="2" t="s">
        <v>1636</v>
      </c>
      <c r="D107" s="2" t="s">
        <v>1637</v>
      </c>
      <c r="E107" s="4" t="s">
        <v>1303</v>
      </c>
      <c r="F107" s="2" t="s">
        <v>2199</v>
      </c>
      <c r="G107" s="2" t="s">
        <v>2200</v>
      </c>
      <c r="H107" s="2" t="s">
        <v>318</v>
      </c>
      <c r="I107" s="2" t="s">
        <v>753</v>
      </c>
      <c r="J107" s="2" t="s">
        <v>30</v>
      </c>
      <c r="K107" s="2" t="s">
        <v>30</v>
      </c>
      <c r="L107" s="2" t="s">
        <v>324</v>
      </c>
      <c r="M107" s="2" t="s">
        <v>41</v>
      </c>
      <c r="N107" s="2" t="s">
        <v>460</v>
      </c>
      <c r="O107" s="2" t="s">
        <v>134</v>
      </c>
      <c r="P107" s="2" t="s">
        <v>1862</v>
      </c>
      <c r="Q107" s="2" t="s">
        <v>410</v>
      </c>
      <c r="R107" s="2" t="s">
        <v>403</v>
      </c>
      <c r="S107" s="2" t="s">
        <v>34</v>
      </c>
      <c r="T107" s="151">
        <v>3.6859999999999999</v>
      </c>
      <c r="U107" s="2" t="s">
        <v>1863</v>
      </c>
      <c r="V107" s="162">
        <v>3.6200000000000003E-2</v>
      </c>
      <c r="W107" s="164">
        <v>3.5290000000000002E-2</v>
      </c>
      <c r="X107" s="4" t="s">
        <v>409</v>
      </c>
      <c r="Y107" s="4" t="s">
        <v>134</v>
      </c>
      <c r="Z107" s="151">
        <v>11280</v>
      </c>
      <c r="AA107" s="158">
        <v>1</v>
      </c>
      <c r="AB107" s="175">
        <v>107.99</v>
      </c>
      <c r="AD107" s="151">
        <v>12.180999999999999</v>
      </c>
      <c r="AG107" s="2" t="s">
        <v>36</v>
      </c>
      <c r="AH107" s="164">
        <v>6.0000000000000002E-6</v>
      </c>
      <c r="AI107" s="164">
        <v>3.3050799396735402E-3</v>
      </c>
      <c r="AJ107" s="164">
        <v>1.3288384680182699E-3</v>
      </c>
    </row>
    <row r="108" spans="1:36">
      <c r="A108" s="2">
        <v>337</v>
      </c>
      <c r="B108" s="2">
        <v>1405</v>
      </c>
      <c r="C108" s="2" t="s">
        <v>2201</v>
      </c>
      <c r="D108" s="2" t="s">
        <v>2202</v>
      </c>
      <c r="E108" s="4" t="s">
        <v>310</v>
      </c>
      <c r="F108" s="2" t="s">
        <v>2203</v>
      </c>
      <c r="G108" s="2" t="s">
        <v>2204</v>
      </c>
      <c r="H108" s="2" t="s">
        <v>318</v>
      </c>
      <c r="I108" s="2" t="s">
        <v>965</v>
      </c>
      <c r="J108" s="2" t="s">
        <v>30</v>
      </c>
      <c r="K108" s="2" t="s">
        <v>80</v>
      </c>
      <c r="L108" s="2" t="s">
        <v>324</v>
      </c>
      <c r="M108" s="2" t="s">
        <v>41</v>
      </c>
      <c r="N108" s="2" t="s">
        <v>461</v>
      </c>
      <c r="O108" s="2" t="s">
        <v>134</v>
      </c>
      <c r="P108" s="2" t="s">
        <v>1826</v>
      </c>
      <c r="Q108" s="2" t="s">
        <v>410</v>
      </c>
      <c r="R108" s="2" t="s">
        <v>403</v>
      </c>
      <c r="S108" s="2" t="s">
        <v>34</v>
      </c>
      <c r="T108" s="151">
        <v>3.2810000000000001</v>
      </c>
      <c r="U108" s="2" t="s">
        <v>2205</v>
      </c>
      <c r="V108" s="162">
        <v>4.4999999999999998E-2</v>
      </c>
      <c r="W108" s="164">
        <v>6.0130000000000003E-2</v>
      </c>
      <c r="X108" s="4" t="s">
        <v>409</v>
      </c>
      <c r="Y108" s="4" t="s">
        <v>134</v>
      </c>
      <c r="Z108" s="151">
        <v>20115.080000000002</v>
      </c>
      <c r="AA108" s="158">
        <v>1</v>
      </c>
      <c r="AB108" s="175">
        <v>97.47</v>
      </c>
      <c r="AD108" s="151">
        <v>19.606000000000002</v>
      </c>
      <c r="AG108" s="2" t="s">
        <v>36</v>
      </c>
      <c r="AH108" s="164">
        <v>2.3E-5</v>
      </c>
      <c r="AI108" s="164">
        <v>5.3196377294495497E-3</v>
      </c>
      <c r="AJ108" s="164">
        <v>2.1388103706538901E-3</v>
      </c>
    </row>
    <row r="109" spans="1:36">
      <c r="A109" s="2">
        <v>337</v>
      </c>
      <c r="B109" s="2">
        <v>1405</v>
      </c>
      <c r="C109" s="2" t="s">
        <v>2201</v>
      </c>
      <c r="D109" s="2" t="s">
        <v>2202</v>
      </c>
      <c r="E109" s="4" t="s">
        <v>310</v>
      </c>
      <c r="F109" s="2" t="s">
        <v>2206</v>
      </c>
      <c r="G109" s="2" t="s">
        <v>2207</v>
      </c>
      <c r="H109" s="2" t="s">
        <v>318</v>
      </c>
      <c r="I109" s="2" t="s">
        <v>965</v>
      </c>
      <c r="J109" s="2" t="s">
        <v>30</v>
      </c>
      <c r="K109" s="2" t="s">
        <v>30</v>
      </c>
      <c r="L109" s="2" t="s">
        <v>324</v>
      </c>
      <c r="M109" s="2" t="s">
        <v>41</v>
      </c>
      <c r="N109" s="2" t="s">
        <v>461</v>
      </c>
      <c r="O109" s="2" t="s">
        <v>134</v>
      </c>
      <c r="P109" s="2" t="s">
        <v>1834</v>
      </c>
      <c r="Q109" s="2" t="s">
        <v>410</v>
      </c>
      <c r="R109" s="2" t="s">
        <v>403</v>
      </c>
      <c r="S109" s="2" t="s">
        <v>34</v>
      </c>
      <c r="T109" s="151">
        <v>2.0169999999999999</v>
      </c>
      <c r="U109" s="2" t="s">
        <v>1910</v>
      </c>
      <c r="V109" s="162">
        <v>6.3500000000000001E-2</v>
      </c>
      <c r="W109" s="164">
        <v>5.7439999999999998E-2</v>
      </c>
      <c r="X109" s="4" t="s">
        <v>409</v>
      </c>
      <c r="Y109" s="4" t="s">
        <v>134</v>
      </c>
      <c r="Z109" s="151">
        <v>10000</v>
      </c>
      <c r="AA109" s="158">
        <v>1</v>
      </c>
      <c r="AB109" s="175">
        <v>102.97</v>
      </c>
      <c r="AD109" s="151">
        <v>10.297000000000001</v>
      </c>
      <c r="AG109" s="2" t="s">
        <v>36</v>
      </c>
      <c r="AH109" s="164">
        <v>2.4000000000000001E-5</v>
      </c>
      <c r="AI109" s="164">
        <v>2.7938304094037498E-3</v>
      </c>
      <c r="AJ109" s="164">
        <v>1.12328578700025E-3</v>
      </c>
    </row>
    <row r="110" spans="1:36">
      <c r="A110" s="2">
        <v>337</v>
      </c>
      <c r="B110" s="2">
        <v>1405</v>
      </c>
      <c r="C110" s="2" t="s">
        <v>2201</v>
      </c>
      <c r="D110" s="2" t="s">
        <v>2202</v>
      </c>
      <c r="E110" s="4" t="s">
        <v>310</v>
      </c>
      <c r="F110" s="2" t="s">
        <v>2208</v>
      </c>
      <c r="G110" s="2" t="s">
        <v>2209</v>
      </c>
      <c r="H110" s="2" t="s">
        <v>318</v>
      </c>
      <c r="I110" s="2" t="s">
        <v>965</v>
      </c>
      <c r="J110" s="2" t="s">
        <v>30</v>
      </c>
      <c r="K110" s="2" t="s">
        <v>30</v>
      </c>
      <c r="L110" s="2" t="s">
        <v>324</v>
      </c>
      <c r="M110" s="2" t="s">
        <v>31</v>
      </c>
      <c r="N110" s="2" t="s">
        <v>461</v>
      </c>
      <c r="O110" s="2" t="s">
        <v>134</v>
      </c>
      <c r="P110" s="2" t="s">
        <v>1834</v>
      </c>
      <c r="Q110" s="2" t="s">
        <v>410</v>
      </c>
      <c r="R110" s="2" t="s">
        <v>403</v>
      </c>
      <c r="S110" s="2" t="s">
        <v>34</v>
      </c>
      <c r="T110" s="151">
        <v>3.5379999999999998</v>
      </c>
      <c r="U110" s="2" t="s">
        <v>2210</v>
      </c>
      <c r="V110" s="162">
        <v>6.25E-2</v>
      </c>
      <c r="W110" s="164">
        <v>5.7919999999999999E-2</v>
      </c>
      <c r="X110" s="4" t="s">
        <v>409</v>
      </c>
      <c r="Y110" s="4" t="s">
        <v>134</v>
      </c>
      <c r="Z110" s="151">
        <v>10000</v>
      </c>
      <c r="AA110" s="158">
        <v>1</v>
      </c>
      <c r="AB110" s="175">
        <v>104.79</v>
      </c>
      <c r="AD110" s="151">
        <v>10.478999999999999</v>
      </c>
      <c r="AG110" s="2" t="s">
        <v>36</v>
      </c>
      <c r="AH110" s="164">
        <v>1.8E-5</v>
      </c>
      <c r="AI110" s="164">
        <v>2.8432115043354302E-3</v>
      </c>
      <c r="AJ110" s="164">
        <v>1.14313992055702E-3</v>
      </c>
    </row>
    <row r="111" spans="1:36">
      <c r="A111" s="2">
        <v>337</v>
      </c>
      <c r="B111" s="2">
        <v>1405</v>
      </c>
      <c r="C111" s="2" t="s">
        <v>1643</v>
      </c>
      <c r="D111" s="2" t="s">
        <v>1644</v>
      </c>
      <c r="E111" s="4" t="s">
        <v>1303</v>
      </c>
      <c r="F111" s="2" t="s">
        <v>2211</v>
      </c>
      <c r="G111" s="2" t="s">
        <v>2212</v>
      </c>
      <c r="H111" s="2" t="s">
        <v>318</v>
      </c>
      <c r="I111" s="2" t="s">
        <v>753</v>
      </c>
      <c r="J111" s="2" t="s">
        <v>30</v>
      </c>
      <c r="K111" s="2" t="s">
        <v>30</v>
      </c>
      <c r="L111" s="2" t="s">
        <v>324</v>
      </c>
      <c r="M111" s="2" t="s">
        <v>41</v>
      </c>
      <c r="N111" s="2" t="s">
        <v>437</v>
      </c>
      <c r="O111" s="2" t="s">
        <v>134</v>
      </c>
      <c r="P111" s="2" t="s">
        <v>1842</v>
      </c>
      <c r="Q111" s="2" t="s">
        <v>406</v>
      </c>
      <c r="R111" s="2" t="s">
        <v>406</v>
      </c>
      <c r="S111" s="2" t="s">
        <v>34</v>
      </c>
      <c r="T111" s="151">
        <v>2.0219999999999998</v>
      </c>
      <c r="U111" s="2" t="s">
        <v>2025</v>
      </c>
      <c r="V111" s="162">
        <v>2.3E-2</v>
      </c>
      <c r="W111" s="164">
        <v>3.4250000000000003E-2</v>
      </c>
      <c r="X111" s="4" t="s">
        <v>409</v>
      </c>
      <c r="Y111" s="4" t="s">
        <v>134</v>
      </c>
      <c r="Z111" s="151">
        <v>0.5</v>
      </c>
      <c r="AA111" s="158">
        <v>1</v>
      </c>
      <c r="AB111" s="175">
        <v>110.71</v>
      </c>
      <c r="AD111" s="151">
        <v>1E-3</v>
      </c>
      <c r="AG111" s="2" t="s">
        <v>36</v>
      </c>
      <c r="AH111" s="164">
        <v>0</v>
      </c>
      <c r="AI111" s="164">
        <v>1.50191786260605E-7</v>
      </c>
      <c r="AJ111" s="164">
        <v>6.0386019946973701E-8</v>
      </c>
    </row>
    <row r="112" spans="1:36">
      <c r="A112" s="2">
        <v>337</v>
      </c>
      <c r="B112" s="2">
        <v>1405</v>
      </c>
      <c r="C112" s="2" t="s">
        <v>2213</v>
      </c>
      <c r="D112" s="2" t="s">
        <v>2214</v>
      </c>
      <c r="E112" s="4" t="s">
        <v>310</v>
      </c>
      <c r="F112" s="2" t="s">
        <v>2215</v>
      </c>
      <c r="G112" s="2" t="s">
        <v>2216</v>
      </c>
      <c r="H112" s="2" t="s">
        <v>318</v>
      </c>
      <c r="I112" s="2" t="s">
        <v>965</v>
      </c>
      <c r="J112" s="2" t="s">
        <v>30</v>
      </c>
      <c r="K112" s="2" t="s">
        <v>295</v>
      </c>
      <c r="L112" s="2" t="s">
        <v>324</v>
      </c>
      <c r="M112" s="2" t="s">
        <v>41</v>
      </c>
      <c r="N112" s="2" t="s">
        <v>461</v>
      </c>
      <c r="O112" s="2" t="s">
        <v>134</v>
      </c>
      <c r="P112" s="2" t="s">
        <v>1826</v>
      </c>
      <c r="Q112" s="2" t="s">
        <v>410</v>
      </c>
      <c r="R112" s="2" t="s">
        <v>403</v>
      </c>
      <c r="S112" s="2" t="s">
        <v>34</v>
      </c>
      <c r="T112" s="151">
        <v>1.22</v>
      </c>
      <c r="U112" s="2" t="s">
        <v>65</v>
      </c>
      <c r="V112" s="162">
        <v>5.7000000000000002E-2</v>
      </c>
      <c r="W112" s="164">
        <v>6.3519999999999993E-2</v>
      </c>
      <c r="X112" s="4" t="s">
        <v>409</v>
      </c>
      <c r="Y112" s="4" t="s">
        <v>134</v>
      </c>
      <c r="Z112" s="151">
        <v>20794.86</v>
      </c>
      <c r="AA112" s="158">
        <v>1</v>
      </c>
      <c r="AB112" s="175">
        <v>100.29</v>
      </c>
      <c r="AD112" s="151">
        <v>20.855</v>
      </c>
      <c r="AG112" s="2" t="s">
        <v>36</v>
      </c>
      <c r="AH112" s="164">
        <v>7.7999999999999999E-5</v>
      </c>
      <c r="AI112" s="164">
        <v>5.6585213589155003E-3</v>
      </c>
      <c r="AJ112" s="164">
        <v>2.2750617204655701E-3</v>
      </c>
    </row>
    <row r="113" spans="1:36">
      <c r="A113" s="2">
        <v>337</v>
      </c>
      <c r="B113" s="2">
        <v>1405</v>
      </c>
      <c r="C113" s="2" t="s">
        <v>2217</v>
      </c>
      <c r="D113" s="2" t="s">
        <v>2218</v>
      </c>
      <c r="E113" s="4" t="s">
        <v>33</v>
      </c>
      <c r="F113" s="2" t="s">
        <v>2219</v>
      </c>
      <c r="G113" s="2" t="s">
        <v>2220</v>
      </c>
      <c r="H113" s="2" t="s">
        <v>318</v>
      </c>
      <c r="I113" s="2" t="s">
        <v>754</v>
      </c>
      <c r="J113" s="2" t="s">
        <v>30</v>
      </c>
      <c r="K113" s="2" t="s">
        <v>80</v>
      </c>
      <c r="L113" s="2" t="s">
        <v>324</v>
      </c>
      <c r="M113" s="2" t="s">
        <v>41</v>
      </c>
      <c r="N113" s="2" t="s">
        <v>439</v>
      </c>
      <c r="O113" s="2" t="s">
        <v>134</v>
      </c>
      <c r="P113" s="2" t="s">
        <v>2057</v>
      </c>
      <c r="Q113" s="2" t="s">
        <v>412</v>
      </c>
      <c r="R113" s="2" t="s">
        <v>403</v>
      </c>
      <c r="S113" s="2" t="s">
        <v>34</v>
      </c>
      <c r="T113" s="151">
        <v>1.345</v>
      </c>
      <c r="U113" s="2" t="s">
        <v>2221</v>
      </c>
      <c r="V113" s="162">
        <v>7.9135999999999998E-2</v>
      </c>
      <c r="W113" s="164">
        <v>6.2979999999999994E-2</v>
      </c>
      <c r="X113" s="4" t="s">
        <v>409</v>
      </c>
      <c r="Y113" s="4" t="s">
        <v>134</v>
      </c>
      <c r="Z113" s="151">
        <v>18000</v>
      </c>
      <c r="AA113" s="158">
        <v>1</v>
      </c>
      <c r="AB113" s="175">
        <v>105.12</v>
      </c>
      <c r="AD113" s="151">
        <v>18.922000000000001</v>
      </c>
      <c r="AG113" s="2" t="s">
        <v>36</v>
      </c>
      <c r="AH113" s="164">
        <v>4.3000000000000002E-5</v>
      </c>
      <c r="AI113" s="164">
        <v>5.1338973948309302E-3</v>
      </c>
      <c r="AJ113" s="164">
        <v>2.0641317225700601E-3</v>
      </c>
    </row>
    <row r="114" spans="1:36">
      <c r="A114" s="2">
        <v>337</v>
      </c>
      <c r="B114" s="2">
        <v>1405</v>
      </c>
      <c r="C114" s="2" t="s">
        <v>2222</v>
      </c>
      <c r="D114" s="2" t="s">
        <v>2223</v>
      </c>
      <c r="E114" s="4" t="s">
        <v>310</v>
      </c>
      <c r="F114" s="2" t="s">
        <v>2224</v>
      </c>
      <c r="G114" s="2" t="s">
        <v>2225</v>
      </c>
      <c r="H114" s="2" t="s">
        <v>318</v>
      </c>
      <c r="I114" s="2" t="s">
        <v>965</v>
      </c>
      <c r="J114" s="2" t="s">
        <v>30</v>
      </c>
      <c r="K114" s="2" t="s">
        <v>80</v>
      </c>
      <c r="L114" s="2" t="s">
        <v>324</v>
      </c>
      <c r="M114" s="2" t="s">
        <v>31</v>
      </c>
      <c r="N114" s="2" t="s">
        <v>461</v>
      </c>
      <c r="O114" s="2" t="s">
        <v>134</v>
      </c>
      <c r="P114" s="2" t="s">
        <v>1834</v>
      </c>
      <c r="Q114" s="2" t="s">
        <v>410</v>
      </c>
      <c r="R114" s="2" t="s">
        <v>403</v>
      </c>
      <c r="S114" s="2" t="s">
        <v>34</v>
      </c>
      <c r="T114" s="151">
        <v>4.016</v>
      </c>
      <c r="U114" s="2" t="s">
        <v>2226</v>
      </c>
      <c r="V114" s="162">
        <v>6.7400000000000002E-2</v>
      </c>
      <c r="W114" s="164">
        <v>6.0229999999999999E-2</v>
      </c>
      <c r="X114" s="4" t="s">
        <v>409</v>
      </c>
      <c r="Y114" s="4" t="s">
        <v>134</v>
      </c>
      <c r="Z114" s="151">
        <v>31000</v>
      </c>
      <c r="AA114" s="158">
        <v>1</v>
      </c>
      <c r="AB114" s="175">
        <v>106.73</v>
      </c>
      <c r="AD114" s="151">
        <v>33.085999999999999</v>
      </c>
      <c r="AG114" s="2" t="s">
        <v>36</v>
      </c>
      <c r="AH114" s="164">
        <v>1.0900000000000001E-4</v>
      </c>
      <c r="AI114" s="164">
        <v>8.9771303364723099E-3</v>
      </c>
      <c r="AJ114" s="164">
        <v>3.6093396653808299E-3</v>
      </c>
    </row>
    <row r="115" spans="1:36">
      <c r="A115" s="2">
        <v>337</v>
      </c>
      <c r="B115" s="2">
        <v>1405</v>
      </c>
      <c r="C115" s="2" t="s">
        <v>2227</v>
      </c>
      <c r="D115" s="2" t="s">
        <v>2228</v>
      </c>
      <c r="E115" s="4" t="s">
        <v>310</v>
      </c>
      <c r="F115" s="2" t="s">
        <v>2229</v>
      </c>
      <c r="G115" s="2" t="s">
        <v>2230</v>
      </c>
      <c r="H115" s="2" t="s">
        <v>318</v>
      </c>
      <c r="I115" s="2" t="s">
        <v>965</v>
      </c>
      <c r="J115" s="2" t="s">
        <v>30</v>
      </c>
      <c r="K115" s="2" t="s">
        <v>80</v>
      </c>
      <c r="L115" s="2" t="s">
        <v>324</v>
      </c>
      <c r="M115" s="2" t="s">
        <v>41</v>
      </c>
      <c r="N115" s="2" t="s">
        <v>461</v>
      </c>
      <c r="O115" s="2" t="s">
        <v>134</v>
      </c>
      <c r="P115" s="2" t="s">
        <v>1862</v>
      </c>
      <c r="Q115" s="2" t="s">
        <v>410</v>
      </c>
      <c r="R115" s="2" t="s">
        <v>403</v>
      </c>
      <c r="S115" s="2" t="s">
        <v>34</v>
      </c>
      <c r="T115" s="151">
        <v>1.891</v>
      </c>
      <c r="U115" s="2" t="s">
        <v>1968</v>
      </c>
      <c r="V115" s="162">
        <v>5.1499999999999997E-2</v>
      </c>
      <c r="W115" s="164">
        <v>6.6059999999999994E-2</v>
      </c>
      <c r="X115" s="4" t="s">
        <v>409</v>
      </c>
      <c r="Y115" s="4" t="s">
        <v>134</v>
      </c>
      <c r="Z115" s="151">
        <v>0.49</v>
      </c>
      <c r="AA115" s="158">
        <v>1</v>
      </c>
      <c r="AB115" s="175">
        <v>98.46</v>
      </c>
      <c r="AD115" s="151">
        <v>0</v>
      </c>
      <c r="AG115" s="2" t="s">
        <v>36</v>
      </c>
      <c r="AH115" s="164">
        <v>0</v>
      </c>
      <c r="AI115" s="164">
        <v>1.3090168557234899E-7</v>
      </c>
      <c r="AJ115" s="164">
        <v>5.2630253576907702E-8</v>
      </c>
    </row>
    <row r="116" spans="1:36">
      <c r="A116" s="2">
        <v>337</v>
      </c>
      <c r="B116" s="2">
        <v>1405</v>
      </c>
      <c r="C116" s="2" t="s">
        <v>1655</v>
      </c>
      <c r="D116" s="2" t="s">
        <v>1656</v>
      </c>
      <c r="E116" s="4" t="s">
        <v>1303</v>
      </c>
      <c r="F116" s="2" t="s">
        <v>2231</v>
      </c>
      <c r="G116" s="2" t="s">
        <v>2232</v>
      </c>
      <c r="H116" s="2" t="s">
        <v>318</v>
      </c>
      <c r="I116" s="2" t="s">
        <v>753</v>
      </c>
      <c r="J116" s="2" t="s">
        <v>30</v>
      </c>
      <c r="K116" s="2" t="s">
        <v>30</v>
      </c>
      <c r="L116" s="2" t="s">
        <v>324</v>
      </c>
      <c r="M116" s="2" t="s">
        <v>41</v>
      </c>
      <c r="N116" s="2" t="s">
        <v>460</v>
      </c>
      <c r="O116" s="2" t="s">
        <v>134</v>
      </c>
      <c r="P116" s="2" t="s">
        <v>82</v>
      </c>
      <c r="Q116" s="2" t="s">
        <v>410</v>
      </c>
      <c r="R116" s="2" t="s">
        <v>403</v>
      </c>
      <c r="S116" s="2" t="s">
        <v>34</v>
      </c>
      <c r="T116" s="151">
        <v>2.6619999999999999</v>
      </c>
      <c r="U116" s="2" t="s">
        <v>2233</v>
      </c>
      <c r="V116" s="162">
        <v>1.34E-2</v>
      </c>
      <c r="W116" s="164">
        <v>2.8070000000000001E-2</v>
      </c>
      <c r="X116" s="4" t="s">
        <v>409</v>
      </c>
      <c r="Y116" s="4" t="s">
        <v>134</v>
      </c>
      <c r="Z116" s="151">
        <v>38500</v>
      </c>
      <c r="AA116" s="158">
        <v>1</v>
      </c>
      <c r="AB116" s="175">
        <v>113.01</v>
      </c>
      <c r="AD116" s="151">
        <v>43.509</v>
      </c>
      <c r="AG116" s="2" t="s">
        <v>36</v>
      </c>
      <c r="AH116" s="164">
        <v>1.5999999999999999E-5</v>
      </c>
      <c r="AI116" s="164">
        <v>1.1805025561638E-2</v>
      </c>
      <c r="AJ116" s="164">
        <v>4.7463215318758701E-3</v>
      </c>
    </row>
    <row r="117" spans="1:36">
      <c r="A117" s="2">
        <v>337</v>
      </c>
      <c r="B117" s="2">
        <v>1405</v>
      </c>
      <c r="C117" s="2" t="s">
        <v>1655</v>
      </c>
      <c r="D117" s="2" t="s">
        <v>1656</v>
      </c>
      <c r="E117" s="4" t="s">
        <v>1303</v>
      </c>
      <c r="F117" s="2" t="s">
        <v>2234</v>
      </c>
      <c r="G117" s="2" t="s">
        <v>2235</v>
      </c>
      <c r="H117" s="2" t="s">
        <v>318</v>
      </c>
      <c r="I117" s="2" t="s">
        <v>753</v>
      </c>
      <c r="J117" s="2" t="s">
        <v>30</v>
      </c>
      <c r="K117" s="2" t="s">
        <v>30</v>
      </c>
      <c r="L117" s="2" t="s">
        <v>324</v>
      </c>
      <c r="M117" s="2" t="s">
        <v>41</v>
      </c>
      <c r="N117" s="2" t="s">
        <v>460</v>
      </c>
      <c r="O117" s="2" t="s">
        <v>134</v>
      </c>
      <c r="P117" s="2" t="s">
        <v>2236</v>
      </c>
      <c r="Q117" s="2" t="s">
        <v>412</v>
      </c>
      <c r="R117" s="2" t="s">
        <v>403</v>
      </c>
      <c r="S117" s="2" t="s">
        <v>34</v>
      </c>
      <c r="T117" s="151">
        <v>2.0680000000000001</v>
      </c>
      <c r="U117" s="2" t="s">
        <v>1843</v>
      </c>
      <c r="V117" s="162">
        <v>1.77E-2</v>
      </c>
      <c r="W117" s="164">
        <v>2.751E-2</v>
      </c>
      <c r="X117" s="4" t="s">
        <v>409</v>
      </c>
      <c r="Y117" s="4" t="s">
        <v>134</v>
      </c>
      <c r="Z117" s="151">
        <v>63949.13</v>
      </c>
      <c r="AA117" s="158">
        <v>1</v>
      </c>
      <c r="AB117" s="175">
        <v>113.81</v>
      </c>
      <c r="AD117" s="151">
        <v>72.781000000000006</v>
      </c>
      <c r="AG117" s="2" t="s">
        <v>36</v>
      </c>
      <c r="AH117" s="164">
        <v>2.5000000000000001E-5</v>
      </c>
      <c r="AI117" s="164">
        <v>1.97471484578099E-2</v>
      </c>
      <c r="AJ117" s="164">
        <v>7.9395267235192399E-3</v>
      </c>
    </row>
    <row r="118" spans="1:36">
      <c r="A118" s="2">
        <v>337</v>
      </c>
      <c r="B118" s="2">
        <v>1405</v>
      </c>
      <c r="C118" s="2" t="s">
        <v>1655</v>
      </c>
      <c r="D118" s="2" t="s">
        <v>1656</v>
      </c>
      <c r="E118" s="4" t="s">
        <v>1303</v>
      </c>
      <c r="F118" s="2" t="s">
        <v>2237</v>
      </c>
      <c r="G118" s="2" t="s">
        <v>2238</v>
      </c>
      <c r="H118" s="2" t="s">
        <v>318</v>
      </c>
      <c r="I118" s="2" t="s">
        <v>753</v>
      </c>
      <c r="J118" s="2" t="s">
        <v>30</v>
      </c>
      <c r="K118" s="2" t="s">
        <v>30</v>
      </c>
      <c r="L118" s="2" t="s">
        <v>324</v>
      </c>
      <c r="M118" s="2" t="s">
        <v>41</v>
      </c>
      <c r="N118" s="2" t="s">
        <v>460</v>
      </c>
      <c r="O118" s="2" t="s">
        <v>134</v>
      </c>
      <c r="P118" s="2" t="s">
        <v>82</v>
      </c>
      <c r="Q118" s="2" t="s">
        <v>410</v>
      </c>
      <c r="R118" s="2" t="s">
        <v>403</v>
      </c>
      <c r="S118" s="2" t="s">
        <v>34</v>
      </c>
      <c r="T118" s="151">
        <v>6.4729999999999999</v>
      </c>
      <c r="U118" s="2" t="s">
        <v>2239</v>
      </c>
      <c r="V118" s="162">
        <v>8.9999999999999993E-3</v>
      </c>
      <c r="W118" s="164">
        <v>3.0720000000000001E-2</v>
      </c>
      <c r="X118" s="4" t="s">
        <v>409</v>
      </c>
      <c r="Y118" s="4" t="s">
        <v>134</v>
      </c>
      <c r="Z118" s="151">
        <v>26780</v>
      </c>
      <c r="AA118" s="158">
        <v>1</v>
      </c>
      <c r="AB118" s="175">
        <v>99.26</v>
      </c>
      <c r="AD118" s="151">
        <v>26.582000000000001</v>
      </c>
      <c r="AG118" s="2" t="s">
        <v>36</v>
      </c>
      <c r="AH118" s="164">
        <v>1.0000000000000001E-5</v>
      </c>
      <c r="AI118" s="164">
        <v>7.2123064391512197E-3</v>
      </c>
      <c r="AJ118" s="164">
        <v>2.8997756225002699E-3</v>
      </c>
    </row>
    <row r="119" spans="1:36">
      <c r="A119" s="2">
        <v>337</v>
      </c>
      <c r="B119" s="2">
        <v>1405</v>
      </c>
      <c r="C119" s="2" t="s">
        <v>1655</v>
      </c>
      <c r="D119" s="2" t="s">
        <v>1656</v>
      </c>
      <c r="E119" s="4" t="s">
        <v>1303</v>
      </c>
      <c r="F119" s="2" t="s">
        <v>2240</v>
      </c>
      <c r="G119" s="2" t="s">
        <v>2241</v>
      </c>
      <c r="H119" s="2" t="s">
        <v>318</v>
      </c>
      <c r="I119" s="2" t="s">
        <v>753</v>
      </c>
      <c r="J119" s="2" t="s">
        <v>30</v>
      </c>
      <c r="K119" s="2" t="s">
        <v>30</v>
      </c>
      <c r="L119" s="2" t="s">
        <v>324</v>
      </c>
      <c r="M119" s="2" t="s">
        <v>41</v>
      </c>
      <c r="N119" s="2" t="s">
        <v>460</v>
      </c>
      <c r="O119" s="2" t="s">
        <v>134</v>
      </c>
      <c r="P119" s="2" t="s">
        <v>82</v>
      </c>
      <c r="Q119" s="2" t="s">
        <v>410</v>
      </c>
      <c r="R119" s="2" t="s">
        <v>403</v>
      </c>
      <c r="S119" s="2" t="s">
        <v>34</v>
      </c>
      <c r="T119" s="151">
        <v>9.9939999999999998</v>
      </c>
      <c r="U119" s="2" t="s">
        <v>2242</v>
      </c>
      <c r="V119" s="162">
        <v>1.6899999999999998E-2</v>
      </c>
      <c r="W119" s="164">
        <v>3.2899999999999999E-2</v>
      </c>
      <c r="X119" s="4" t="s">
        <v>409</v>
      </c>
      <c r="Y119" s="4" t="s">
        <v>134</v>
      </c>
      <c r="Z119" s="151">
        <v>30000</v>
      </c>
      <c r="AA119" s="158">
        <v>1</v>
      </c>
      <c r="AB119" s="175">
        <v>97.7</v>
      </c>
      <c r="AD119" s="151">
        <v>29.31</v>
      </c>
      <c r="AG119" s="2" t="s">
        <v>36</v>
      </c>
      <c r="AH119" s="164">
        <v>6.9999999999999999E-6</v>
      </c>
      <c r="AI119" s="164">
        <v>7.9525268815794897E-3</v>
      </c>
      <c r="AJ119" s="164">
        <v>3.19738821180706E-3</v>
      </c>
    </row>
    <row r="120" spans="1:36">
      <c r="A120" s="2">
        <v>337</v>
      </c>
      <c r="B120" s="2">
        <v>1405</v>
      </c>
      <c r="C120" s="2" t="s">
        <v>1655</v>
      </c>
      <c r="D120" s="2" t="s">
        <v>1656</v>
      </c>
      <c r="E120" s="4" t="s">
        <v>1303</v>
      </c>
      <c r="F120" s="2" t="s">
        <v>2243</v>
      </c>
      <c r="G120" s="2" t="s">
        <v>2244</v>
      </c>
      <c r="H120" s="2" t="s">
        <v>318</v>
      </c>
      <c r="I120" s="2" t="s">
        <v>753</v>
      </c>
      <c r="J120" s="2" t="s">
        <v>30</v>
      </c>
      <c r="K120" s="2" t="s">
        <v>30</v>
      </c>
      <c r="L120" s="2" t="s">
        <v>324</v>
      </c>
      <c r="M120" s="2" t="s">
        <v>41</v>
      </c>
      <c r="N120" s="2" t="s">
        <v>460</v>
      </c>
      <c r="O120" s="2" t="s">
        <v>134</v>
      </c>
      <c r="P120" s="2" t="s">
        <v>82</v>
      </c>
      <c r="Q120" s="2" t="s">
        <v>410</v>
      </c>
      <c r="R120" s="2" t="s">
        <v>403</v>
      </c>
      <c r="S120" s="2" t="s">
        <v>34</v>
      </c>
      <c r="T120" s="151">
        <v>3.0000000000000001E-3</v>
      </c>
      <c r="U120" s="2" t="s">
        <v>2037</v>
      </c>
      <c r="V120" s="162">
        <v>6.4999999999999997E-3</v>
      </c>
      <c r="W120" s="164">
        <v>0.25729000000000002</v>
      </c>
      <c r="X120" s="4" t="s">
        <v>409</v>
      </c>
      <c r="Y120" s="4" t="s">
        <v>134</v>
      </c>
      <c r="Z120" s="151">
        <v>43055.56</v>
      </c>
      <c r="AA120" s="158">
        <v>1</v>
      </c>
      <c r="AB120" s="175">
        <v>115.85</v>
      </c>
      <c r="AD120" s="151">
        <v>49.88</v>
      </c>
      <c r="AG120" s="2" t="s">
        <v>36</v>
      </c>
      <c r="AH120" s="164">
        <v>7.8999999999999996E-5</v>
      </c>
      <c r="AI120" s="164">
        <v>1.3533639620683701E-2</v>
      </c>
      <c r="AJ120" s="164">
        <v>5.4413270687900597E-3</v>
      </c>
    </row>
    <row r="121" spans="1:36">
      <c r="A121" s="2">
        <v>337</v>
      </c>
      <c r="B121" s="2">
        <v>1405</v>
      </c>
      <c r="C121" s="2" t="s">
        <v>2245</v>
      </c>
      <c r="D121" s="2" t="s">
        <v>2246</v>
      </c>
      <c r="E121" s="4" t="s">
        <v>1303</v>
      </c>
      <c r="F121" s="2" t="s">
        <v>2247</v>
      </c>
      <c r="G121" s="2" t="s">
        <v>2248</v>
      </c>
      <c r="H121" s="2" t="s">
        <v>318</v>
      </c>
      <c r="I121" s="2" t="s">
        <v>965</v>
      </c>
      <c r="J121" s="2" t="s">
        <v>30</v>
      </c>
      <c r="K121" s="2" t="s">
        <v>30</v>
      </c>
      <c r="L121" s="2" t="s">
        <v>324</v>
      </c>
      <c r="M121" s="2" t="s">
        <v>41</v>
      </c>
      <c r="N121" s="2" t="s">
        <v>443</v>
      </c>
      <c r="O121" s="2" t="s">
        <v>134</v>
      </c>
      <c r="P121" s="2" t="s">
        <v>1909</v>
      </c>
      <c r="Q121" s="2" t="s">
        <v>412</v>
      </c>
      <c r="R121" s="2" t="s">
        <v>403</v>
      </c>
      <c r="S121" s="2" t="s">
        <v>34</v>
      </c>
      <c r="T121" s="151">
        <v>1.135</v>
      </c>
      <c r="U121" s="2" t="s">
        <v>42</v>
      </c>
      <c r="V121" s="162">
        <v>0.06</v>
      </c>
      <c r="W121" s="164">
        <v>5.5219999999999998E-2</v>
      </c>
      <c r="X121" s="4" t="s">
        <v>409</v>
      </c>
      <c r="Y121" s="4" t="s">
        <v>134</v>
      </c>
      <c r="Z121" s="151">
        <v>13600</v>
      </c>
      <c r="AA121" s="158">
        <v>1</v>
      </c>
      <c r="AB121" s="175">
        <v>102.62</v>
      </c>
      <c r="AD121" s="151">
        <v>13.956</v>
      </c>
      <c r="AG121" s="2" t="s">
        <v>36</v>
      </c>
      <c r="AH121" s="164">
        <v>5.3999999999999998E-5</v>
      </c>
      <c r="AI121" s="164">
        <v>3.7866943011915901E-3</v>
      </c>
      <c r="AJ121" s="164">
        <v>1.52247605077472E-3</v>
      </c>
    </row>
    <row r="122" spans="1:36">
      <c r="A122" s="2">
        <v>337</v>
      </c>
      <c r="B122" s="2">
        <v>1405</v>
      </c>
      <c r="C122" s="2" t="s">
        <v>1659</v>
      </c>
      <c r="D122" s="2" t="s">
        <v>1660</v>
      </c>
      <c r="E122" s="4" t="s">
        <v>1303</v>
      </c>
      <c r="F122" s="2" t="s">
        <v>2249</v>
      </c>
      <c r="G122" s="2" t="s">
        <v>2250</v>
      </c>
      <c r="H122" s="2" t="s">
        <v>318</v>
      </c>
      <c r="I122" s="2" t="s">
        <v>753</v>
      </c>
      <c r="J122" s="2" t="s">
        <v>30</v>
      </c>
      <c r="K122" s="2" t="s">
        <v>30</v>
      </c>
      <c r="L122" s="2" t="s">
        <v>324</v>
      </c>
      <c r="M122" s="2" t="s">
        <v>41</v>
      </c>
      <c r="N122" s="2" t="s">
        <v>444</v>
      </c>
      <c r="O122" s="2" t="s">
        <v>134</v>
      </c>
      <c r="P122" s="2" t="s">
        <v>1176</v>
      </c>
      <c r="Q122" s="2" t="s">
        <v>410</v>
      </c>
      <c r="R122" s="2" t="s">
        <v>403</v>
      </c>
      <c r="S122" s="2" t="s">
        <v>34</v>
      </c>
      <c r="T122" s="151">
        <v>3.5870000000000002</v>
      </c>
      <c r="U122" s="2" t="s">
        <v>2251</v>
      </c>
      <c r="V122" s="162">
        <v>1E-3</v>
      </c>
      <c r="W122" s="164">
        <v>2.5610000000000001E-2</v>
      </c>
      <c r="X122" s="4" t="s">
        <v>409</v>
      </c>
      <c r="Y122" s="4" t="s">
        <v>134</v>
      </c>
      <c r="Z122" s="151">
        <v>11988.2</v>
      </c>
      <c r="AA122" s="158">
        <v>1</v>
      </c>
      <c r="AB122" s="175">
        <v>103.24</v>
      </c>
      <c r="AD122" s="151">
        <v>12.377000000000001</v>
      </c>
      <c r="AG122" s="2" t="s">
        <v>36</v>
      </c>
      <c r="AH122" s="164">
        <v>1.2E-5</v>
      </c>
      <c r="AI122" s="164">
        <v>3.35808204719318E-3</v>
      </c>
      <c r="AJ122" s="164">
        <v>1.3501484637350699E-3</v>
      </c>
    </row>
    <row r="123" spans="1:36">
      <c r="A123" s="2">
        <v>337</v>
      </c>
      <c r="B123" s="2">
        <v>1405</v>
      </c>
      <c r="C123" s="2" t="s">
        <v>1659</v>
      </c>
      <c r="D123" s="2" t="s">
        <v>1660</v>
      </c>
      <c r="E123" s="4" t="s">
        <v>1303</v>
      </c>
      <c r="F123" s="2" t="s">
        <v>2252</v>
      </c>
      <c r="G123" s="2" t="s">
        <v>2253</v>
      </c>
      <c r="H123" s="2" t="s">
        <v>318</v>
      </c>
      <c r="I123" s="2" t="s">
        <v>753</v>
      </c>
      <c r="J123" s="2" t="s">
        <v>30</v>
      </c>
      <c r="K123" s="2" t="s">
        <v>30</v>
      </c>
      <c r="L123" s="2" t="s">
        <v>324</v>
      </c>
      <c r="M123" s="2" t="s">
        <v>41</v>
      </c>
      <c r="N123" s="2" t="s">
        <v>444</v>
      </c>
      <c r="O123" s="2" t="s">
        <v>134</v>
      </c>
      <c r="P123" s="2" t="s">
        <v>1176</v>
      </c>
      <c r="Q123" s="2" t="s">
        <v>410</v>
      </c>
      <c r="R123" s="2" t="s">
        <v>403</v>
      </c>
      <c r="S123" s="2" t="s">
        <v>34</v>
      </c>
      <c r="T123" s="151">
        <v>3.9660000000000002</v>
      </c>
      <c r="U123" s="2" t="s">
        <v>2254</v>
      </c>
      <c r="V123" s="162">
        <v>1.3899999999999999E-2</v>
      </c>
      <c r="W123" s="164">
        <v>2.5260000000000001E-2</v>
      </c>
      <c r="X123" s="4" t="s">
        <v>409</v>
      </c>
      <c r="Y123" s="4" t="s">
        <v>134</v>
      </c>
      <c r="Z123" s="151">
        <v>18400</v>
      </c>
      <c r="AA123" s="158">
        <v>1</v>
      </c>
      <c r="AB123" s="175">
        <v>103.09</v>
      </c>
      <c r="AD123" s="151">
        <v>18.969000000000001</v>
      </c>
      <c r="AG123" s="2" t="s">
        <v>36</v>
      </c>
      <c r="AH123" s="164">
        <v>1.2E-5</v>
      </c>
      <c r="AI123" s="164">
        <v>5.1466388026220897E-3</v>
      </c>
      <c r="AJ123" s="164">
        <v>2.0692545253822902E-3</v>
      </c>
    </row>
    <row r="124" spans="1:36">
      <c r="A124" s="2">
        <v>337</v>
      </c>
      <c r="B124" s="2">
        <v>1405</v>
      </c>
      <c r="C124" s="2" t="s">
        <v>1659</v>
      </c>
      <c r="D124" s="2" t="s">
        <v>1660</v>
      </c>
      <c r="E124" s="4" t="s">
        <v>1303</v>
      </c>
      <c r="F124" s="2" t="s">
        <v>2255</v>
      </c>
      <c r="G124" s="2" t="s">
        <v>2256</v>
      </c>
      <c r="H124" s="2" t="s">
        <v>318</v>
      </c>
      <c r="I124" s="2" t="s">
        <v>753</v>
      </c>
      <c r="J124" s="2" t="s">
        <v>30</v>
      </c>
      <c r="K124" s="2" t="s">
        <v>30</v>
      </c>
      <c r="L124" s="2" t="s">
        <v>324</v>
      </c>
      <c r="M124" s="2" t="s">
        <v>41</v>
      </c>
      <c r="N124" s="2" t="s">
        <v>444</v>
      </c>
      <c r="O124" s="2" t="s">
        <v>134</v>
      </c>
      <c r="P124" s="2" t="s">
        <v>1176</v>
      </c>
      <c r="Q124" s="2" t="s">
        <v>410</v>
      </c>
      <c r="R124" s="2" t="s">
        <v>403</v>
      </c>
      <c r="S124" s="2" t="s">
        <v>34</v>
      </c>
      <c r="T124" s="151">
        <v>3.0529999999999999</v>
      </c>
      <c r="U124" s="2" t="s">
        <v>2257</v>
      </c>
      <c r="V124" s="162">
        <v>1.7500000000000002E-2</v>
      </c>
      <c r="W124" s="164">
        <v>2.554E-2</v>
      </c>
      <c r="X124" s="4" t="s">
        <v>409</v>
      </c>
      <c r="Y124" s="4" t="s">
        <v>134</v>
      </c>
      <c r="Z124" s="151">
        <v>33342.230000000003</v>
      </c>
      <c r="AA124" s="158">
        <v>1</v>
      </c>
      <c r="AB124" s="175">
        <v>112.78</v>
      </c>
      <c r="AD124" s="151">
        <v>37.603000000000002</v>
      </c>
      <c r="AG124" s="2" t="s">
        <v>36</v>
      </c>
      <c r="AH124" s="164">
        <v>1.5E-5</v>
      </c>
      <c r="AI124" s="164">
        <v>1.02027221718759E-2</v>
      </c>
      <c r="AJ124" s="164">
        <v>4.1021003872695498E-3</v>
      </c>
    </row>
    <row r="125" spans="1:36">
      <c r="A125" s="2">
        <v>337</v>
      </c>
      <c r="B125" s="2">
        <v>1405</v>
      </c>
      <c r="C125" s="2" t="s">
        <v>1659</v>
      </c>
      <c r="D125" s="2" t="s">
        <v>1660</v>
      </c>
      <c r="E125" s="4" t="s">
        <v>1303</v>
      </c>
      <c r="F125" s="2" t="s">
        <v>2258</v>
      </c>
      <c r="G125" s="2" t="s">
        <v>2259</v>
      </c>
      <c r="H125" s="2" t="s">
        <v>318</v>
      </c>
      <c r="I125" s="2" t="s">
        <v>753</v>
      </c>
      <c r="J125" s="2" t="s">
        <v>30</v>
      </c>
      <c r="K125" s="2" t="s">
        <v>30</v>
      </c>
      <c r="L125" s="2" t="s">
        <v>324</v>
      </c>
      <c r="M125" s="2" t="s">
        <v>31</v>
      </c>
      <c r="N125" s="2" t="s">
        <v>444</v>
      </c>
      <c r="O125" s="2" t="s">
        <v>134</v>
      </c>
      <c r="P125" s="2" t="s">
        <v>1826</v>
      </c>
      <c r="Q125" s="2" t="s">
        <v>410</v>
      </c>
      <c r="R125" s="2" t="s">
        <v>403</v>
      </c>
      <c r="S125" s="2" t="s">
        <v>34</v>
      </c>
      <c r="T125" s="151">
        <v>6.8019999999999996</v>
      </c>
      <c r="U125" s="2" t="s">
        <v>2260</v>
      </c>
      <c r="V125" s="162">
        <v>3.4500000000000003E-2</v>
      </c>
      <c r="W125" s="164">
        <v>3.1910000000000001E-2</v>
      </c>
      <c r="X125" s="4" t="s">
        <v>409</v>
      </c>
      <c r="Y125" s="4" t="s">
        <v>134</v>
      </c>
      <c r="Z125" s="151">
        <v>21000</v>
      </c>
      <c r="AA125" s="158">
        <v>1</v>
      </c>
      <c r="AB125" s="175">
        <v>102.77</v>
      </c>
      <c r="AD125" s="151">
        <v>21.582000000000001</v>
      </c>
      <c r="AG125" s="2" t="s">
        <v>36</v>
      </c>
      <c r="AH125" s="164">
        <v>2.3E-5</v>
      </c>
      <c r="AI125" s="164">
        <v>5.8556482224559597E-3</v>
      </c>
      <c r="AJ125" s="164">
        <v>2.35431842957204E-3</v>
      </c>
    </row>
    <row r="126" spans="1:36">
      <c r="A126" s="2">
        <v>337</v>
      </c>
      <c r="B126" s="2">
        <v>1405</v>
      </c>
      <c r="C126" s="2" t="s">
        <v>1667</v>
      </c>
      <c r="D126" s="2" t="s">
        <v>1668</v>
      </c>
      <c r="E126" s="4" t="s">
        <v>1303</v>
      </c>
      <c r="F126" s="2" t="s">
        <v>2261</v>
      </c>
      <c r="G126" s="2" t="s">
        <v>2262</v>
      </c>
      <c r="H126" s="2" t="s">
        <v>318</v>
      </c>
      <c r="I126" s="2" t="s">
        <v>965</v>
      </c>
      <c r="J126" s="2" t="s">
        <v>30</v>
      </c>
      <c r="K126" s="2" t="s">
        <v>30</v>
      </c>
      <c r="L126" s="2" t="s">
        <v>324</v>
      </c>
      <c r="M126" s="2" t="s">
        <v>41</v>
      </c>
      <c r="N126" s="2" t="s">
        <v>473</v>
      </c>
      <c r="O126" s="2" t="s">
        <v>134</v>
      </c>
      <c r="P126" s="2" t="s">
        <v>1826</v>
      </c>
      <c r="Q126" s="2" t="s">
        <v>410</v>
      </c>
      <c r="R126" s="2" t="s">
        <v>403</v>
      </c>
      <c r="S126" s="2" t="s">
        <v>34</v>
      </c>
      <c r="T126" s="151">
        <v>1.1419999999999999</v>
      </c>
      <c r="U126" s="2" t="s">
        <v>2263</v>
      </c>
      <c r="V126" s="162">
        <v>2.29E-2</v>
      </c>
      <c r="W126" s="164">
        <v>4.8680000000000001E-2</v>
      </c>
      <c r="X126" s="4" t="s">
        <v>409</v>
      </c>
      <c r="Y126" s="4" t="s">
        <v>134</v>
      </c>
      <c r="Z126" s="151">
        <v>10961.53</v>
      </c>
      <c r="AA126" s="158">
        <v>1</v>
      </c>
      <c r="AB126" s="175">
        <v>97.94</v>
      </c>
      <c r="AD126" s="151">
        <v>10.736000000000001</v>
      </c>
      <c r="AG126" s="2" t="s">
        <v>36</v>
      </c>
      <c r="AH126" s="164">
        <v>3.3000000000000003E-5</v>
      </c>
      <c r="AI126" s="164">
        <v>2.9128666540867401E-3</v>
      </c>
      <c r="AJ126" s="164">
        <v>1.17114542849467E-3</v>
      </c>
    </row>
    <row r="127" spans="1:36">
      <c r="A127" s="2">
        <v>337</v>
      </c>
      <c r="B127" s="2">
        <v>1405</v>
      </c>
      <c r="C127" s="2" t="s">
        <v>2264</v>
      </c>
      <c r="D127" s="2" t="s">
        <v>2265</v>
      </c>
      <c r="E127" s="4" t="s">
        <v>1303</v>
      </c>
      <c r="F127" s="2" t="s">
        <v>2266</v>
      </c>
      <c r="G127" s="2" t="s">
        <v>2267</v>
      </c>
      <c r="H127" s="2" t="s">
        <v>318</v>
      </c>
      <c r="I127" s="2" t="s">
        <v>753</v>
      </c>
      <c r="J127" s="2" t="s">
        <v>30</v>
      </c>
      <c r="K127" s="2" t="s">
        <v>30</v>
      </c>
      <c r="L127" s="2" t="s">
        <v>324</v>
      </c>
      <c r="M127" s="2" t="s">
        <v>41</v>
      </c>
      <c r="N127" s="2" t="s">
        <v>441</v>
      </c>
      <c r="O127" s="2" t="s">
        <v>134</v>
      </c>
      <c r="P127" s="2" t="s">
        <v>1826</v>
      </c>
      <c r="Q127" s="2" t="s">
        <v>410</v>
      </c>
      <c r="R127" s="2" t="s">
        <v>403</v>
      </c>
      <c r="S127" s="2" t="s">
        <v>34</v>
      </c>
      <c r="T127" s="151">
        <v>6.3789999999999996</v>
      </c>
      <c r="U127" s="2" t="s">
        <v>2268</v>
      </c>
      <c r="V127" s="162">
        <v>2.0899999999999998E-2</v>
      </c>
      <c r="W127" s="164">
        <v>3.2320000000000002E-2</v>
      </c>
      <c r="X127" s="4" t="s">
        <v>409</v>
      </c>
      <c r="Y127" s="4" t="s">
        <v>134</v>
      </c>
      <c r="Z127" s="151">
        <v>50000</v>
      </c>
      <c r="AA127" s="158">
        <v>1</v>
      </c>
      <c r="AB127" s="175">
        <v>106.44</v>
      </c>
      <c r="AD127" s="151">
        <v>53.22</v>
      </c>
      <c r="AG127" s="2" t="s">
        <v>36</v>
      </c>
      <c r="AH127" s="164">
        <v>3.1999999999999999E-5</v>
      </c>
      <c r="AI127" s="164">
        <v>1.4439900397054299E-2</v>
      </c>
      <c r="AJ127" s="164">
        <v>5.8056977356660501E-3</v>
      </c>
    </row>
    <row r="128" spans="1:36">
      <c r="A128" s="2">
        <v>337</v>
      </c>
      <c r="B128" s="2">
        <v>1405</v>
      </c>
      <c r="C128" s="2" t="s">
        <v>2269</v>
      </c>
      <c r="D128" s="2" t="s">
        <v>2270</v>
      </c>
      <c r="E128" s="4" t="s">
        <v>310</v>
      </c>
      <c r="F128" s="2" t="s">
        <v>2271</v>
      </c>
      <c r="G128" s="2" t="s">
        <v>2272</v>
      </c>
      <c r="H128" s="2" t="s">
        <v>318</v>
      </c>
      <c r="I128" s="2" t="s">
        <v>965</v>
      </c>
      <c r="J128" s="2" t="s">
        <v>30</v>
      </c>
      <c r="K128" s="2" t="s">
        <v>80</v>
      </c>
      <c r="L128" s="2" t="s">
        <v>324</v>
      </c>
      <c r="M128" s="2" t="s">
        <v>41</v>
      </c>
      <c r="N128" s="2" t="s">
        <v>461</v>
      </c>
      <c r="O128" s="2" t="s">
        <v>134</v>
      </c>
      <c r="P128" s="2" t="s">
        <v>1862</v>
      </c>
      <c r="Q128" s="2" t="s">
        <v>410</v>
      </c>
      <c r="R128" s="2" t="s">
        <v>403</v>
      </c>
      <c r="S128" s="2" t="s">
        <v>34</v>
      </c>
      <c r="T128" s="151">
        <v>0.82699999999999996</v>
      </c>
      <c r="U128" s="2" t="s">
        <v>2158</v>
      </c>
      <c r="V128" s="162">
        <v>4.045E-2</v>
      </c>
      <c r="W128" s="164">
        <v>0.15790000000000001</v>
      </c>
      <c r="X128" s="4" t="s">
        <v>409</v>
      </c>
      <c r="Y128" s="4" t="s">
        <v>134</v>
      </c>
      <c r="Z128" s="151">
        <v>0.18</v>
      </c>
      <c r="AA128" s="158">
        <v>1</v>
      </c>
      <c r="AB128" s="175">
        <v>92.45</v>
      </c>
      <c r="AD128" s="151">
        <v>0</v>
      </c>
      <c r="AG128" s="2" t="s">
        <v>36</v>
      </c>
      <c r="AH128" s="164">
        <v>0</v>
      </c>
      <c r="AI128" s="164">
        <v>4.5151142898793699E-8</v>
      </c>
      <c r="AJ128" s="164">
        <v>1.8153441566933199E-8</v>
      </c>
    </row>
    <row r="129" spans="1:36">
      <c r="A129" s="2">
        <v>337</v>
      </c>
      <c r="B129" s="2">
        <v>1405</v>
      </c>
      <c r="C129" s="2" t="s">
        <v>2273</v>
      </c>
      <c r="D129" s="2" t="s">
        <v>2274</v>
      </c>
      <c r="E129" s="4" t="s">
        <v>1303</v>
      </c>
      <c r="F129" s="2" t="s">
        <v>2275</v>
      </c>
      <c r="G129" t="s">
        <v>2276</v>
      </c>
      <c r="H129" s="2" t="s">
        <v>318</v>
      </c>
      <c r="I129" s="2" t="s">
        <v>965</v>
      </c>
      <c r="J129" s="2" t="s">
        <v>30</v>
      </c>
      <c r="K129" s="2" t="s">
        <v>30</v>
      </c>
      <c r="L129" s="2" t="s">
        <v>324</v>
      </c>
      <c r="M129" s="209" t="s">
        <v>41</v>
      </c>
      <c r="N129" s="2" t="s">
        <v>461</v>
      </c>
      <c r="O129" s="2" t="s">
        <v>134</v>
      </c>
      <c r="P129" s="2" t="s">
        <v>1814</v>
      </c>
      <c r="Q129" s="2" t="s">
        <v>412</v>
      </c>
      <c r="R129" s="2" t="s">
        <v>403</v>
      </c>
      <c r="S129" s="2" t="s">
        <v>34</v>
      </c>
      <c r="T129" s="151">
        <v>5.8659999999999997</v>
      </c>
      <c r="U129" s="2" t="s">
        <v>2277</v>
      </c>
      <c r="V129" s="162">
        <v>5.5899999999999998E-2</v>
      </c>
      <c r="W129" s="164">
        <v>5.8259999999999999E-2</v>
      </c>
      <c r="X129" s="4" t="s">
        <v>409</v>
      </c>
      <c r="Y129" s="4" t="s">
        <v>134</v>
      </c>
      <c r="Z129" s="151">
        <v>13000</v>
      </c>
      <c r="AA129" s="158">
        <v>1</v>
      </c>
      <c r="AB129" s="175">
        <v>99.28</v>
      </c>
      <c r="AD129" s="151">
        <v>12.906000000000001</v>
      </c>
      <c r="AG129" s="2" t="s">
        <v>36</v>
      </c>
      <c r="AH129" s="164">
        <v>5.8E-5</v>
      </c>
      <c r="AI129" s="164">
        <v>3.5018250748692398E-3</v>
      </c>
      <c r="AJ129" s="164">
        <v>1.4079416996542701E-3</v>
      </c>
    </row>
    <row r="130" spans="1:36">
      <c r="A130" s="2">
        <v>337</v>
      </c>
      <c r="B130" s="2">
        <v>1405</v>
      </c>
      <c r="C130" s="2" t="s">
        <v>2273</v>
      </c>
      <c r="D130" s="2" t="s">
        <v>2274</v>
      </c>
      <c r="E130" s="4" t="s">
        <v>1303</v>
      </c>
      <c r="F130" s="2" t="s">
        <v>2278</v>
      </c>
      <c r="G130" s="2" t="s">
        <v>2279</v>
      </c>
      <c r="H130" s="2" t="s">
        <v>318</v>
      </c>
      <c r="I130" s="2" t="s">
        <v>965</v>
      </c>
      <c r="J130" s="2" t="s">
        <v>30</v>
      </c>
      <c r="K130" s="2" t="s">
        <v>30</v>
      </c>
      <c r="L130" s="2" t="s">
        <v>324</v>
      </c>
      <c r="M130" s="2" t="s">
        <v>41</v>
      </c>
      <c r="N130" s="2" t="s">
        <v>461</v>
      </c>
      <c r="O130" s="2" t="s">
        <v>134</v>
      </c>
      <c r="P130" s="2" t="s">
        <v>1814</v>
      </c>
      <c r="Q130" s="2" t="s">
        <v>412</v>
      </c>
      <c r="R130" s="2" t="s">
        <v>403</v>
      </c>
      <c r="S130" s="2" t="s">
        <v>34</v>
      </c>
      <c r="T130" s="151">
        <v>1.5649999999999999</v>
      </c>
      <c r="U130" s="2" t="s">
        <v>2123</v>
      </c>
      <c r="V130" s="162">
        <v>2.6499999999999999E-2</v>
      </c>
      <c r="W130" s="164">
        <v>5.5599999999999997E-2</v>
      </c>
      <c r="X130" s="4" t="s">
        <v>409</v>
      </c>
      <c r="Y130" s="4" t="s">
        <v>134</v>
      </c>
      <c r="Z130" s="151">
        <v>31010</v>
      </c>
      <c r="AA130" s="158">
        <v>1</v>
      </c>
      <c r="AB130" s="175">
        <v>95.94</v>
      </c>
      <c r="AD130" s="151">
        <v>29.751000000000001</v>
      </c>
      <c r="AG130" s="2" t="s">
        <v>36</v>
      </c>
      <c r="AH130" s="164">
        <v>6.0999999999999999E-5</v>
      </c>
      <c r="AI130" s="164">
        <v>8.0721794451965208E-3</v>
      </c>
      <c r="AJ130" s="164">
        <v>3.2454956501242801E-3</v>
      </c>
    </row>
    <row r="131" spans="1:36">
      <c r="A131" s="2">
        <v>337</v>
      </c>
      <c r="B131" s="2">
        <v>1405</v>
      </c>
      <c r="C131" s="2" t="s">
        <v>1675</v>
      </c>
      <c r="D131" s="2" t="s">
        <v>1676</v>
      </c>
      <c r="E131" s="4" t="s">
        <v>1303</v>
      </c>
      <c r="F131" s="2" t="s">
        <v>2280</v>
      </c>
      <c r="G131" s="2" t="s">
        <v>2281</v>
      </c>
      <c r="H131" s="2" t="s">
        <v>318</v>
      </c>
      <c r="I131" s="2" t="s">
        <v>753</v>
      </c>
      <c r="J131" s="2" t="s">
        <v>30</v>
      </c>
      <c r="K131" s="2" t="s">
        <v>30</v>
      </c>
      <c r="L131" s="2" t="s">
        <v>324</v>
      </c>
      <c r="M131" s="2" t="s">
        <v>41</v>
      </c>
      <c r="N131" s="2" t="s">
        <v>457</v>
      </c>
      <c r="O131" s="2" t="s">
        <v>134</v>
      </c>
      <c r="P131" s="2" t="s">
        <v>1814</v>
      </c>
      <c r="Q131" s="2" t="s">
        <v>412</v>
      </c>
      <c r="R131" s="2" t="s">
        <v>403</v>
      </c>
      <c r="S131" s="2" t="s">
        <v>34</v>
      </c>
      <c r="T131" s="151">
        <v>3.323</v>
      </c>
      <c r="U131" s="2" t="s">
        <v>2282</v>
      </c>
      <c r="V131" s="162">
        <v>3.2500000000000001E-2</v>
      </c>
      <c r="W131" s="164">
        <v>3.288E-2</v>
      </c>
      <c r="X131" s="4" t="s">
        <v>409</v>
      </c>
      <c r="Y131" s="4" t="s">
        <v>134</v>
      </c>
      <c r="Z131" s="151">
        <v>16340</v>
      </c>
      <c r="AA131" s="158">
        <v>1</v>
      </c>
      <c r="AB131" s="175">
        <v>109.85</v>
      </c>
      <c r="AD131" s="151">
        <v>17.949000000000002</v>
      </c>
      <c r="AG131" s="2" t="s">
        <v>36</v>
      </c>
      <c r="AH131" s="164">
        <v>4.1E-5</v>
      </c>
      <c r="AI131" s="164">
        <v>4.8701399432153599E-3</v>
      </c>
      <c r="AJ131" s="164">
        <v>1.95808555898836E-3</v>
      </c>
    </row>
    <row r="132" spans="1:36">
      <c r="A132" s="2">
        <v>337</v>
      </c>
      <c r="B132" s="2">
        <v>1405</v>
      </c>
      <c r="C132" s="2" t="s">
        <v>2283</v>
      </c>
      <c r="D132" s="2" t="s">
        <v>2284</v>
      </c>
      <c r="E132" s="4" t="s">
        <v>1303</v>
      </c>
      <c r="F132" s="2" t="s">
        <v>2285</v>
      </c>
      <c r="G132" s="2" t="s">
        <v>2286</v>
      </c>
      <c r="H132" s="2" t="s">
        <v>318</v>
      </c>
      <c r="I132" s="2" t="s">
        <v>965</v>
      </c>
      <c r="J132" s="2" t="s">
        <v>30</v>
      </c>
      <c r="K132" s="2" t="s">
        <v>30</v>
      </c>
      <c r="L132" s="2" t="s">
        <v>324</v>
      </c>
      <c r="M132" s="2" t="s">
        <v>41</v>
      </c>
      <c r="N132" s="2" t="s">
        <v>443</v>
      </c>
      <c r="O132" s="2" t="s">
        <v>134</v>
      </c>
      <c r="P132" s="2" t="s">
        <v>2185</v>
      </c>
      <c r="Q132" s="2" t="s">
        <v>412</v>
      </c>
      <c r="R132" s="2" t="s">
        <v>403</v>
      </c>
      <c r="S132" s="2" t="s">
        <v>34</v>
      </c>
      <c r="T132" s="151">
        <v>1.68</v>
      </c>
      <c r="U132" s="2" t="s">
        <v>2025</v>
      </c>
      <c r="V132" s="162">
        <v>5.5500000000000001E-2</v>
      </c>
      <c r="W132" s="164">
        <v>5.833E-2</v>
      </c>
      <c r="X132" s="4" t="s">
        <v>409</v>
      </c>
      <c r="Y132" s="4" t="s">
        <v>134</v>
      </c>
      <c r="Z132" s="151">
        <v>19800</v>
      </c>
      <c r="AA132" s="158">
        <v>1</v>
      </c>
      <c r="AB132" s="175">
        <v>100.9</v>
      </c>
      <c r="AD132" s="151">
        <v>19.978000000000002</v>
      </c>
      <c r="AG132" s="2" t="s">
        <v>36</v>
      </c>
      <c r="AH132" s="164">
        <v>1.3799999999999999E-4</v>
      </c>
      <c r="AI132" s="164">
        <v>5.4205790701320799E-3</v>
      </c>
      <c r="AJ132" s="164">
        <v>2.1793947858452399E-3</v>
      </c>
    </row>
    <row r="133" spans="1:36">
      <c r="A133" s="2">
        <v>337</v>
      </c>
      <c r="B133" s="2">
        <v>1405</v>
      </c>
      <c r="C133" s="2" t="s">
        <v>2287</v>
      </c>
      <c r="D133" s="2" t="s">
        <v>2288</v>
      </c>
      <c r="E133" s="4" t="s">
        <v>1303</v>
      </c>
      <c r="F133" s="2" t="s">
        <v>2289</v>
      </c>
      <c r="G133" s="2" t="s">
        <v>2290</v>
      </c>
      <c r="H133" s="2" t="s">
        <v>318</v>
      </c>
      <c r="I133" s="2" t="s">
        <v>965</v>
      </c>
      <c r="J133" s="2" t="s">
        <v>30</v>
      </c>
      <c r="K133" s="2" t="s">
        <v>30</v>
      </c>
      <c r="L133" s="2" t="s">
        <v>324</v>
      </c>
      <c r="M133" s="2" t="s">
        <v>41</v>
      </c>
      <c r="N133" s="2" t="s">
        <v>443</v>
      </c>
      <c r="O133" s="2" t="s">
        <v>134</v>
      </c>
      <c r="P133" s="2" t="s">
        <v>1862</v>
      </c>
      <c r="Q133" s="2" t="s">
        <v>410</v>
      </c>
      <c r="R133" s="2" t="s">
        <v>403</v>
      </c>
      <c r="S133" s="2" t="s">
        <v>34</v>
      </c>
      <c r="T133" s="151">
        <v>2.4260000000000002</v>
      </c>
      <c r="U133" s="2" t="s">
        <v>2180</v>
      </c>
      <c r="V133" s="162">
        <v>5.3400000000000003E-2</v>
      </c>
      <c r="W133" s="164">
        <v>5.7290000000000001E-2</v>
      </c>
      <c r="X133" s="4" t="s">
        <v>409</v>
      </c>
      <c r="Y133" s="4" t="s">
        <v>134</v>
      </c>
      <c r="Z133" s="151">
        <v>21000</v>
      </c>
      <c r="AA133" s="158">
        <v>1</v>
      </c>
      <c r="AB133" s="175">
        <v>101.03</v>
      </c>
      <c r="AD133" s="151">
        <v>21.216000000000001</v>
      </c>
      <c r="AG133" s="2" t="s">
        <v>36</v>
      </c>
      <c r="AH133" s="164">
        <v>3.0000000000000001E-5</v>
      </c>
      <c r="AI133" s="164">
        <v>5.7565061780161996E-3</v>
      </c>
      <c r="AJ133" s="164">
        <v>2.3144574383542199E-3</v>
      </c>
    </row>
    <row r="134" spans="1:36">
      <c r="A134" s="2">
        <v>337</v>
      </c>
      <c r="B134" s="2">
        <v>1405</v>
      </c>
      <c r="C134" s="2" t="s">
        <v>2291</v>
      </c>
      <c r="D134" s="2" t="s">
        <v>2292</v>
      </c>
      <c r="E134" s="4" t="s">
        <v>1303</v>
      </c>
      <c r="F134" s="2" t="s">
        <v>2293</v>
      </c>
      <c r="G134" s="2" t="s">
        <v>2294</v>
      </c>
      <c r="H134" s="2" t="s">
        <v>318</v>
      </c>
      <c r="I134" s="2" t="s">
        <v>965</v>
      </c>
      <c r="J134" s="2" t="s">
        <v>30</v>
      </c>
      <c r="K134" s="2" t="s">
        <v>30</v>
      </c>
      <c r="L134" s="2" t="s">
        <v>324</v>
      </c>
      <c r="M134" s="2" t="s">
        <v>41</v>
      </c>
      <c r="N134" s="2" t="s">
        <v>443</v>
      </c>
      <c r="O134" s="2" t="s">
        <v>134</v>
      </c>
      <c r="P134" s="2" t="s">
        <v>1909</v>
      </c>
      <c r="Q134" s="2" t="s">
        <v>412</v>
      </c>
      <c r="R134" s="2" t="s">
        <v>403</v>
      </c>
      <c r="S134" s="2" t="s">
        <v>34</v>
      </c>
      <c r="T134" s="151">
        <v>0.28499999999999998</v>
      </c>
      <c r="U134" s="2" t="s">
        <v>2295</v>
      </c>
      <c r="V134" s="162">
        <v>4.3499999999999997E-2</v>
      </c>
      <c r="W134" s="164">
        <v>7.0150000000000004E-2</v>
      </c>
      <c r="X134" s="4" t="s">
        <v>409</v>
      </c>
      <c r="Y134" s="4" t="s">
        <v>134</v>
      </c>
      <c r="Z134" s="151">
        <v>5000</v>
      </c>
      <c r="AA134" s="158">
        <v>1</v>
      </c>
      <c r="AB134" s="175">
        <v>100.22</v>
      </c>
      <c r="AD134" s="151">
        <v>5.0110000000000001</v>
      </c>
      <c r="AG134" s="2" t="s">
        <v>36</v>
      </c>
      <c r="AH134" s="164">
        <v>2.0799999999999999E-4</v>
      </c>
      <c r="AI134" s="164">
        <v>1.3596080588056899E-3</v>
      </c>
      <c r="AJ134" s="164">
        <v>5.4664320468663199E-4</v>
      </c>
    </row>
    <row r="135" spans="1:36">
      <c r="A135" s="2">
        <v>337</v>
      </c>
      <c r="B135" s="2">
        <v>1405</v>
      </c>
      <c r="C135" s="2" t="s">
        <v>2291</v>
      </c>
      <c r="D135" s="2" t="s">
        <v>2292</v>
      </c>
      <c r="E135" s="4" t="s">
        <v>1303</v>
      </c>
      <c r="F135" s="2" t="s">
        <v>2296</v>
      </c>
      <c r="G135" s="2" t="s">
        <v>2297</v>
      </c>
      <c r="H135" s="2" t="s">
        <v>318</v>
      </c>
      <c r="I135" s="2" t="s">
        <v>965</v>
      </c>
      <c r="J135" s="2" t="s">
        <v>30</v>
      </c>
      <c r="K135" s="2" t="s">
        <v>30</v>
      </c>
      <c r="L135" s="2" t="s">
        <v>324</v>
      </c>
      <c r="M135" s="2" t="s">
        <v>41</v>
      </c>
      <c r="N135" s="2" t="s">
        <v>443</v>
      </c>
      <c r="O135" s="2" t="s">
        <v>134</v>
      </c>
      <c r="P135" s="2" t="s">
        <v>1909</v>
      </c>
      <c r="Q135" s="2" t="s">
        <v>412</v>
      </c>
      <c r="R135" s="2" t="s">
        <v>403</v>
      </c>
      <c r="S135" s="2" t="s">
        <v>34</v>
      </c>
      <c r="T135" s="151">
        <v>0.28499999999999998</v>
      </c>
      <c r="U135" s="2" t="s">
        <v>2295</v>
      </c>
      <c r="V135" s="162">
        <v>0.06</v>
      </c>
      <c r="W135" s="164">
        <v>6.1990000000000003E-2</v>
      </c>
      <c r="X135" s="4" t="s">
        <v>409</v>
      </c>
      <c r="Y135" s="4" t="s">
        <v>134</v>
      </c>
      <c r="Z135" s="151">
        <v>1333.6</v>
      </c>
      <c r="AA135" s="158">
        <v>1</v>
      </c>
      <c r="AB135" s="175">
        <v>101.25</v>
      </c>
      <c r="AD135" s="151">
        <v>1.35</v>
      </c>
      <c r="AG135" s="2" t="s">
        <v>36</v>
      </c>
      <c r="AH135" s="164">
        <v>5.1E-5</v>
      </c>
      <c r="AI135" s="164">
        <v>3.6636159919448401E-4</v>
      </c>
      <c r="AJ135" s="164">
        <v>1.47299125921417E-4</v>
      </c>
    </row>
    <row r="136" spans="1:36">
      <c r="A136" s="2">
        <v>337</v>
      </c>
      <c r="B136" s="2">
        <v>1405</v>
      </c>
      <c r="C136" s="2" t="s">
        <v>2298</v>
      </c>
      <c r="D136" s="2" t="s">
        <v>2299</v>
      </c>
      <c r="E136" s="4" t="s">
        <v>1303</v>
      </c>
      <c r="F136" s="2" t="s">
        <v>2300</v>
      </c>
      <c r="G136" s="2" t="s">
        <v>2301</v>
      </c>
      <c r="H136" s="2" t="s">
        <v>318</v>
      </c>
      <c r="I136" s="2" t="s">
        <v>965</v>
      </c>
      <c r="J136" s="2" t="s">
        <v>30</v>
      </c>
      <c r="K136" s="2" t="s">
        <v>30</v>
      </c>
      <c r="L136" s="2" t="s">
        <v>324</v>
      </c>
      <c r="M136" s="2" t="s">
        <v>41</v>
      </c>
      <c r="N136" s="2" t="s">
        <v>443</v>
      </c>
      <c r="O136" s="2" t="s">
        <v>134</v>
      </c>
      <c r="P136" s="2" t="s">
        <v>1842</v>
      </c>
      <c r="Q136" s="2" t="s">
        <v>406</v>
      </c>
      <c r="R136" s="2" t="s">
        <v>406</v>
      </c>
      <c r="S136" s="2" t="s">
        <v>34</v>
      </c>
      <c r="T136" s="151">
        <v>0.247</v>
      </c>
      <c r="U136" s="2" t="s">
        <v>1809</v>
      </c>
      <c r="V136" s="162">
        <v>4.4900000000000002E-2</v>
      </c>
      <c r="W136" s="164">
        <v>8.0570000000000003E-2</v>
      </c>
      <c r="X136" s="4" t="s">
        <v>409</v>
      </c>
      <c r="Y136" s="4" t="s">
        <v>134</v>
      </c>
      <c r="Z136" s="151">
        <v>13860</v>
      </c>
      <c r="AA136" s="158">
        <v>1</v>
      </c>
      <c r="AB136" s="175">
        <v>100.31</v>
      </c>
      <c r="AD136" s="151">
        <v>13.903</v>
      </c>
      <c r="AG136" s="2" t="s">
        <v>36</v>
      </c>
      <c r="AH136" s="164">
        <v>3.9199999999999999E-4</v>
      </c>
      <c r="AI136" s="164">
        <v>3.7722180432850799E-3</v>
      </c>
      <c r="AJ136" s="164">
        <v>1.5166557351605E-3</v>
      </c>
    </row>
    <row r="137" spans="1:36">
      <c r="A137" s="2">
        <v>337</v>
      </c>
      <c r="B137" s="2">
        <v>1405</v>
      </c>
      <c r="C137" s="2" t="s">
        <v>1687</v>
      </c>
      <c r="D137" s="2" t="s">
        <v>1688</v>
      </c>
      <c r="E137" s="4" t="s">
        <v>1303</v>
      </c>
      <c r="F137" s="2" t="s">
        <v>2302</v>
      </c>
      <c r="G137" s="2" t="s">
        <v>2303</v>
      </c>
      <c r="H137" s="2" t="s">
        <v>318</v>
      </c>
      <c r="I137" s="2" t="s">
        <v>753</v>
      </c>
      <c r="J137" s="2" t="s">
        <v>30</v>
      </c>
      <c r="K137" s="2" t="s">
        <v>30</v>
      </c>
      <c r="L137" s="2" t="s">
        <v>324</v>
      </c>
      <c r="M137" s="2" t="s">
        <v>41</v>
      </c>
      <c r="N137" s="2" t="s">
        <v>460</v>
      </c>
      <c r="O137" s="2" t="s">
        <v>134</v>
      </c>
      <c r="P137" s="2" t="s">
        <v>1834</v>
      </c>
      <c r="Q137" s="2" t="s">
        <v>410</v>
      </c>
      <c r="R137" s="2" t="s">
        <v>403</v>
      </c>
      <c r="S137" s="2" t="s">
        <v>34</v>
      </c>
      <c r="T137" s="151">
        <v>6.2430000000000003</v>
      </c>
      <c r="U137" s="2" t="s">
        <v>2304</v>
      </c>
      <c r="V137" s="162">
        <v>2.5000000000000001E-2</v>
      </c>
      <c r="W137" s="164">
        <v>3.1879999999999999E-2</v>
      </c>
      <c r="X137" s="4" t="s">
        <v>409</v>
      </c>
      <c r="Y137" s="4" t="s">
        <v>134</v>
      </c>
      <c r="Z137" s="151">
        <v>43450</v>
      </c>
      <c r="AA137" s="158">
        <v>1</v>
      </c>
      <c r="AB137" s="175">
        <v>111</v>
      </c>
      <c r="AD137" s="151">
        <v>48.23</v>
      </c>
      <c r="AG137" s="2" t="s">
        <v>36</v>
      </c>
      <c r="AH137" s="164">
        <v>4.1E-5</v>
      </c>
      <c r="AI137" s="164">
        <v>1.3085854494545799E-2</v>
      </c>
      <c r="AJ137" s="164">
        <v>5.2612908482207003E-3</v>
      </c>
    </row>
    <row r="138" spans="1:36">
      <c r="A138" s="2">
        <v>337</v>
      </c>
      <c r="B138" s="2">
        <v>1405</v>
      </c>
      <c r="C138" s="2" t="s">
        <v>2305</v>
      </c>
      <c r="D138" s="2" t="s">
        <v>2306</v>
      </c>
      <c r="E138" s="4" t="s">
        <v>1303</v>
      </c>
      <c r="F138" s="2" t="s">
        <v>2307</v>
      </c>
      <c r="G138" s="2" t="s">
        <v>2308</v>
      </c>
      <c r="H138" s="2" t="s">
        <v>318</v>
      </c>
      <c r="I138" s="2" t="s">
        <v>965</v>
      </c>
      <c r="J138" s="2" t="s">
        <v>30</v>
      </c>
      <c r="K138" s="2" t="s">
        <v>30</v>
      </c>
      <c r="L138" s="2" t="s">
        <v>324</v>
      </c>
      <c r="M138" s="2" t="s">
        <v>31</v>
      </c>
      <c r="N138" s="2" t="s">
        <v>443</v>
      </c>
      <c r="O138" s="2" t="s">
        <v>134</v>
      </c>
      <c r="P138" s="2" t="s">
        <v>1814</v>
      </c>
      <c r="Q138" s="2" t="s">
        <v>412</v>
      </c>
      <c r="R138" s="2" t="s">
        <v>403</v>
      </c>
      <c r="S138" s="2" t="s">
        <v>34</v>
      </c>
      <c r="T138" s="151">
        <v>3.782</v>
      </c>
      <c r="U138" s="2" t="s">
        <v>102</v>
      </c>
      <c r="V138" s="162">
        <v>5.8200000000000002E-2</v>
      </c>
      <c r="W138" s="164">
        <v>5.3960000000000001E-2</v>
      </c>
      <c r="X138" s="4" t="s">
        <v>409</v>
      </c>
      <c r="Y138" s="4" t="s">
        <v>134</v>
      </c>
      <c r="Z138" s="151">
        <v>15000</v>
      </c>
      <c r="AA138" s="158">
        <v>1</v>
      </c>
      <c r="AB138" s="175">
        <v>105.12</v>
      </c>
      <c r="AD138" s="151">
        <v>15.768000000000001</v>
      </c>
      <c r="AG138" s="2" t="s">
        <v>36</v>
      </c>
      <c r="AH138" s="164">
        <v>8.6000000000000003E-5</v>
      </c>
      <c r="AI138" s="164">
        <v>4.2782478290257697E-3</v>
      </c>
      <c r="AJ138" s="164">
        <v>1.7201097688083801E-3</v>
      </c>
    </row>
    <row r="139" spans="1:36">
      <c r="A139" s="2">
        <v>337</v>
      </c>
      <c r="B139" s="2">
        <v>1405</v>
      </c>
      <c r="C139" s="2" t="s">
        <v>2309</v>
      </c>
      <c r="D139" s="2" t="s">
        <v>2310</v>
      </c>
      <c r="E139" s="4" t="s">
        <v>1303</v>
      </c>
      <c r="F139" s="2" t="s">
        <v>2311</v>
      </c>
      <c r="G139" s="2" t="s">
        <v>2312</v>
      </c>
      <c r="H139" s="2" t="s">
        <v>318</v>
      </c>
      <c r="I139" s="2" t="s">
        <v>965</v>
      </c>
      <c r="J139" s="2" t="s">
        <v>30</v>
      </c>
      <c r="K139" s="2" t="s">
        <v>30</v>
      </c>
      <c r="L139" s="2" t="s">
        <v>324</v>
      </c>
      <c r="M139" s="2" t="s">
        <v>41</v>
      </c>
      <c r="N139" s="2" t="s">
        <v>439</v>
      </c>
      <c r="O139" s="2" t="s">
        <v>134</v>
      </c>
      <c r="P139" s="2" t="s">
        <v>2313</v>
      </c>
      <c r="Q139" s="2" t="s">
        <v>412</v>
      </c>
      <c r="R139" s="2" t="s">
        <v>403</v>
      </c>
      <c r="S139" s="2" t="s">
        <v>34</v>
      </c>
      <c r="T139" s="151">
        <v>0.49199999999999999</v>
      </c>
      <c r="U139" s="2" t="s">
        <v>2314</v>
      </c>
      <c r="V139" s="162">
        <v>3.15E-2</v>
      </c>
      <c r="W139" s="164">
        <v>8.004E-2</v>
      </c>
      <c r="X139" s="4" t="s">
        <v>409</v>
      </c>
      <c r="Y139" s="4" t="s">
        <v>134</v>
      </c>
      <c r="Z139" s="151">
        <v>12000.59</v>
      </c>
      <c r="AA139" s="158">
        <v>1</v>
      </c>
      <c r="AB139" s="175">
        <v>98.54</v>
      </c>
      <c r="AD139" s="151">
        <v>11.824999999999999</v>
      </c>
      <c r="AG139" s="2" t="s">
        <v>36</v>
      </c>
      <c r="AH139" s="164">
        <v>1.3899999999999999E-4</v>
      </c>
      <c r="AI139" s="164">
        <v>3.2085180265129499E-3</v>
      </c>
      <c r="AJ139" s="164">
        <v>1.2900148428426799E-3</v>
      </c>
    </row>
    <row r="140" spans="1:36">
      <c r="A140" s="2">
        <v>337</v>
      </c>
      <c r="B140" s="2">
        <v>1405</v>
      </c>
      <c r="C140" s="2" t="s">
        <v>1703</v>
      </c>
      <c r="D140" s="2" t="s">
        <v>1704</v>
      </c>
      <c r="E140" s="4" t="s">
        <v>1303</v>
      </c>
      <c r="F140" s="2" t="s">
        <v>2315</v>
      </c>
      <c r="G140" s="2" t="s">
        <v>2316</v>
      </c>
      <c r="H140" s="2" t="s">
        <v>318</v>
      </c>
      <c r="I140" s="2" t="s">
        <v>965</v>
      </c>
      <c r="J140" s="2" t="s">
        <v>30</v>
      </c>
      <c r="K140" s="2" t="s">
        <v>30</v>
      </c>
      <c r="L140" s="2" t="s">
        <v>324</v>
      </c>
      <c r="M140" s="2" t="s">
        <v>41</v>
      </c>
      <c r="N140" s="2" t="s">
        <v>472</v>
      </c>
      <c r="O140" s="2" t="s">
        <v>134</v>
      </c>
      <c r="P140" s="2" t="s">
        <v>1834</v>
      </c>
      <c r="Q140" s="2" t="s">
        <v>410</v>
      </c>
      <c r="R140" s="2" t="s">
        <v>403</v>
      </c>
      <c r="S140" s="2" t="s">
        <v>34</v>
      </c>
      <c r="T140" s="151">
        <v>3.0510000000000002</v>
      </c>
      <c r="U140" s="2" t="s">
        <v>2317</v>
      </c>
      <c r="V140" s="162">
        <v>3.5200000000000002E-2</v>
      </c>
      <c r="W140" s="164">
        <v>4.8079999999999998E-2</v>
      </c>
      <c r="X140" s="4" t="s">
        <v>409</v>
      </c>
      <c r="Y140" s="4" t="s">
        <v>134</v>
      </c>
      <c r="Z140" s="151">
        <v>29613.81</v>
      </c>
      <c r="AA140" s="158">
        <v>1</v>
      </c>
      <c r="AB140" s="175">
        <v>96.74</v>
      </c>
      <c r="AD140" s="151">
        <v>28.648</v>
      </c>
      <c r="AG140" s="2" t="s">
        <v>36</v>
      </c>
      <c r="AH140" s="164">
        <v>4.1E-5</v>
      </c>
      <c r="AI140" s="164">
        <v>7.7730184058690298E-3</v>
      </c>
      <c r="AJ140" s="164">
        <v>3.1252151411965698E-3</v>
      </c>
    </row>
    <row r="141" spans="1:36">
      <c r="A141" s="2">
        <v>337</v>
      </c>
      <c r="B141" s="2">
        <v>1405</v>
      </c>
      <c r="C141" s="2" t="s">
        <v>2318</v>
      </c>
      <c r="D141" s="2" t="s">
        <v>2319</v>
      </c>
      <c r="E141" s="4" t="s">
        <v>1303</v>
      </c>
      <c r="F141" s="2" t="s">
        <v>2320</v>
      </c>
      <c r="G141" s="2" t="s">
        <v>2321</v>
      </c>
      <c r="H141" s="2" t="s">
        <v>318</v>
      </c>
      <c r="I141" s="2" t="s">
        <v>965</v>
      </c>
      <c r="J141" s="2" t="s">
        <v>30</v>
      </c>
      <c r="K141" s="2" t="s">
        <v>30</v>
      </c>
      <c r="L141" s="2" t="s">
        <v>324</v>
      </c>
      <c r="M141" s="2" t="s">
        <v>41</v>
      </c>
      <c r="N141" s="2" t="s">
        <v>460</v>
      </c>
      <c r="O141" s="2" t="s">
        <v>134</v>
      </c>
      <c r="P141" s="2" t="s">
        <v>1909</v>
      </c>
      <c r="Q141" s="2" t="s">
        <v>412</v>
      </c>
      <c r="R141" s="2" t="s">
        <v>403</v>
      </c>
      <c r="S141" s="2" t="s">
        <v>34</v>
      </c>
      <c r="T141" s="151">
        <v>2.7869999999999999</v>
      </c>
      <c r="U141" s="2" t="s">
        <v>2322</v>
      </c>
      <c r="V141" s="162">
        <v>4.1000000000000002E-2</v>
      </c>
      <c r="W141" s="164">
        <v>5.6250000000000001E-2</v>
      </c>
      <c r="X141" s="4" t="s">
        <v>409</v>
      </c>
      <c r="Y141" s="4" t="s">
        <v>134</v>
      </c>
      <c r="Z141" s="151">
        <v>65238.1</v>
      </c>
      <c r="AA141" s="158">
        <v>1</v>
      </c>
      <c r="AB141" s="175">
        <v>97.74</v>
      </c>
      <c r="AD141" s="151">
        <v>63.764000000000003</v>
      </c>
      <c r="AG141" s="2" t="s">
        <v>36</v>
      </c>
      <c r="AH141" s="164">
        <v>1.4300000000000001E-4</v>
      </c>
      <c r="AI141" s="164">
        <v>1.7300671748203E-2</v>
      </c>
      <c r="AJ141" s="164">
        <v>6.9558977577527997E-3</v>
      </c>
    </row>
    <row r="142" spans="1:36">
      <c r="A142" s="2">
        <v>337</v>
      </c>
      <c r="B142" s="2">
        <v>1405</v>
      </c>
      <c r="C142" s="2" t="s">
        <v>2323</v>
      </c>
      <c r="D142" s="2" t="s">
        <v>2324</v>
      </c>
      <c r="E142" s="4" t="s">
        <v>1303</v>
      </c>
      <c r="F142" s="2" t="s">
        <v>2325</v>
      </c>
      <c r="G142" s="2" t="s">
        <v>2326</v>
      </c>
      <c r="H142" s="2" t="s">
        <v>318</v>
      </c>
      <c r="I142" s="2" t="s">
        <v>965</v>
      </c>
      <c r="J142" s="2" t="s">
        <v>30</v>
      </c>
      <c r="K142" s="2" t="s">
        <v>30</v>
      </c>
      <c r="L142" s="2" t="s">
        <v>324</v>
      </c>
      <c r="M142" s="2" t="s">
        <v>41</v>
      </c>
      <c r="N142" s="2" t="s">
        <v>459</v>
      </c>
      <c r="O142" s="2" t="s">
        <v>134</v>
      </c>
      <c r="P142" s="2" t="s">
        <v>1848</v>
      </c>
      <c r="Q142" s="2" t="s">
        <v>410</v>
      </c>
      <c r="R142" s="2" t="s">
        <v>403</v>
      </c>
      <c r="S142" s="2" t="s">
        <v>34</v>
      </c>
      <c r="T142" s="151">
        <v>2.5779999999999998</v>
      </c>
      <c r="U142" s="2" t="s">
        <v>2233</v>
      </c>
      <c r="V142" s="162">
        <v>2.6200000000000001E-2</v>
      </c>
      <c r="W142" s="164">
        <v>5.2260000000000001E-2</v>
      </c>
      <c r="X142" s="4" t="s">
        <v>409</v>
      </c>
      <c r="Y142" s="4" t="s">
        <v>134</v>
      </c>
      <c r="Z142" s="151">
        <v>16711.060000000001</v>
      </c>
      <c r="AA142" s="158">
        <v>1</v>
      </c>
      <c r="AB142" s="175">
        <v>94.28</v>
      </c>
      <c r="AD142" s="151">
        <v>15.755000000000001</v>
      </c>
      <c r="AG142" s="2" t="s">
        <v>36</v>
      </c>
      <c r="AH142" s="164">
        <v>3.8999999999999999E-5</v>
      </c>
      <c r="AI142" s="164">
        <v>4.2747714455251299E-3</v>
      </c>
      <c r="AJ142" s="164">
        <v>1.7187120561328801E-3</v>
      </c>
    </row>
    <row r="143" spans="1:36">
      <c r="A143" s="2">
        <v>337</v>
      </c>
      <c r="B143" s="2">
        <v>1405</v>
      </c>
      <c r="C143" s="2" t="s">
        <v>2327</v>
      </c>
      <c r="D143" s="2" t="s">
        <v>2328</v>
      </c>
      <c r="E143" s="4" t="s">
        <v>1303</v>
      </c>
      <c r="F143" s="2" t="s">
        <v>2329</v>
      </c>
      <c r="G143" s="2" t="s">
        <v>2330</v>
      </c>
      <c r="H143" s="2" t="s">
        <v>318</v>
      </c>
      <c r="I143" s="2" t="s">
        <v>753</v>
      </c>
      <c r="J143" s="2" t="s">
        <v>30</v>
      </c>
      <c r="K143" s="2" t="s">
        <v>30</v>
      </c>
      <c r="L143" s="2" t="s">
        <v>324</v>
      </c>
      <c r="M143" s="2" t="s">
        <v>41</v>
      </c>
      <c r="N143" s="2" t="s">
        <v>460</v>
      </c>
      <c r="O143" s="2" t="s">
        <v>134</v>
      </c>
      <c r="P143" s="2" t="s">
        <v>1842</v>
      </c>
      <c r="Q143" s="2" t="s">
        <v>406</v>
      </c>
      <c r="R143" s="2" t="s">
        <v>406</v>
      </c>
      <c r="S143" s="2" t="s">
        <v>34</v>
      </c>
      <c r="T143" s="151">
        <v>1.675</v>
      </c>
      <c r="U143" s="2" t="s">
        <v>2331</v>
      </c>
      <c r="V143" s="162">
        <v>3.5180000000000003E-2</v>
      </c>
      <c r="W143" s="164">
        <v>3.712E-2</v>
      </c>
      <c r="X143" s="4" t="s">
        <v>409</v>
      </c>
      <c r="Y143" s="4" t="s">
        <v>134</v>
      </c>
      <c r="Z143" s="151">
        <v>10000</v>
      </c>
      <c r="AA143" s="158">
        <v>1</v>
      </c>
      <c r="AB143" s="175">
        <v>108.75</v>
      </c>
      <c r="AD143" s="151">
        <v>10.875</v>
      </c>
      <c r="AG143" s="2" t="s">
        <v>36</v>
      </c>
      <c r="AH143" s="164">
        <v>1.4E-5</v>
      </c>
      <c r="AI143" s="164">
        <v>2.9506560845164401E-3</v>
      </c>
      <c r="AJ143" s="164">
        <v>1.18633902433988E-3</v>
      </c>
    </row>
    <row r="144" spans="1:36">
      <c r="A144" s="2">
        <v>337</v>
      </c>
      <c r="B144" s="2">
        <v>1405</v>
      </c>
      <c r="C144" s="2" t="s">
        <v>1474</v>
      </c>
      <c r="D144" s="2" t="s">
        <v>1475</v>
      </c>
      <c r="E144" s="4" t="s">
        <v>311</v>
      </c>
      <c r="F144" s="2" t="s">
        <v>2332</v>
      </c>
      <c r="G144" s="2" t="s">
        <v>2333</v>
      </c>
      <c r="H144" s="2" t="s">
        <v>318</v>
      </c>
      <c r="I144" s="2" t="s">
        <v>754</v>
      </c>
      <c r="J144" s="2" t="s">
        <v>79</v>
      </c>
      <c r="K144" s="2" t="s">
        <v>295</v>
      </c>
      <c r="L144" s="2" t="s">
        <v>324</v>
      </c>
      <c r="M144" s="2" t="s">
        <v>164</v>
      </c>
      <c r="N144" s="2" t="s">
        <v>450</v>
      </c>
      <c r="O144" s="2" t="s">
        <v>134</v>
      </c>
      <c r="P144" s="2" t="s">
        <v>1808</v>
      </c>
      <c r="Q144" s="2" t="s">
        <v>429</v>
      </c>
      <c r="R144" s="2" t="s">
        <v>403</v>
      </c>
      <c r="S144" s="2" t="s">
        <v>84</v>
      </c>
      <c r="T144" s="151">
        <v>2.81</v>
      </c>
      <c r="U144" s="2" t="s">
        <v>2334</v>
      </c>
      <c r="V144" s="162">
        <v>5.3749999999999999E-2</v>
      </c>
      <c r="W144" s="164">
        <v>7.1599999999999997E-2</v>
      </c>
      <c r="X144" s="4" t="s">
        <v>409</v>
      </c>
      <c r="Y144" s="4" t="s">
        <v>134</v>
      </c>
      <c r="Z144" s="151">
        <v>4000</v>
      </c>
      <c r="AA144" s="158">
        <v>3.718</v>
      </c>
      <c r="AB144" s="175">
        <v>95.662999999999997</v>
      </c>
      <c r="AD144" s="151">
        <v>14.227</v>
      </c>
      <c r="AG144" s="2" t="s">
        <v>36</v>
      </c>
      <c r="AH144" s="164">
        <v>6.0000000000000002E-6</v>
      </c>
      <c r="AI144" s="164">
        <v>3.86013280415176E-3</v>
      </c>
      <c r="AJ144" s="164">
        <v>1.5520026914455701E-3</v>
      </c>
    </row>
    <row r="145" spans="1:36">
      <c r="A145" s="2">
        <v>337</v>
      </c>
      <c r="B145" s="2">
        <v>1405</v>
      </c>
      <c r="C145" s="2" t="s">
        <v>1474</v>
      </c>
      <c r="D145" s="2" t="s">
        <v>1475</v>
      </c>
      <c r="E145" s="4" t="s">
        <v>311</v>
      </c>
      <c r="F145" s="2" t="s">
        <v>2335</v>
      </c>
      <c r="G145" s="2" t="s">
        <v>2336</v>
      </c>
      <c r="H145" s="2" t="s">
        <v>318</v>
      </c>
      <c r="I145" s="2" t="s">
        <v>754</v>
      </c>
      <c r="J145" s="2" t="s">
        <v>79</v>
      </c>
      <c r="K145" s="2" t="s">
        <v>295</v>
      </c>
      <c r="L145" s="2" t="s">
        <v>324</v>
      </c>
      <c r="M145" s="2" t="s">
        <v>164</v>
      </c>
      <c r="N145" s="2" t="s">
        <v>450</v>
      </c>
      <c r="O145" s="2" t="s">
        <v>134</v>
      </c>
      <c r="P145" s="2" t="s">
        <v>1808</v>
      </c>
      <c r="Q145" s="2" t="s">
        <v>429</v>
      </c>
      <c r="R145" s="2" t="s">
        <v>403</v>
      </c>
      <c r="S145" s="2" t="s">
        <v>84</v>
      </c>
      <c r="T145" s="151">
        <v>5.0999999999999996</v>
      </c>
      <c r="U145" s="2" t="s">
        <v>2337</v>
      </c>
      <c r="V145" s="162">
        <v>5.8749999999999997E-2</v>
      </c>
      <c r="W145" s="164">
        <v>7.5800000000000006E-2</v>
      </c>
      <c r="X145" s="4" t="s">
        <v>409</v>
      </c>
      <c r="Y145" s="4" t="s">
        <v>134</v>
      </c>
      <c r="Z145" s="151">
        <v>4000</v>
      </c>
      <c r="AA145" s="158">
        <v>3.718</v>
      </c>
      <c r="AB145" s="175">
        <v>92.078999999999994</v>
      </c>
      <c r="AD145" s="151">
        <v>13.694000000000001</v>
      </c>
      <c r="AG145" s="2" t="s">
        <v>36</v>
      </c>
      <c r="AH145" s="164">
        <v>6.0000000000000002E-6</v>
      </c>
      <c r="AI145" s="164">
        <v>3.7155294948546498E-3</v>
      </c>
      <c r="AJ145" s="164">
        <v>1.49386357121124E-3</v>
      </c>
    </row>
    <row r="146" spans="1:36">
      <c r="A146" s="2">
        <v>337</v>
      </c>
      <c r="B146" s="2">
        <v>1405</v>
      </c>
      <c r="C146" s="2" t="s">
        <v>1174</v>
      </c>
      <c r="D146" s="2" t="s">
        <v>1589</v>
      </c>
      <c r="E146" s="4" t="s">
        <v>1303</v>
      </c>
      <c r="F146" s="2" t="s">
        <v>2338</v>
      </c>
      <c r="G146" s="2" t="s">
        <v>2339</v>
      </c>
      <c r="H146" s="2" t="s">
        <v>318</v>
      </c>
      <c r="I146" s="2" t="s">
        <v>754</v>
      </c>
      <c r="J146" s="2" t="s">
        <v>79</v>
      </c>
      <c r="K146" s="2" t="s">
        <v>30</v>
      </c>
      <c r="L146" s="2" t="s">
        <v>324</v>
      </c>
      <c r="M146" s="2" t="s">
        <v>164</v>
      </c>
      <c r="N146" s="2" t="s">
        <v>533</v>
      </c>
      <c r="O146" s="2" t="s">
        <v>134</v>
      </c>
      <c r="P146" s="2" t="s">
        <v>2340</v>
      </c>
      <c r="Q146" s="2" t="s">
        <v>429</v>
      </c>
      <c r="R146" s="2" t="s">
        <v>403</v>
      </c>
      <c r="S146" s="2" t="s">
        <v>84</v>
      </c>
      <c r="T146" s="151">
        <v>5.09</v>
      </c>
      <c r="U146" s="2" t="s">
        <v>2341</v>
      </c>
      <c r="V146" s="162">
        <v>3.2750000000000001E-2</v>
      </c>
      <c r="W146" s="164">
        <v>5.7320000000000003E-2</v>
      </c>
      <c r="X146" s="4" t="s">
        <v>409</v>
      </c>
      <c r="Y146" s="4" t="s">
        <v>134</v>
      </c>
      <c r="Z146" s="151">
        <v>3000</v>
      </c>
      <c r="AA146" s="158">
        <v>3.718</v>
      </c>
      <c r="AB146" s="175">
        <v>98.22</v>
      </c>
      <c r="AD146" s="151">
        <v>10.955</v>
      </c>
      <c r="AG146" s="2" t="s">
        <v>36</v>
      </c>
      <c r="AH146" s="164">
        <v>3.9999999999999998E-6</v>
      </c>
      <c r="AI146" s="164">
        <v>2.9724895704374399E-3</v>
      </c>
      <c r="AJ146" s="164">
        <v>1.19511738265869E-3</v>
      </c>
    </row>
    <row r="147" spans="1:36">
      <c r="A147" s="2">
        <v>337</v>
      </c>
      <c r="B147" s="2">
        <v>1405</v>
      </c>
      <c r="C147" s="2" t="s">
        <v>1804</v>
      </c>
      <c r="D147" s="2" t="s">
        <v>1805</v>
      </c>
      <c r="E147" s="4" t="s">
        <v>1303</v>
      </c>
      <c r="F147" s="2" t="s">
        <v>2342</v>
      </c>
      <c r="G147" s="2" t="s">
        <v>2343</v>
      </c>
      <c r="H147" s="2" t="s">
        <v>318</v>
      </c>
      <c r="I147" s="2" t="s">
        <v>754</v>
      </c>
      <c r="J147" s="2" t="s">
        <v>79</v>
      </c>
      <c r="K147" s="2" t="s">
        <v>30</v>
      </c>
      <c r="L147" s="2" t="s">
        <v>324</v>
      </c>
      <c r="M147" s="2" t="s">
        <v>164</v>
      </c>
      <c r="N147" s="2" t="s">
        <v>483</v>
      </c>
      <c r="O147" s="2" t="s">
        <v>134</v>
      </c>
      <c r="P147" s="2" t="s">
        <v>1808</v>
      </c>
      <c r="Q147" s="2" t="s">
        <v>429</v>
      </c>
      <c r="R147" s="2" t="s">
        <v>403</v>
      </c>
      <c r="S147" s="2" t="s">
        <v>84</v>
      </c>
      <c r="T147" s="151">
        <v>2.085</v>
      </c>
      <c r="U147" s="2" t="s">
        <v>1910</v>
      </c>
      <c r="V147" s="162">
        <v>6.5000000000000002E-2</v>
      </c>
      <c r="W147" s="164">
        <v>7.2739999999999999E-2</v>
      </c>
      <c r="X147" s="4" t="s">
        <v>409</v>
      </c>
      <c r="Y147" s="4" t="s">
        <v>134</v>
      </c>
      <c r="Z147" s="151">
        <v>2000</v>
      </c>
      <c r="AA147" s="158">
        <v>3.718</v>
      </c>
      <c r="AB147" s="175">
        <v>100.452</v>
      </c>
      <c r="AD147" s="151">
        <v>7.47</v>
      </c>
      <c r="AG147" s="2" t="s">
        <v>36</v>
      </c>
      <c r="AH147" s="164">
        <v>3.0000000000000001E-6</v>
      </c>
      <c r="AI147" s="164">
        <v>2.0266918860704299E-3</v>
      </c>
      <c r="AJ147" s="164">
        <v>8.1485053014992905E-4</v>
      </c>
    </row>
    <row r="148" spans="1:36">
      <c r="A148" s="2">
        <v>337</v>
      </c>
      <c r="B148" s="2">
        <v>1405</v>
      </c>
      <c r="C148" s="2" t="s">
        <v>1596</v>
      </c>
      <c r="D148" s="2" t="s">
        <v>1597</v>
      </c>
      <c r="E148" s="4" t="s">
        <v>1303</v>
      </c>
      <c r="F148" s="2" t="s">
        <v>2344</v>
      </c>
      <c r="G148" s="2" t="s">
        <v>2345</v>
      </c>
      <c r="H148" s="2" t="s">
        <v>318</v>
      </c>
      <c r="I148" s="2" t="s">
        <v>754</v>
      </c>
      <c r="J148" s="2" t="s">
        <v>79</v>
      </c>
      <c r="K148" s="2" t="s">
        <v>30</v>
      </c>
      <c r="L148" s="2" t="s">
        <v>324</v>
      </c>
      <c r="M148" s="2" t="s">
        <v>164</v>
      </c>
      <c r="N148" s="2" t="s">
        <v>533</v>
      </c>
      <c r="O148" s="2" t="s">
        <v>134</v>
      </c>
      <c r="P148" s="2" t="s">
        <v>2340</v>
      </c>
      <c r="Q148" s="2" t="s">
        <v>429</v>
      </c>
      <c r="R148" s="2" t="s">
        <v>403</v>
      </c>
      <c r="S148" s="2" t="s">
        <v>84</v>
      </c>
      <c r="T148" s="151">
        <v>5.1630000000000003</v>
      </c>
      <c r="U148" s="2" t="s">
        <v>2346</v>
      </c>
      <c r="V148" s="162">
        <v>3.0769999999999999E-2</v>
      </c>
      <c r="W148" s="164">
        <v>6.2829999999999997E-2</v>
      </c>
      <c r="X148" s="4" t="s">
        <v>409</v>
      </c>
      <c r="Y148" s="4" t="s">
        <v>134</v>
      </c>
      <c r="Z148" s="151">
        <v>3000</v>
      </c>
      <c r="AA148" s="158">
        <v>3.718</v>
      </c>
      <c r="AB148" s="175">
        <v>98.525999999999996</v>
      </c>
      <c r="AD148" s="151">
        <v>10.99</v>
      </c>
      <c r="AG148" s="2" t="s">
        <v>36</v>
      </c>
      <c r="AH148" s="164">
        <v>5.0000000000000004E-6</v>
      </c>
      <c r="AI148" s="164">
        <v>2.98173811338054E-3</v>
      </c>
      <c r="AJ148" s="164">
        <v>1.1988358463147001E-3</v>
      </c>
    </row>
    <row r="149" spans="1:36">
      <c r="A149" s="2">
        <v>337</v>
      </c>
      <c r="B149" s="2">
        <v>1405</v>
      </c>
      <c r="C149" s="2" t="s">
        <v>1569</v>
      </c>
      <c r="D149" s="2" t="s">
        <v>1570</v>
      </c>
      <c r="E149" s="4" t="s">
        <v>1303</v>
      </c>
      <c r="F149" s="2" t="s">
        <v>2347</v>
      </c>
      <c r="G149" s="2" t="s">
        <v>2348</v>
      </c>
      <c r="H149" s="2" t="s">
        <v>318</v>
      </c>
      <c r="I149" s="2" t="s">
        <v>754</v>
      </c>
      <c r="J149" s="2" t="s">
        <v>79</v>
      </c>
      <c r="K149" s="2" t="s">
        <v>80</v>
      </c>
      <c r="L149" s="2" t="s">
        <v>324</v>
      </c>
      <c r="M149" s="2" t="s">
        <v>164</v>
      </c>
      <c r="N149" s="2" t="s">
        <v>463</v>
      </c>
      <c r="O149" s="2" t="s">
        <v>134</v>
      </c>
      <c r="P149" s="2" t="s">
        <v>1808</v>
      </c>
      <c r="Q149" s="2" t="s">
        <v>429</v>
      </c>
      <c r="R149" s="2" t="s">
        <v>403</v>
      </c>
      <c r="S149" s="2" t="s">
        <v>1177</v>
      </c>
      <c r="T149" s="151">
        <v>4.3479999999999999</v>
      </c>
      <c r="U149" s="2" t="s">
        <v>2349</v>
      </c>
      <c r="V149" s="162">
        <v>4.3749999999999997E-2</v>
      </c>
      <c r="W149" s="164">
        <v>4.4729999999999999E-2</v>
      </c>
      <c r="X149" s="4" t="s">
        <v>409</v>
      </c>
      <c r="Y149" s="4" t="s">
        <v>134</v>
      </c>
      <c r="Z149" s="151">
        <v>15000</v>
      </c>
      <c r="AA149" s="158">
        <v>4.0218999999999996</v>
      </c>
      <c r="AB149" s="175">
        <v>101.59099999999999</v>
      </c>
      <c r="AD149" s="151">
        <v>61.287999999999997</v>
      </c>
      <c r="AG149" s="2" t="s">
        <v>36</v>
      </c>
      <c r="AH149" s="164">
        <v>1.0000000000000001E-5</v>
      </c>
      <c r="AI149" s="164">
        <v>1.6629003888547302E-2</v>
      </c>
      <c r="AJ149" s="164">
        <v>6.6858473789622201E-3</v>
      </c>
    </row>
    <row r="150" spans="1:36">
      <c r="A150" s="2">
        <v>337</v>
      </c>
      <c r="B150" s="2">
        <v>1405</v>
      </c>
      <c r="C150" s="2" t="s">
        <v>1569</v>
      </c>
      <c r="D150" s="2" t="s">
        <v>1570</v>
      </c>
      <c r="E150" s="4" t="s">
        <v>1303</v>
      </c>
      <c r="F150" s="2" t="s">
        <v>2350</v>
      </c>
      <c r="G150" s="2" t="s">
        <v>2351</v>
      </c>
      <c r="H150" s="2" t="s">
        <v>318</v>
      </c>
      <c r="I150" s="2" t="s">
        <v>754</v>
      </c>
      <c r="J150" s="2" t="s">
        <v>79</v>
      </c>
      <c r="K150" s="2" t="s">
        <v>80</v>
      </c>
      <c r="L150" s="2" t="s">
        <v>324</v>
      </c>
      <c r="M150" s="2" t="s">
        <v>164</v>
      </c>
      <c r="N150" s="2" t="s">
        <v>463</v>
      </c>
      <c r="O150" s="2" t="s">
        <v>134</v>
      </c>
      <c r="P150" s="2" t="s">
        <v>1808</v>
      </c>
      <c r="Q150" s="2" t="s">
        <v>429</v>
      </c>
      <c r="R150" s="2" t="s">
        <v>403</v>
      </c>
      <c r="S150" s="2" t="s">
        <v>84</v>
      </c>
      <c r="T150" s="151">
        <v>3.6709999999999998</v>
      </c>
      <c r="U150" s="2" t="s">
        <v>2352</v>
      </c>
      <c r="V150" s="162">
        <v>5.1249999999999997E-2</v>
      </c>
      <c r="W150" s="164">
        <v>5.6770000000000001E-2</v>
      </c>
      <c r="X150" s="4" t="s">
        <v>409</v>
      </c>
      <c r="Y150" s="4" t="s">
        <v>134</v>
      </c>
      <c r="Z150" s="151">
        <v>13000</v>
      </c>
      <c r="AA150" s="158">
        <v>3.718</v>
      </c>
      <c r="AB150" s="175">
        <v>102.021</v>
      </c>
      <c r="AD150" s="151">
        <v>49.311</v>
      </c>
      <c r="AG150" s="2" t="s">
        <v>36</v>
      </c>
      <c r="AH150" s="164">
        <v>1.2999999999999999E-5</v>
      </c>
      <c r="AI150" s="164">
        <v>1.3379218729520199E-2</v>
      </c>
      <c r="AJ150" s="164">
        <v>5.3792406974498301E-3</v>
      </c>
    </row>
    <row r="151" spans="1:36">
      <c r="A151" s="2">
        <v>337</v>
      </c>
      <c r="B151" s="2">
        <v>1477</v>
      </c>
      <c r="C151" s="2" t="s">
        <v>1804</v>
      </c>
      <c r="D151" s="2" t="s">
        <v>1805</v>
      </c>
      <c r="E151" s="4" t="s">
        <v>1303</v>
      </c>
      <c r="F151" s="2" t="s">
        <v>1806</v>
      </c>
      <c r="G151" s="2" t="s">
        <v>1807</v>
      </c>
      <c r="H151" s="2" t="s">
        <v>318</v>
      </c>
      <c r="I151" s="2" t="s">
        <v>754</v>
      </c>
      <c r="J151" s="2" t="s">
        <v>79</v>
      </c>
      <c r="K151" s="2" t="s">
        <v>30</v>
      </c>
      <c r="L151" s="2" t="s">
        <v>324</v>
      </c>
      <c r="M151" s="2" t="s">
        <v>164</v>
      </c>
      <c r="N151" s="2" t="s">
        <v>483</v>
      </c>
      <c r="O151" s="2" t="s">
        <v>134</v>
      </c>
      <c r="P151" s="2" t="s">
        <v>1808</v>
      </c>
      <c r="Q151" s="2" t="s">
        <v>429</v>
      </c>
      <c r="R151" s="2" t="s">
        <v>403</v>
      </c>
      <c r="S151" s="2" t="s">
        <v>84</v>
      </c>
      <c r="T151" s="151">
        <v>0.23899999999999999</v>
      </c>
      <c r="U151" s="2" t="s">
        <v>1809</v>
      </c>
      <c r="V151" s="162">
        <v>6.1249999999999999E-2</v>
      </c>
      <c r="W151" s="164">
        <v>6.862E-2</v>
      </c>
      <c r="X151" s="4" t="s">
        <v>409</v>
      </c>
      <c r="Y151" s="4" t="s">
        <v>134</v>
      </c>
      <c r="Z151" s="151">
        <v>1000</v>
      </c>
      <c r="AA151" s="158">
        <v>3.718</v>
      </c>
      <c r="AB151" s="175">
        <v>101.505</v>
      </c>
      <c r="AD151" s="151">
        <v>3.774</v>
      </c>
      <c r="AG151" s="2" t="s">
        <v>36</v>
      </c>
      <c r="AH151" s="164">
        <v>1.9999999999999999E-6</v>
      </c>
      <c r="AI151" s="164">
        <v>2.9773803746498202E-2</v>
      </c>
      <c r="AJ151" s="164">
        <v>2.38521515867864E-4</v>
      </c>
    </row>
    <row r="152" spans="1:36">
      <c r="A152" s="2">
        <v>337</v>
      </c>
      <c r="B152" s="2">
        <v>1477</v>
      </c>
      <c r="C152" s="2" t="s">
        <v>1430</v>
      </c>
      <c r="D152" s="2" t="s">
        <v>1431</v>
      </c>
      <c r="E152" s="4" t="s">
        <v>1303</v>
      </c>
      <c r="F152" s="2" t="s">
        <v>1828</v>
      </c>
      <c r="G152" s="2" t="s">
        <v>1829</v>
      </c>
      <c r="H152" s="2" t="s">
        <v>318</v>
      </c>
      <c r="I152" s="2" t="s">
        <v>753</v>
      </c>
      <c r="J152" s="2" t="s">
        <v>30</v>
      </c>
      <c r="K152" s="2" t="s">
        <v>30</v>
      </c>
      <c r="L152" s="2" t="s">
        <v>324</v>
      </c>
      <c r="M152" s="2" t="s">
        <v>41</v>
      </c>
      <c r="N152" s="2" t="s">
        <v>436</v>
      </c>
      <c r="O152" s="2" t="s">
        <v>134</v>
      </c>
      <c r="P152" s="2" t="s">
        <v>1830</v>
      </c>
      <c r="Q152" s="2" t="s">
        <v>410</v>
      </c>
      <c r="R152" s="2" t="s">
        <v>403</v>
      </c>
      <c r="S152" s="2" t="s">
        <v>34</v>
      </c>
      <c r="T152" s="151">
        <v>2.7240000000000002</v>
      </c>
      <c r="U152" s="2" t="s">
        <v>1831</v>
      </c>
      <c r="V152" s="162">
        <v>2.75E-2</v>
      </c>
      <c r="W152" s="164">
        <v>3.075E-2</v>
      </c>
      <c r="X152" s="4" t="s">
        <v>409</v>
      </c>
      <c r="Y152" s="4" t="s">
        <v>134</v>
      </c>
      <c r="Z152" s="151">
        <v>0.59</v>
      </c>
      <c r="AA152" s="158">
        <v>1</v>
      </c>
      <c r="AB152" s="175">
        <v>114.05</v>
      </c>
      <c r="AD152" s="151">
        <v>1E-3</v>
      </c>
      <c r="AG152" s="2" t="s">
        <v>36</v>
      </c>
      <c r="AH152" s="164">
        <v>0</v>
      </c>
      <c r="AI152" s="164">
        <v>5.3086429704693199E-6</v>
      </c>
      <c r="AJ152" s="164">
        <v>4.2528176087227299E-8</v>
      </c>
    </row>
    <row r="153" spans="1:36">
      <c r="A153" s="2">
        <v>337</v>
      </c>
      <c r="B153" s="2">
        <v>1477</v>
      </c>
      <c r="C153" s="2" t="s">
        <v>2353</v>
      </c>
      <c r="D153" s="2" t="s">
        <v>2354</v>
      </c>
      <c r="E153" s="4" t="s">
        <v>1303</v>
      </c>
      <c r="F153" s="2" t="s">
        <v>2355</v>
      </c>
      <c r="G153" s="2" t="s">
        <v>2356</v>
      </c>
      <c r="H153" s="2" t="s">
        <v>318</v>
      </c>
      <c r="I153" s="2" t="s">
        <v>965</v>
      </c>
      <c r="J153" s="2" t="s">
        <v>30</v>
      </c>
      <c r="K153" s="2" t="s">
        <v>30</v>
      </c>
      <c r="L153" s="2" t="s">
        <v>324</v>
      </c>
      <c r="M153" s="2" t="s">
        <v>41</v>
      </c>
      <c r="N153" s="2" t="s">
        <v>437</v>
      </c>
      <c r="O153" s="2" t="s">
        <v>134</v>
      </c>
      <c r="P153" s="2" t="s">
        <v>1842</v>
      </c>
      <c r="Q153" s="2" t="s">
        <v>406</v>
      </c>
      <c r="R153" s="2" t="s">
        <v>406</v>
      </c>
      <c r="S153" s="2" t="s">
        <v>34</v>
      </c>
      <c r="T153" s="151">
        <v>2.9870000000000001</v>
      </c>
      <c r="U153" s="2" t="s">
        <v>74</v>
      </c>
      <c r="V153" s="162">
        <v>5.5E-2</v>
      </c>
      <c r="W153" s="164">
        <v>6.216E-2</v>
      </c>
      <c r="X153" s="4" t="s">
        <v>409</v>
      </c>
      <c r="Y153" s="4" t="s">
        <v>134</v>
      </c>
      <c r="Z153" s="151">
        <v>17000</v>
      </c>
      <c r="AA153" s="158">
        <v>1</v>
      </c>
      <c r="AB153" s="175">
        <v>98.21</v>
      </c>
      <c r="AD153" s="151">
        <v>16.696000000000002</v>
      </c>
      <c r="AG153" s="2" t="s">
        <v>36</v>
      </c>
      <c r="AH153" s="164">
        <v>5.1999999999999997E-5</v>
      </c>
      <c r="AI153" s="164">
        <v>0.13171670237119401</v>
      </c>
      <c r="AJ153" s="164">
        <v>1.05519831400073E-3</v>
      </c>
    </row>
    <row r="154" spans="1:36">
      <c r="A154" s="2">
        <v>337</v>
      </c>
      <c r="B154" s="2">
        <v>1477</v>
      </c>
      <c r="C154" s="2" t="s">
        <v>1888</v>
      </c>
      <c r="D154" s="2" t="s">
        <v>1889</v>
      </c>
      <c r="E154" s="4" t="s">
        <v>1303</v>
      </c>
      <c r="F154" s="2" t="s">
        <v>1890</v>
      </c>
      <c r="G154" s="2" t="s">
        <v>1891</v>
      </c>
      <c r="H154" s="2" t="s">
        <v>318</v>
      </c>
      <c r="I154" s="2" t="s">
        <v>965</v>
      </c>
      <c r="J154" s="2" t="s">
        <v>30</v>
      </c>
      <c r="K154" s="2" t="s">
        <v>30</v>
      </c>
      <c r="L154" s="2" t="s">
        <v>324</v>
      </c>
      <c r="M154" s="2" t="s">
        <v>41</v>
      </c>
      <c r="N154" s="2" t="s">
        <v>460</v>
      </c>
      <c r="O154" s="2" t="s">
        <v>134</v>
      </c>
      <c r="P154" s="2" t="s">
        <v>1842</v>
      </c>
      <c r="Q154" s="2" t="s">
        <v>406</v>
      </c>
      <c r="R154" s="2" t="s">
        <v>406</v>
      </c>
      <c r="S154" s="2" t="s">
        <v>34</v>
      </c>
      <c r="T154" s="151">
        <v>0.44600000000000001</v>
      </c>
      <c r="U154" s="2" t="s">
        <v>1892</v>
      </c>
      <c r="V154" s="162">
        <v>6.5000000000000002E-2</v>
      </c>
      <c r="W154" s="164">
        <v>0.10415000000000001</v>
      </c>
      <c r="X154" s="4" t="s">
        <v>409</v>
      </c>
      <c r="Y154" s="4" t="s">
        <v>134</v>
      </c>
      <c r="Z154" s="151">
        <v>19178</v>
      </c>
      <c r="AA154" s="158">
        <v>1</v>
      </c>
      <c r="AB154" s="175">
        <v>100.31</v>
      </c>
      <c r="AD154" s="151">
        <v>19.236999999999998</v>
      </c>
      <c r="AG154" s="2" t="s">
        <v>36</v>
      </c>
      <c r="AH154" s="164">
        <v>1.75E-4</v>
      </c>
      <c r="AI154" s="164">
        <v>0.15176924076982701</v>
      </c>
      <c r="AJ154" s="164">
        <v>1.21584160622378E-3</v>
      </c>
    </row>
    <row r="155" spans="1:36">
      <c r="A155" s="2">
        <v>337</v>
      </c>
      <c r="B155" s="2">
        <v>1477</v>
      </c>
      <c r="C155" s="2" t="s">
        <v>1478</v>
      </c>
      <c r="D155" s="2" t="s">
        <v>1479</v>
      </c>
      <c r="E155" s="4" t="s">
        <v>1303</v>
      </c>
      <c r="F155" s="2" t="s">
        <v>1902</v>
      </c>
      <c r="G155" s="2" t="s">
        <v>1903</v>
      </c>
      <c r="H155" s="2" t="s">
        <v>318</v>
      </c>
      <c r="I155" s="2" t="s">
        <v>966</v>
      </c>
      <c r="J155" s="2" t="s">
        <v>30</v>
      </c>
      <c r="K155" s="2" t="s">
        <v>30</v>
      </c>
      <c r="L155" s="2" t="s">
        <v>324</v>
      </c>
      <c r="M155" s="2" t="s">
        <v>41</v>
      </c>
      <c r="N155" s="2" t="s">
        <v>437</v>
      </c>
      <c r="O155" s="2" t="s">
        <v>134</v>
      </c>
      <c r="P155" s="2" t="s">
        <v>1862</v>
      </c>
      <c r="Q155" s="2" t="s">
        <v>410</v>
      </c>
      <c r="R155" s="2" t="s">
        <v>403</v>
      </c>
      <c r="S155" s="2" t="s">
        <v>34</v>
      </c>
      <c r="T155" s="151">
        <v>2.3250000000000002</v>
      </c>
      <c r="U155" s="2" t="s">
        <v>1904</v>
      </c>
      <c r="V155" s="162">
        <v>1.25E-3</v>
      </c>
      <c r="W155" s="164">
        <v>5.6779999999999997E-2</v>
      </c>
      <c r="X155" s="4" t="s">
        <v>409</v>
      </c>
      <c r="Y155" s="4" t="s">
        <v>134</v>
      </c>
      <c r="Z155" s="151">
        <v>4000</v>
      </c>
      <c r="AA155" s="158">
        <v>1</v>
      </c>
      <c r="AB155" s="175">
        <v>88.8</v>
      </c>
      <c r="AD155" s="151">
        <v>3.552</v>
      </c>
      <c r="AG155" s="2" t="s">
        <v>36</v>
      </c>
      <c r="AH155" s="164">
        <v>6.9999999999999999E-6</v>
      </c>
      <c r="AI155" s="164">
        <v>2.80226481562607E-2</v>
      </c>
      <c r="AJ155" s="164">
        <v>2.24492798225327E-4</v>
      </c>
    </row>
    <row r="156" spans="1:36">
      <c r="A156" s="2">
        <v>337</v>
      </c>
      <c r="B156" s="2">
        <v>1477</v>
      </c>
      <c r="C156" s="2" t="s">
        <v>1905</v>
      </c>
      <c r="D156" s="2" t="s">
        <v>1906</v>
      </c>
      <c r="E156" s="4" t="s">
        <v>1303</v>
      </c>
      <c r="F156" s="2" t="s">
        <v>1907</v>
      </c>
      <c r="G156" s="2" t="s">
        <v>1908</v>
      </c>
      <c r="H156" s="2" t="s">
        <v>318</v>
      </c>
      <c r="I156" s="2" t="s">
        <v>753</v>
      </c>
      <c r="J156" s="2" t="s">
        <v>30</v>
      </c>
      <c r="K156" s="2" t="s">
        <v>30</v>
      </c>
      <c r="L156" s="2" t="s">
        <v>324</v>
      </c>
      <c r="M156" s="2" t="s">
        <v>41</v>
      </c>
      <c r="N156" s="2" t="s">
        <v>439</v>
      </c>
      <c r="O156" s="2" t="s">
        <v>134</v>
      </c>
      <c r="P156" s="2" t="s">
        <v>1909</v>
      </c>
      <c r="Q156" s="2" t="s">
        <v>412</v>
      </c>
      <c r="R156" s="2" t="s">
        <v>403</v>
      </c>
      <c r="S156" s="2" t="s">
        <v>34</v>
      </c>
      <c r="T156" s="151">
        <v>1.222</v>
      </c>
      <c r="U156" s="2" t="s">
        <v>1910</v>
      </c>
      <c r="V156" s="162">
        <v>1.2500000000000001E-2</v>
      </c>
      <c r="W156" s="164">
        <v>4.19E-2</v>
      </c>
      <c r="X156" s="4" t="s">
        <v>409</v>
      </c>
      <c r="Y156" s="4" t="s">
        <v>134</v>
      </c>
      <c r="Z156" s="151">
        <v>0.28000000000000003</v>
      </c>
      <c r="AA156" s="158">
        <v>1</v>
      </c>
      <c r="AB156" s="175">
        <v>105.98</v>
      </c>
      <c r="AD156" s="151">
        <v>0</v>
      </c>
      <c r="AG156" s="2" t="s">
        <v>36</v>
      </c>
      <c r="AH156" s="164">
        <v>0</v>
      </c>
      <c r="AI156" s="164">
        <v>2.34109028842382E-6</v>
      </c>
      <c r="AJ156" s="164">
        <v>1.8754755325612799E-8</v>
      </c>
    </row>
    <row r="157" spans="1:36">
      <c r="A157" s="2">
        <v>337</v>
      </c>
      <c r="B157" s="2">
        <v>1477</v>
      </c>
      <c r="C157" s="2" t="s">
        <v>1934</v>
      </c>
      <c r="D157" s="2" t="s">
        <v>1935</v>
      </c>
      <c r="E157" s="4" t="s">
        <v>310</v>
      </c>
      <c r="F157" s="2" t="s">
        <v>1936</v>
      </c>
      <c r="G157" s="2" t="s">
        <v>1937</v>
      </c>
      <c r="H157" s="2" t="s">
        <v>318</v>
      </c>
      <c r="I157" s="2" t="s">
        <v>965</v>
      </c>
      <c r="J157" s="2" t="s">
        <v>30</v>
      </c>
      <c r="K157" s="2" t="s">
        <v>30</v>
      </c>
      <c r="L157" s="2" t="s">
        <v>324</v>
      </c>
      <c r="M157" s="2" t="s">
        <v>41</v>
      </c>
      <c r="N157" s="2" t="s">
        <v>461</v>
      </c>
      <c r="O157" s="2" t="s">
        <v>134</v>
      </c>
      <c r="P157" s="2" t="s">
        <v>1909</v>
      </c>
      <c r="Q157" s="2" t="s">
        <v>412</v>
      </c>
      <c r="R157" s="2" t="s">
        <v>403</v>
      </c>
      <c r="S157" s="2" t="s">
        <v>34</v>
      </c>
      <c r="T157" s="151">
        <v>0.98</v>
      </c>
      <c r="U157" s="2" t="s">
        <v>1938</v>
      </c>
      <c r="V157" s="162">
        <v>7.0000000000000007E-2</v>
      </c>
      <c r="W157" s="164">
        <v>6.5449999999999994E-2</v>
      </c>
      <c r="X157" s="4" t="s">
        <v>409</v>
      </c>
      <c r="Y157" s="4" t="s">
        <v>134</v>
      </c>
      <c r="Z157" s="151">
        <v>0.37</v>
      </c>
      <c r="AA157" s="158">
        <v>1</v>
      </c>
      <c r="AB157" s="175">
        <v>100.55</v>
      </c>
      <c r="AD157" s="151">
        <v>0</v>
      </c>
      <c r="AG157" s="2" t="s">
        <v>36</v>
      </c>
      <c r="AH157" s="164">
        <v>0</v>
      </c>
      <c r="AI157" s="164">
        <v>2.9350804917833502E-6</v>
      </c>
      <c r="AJ157" s="164">
        <v>2.3513282147454802E-8</v>
      </c>
    </row>
    <row r="158" spans="1:36">
      <c r="A158" s="2">
        <v>337</v>
      </c>
      <c r="B158" s="2">
        <v>1477</v>
      </c>
      <c r="C158" s="2" t="s">
        <v>1995</v>
      </c>
      <c r="D158" s="2" t="s">
        <v>1996</v>
      </c>
      <c r="E158" s="4" t="s">
        <v>1303</v>
      </c>
      <c r="F158" s="2" t="s">
        <v>1997</v>
      </c>
      <c r="G158" s="2" t="s">
        <v>1998</v>
      </c>
      <c r="H158" s="2" t="s">
        <v>318</v>
      </c>
      <c r="I158" s="2" t="s">
        <v>966</v>
      </c>
      <c r="J158" s="2" t="s">
        <v>30</v>
      </c>
      <c r="K158" s="2" t="s">
        <v>30</v>
      </c>
      <c r="L158" s="2" t="s">
        <v>324</v>
      </c>
      <c r="M158" s="2" t="s">
        <v>41</v>
      </c>
      <c r="N158" s="2" t="s">
        <v>443</v>
      </c>
      <c r="O158" s="2" t="s">
        <v>134</v>
      </c>
      <c r="P158" s="2" t="s">
        <v>1842</v>
      </c>
      <c r="Q158" s="2" t="s">
        <v>406</v>
      </c>
      <c r="R158" s="2" t="s">
        <v>406</v>
      </c>
      <c r="S158" s="2" t="s">
        <v>34</v>
      </c>
      <c r="T158" s="151">
        <v>3.24</v>
      </c>
      <c r="U158" s="2" t="s">
        <v>1831</v>
      </c>
      <c r="V158" s="162">
        <v>7.0000000000000007E-2</v>
      </c>
      <c r="W158" s="164">
        <v>-6.3850000000000004E-2</v>
      </c>
      <c r="X158" s="4" t="s">
        <v>409</v>
      </c>
      <c r="Y158" s="4" t="s">
        <v>134</v>
      </c>
      <c r="Z158" s="151">
        <v>18000</v>
      </c>
      <c r="AA158" s="158">
        <v>1</v>
      </c>
      <c r="AB158" s="175">
        <v>133.1</v>
      </c>
      <c r="AD158" s="151">
        <v>23.957999999999998</v>
      </c>
      <c r="AG158" s="2" t="s">
        <v>36</v>
      </c>
      <c r="AH158" s="164">
        <v>3.6000000000000002E-4</v>
      </c>
      <c r="AI158" s="164">
        <v>0.189010868391806</v>
      </c>
      <c r="AJ158" s="164">
        <v>1.51418875559752E-3</v>
      </c>
    </row>
    <row r="159" spans="1:36">
      <c r="A159" s="2">
        <v>337</v>
      </c>
      <c r="B159" s="2">
        <v>1477</v>
      </c>
      <c r="C159" s="2" t="s">
        <v>1636</v>
      </c>
      <c r="D159" s="2" t="s">
        <v>1637</v>
      </c>
      <c r="E159" s="4" t="s">
        <v>1303</v>
      </c>
      <c r="F159" s="2" t="s">
        <v>2357</v>
      </c>
      <c r="G159" s="2" t="s">
        <v>2358</v>
      </c>
      <c r="H159" s="2" t="s">
        <v>318</v>
      </c>
      <c r="I159" s="2" t="s">
        <v>753</v>
      </c>
      <c r="J159" s="2" t="s">
        <v>30</v>
      </c>
      <c r="K159" s="2" t="s">
        <v>30</v>
      </c>
      <c r="L159" s="2" t="s">
        <v>324</v>
      </c>
      <c r="M159" s="2" t="s">
        <v>41</v>
      </c>
      <c r="N159" s="2" t="s">
        <v>460</v>
      </c>
      <c r="O159" s="2" t="s">
        <v>134</v>
      </c>
      <c r="P159" s="2" t="s">
        <v>1862</v>
      </c>
      <c r="Q159" s="2" t="s">
        <v>410</v>
      </c>
      <c r="R159" s="2" t="s">
        <v>403</v>
      </c>
      <c r="S159" s="2" t="s">
        <v>34</v>
      </c>
      <c r="T159" s="151">
        <v>0.73899999999999999</v>
      </c>
      <c r="U159" s="2" t="s">
        <v>2314</v>
      </c>
      <c r="V159" s="162">
        <v>4.9500000000000002E-2</v>
      </c>
      <c r="W159" s="164">
        <v>3.2739999999999998E-2</v>
      </c>
      <c r="X159" s="4" t="s">
        <v>409</v>
      </c>
      <c r="Y159" s="4" t="s">
        <v>134</v>
      </c>
      <c r="Z159" s="151">
        <v>0.17</v>
      </c>
      <c r="AA159" s="158">
        <v>1</v>
      </c>
      <c r="AB159" s="175">
        <v>143.07</v>
      </c>
      <c r="AD159" s="151">
        <v>0</v>
      </c>
      <c r="AG159" s="2" t="s">
        <v>36</v>
      </c>
      <c r="AH159" s="164">
        <v>0</v>
      </c>
      <c r="AI159" s="164">
        <v>1.9188176976119299E-6</v>
      </c>
      <c r="AJ159" s="164">
        <v>1.5371878910913801E-8</v>
      </c>
    </row>
    <row r="160" spans="1:36">
      <c r="A160" s="2">
        <v>337</v>
      </c>
      <c r="B160" s="2">
        <v>1477</v>
      </c>
      <c r="C160" s="2" t="s">
        <v>2213</v>
      </c>
      <c r="D160" s="2" t="s">
        <v>2214</v>
      </c>
      <c r="E160" s="4" t="s">
        <v>310</v>
      </c>
      <c r="F160" s="2" t="s">
        <v>2215</v>
      </c>
      <c r="G160" s="2" t="s">
        <v>2216</v>
      </c>
      <c r="H160" s="2" t="s">
        <v>318</v>
      </c>
      <c r="I160" s="2" t="s">
        <v>965</v>
      </c>
      <c r="J160" s="2" t="s">
        <v>30</v>
      </c>
      <c r="K160" s="2" t="s">
        <v>295</v>
      </c>
      <c r="L160" s="2" t="s">
        <v>324</v>
      </c>
      <c r="M160" s="2" t="s">
        <v>41</v>
      </c>
      <c r="N160" s="2" t="s">
        <v>461</v>
      </c>
      <c r="O160" s="2" t="s">
        <v>134</v>
      </c>
      <c r="P160" s="2" t="s">
        <v>1826</v>
      </c>
      <c r="Q160" s="2" t="s">
        <v>410</v>
      </c>
      <c r="R160" s="2" t="s">
        <v>403</v>
      </c>
      <c r="S160" s="2" t="s">
        <v>34</v>
      </c>
      <c r="T160" s="151">
        <v>1.22</v>
      </c>
      <c r="U160" s="2" t="s">
        <v>65</v>
      </c>
      <c r="V160" s="162">
        <v>5.7000000000000002E-2</v>
      </c>
      <c r="W160" s="164">
        <v>6.3519999999999993E-2</v>
      </c>
      <c r="X160" s="4" t="s">
        <v>409</v>
      </c>
      <c r="Y160" s="4" t="s">
        <v>134</v>
      </c>
      <c r="Z160" s="151">
        <v>0.1</v>
      </c>
      <c r="AA160" s="158">
        <v>1</v>
      </c>
      <c r="AB160" s="175">
        <v>100.29</v>
      </c>
      <c r="AD160" s="151">
        <v>0</v>
      </c>
      <c r="AG160" s="2" t="s">
        <v>36</v>
      </c>
      <c r="AH160" s="164">
        <v>0</v>
      </c>
      <c r="AI160" s="164">
        <v>7.9121379042550296E-7</v>
      </c>
      <c r="AJ160" s="164">
        <v>6.3385086525951802E-9</v>
      </c>
    </row>
    <row r="161" spans="1:36">
      <c r="A161" s="2">
        <v>337</v>
      </c>
      <c r="B161" s="2">
        <v>1477</v>
      </c>
      <c r="C161" s="2" t="s">
        <v>2245</v>
      </c>
      <c r="D161" s="2" t="s">
        <v>2246</v>
      </c>
      <c r="E161" s="4" t="s">
        <v>1303</v>
      </c>
      <c r="F161" s="2" t="s">
        <v>2247</v>
      </c>
      <c r="G161" s="2" t="s">
        <v>2248</v>
      </c>
      <c r="H161" s="2" t="s">
        <v>318</v>
      </c>
      <c r="I161" s="2" t="s">
        <v>965</v>
      </c>
      <c r="J161" s="2" t="s">
        <v>30</v>
      </c>
      <c r="K161" s="2" t="s">
        <v>30</v>
      </c>
      <c r="L161" s="2" t="s">
        <v>324</v>
      </c>
      <c r="M161" s="2" t="s">
        <v>41</v>
      </c>
      <c r="N161" s="2" t="s">
        <v>443</v>
      </c>
      <c r="O161" s="2" t="s">
        <v>134</v>
      </c>
      <c r="P161" s="2" t="s">
        <v>1909</v>
      </c>
      <c r="Q161" s="2" t="s">
        <v>412</v>
      </c>
      <c r="R161" s="2" t="s">
        <v>403</v>
      </c>
      <c r="S161" s="2" t="s">
        <v>34</v>
      </c>
      <c r="T161" s="151">
        <v>1.135</v>
      </c>
      <c r="U161" s="2" t="s">
        <v>42</v>
      </c>
      <c r="V161" s="162">
        <v>0.06</v>
      </c>
      <c r="W161" s="164">
        <v>5.5219999999999998E-2</v>
      </c>
      <c r="X161" s="4" t="s">
        <v>409</v>
      </c>
      <c r="Y161" s="4" t="s">
        <v>134</v>
      </c>
      <c r="Z161" s="151">
        <v>0.89</v>
      </c>
      <c r="AA161" s="158">
        <v>1</v>
      </c>
      <c r="AB161" s="175">
        <v>102.62</v>
      </c>
      <c r="AD161" s="151">
        <v>1E-3</v>
      </c>
      <c r="AG161" s="2" t="s">
        <v>36</v>
      </c>
      <c r="AH161" s="164">
        <v>0</v>
      </c>
      <c r="AI161" s="164">
        <v>7.2054022997690598E-6</v>
      </c>
      <c r="AJ161" s="164">
        <v>5.7723342761700297E-8</v>
      </c>
    </row>
    <row r="162" spans="1:36">
      <c r="A162" s="2">
        <v>337</v>
      </c>
      <c r="B162" s="2">
        <v>1477</v>
      </c>
      <c r="C162" s="2" t="s">
        <v>2309</v>
      </c>
      <c r="D162" s="2" t="s">
        <v>2310</v>
      </c>
      <c r="E162" s="4" t="s">
        <v>1303</v>
      </c>
      <c r="F162" s="2" t="s">
        <v>2311</v>
      </c>
      <c r="G162" s="2" t="s">
        <v>2312</v>
      </c>
      <c r="H162" s="2" t="s">
        <v>318</v>
      </c>
      <c r="I162" s="2" t="s">
        <v>965</v>
      </c>
      <c r="J162" s="2" t="s">
        <v>30</v>
      </c>
      <c r="K162" s="2" t="s">
        <v>30</v>
      </c>
      <c r="L162" s="2" t="s">
        <v>324</v>
      </c>
      <c r="M162" s="2" t="s">
        <v>41</v>
      </c>
      <c r="N162" s="2" t="s">
        <v>439</v>
      </c>
      <c r="O162" s="2" t="s">
        <v>134</v>
      </c>
      <c r="P162" s="2" t="s">
        <v>2313</v>
      </c>
      <c r="Q162" s="2" t="s">
        <v>412</v>
      </c>
      <c r="R162" s="2" t="s">
        <v>403</v>
      </c>
      <c r="S162" s="2" t="s">
        <v>34</v>
      </c>
      <c r="T162" s="151">
        <v>0.49199999999999999</v>
      </c>
      <c r="U162" s="2" t="s">
        <v>2314</v>
      </c>
      <c r="V162" s="162">
        <v>3.15E-2</v>
      </c>
      <c r="W162" s="164">
        <v>8.004E-2</v>
      </c>
      <c r="X162" s="4" t="s">
        <v>409</v>
      </c>
      <c r="Y162" s="4" t="s">
        <v>134</v>
      </c>
      <c r="Z162" s="151">
        <v>9499.9699999999993</v>
      </c>
      <c r="AA162" s="158">
        <v>1</v>
      </c>
      <c r="AB162" s="175">
        <v>98.54</v>
      </c>
      <c r="AD162" s="151">
        <v>9.3610000000000007</v>
      </c>
      <c r="AG162" s="2" t="s">
        <v>36</v>
      </c>
      <c r="AH162" s="164">
        <v>1.1E-4</v>
      </c>
      <c r="AI162" s="164">
        <v>7.3853487550585101E-2</v>
      </c>
      <c r="AJ162" s="164">
        <v>5.9164915415840498E-4</v>
      </c>
    </row>
    <row r="163" spans="1:36">
      <c r="A163" s="2">
        <v>337</v>
      </c>
      <c r="B163" s="2">
        <v>1477</v>
      </c>
      <c r="C163" s="2" t="s">
        <v>1174</v>
      </c>
      <c r="D163" s="2" t="s">
        <v>1589</v>
      </c>
      <c r="E163" s="4" t="s">
        <v>1303</v>
      </c>
      <c r="F163" s="2" t="s">
        <v>2338</v>
      </c>
      <c r="G163" s="2" t="s">
        <v>2339</v>
      </c>
      <c r="H163" s="2" t="s">
        <v>318</v>
      </c>
      <c r="I163" s="2" t="s">
        <v>754</v>
      </c>
      <c r="J163" s="2" t="s">
        <v>79</v>
      </c>
      <c r="K163" s="2" t="s">
        <v>30</v>
      </c>
      <c r="L163" s="2" t="s">
        <v>324</v>
      </c>
      <c r="M163" s="2" t="s">
        <v>164</v>
      </c>
      <c r="N163" s="2" t="s">
        <v>533</v>
      </c>
      <c r="O163" s="2" t="s">
        <v>134</v>
      </c>
      <c r="P163" s="2" t="s">
        <v>2340</v>
      </c>
      <c r="Q163" s="2" t="s">
        <v>429</v>
      </c>
      <c r="R163" s="2" t="s">
        <v>403</v>
      </c>
      <c r="S163" s="2" t="s">
        <v>84</v>
      </c>
      <c r="T163" s="151">
        <v>5.09</v>
      </c>
      <c r="U163" s="2" t="s">
        <v>2341</v>
      </c>
      <c r="V163" s="162">
        <v>3.2750000000000001E-2</v>
      </c>
      <c r="W163" s="164">
        <v>5.7320000000000003E-2</v>
      </c>
      <c r="X163" s="4" t="s">
        <v>409</v>
      </c>
      <c r="Y163" s="4" t="s">
        <v>134</v>
      </c>
      <c r="Z163" s="151">
        <v>2000</v>
      </c>
      <c r="AA163" s="158">
        <v>3.718</v>
      </c>
      <c r="AB163" s="175">
        <v>98.22</v>
      </c>
      <c r="AD163" s="151">
        <v>7.3040000000000003</v>
      </c>
      <c r="AG163" s="2" t="s">
        <v>36</v>
      </c>
      <c r="AH163" s="164">
        <v>3.0000000000000001E-6</v>
      </c>
      <c r="AI163" s="164">
        <v>5.7620360342985601E-2</v>
      </c>
      <c r="AJ163" s="164">
        <v>4.6160362346977401E-4</v>
      </c>
    </row>
    <row r="164" spans="1:36">
      <c r="A164" s="2">
        <v>337</v>
      </c>
      <c r="B164" s="2">
        <v>1477</v>
      </c>
      <c r="C164" s="2" t="s">
        <v>1804</v>
      </c>
      <c r="D164" s="2" t="s">
        <v>1805</v>
      </c>
      <c r="E164" s="4" t="s">
        <v>1303</v>
      </c>
      <c r="F164" s="2" t="s">
        <v>2342</v>
      </c>
      <c r="G164" s="2" t="s">
        <v>2343</v>
      </c>
      <c r="H164" s="2" t="s">
        <v>318</v>
      </c>
      <c r="I164" s="2" t="s">
        <v>754</v>
      </c>
      <c r="J164" s="2" t="s">
        <v>79</v>
      </c>
      <c r="K164" s="2" t="s">
        <v>30</v>
      </c>
      <c r="L164" s="2" t="s">
        <v>324</v>
      </c>
      <c r="M164" s="2" t="s">
        <v>164</v>
      </c>
      <c r="N164" s="2" t="s">
        <v>483</v>
      </c>
      <c r="O164" s="2" t="s">
        <v>134</v>
      </c>
      <c r="P164" s="2" t="s">
        <v>1808</v>
      </c>
      <c r="Q164" s="2" t="s">
        <v>429</v>
      </c>
      <c r="R164" s="2" t="s">
        <v>403</v>
      </c>
      <c r="S164" s="2" t="s">
        <v>84</v>
      </c>
      <c r="T164" s="151">
        <v>2.085</v>
      </c>
      <c r="U164" s="2" t="s">
        <v>1910</v>
      </c>
      <c r="V164" s="162">
        <v>6.5000000000000002E-2</v>
      </c>
      <c r="W164" s="164">
        <v>7.2739999999999999E-2</v>
      </c>
      <c r="X164" s="4" t="s">
        <v>409</v>
      </c>
      <c r="Y164" s="4" t="s">
        <v>134</v>
      </c>
      <c r="Z164" s="151">
        <v>1000</v>
      </c>
      <c r="AA164" s="158">
        <v>3.718</v>
      </c>
      <c r="AB164" s="175">
        <v>100.452</v>
      </c>
      <c r="AD164" s="151">
        <v>3.7349999999999999</v>
      </c>
      <c r="AG164" s="2" t="s">
        <v>36</v>
      </c>
      <c r="AH164" s="164">
        <v>1.9999999999999999E-6</v>
      </c>
      <c r="AI164" s="164">
        <v>2.9464876329843001E-2</v>
      </c>
      <c r="AJ164" s="164">
        <v>2.36046661249317E-4</v>
      </c>
    </row>
    <row r="165" spans="1:36">
      <c r="A165" s="2">
        <v>337</v>
      </c>
      <c r="B165" s="2">
        <v>1477</v>
      </c>
      <c r="C165" s="2" t="s">
        <v>1596</v>
      </c>
      <c r="D165" s="2" t="s">
        <v>1597</v>
      </c>
      <c r="E165" s="4" t="s">
        <v>1303</v>
      </c>
      <c r="F165" s="2" t="s">
        <v>2344</v>
      </c>
      <c r="G165" s="2" t="s">
        <v>2345</v>
      </c>
      <c r="H165" s="2" t="s">
        <v>318</v>
      </c>
      <c r="I165" s="2" t="s">
        <v>754</v>
      </c>
      <c r="J165" s="2" t="s">
        <v>79</v>
      </c>
      <c r="K165" s="2" t="s">
        <v>30</v>
      </c>
      <c r="L165" s="2" t="s">
        <v>324</v>
      </c>
      <c r="M165" s="2" t="s">
        <v>164</v>
      </c>
      <c r="N165" s="2" t="s">
        <v>533</v>
      </c>
      <c r="O165" s="2" t="s">
        <v>134</v>
      </c>
      <c r="P165" s="2" t="s">
        <v>2340</v>
      </c>
      <c r="Q165" s="2" t="s">
        <v>429</v>
      </c>
      <c r="R165" s="2" t="s">
        <v>403</v>
      </c>
      <c r="S165" s="2" t="s">
        <v>84</v>
      </c>
      <c r="T165" s="151">
        <v>5.1630000000000003</v>
      </c>
      <c r="U165" s="2" t="s">
        <v>2346</v>
      </c>
      <c r="V165" s="162">
        <v>3.0769999999999999E-2</v>
      </c>
      <c r="W165" s="164">
        <v>6.2829999999999997E-2</v>
      </c>
      <c r="X165" s="4" t="s">
        <v>409</v>
      </c>
      <c r="Y165" s="4" t="s">
        <v>134</v>
      </c>
      <c r="Z165" s="151">
        <v>2000</v>
      </c>
      <c r="AA165" s="158">
        <v>3.718</v>
      </c>
      <c r="AB165" s="175">
        <v>98.525999999999996</v>
      </c>
      <c r="AD165" s="151">
        <v>7.3259999999999996</v>
      </c>
      <c r="AG165" s="2" t="s">
        <v>36</v>
      </c>
      <c r="AH165" s="164">
        <v>3.0000000000000001E-6</v>
      </c>
      <c r="AI165" s="164">
        <v>5.7799639147637798E-2</v>
      </c>
      <c r="AJ165" s="164">
        <v>4.6303984749451402E-4</v>
      </c>
    </row>
    <row r="166" spans="1:36">
      <c r="A166" s="2">
        <v>337</v>
      </c>
      <c r="B166" s="2">
        <v>1477</v>
      </c>
      <c r="C166" s="2" t="s">
        <v>1569</v>
      </c>
      <c r="D166" s="2" t="s">
        <v>1570</v>
      </c>
      <c r="E166" s="4" t="s">
        <v>1303</v>
      </c>
      <c r="F166" s="2" t="s">
        <v>2347</v>
      </c>
      <c r="G166" s="2" t="s">
        <v>2348</v>
      </c>
      <c r="H166" s="2" t="s">
        <v>318</v>
      </c>
      <c r="I166" s="2" t="s">
        <v>754</v>
      </c>
      <c r="J166" s="2" t="s">
        <v>79</v>
      </c>
      <c r="K166" s="2" t="s">
        <v>80</v>
      </c>
      <c r="L166" s="2" t="s">
        <v>324</v>
      </c>
      <c r="M166" s="2" t="s">
        <v>164</v>
      </c>
      <c r="N166" s="2" t="s">
        <v>463</v>
      </c>
      <c r="O166" s="2" t="s">
        <v>134</v>
      </c>
      <c r="P166" s="2" t="s">
        <v>1808</v>
      </c>
      <c r="Q166" s="2" t="s">
        <v>429</v>
      </c>
      <c r="R166" s="2" t="s">
        <v>403</v>
      </c>
      <c r="S166" s="2" t="s">
        <v>1177</v>
      </c>
      <c r="T166" s="151">
        <v>4.3479999999999999</v>
      </c>
      <c r="U166" s="2" t="s">
        <v>2349</v>
      </c>
      <c r="V166" s="162">
        <v>4.3749999999999997E-2</v>
      </c>
      <c r="W166" s="164">
        <v>4.4729999999999999E-2</v>
      </c>
      <c r="X166" s="4" t="s">
        <v>409</v>
      </c>
      <c r="Y166" s="4" t="s">
        <v>134</v>
      </c>
      <c r="Z166" s="151">
        <v>5000</v>
      </c>
      <c r="AA166" s="158">
        <v>4.0218999999999996</v>
      </c>
      <c r="AB166" s="175">
        <v>101.59099999999999</v>
      </c>
      <c r="AD166" s="151">
        <v>20.428999999999998</v>
      </c>
      <c r="AG166" s="2" t="s">
        <v>36</v>
      </c>
      <c r="AH166" s="164">
        <v>3.0000000000000001E-6</v>
      </c>
      <c r="AI166" s="164">
        <v>0.16117284409209801</v>
      </c>
      <c r="AJ166" s="164">
        <v>1.2911750012493299E-3</v>
      </c>
    </row>
    <row r="167" spans="1:36">
      <c r="A167" s="2">
        <v>337</v>
      </c>
      <c r="B167" s="2">
        <v>1477</v>
      </c>
      <c r="C167" s="2" t="s">
        <v>1569</v>
      </c>
      <c r="D167" s="2" t="s">
        <v>1570</v>
      </c>
      <c r="E167" s="4" t="s">
        <v>1303</v>
      </c>
      <c r="F167" s="2" t="s">
        <v>2350</v>
      </c>
      <c r="G167" s="2" t="s">
        <v>2351</v>
      </c>
      <c r="H167" s="2" t="s">
        <v>318</v>
      </c>
      <c r="I167" s="2" t="s">
        <v>754</v>
      </c>
      <c r="J167" s="2" t="s">
        <v>79</v>
      </c>
      <c r="K167" s="2" t="s">
        <v>80</v>
      </c>
      <c r="L167" s="2" t="s">
        <v>324</v>
      </c>
      <c r="M167" s="2" t="s">
        <v>164</v>
      </c>
      <c r="N167" s="2" t="s">
        <v>463</v>
      </c>
      <c r="O167" s="2" t="s">
        <v>134</v>
      </c>
      <c r="P167" s="2" t="s">
        <v>1808</v>
      </c>
      <c r="Q167" s="2" t="s">
        <v>429</v>
      </c>
      <c r="R167" s="2" t="s">
        <v>403</v>
      </c>
      <c r="S167" s="2" t="s">
        <v>84</v>
      </c>
      <c r="T167" s="151">
        <v>3.6709999999999998</v>
      </c>
      <c r="U167" s="2" t="s">
        <v>2352</v>
      </c>
      <c r="V167" s="162">
        <v>5.1249999999999997E-2</v>
      </c>
      <c r="W167" s="164">
        <v>5.6770000000000001E-2</v>
      </c>
      <c r="X167" s="4" t="s">
        <v>409</v>
      </c>
      <c r="Y167" s="4" t="s">
        <v>134</v>
      </c>
      <c r="Z167" s="151">
        <v>3000</v>
      </c>
      <c r="AA167" s="158">
        <v>3.718</v>
      </c>
      <c r="AB167" s="175">
        <v>102.021</v>
      </c>
      <c r="AD167" s="151">
        <v>11.379</v>
      </c>
      <c r="AG167" s="2" t="s">
        <v>36</v>
      </c>
      <c r="AH167" s="164">
        <v>3.0000000000000001E-6</v>
      </c>
      <c r="AI167" s="164">
        <v>8.9775028853726499E-2</v>
      </c>
      <c r="AJ167" s="164">
        <v>7.1919853276357403E-4</v>
      </c>
    </row>
    <row r="168" spans="1:36">
      <c r="A168" s="2">
        <v>337</v>
      </c>
      <c r="B168" s="2">
        <v>9962</v>
      </c>
      <c r="C168" s="2" t="s">
        <v>1804</v>
      </c>
      <c r="D168" s="2" t="s">
        <v>1805</v>
      </c>
      <c r="E168" s="4" t="s">
        <v>1303</v>
      </c>
      <c r="F168" s="2" t="s">
        <v>1806</v>
      </c>
      <c r="G168" s="2" t="s">
        <v>1807</v>
      </c>
      <c r="H168" s="2" t="s">
        <v>318</v>
      </c>
      <c r="I168" s="2" t="s">
        <v>754</v>
      </c>
      <c r="J168" s="2" t="s">
        <v>79</v>
      </c>
      <c r="K168" s="2" t="s">
        <v>30</v>
      </c>
      <c r="L168" s="2" t="s">
        <v>324</v>
      </c>
      <c r="M168" s="2" t="s">
        <v>164</v>
      </c>
      <c r="N168" s="2" t="s">
        <v>483</v>
      </c>
      <c r="O168" s="2" t="s">
        <v>134</v>
      </c>
      <c r="P168" s="2" t="s">
        <v>1808</v>
      </c>
      <c r="Q168" s="2" t="s">
        <v>429</v>
      </c>
      <c r="R168" s="2" t="s">
        <v>403</v>
      </c>
      <c r="S168" s="2" t="s">
        <v>84</v>
      </c>
      <c r="T168" s="151">
        <v>0.23899999999999999</v>
      </c>
      <c r="U168" s="2" t="s">
        <v>1809</v>
      </c>
      <c r="V168" s="162">
        <v>6.1249999999999999E-2</v>
      </c>
      <c r="W168" s="164">
        <v>6.862E-2</v>
      </c>
      <c r="X168" s="4" t="s">
        <v>409</v>
      </c>
      <c r="Y168" s="4" t="s">
        <v>134</v>
      </c>
      <c r="Z168" s="151">
        <v>11000</v>
      </c>
      <c r="AA168" s="158">
        <v>3.718</v>
      </c>
      <c r="AB168" s="175">
        <v>101.505</v>
      </c>
      <c r="AD168" s="151">
        <v>41.514000000000003</v>
      </c>
      <c r="AG168" s="2" t="s">
        <v>36</v>
      </c>
      <c r="AH168" s="164">
        <v>1.8E-5</v>
      </c>
      <c r="AI168" s="164">
        <v>6.3095746915431397E-3</v>
      </c>
      <c r="AJ168" s="164">
        <v>1.0845630256243401E-3</v>
      </c>
    </row>
    <row r="169" spans="1:36">
      <c r="A169" s="2">
        <v>337</v>
      </c>
      <c r="B169" s="2">
        <v>9962</v>
      </c>
      <c r="C169" s="2" t="s">
        <v>1810</v>
      </c>
      <c r="D169" s="2" t="s">
        <v>1811</v>
      </c>
      <c r="E169" s="4" t="s">
        <v>1303</v>
      </c>
      <c r="F169" s="2" t="s">
        <v>1812</v>
      </c>
      <c r="G169" s="2" t="s">
        <v>1813</v>
      </c>
      <c r="H169" s="2" t="s">
        <v>318</v>
      </c>
      <c r="I169" s="2" t="s">
        <v>965</v>
      </c>
      <c r="J169" s="2" t="s">
        <v>30</v>
      </c>
      <c r="K169" s="2" t="s">
        <v>30</v>
      </c>
      <c r="L169" s="2" t="s">
        <v>324</v>
      </c>
      <c r="M169" s="2" t="s">
        <v>41</v>
      </c>
      <c r="N169" s="2" t="s">
        <v>443</v>
      </c>
      <c r="O169" s="2" t="s">
        <v>134</v>
      </c>
      <c r="P169" s="2" t="s">
        <v>1814</v>
      </c>
      <c r="Q169" s="2" t="s">
        <v>412</v>
      </c>
      <c r="R169" s="2" t="s">
        <v>403</v>
      </c>
      <c r="S169" s="2" t="s">
        <v>34</v>
      </c>
      <c r="T169" s="151">
        <v>1.456</v>
      </c>
      <c r="U169" s="2" t="s">
        <v>94</v>
      </c>
      <c r="V169" s="162">
        <v>3.5000000000000003E-2</v>
      </c>
      <c r="W169" s="164">
        <v>5.4859999999999999E-2</v>
      </c>
      <c r="X169" s="4" t="s">
        <v>409</v>
      </c>
      <c r="Y169" s="4" t="s">
        <v>134</v>
      </c>
      <c r="Z169" s="151">
        <v>21128</v>
      </c>
      <c r="AA169" s="158">
        <v>1</v>
      </c>
      <c r="AB169" s="175">
        <v>97.31</v>
      </c>
      <c r="AD169" s="151">
        <v>20.56</v>
      </c>
      <c r="AG169" s="2" t="s">
        <v>36</v>
      </c>
      <c r="AH169" s="164">
        <v>1.5200000000000001E-4</v>
      </c>
      <c r="AI169" s="164">
        <v>3.1248210884521899E-3</v>
      </c>
      <c r="AJ169" s="164">
        <v>5.3713056424689002E-4</v>
      </c>
    </row>
    <row r="170" spans="1:36">
      <c r="A170" s="2">
        <v>337</v>
      </c>
      <c r="B170" s="2">
        <v>9962</v>
      </c>
      <c r="C170" s="2" t="s">
        <v>1810</v>
      </c>
      <c r="D170" s="2" t="s">
        <v>1811</v>
      </c>
      <c r="E170" s="4" t="s">
        <v>1303</v>
      </c>
      <c r="F170" s="2" t="s">
        <v>1815</v>
      </c>
      <c r="G170" s="2" t="s">
        <v>1816</v>
      </c>
      <c r="H170" s="2" t="s">
        <v>318</v>
      </c>
      <c r="I170" s="2" t="s">
        <v>753</v>
      </c>
      <c r="J170" s="2" t="s">
        <v>30</v>
      </c>
      <c r="K170" s="2" t="s">
        <v>30</v>
      </c>
      <c r="L170" s="2" t="s">
        <v>324</v>
      </c>
      <c r="M170" s="2" t="s">
        <v>41</v>
      </c>
      <c r="N170" s="2" t="s">
        <v>443</v>
      </c>
      <c r="O170" s="2" t="s">
        <v>134</v>
      </c>
      <c r="P170" s="2" t="s">
        <v>1814</v>
      </c>
      <c r="Q170" s="2" t="s">
        <v>412</v>
      </c>
      <c r="R170" s="2" t="s">
        <v>403</v>
      </c>
      <c r="S170" s="2" t="s">
        <v>34</v>
      </c>
      <c r="T170" s="151">
        <v>2.367</v>
      </c>
      <c r="U170" s="2" t="s">
        <v>1817</v>
      </c>
      <c r="V170" s="162">
        <v>3.85E-2</v>
      </c>
      <c r="W170" s="164">
        <v>3.3009999999999998E-2</v>
      </c>
      <c r="X170" s="4" t="s">
        <v>409</v>
      </c>
      <c r="Y170" s="4" t="s">
        <v>134</v>
      </c>
      <c r="Z170" s="151">
        <v>43000</v>
      </c>
      <c r="AA170" s="158">
        <v>1</v>
      </c>
      <c r="AB170" s="175">
        <v>108.67</v>
      </c>
      <c r="AD170" s="151">
        <v>46.728000000000002</v>
      </c>
      <c r="AG170" s="2" t="s">
        <v>36</v>
      </c>
      <c r="AH170" s="164">
        <v>1.4300000000000001E-4</v>
      </c>
      <c r="AI170" s="164">
        <v>7.1021103962835902E-3</v>
      </c>
      <c r="AJ170" s="164">
        <v>1.2207932731243399E-3</v>
      </c>
    </row>
    <row r="171" spans="1:36">
      <c r="A171" s="2">
        <v>337</v>
      </c>
      <c r="B171" s="2">
        <v>9962</v>
      </c>
      <c r="C171" s="2" t="s">
        <v>1818</v>
      </c>
      <c r="D171" s="2" t="s">
        <v>1819</v>
      </c>
      <c r="E171" s="4" t="s">
        <v>1303</v>
      </c>
      <c r="F171" s="2" t="s">
        <v>1820</v>
      </c>
      <c r="G171" s="2" t="s">
        <v>1821</v>
      </c>
      <c r="H171" s="2" t="s">
        <v>318</v>
      </c>
      <c r="I171" s="2" t="s">
        <v>753</v>
      </c>
      <c r="J171" s="2" t="s">
        <v>30</v>
      </c>
      <c r="K171" s="2" t="s">
        <v>295</v>
      </c>
      <c r="L171" s="2" t="s">
        <v>324</v>
      </c>
      <c r="M171" s="2" t="s">
        <v>41</v>
      </c>
      <c r="N171" s="2" t="s">
        <v>461</v>
      </c>
      <c r="O171" s="2" t="s">
        <v>134</v>
      </c>
      <c r="P171" s="2" t="s">
        <v>1814</v>
      </c>
      <c r="Q171" s="2" t="s">
        <v>412</v>
      </c>
      <c r="R171" s="2" t="s">
        <v>403</v>
      </c>
      <c r="S171" s="2" t="s">
        <v>34</v>
      </c>
      <c r="T171" s="151">
        <v>2.87</v>
      </c>
      <c r="U171" s="2" t="s">
        <v>74</v>
      </c>
      <c r="V171" s="162">
        <v>2.4500000000000001E-2</v>
      </c>
      <c r="W171" s="164">
        <v>3.3500000000000002E-2</v>
      </c>
      <c r="X171" s="4" t="s">
        <v>409</v>
      </c>
      <c r="Y171" s="4" t="s">
        <v>134</v>
      </c>
      <c r="Z171" s="151">
        <v>10956.52</v>
      </c>
      <c r="AA171" s="158">
        <v>1</v>
      </c>
      <c r="AB171" s="175">
        <v>112.51</v>
      </c>
      <c r="AD171" s="151">
        <v>12.327</v>
      </c>
      <c r="AG171" s="2" t="s">
        <v>36</v>
      </c>
      <c r="AH171" s="164">
        <v>2.3E-5</v>
      </c>
      <c r="AI171" s="164">
        <v>1.8735835153887101E-3</v>
      </c>
      <c r="AJ171" s="164">
        <v>3.2205330874891401E-4</v>
      </c>
    </row>
    <row r="172" spans="1:36">
      <c r="A172" s="2">
        <v>337</v>
      </c>
      <c r="B172" s="2">
        <v>9962</v>
      </c>
      <c r="C172" s="2" t="s">
        <v>1430</v>
      </c>
      <c r="D172" s="2" t="s">
        <v>1431</v>
      </c>
      <c r="E172" s="4" t="s">
        <v>1303</v>
      </c>
      <c r="F172" s="2" t="s">
        <v>1828</v>
      </c>
      <c r="G172" s="2" t="s">
        <v>1829</v>
      </c>
      <c r="H172" s="2" t="s">
        <v>318</v>
      </c>
      <c r="I172" s="2" t="s">
        <v>753</v>
      </c>
      <c r="J172" s="2" t="s">
        <v>30</v>
      </c>
      <c r="K172" s="2" t="s">
        <v>30</v>
      </c>
      <c r="L172" s="2" t="s">
        <v>324</v>
      </c>
      <c r="M172" s="2" t="s">
        <v>41</v>
      </c>
      <c r="N172" s="2" t="s">
        <v>436</v>
      </c>
      <c r="O172" s="2" t="s">
        <v>134</v>
      </c>
      <c r="P172" s="2" t="s">
        <v>1830</v>
      </c>
      <c r="Q172" s="2" t="s">
        <v>410</v>
      </c>
      <c r="R172" s="2" t="s">
        <v>403</v>
      </c>
      <c r="S172" s="2" t="s">
        <v>34</v>
      </c>
      <c r="T172" s="151">
        <v>2.7240000000000002</v>
      </c>
      <c r="U172" s="2" t="s">
        <v>1831</v>
      </c>
      <c r="V172" s="162">
        <v>2.75E-2</v>
      </c>
      <c r="W172" s="164">
        <v>3.075E-2</v>
      </c>
      <c r="X172" s="4" t="s">
        <v>409</v>
      </c>
      <c r="Y172" s="4" t="s">
        <v>134</v>
      </c>
      <c r="Z172" s="151">
        <v>62007.58</v>
      </c>
      <c r="AA172" s="158">
        <v>1</v>
      </c>
      <c r="AB172" s="175">
        <v>114.05</v>
      </c>
      <c r="AD172" s="151">
        <v>70.72</v>
      </c>
      <c r="AG172" s="2" t="s">
        <v>36</v>
      </c>
      <c r="AH172" s="164">
        <v>8.2999999999999998E-5</v>
      </c>
      <c r="AI172" s="164">
        <v>1.07485373020723E-2</v>
      </c>
      <c r="AJ172" s="164">
        <v>1.8475835071730599E-3</v>
      </c>
    </row>
    <row r="173" spans="1:36">
      <c r="A173" s="2">
        <v>337</v>
      </c>
      <c r="B173" s="2">
        <v>9962</v>
      </c>
      <c r="C173" s="2" t="s">
        <v>1836</v>
      </c>
      <c r="D173" s="2" t="s">
        <v>1837</v>
      </c>
      <c r="E173" s="4" t="s">
        <v>1303</v>
      </c>
      <c r="F173" s="2" t="s">
        <v>1838</v>
      </c>
      <c r="G173" s="2" t="s">
        <v>1839</v>
      </c>
      <c r="H173" s="2" t="s">
        <v>318</v>
      </c>
      <c r="I173" s="2" t="s">
        <v>753</v>
      </c>
      <c r="J173" s="2" t="s">
        <v>30</v>
      </c>
      <c r="K173" s="2" t="s">
        <v>30</v>
      </c>
      <c r="L173" s="2" t="s">
        <v>324</v>
      </c>
      <c r="M173" s="2" t="s">
        <v>41</v>
      </c>
      <c r="N173" s="2" t="s">
        <v>460</v>
      </c>
      <c r="O173" s="2" t="s">
        <v>134</v>
      </c>
      <c r="P173" s="2" t="s">
        <v>1834</v>
      </c>
      <c r="Q173" s="2" t="s">
        <v>410</v>
      </c>
      <c r="R173" s="2" t="s">
        <v>403</v>
      </c>
      <c r="S173" s="2" t="s">
        <v>34</v>
      </c>
      <c r="T173" s="151">
        <v>2.2669999999999999</v>
      </c>
      <c r="U173" s="2" t="s">
        <v>108</v>
      </c>
      <c r="V173" s="162">
        <v>2.3400000000000001E-2</v>
      </c>
      <c r="W173" s="164">
        <v>2.7969999999999998E-2</v>
      </c>
      <c r="X173" s="4" t="s">
        <v>409</v>
      </c>
      <c r="Y173" s="4" t="s">
        <v>134</v>
      </c>
      <c r="Z173" s="151">
        <v>28481.48</v>
      </c>
      <c r="AA173" s="158">
        <v>1</v>
      </c>
      <c r="AB173" s="175">
        <v>114.39</v>
      </c>
      <c r="AD173" s="151">
        <v>32.58</v>
      </c>
      <c r="AG173" s="2" t="s">
        <v>36</v>
      </c>
      <c r="AH173" s="164">
        <v>1.7E-5</v>
      </c>
      <c r="AI173" s="164">
        <v>4.9517636697874803E-3</v>
      </c>
      <c r="AJ173" s="164">
        <v>8.5116668720629002E-4</v>
      </c>
    </row>
    <row r="174" spans="1:36">
      <c r="A174" s="2">
        <v>337</v>
      </c>
      <c r="B174" s="2">
        <v>9962</v>
      </c>
      <c r="C174" s="2" t="s">
        <v>1450</v>
      </c>
      <c r="D174" s="2" t="s">
        <v>1451</v>
      </c>
      <c r="E174" s="4" t="s">
        <v>1303</v>
      </c>
      <c r="F174" s="2" t="s">
        <v>1840</v>
      </c>
      <c r="G174" s="2" t="s">
        <v>1841</v>
      </c>
      <c r="H174" s="2" t="s">
        <v>318</v>
      </c>
      <c r="I174" s="2" t="s">
        <v>966</v>
      </c>
      <c r="J174" s="2" t="s">
        <v>30</v>
      </c>
      <c r="K174" s="2" t="s">
        <v>30</v>
      </c>
      <c r="L174" s="2" t="s">
        <v>324</v>
      </c>
      <c r="M174" s="2" t="s">
        <v>41</v>
      </c>
      <c r="N174" s="2" t="s">
        <v>457</v>
      </c>
      <c r="O174" s="2" t="s">
        <v>134</v>
      </c>
      <c r="P174" s="2" t="s">
        <v>1842</v>
      </c>
      <c r="Q174" s="2" t="s">
        <v>406</v>
      </c>
      <c r="R174" s="2" t="s">
        <v>406</v>
      </c>
      <c r="S174" s="2" t="s">
        <v>34</v>
      </c>
      <c r="T174" s="151">
        <v>3.0169999999999999</v>
      </c>
      <c r="U174" s="2" t="s">
        <v>1843</v>
      </c>
      <c r="V174" s="162">
        <v>4.8500000000000001E-2</v>
      </c>
      <c r="W174" s="164">
        <v>2.4250000000000001E-2</v>
      </c>
      <c r="X174" s="4" t="s">
        <v>409</v>
      </c>
      <c r="Y174" s="4" t="s">
        <v>134</v>
      </c>
      <c r="Z174" s="151">
        <v>33000</v>
      </c>
      <c r="AA174" s="158">
        <v>1</v>
      </c>
      <c r="AB174" s="175">
        <v>104.5</v>
      </c>
      <c r="AD174" s="151">
        <v>34.484999999999999</v>
      </c>
      <c r="AG174" s="2" t="s">
        <v>36</v>
      </c>
      <c r="AH174" s="164">
        <v>1.1E-4</v>
      </c>
      <c r="AI174" s="164">
        <v>5.2413061309113697E-3</v>
      </c>
      <c r="AJ174" s="164">
        <v>9.0093661038417698E-4</v>
      </c>
    </row>
    <row r="175" spans="1:36">
      <c r="A175" s="2">
        <v>337</v>
      </c>
      <c r="B175" s="2">
        <v>9962</v>
      </c>
      <c r="C175" s="2" t="s">
        <v>1844</v>
      </c>
      <c r="D175" s="2" t="s">
        <v>1845</v>
      </c>
      <c r="E175" s="4" t="s">
        <v>1303</v>
      </c>
      <c r="F175" s="2" t="s">
        <v>1846</v>
      </c>
      <c r="G175" s="2" t="s">
        <v>1847</v>
      </c>
      <c r="H175" s="2" t="s">
        <v>318</v>
      </c>
      <c r="I175" s="2" t="s">
        <v>753</v>
      </c>
      <c r="J175" s="2" t="s">
        <v>30</v>
      </c>
      <c r="K175" s="2" t="s">
        <v>30</v>
      </c>
      <c r="L175" s="2" t="s">
        <v>324</v>
      </c>
      <c r="M175" s="2" t="s">
        <v>41</v>
      </c>
      <c r="N175" s="2" t="s">
        <v>474</v>
      </c>
      <c r="O175" s="2" t="s">
        <v>134</v>
      </c>
      <c r="P175" s="2" t="s">
        <v>1848</v>
      </c>
      <c r="Q175" s="2" t="s">
        <v>410</v>
      </c>
      <c r="R175" s="2" t="s">
        <v>403</v>
      </c>
      <c r="S175" s="2" t="s">
        <v>34</v>
      </c>
      <c r="T175" s="151">
        <v>1.571</v>
      </c>
      <c r="U175" s="2" t="s">
        <v>1849</v>
      </c>
      <c r="V175" s="162">
        <v>3.2000000000000001E-2</v>
      </c>
      <c r="W175" s="164">
        <v>3.1649999999999998E-2</v>
      </c>
      <c r="X175" s="4" t="s">
        <v>409</v>
      </c>
      <c r="Y175" s="4" t="s">
        <v>134</v>
      </c>
      <c r="Z175" s="151">
        <v>15600</v>
      </c>
      <c r="AA175" s="158">
        <v>1</v>
      </c>
      <c r="AB175" s="175">
        <v>107.84</v>
      </c>
      <c r="AD175" s="151">
        <v>16.823</v>
      </c>
      <c r="AG175" s="2" t="s">
        <v>36</v>
      </c>
      <c r="AH175" s="164">
        <v>2.1999999999999999E-5</v>
      </c>
      <c r="AI175" s="164">
        <v>2.5569001795727798E-3</v>
      </c>
      <c r="AJ175" s="164">
        <v>4.3950971825307901E-4</v>
      </c>
    </row>
    <row r="176" spans="1:36">
      <c r="A176" s="2">
        <v>337</v>
      </c>
      <c r="B176" s="2">
        <v>9962</v>
      </c>
      <c r="C176" s="2" t="s">
        <v>1844</v>
      </c>
      <c r="D176" s="2" t="s">
        <v>1845</v>
      </c>
      <c r="E176" s="4" t="s">
        <v>1303</v>
      </c>
      <c r="F176" s="2" t="s">
        <v>1850</v>
      </c>
      <c r="G176" s="2" t="s">
        <v>1851</v>
      </c>
      <c r="H176" s="2" t="s">
        <v>318</v>
      </c>
      <c r="I176" s="2" t="s">
        <v>965</v>
      </c>
      <c r="J176" s="2" t="s">
        <v>30</v>
      </c>
      <c r="K176" s="2" t="s">
        <v>30</v>
      </c>
      <c r="L176" s="2" t="s">
        <v>324</v>
      </c>
      <c r="M176" s="2" t="s">
        <v>41</v>
      </c>
      <c r="N176" s="2" t="s">
        <v>474</v>
      </c>
      <c r="O176" s="2" t="s">
        <v>134</v>
      </c>
      <c r="P176" s="2" t="s">
        <v>1848</v>
      </c>
      <c r="Q176" s="2" t="s">
        <v>410</v>
      </c>
      <c r="R176" s="2" t="s">
        <v>403</v>
      </c>
      <c r="S176" s="2" t="s">
        <v>34</v>
      </c>
      <c r="T176" s="151">
        <v>1.629</v>
      </c>
      <c r="U176" s="2" t="s">
        <v>1852</v>
      </c>
      <c r="V176" s="162">
        <v>5.7000000000000002E-2</v>
      </c>
      <c r="W176" s="164">
        <v>5.5789999999999999E-2</v>
      </c>
      <c r="X176" s="4" t="s">
        <v>409</v>
      </c>
      <c r="Y176" s="4" t="s">
        <v>134</v>
      </c>
      <c r="Z176" s="151">
        <v>14950</v>
      </c>
      <c r="AA176" s="158">
        <v>1</v>
      </c>
      <c r="AB176" s="175">
        <v>100.54</v>
      </c>
      <c r="AD176" s="151">
        <v>15.031000000000001</v>
      </c>
      <c r="AG176" s="2" t="s">
        <v>36</v>
      </c>
      <c r="AH176" s="164">
        <v>1.8E-5</v>
      </c>
      <c r="AI176" s="164">
        <v>2.28449056984409E-3</v>
      </c>
      <c r="AJ176" s="164">
        <v>3.9268478868492902E-4</v>
      </c>
    </row>
    <row r="177" spans="1:36">
      <c r="A177" s="2">
        <v>337</v>
      </c>
      <c r="B177" s="2">
        <v>9962</v>
      </c>
      <c r="C177" s="2" t="s">
        <v>1853</v>
      </c>
      <c r="D177" s="2" t="s">
        <v>1854</v>
      </c>
      <c r="E177" s="4" t="s">
        <v>1303</v>
      </c>
      <c r="F177" s="2" t="s">
        <v>1855</v>
      </c>
      <c r="G177" s="2" t="s">
        <v>1856</v>
      </c>
      <c r="H177" s="2" t="s">
        <v>318</v>
      </c>
      <c r="I177" s="2" t="s">
        <v>753</v>
      </c>
      <c r="J177" s="2" t="s">
        <v>30</v>
      </c>
      <c r="K177" s="2" t="s">
        <v>30</v>
      </c>
      <c r="L177" s="2" t="s">
        <v>324</v>
      </c>
      <c r="M177" s="2" t="s">
        <v>41</v>
      </c>
      <c r="N177" s="2" t="s">
        <v>474</v>
      </c>
      <c r="O177" s="2" t="s">
        <v>134</v>
      </c>
      <c r="P177" s="2" t="s">
        <v>1848</v>
      </c>
      <c r="Q177" s="2" t="s">
        <v>410</v>
      </c>
      <c r="R177" s="2" t="s">
        <v>403</v>
      </c>
      <c r="S177" s="2" t="s">
        <v>34</v>
      </c>
      <c r="T177" s="151">
        <v>2.419</v>
      </c>
      <c r="U177" s="2" t="s">
        <v>1857</v>
      </c>
      <c r="V177" s="162">
        <v>3.2300000000000002E-2</v>
      </c>
      <c r="W177" s="164">
        <v>3.0110000000000001E-2</v>
      </c>
      <c r="X177" s="4" t="s">
        <v>409</v>
      </c>
      <c r="Y177" s="4" t="s">
        <v>134</v>
      </c>
      <c r="Z177" s="151">
        <v>17640</v>
      </c>
      <c r="AA177" s="158">
        <v>1</v>
      </c>
      <c r="AB177" s="175">
        <v>107.78</v>
      </c>
      <c r="AD177" s="151">
        <v>19.012</v>
      </c>
      <c r="AG177" s="2" t="s">
        <v>36</v>
      </c>
      <c r="AH177" s="164">
        <v>3.4E-5</v>
      </c>
      <c r="AI177" s="164">
        <v>2.8896554082322801E-3</v>
      </c>
      <c r="AJ177" s="164">
        <v>4.9670755411846399E-4</v>
      </c>
    </row>
    <row r="178" spans="1:36">
      <c r="A178" s="2">
        <v>337</v>
      </c>
      <c r="B178" s="2">
        <v>9962</v>
      </c>
      <c r="C178" s="2" t="s">
        <v>1858</v>
      </c>
      <c r="D178" s="2" t="s">
        <v>1859</v>
      </c>
      <c r="E178" s="4" t="s">
        <v>1303</v>
      </c>
      <c r="F178" s="2" t="s">
        <v>1860</v>
      </c>
      <c r="G178" s="2" t="s">
        <v>1861</v>
      </c>
      <c r="H178" s="2" t="s">
        <v>318</v>
      </c>
      <c r="I178" s="2" t="s">
        <v>753</v>
      </c>
      <c r="J178" s="2" t="s">
        <v>30</v>
      </c>
      <c r="K178" s="2" t="s">
        <v>30</v>
      </c>
      <c r="L178" s="2" t="s">
        <v>324</v>
      </c>
      <c r="M178" s="2" t="s">
        <v>41</v>
      </c>
      <c r="N178" s="2" t="s">
        <v>460</v>
      </c>
      <c r="O178" s="2" t="s">
        <v>134</v>
      </c>
      <c r="P178" s="2" t="s">
        <v>1862</v>
      </c>
      <c r="Q178" s="2" t="s">
        <v>410</v>
      </c>
      <c r="R178" s="2" t="s">
        <v>403</v>
      </c>
      <c r="S178" s="2" t="s">
        <v>34</v>
      </c>
      <c r="T178" s="151">
        <v>2.1549999999999998</v>
      </c>
      <c r="U178" s="2" t="s">
        <v>1863</v>
      </c>
      <c r="V178" s="162">
        <v>2.4899999999999999E-2</v>
      </c>
      <c r="W178" s="164">
        <v>3.4090000000000002E-2</v>
      </c>
      <c r="X178" s="4" t="s">
        <v>409</v>
      </c>
      <c r="Y178" s="4" t="s">
        <v>134</v>
      </c>
      <c r="Z178" s="151">
        <v>37800</v>
      </c>
      <c r="AA178" s="158">
        <v>1</v>
      </c>
      <c r="AB178" s="175">
        <v>106.72</v>
      </c>
      <c r="AD178" s="151">
        <v>40.340000000000003</v>
      </c>
      <c r="AG178" s="2" t="s">
        <v>36</v>
      </c>
      <c r="AH178" s="164">
        <v>1.8000000000000001E-4</v>
      </c>
      <c r="AI178" s="164">
        <v>6.1312201806566803E-3</v>
      </c>
      <c r="AJ178" s="164">
        <v>1.0539053795202401E-3</v>
      </c>
    </row>
    <row r="179" spans="1:36">
      <c r="A179" s="2">
        <v>337</v>
      </c>
      <c r="B179" s="2">
        <v>9962</v>
      </c>
      <c r="C179" s="2" t="s">
        <v>2353</v>
      </c>
      <c r="D179" s="2" t="s">
        <v>2354</v>
      </c>
      <c r="E179" s="4" t="s">
        <v>1303</v>
      </c>
      <c r="F179" s="2" t="s">
        <v>2355</v>
      </c>
      <c r="G179" s="2" t="s">
        <v>2356</v>
      </c>
      <c r="H179" s="2" t="s">
        <v>318</v>
      </c>
      <c r="I179" s="2" t="s">
        <v>965</v>
      </c>
      <c r="J179" s="2" t="s">
        <v>30</v>
      </c>
      <c r="K179" s="2" t="s">
        <v>30</v>
      </c>
      <c r="L179" s="2" t="s">
        <v>324</v>
      </c>
      <c r="M179" s="2" t="s">
        <v>41</v>
      </c>
      <c r="N179" s="2" t="s">
        <v>437</v>
      </c>
      <c r="O179" s="2" t="s">
        <v>134</v>
      </c>
      <c r="P179" s="2" t="s">
        <v>1842</v>
      </c>
      <c r="Q179" s="2" t="s">
        <v>406</v>
      </c>
      <c r="R179" s="2" t="s">
        <v>406</v>
      </c>
      <c r="S179" s="2" t="s">
        <v>34</v>
      </c>
      <c r="T179" s="151">
        <v>2.9870000000000001</v>
      </c>
      <c r="U179" s="2" t="s">
        <v>74</v>
      </c>
      <c r="V179" s="162">
        <v>5.5E-2</v>
      </c>
      <c r="W179" s="164">
        <v>6.216E-2</v>
      </c>
      <c r="X179" s="4" t="s">
        <v>409</v>
      </c>
      <c r="Y179" s="4" t="s">
        <v>134</v>
      </c>
      <c r="Z179" s="151">
        <v>26000</v>
      </c>
      <c r="AA179" s="158">
        <v>1</v>
      </c>
      <c r="AB179" s="175">
        <v>98.21</v>
      </c>
      <c r="AD179" s="151">
        <v>25.535</v>
      </c>
      <c r="AG179" s="2" t="s">
        <v>36</v>
      </c>
      <c r="AH179" s="164">
        <v>7.8999999999999996E-5</v>
      </c>
      <c r="AI179" s="164">
        <v>3.8809527484520699E-3</v>
      </c>
      <c r="AJ179" s="164">
        <v>6.6710326146196303E-4</v>
      </c>
    </row>
    <row r="180" spans="1:36">
      <c r="A180" s="2">
        <v>337</v>
      </c>
      <c r="B180" s="2">
        <v>9962</v>
      </c>
      <c r="C180" s="2" t="s">
        <v>1458</v>
      </c>
      <c r="D180" s="2" t="s">
        <v>1459</v>
      </c>
      <c r="E180" s="4" t="s">
        <v>1303</v>
      </c>
      <c r="F180" s="2" t="s">
        <v>2359</v>
      </c>
      <c r="G180" s="2" t="s">
        <v>2360</v>
      </c>
      <c r="H180" s="2" t="s">
        <v>318</v>
      </c>
      <c r="I180" s="2" t="s">
        <v>965</v>
      </c>
      <c r="J180" s="2" t="s">
        <v>30</v>
      </c>
      <c r="K180" s="2" t="s">
        <v>30</v>
      </c>
      <c r="L180" s="2" t="s">
        <v>324</v>
      </c>
      <c r="M180" s="2" t="s">
        <v>41</v>
      </c>
      <c r="N180" s="2" t="s">
        <v>460</v>
      </c>
      <c r="O180" s="2" t="s">
        <v>134</v>
      </c>
      <c r="P180" s="2" t="s">
        <v>1826</v>
      </c>
      <c r="Q180" s="2" t="s">
        <v>410</v>
      </c>
      <c r="R180" s="2" t="s">
        <v>403</v>
      </c>
      <c r="S180" s="2" t="s">
        <v>34</v>
      </c>
      <c r="T180" s="151">
        <v>6.1609999999999996</v>
      </c>
      <c r="U180" s="2" t="s">
        <v>2361</v>
      </c>
      <c r="V180" s="162">
        <v>4.9399999999999999E-2</v>
      </c>
      <c r="W180" s="164">
        <v>5.5919999999999997E-2</v>
      </c>
      <c r="X180" s="4" t="s">
        <v>409</v>
      </c>
      <c r="Y180" s="4" t="s">
        <v>134</v>
      </c>
      <c r="Z180" s="151">
        <v>62318</v>
      </c>
      <c r="AA180" s="158">
        <v>1</v>
      </c>
      <c r="AB180" s="175">
        <v>96.63</v>
      </c>
      <c r="AD180" s="151">
        <v>60.218000000000004</v>
      </c>
      <c r="AG180" s="2" t="s">
        <v>36</v>
      </c>
      <c r="AH180" s="164">
        <v>4.6E-5</v>
      </c>
      <c r="AI180" s="164">
        <v>9.1523955764803797E-3</v>
      </c>
      <c r="AJ180" s="164">
        <v>1.5732201175846199E-3</v>
      </c>
    </row>
    <row r="181" spans="1:36">
      <c r="A181" s="2">
        <v>337</v>
      </c>
      <c r="B181" s="2">
        <v>9962</v>
      </c>
      <c r="C181" s="2" t="s">
        <v>1872</v>
      </c>
      <c r="D181" s="2" t="s">
        <v>1873</v>
      </c>
      <c r="E181" s="4" t="s">
        <v>1303</v>
      </c>
      <c r="F181" s="2" t="s">
        <v>1874</v>
      </c>
      <c r="G181" s="2" t="s">
        <v>1875</v>
      </c>
      <c r="H181" s="2" t="s">
        <v>318</v>
      </c>
      <c r="I181" s="2" t="s">
        <v>965</v>
      </c>
      <c r="J181" s="2" t="s">
        <v>30</v>
      </c>
      <c r="K181" s="2" t="s">
        <v>30</v>
      </c>
      <c r="L181" s="2" t="s">
        <v>324</v>
      </c>
      <c r="M181" s="2" t="s">
        <v>41</v>
      </c>
      <c r="N181" s="2" t="s">
        <v>447</v>
      </c>
      <c r="O181" s="2" t="s">
        <v>134</v>
      </c>
      <c r="P181" s="2" t="s">
        <v>1848</v>
      </c>
      <c r="Q181" s="2" t="s">
        <v>410</v>
      </c>
      <c r="R181" s="2" t="s">
        <v>403</v>
      </c>
      <c r="S181" s="2" t="s">
        <v>34</v>
      </c>
      <c r="T181" s="151">
        <v>2.996</v>
      </c>
      <c r="U181" s="2" t="s">
        <v>1876</v>
      </c>
      <c r="V181" s="162">
        <v>0.04</v>
      </c>
      <c r="W181" s="164">
        <v>5.2400000000000002E-2</v>
      </c>
      <c r="X181" s="4" t="s">
        <v>409</v>
      </c>
      <c r="Y181" s="4" t="s">
        <v>134</v>
      </c>
      <c r="Z181" s="151">
        <v>17250</v>
      </c>
      <c r="AA181" s="158">
        <v>1</v>
      </c>
      <c r="AB181" s="175">
        <v>97.45</v>
      </c>
      <c r="AD181" s="151">
        <v>16.809999999999999</v>
      </c>
      <c r="AG181" s="2" t="s">
        <v>36</v>
      </c>
      <c r="AH181" s="164">
        <v>3.0000000000000001E-5</v>
      </c>
      <c r="AI181" s="164">
        <v>2.5549372545711599E-3</v>
      </c>
      <c r="AJ181" s="164">
        <v>4.3917230789138198E-4</v>
      </c>
    </row>
    <row r="182" spans="1:36">
      <c r="A182" s="2">
        <v>337</v>
      </c>
      <c r="B182" s="2">
        <v>9962</v>
      </c>
      <c r="C182" s="2" t="s">
        <v>1872</v>
      </c>
      <c r="D182" s="2" t="s">
        <v>1873</v>
      </c>
      <c r="E182" s="4" t="s">
        <v>1303</v>
      </c>
      <c r="F182" s="2" t="s">
        <v>1877</v>
      </c>
      <c r="G182" s="2" t="s">
        <v>1878</v>
      </c>
      <c r="H182" s="2" t="s">
        <v>318</v>
      </c>
      <c r="I182" s="2" t="s">
        <v>965</v>
      </c>
      <c r="J182" s="2" t="s">
        <v>30</v>
      </c>
      <c r="K182" s="2" t="s">
        <v>30</v>
      </c>
      <c r="L182" s="2" t="s">
        <v>324</v>
      </c>
      <c r="M182" s="2" t="s">
        <v>41</v>
      </c>
      <c r="N182" s="2" t="s">
        <v>447</v>
      </c>
      <c r="O182" s="2" t="s">
        <v>134</v>
      </c>
      <c r="P182" s="2" t="s">
        <v>1848</v>
      </c>
      <c r="Q182" s="2" t="s">
        <v>410</v>
      </c>
      <c r="R182" s="2" t="s">
        <v>403</v>
      </c>
      <c r="S182" s="2" t="s">
        <v>34</v>
      </c>
      <c r="T182" s="151">
        <v>4.9290000000000003</v>
      </c>
      <c r="U182" s="2" t="s">
        <v>1879</v>
      </c>
      <c r="V182" s="162">
        <v>2.07E-2</v>
      </c>
      <c r="W182" s="164">
        <v>5.3780000000000001E-2</v>
      </c>
      <c r="X182" s="4" t="s">
        <v>409</v>
      </c>
      <c r="Y182" s="4" t="s">
        <v>134</v>
      </c>
      <c r="Z182" s="151">
        <v>67000</v>
      </c>
      <c r="AA182" s="158">
        <v>1</v>
      </c>
      <c r="AB182" s="175">
        <v>85.61</v>
      </c>
      <c r="AD182" s="151">
        <v>57.359000000000002</v>
      </c>
      <c r="AG182" s="2" t="s">
        <v>36</v>
      </c>
      <c r="AH182" s="164">
        <v>9.2E-5</v>
      </c>
      <c r="AI182" s="164">
        <v>8.7178340139511708E-3</v>
      </c>
      <c r="AJ182" s="164">
        <v>1.49852262589656E-3</v>
      </c>
    </row>
    <row r="183" spans="1:36">
      <c r="A183" s="2">
        <v>337</v>
      </c>
      <c r="B183" s="2">
        <v>9962</v>
      </c>
      <c r="C183" s="2" t="s">
        <v>1880</v>
      </c>
      <c r="D183" s="2" t="s">
        <v>1881</v>
      </c>
      <c r="E183" s="4" t="s">
        <v>1303</v>
      </c>
      <c r="F183" s="2" t="s">
        <v>1882</v>
      </c>
      <c r="G183" s="2" t="s">
        <v>1883</v>
      </c>
      <c r="H183" s="2" t="s">
        <v>318</v>
      </c>
      <c r="I183" s="2" t="s">
        <v>965</v>
      </c>
      <c r="J183" s="2" t="s">
        <v>30</v>
      </c>
      <c r="K183" s="2" t="s">
        <v>80</v>
      </c>
      <c r="L183" s="2" t="s">
        <v>324</v>
      </c>
      <c r="M183" s="2" t="s">
        <v>41</v>
      </c>
      <c r="N183" s="2" t="s">
        <v>439</v>
      </c>
      <c r="O183" s="2" t="s">
        <v>134</v>
      </c>
      <c r="P183" s="2" t="s">
        <v>1848</v>
      </c>
      <c r="Q183" s="2" t="s">
        <v>410</v>
      </c>
      <c r="R183" s="2" t="s">
        <v>403</v>
      </c>
      <c r="S183" s="2" t="s">
        <v>34</v>
      </c>
      <c r="T183" s="151">
        <v>0.47399999999999998</v>
      </c>
      <c r="U183" s="2" t="s">
        <v>1884</v>
      </c>
      <c r="V183" s="162">
        <v>4.7500000000000001E-2</v>
      </c>
      <c r="W183" s="164">
        <v>5.9470000000000002E-2</v>
      </c>
      <c r="X183" s="4" t="s">
        <v>409</v>
      </c>
      <c r="Y183" s="4" t="s">
        <v>134</v>
      </c>
      <c r="Z183" s="151">
        <v>105456.22</v>
      </c>
      <c r="AA183" s="158">
        <v>1</v>
      </c>
      <c r="AB183" s="175">
        <v>99.61</v>
      </c>
      <c r="AD183" s="151">
        <v>105.045</v>
      </c>
      <c r="AG183" s="2" t="s">
        <v>36</v>
      </c>
      <c r="AH183" s="164">
        <v>1.6699999999999999E-4</v>
      </c>
      <c r="AI183" s="164">
        <v>1.5965570303966E-2</v>
      </c>
      <c r="AJ183" s="164">
        <v>2.7443477700479701E-3</v>
      </c>
    </row>
    <row r="184" spans="1:36">
      <c r="A184" s="2">
        <v>337</v>
      </c>
      <c r="B184" s="2">
        <v>9962</v>
      </c>
      <c r="C184" s="2" t="s">
        <v>1466</v>
      </c>
      <c r="D184" s="2" t="s">
        <v>1467</v>
      </c>
      <c r="E184" s="4" t="s">
        <v>1303</v>
      </c>
      <c r="F184" s="2" t="s">
        <v>2362</v>
      </c>
      <c r="G184" s="2" t="s">
        <v>2363</v>
      </c>
      <c r="H184" s="2" t="s">
        <v>318</v>
      </c>
      <c r="I184" s="2" t="s">
        <v>965</v>
      </c>
      <c r="J184" s="2" t="s">
        <v>30</v>
      </c>
      <c r="K184" s="2" t="s">
        <v>30</v>
      </c>
      <c r="L184" s="2" t="s">
        <v>324</v>
      </c>
      <c r="M184" s="2" t="s">
        <v>41</v>
      </c>
      <c r="N184" s="2" t="s">
        <v>460</v>
      </c>
      <c r="O184" s="2" t="s">
        <v>134</v>
      </c>
      <c r="P184" s="2" t="s">
        <v>1834</v>
      </c>
      <c r="Q184" s="2" t="s">
        <v>410</v>
      </c>
      <c r="R184" s="2" t="s">
        <v>403</v>
      </c>
      <c r="S184" s="2" t="s">
        <v>34</v>
      </c>
      <c r="T184" s="151">
        <v>4.915</v>
      </c>
      <c r="U184" s="2" t="s">
        <v>2364</v>
      </c>
      <c r="V184" s="162">
        <v>2.4400000000000002E-2</v>
      </c>
      <c r="W184" s="164">
        <v>5.1520000000000003E-2</v>
      </c>
      <c r="X184" s="4" t="s">
        <v>409</v>
      </c>
      <c r="Y184" s="4" t="s">
        <v>134</v>
      </c>
      <c r="Z184" s="151">
        <v>69404</v>
      </c>
      <c r="AA184" s="158">
        <v>1</v>
      </c>
      <c r="AB184" s="175">
        <v>88.38</v>
      </c>
      <c r="AD184" s="151">
        <v>61.338999999999999</v>
      </c>
      <c r="AG184" s="2" t="s">
        <v>36</v>
      </c>
      <c r="AH184" s="164">
        <v>5.7000000000000003E-5</v>
      </c>
      <c r="AI184" s="164">
        <v>9.3228306320225392E-3</v>
      </c>
      <c r="AJ184" s="164">
        <v>1.6025164756670401E-3</v>
      </c>
    </row>
    <row r="185" spans="1:36">
      <c r="A185" s="2">
        <v>337</v>
      </c>
      <c r="B185" s="2">
        <v>9962</v>
      </c>
      <c r="C185" s="2" t="s">
        <v>1888</v>
      </c>
      <c r="D185" s="2" t="s">
        <v>1889</v>
      </c>
      <c r="E185" s="4" t="s">
        <v>1303</v>
      </c>
      <c r="F185" s="2" t="s">
        <v>1890</v>
      </c>
      <c r="G185" s="2" t="s">
        <v>1891</v>
      </c>
      <c r="H185" s="2" t="s">
        <v>318</v>
      </c>
      <c r="I185" s="2" t="s">
        <v>965</v>
      </c>
      <c r="J185" s="2" t="s">
        <v>30</v>
      </c>
      <c r="K185" s="2" t="s">
        <v>30</v>
      </c>
      <c r="L185" s="2" t="s">
        <v>324</v>
      </c>
      <c r="M185" s="2" t="s">
        <v>41</v>
      </c>
      <c r="N185" s="2" t="s">
        <v>460</v>
      </c>
      <c r="O185" s="2" t="s">
        <v>134</v>
      </c>
      <c r="P185" s="2" t="s">
        <v>1842</v>
      </c>
      <c r="Q185" s="2" t="s">
        <v>406</v>
      </c>
      <c r="R185" s="2" t="s">
        <v>406</v>
      </c>
      <c r="S185" s="2" t="s">
        <v>34</v>
      </c>
      <c r="T185" s="151">
        <v>0.44600000000000001</v>
      </c>
      <c r="U185" s="2" t="s">
        <v>1892</v>
      </c>
      <c r="V185" s="162">
        <v>6.5000000000000002E-2</v>
      </c>
      <c r="W185" s="164">
        <v>0.10415000000000001</v>
      </c>
      <c r="X185" s="4" t="s">
        <v>409</v>
      </c>
      <c r="Y185" s="4" t="s">
        <v>134</v>
      </c>
      <c r="Z185" s="151">
        <v>59484</v>
      </c>
      <c r="AA185" s="158">
        <v>1</v>
      </c>
      <c r="AB185" s="175">
        <v>100.31</v>
      </c>
      <c r="AD185" s="151">
        <v>59.667999999999999</v>
      </c>
      <c r="AG185" s="2" t="s">
        <v>36</v>
      </c>
      <c r="AH185" s="164">
        <v>5.4100000000000003E-4</v>
      </c>
      <c r="AI185" s="164">
        <v>9.0688807550585605E-3</v>
      </c>
      <c r="AJ185" s="164">
        <v>1.55886461949897E-3</v>
      </c>
    </row>
    <row r="186" spans="1:36">
      <c r="A186" s="2">
        <v>337</v>
      </c>
      <c r="B186" s="2">
        <v>9962</v>
      </c>
      <c r="C186" s="2" t="s">
        <v>1470</v>
      </c>
      <c r="D186" s="2" t="s">
        <v>1471</v>
      </c>
      <c r="E186" s="4" t="s">
        <v>1303</v>
      </c>
      <c r="F186" s="2" t="s">
        <v>1893</v>
      </c>
      <c r="G186" s="2" t="s">
        <v>1894</v>
      </c>
      <c r="H186" s="2" t="s">
        <v>318</v>
      </c>
      <c r="I186" s="2" t="s">
        <v>965</v>
      </c>
      <c r="J186" s="2" t="s">
        <v>30</v>
      </c>
      <c r="K186" s="2" t="s">
        <v>80</v>
      </c>
      <c r="L186" s="2" t="s">
        <v>324</v>
      </c>
      <c r="M186" s="2" t="s">
        <v>41</v>
      </c>
      <c r="N186" s="2" t="s">
        <v>437</v>
      </c>
      <c r="O186" s="2" t="s">
        <v>134</v>
      </c>
      <c r="P186" s="2" t="s">
        <v>1814</v>
      </c>
      <c r="Q186" s="2" t="s">
        <v>412</v>
      </c>
      <c r="R186" s="2" t="s">
        <v>403</v>
      </c>
      <c r="S186" s="2" t="s">
        <v>34</v>
      </c>
      <c r="T186" s="151">
        <v>1.2609999999999999</v>
      </c>
      <c r="U186" s="2" t="s">
        <v>1895</v>
      </c>
      <c r="V186" s="162">
        <v>3.4500000000000003E-2</v>
      </c>
      <c r="W186" s="164">
        <v>5.4989999999999997E-2</v>
      </c>
      <c r="X186" s="4" t="s">
        <v>409</v>
      </c>
      <c r="Y186" s="4" t="s">
        <v>134</v>
      </c>
      <c r="Z186" s="151">
        <v>28695.64</v>
      </c>
      <c r="AA186" s="158">
        <v>1</v>
      </c>
      <c r="AB186" s="175">
        <v>97.86</v>
      </c>
      <c r="AD186" s="151">
        <v>28.082000000000001</v>
      </c>
      <c r="AG186" s="2" t="s">
        <v>36</v>
      </c>
      <c r="AH186" s="164">
        <v>4.5000000000000003E-5</v>
      </c>
      <c r="AI186" s="164">
        <v>4.26805908359489E-3</v>
      </c>
      <c r="AJ186" s="164">
        <v>7.33643597159007E-4</v>
      </c>
    </row>
    <row r="187" spans="1:36">
      <c r="A187" s="2">
        <v>337</v>
      </c>
      <c r="B187" s="2">
        <v>9962</v>
      </c>
      <c r="C187" s="2" t="s">
        <v>1470</v>
      </c>
      <c r="D187" s="2" t="s">
        <v>1471</v>
      </c>
      <c r="E187" s="4" t="s">
        <v>1303</v>
      </c>
      <c r="F187" s="2" t="s">
        <v>1896</v>
      </c>
      <c r="G187" s="2" t="s">
        <v>1897</v>
      </c>
      <c r="H187" s="2" t="s">
        <v>318</v>
      </c>
      <c r="I187" s="2" t="s">
        <v>965</v>
      </c>
      <c r="J187" s="2" t="s">
        <v>30</v>
      </c>
      <c r="K187" s="2" t="s">
        <v>80</v>
      </c>
      <c r="L187" s="2" t="s">
        <v>324</v>
      </c>
      <c r="M187" s="2" t="s">
        <v>41</v>
      </c>
      <c r="N187" s="2" t="s">
        <v>437</v>
      </c>
      <c r="O187" s="2" t="s">
        <v>134</v>
      </c>
      <c r="P187" s="2" t="s">
        <v>1814</v>
      </c>
      <c r="Q187" s="2" t="s">
        <v>412</v>
      </c>
      <c r="R187" s="2" t="s">
        <v>403</v>
      </c>
      <c r="S187" s="2" t="s">
        <v>34</v>
      </c>
      <c r="T187" s="151">
        <v>3.2930000000000001</v>
      </c>
      <c r="U187" s="2" t="s">
        <v>1898</v>
      </c>
      <c r="V187" s="162">
        <v>1.4999999999999999E-2</v>
      </c>
      <c r="W187" s="164">
        <v>5.5910000000000001E-2</v>
      </c>
      <c r="X187" s="4" t="s">
        <v>409</v>
      </c>
      <c r="Y187" s="4" t="s">
        <v>134</v>
      </c>
      <c r="Z187" s="151">
        <v>31000</v>
      </c>
      <c r="AA187" s="158">
        <v>1</v>
      </c>
      <c r="AB187" s="175">
        <v>87.84</v>
      </c>
      <c r="AD187" s="151">
        <v>27.23</v>
      </c>
      <c r="AG187" s="2" t="s">
        <v>36</v>
      </c>
      <c r="AH187" s="164">
        <v>2.5999999999999998E-5</v>
      </c>
      <c r="AI187" s="164">
        <v>4.1386939964381296E-3</v>
      </c>
      <c r="AJ187" s="164">
        <v>7.1140682254328797E-4</v>
      </c>
    </row>
    <row r="188" spans="1:36">
      <c r="A188" s="2">
        <v>337</v>
      </c>
      <c r="B188" s="2">
        <v>9962</v>
      </c>
      <c r="C188" s="2" t="s">
        <v>1478</v>
      </c>
      <c r="D188" s="2" t="s">
        <v>1479</v>
      </c>
      <c r="E188" s="4" t="s">
        <v>1303</v>
      </c>
      <c r="F188" s="2" t="s">
        <v>1899</v>
      </c>
      <c r="G188" s="2" t="s">
        <v>1900</v>
      </c>
      <c r="H188" s="2" t="s">
        <v>318</v>
      </c>
      <c r="I188" s="2" t="s">
        <v>965</v>
      </c>
      <c r="J188" s="2" t="s">
        <v>30</v>
      </c>
      <c r="K188" s="2" t="s">
        <v>30</v>
      </c>
      <c r="L188" s="2" t="s">
        <v>324</v>
      </c>
      <c r="M188" s="2" t="s">
        <v>41</v>
      </c>
      <c r="N188" s="2" t="s">
        <v>437</v>
      </c>
      <c r="O188" s="2" t="s">
        <v>134</v>
      </c>
      <c r="P188" s="2" t="s">
        <v>1862</v>
      </c>
      <c r="Q188" s="2" t="s">
        <v>410</v>
      </c>
      <c r="R188" s="2" t="s">
        <v>403</v>
      </c>
      <c r="S188" s="2" t="s">
        <v>34</v>
      </c>
      <c r="T188" s="151">
        <v>2.6560000000000001</v>
      </c>
      <c r="U188" s="2" t="s">
        <v>1901</v>
      </c>
      <c r="V188" s="162">
        <v>2.0500000000000001E-2</v>
      </c>
      <c r="W188" s="164">
        <v>5.4919999999999997E-2</v>
      </c>
      <c r="X188" s="4" t="s">
        <v>409</v>
      </c>
      <c r="Y188" s="4" t="s">
        <v>134</v>
      </c>
      <c r="Z188" s="151">
        <v>55000</v>
      </c>
      <c r="AA188" s="158">
        <v>1</v>
      </c>
      <c r="AB188" s="175">
        <v>91.77</v>
      </c>
      <c r="AD188" s="151">
        <v>50.473999999999997</v>
      </c>
      <c r="AG188" s="2" t="s">
        <v>36</v>
      </c>
      <c r="AH188" s="164">
        <v>5.7000000000000003E-5</v>
      </c>
      <c r="AI188" s="164">
        <v>7.6713662461521002E-3</v>
      </c>
      <c r="AJ188" s="164">
        <v>1.3186435842895701E-3</v>
      </c>
    </row>
    <row r="189" spans="1:36">
      <c r="A189" s="2">
        <v>337</v>
      </c>
      <c r="B189" s="2">
        <v>9962</v>
      </c>
      <c r="C189" s="2" t="s">
        <v>1478</v>
      </c>
      <c r="D189" s="2" t="s">
        <v>1479</v>
      </c>
      <c r="E189" s="4" t="s">
        <v>1303</v>
      </c>
      <c r="F189" s="2" t="s">
        <v>1902</v>
      </c>
      <c r="G189" s="2" t="s">
        <v>1903</v>
      </c>
      <c r="H189" s="2" t="s">
        <v>318</v>
      </c>
      <c r="I189" s="2" t="s">
        <v>966</v>
      </c>
      <c r="J189" s="2" t="s">
        <v>30</v>
      </c>
      <c r="K189" s="2" t="s">
        <v>30</v>
      </c>
      <c r="L189" s="2" t="s">
        <v>324</v>
      </c>
      <c r="M189" s="2" t="s">
        <v>41</v>
      </c>
      <c r="N189" s="2" t="s">
        <v>437</v>
      </c>
      <c r="O189" s="2" t="s">
        <v>134</v>
      </c>
      <c r="P189" s="2" t="s">
        <v>1862</v>
      </c>
      <c r="Q189" s="2" t="s">
        <v>410</v>
      </c>
      <c r="R189" s="2" t="s">
        <v>403</v>
      </c>
      <c r="S189" s="2" t="s">
        <v>34</v>
      </c>
      <c r="T189" s="151">
        <v>2.3250000000000002</v>
      </c>
      <c r="U189" s="2" t="s">
        <v>1904</v>
      </c>
      <c r="V189" s="162">
        <v>1.25E-3</v>
      </c>
      <c r="W189" s="164">
        <v>5.6779999999999997E-2</v>
      </c>
      <c r="X189" s="4" t="s">
        <v>409</v>
      </c>
      <c r="Y189" s="4" t="s">
        <v>134</v>
      </c>
      <c r="Z189" s="151">
        <v>9000</v>
      </c>
      <c r="AA189" s="158">
        <v>1</v>
      </c>
      <c r="AB189" s="175">
        <v>88.8</v>
      </c>
      <c r="AD189" s="151">
        <v>7.992</v>
      </c>
      <c r="AG189" s="2" t="s">
        <v>36</v>
      </c>
      <c r="AH189" s="164">
        <v>1.5999999999999999E-5</v>
      </c>
      <c r="AI189" s="164">
        <v>1.2146880846235701E-3</v>
      </c>
      <c r="AJ189" s="164">
        <v>2.0879470465971699E-4</v>
      </c>
    </row>
    <row r="190" spans="1:36">
      <c r="A190" s="2">
        <v>337</v>
      </c>
      <c r="B190" s="2">
        <v>9962</v>
      </c>
      <c r="C190" s="2" t="s">
        <v>1905</v>
      </c>
      <c r="D190" s="2" t="s">
        <v>1906</v>
      </c>
      <c r="E190" s="4" t="s">
        <v>1303</v>
      </c>
      <c r="F190" s="2" t="s">
        <v>1907</v>
      </c>
      <c r="G190" s="2" t="s">
        <v>1908</v>
      </c>
      <c r="H190" s="2" t="s">
        <v>318</v>
      </c>
      <c r="I190" s="2" t="s">
        <v>753</v>
      </c>
      <c r="J190" s="2" t="s">
        <v>30</v>
      </c>
      <c r="K190" s="2" t="s">
        <v>30</v>
      </c>
      <c r="L190" s="2" t="s">
        <v>324</v>
      </c>
      <c r="M190" s="2" t="s">
        <v>41</v>
      </c>
      <c r="N190" s="2" t="s">
        <v>439</v>
      </c>
      <c r="O190" s="2" t="s">
        <v>134</v>
      </c>
      <c r="P190" s="2" t="s">
        <v>1909</v>
      </c>
      <c r="Q190" s="2" t="s">
        <v>412</v>
      </c>
      <c r="R190" s="2" t="s">
        <v>403</v>
      </c>
      <c r="S190" s="2" t="s">
        <v>34</v>
      </c>
      <c r="T190" s="151">
        <v>1.222</v>
      </c>
      <c r="U190" s="2" t="s">
        <v>1910</v>
      </c>
      <c r="V190" s="162">
        <v>1.2500000000000001E-2</v>
      </c>
      <c r="W190" s="164">
        <v>4.19E-2</v>
      </c>
      <c r="X190" s="4" t="s">
        <v>409</v>
      </c>
      <c r="Y190" s="4" t="s">
        <v>134</v>
      </c>
      <c r="Z190" s="151">
        <v>12777.78</v>
      </c>
      <c r="AA190" s="158">
        <v>1</v>
      </c>
      <c r="AB190" s="175">
        <v>105.98</v>
      </c>
      <c r="AD190" s="151">
        <v>13.542</v>
      </c>
      <c r="AG190" s="2" t="s">
        <v>36</v>
      </c>
      <c r="AH190" s="164">
        <v>8.2999999999999998E-5</v>
      </c>
      <c r="AI190" s="164">
        <v>2.0582049471164899E-3</v>
      </c>
      <c r="AJ190" s="164">
        <v>3.5378818603916298E-4</v>
      </c>
    </row>
    <row r="191" spans="1:36">
      <c r="A191" s="2">
        <v>337</v>
      </c>
      <c r="B191" s="2">
        <v>9962</v>
      </c>
      <c r="C191" s="2" t="s">
        <v>1911</v>
      </c>
      <c r="D191" s="2" t="s">
        <v>1912</v>
      </c>
      <c r="E191" s="4" t="s">
        <v>1303</v>
      </c>
      <c r="F191" s="2" t="s">
        <v>1915</v>
      </c>
      <c r="G191" s="2" t="s">
        <v>1916</v>
      </c>
      <c r="H191" s="2" t="s">
        <v>318</v>
      </c>
      <c r="I191" s="2" t="s">
        <v>753</v>
      </c>
      <c r="J191" s="2" t="s">
        <v>30</v>
      </c>
      <c r="K191" s="2" t="s">
        <v>30</v>
      </c>
      <c r="L191" s="2" t="s">
        <v>324</v>
      </c>
      <c r="M191" s="2" t="s">
        <v>41</v>
      </c>
      <c r="N191" s="2" t="s">
        <v>461</v>
      </c>
      <c r="O191" s="2" t="s">
        <v>134</v>
      </c>
      <c r="P191" s="2" t="s">
        <v>1848</v>
      </c>
      <c r="Q191" s="2" t="s">
        <v>410</v>
      </c>
      <c r="R191" s="2" t="s">
        <v>403</v>
      </c>
      <c r="S191" s="2" t="s">
        <v>34</v>
      </c>
      <c r="T191" s="151">
        <v>3.665</v>
      </c>
      <c r="U191" s="2" t="s">
        <v>1863</v>
      </c>
      <c r="V191" s="162">
        <v>1.09E-2</v>
      </c>
      <c r="W191" s="164">
        <v>3.2640000000000002E-2</v>
      </c>
      <c r="X191" s="4" t="s">
        <v>409</v>
      </c>
      <c r="Y191" s="4" t="s">
        <v>134</v>
      </c>
      <c r="Z191" s="151">
        <v>31000</v>
      </c>
      <c r="AA191" s="158">
        <v>1</v>
      </c>
      <c r="AB191" s="175">
        <v>105.7</v>
      </c>
      <c r="AD191" s="151">
        <v>32.767000000000003</v>
      </c>
      <c r="AG191" s="2" t="s">
        <v>36</v>
      </c>
      <c r="AH191" s="164">
        <v>4.3999999999999999E-5</v>
      </c>
      <c r="AI191" s="164">
        <v>4.9801907493569096E-3</v>
      </c>
      <c r="AJ191" s="164">
        <v>8.5605306401213095E-4</v>
      </c>
    </row>
    <row r="192" spans="1:36">
      <c r="A192" s="2">
        <v>337</v>
      </c>
      <c r="B192" s="2">
        <v>9962</v>
      </c>
      <c r="C192" s="2" t="s">
        <v>1911</v>
      </c>
      <c r="D192" s="2" t="s">
        <v>1912</v>
      </c>
      <c r="E192" s="4" t="s">
        <v>1303</v>
      </c>
      <c r="F192" s="2" t="s">
        <v>1917</v>
      </c>
      <c r="G192" s="2" t="s">
        <v>1918</v>
      </c>
      <c r="H192" s="2" t="s">
        <v>318</v>
      </c>
      <c r="I192" s="2" t="s">
        <v>753</v>
      </c>
      <c r="J192" s="2" t="s">
        <v>30</v>
      </c>
      <c r="K192" s="2" t="s">
        <v>30</v>
      </c>
      <c r="L192" s="2" t="s">
        <v>324</v>
      </c>
      <c r="M192" s="2" t="s">
        <v>31</v>
      </c>
      <c r="N192" s="2" t="s">
        <v>461</v>
      </c>
      <c r="O192" s="2" t="s">
        <v>134</v>
      </c>
      <c r="P192" s="2" t="s">
        <v>1848</v>
      </c>
      <c r="Q192" s="2" t="s">
        <v>410</v>
      </c>
      <c r="R192" s="2" t="s">
        <v>403</v>
      </c>
      <c r="S192" s="2" t="s">
        <v>34</v>
      </c>
      <c r="T192" s="151">
        <v>6.8319999999999999</v>
      </c>
      <c r="U192" s="2" t="s">
        <v>1919</v>
      </c>
      <c r="V192" s="162">
        <v>4.02E-2</v>
      </c>
      <c r="W192" s="164">
        <v>3.5560000000000001E-2</v>
      </c>
      <c r="X192" s="4" t="s">
        <v>409</v>
      </c>
      <c r="Y192" s="4" t="s">
        <v>134</v>
      </c>
      <c r="Z192" s="151">
        <v>50000</v>
      </c>
      <c r="AA192" s="158">
        <v>1</v>
      </c>
      <c r="AB192" s="175">
        <v>104.52</v>
      </c>
      <c r="AD192" s="151">
        <v>52.26</v>
      </c>
      <c r="AG192" s="2" t="s">
        <v>36</v>
      </c>
      <c r="AH192" s="164">
        <v>6.2000000000000003E-5</v>
      </c>
      <c r="AI192" s="164">
        <v>7.94289280560905E-3</v>
      </c>
      <c r="AJ192" s="164">
        <v>1.36531672491452E-3</v>
      </c>
    </row>
    <row r="193" spans="1:36">
      <c r="A193" s="2">
        <v>337</v>
      </c>
      <c r="B193" s="2">
        <v>9962</v>
      </c>
      <c r="C193" s="2" t="s">
        <v>1920</v>
      </c>
      <c r="D193" s="2" t="s">
        <v>1921</v>
      </c>
      <c r="E193" s="4" t="s">
        <v>1303</v>
      </c>
      <c r="F193" s="2" t="s">
        <v>1922</v>
      </c>
      <c r="G193" s="2" t="s">
        <v>1923</v>
      </c>
      <c r="H193" s="2" t="s">
        <v>318</v>
      </c>
      <c r="I193" s="2" t="s">
        <v>965</v>
      </c>
      <c r="J193" s="2" t="s">
        <v>30</v>
      </c>
      <c r="K193" s="2" t="s">
        <v>30</v>
      </c>
      <c r="L193" s="2" t="s">
        <v>324</v>
      </c>
      <c r="M193" s="2" t="s">
        <v>41</v>
      </c>
      <c r="N193" s="2" t="s">
        <v>443</v>
      </c>
      <c r="O193" s="2" t="s">
        <v>134</v>
      </c>
      <c r="P193" s="2" t="s">
        <v>1842</v>
      </c>
      <c r="Q193" s="2" t="s">
        <v>406</v>
      </c>
      <c r="R193" s="2" t="s">
        <v>406</v>
      </c>
      <c r="S193" s="2" t="s">
        <v>34</v>
      </c>
      <c r="T193" s="151">
        <v>1.629</v>
      </c>
      <c r="U193" s="2" t="s">
        <v>1910</v>
      </c>
      <c r="V193" s="162">
        <v>8.5000000000000006E-2</v>
      </c>
      <c r="W193" s="164">
        <v>6.3089999999999993E-2</v>
      </c>
      <c r="X193" s="4" t="s">
        <v>409</v>
      </c>
      <c r="Y193" s="4" t="s">
        <v>134</v>
      </c>
      <c r="Z193" s="151">
        <v>24000</v>
      </c>
      <c r="AA193" s="158">
        <v>1</v>
      </c>
      <c r="AB193" s="175">
        <v>105.85</v>
      </c>
      <c r="AD193" s="151">
        <v>25.404</v>
      </c>
      <c r="AG193" s="2" t="s">
        <v>36</v>
      </c>
      <c r="AH193" s="164">
        <v>1.85E-4</v>
      </c>
      <c r="AI193" s="164">
        <v>3.8611031158379701E-3</v>
      </c>
      <c r="AJ193" s="164">
        <v>6.6369127592285401E-4</v>
      </c>
    </row>
    <row r="194" spans="1:36">
      <c r="A194" s="2">
        <v>337</v>
      </c>
      <c r="B194" s="2">
        <v>9962</v>
      </c>
      <c r="C194" s="2" t="s">
        <v>1924</v>
      </c>
      <c r="D194" s="2" t="s">
        <v>1925</v>
      </c>
      <c r="E194" s="4" t="s">
        <v>1303</v>
      </c>
      <c r="F194" s="2" t="s">
        <v>1926</v>
      </c>
      <c r="G194" s="2" t="s">
        <v>1927</v>
      </c>
      <c r="H194" s="2" t="s">
        <v>318</v>
      </c>
      <c r="I194" s="2" t="s">
        <v>753</v>
      </c>
      <c r="J194" s="2" t="s">
        <v>30</v>
      </c>
      <c r="K194" s="2" t="s">
        <v>30</v>
      </c>
      <c r="L194" s="2" t="s">
        <v>324</v>
      </c>
      <c r="M194" s="2" t="s">
        <v>41</v>
      </c>
      <c r="N194" s="2" t="s">
        <v>447</v>
      </c>
      <c r="O194" s="2" t="s">
        <v>134</v>
      </c>
      <c r="P194" s="2" t="s">
        <v>1830</v>
      </c>
      <c r="Q194" s="2" t="s">
        <v>410</v>
      </c>
      <c r="R194" s="2" t="s">
        <v>403</v>
      </c>
      <c r="S194" s="2" t="s">
        <v>34</v>
      </c>
      <c r="T194" s="151">
        <v>2.4510000000000001</v>
      </c>
      <c r="U194" s="2" t="s">
        <v>1928</v>
      </c>
      <c r="V194" s="162">
        <v>2.8799999999999999E-2</v>
      </c>
      <c r="W194" s="164">
        <v>3.218E-2</v>
      </c>
      <c r="X194" s="4" t="s">
        <v>409</v>
      </c>
      <c r="Y194" s="4" t="s">
        <v>134</v>
      </c>
      <c r="Z194" s="151">
        <v>37333.339999999997</v>
      </c>
      <c r="AA194" s="158">
        <v>1</v>
      </c>
      <c r="AB194" s="175">
        <v>114.69</v>
      </c>
      <c r="AD194" s="151">
        <v>42.817999999999998</v>
      </c>
      <c r="AG194" s="2" t="s">
        <v>36</v>
      </c>
      <c r="AH194" s="164">
        <v>1.64E-4</v>
      </c>
      <c r="AI194" s="164">
        <v>6.5077624899503401E-3</v>
      </c>
      <c r="AJ194" s="164">
        <v>1.11862984768296E-3</v>
      </c>
    </row>
    <row r="195" spans="1:36">
      <c r="A195" s="2">
        <v>337</v>
      </c>
      <c r="B195" s="2">
        <v>9962</v>
      </c>
      <c r="C195" s="2" t="s">
        <v>1929</v>
      </c>
      <c r="D195" s="2" t="s">
        <v>1930</v>
      </c>
      <c r="E195" s="4" t="s">
        <v>1303</v>
      </c>
      <c r="F195" s="2" t="s">
        <v>1931</v>
      </c>
      <c r="G195" s="2" t="s">
        <v>1932</v>
      </c>
      <c r="H195" s="2" t="s">
        <v>318</v>
      </c>
      <c r="I195" s="2" t="s">
        <v>965</v>
      </c>
      <c r="J195" s="2" t="s">
        <v>30</v>
      </c>
      <c r="K195" s="2" t="s">
        <v>30</v>
      </c>
      <c r="L195" s="2" t="s">
        <v>324</v>
      </c>
      <c r="M195" s="2" t="s">
        <v>41</v>
      </c>
      <c r="N195" s="2" t="s">
        <v>447</v>
      </c>
      <c r="O195" s="2" t="s">
        <v>134</v>
      </c>
      <c r="P195" s="2" t="s">
        <v>1834</v>
      </c>
      <c r="Q195" s="2" t="s">
        <v>410</v>
      </c>
      <c r="R195" s="2" t="s">
        <v>403</v>
      </c>
      <c r="S195" s="2" t="s">
        <v>34</v>
      </c>
      <c r="T195" s="151">
        <v>6.0330000000000004</v>
      </c>
      <c r="U195" s="2" t="s">
        <v>1933</v>
      </c>
      <c r="V195" s="162">
        <v>5.3100000000000001E-2</v>
      </c>
      <c r="W195" s="164">
        <v>5.2409999999999998E-2</v>
      </c>
      <c r="X195" s="4" t="s">
        <v>409</v>
      </c>
      <c r="Y195" s="4" t="s">
        <v>134</v>
      </c>
      <c r="Z195" s="151">
        <v>16000</v>
      </c>
      <c r="AA195" s="158">
        <v>1</v>
      </c>
      <c r="AB195" s="175">
        <v>101.76</v>
      </c>
      <c r="AD195" s="151">
        <v>16.282</v>
      </c>
      <c r="AG195" s="2" t="s">
        <v>36</v>
      </c>
      <c r="AH195" s="164">
        <v>5.0000000000000002E-5</v>
      </c>
      <c r="AI195" s="164">
        <v>2.47460779762351E-3</v>
      </c>
      <c r="AJ195" s="164">
        <v>4.25364347270727E-4</v>
      </c>
    </row>
    <row r="196" spans="1:36">
      <c r="A196" s="2">
        <v>337</v>
      </c>
      <c r="B196" s="2">
        <v>9962</v>
      </c>
      <c r="C196" s="2" t="s">
        <v>1934</v>
      </c>
      <c r="D196" s="2" t="s">
        <v>1935</v>
      </c>
      <c r="E196" s="4" t="s">
        <v>310</v>
      </c>
      <c r="F196" s="2" t="s">
        <v>1936</v>
      </c>
      <c r="G196" s="2" t="s">
        <v>1937</v>
      </c>
      <c r="H196" s="2" t="s">
        <v>318</v>
      </c>
      <c r="I196" s="2" t="s">
        <v>965</v>
      </c>
      <c r="J196" s="2" t="s">
        <v>30</v>
      </c>
      <c r="K196" s="2" t="s">
        <v>30</v>
      </c>
      <c r="L196" s="2" t="s">
        <v>324</v>
      </c>
      <c r="M196" s="2" t="s">
        <v>41</v>
      </c>
      <c r="N196" s="2" t="s">
        <v>461</v>
      </c>
      <c r="O196" s="2" t="s">
        <v>134</v>
      </c>
      <c r="P196" s="2" t="s">
        <v>1909</v>
      </c>
      <c r="Q196" s="2" t="s">
        <v>412</v>
      </c>
      <c r="R196" s="2" t="s">
        <v>403</v>
      </c>
      <c r="S196" s="2" t="s">
        <v>34</v>
      </c>
      <c r="T196" s="151">
        <v>0.98</v>
      </c>
      <c r="U196" s="2" t="s">
        <v>1938</v>
      </c>
      <c r="V196" s="162">
        <v>7.0000000000000007E-2</v>
      </c>
      <c r="W196" s="164">
        <v>6.5449999999999994E-2</v>
      </c>
      <c r="X196" s="4" t="s">
        <v>409</v>
      </c>
      <c r="Y196" s="4" t="s">
        <v>134</v>
      </c>
      <c r="Z196" s="151">
        <v>0.08</v>
      </c>
      <c r="AA196" s="158">
        <v>1</v>
      </c>
      <c r="AB196" s="175">
        <v>100.55</v>
      </c>
      <c r="AD196" s="151">
        <v>0</v>
      </c>
      <c r="AG196" s="2" t="s">
        <v>36</v>
      </c>
      <c r="AH196" s="164">
        <v>0</v>
      </c>
      <c r="AI196" s="164">
        <v>1.2225914605495501E-8</v>
      </c>
      <c r="AJ196" s="164">
        <v>2.1015322876411E-9</v>
      </c>
    </row>
    <row r="197" spans="1:36">
      <c r="A197" s="2">
        <v>337</v>
      </c>
      <c r="B197" s="2">
        <v>9962</v>
      </c>
      <c r="C197" s="2" t="s">
        <v>1836</v>
      </c>
      <c r="D197" s="2" t="s">
        <v>1837</v>
      </c>
      <c r="E197" s="4" t="s">
        <v>1303</v>
      </c>
      <c r="F197" s="2" t="s">
        <v>1944</v>
      </c>
      <c r="G197" s="2" t="s">
        <v>1945</v>
      </c>
      <c r="H197" s="2" t="s">
        <v>318</v>
      </c>
      <c r="I197" s="2" t="s">
        <v>753</v>
      </c>
      <c r="J197" s="2" t="s">
        <v>30</v>
      </c>
      <c r="K197" s="2" t="s">
        <v>30</v>
      </c>
      <c r="L197" s="2" t="s">
        <v>324</v>
      </c>
      <c r="M197" s="2" t="s">
        <v>41</v>
      </c>
      <c r="N197" s="2" t="s">
        <v>460</v>
      </c>
      <c r="O197" s="2" t="s">
        <v>134</v>
      </c>
      <c r="P197" s="2" t="s">
        <v>1834</v>
      </c>
      <c r="Q197" s="2" t="s">
        <v>410</v>
      </c>
      <c r="R197" s="2" t="s">
        <v>403</v>
      </c>
      <c r="S197" s="2" t="s">
        <v>34</v>
      </c>
      <c r="T197" s="151">
        <v>4.91</v>
      </c>
      <c r="U197" s="2" t="s">
        <v>1946</v>
      </c>
      <c r="V197" s="162">
        <v>6.4999999999999997E-3</v>
      </c>
      <c r="W197" s="164">
        <v>2.9739999999999999E-2</v>
      </c>
      <c r="X197" s="4" t="s">
        <v>409</v>
      </c>
      <c r="Y197" s="4" t="s">
        <v>134</v>
      </c>
      <c r="Z197" s="151">
        <v>88078.33</v>
      </c>
      <c r="AA197" s="158">
        <v>1</v>
      </c>
      <c r="AB197" s="175">
        <v>102.5</v>
      </c>
      <c r="AD197" s="151">
        <v>90.28</v>
      </c>
      <c r="AG197" s="2" t="s">
        <v>36</v>
      </c>
      <c r="AH197" s="164">
        <v>3.8999999999999999E-5</v>
      </c>
      <c r="AI197" s="164">
        <v>1.3721520322029E-2</v>
      </c>
      <c r="AJ197" s="164">
        <v>2.3586143795987099E-3</v>
      </c>
    </row>
    <row r="198" spans="1:36">
      <c r="A198" s="2">
        <v>337</v>
      </c>
      <c r="B198" s="2">
        <v>9962</v>
      </c>
      <c r="C198" s="2" t="s">
        <v>1836</v>
      </c>
      <c r="D198" s="2" t="s">
        <v>1837</v>
      </c>
      <c r="E198" s="4" t="s">
        <v>1303</v>
      </c>
      <c r="F198" s="2" t="s">
        <v>1947</v>
      </c>
      <c r="G198" s="2" t="s">
        <v>1948</v>
      </c>
      <c r="H198" s="2" t="s">
        <v>318</v>
      </c>
      <c r="I198" s="2" t="s">
        <v>753</v>
      </c>
      <c r="J198" s="2" t="s">
        <v>30</v>
      </c>
      <c r="K198" s="2" t="s">
        <v>30</v>
      </c>
      <c r="L198" s="2" t="s">
        <v>324</v>
      </c>
      <c r="M198" s="2" t="s">
        <v>31</v>
      </c>
      <c r="N198" s="2" t="s">
        <v>460</v>
      </c>
      <c r="O198" s="2" t="s">
        <v>134</v>
      </c>
      <c r="P198" s="2" t="s">
        <v>1834</v>
      </c>
      <c r="Q198" s="2" t="s">
        <v>410</v>
      </c>
      <c r="R198" s="2" t="s">
        <v>403</v>
      </c>
      <c r="S198" s="2" t="s">
        <v>34</v>
      </c>
      <c r="T198" s="151">
        <v>7.2910000000000004</v>
      </c>
      <c r="U198" s="2" t="s">
        <v>1949</v>
      </c>
      <c r="V198" s="162">
        <v>3.5999999999999997E-2</v>
      </c>
      <c r="W198" s="164">
        <v>3.2489999999999998E-2</v>
      </c>
      <c r="X198" s="4" t="s">
        <v>409</v>
      </c>
      <c r="Y198" s="4" t="s">
        <v>134</v>
      </c>
      <c r="Z198" s="151">
        <v>67000</v>
      </c>
      <c r="AA198" s="158">
        <v>1</v>
      </c>
      <c r="AB198" s="175">
        <v>104.88</v>
      </c>
      <c r="AD198" s="151">
        <v>70.27</v>
      </c>
      <c r="AG198" s="2" t="s">
        <v>36</v>
      </c>
      <c r="AH198" s="164">
        <v>9.2E-5</v>
      </c>
      <c r="AI198" s="164">
        <v>1.0680135864772801E-2</v>
      </c>
      <c r="AJ198" s="164">
        <v>1.83582587319275E-3</v>
      </c>
    </row>
    <row r="199" spans="1:36">
      <c r="A199" s="2">
        <v>337</v>
      </c>
      <c r="B199" s="2">
        <v>9962</v>
      </c>
      <c r="C199" s="2" t="s">
        <v>1950</v>
      </c>
      <c r="D199" s="2" t="s">
        <v>1951</v>
      </c>
      <c r="E199" s="4" t="s">
        <v>1303</v>
      </c>
      <c r="F199" s="2" t="s">
        <v>1952</v>
      </c>
      <c r="G199" s="2" t="s">
        <v>1953</v>
      </c>
      <c r="H199" s="2" t="s">
        <v>318</v>
      </c>
      <c r="I199" s="2" t="s">
        <v>753</v>
      </c>
      <c r="J199" s="2" t="s">
        <v>30</v>
      </c>
      <c r="K199" s="2" t="s">
        <v>30</v>
      </c>
      <c r="L199" s="2" t="s">
        <v>324</v>
      </c>
      <c r="M199" s="2" t="s">
        <v>41</v>
      </c>
      <c r="N199" s="2" t="s">
        <v>460</v>
      </c>
      <c r="O199" s="2" t="s">
        <v>134</v>
      </c>
      <c r="P199" s="2" t="s">
        <v>1862</v>
      </c>
      <c r="Q199" s="2" t="s">
        <v>410</v>
      </c>
      <c r="R199" s="2" t="s">
        <v>403</v>
      </c>
      <c r="S199" s="2" t="s">
        <v>34</v>
      </c>
      <c r="T199" s="151">
        <v>5.7060000000000004</v>
      </c>
      <c r="U199" s="2" t="s">
        <v>1954</v>
      </c>
      <c r="V199" s="162">
        <v>3.6799999999999999E-2</v>
      </c>
      <c r="W199" s="164">
        <v>3.5349999999999999E-2</v>
      </c>
      <c r="X199" s="4" t="s">
        <v>409</v>
      </c>
      <c r="Y199" s="4" t="s">
        <v>134</v>
      </c>
      <c r="Z199" s="151">
        <v>67000</v>
      </c>
      <c r="AA199" s="158">
        <v>1</v>
      </c>
      <c r="AB199" s="175">
        <v>105.69</v>
      </c>
      <c r="AD199" s="151">
        <v>70.811999999999998</v>
      </c>
      <c r="AG199" s="2" t="s">
        <v>36</v>
      </c>
      <c r="AH199" s="164">
        <v>1.5100000000000001E-4</v>
      </c>
      <c r="AI199" s="164">
        <v>1.07626197516003E-2</v>
      </c>
      <c r="AJ199" s="164">
        <v>1.85000416225917E-3</v>
      </c>
    </row>
    <row r="200" spans="1:36">
      <c r="A200" s="2">
        <v>337</v>
      </c>
      <c r="B200" s="2">
        <v>9962</v>
      </c>
      <c r="C200" s="2" t="s">
        <v>1493</v>
      </c>
      <c r="D200" s="2" t="s">
        <v>1494</v>
      </c>
      <c r="E200" s="4" t="s">
        <v>1303</v>
      </c>
      <c r="F200" s="2" t="s">
        <v>1958</v>
      </c>
      <c r="G200" s="2" t="s">
        <v>1959</v>
      </c>
      <c r="H200" s="2" t="s">
        <v>318</v>
      </c>
      <c r="I200" s="2" t="s">
        <v>965</v>
      </c>
      <c r="J200" s="2" t="s">
        <v>30</v>
      </c>
      <c r="K200" s="2" t="s">
        <v>30</v>
      </c>
      <c r="L200" s="2" t="s">
        <v>324</v>
      </c>
      <c r="M200" s="2" t="s">
        <v>41</v>
      </c>
      <c r="N200" s="2" t="s">
        <v>481</v>
      </c>
      <c r="O200" s="2" t="s">
        <v>134</v>
      </c>
      <c r="P200" s="2" t="s">
        <v>1834</v>
      </c>
      <c r="Q200" s="2" t="s">
        <v>410</v>
      </c>
      <c r="R200" s="2" t="s">
        <v>403</v>
      </c>
      <c r="S200" s="2" t="s">
        <v>34</v>
      </c>
      <c r="T200" s="151">
        <v>7.5209999999999999</v>
      </c>
      <c r="U200" s="2" t="s">
        <v>1960</v>
      </c>
      <c r="V200" s="162">
        <v>2.7900000000000001E-2</v>
      </c>
      <c r="W200" s="164">
        <v>5.1869999999999999E-2</v>
      </c>
      <c r="X200" s="4" t="s">
        <v>409</v>
      </c>
      <c r="Y200" s="4" t="s">
        <v>134</v>
      </c>
      <c r="Z200" s="151">
        <v>67000</v>
      </c>
      <c r="AA200" s="158">
        <v>1</v>
      </c>
      <c r="AB200" s="175">
        <v>84.82</v>
      </c>
      <c r="AD200" s="151">
        <v>56.829000000000001</v>
      </c>
      <c r="AG200" s="2" t="s">
        <v>36</v>
      </c>
      <c r="AH200" s="164">
        <v>4.8000000000000001E-5</v>
      </c>
      <c r="AI200" s="164">
        <v>8.6373867663046104E-3</v>
      </c>
      <c r="AJ200" s="164">
        <v>1.48469441804166E-3</v>
      </c>
    </row>
    <row r="201" spans="1:36">
      <c r="A201" s="2">
        <v>337</v>
      </c>
      <c r="B201" s="2">
        <v>9962</v>
      </c>
      <c r="C201" s="2" t="s">
        <v>1497</v>
      </c>
      <c r="D201" s="2" t="s">
        <v>1498</v>
      </c>
      <c r="E201" s="4" t="s">
        <v>1303</v>
      </c>
      <c r="F201" s="2" t="s">
        <v>1961</v>
      </c>
      <c r="G201" s="2" t="s">
        <v>1962</v>
      </c>
      <c r="H201" s="2" t="s">
        <v>318</v>
      </c>
      <c r="I201" s="2" t="s">
        <v>753</v>
      </c>
      <c r="J201" s="2" t="s">
        <v>30</v>
      </c>
      <c r="K201" s="2" t="s">
        <v>30</v>
      </c>
      <c r="L201" s="2" t="s">
        <v>324</v>
      </c>
      <c r="M201" s="2" t="s">
        <v>41</v>
      </c>
      <c r="N201" s="2" t="s">
        <v>460</v>
      </c>
      <c r="O201" s="2" t="s">
        <v>134</v>
      </c>
      <c r="P201" s="2" t="s">
        <v>1826</v>
      </c>
      <c r="Q201" s="2" t="s">
        <v>410</v>
      </c>
      <c r="R201" s="2" t="s">
        <v>403</v>
      </c>
      <c r="S201" s="2" t="s">
        <v>34</v>
      </c>
      <c r="T201" s="151">
        <v>4.8780000000000001</v>
      </c>
      <c r="U201" s="2" t="s">
        <v>1963</v>
      </c>
      <c r="V201" s="162">
        <v>1.8700000000000001E-2</v>
      </c>
      <c r="W201" s="164">
        <v>3.1629999999999998E-2</v>
      </c>
      <c r="X201" s="4" t="s">
        <v>409</v>
      </c>
      <c r="Y201" s="4" t="s">
        <v>134</v>
      </c>
      <c r="Z201" s="151">
        <v>60000</v>
      </c>
      <c r="AA201" s="158">
        <v>1</v>
      </c>
      <c r="AB201" s="175">
        <v>105.08</v>
      </c>
      <c r="AD201" s="151">
        <v>63.048000000000002</v>
      </c>
      <c r="AG201" s="2" t="s">
        <v>36</v>
      </c>
      <c r="AH201" s="164">
        <v>5.8999999999999998E-5</v>
      </c>
      <c r="AI201" s="164">
        <v>9.5825393342525798E-3</v>
      </c>
      <c r="AJ201" s="164">
        <v>1.6471582256488799E-3</v>
      </c>
    </row>
    <row r="202" spans="1:36">
      <c r="A202" s="2">
        <v>337</v>
      </c>
      <c r="B202" s="2">
        <v>9962</v>
      </c>
      <c r="C202" s="2" t="s">
        <v>1964</v>
      </c>
      <c r="D202" s="2" t="s">
        <v>1965</v>
      </c>
      <c r="E202" s="4" t="s">
        <v>1303</v>
      </c>
      <c r="F202" s="2" t="s">
        <v>1966</v>
      </c>
      <c r="G202" s="2" t="s">
        <v>1967</v>
      </c>
      <c r="H202" s="2" t="s">
        <v>318</v>
      </c>
      <c r="I202" s="2" t="s">
        <v>753</v>
      </c>
      <c r="J202" s="2" t="s">
        <v>30</v>
      </c>
      <c r="K202" s="2" t="s">
        <v>30</v>
      </c>
      <c r="L202" s="2" t="s">
        <v>324</v>
      </c>
      <c r="M202" s="2" t="s">
        <v>41</v>
      </c>
      <c r="N202" s="2" t="s">
        <v>444</v>
      </c>
      <c r="O202" s="2" t="s">
        <v>134</v>
      </c>
      <c r="P202" s="2" t="s">
        <v>1826</v>
      </c>
      <c r="Q202" s="2" t="s">
        <v>410</v>
      </c>
      <c r="R202" s="2" t="s">
        <v>403</v>
      </c>
      <c r="S202" s="2" t="s">
        <v>34</v>
      </c>
      <c r="T202" s="151">
        <v>2.9670000000000001</v>
      </c>
      <c r="U202" s="2" t="s">
        <v>1968</v>
      </c>
      <c r="V202" s="162">
        <v>1.09E-2</v>
      </c>
      <c r="W202" s="164">
        <v>2.9389999999999999E-2</v>
      </c>
      <c r="X202" s="4" t="s">
        <v>409</v>
      </c>
      <c r="Y202" s="4" t="s">
        <v>134</v>
      </c>
      <c r="Z202" s="151">
        <v>50000</v>
      </c>
      <c r="AA202" s="158">
        <v>1</v>
      </c>
      <c r="AB202" s="175">
        <v>105.7</v>
      </c>
      <c r="AD202" s="151">
        <v>52.85</v>
      </c>
      <c r="AG202" s="2" t="s">
        <v>36</v>
      </c>
      <c r="AH202" s="164">
        <v>5.5000000000000002E-5</v>
      </c>
      <c r="AI202" s="164">
        <v>8.0325657247691997E-3</v>
      </c>
      <c r="AJ202" s="164">
        <v>1.3807307484066599E-3</v>
      </c>
    </row>
    <row r="203" spans="1:36">
      <c r="A203" s="2">
        <v>337</v>
      </c>
      <c r="B203" s="2">
        <v>9962</v>
      </c>
      <c r="C203" s="2" t="s">
        <v>1671</v>
      </c>
      <c r="D203" s="2" t="s">
        <v>1672</v>
      </c>
      <c r="E203" s="4" t="s">
        <v>1303</v>
      </c>
      <c r="F203" s="2" t="s">
        <v>1972</v>
      </c>
      <c r="G203" s="2" t="s">
        <v>1973</v>
      </c>
      <c r="H203" s="2" t="s">
        <v>318</v>
      </c>
      <c r="I203" s="2" t="s">
        <v>965</v>
      </c>
      <c r="J203" s="2" t="s">
        <v>30</v>
      </c>
      <c r="K203" s="2" t="s">
        <v>30</v>
      </c>
      <c r="L203" s="2" t="s">
        <v>324</v>
      </c>
      <c r="M203" s="2" t="s">
        <v>41</v>
      </c>
      <c r="N203" s="2" t="s">
        <v>436</v>
      </c>
      <c r="O203" s="2" t="s">
        <v>134</v>
      </c>
      <c r="P203" s="2" t="s">
        <v>1909</v>
      </c>
      <c r="Q203" s="2" t="s">
        <v>412</v>
      </c>
      <c r="R203" s="2" t="s">
        <v>403</v>
      </c>
      <c r="S203" s="2" t="s">
        <v>34</v>
      </c>
      <c r="T203" s="151">
        <v>2.621</v>
      </c>
      <c r="U203" s="2" t="s">
        <v>1974</v>
      </c>
      <c r="V203" s="162">
        <v>7.2499999999999995E-2</v>
      </c>
      <c r="W203" s="164">
        <v>5.6919999999999998E-2</v>
      </c>
      <c r="X203" s="4" t="s">
        <v>409</v>
      </c>
      <c r="Y203" s="4" t="s">
        <v>134</v>
      </c>
      <c r="Z203" s="151">
        <v>97200</v>
      </c>
      <c r="AA203" s="158">
        <v>1</v>
      </c>
      <c r="AB203" s="175">
        <v>107.37</v>
      </c>
      <c r="AD203" s="151">
        <v>104.364</v>
      </c>
      <c r="AG203" s="2" t="s">
        <v>36</v>
      </c>
      <c r="AH203" s="164">
        <v>1.35E-4</v>
      </c>
      <c r="AI203" s="164">
        <v>1.58620207677607E-2</v>
      </c>
      <c r="AJ203" s="164">
        <v>2.7265484723489799E-3</v>
      </c>
    </row>
    <row r="204" spans="1:36">
      <c r="A204" s="2">
        <v>337</v>
      </c>
      <c r="B204" s="2">
        <v>9962</v>
      </c>
      <c r="C204" s="2" t="s">
        <v>1513</v>
      </c>
      <c r="D204" s="2" t="s">
        <v>1514</v>
      </c>
      <c r="E204" s="4" t="s">
        <v>1303</v>
      </c>
      <c r="F204" s="2" t="s">
        <v>1983</v>
      </c>
      <c r="G204" s="2" t="s">
        <v>1984</v>
      </c>
      <c r="H204" s="2" t="s">
        <v>318</v>
      </c>
      <c r="I204" s="2" t="s">
        <v>753</v>
      </c>
      <c r="J204" s="2" t="s">
        <v>30</v>
      </c>
      <c r="K204" s="2" t="s">
        <v>30</v>
      </c>
      <c r="L204" s="2" t="s">
        <v>324</v>
      </c>
      <c r="M204" s="2" t="s">
        <v>41</v>
      </c>
      <c r="N204" s="2" t="s">
        <v>460</v>
      </c>
      <c r="O204" s="2" t="s">
        <v>134</v>
      </c>
      <c r="P204" s="2" t="s">
        <v>1834</v>
      </c>
      <c r="Q204" s="2" t="s">
        <v>410</v>
      </c>
      <c r="R204" s="2" t="s">
        <v>403</v>
      </c>
      <c r="S204" s="2" t="s">
        <v>34</v>
      </c>
      <c r="T204" s="151">
        <v>3.4889999999999999</v>
      </c>
      <c r="U204" s="2" t="s">
        <v>1985</v>
      </c>
      <c r="V204" s="162">
        <v>5.0000000000000001E-3</v>
      </c>
      <c r="W204" s="164">
        <v>3.0589999999999999E-2</v>
      </c>
      <c r="X204" s="4" t="s">
        <v>409</v>
      </c>
      <c r="Y204" s="4" t="s">
        <v>134</v>
      </c>
      <c r="Z204" s="151">
        <v>37171.660000000003</v>
      </c>
      <c r="AA204" s="158">
        <v>1</v>
      </c>
      <c r="AB204" s="175">
        <v>105.54</v>
      </c>
      <c r="AD204" s="151">
        <v>39.231000000000002</v>
      </c>
      <c r="AG204" s="2" t="s">
        <v>36</v>
      </c>
      <c r="AH204" s="164">
        <v>2.3E-5</v>
      </c>
      <c r="AI204" s="164">
        <v>5.9626366070440204E-3</v>
      </c>
      <c r="AJ204" s="164">
        <v>1.02492727566912E-3</v>
      </c>
    </row>
    <row r="205" spans="1:36">
      <c r="A205" s="2">
        <v>337</v>
      </c>
      <c r="B205" s="2">
        <v>9962</v>
      </c>
      <c r="C205" s="2" t="s">
        <v>1513</v>
      </c>
      <c r="D205" s="2" t="s">
        <v>1514</v>
      </c>
      <c r="E205" s="4" t="s">
        <v>1303</v>
      </c>
      <c r="F205" s="2" t="s">
        <v>1986</v>
      </c>
      <c r="G205" s="2" t="s">
        <v>1987</v>
      </c>
      <c r="H205" s="2" t="s">
        <v>318</v>
      </c>
      <c r="I205" s="2" t="s">
        <v>753</v>
      </c>
      <c r="J205" s="2" t="s">
        <v>30</v>
      </c>
      <c r="K205" s="2" t="s">
        <v>30</v>
      </c>
      <c r="L205" s="2" t="s">
        <v>324</v>
      </c>
      <c r="M205" s="2" t="s">
        <v>31</v>
      </c>
      <c r="N205" s="2" t="s">
        <v>460</v>
      </c>
      <c r="O205" s="2" t="s">
        <v>134</v>
      </c>
      <c r="P205" s="2" t="s">
        <v>1834</v>
      </c>
      <c r="Q205" s="2" t="s">
        <v>410</v>
      </c>
      <c r="R205" s="2" t="s">
        <v>403</v>
      </c>
      <c r="S205" s="2" t="s">
        <v>34</v>
      </c>
      <c r="T205" s="151">
        <v>3.3180000000000001</v>
      </c>
      <c r="U205" s="2" t="s">
        <v>74</v>
      </c>
      <c r="V205" s="162">
        <v>3.3399999999999999E-2</v>
      </c>
      <c r="W205" s="164">
        <v>3.0470000000000001E-2</v>
      </c>
      <c r="X205" s="4" t="s">
        <v>409</v>
      </c>
      <c r="Y205" s="4" t="s">
        <v>134</v>
      </c>
      <c r="Z205" s="151">
        <v>100000</v>
      </c>
      <c r="AA205" s="158">
        <v>1</v>
      </c>
      <c r="AB205" s="175">
        <v>102.84</v>
      </c>
      <c r="AD205" s="151">
        <v>102.84</v>
      </c>
      <c r="AG205" s="2" t="s">
        <v>36</v>
      </c>
      <c r="AH205" s="164">
        <v>9.2999999999999997E-5</v>
      </c>
      <c r="AI205" s="164">
        <v>1.56304457736096E-2</v>
      </c>
      <c r="AJ205" s="164">
        <v>2.6867426710717301E-3</v>
      </c>
    </row>
    <row r="206" spans="1:36">
      <c r="A206" s="2">
        <v>337</v>
      </c>
      <c r="B206" s="2">
        <v>9962</v>
      </c>
      <c r="C206" s="2" t="s">
        <v>1988</v>
      </c>
      <c r="D206" s="2" t="s">
        <v>1989</v>
      </c>
      <c r="E206" s="4" t="s">
        <v>1303</v>
      </c>
      <c r="F206" s="2" t="s">
        <v>1990</v>
      </c>
      <c r="G206" s="2" t="s">
        <v>1991</v>
      </c>
      <c r="H206" s="2" t="s">
        <v>318</v>
      </c>
      <c r="I206" s="2" t="s">
        <v>965</v>
      </c>
      <c r="J206" s="2" t="s">
        <v>30</v>
      </c>
      <c r="K206" s="2" t="s">
        <v>30</v>
      </c>
      <c r="L206" s="2" t="s">
        <v>324</v>
      </c>
      <c r="M206" s="2" t="s">
        <v>41</v>
      </c>
      <c r="N206" s="2" t="s">
        <v>443</v>
      </c>
      <c r="O206" s="2" t="s">
        <v>134</v>
      </c>
      <c r="P206" s="2" t="s">
        <v>1842</v>
      </c>
      <c r="Q206" s="2" t="s">
        <v>406</v>
      </c>
      <c r="R206" s="2" t="s">
        <v>406</v>
      </c>
      <c r="S206" s="2" t="s">
        <v>34</v>
      </c>
      <c r="T206" s="151">
        <v>1.177</v>
      </c>
      <c r="U206" s="2" t="s">
        <v>1992</v>
      </c>
      <c r="V206" s="162">
        <v>3.8699999999999998E-2</v>
      </c>
      <c r="W206" s="164">
        <v>5.9119999999999999E-2</v>
      </c>
      <c r="X206" s="4" t="s">
        <v>409</v>
      </c>
      <c r="Y206" s="4" t="s">
        <v>134</v>
      </c>
      <c r="Z206" s="151">
        <v>23704.62</v>
      </c>
      <c r="AA206" s="158">
        <v>1</v>
      </c>
      <c r="AB206" s="175">
        <v>98.73</v>
      </c>
      <c r="AD206" s="151">
        <v>23.404</v>
      </c>
      <c r="AG206" s="2" t="s">
        <v>36</v>
      </c>
      <c r="AH206" s="164">
        <v>7.1000000000000005E-5</v>
      </c>
      <c r="AI206" s="164">
        <v>3.5570619653816299E-3</v>
      </c>
      <c r="AJ206" s="164">
        <v>6.1142914952387302E-4</v>
      </c>
    </row>
    <row r="207" spans="1:36">
      <c r="A207" s="2">
        <v>337</v>
      </c>
      <c r="B207" s="2">
        <v>9962</v>
      </c>
      <c r="C207" s="2" t="s">
        <v>1988</v>
      </c>
      <c r="D207" s="2" t="s">
        <v>1989</v>
      </c>
      <c r="E207" s="4" t="s">
        <v>1303</v>
      </c>
      <c r="F207" s="2" t="s">
        <v>1993</v>
      </c>
      <c r="G207" s="2" t="s">
        <v>1994</v>
      </c>
      <c r="H207" s="2" t="s">
        <v>318</v>
      </c>
      <c r="I207" s="2" t="s">
        <v>965</v>
      </c>
      <c r="J207" s="2" t="s">
        <v>30</v>
      </c>
      <c r="K207" s="2" t="s">
        <v>30</v>
      </c>
      <c r="L207" s="2" t="s">
        <v>324</v>
      </c>
      <c r="M207" s="2" t="s">
        <v>41</v>
      </c>
      <c r="N207" s="2" t="s">
        <v>443</v>
      </c>
      <c r="O207" s="2" t="s">
        <v>134</v>
      </c>
      <c r="P207" s="2" t="s">
        <v>1842</v>
      </c>
      <c r="Q207" s="2" t="s">
        <v>406</v>
      </c>
      <c r="R207" s="2" t="s">
        <v>406</v>
      </c>
      <c r="S207" s="2" t="s">
        <v>34</v>
      </c>
      <c r="T207" s="151">
        <v>1.18</v>
      </c>
      <c r="U207" s="2" t="s">
        <v>1910</v>
      </c>
      <c r="V207" s="162">
        <v>6.25E-2</v>
      </c>
      <c r="W207" s="164">
        <v>6.8479999999999999E-2</v>
      </c>
      <c r="X207" s="4" t="s">
        <v>409</v>
      </c>
      <c r="Y207" s="4" t="s">
        <v>134</v>
      </c>
      <c r="Z207" s="151">
        <v>0.25</v>
      </c>
      <c r="AA207" s="158">
        <v>1</v>
      </c>
      <c r="AB207" s="175">
        <v>101.01</v>
      </c>
      <c r="AD207" s="151">
        <v>0</v>
      </c>
      <c r="AG207" s="2" t="s">
        <v>36</v>
      </c>
      <c r="AH207" s="164">
        <v>0</v>
      </c>
      <c r="AI207" s="164">
        <v>3.8380769340536303E-8</v>
      </c>
      <c r="AJ207" s="164">
        <v>6.5973326819563408E-9</v>
      </c>
    </row>
    <row r="208" spans="1:36">
      <c r="A208" s="2">
        <v>337</v>
      </c>
      <c r="B208" s="2">
        <v>9962</v>
      </c>
      <c r="C208" s="2" t="s">
        <v>1988</v>
      </c>
      <c r="D208" s="2" t="s">
        <v>1989</v>
      </c>
      <c r="E208" s="4" t="s">
        <v>1303</v>
      </c>
      <c r="F208" s="2" t="s">
        <v>2365</v>
      </c>
      <c r="G208" s="2" t="s">
        <v>2366</v>
      </c>
      <c r="H208" s="2" t="s">
        <v>318</v>
      </c>
      <c r="I208" s="2" t="s">
        <v>965</v>
      </c>
      <c r="J208" s="2" t="s">
        <v>30</v>
      </c>
      <c r="K208" s="2" t="s">
        <v>30</v>
      </c>
      <c r="L208" s="2" t="s">
        <v>324</v>
      </c>
      <c r="M208" s="2" t="s">
        <v>31</v>
      </c>
      <c r="N208" s="2" t="s">
        <v>443</v>
      </c>
      <c r="O208" s="2" t="s">
        <v>134</v>
      </c>
      <c r="P208" s="2" t="s">
        <v>1842</v>
      </c>
      <c r="Q208" s="2" t="s">
        <v>406</v>
      </c>
      <c r="R208" s="2" t="s">
        <v>406</v>
      </c>
      <c r="S208" s="2" t="s">
        <v>34</v>
      </c>
      <c r="T208" s="151">
        <v>1.1850000000000001</v>
      </c>
      <c r="U208" s="2" t="s">
        <v>1910</v>
      </c>
      <c r="V208" s="162">
        <v>4.19E-2</v>
      </c>
      <c r="W208" s="164">
        <v>7.1230000000000002E-2</v>
      </c>
      <c r="X208" s="4" t="s">
        <v>409</v>
      </c>
      <c r="Y208" s="4" t="s">
        <v>134</v>
      </c>
      <c r="Z208" s="151">
        <v>17574</v>
      </c>
      <c r="AA208" s="158">
        <v>1</v>
      </c>
      <c r="AB208" s="175">
        <v>97.81</v>
      </c>
      <c r="AD208" s="151">
        <v>17.189</v>
      </c>
      <c r="AG208" s="2" t="s">
        <v>36</v>
      </c>
      <c r="AH208" s="164">
        <v>2.2000000000000001E-4</v>
      </c>
      <c r="AI208" s="164">
        <v>2.6125413747788602E-3</v>
      </c>
      <c r="AJ208" s="164">
        <v>4.4907397352735999E-4</v>
      </c>
    </row>
    <row r="209" spans="1:36">
      <c r="A209" s="2">
        <v>337</v>
      </c>
      <c r="B209" s="2">
        <v>9962</v>
      </c>
      <c r="C209" s="2" t="s">
        <v>2367</v>
      </c>
      <c r="D209" s="2" t="s">
        <v>2368</v>
      </c>
      <c r="E209" s="4" t="s">
        <v>33</v>
      </c>
      <c r="F209" s="2" t="s">
        <v>2369</v>
      </c>
      <c r="G209" s="2" t="s">
        <v>2370</v>
      </c>
      <c r="H209" s="2" t="s">
        <v>318</v>
      </c>
      <c r="I209" s="2" t="s">
        <v>965</v>
      </c>
      <c r="J209" s="2" t="s">
        <v>30</v>
      </c>
      <c r="K209" s="2" t="s">
        <v>80</v>
      </c>
      <c r="L209" s="2" t="s">
        <v>324</v>
      </c>
      <c r="M209" s="2" t="s">
        <v>41</v>
      </c>
      <c r="N209" s="2" t="s">
        <v>461</v>
      </c>
      <c r="O209" s="2" t="s">
        <v>134</v>
      </c>
      <c r="P209" s="2" t="s">
        <v>2371</v>
      </c>
      <c r="Q209" s="2" t="s">
        <v>410</v>
      </c>
      <c r="R209" s="2" t="s">
        <v>403</v>
      </c>
      <c r="S209" s="2" t="s">
        <v>34</v>
      </c>
      <c r="T209" s="151">
        <v>1.5580000000000001</v>
      </c>
      <c r="U209" s="2" t="s">
        <v>2263</v>
      </c>
      <c r="V209" s="162">
        <v>8.7499999999999994E-2</v>
      </c>
      <c r="W209" s="164">
        <v>0.1095</v>
      </c>
      <c r="X209" s="4" t="s">
        <v>409</v>
      </c>
      <c r="Y209" s="4" t="s">
        <v>134</v>
      </c>
      <c r="Z209" s="151">
        <v>56000</v>
      </c>
      <c r="AA209" s="158">
        <v>1</v>
      </c>
      <c r="AB209" s="175">
        <v>112.63</v>
      </c>
      <c r="AD209" s="151">
        <v>63.073</v>
      </c>
      <c r="AG209" s="2" t="s">
        <v>36</v>
      </c>
      <c r="AH209" s="164">
        <v>3.2899999999999997E-4</v>
      </c>
      <c r="AI209" s="164">
        <v>9.5863086366172693E-3</v>
      </c>
      <c r="AJ209" s="164">
        <v>1.6478061371448199E-3</v>
      </c>
    </row>
    <row r="210" spans="1:36">
      <c r="A210" s="2">
        <v>337</v>
      </c>
      <c r="B210" s="2">
        <v>9962</v>
      </c>
      <c r="C210" s="2" t="s">
        <v>1995</v>
      </c>
      <c r="D210" s="2" t="s">
        <v>1996</v>
      </c>
      <c r="E210" s="4" t="s">
        <v>1303</v>
      </c>
      <c r="F210" s="2" t="s">
        <v>1997</v>
      </c>
      <c r="G210" s="2" t="s">
        <v>1998</v>
      </c>
      <c r="H210" s="2" t="s">
        <v>318</v>
      </c>
      <c r="I210" s="2" t="s">
        <v>966</v>
      </c>
      <c r="J210" s="2" t="s">
        <v>30</v>
      </c>
      <c r="K210" s="2" t="s">
        <v>30</v>
      </c>
      <c r="L210" s="2" t="s">
        <v>324</v>
      </c>
      <c r="M210" s="2" t="s">
        <v>41</v>
      </c>
      <c r="N210" s="2" t="s">
        <v>443</v>
      </c>
      <c r="O210" s="2" t="s">
        <v>134</v>
      </c>
      <c r="P210" s="2" t="s">
        <v>1842</v>
      </c>
      <c r="Q210" s="2" t="s">
        <v>406</v>
      </c>
      <c r="R210" s="2" t="s">
        <v>406</v>
      </c>
      <c r="S210" s="2" t="s">
        <v>34</v>
      </c>
      <c r="T210" s="151">
        <v>3.24</v>
      </c>
      <c r="U210" s="2" t="s">
        <v>1831</v>
      </c>
      <c r="V210" s="162">
        <v>7.0000000000000007E-2</v>
      </c>
      <c r="W210" s="164">
        <v>-6.3850000000000004E-2</v>
      </c>
      <c r="X210" s="4" t="s">
        <v>409</v>
      </c>
      <c r="Y210" s="4" t="s">
        <v>134</v>
      </c>
      <c r="Z210" s="151">
        <v>11000</v>
      </c>
      <c r="AA210" s="158">
        <v>1</v>
      </c>
      <c r="AB210" s="175">
        <v>133.1</v>
      </c>
      <c r="AD210" s="151">
        <v>14.641</v>
      </c>
      <c r="AG210" s="2" t="s">
        <v>36</v>
      </c>
      <c r="AH210" s="164">
        <v>2.2000000000000001E-4</v>
      </c>
      <c r="AI210" s="164">
        <v>2.2252562871588602E-3</v>
      </c>
      <c r="AJ210" s="164">
        <v>3.8250291177714202E-4</v>
      </c>
    </row>
    <row r="211" spans="1:36">
      <c r="A211" s="2">
        <v>337</v>
      </c>
      <c r="B211" s="2">
        <v>9962</v>
      </c>
      <c r="C211" s="2" t="s">
        <v>2372</v>
      </c>
      <c r="D211" s="2" t="s">
        <v>2373</v>
      </c>
      <c r="E211" s="4" t="s">
        <v>33</v>
      </c>
      <c r="F211" s="2" t="s">
        <v>2374</v>
      </c>
      <c r="G211" s="2" t="s">
        <v>2375</v>
      </c>
      <c r="H211" s="2" t="s">
        <v>318</v>
      </c>
      <c r="I211" s="2" t="s">
        <v>965</v>
      </c>
      <c r="J211" s="2" t="s">
        <v>30</v>
      </c>
      <c r="K211" s="2" t="s">
        <v>80</v>
      </c>
      <c r="L211" s="2" t="s">
        <v>324</v>
      </c>
      <c r="M211" s="2" t="s">
        <v>41</v>
      </c>
      <c r="N211" s="2" t="s">
        <v>461</v>
      </c>
      <c r="O211" s="2" t="s">
        <v>134</v>
      </c>
      <c r="P211" s="2" t="s">
        <v>1830</v>
      </c>
      <c r="Q211" s="2" t="s">
        <v>410</v>
      </c>
      <c r="R211" s="2" t="s">
        <v>403</v>
      </c>
      <c r="S211" s="2" t="s">
        <v>34</v>
      </c>
      <c r="T211" s="151">
        <v>1.607</v>
      </c>
      <c r="U211" s="2" t="s">
        <v>1843</v>
      </c>
      <c r="V211" s="162">
        <v>7.7499999999999999E-2</v>
      </c>
      <c r="W211" s="164">
        <v>6.9459999999999994E-2</v>
      </c>
      <c r="X211" s="4" t="s">
        <v>409</v>
      </c>
      <c r="Y211" s="4" t="s">
        <v>134</v>
      </c>
      <c r="Z211" s="151">
        <v>56000</v>
      </c>
      <c r="AA211" s="158">
        <v>1</v>
      </c>
      <c r="AB211" s="175">
        <v>103.4</v>
      </c>
      <c r="AD211" s="151">
        <v>57.904000000000003</v>
      </c>
      <c r="AG211" s="2" t="s">
        <v>36</v>
      </c>
      <c r="AH211" s="164">
        <v>1.2999999999999999E-4</v>
      </c>
      <c r="AI211" s="164">
        <v>8.8007130695749499E-3</v>
      </c>
      <c r="AJ211" s="164">
        <v>1.5127688411682E-3</v>
      </c>
    </row>
    <row r="212" spans="1:36">
      <c r="A212" s="2">
        <v>337</v>
      </c>
      <c r="B212" s="2">
        <v>9962</v>
      </c>
      <c r="C212" s="2" t="s">
        <v>2372</v>
      </c>
      <c r="D212" s="2" t="s">
        <v>2373</v>
      </c>
      <c r="E212" s="4" t="s">
        <v>33</v>
      </c>
      <c r="F212" s="2" t="s">
        <v>2376</v>
      </c>
      <c r="G212" s="2" t="s">
        <v>2377</v>
      </c>
      <c r="H212" s="2" t="s">
        <v>318</v>
      </c>
      <c r="I212" s="2" t="s">
        <v>965</v>
      </c>
      <c r="J212" s="2" t="s">
        <v>30</v>
      </c>
      <c r="K212" s="2" t="s">
        <v>80</v>
      </c>
      <c r="L212" s="2" t="s">
        <v>324</v>
      </c>
      <c r="M212" s="2" t="s">
        <v>41</v>
      </c>
      <c r="N212" s="2" t="s">
        <v>461</v>
      </c>
      <c r="O212" s="2" t="s">
        <v>134</v>
      </c>
      <c r="P212" s="2" t="s">
        <v>1862</v>
      </c>
      <c r="Q212" s="2" t="s">
        <v>410</v>
      </c>
      <c r="R212" s="2" t="s">
        <v>403</v>
      </c>
      <c r="S212" s="2" t="s">
        <v>34</v>
      </c>
      <c r="T212" s="151">
        <v>1.611</v>
      </c>
      <c r="U212" s="2" t="s">
        <v>2331</v>
      </c>
      <c r="V212" s="162">
        <v>6.8000000000000005E-2</v>
      </c>
      <c r="W212" s="164">
        <v>6.123E-2</v>
      </c>
      <c r="X212" s="4" t="s">
        <v>409</v>
      </c>
      <c r="Y212" s="4" t="s">
        <v>134</v>
      </c>
      <c r="Z212" s="151">
        <v>30560</v>
      </c>
      <c r="AA212" s="158">
        <v>1</v>
      </c>
      <c r="AB212" s="175">
        <v>102.91</v>
      </c>
      <c r="AD212" s="151">
        <v>31.449000000000002</v>
      </c>
      <c r="AG212" s="2" t="s">
        <v>36</v>
      </c>
      <c r="AH212" s="164">
        <v>8.7999999999999998E-5</v>
      </c>
      <c r="AI212" s="164">
        <v>4.77991555568063E-3</v>
      </c>
      <c r="AJ212" s="164">
        <v>8.2162743619569796E-4</v>
      </c>
    </row>
    <row r="213" spans="1:36">
      <c r="A213" s="2">
        <v>337</v>
      </c>
      <c r="B213" s="2">
        <v>9962</v>
      </c>
      <c r="C213" s="2" t="s">
        <v>1999</v>
      </c>
      <c r="D213" s="2" t="s">
        <v>2000</v>
      </c>
      <c r="E213" s="4" t="s">
        <v>1303</v>
      </c>
      <c r="F213" s="2" t="s">
        <v>2001</v>
      </c>
      <c r="G213" s="2" t="s">
        <v>2002</v>
      </c>
      <c r="H213" s="2" t="s">
        <v>318</v>
      </c>
      <c r="I213" s="2" t="s">
        <v>753</v>
      </c>
      <c r="J213" s="2" t="s">
        <v>30</v>
      </c>
      <c r="K213" s="2" t="s">
        <v>30</v>
      </c>
      <c r="L213" s="2" t="s">
        <v>324</v>
      </c>
      <c r="M213" s="2" t="s">
        <v>41</v>
      </c>
      <c r="N213" s="2" t="s">
        <v>444</v>
      </c>
      <c r="O213" s="2" t="s">
        <v>134</v>
      </c>
      <c r="P213" s="2" t="s">
        <v>1176</v>
      </c>
      <c r="Q213" s="2" t="s">
        <v>410</v>
      </c>
      <c r="R213" s="2" t="s">
        <v>403</v>
      </c>
      <c r="S213" s="2" t="s">
        <v>34</v>
      </c>
      <c r="T213" s="151">
        <v>3.7480000000000002</v>
      </c>
      <c r="U213" s="2" t="s">
        <v>2003</v>
      </c>
      <c r="V213" s="162">
        <v>2E-3</v>
      </c>
      <c r="W213" s="164">
        <v>2.5999999999999999E-2</v>
      </c>
      <c r="X213" s="4" t="s">
        <v>409</v>
      </c>
      <c r="Y213" s="4" t="s">
        <v>134</v>
      </c>
      <c r="Z213" s="151">
        <v>37891.269999999997</v>
      </c>
      <c r="AA213" s="158">
        <v>1</v>
      </c>
      <c r="AB213" s="175">
        <v>103.06</v>
      </c>
      <c r="AD213" s="151">
        <v>39.051000000000002</v>
      </c>
      <c r="AG213" s="2" t="s">
        <v>36</v>
      </c>
      <c r="AH213" s="164">
        <v>1.1E-5</v>
      </c>
      <c r="AI213" s="164">
        <v>5.9352442505217901E-3</v>
      </c>
      <c r="AJ213" s="164">
        <v>1.0202187590858201E-3</v>
      </c>
    </row>
    <row r="214" spans="1:36">
      <c r="A214" s="2">
        <v>337</v>
      </c>
      <c r="B214" s="2">
        <v>9962</v>
      </c>
      <c r="C214" s="2" t="s">
        <v>1999</v>
      </c>
      <c r="D214" s="2" t="s">
        <v>2000</v>
      </c>
      <c r="E214" s="4" t="s">
        <v>1303</v>
      </c>
      <c r="F214" s="2" t="s">
        <v>2004</v>
      </c>
      <c r="G214" s="2" t="s">
        <v>2005</v>
      </c>
      <c r="H214" s="2" t="s">
        <v>318</v>
      </c>
      <c r="I214" s="2" t="s">
        <v>965</v>
      </c>
      <c r="J214" s="2" t="s">
        <v>30</v>
      </c>
      <c r="K214" s="2" t="s">
        <v>30</v>
      </c>
      <c r="L214" s="2" t="s">
        <v>324</v>
      </c>
      <c r="M214" s="2" t="s">
        <v>41</v>
      </c>
      <c r="N214" s="2" t="s">
        <v>444</v>
      </c>
      <c r="O214" s="2" t="s">
        <v>134</v>
      </c>
      <c r="P214" s="2" t="s">
        <v>1176</v>
      </c>
      <c r="Q214" s="2" t="s">
        <v>410</v>
      </c>
      <c r="R214" s="2" t="s">
        <v>403</v>
      </c>
      <c r="S214" s="2" t="s">
        <v>34</v>
      </c>
      <c r="T214" s="151">
        <v>2.9780000000000002</v>
      </c>
      <c r="U214" s="2" t="s">
        <v>2006</v>
      </c>
      <c r="V214" s="162">
        <v>2.6800000000000001E-2</v>
      </c>
      <c r="W214" s="164">
        <v>4.7109999999999999E-2</v>
      </c>
      <c r="X214" s="4" t="s">
        <v>409</v>
      </c>
      <c r="Y214" s="4" t="s">
        <v>134</v>
      </c>
      <c r="Z214" s="151">
        <v>98513.22</v>
      </c>
      <c r="AA214" s="158">
        <v>1</v>
      </c>
      <c r="AB214" s="175">
        <v>95.08</v>
      </c>
      <c r="AD214" s="151">
        <v>93.665999999999997</v>
      </c>
      <c r="AG214" s="2" t="s">
        <v>36</v>
      </c>
      <c r="AH214" s="164">
        <v>5.0000000000000002E-5</v>
      </c>
      <c r="AI214" s="164">
        <v>1.42361640457851E-2</v>
      </c>
      <c r="AJ214" s="164">
        <v>2.4470773238449502E-3</v>
      </c>
    </row>
    <row r="215" spans="1:36">
      <c r="A215" s="2">
        <v>337</v>
      </c>
      <c r="B215" s="2">
        <v>9962</v>
      </c>
      <c r="C215" s="2" t="s">
        <v>1999</v>
      </c>
      <c r="D215" s="2" t="s">
        <v>2000</v>
      </c>
      <c r="E215" s="4" t="s">
        <v>1303</v>
      </c>
      <c r="F215" s="2" t="s">
        <v>2378</v>
      </c>
      <c r="G215" s="2" t="s">
        <v>2379</v>
      </c>
      <c r="H215" s="2" t="s">
        <v>318</v>
      </c>
      <c r="I215" s="2" t="s">
        <v>753</v>
      </c>
      <c r="J215" s="2" t="s">
        <v>30</v>
      </c>
      <c r="K215" s="2" t="s">
        <v>30</v>
      </c>
      <c r="L215" s="2" t="s">
        <v>324</v>
      </c>
      <c r="M215" s="2" t="s">
        <v>41</v>
      </c>
      <c r="N215" s="2" t="s">
        <v>444</v>
      </c>
      <c r="O215" s="2" t="s">
        <v>134</v>
      </c>
      <c r="P215" s="2" t="s">
        <v>1826</v>
      </c>
      <c r="Q215" s="2" t="s">
        <v>410</v>
      </c>
      <c r="R215" s="2" t="s">
        <v>403</v>
      </c>
      <c r="S215" s="2" t="s">
        <v>34</v>
      </c>
      <c r="T215" s="151">
        <v>2.58</v>
      </c>
      <c r="U215" s="2" t="s">
        <v>2380</v>
      </c>
      <c r="V215" s="162">
        <v>2E-3</v>
      </c>
      <c r="W215" s="164">
        <v>2.964E-2</v>
      </c>
      <c r="X215" s="4" t="s">
        <v>409</v>
      </c>
      <c r="Y215" s="4" t="s">
        <v>134</v>
      </c>
      <c r="Z215" s="151">
        <v>50000</v>
      </c>
      <c r="AA215" s="158">
        <v>1</v>
      </c>
      <c r="AB215" s="175">
        <v>105.18</v>
      </c>
      <c r="AD215" s="151">
        <v>52.59</v>
      </c>
      <c r="AG215" s="2" t="s">
        <v>36</v>
      </c>
      <c r="AH215" s="164">
        <v>8.7000000000000001E-5</v>
      </c>
      <c r="AI215" s="164">
        <v>7.9930488451393101E-3</v>
      </c>
      <c r="AJ215" s="164">
        <v>1.3739381278846999E-3</v>
      </c>
    </row>
    <row r="216" spans="1:36">
      <c r="A216" s="2">
        <v>337</v>
      </c>
      <c r="B216" s="2">
        <v>9962</v>
      </c>
      <c r="C216" s="2" t="s">
        <v>2007</v>
      </c>
      <c r="D216" s="2" t="s">
        <v>2008</v>
      </c>
      <c r="E216" s="4" t="s">
        <v>1303</v>
      </c>
      <c r="F216" s="2" t="s">
        <v>2009</v>
      </c>
      <c r="G216" s="2" t="s">
        <v>2010</v>
      </c>
      <c r="H216" s="2" t="s">
        <v>318</v>
      </c>
      <c r="I216" s="2" t="s">
        <v>753</v>
      </c>
      <c r="J216" s="2" t="s">
        <v>30</v>
      </c>
      <c r="K216" s="2" t="s">
        <v>30</v>
      </c>
      <c r="L216" s="2" t="s">
        <v>324</v>
      </c>
      <c r="M216" s="2" t="s">
        <v>41</v>
      </c>
      <c r="N216" s="2" t="s">
        <v>436</v>
      </c>
      <c r="O216" s="2" t="s">
        <v>134</v>
      </c>
      <c r="P216" s="2" t="s">
        <v>1909</v>
      </c>
      <c r="Q216" s="2" t="s">
        <v>412</v>
      </c>
      <c r="R216" s="2" t="s">
        <v>403</v>
      </c>
      <c r="S216" s="2" t="s">
        <v>34</v>
      </c>
      <c r="T216" s="151">
        <v>3.448</v>
      </c>
      <c r="U216" s="2" t="s">
        <v>2011</v>
      </c>
      <c r="V216" s="162">
        <v>1.7999999999999999E-2</v>
      </c>
      <c r="W216" s="164">
        <v>3.4950000000000002E-2</v>
      </c>
      <c r="X216" s="4" t="s">
        <v>409</v>
      </c>
      <c r="Y216" s="4" t="s">
        <v>134</v>
      </c>
      <c r="Z216" s="151">
        <v>23463.56</v>
      </c>
      <c r="AA216" s="158">
        <v>1</v>
      </c>
      <c r="AB216" s="175">
        <v>109.14</v>
      </c>
      <c r="AD216" s="151">
        <v>25.608000000000001</v>
      </c>
      <c r="AG216" s="2" t="s">
        <v>36</v>
      </c>
      <c r="AH216" s="164">
        <v>2.6999999999999999E-5</v>
      </c>
      <c r="AI216" s="164">
        <v>3.89212833236279E-3</v>
      </c>
      <c r="AJ216" s="164">
        <v>6.6902425070321605E-4</v>
      </c>
    </row>
    <row r="217" spans="1:36">
      <c r="A217" s="2">
        <v>337</v>
      </c>
      <c r="B217" s="2">
        <v>9962</v>
      </c>
      <c r="C217" s="2" t="s">
        <v>2012</v>
      </c>
      <c r="D217" s="2" t="s">
        <v>2013</v>
      </c>
      <c r="E217" s="4" t="s">
        <v>1303</v>
      </c>
      <c r="F217" s="2" t="s">
        <v>2016</v>
      </c>
      <c r="G217" s="2" t="s">
        <v>2017</v>
      </c>
      <c r="H217" s="2" t="s">
        <v>318</v>
      </c>
      <c r="I217" s="2" t="s">
        <v>965</v>
      </c>
      <c r="J217" s="2" t="s">
        <v>30</v>
      </c>
      <c r="K217" s="2" t="s">
        <v>30</v>
      </c>
      <c r="L217" s="2" t="s">
        <v>324</v>
      </c>
      <c r="M217" s="2" t="s">
        <v>31</v>
      </c>
      <c r="N217" s="2" t="s">
        <v>450</v>
      </c>
      <c r="O217" s="2" t="s">
        <v>134</v>
      </c>
      <c r="P217" s="2" t="s">
        <v>1830</v>
      </c>
      <c r="Q217" s="2" t="s">
        <v>410</v>
      </c>
      <c r="R217" s="2" t="s">
        <v>403</v>
      </c>
      <c r="S217" s="2" t="s">
        <v>34</v>
      </c>
      <c r="T217" s="151">
        <v>5.6980000000000004</v>
      </c>
      <c r="U217" s="2" t="s">
        <v>1985</v>
      </c>
      <c r="V217" s="162">
        <v>5.6899999999999999E-2</v>
      </c>
      <c r="W217" s="164">
        <v>6.0499999999999998E-2</v>
      </c>
      <c r="X217" s="4" t="s">
        <v>409</v>
      </c>
      <c r="Y217" s="4" t="s">
        <v>134</v>
      </c>
      <c r="Z217" s="151">
        <v>50000</v>
      </c>
      <c r="AA217" s="158">
        <v>1</v>
      </c>
      <c r="AB217" s="175">
        <v>99.25</v>
      </c>
      <c r="AD217" s="151">
        <v>49.625</v>
      </c>
      <c r="AG217" s="2" t="s">
        <v>36</v>
      </c>
      <c r="AH217" s="164">
        <v>4.6999999999999997E-5</v>
      </c>
      <c r="AI217" s="164">
        <v>7.54240442935992E-3</v>
      </c>
      <c r="AJ217" s="164">
        <v>1.29647612847078E-3</v>
      </c>
    </row>
    <row r="218" spans="1:36">
      <c r="A218" s="2">
        <v>337</v>
      </c>
      <c r="B218" s="2">
        <v>9962</v>
      </c>
      <c r="C218" s="2" t="s">
        <v>2012</v>
      </c>
      <c r="D218" s="2" t="s">
        <v>2013</v>
      </c>
      <c r="E218" s="4" t="s">
        <v>1303</v>
      </c>
      <c r="F218" s="2" t="s">
        <v>2381</v>
      </c>
      <c r="G218" s="2" t="s">
        <v>2382</v>
      </c>
      <c r="H218" s="2" t="s">
        <v>318</v>
      </c>
      <c r="I218" s="2" t="s">
        <v>965</v>
      </c>
      <c r="J218" s="2" t="s">
        <v>30</v>
      </c>
      <c r="K218" s="2" t="s">
        <v>30</v>
      </c>
      <c r="L218" s="2" t="s">
        <v>324</v>
      </c>
      <c r="M218" s="2" t="s">
        <v>31</v>
      </c>
      <c r="N218" s="2" t="s">
        <v>450</v>
      </c>
      <c r="O218" s="2" t="s">
        <v>134</v>
      </c>
      <c r="P218" s="2" t="s">
        <v>1830</v>
      </c>
      <c r="Q218" s="2" t="s">
        <v>410</v>
      </c>
      <c r="R218" s="2" t="s">
        <v>403</v>
      </c>
      <c r="S218" s="2" t="s">
        <v>34</v>
      </c>
      <c r="T218" s="151">
        <v>5.0369999999999999</v>
      </c>
      <c r="U218" s="2" t="s">
        <v>2282</v>
      </c>
      <c r="V218" s="162">
        <v>6.3799999999999996E-2</v>
      </c>
      <c r="W218" s="164">
        <v>5.7140000000000003E-2</v>
      </c>
      <c r="X218" s="4" t="s">
        <v>409</v>
      </c>
      <c r="Y218" s="4" t="s">
        <v>134</v>
      </c>
      <c r="Z218" s="151">
        <v>58485</v>
      </c>
      <c r="AA218" s="158">
        <v>1</v>
      </c>
      <c r="AB218" s="175">
        <v>105.32</v>
      </c>
      <c r="AD218" s="151">
        <v>61.595999999999997</v>
      </c>
      <c r="AG218" s="2" t="s">
        <v>36</v>
      </c>
      <c r="AH218" s="164">
        <v>5.8E-5</v>
      </c>
      <c r="AI218" s="164">
        <v>9.3619138594948897E-3</v>
      </c>
      <c r="AJ218" s="164">
        <v>1.6092345550164199E-3</v>
      </c>
    </row>
    <row r="219" spans="1:36">
      <c r="A219" s="2">
        <v>337</v>
      </c>
      <c r="B219" s="2">
        <v>9962</v>
      </c>
      <c r="C219" s="2" t="s">
        <v>2018</v>
      </c>
      <c r="D219" s="2" t="s">
        <v>2019</v>
      </c>
      <c r="E219" s="4" t="s">
        <v>1303</v>
      </c>
      <c r="F219" s="2" t="s">
        <v>2020</v>
      </c>
      <c r="G219" s="2" t="s">
        <v>2021</v>
      </c>
      <c r="H219" s="2" t="s">
        <v>318</v>
      </c>
      <c r="I219" s="2" t="s">
        <v>753</v>
      </c>
      <c r="J219" s="2" t="s">
        <v>30</v>
      </c>
      <c r="K219" s="2" t="s">
        <v>30</v>
      </c>
      <c r="L219" s="2" t="s">
        <v>324</v>
      </c>
      <c r="M219" s="2" t="s">
        <v>41</v>
      </c>
      <c r="N219" s="2" t="s">
        <v>460</v>
      </c>
      <c r="O219" s="2" t="s">
        <v>134</v>
      </c>
      <c r="P219" s="2" t="s">
        <v>1862</v>
      </c>
      <c r="Q219" s="2" t="s">
        <v>410</v>
      </c>
      <c r="R219" s="2" t="s">
        <v>403</v>
      </c>
      <c r="S219" s="2" t="s">
        <v>34</v>
      </c>
      <c r="T219" s="151">
        <v>3.077</v>
      </c>
      <c r="U219" s="2" t="s">
        <v>2022</v>
      </c>
      <c r="V219" s="162">
        <v>2.7E-2</v>
      </c>
      <c r="W219" s="164">
        <v>3.3090000000000001E-2</v>
      </c>
      <c r="X219" s="4" t="s">
        <v>409</v>
      </c>
      <c r="Y219" s="4" t="s">
        <v>134</v>
      </c>
      <c r="Z219" s="151">
        <v>17100</v>
      </c>
      <c r="AA219" s="158">
        <v>1</v>
      </c>
      <c r="AB219" s="175">
        <v>106.11</v>
      </c>
      <c r="AD219" s="151">
        <v>18.145</v>
      </c>
      <c r="AG219" s="2" t="s">
        <v>36</v>
      </c>
      <c r="AH219" s="164">
        <v>4.3000000000000002E-5</v>
      </c>
      <c r="AI219" s="164">
        <v>2.7577933564512701E-3</v>
      </c>
      <c r="AJ219" s="164">
        <v>4.7404157220428902E-4</v>
      </c>
    </row>
    <row r="220" spans="1:36">
      <c r="A220" s="2">
        <v>337</v>
      </c>
      <c r="B220" s="2">
        <v>9962</v>
      </c>
      <c r="C220" s="2" t="s">
        <v>2018</v>
      </c>
      <c r="D220" s="2" t="s">
        <v>2019</v>
      </c>
      <c r="E220" s="4" t="s">
        <v>1303</v>
      </c>
      <c r="F220" s="2" t="s">
        <v>2023</v>
      </c>
      <c r="G220" s="2" t="s">
        <v>2024</v>
      </c>
      <c r="H220" s="2" t="s">
        <v>318</v>
      </c>
      <c r="I220" s="2" t="s">
        <v>753</v>
      </c>
      <c r="J220" s="2" t="s">
        <v>30</v>
      </c>
      <c r="K220" s="2" t="s">
        <v>30</v>
      </c>
      <c r="L220" s="2" t="s">
        <v>324</v>
      </c>
      <c r="M220" s="2" t="s">
        <v>41</v>
      </c>
      <c r="N220" s="2" t="s">
        <v>460</v>
      </c>
      <c r="O220" s="2" t="s">
        <v>134</v>
      </c>
      <c r="P220" s="2" t="s">
        <v>1862</v>
      </c>
      <c r="Q220" s="2" t="s">
        <v>410</v>
      </c>
      <c r="R220" s="2" t="s">
        <v>403</v>
      </c>
      <c r="S220" s="2" t="s">
        <v>34</v>
      </c>
      <c r="T220" s="151">
        <v>2.492</v>
      </c>
      <c r="U220" s="2" t="s">
        <v>2025</v>
      </c>
      <c r="V220" s="162">
        <v>1.7999999999999999E-2</v>
      </c>
      <c r="W220" s="164">
        <v>2.9749999999999999E-2</v>
      </c>
      <c r="X220" s="4" t="s">
        <v>409</v>
      </c>
      <c r="Y220" s="4" t="s">
        <v>134</v>
      </c>
      <c r="Z220" s="151">
        <v>33333.339999999997</v>
      </c>
      <c r="AA220" s="158">
        <v>1</v>
      </c>
      <c r="AB220" s="175">
        <v>113.34</v>
      </c>
      <c r="AD220" s="151">
        <v>37.78</v>
      </c>
      <c r="AG220" s="2" t="s">
        <v>36</v>
      </c>
      <c r="AH220" s="164">
        <v>4.5000000000000003E-5</v>
      </c>
      <c r="AI220" s="164">
        <v>5.7421077346423302E-3</v>
      </c>
      <c r="AJ220" s="164">
        <v>9.87020210172284E-4</v>
      </c>
    </row>
    <row r="221" spans="1:36">
      <c r="A221" s="2">
        <v>337</v>
      </c>
      <c r="B221" s="2">
        <v>9962</v>
      </c>
      <c r="C221" s="2" t="s">
        <v>1545</v>
      </c>
      <c r="D221" s="2" t="s">
        <v>1546</v>
      </c>
      <c r="E221" s="4" t="s">
        <v>1303</v>
      </c>
      <c r="F221" s="2" t="s">
        <v>2383</v>
      </c>
      <c r="G221" s="2" t="s">
        <v>2384</v>
      </c>
      <c r="H221" s="2" t="s">
        <v>318</v>
      </c>
      <c r="I221" s="2" t="s">
        <v>753</v>
      </c>
      <c r="J221" s="2" t="s">
        <v>30</v>
      </c>
      <c r="K221" s="2" t="s">
        <v>30</v>
      </c>
      <c r="L221" s="2" t="s">
        <v>324</v>
      </c>
      <c r="M221" s="2" t="s">
        <v>41</v>
      </c>
      <c r="N221" s="2" t="s">
        <v>441</v>
      </c>
      <c r="O221" s="2" t="s">
        <v>134</v>
      </c>
      <c r="P221" s="2" t="s">
        <v>1834</v>
      </c>
      <c r="Q221" s="2" t="s">
        <v>410</v>
      </c>
      <c r="R221" s="2" t="s">
        <v>403</v>
      </c>
      <c r="S221" s="2" t="s">
        <v>34</v>
      </c>
      <c r="T221" s="151">
        <v>4.0490000000000004</v>
      </c>
      <c r="U221" s="2" t="s">
        <v>2385</v>
      </c>
      <c r="V221" s="162">
        <v>4.4000000000000003E-3</v>
      </c>
      <c r="W221" s="164">
        <v>2.7279999999999999E-2</v>
      </c>
      <c r="X221" s="4" t="s">
        <v>409</v>
      </c>
      <c r="Y221" s="4" t="s">
        <v>134</v>
      </c>
      <c r="Z221" s="151">
        <v>100833.34</v>
      </c>
      <c r="AA221" s="158">
        <v>1</v>
      </c>
      <c r="AB221" s="175">
        <v>105.45</v>
      </c>
      <c r="AD221" s="151">
        <v>106.32899999999999</v>
      </c>
      <c r="AG221" s="2" t="s">
        <v>36</v>
      </c>
      <c r="AH221" s="164">
        <v>9.7999999999999997E-5</v>
      </c>
      <c r="AI221" s="164">
        <v>1.6160694972119E-2</v>
      </c>
      <c r="AJ221" s="164">
        <v>2.77788806567989E-3</v>
      </c>
    </row>
    <row r="222" spans="1:36">
      <c r="A222" s="2">
        <v>337</v>
      </c>
      <c r="B222" s="2">
        <v>9962</v>
      </c>
      <c r="C222" s="2" t="s">
        <v>2026</v>
      </c>
      <c r="D222" s="2" t="s">
        <v>2027</v>
      </c>
      <c r="E222" s="4" t="s">
        <v>1303</v>
      </c>
      <c r="F222" s="2" t="s">
        <v>2386</v>
      </c>
      <c r="G222" s="2" t="s">
        <v>2387</v>
      </c>
      <c r="H222" s="2" t="s">
        <v>318</v>
      </c>
      <c r="I222" s="2" t="s">
        <v>965</v>
      </c>
      <c r="J222" s="2" t="s">
        <v>30</v>
      </c>
      <c r="K222" s="2" t="s">
        <v>30</v>
      </c>
      <c r="L222" s="2" t="s">
        <v>324</v>
      </c>
      <c r="M222" s="2" t="s">
        <v>41</v>
      </c>
      <c r="N222" s="2" t="s">
        <v>441</v>
      </c>
      <c r="O222" s="2" t="s">
        <v>134</v>
      </c>
      <c r="P222" s="2" t="s">
        <v>1826</v>
      </c>
      <c r="Q222" s="2" t="s">
        <v>410</v>
      </c>
      <c r="R222" s="2" t="s">
        <v>403</v>
      </c>
      <c r="S222" s="2" t="s">
        <v>34</v>
      </c>
      <c r="T222" s="151">
        <v>4.3289999999999997</v>
      </c>
      <c r="U222" s="2" t="s">
        <v>2022</v>
      </c>
      <c r="V222" s="162">
        <v>3.95E-2</v>
      </c>
      <c r="W222" s="164">
        <v>4.8520000000000001E-2</v>
      </c>
      <c r="X222" s="4" t="s">
        <v>409</v>
      </c>
      <c r="Y222" s="4" t="s">
        <v>134</v>
      </c>
      <c r="Z222" s="151">
        <v>20000</v>
      </c>
      <c r="AA222" s="158">
        <v>1</v>
      </c>
      <c r="AB222" s="175">
        <v>97.42</v>
      </c>
      <c r="AD222" s="151">
        <v>19.484000000000002</v>
      </c>
      <c r="AG222" s="2" t="s">
        <v>36</v>
      </c>
      <c r="AH222" s="164">
        <v>8.2999999999999998E-5</v>
      </c>
      <c r="AI222" s="164">
        <v>2.9613341642649601E-3</v>
      </c>
      <c r="AJ222" s="164">
        <v>5.0902853173047098E-4</v>
      </c>
    </row>
    <row r="223" spans="1:36">
      <c r="A223" s="2">
        <v>337</v>
      </c>
      <c r="B223" s="2">
        <v>9962</v>
      </c>
      <c r="C223" s="2" t="s">
        <v>2030</v>
      </c>
      <c r="D223" s="2" t="s">
        <v>2031</v>
      </c>
      <c r="E223" s="4" t="s">
        <v>1303</v>
      </c>
      <c r="F223" s="2" t="s">
        <v>2032</v>
      </c>
      <c r="G223" t="s">
        <v>2033</v>
      </c>
      <c r="H223" s="2" t="s">
        <v>318</v>
      </c>
      <c r="I223" s="2" t="s">
        <v>753</v>
      </c>
      <c r="J223" s="2" t="s">
        <v>30</v>
      </c>
      <c r="K223" s="2" t="s">
        <v>30</v>
      </c>
      <c r="L223" s="2" t="s">
        <v>324</v>
      </c>
      <c r="M223" s="209" t="s">
        <v>41</v>
      </c>
      <c r="N223" s="2" t="s">
        <v>460</v>
      </c>
      <c r="O223" s="2" t="s">
        <v>134</v>
      </c>
      <c r="P223" s="2" t="s">
        <v>1814</v>
      </c>
      <c r="Q223" s="2" t="s">
        <v>412</v>
      </c>
      <c r="R223" s="2" t="s">
        <v>403</v>
      </c>
      <c r="S223" s="2" t="s">
        <v>34</v>
      </c>
      <c r="T223" s="151">
        <v>5.2880000000000003</v>
      </c>
      <c r="U223" s="2" t="s">
        <v>2034</v>
      </c>
      <c r="V223" s="162">
        <v>3.1800000000000002E-2</v>
      </c>
      <c r="W223" s="164">
        <v>3.2190000000000003E-2</v>
      </c>
      <c r="X223" s="4" t="s">
        <v>409</v>
      </c>
      <c r="Y223" s="4" t="s">
        <v>134</v>
      </c>
      <c r="Z223" s="151">
        <v>67000</v>
      </c>
      <c r="AA223" s="158">
        <v>1</v>
      </c>
      <c r="AB223" s="175">
        <v>101.12</v>
      </c>
      <c r="AD223" s="151">
        <v>67.75</v>
      </c>
      <c r="AG223" s="2" t="s">
        <v>36</v>
      </c>
      <c r="AH223" s="164">
        <v>2.9999999999999997E-4</v>
      </c>
      <c r="AI223" s="164">
        <v>1.02972476987588E-2</v>
      </c>
      <c r="AJ223" s="164">
        <v>1.7700106054276399E-3</v>
      </c>
    </row>
    <row r="224" spans="1:36">
      <c r="A224" s="2">
        <v>337</v>
      </c>
      <c r="B224" s="2">
        <v>9962</v>
      </c>
      <c r="C224" s="2" t="s">
        <v>1553</v>
      </c>
      <c r="D224" s="2" t="s">
        <v>1554</v>
      </c>
      <c r="E224" s="4" t="s">
        <v>1303</v>
      </c>
      <c r="F224" s="2" t="s">
        <v>2388</v>
      </c>
      <c r="G224" s="2" t="s">
        <v>2389</v>
      </c>
      <c r="H224" s="2" t="s">
        <v>318</v>
      </c>
      <c r="I224" s="2" t="s">
        <v>753</v>
      </c>
      <c r="J224" s="2" t="s">
        <v>30</v>
      </c>
      <c r="K224" s="2" t="s">
        <v>30</v>
      </c>
      <c r="L224" s="2" t="s">
        <v>324</v>
      </c>
      <c r="M224" s="2" t="s">
        <v>41</v>
      </c>
      <c r="N224" s="2" t="s">
        <v>443</v>
      </c>
      <c r="O224" s="2" t="s">
        <v>134</v>
      </c>
      <c r="P224" s="2" t="s">
        <v>1842</v>
      </c>
      <c r="Q224" s="2" t="s">
        <v>406</v>
      </c>
      <c r="R224" s="2" t="s">
        <v>406</v>
      </c>
      <c r="S224" s="2" t="s">
        <v>34</v>
      </c>
      <c r="T224" s="151">
        <v>1.341</v>
      </c>
      <c r="U224" s="2" t="s">
        <v>2331</v>
      </c>
      <c r="V224" s="162">
        <v>3.5000000000000003E-2</v>
      </c>
      <c r="W224" s="164">
        <v>3.2349999999999997E-2</v>
      </c>
      <c r="X224" s="4" t="s">
        <v>409</v>
      </c>
      <c r="Y224" s="4" t="s">
        <v>134</v>
      </c>
      <c r="Z224" s="151">
        <v>19200</v>
      </c>
      <c r="AA224" s="158">
        <v>1</v>
      </c>
      <c r="AB224" s="175">
        <v>110.8</v>
      </c>
      <c r="AD224" s="151">
        <v>21.274000000000001</v>
      </c>
      <c r="AG224" s="2" t="s">
        <v>36</v>
      </c>
      <c r="AH224" s="164">
        <v>1.26E-4</v>
      </c>
      <c r="AI224" s="164">
        <v>3.2333318865174999E-3</v>
      </c>
      <c r="AJ224" s="164">
        <v>5.55782661292412E-4</v>
      </c>
    </row>
    <row r="225" spans="1:36">
      <c r="A225" s="2">
        <v>337</v>
      </c>
      <c r="B225" s="2">
        <v>9962</v>
      </c>
      <c r="C225" s="2" t="s">
        <v>1553</v>
      </c>
      <c r="D225" s="2" t="s">
        <v>1554</v>
      </c>
      <c r="E225" s="4" t="s">
        <v>1303</v>
      </c>
      <c r="F225" s="2" t="s">
        <v>2035</v>
      </c>
      <c r="G225" s="2" t="s">
        <v>2036</v>
      </c>
      <c r="H225" s="2" t="s">
        <v>318</v>
      </c>
      <c r="I225" s="2" t="s">
        <v>965</v>
      </c>
      <c r="J225" s="2" t="s">
        <v>30</v>
      </c>
      <c r="K225" s="2" t="s">
        <v>30</v>
      </c>
      <c r="L225" s="2" t="s">
        <v>324</v>
      </c>
      <c r="M225" s="2" t="s">
        <v>41</v>
      </c>
      <c r="N225" s="2" t="s">
        <v>443</v>
      </c>
      <c r="O225" s="2" t="s">
        <v>134</v>
      </c>
      <c r="P225" s="2" t="s">
        <v>1842</v>
      </c>
      <c r="Q225" s="2" t="s">
        <v>406</v>
      </c>
      <c r="R225" s="2" t="s">
        <v>406</v>
      </c>
      <c r="S225" s="2" t="s">
        <v>34</v>
      </c>
      <c r="T225" s="151">
        <v>3.0000000000000001E-3</v>
      </c>
      <c r="U225" s="2" t="s">
        <v>2037</v>
      </c>
      <c r="V225" s="162">
        <v>5.62E-2</v>
      </c>
      <c r="W225" s="164">
        <v>1.46231</v>
      </c>
      <c r="X225" s="4" t="s">
        <v>409</v>
      </c>
      <c r="Y225" s="4" t="s">
        <v>134</v>
      </c>
      <c r="Z225" s="151">
        <v>33150</v>
      </c>
      <c r="AA225" s="158">
        <v>1</v>
      </c>
      <c r="AB225" s="175">
        <v>101.14</v>
      </c>
      <c r="AD225" s="151">
        <v>33.527999999999999</v>
      </c>
      <c r="AG225" s="2" t="s">
        <v>36</v>
      </c>
      <c r="AH225" s="164">
        <v>1.65E-4</v>
      </c>
      <c r="AI225" s="164">
        <v>5.0958399373537697E-3</v>
      </c>
      <c r="AJ225" s="164">
        <v>8.7593219047892598E-4</v>
      </c>
    </row>
    <row r="226" spans="1:36">
      <c r="A226" s="2">
        <v>337</v>
      </c>
      <c r="B226" s="2">
        <v>9962</v>
      </c>
      <c r="C226" s="2" t="s">
        <v>1553</v>
      </c>
      <c r="D226" s="2" t="s">
        <v>1554</v>
      </c>
      <c r="E226" s="4" t="s">
        <v>1303</v>
      </c>
      <c r="F226" s="2" t="s">
        <v>2390</v>
      </c>
      <c r="G226" s="2" t="s">
        <v>2391</v>
      </c>
      <c r="H226" s="2" t="s">
        <v>318</v>
      </c>
      <c r="I226" s="2" t="s">
        <v>965</v>
      </c>
      <c r="J226" s="2" t="s">
        <v>30</v>
      </c>
      <c r="K226" s="2" t="s">
        <v>30</v>
      </c>
      <c r="L226" s="2" t="s">
        <v>324</v>
      </c>
      <c r="M226" s="2" t="s">
        <v>31</v>
      </c>
      <c r="N226" s="2" t="s">
        <v>443</v>
      </c>
      <c r="O226" s="2" t="s">
        <v>134</v>
      </c>
      <c r="P226" s="2" t="s">
        <v>1842</v>
      </c>
      <c r="Q226" s="2" t="s">
        <v>406</v>
      </c>
      <c r="R226" s="2" t="s">
        <v>406</v>
      </c>
      <c r="S226" s="2" t="s">
        <v>34</v>
      </c>
      <c r="T226" s="151">
        <v>2.1269999999999998</v>
      </c>
      <c r="U226" s="2" t="s">
        <v>2392</v>
      </c>
      <c r="V226" s="162">
        <v>6.5000000000000002E-2</v>
      </c>
      <c r="W226" s="164">
        <v>7.2669999999999998E-2</v>
      </c>
      <c r="X226" s="4" t="s">
        <v>409</v>
      </c>
      <c r="Y226" s="4" t="s">
        <v>134</v>
      </c>
      <c r="Z226" s="151">
        <v>29000</v>
      </c>
      <c r="AA226" s="158">
        <v>1</v>
      </c>
      <c r="AB226" s="175">
        <v>100.26</v>
      </c>
      <c r="AD226" s="151">
        <v>29.074999999999999</v>
      </c>
      <c r="AG226" s="2" t="s">
        <v>36</v>
      </c>
      <c r="AH226" s="164">
        <v>9.8999999999999994E-5</v>
      </c>
      <c r="AI226" s="164">
        <v>4.4191118538118197E-3</v>
      </c>
      <c r="AJ226" s="164">
        <v>7.5960830278567798E-4</v>
      </c>
    </row>
    <row r="227" spans="1:36">
      <c r="A227" s="2">
        <v>337</v>
      </c>
      <c r="B227" s="2">
        <v>9962</v>
      </c>
      <c r="C227" s="2" t="s">
        <v>2393</v>
      </c>
      <c r="D227" s="2" t="s">
        <v>2394</v>
      </c>
      <c r="E227" s="4" t="s">
        <v>1303</v>
      </c>
      <c r="F227" s="2" t="s">
        <v>2395</v>
      </c>
      <c r="G227" s="2" t="s">
        <v>2396</v>
      </c>
      <c r="H227" s="2" t="s">
        <v>318</v>
      </c>
      <c r="I227" s="2" t="s">
        <v>965</v>
      </c>
      <c r="J227" s="2" t="s">
        <v>30</v>
      </c>
      <c r="K227" s="2" t="s">
        <v>283</v>
      </c>
      <c r="L227" s="2" t="s">
        <v>324</v>
      </c>
      <c r="M227" s="2" t="s">
        <v>41</v>
      </c>
      <c r="N227" s="2" t="s">
        <v>443</v>
      </c>
      <c r="O227" s="2" t="s">
        <v>134</v>
      </c>
      <c r="P227" s="2" t="s">
        <v>1842</v>
      </c>
      <c r="Q227" s="2" t="s">
        <v>406</v>
      </c>
      <c r="R227" s="2" t="s">
        <v>406</v>
      </c>
      <c r="S227" s="2" t="s">
        <v>34</v>
      </c>
      <c r="T227" s="151">
        <v>1.004</v>
      </c>
      <c r="U227" s="2" t="s">
        <v>2397</v>
      </c>
      <c r="V227" s="162">
        <v>8.2400000000000001E-2</v>
      </c>
      <c r="W227" s="164">
        <v>7.2410000000000002E-2</v>
      </c>
      <c r="X227" s="4" t="s">
        <v>409</v>
      </c>
      <c r="Y227" s="4" t="s">
        <v>134</v>
      </c>
      <c r="Z227" s="151">
        <v>84000</v>
      </c>
      <c r="AA227" s="158">
        <v>1</v>
      </c>
      <c r="AB227" s="175">
        <v>103.16</v>
      </c>
      <c r="AD227" s="151">
        <v>86.653999999999996</v>
      </c>
      <c r="AG227" s="2" t="s">
        <v>36</v>
      </c>
      <c r="AH227" s="164">
        <v>1.418E-3</v>
      </c>
      <c r="AI227" s="164">
        <v>1.31704288238494E-2</v>
      </c>
      <c r="AJ227" s="164">
        <v>2.2638863683014199E-3</v>
      </c>
    </row>
    <row r="228" spans="1:36">
      <c r="A228" s="2">
        <v>337</v>
      </c>
      <c r="B228" s="2">
        <v>9962</v>
      </c>
      <c r="C228" s="2" t="s">
        <v>2038</v>
      </c>
      <c r="D228" s="2" t="s">
        <v>2039</v>
      </c>
      <c r="E228" s="4" t="s">
        <v>1303</v>
      </c>
      <c r="F228" s="2" t="s">
        <v>2398</v>
      </c>
      <c r="G228" s="2" t="s">
        <v>2399</v>
      </c>
      <c r="H228" s="2" t="s">
        <v>318</v>
      </c>
      <c r="I228" s="2" t="s">
        <v>753</v>
      </c>
      <c r="J228" s="2" t="s">
        <v>30</v>
      </c>
      <c r="K228" s="2" t="s">
        <v>30</v>
      </c>
      <c r="L228" s="2" t="s">
        <v>324</v>
      </c>
      <c r="M228" s="2" t="s">
        <v>41</v>
      </c>
      <c r="N228" s="2" t="s">
        <v>436</v>
      </c>
      <c r="O228" s="2" t="s">
        <v>134</v>
      </c>
      <c r="P228" s="2" t="s">
        <v>1176</v>
      </c>
      <c r="Q228" s="2" t="s">
        <v>410</v>
      </c>
      <c r="R228" s="2" t="s">
        <v>403</v>
      </c>
      <c r="S228" s="2" t="s">
        <v>34</v>
      </c>
      <c r="T228" s="151">
        <v>0.90400000000000003</v>
      </c>
      <c r="U228" s="2" t="s">
        <v>2400</v>
      </c>
      <c r="V228" s="162">
        <v>4.4999999999999998E-2</v>
      </c>
      <c r="W228" s="164">
        <v>2.3970000000000002E-2</v>
      </c>
      <c r="X228" s="4" t="s">
        <v>409</v>
      </c>
      <c r="Y228" s="4" t="s">
        <v>134</v>
      </c>
      <c r="Z228" s="151">
        <v>25000</v>
      </c>
      <c r="AA228" s="158">
        <v>1</v>
      </c>
      <c r="AB228" s="175">
        <v>119.86</v>
      </c>
      <c r="AD228" s="151">
        <v>29.965</v>
      </c>
      <c r="AG228" s="2" t="s">
        <v>36</v>
      </c>
      <c r="AH228" s="164">
        <v>1.7E-5</v>
      </c>
      <c r="AI228" s="164">
        <v>4.5543203773454896E-3</v>
      </c>
      <c r="AJ228" s="164">
        <v>7.8284951515620899E-4</v>
      </c>
    </row>
    <row r="229" spans="1:36">
      <c r="A229" s="2">
        <v>337</v>
      </c>
      <c r="B229" s="2">
        <v>9962</v>
      </c>
      <c r="C229" s="2" t="s">
        <v>2038</v>
      </c>
      <c r="D229" s="2" t="s">
        <v>2039</v>
      </c>
      <c r="E229" s="4" t="s">
        <v>1303</v>
      </c>
      <c r="F229" s="2" t="s">
        <v>2401</v>
      </c>
      <c r="G229" s="2" t="s">
        <v>2402</v>
      </c>
      <c r="H229" s="2" t="s">
        <v>318</v>
      </c>
      <c r="I229" s="2" t="s">
        <v>753</v>
      </c>
      <c r="J229" s="2" t="s">
        <v>30</v>
      </c>
      <c r="K229" s="2" t="s">
        <v>30</v>
      </c>
      <c r="L229" s="2" t="s">
        <v>324</v>
      </c>
      <c r="M229" s="2" t="s">
        <v>41</v>
      </c>
      <c r="N229" s="2" t="s">
        <v>436</v>
      </c>
      <c r="O229" s="2" t="s">
        <v>134</v>
      </c>
      <c r="P229" s="2" t="s">
        <v>1176</v>
      </c>
      <c r="Q229" s="2" t="s">
        <v>410</v>
      </c>
      <c r="R229" s="2" t="s">
        <v>403</v>
      </c>
      <c r="S229" s="2" t="s">
        <v>34</v>
      </c>
      <c r="T229" s="151">
        <v>5.3689999999999998</v>
      </c>
      <c r="U229" s="2" t="s">
        <v>2403</v>
      </c>
      <c r="V229" s="162">
        <v>2.3900000000000001E-2</v>
      </c>
      <c r="W229" s="164">
        <v>2.7189999999999999E-2</v>
      </c>
      <c r="X229" s="4" t="s">
        <v>409</v>
      </c>
      <c r="Y229" s="4" t="s">
        <v>134</v>
      </c>
      <c r="Z229" s="151">
        <v>55000</v>
      </c>
      <c r="AA229" s="158">
        <v>1</v>
      </c>
      <c r="AB229" s="175">
        <v>113.4</v>
      </c>
      <c r="AD229" s="151">
        <v>62.37</v>
      </c>
      <c r="AG229" s="2" t="s">
        <v>36</v>
      </c>
      <c r="AH229" s="164">
        <v>1.4E-5</v>
      </c>
      <c r="AI229" s="164">
        <v>9.4794914712176999E-3</v>
      </c>
      <c r="AJ229" s="164">
        <v>1.6294451613646801E-3</v>
      </c>
    </row>
    <row r="230" spans="1:36">
      <c r="A230" s="2">
        <v>337</v>
      </c>
      <c r="B230" s="2">
        <v>9962</v>
      </c>
      <c r="C230" s="2" t="s">
        <v>2038</v>
      </c>
      <c r="D230" s="2" t="s">
        <v>2039</v>
      </c>
      <c r="E230" s="4" t="s">
        <v>1303</v>
      </c>
      <c r="F230" s="2" t="s">
        <v>2040</v>
      </c>
      <c r="G230" s="2" t="s">
        <v>2041</v>
      </c>
      <c r="H230" s="2" t="s">
        <v>318</v>
      </c>
      <c r="I230" s="2" t="s">
        <v>753</v>
      </c>
      <c r="J230" s="2" t="s">
        <v>30</v>
      </c>
      <c r="K230" s="2" t="s">
        <v>30</v>
      </c>
      <c r="L230" s="2" t="s">
        <v>324</v>
      </c>
      <c r="M230" s="2" t="s">
        <v>41</v>
      </c>
      <c r="N230" s="2" t="s">
        <v>436</v>
      </c>
      <c r="O230" s="2" t="s">
        <v>134</v>
      </c>
      <c r="P230" s="2" t="s">
        <v>1176</v>
      </c>
      <c r="Q230" s="2" t="s">
        <v>410</v>
      </c>
      <c r="R230" s="2" t="s">
        <v>403</v>
      </c>
      <c r="S230" s="2" t="s">
        <v>34</v>
      </c>
      <c r="T230" s="151">
        <v>10.119999999999999</v>
      </c>
      <c r="U230" s="2" t="s">
        <v>2042</v>
      </c>
      <c r="V230" s="162">
        <v>3.2000000000000001E-2</v>
      </c>
      <c r="W230" s="164">
        <v>3.1019999999999999E-2</v>
      </c>
      <c r="X230" s="4" t="s">
        <v>409</v>
      </c>
      <c r="Y230" s="4" t="s">
        <v>134</v>
      </c>
      <c r="Z230" s="151">
        <v>85000</v>
      </c>
      <c r="AA230" s="158">
        <v>1</v>
      </c>
      <c r="AB230" s="175">
        <v>107.1</v>
      </c>
      <c r="AD230" s="151">
        <v>91.034999999999997</v>
      </c>
      <c r="AG230" s="2" t="s">
        <v>36</v>
      </c>
      <c r="AH230" s="164">
        <v>1.7E-5</v>
      </c>
      <c r="AI230" s="164">
        <v>1.3836227450413701E-2</v>
      </c>
      <c r="AJ230" s="164">
        <v>2.3783315739110801E-3</v>
      </c>
    </row>
    <row r="231" spans="1:36">
      <c r="A231" s="2">
        <v>337</v>
      </c>
      <c r="B231" s="2">
        <v>9962</v>
      </c>
      <c r="C231" s="2" t="s">
        <v>2043</v>
      </c>
      <c r="D231" s="2" t="s">
        <v>2044</v>
      </c>
      <c r="E231" s="4" t="s">
        <v>33</v>
      </c>
      <c r="F231" s="2" t="s">
        <v>2045</v>
      </c>
      <c r="G231" s="2" t="s">
        <v>2046</v>
      </c>
      <c r="H231" s="2" t="s">
        <v>318</v>
      </c>
      <c r="I231" s="2" t="s">
        <v>754</v>
      </c>
      <c r="J231" s="2" t="s">
        <v>30</v>
      </c>
      <c r="K231" s="2" t="s">
        <v>80</v>
      </c>
      <c r="L231" s="2" t="s">
        <v>324</v>
      </c>
      <c r="M231" s="2" t="s">
        <v>41</v>
      </c>
      <c r="N231" s="2" t="s">
        <v>461</v>
      </c>
      <c r="O231" s="2" t="s">
        <v>134</v>
      </c>
      <c r="P231" s="2" t="s">
        <v>1826</v>
      </c>
      <c r="Q231" s="2" t="s">
        <v>410</v>
      </c>
      <c r="R231" s="2" t="s">
        <v>403</v>
      </c>
      <c r="S231" s="2" t="s">
        <v>84</v>
      </c>
      <c r="T231" s="151">
        <v>1.843</v>
      </c>
      <c r="U231" s="2" t="s">
        <v>2047</v>
      </c>
      <c r="V231" s="162">
        <v>4.7199999999999999E-2</v>
      </c>
      <c r="W231" s="164">
        <v>6.2030000000000002E-2</v>
      </c>
      <c r="X231" s="4" t="s">
        <v>409</v>
      </c>
      <c r="Y231" s="4" t="s">
        <v>134</v>
      </c>
      <c r="Z231" s="151">
        <v>29000</v>
      </c>
      <c r="AA231" s="158">
        <v>3.718</v>
      </c>
      <c r="AB231" s="175">
        <v>30.661999999999999</v>
      </c>
      <c r="AD231" s="151">
        <v>33.06</v>
      </c>
      <c r="AG231" s="2" t="s">
        <v>36</v>
      </c>
      <c r="AH231" s="164">
        <v>8.7999999999999998E-5</v>
      </c>
      <c r="AI231" s="164">
        <v>5.0247232329398298E-3</v>
      </c>
      <c r="AJ231" s="164">
        <v>8.6370782483111196E-4</v>
      </c>
    </row>
    <row r="232" spans="1:36">
      <c r="A232" s="2">
        <v>337</v>
      </c>
      <c r="B232" s="2">
        <v>9962</v>
      </c>
      <c r="C232" s="2" t="s">
        <v>2048</v>
      </c>
      <c r="D232" s="2" t="s">
        <v>2049</v>
      </c>
      <c r="E232" s="4" t="s">
        <v>1303</v>
      </c>
      <c r="F232" s="2" t="s">
        <v>2050</v>
      </c>
      <c r="G232" s="2" t="s">
        <v>2051</v>
      </c>
      <c r="H232" s="2" t="s">
        <v>318</v>
      </c>
      <c r="I232" s="2" t="s">
        <v>965</v>
      </c>
      <c r="J232" s="2" t="s">
        <v>30</v>
      </c>
      <c r="K232" s="2" t="s">
        <v>30</v>
      </c>
      <c r="L232" s="2" t="s">
        <v>324</v>
      </c>
      <c r="M232" s="2" t="s">
        <v>41</v>
      </c>
      <c r="N232" s="2" t="s">
        <v>443</v>
      </c>
      <c r="O232" s="2" t="s">
        <v>134</v>
      </c>
      <c r="P232" s="2" t="s">
        <v>1842</v>
      </c>
      <c r="Q232" s="2" t="s">
        <v>406</v>
      </c>
      <c r="R232" s="2" t="s">
        <v>406</v>
      </c>
      <c r="S232" s="2" t="s">
        <v>34</v>
      </c>
      <c r="T232" s="151">
        <v>1.0269999999999999</v>
      </c>
      <c r="U232" s="2" t="s">
        <v>2052</v>
      </c>
      <c r="V232" s="162">
        <v>5.6000000000000001E-2</v>
      </c>
      <c r="W232" s="164">
        <v>6.4949999999999994E-2</v>
      </c>
      <c r="X232" s="4" t="s">
        <v>409</v>
      </c>
      <c r="Y232" s="4" t="s">
        <v>134</v>
      </c>
      <c r="Z232" s="151">
        <v>29000</v>
      </c>
      <c r="AA232" s="158">
        <v>1</v>
      </c>
      <c r="AB232" s="175">
        <v>100.53</v>
      </c>
      <c r="AD232" s="151">
        <v>29.154</v>
      </c>
      <c r="AG232" s="2" t="s">
        <v>36</v>
      </c>
      <c r="AH232" s="164">
        <v>1.7100000000000001E-4</v>
      </c>
      <c r="AI232" s="164">
        <v>4.4310125141003602E-3</v>
      </c>
      <c r="AJ232" s="164">
        <v>7.6165392658133005E-4</v>
      </c>
    </row>
    <row r="233" spans="1:36">
      <c r="A233" s="2">
        <v>337</v>
      </c>
      <c r="B233" s="2">
        <v>9962</v>
      </c>
      <c r="C233" s="2" t="s">
        <v>2059</v>
      </c>
      <c r="D233" s="2" t="s">
        <v>2060</v>
      </c>
      <c r="E233" s="4" t="s">
        <v>1303</v>
      </c>
      <c r="F233" s="2" t="s">
        <v>2061</v>
      </c>
      <c r="G233" s="2" t="s">
        <v>2062</v>
      </c>
      <c r="H233" s="2" t="s">
        <v>318</v>
      </c>
      <c r="I233" s="2" t="s">
        <v>753</v>
      </c>
      <c r="J233" s="2" t="s">
        <v>30</v>
      </c>
      <c r="K233" s="2" t="s">
        <v>30</v>
      </c>
      <c r="L233" s="2" t="s">
        <v>324</v>
      </c>
      <c r="M233" s="2" t="s">
        <v>41</v>
      </c>
      <c r="N233" s="2" t="s">
        <v>444</v>
      </c>
      <c r="O233" s="2" t="s">
        <v>134</v>
      </c>
      <c r="P233" s="2" t="s">
        <v>1826</v>
      </c>
      <c r="Q233" s="2" t="s">
        <v>410</v>
      </c>
      <c r="R233" s="2" t="s">
        <v>403</v>
      </c>
      <c r="S233" s="2" t="s">
        <v>34</v>
      </c>
      <c r="T233" s="151">
        <v>4.1260000000000003</v>
      </c>
      <c r="U233" s="2" t="s">
        <v>2063</v>
      </c>
      <c r="V233" s="162">
        <v>2.5899999999999999E-2</v>
      </c>
      <c r="W233" s="164">
        <v>2.7740000000000001E-2</v>
      </c>
      <c r="X233" s="4" t="s">
        <v>409</v>
      </c>
      <c r="Y233" s="4" t="s">
        <v>134</v>
      </c>
      <c r="Z233" s="151">
        <v>25000</v>
      </c>
      <c r="AA233" s="158">
        <v>1</v>
      </c>
      <c r="AB233" s="175">
        <v>103.09</v>
      </c>
      <c r="AD233" s="151">
        <v>25.773</v>
      </c>
      <c r="AG233" s="2" t="s">
        <v>36</v>
      </c>
      <c r="AH233" s="164">
        <v>3.6999999999999998E-5</v>
      </c>
      <c r="AI233" s="164">
        <v>3.9171106933134203E-3</v>
      </c>
      <c r="AJ233" s="164">
        <v>6.7331850923955895E-4</v>
      </c>
    </row>
    <row r="234" spans="1:36">
      <c r="A234" s="2">
        <v>337</v>
      </c>
      <c r="B234" s="2">
        <v>9962</v>
      </c>
      <c r="C234" s="2" t="s">
        <v>2064</v>
      </c>
      <c r="D234" s="2" t="s">
        <v>2065</v>
      </c>
      <c r="E234" s="4" t="s">
        <v>1303</v>
      </c>
      <c r="F234" s="2" t="s">
        <v>2066</v>
      </c>
      <c r="G234" s="2" t="s">
        <v>2067</v>
      </c>
      <c r="H234" s="2" t="s">
        <v>318</v>
      </c>
      <c r="I234" s="2" t="s">
        <v>753</v>
      </c>
      <c r="J234" s="2" t="s">
        <v>30</v>
      </c>
      <c r="K234" s="2" t="s">
        <v>30</v>
      </c>
      <c r="L234" s="2" t="s">
        <v>324</v>
      </c>
      <c r="M234" s="2" t="s">
        <v>41</v>
      </c>
      <c r="N234" s="2" t="s">
        <v>460</v>
      </c>
      <c r="O234" s="2" t="s">
        <v>134</v>
      </c>
      <c r="P234" s="2" t="s">
        <v>1842</v>
      </c>
      <c r="Q234" s="2" t="s">
        <v>406</v>
      </c>
      <c r="R234" s="2" t="s">
        <v>406</v>
      </c>
      <c r="S234" s="2" t="s">
        <v>34</v>
      </c>
      <c r="T234" s="151">
        <v>2.56</v>
      </c>
      <c r="U234" s="2" t="s">
        <v>2025</v>
      </c>
      <c r="V234" s="162">
        <v>4.4999999999999998E-2</v>
      </c>
      <c r="W234" s="164">
        <v>3.4479999999999997E-2</v>
      </c>
      <c r="X234" s="4" t="s">
        <v>409</v>
      </c>
      <c r="Y234" s="4" t="s">
        <v>134</v>
      </c>
      <c r="Z234" s="151">
        <v>42000</v>
      </c>
      <c r="AA234" s="158">
        <v>1</v>
      </c>
      <c r="AB234" s="175">
        <v>108.36</v>
      </c>
      <c r="AD234" s="151">
        <v>45.511000000000003</v>
      </c>
      <c r="AG234" s="2" t="s">
        <v>36</v>
      </c>
      <c r="AH234" s="164">
        <v>4.3000000000000002E-5</v>
      </c>
      <c r="AI234" s="164">
        <v>6.9171562008158204E-3</v>
      </c>
      <c r="AJ234" s="164">
        <v>1.1890011965352001E-3</v>
      </c>
    </row>
    <row r="235" spans="1:36">
      <c r="A235" s="2">
        <v>337</v>
      </c>
      <c r="B235" s="2">
        <v>9962</v>
      </c>
      <c r="C235" s="2" t="s">
        <v>2068</v>
      </c>
      <c r="D235" s="2" t="s">
        <v>2069</v>
      </c>
      <c r="E235" s="4" t="s">
        <v>1303</v>
      </c>
      <c r="F235" s="2" t="s">
        <v>2070</v>
      </c>
      <c r="G235" s="2" t="s">
        <v>2071</v>
      </c>
      <c r="H235" s="2" t="s">
        <v>318</v>
      </c>
      <c r="I235" s="2" t="s">
        <v>965</v>
      </c>
      <c r="J235" s="2" t="s">
        <v>30</v>
      </c>
      <c r="K235" s="2" t="s">
        <v>30</v>
      </c>
      <c r="L235" s="2" t="s">
        <v>324</v>
      </c>
      <c r="M235" s="2" t="s">
        <v>41</v>
      </c>
      <c r="N235" s="2" t="s">
        <v>443</v>
      </c>
      <c r="O235" s="2" t="s">
        <v>134</v>
      </c>
      <c r="P235" s="2" t="s">
        <v>1830</v>
      </c>
      <c r="Q235" s="2" t="s">
        <v>410</v>
      </c>
      <c r="R235" s="2" t="s">
        <v>403</v>
      </c>
      <c r="S235" s="2" t="s">
        <v>34</v>
      </c>
      <c r="T235" s="151">
        <v>1.24</v>
      </c>
      <c r="U235" s="2" t="s">
        <v>1910</v>
      </c>
      <c r="V235" s="162">
        <v>3.95E-2</v>
      </c>
      <c r="W235" s="164">
        <v>6.1929999999999999E-2</v>
      </c>
      <c r="X235" s="4" t="s">
        <v>409</v>
      </c>
      <c r="Y235" s="4" t="s">
        <v>134</v>
      </c>
      <c r="Z235" s="151">
        <v>39000</v>
      </c>
      <c r="AA235" s="158">
        <v>1</v>
      </c>
      <c r="AB235" s="175">
        <v>98.39</v>
      </c>
      <c r="AD235" s="151">
        <v>38.372</v>
      </c>
      <c r="AG235" s="2" t="s">
        <v>36</v>
      </c>
      <c r="AH235" s="164">
        <v>4.6999999999999997E-5</v>
      </c>
      <c r="AI235" s="164">
        <v>5.8320986801781698E-3</v>
      </c>
      <c r="AJ235" s="164">
        <v>1.00248889973387E-3</v>
      </c>
    </row>
    <row r="236" spans="1:36">
      <c r="A236" s="2">
        <v>337</v>
      </c>
      <c r="B236" s="2">
        <v>9962</v>
      </c>
      <c r="C236" s="2" t="s">
        <v>2075</v>
      </c>
      <c r="D236" s="2" t="s">
        <v>2076</v>
      </c>
      <c r="E236" s="4" t="s">
        <v>1303</v>
      </c>
      <c r="F236" s="2" t="s">
        <v>2077</v>
      </c>
      <c r="G236" s="2" t="s">
        <v>2078</v>
      </c>
      <c r="H236" s="2" t="s">
        <v>318</v>
      </c>
      <c r="I236" s="2" t="s">
        <v>753</v>
      </c>
      <c r="J236" s="2" t="s">
        <v>30</v>
      </c>
      <c r="K236" s="2" t="s">
        <v>30</v>
      </c>
      <c r="L236" s="2" t="s">
        <v>324</v>
      </c>
      <c r="M236" s="2" t="s">
        <v>41</v>
      </c>
      <c r="N236" s="2" t="s">
        <v>460</v>
      </c>
      <c r="O236" s="2" t="s">
        <v>134</v>
      </c>
      <c r="P236" s="2" t="s">
        <v>1834</v>
      </c>
      <c r="Q236" s="2" t="s">
        <v>410</v>
      </c>
      <c r="R236" s="2" t="s">
        <v>403</v>
      </c>
      <c r="S236" s="2" t="s">
        <v>34</v>
      </c>
      <c r="T236" s="151">
        <v>1.835</v>
      </c>
      <c r="U236" s="2" t="s">
        <v>2079</v>
      </c>
      <c r="V236" s="162">
        <v>1.5800000000000002E-2</v>
      </c>
      <c r="W236" s="164">
        <v>2.708E-2</v>
      </c>
      <c r="X236" s="4" t="s">
        <v>409</v>
      </c>
      <c r="Y236" s="4" t="s">
        <v>134</v>
      </c>
      <c r="Z236" s="151">
        <v>16014.86</v>
      </c>
      <c r="AA236" s="158">
        <v>1</v>
      </c>
      <c r="AB236" s="175">
        <v>115.06</v>
      </c>
      <c r="AD236" s="151">
        <v>18.427</v>
      </c>
      <c r="AG236" s="2" t="s">
        <v>36</v>
      </c>
      <c r="AH236" s="164">
        <v>3.6999999999999998E-5</v>
      </c>
      <c r="AI236" s="164">
        <v>2.8006369366270099E-3</v>
      </c>
      <c r="AJ236" s="164">
        <v>4.8140602467780801E-4</v>
      </c>
    </row>
    <row r="237" spans="1:36">
      <c r="A237" s="2">
        <v>337</v>
      </c>
      <c r="B237" s="2">
        <v>9962</v>
      </c>
      <c r="C237" s="2" t="s">
        <v>2075</v>
      </c>
      <c r="D237" s="2" t="s">
        <v>2076</v>
      </c>
      <c r="E237" s="4" t="s">
        <v>1303</v>
      </c>
      <c r="F237" s="2" t="s">
        <v>2083</v>
      </c>
      <c r="G237" s="2" t="s">
        <v>2084</v>
      </c>
      <c r="H237" s="2" t="s">
        <v>318</v>
      </c>
      <c r="I237" s="2" t="s">
        <v>753</v>
      </c>
      <c r="J237" s="2" t="s">
        <v>30</v>
      </c>
      <c r="K237" s="2" t="s">
        <v>30</v>
      </c>
      <c r="L237" s="2" t="s">
        <v>324</v>
      </c>
      <c r="M237" s="2" t="s">
        <v>41</v>
      </c>
      <c r="N237" s="2" t="s">
        <v>460</v>
      </c>
      <c r="O237" s="2" t="s">
        <v>134</v>
      </c>
      <c r="P237" s="2" t="s">
        <v>1834</v>
      </c>
      <c r="Q237" s="2" t="s">
        <v>410</v>
      </c>
      <c r="R237" s="2" t="s">
        <v>403</v>
      </c>
      <c r="S237" s="2" t="s">
        <v>34</v>
      </c>
      <c r="T237" s="151">
        <v>4.4550000000000001</v>
      </c>
      <c r="U237" s="2" t="s">
        <v>2085</v>
      </c>
      <c r="V237" s="162">
        <v>8.3999999999999995E-3</v>
      </c>
      <c r="W237" s="164">
        <v>2.86E-2</v>
      </c>
      <c r="X237" s="4" t="s">
        <v>409</v>
      </c>
      <c r="Y237" s="4" t="s">
        <v>134</v>
      </c>
      <c r="Z237" s="151">
        <v>46703.3</v>
      </c>
      <c r="AA237" s="158">
        <v>1</v>
      </c>
      <c r="AB237" s="175">
        <v>105.34</v>
      </c>
      <c r="AD237" s="151">
        <v>49.197000000000003</v>
      </c>
      <c r="AG237" s="2" t="s">
        <v>36</v>
      </c>
      <c r="AH237" s="164">
        <v>6.0999999999999999E-5</v>
      </c>
      <c r="AI237" s="164">
        <v>7.4773925083341597E-3</v>
      </c>
      <c r="AJ237" s="164">
        <v>1.2853011239393601E-3</v>
      </c>
    </row>
    <row r="238" spans="1:36">
      <c r="A238" s="2">
        <v>337</v>
      </c>
      <c r="B238" s="2">
        <v>9962</v>
      </c>
      <c r="C238" s="2" t="s">
        <v>1585</v>
      </c>
      <c r="D238" s="2" t="s">
        <v>1586</v>
      </c>
      <c r="E238" s="4" t="s">
        <v>1303</v>
      </c>
      <c r="F238" s="2" t="s">
        <v>2404</v>
      </c>
      <c r="G238" s="2" t="s">
        <v>2405</v>
      </c>
      <c r="H238" s="2" t="s">
        <v>318</v>
      </c>
      <c r="I238" s="2" t="s">
        <v>965</v>
      </c>
      <c r="J238" s="2" t="s">
        <v>30</v>
      </c>
      <c r="K238" s="2" t="s">
        <v>30</v>
      </c>
      <c r="L238" s="2" t="s">
        <v>324</v>
      </c>
      <c r="M238" s="2" t="s">
        <v>41</v>
      </c>
      <c r="N238" s="2" t="s">
        <v>441</v>
      </c>
      <c r="O238" s="2" t="s">
        <v>134</v>
      </c>
      <c r="P238" s="2" t="s">
        <v>1826</v>
      </c>
      <c r="Q238" s="2" t="s">
        <v>410</v>
      </c>
      <c r="R238" s="2" t="s">
        <v>403</v>
      </c>
      <c r="S238" s="2" t="s">
        <v>34</v>
      </c>
      <c r="T238" s="151">
        <v>2.7789999999999999</v>
      </c>
      <c r="U238" s="2" t="s">
        <v>2406</v>
      </c>
      <c r="V238" s="162">
        <v>4.7E-2</v>
      </c>
      <c r="W238" s="164">
        <v>4.9200000000000001E-2</v>
      </c>
      <c r="X238" s="4" t="s">
        <v>409</v>
      </c>
      <c r="Y238" s="4" t="s">
        <v>134</v>
      </c>
      <c r="Z238" s="151">
        <v>50000</v>
      </c>
      <c r="AA238" s="158">
        <v>1</v>
      </c>
      <c r="AB238" s="175">
        <v>99.82</v>
      </c>
      <c r="AD238" s="151">
        <v>49.91</v>
      </c>
      <c r="AG238" s="2" t="s">
        <v>36</v>
      </c>
      <c r="AH238" s="164">
        <v>5.5999999999999999E-5</v>
      </c>
      <c r="AI238" s="164">
        <v>7.5857210089542298E-3</v>
      </c>
      <c r="AJ238" s="164">
        <v>1.3039218855813901E-3</v>
      </c>
    </row>
    <row r="239" spans="1:36">
      <c r="A239" s="2">
        <v>337</v>
      </c>
      <c r="B239" s="2">
        <v>9962</v>
      </c>
      <c r="C239" s="2" t="s">
        <v>2407</v>
      </c>
      <c r="D239" s="2" t="s">
        <v>2408</v>
      </c>
      <c r="E239" s="4" t="s">
        <v>1303</v>
      </c>
      <c r="F239" s="2" t="s">
        <v>2409</v>
      </c>
      <c r="G239" s="2" t="s">
        <v>2410</v>
      </c>
      <c r="H239" s="2" t="s">
        <v>318</v>
      </c>
      <c r="I239" s="2" t="s">
        <v>965</v>
      </c>
      <c r="J239" s="2" t="s">
        <v>30</v>
      </c>
      <c r="K239" s="2" t="s">
        <v>30</v>
      </c>
      <c r="L239" s="2" t="s">
        <v>324</v>
      </c>
      <c r="M239" s="2" t="s">
        <v>41</v>
      </c>
      <c r="N239" s="2" t="s">
        <v>441</v>
      </c>
      <c r="O239" s="2" t="s">
        <v>134</v>
      </c>
      <c r="P239" s="2" t="s">
        <v>1826</v>
      </c>
      <c r="Q239" s="2" t="s">
        <v>410</v>
      </c>
      <c r="R239" s="2" t="s">
        <v>403</v>
      </c>
      <c r="S239" s="2" t="s">
        <v>34</v>
      </c>
      <c r="T239" s="151">
        <v>6.407</v>
      </c>
      <c r="U239" s="2" t="s">
        <v>2129</v>
      </c>
      <c r="V239" s="162">
        <v>2.5000000000000001E-2</v>
      </c>
      <c r="W239" s="164">
        <v>5.2859999999999997E-2</v>
      </c>
      <c r="X239" s="4" t="s">
        <v>409</v>
      </c>
      <c r="Y239" s="4" t="s">
        <v>134</v>
      </c>
      <c r="Z239" s="151">
        <v>80000</v>
      </c>
      <c r="AA239" s="158">
        <v>1</v>
      </c>
      <c r="AB239" s="175">
        <v>84.22</v>
      </c>
      <c r="AD239" s="151">
        <v>67.376000000000005</v>
      </c>
      <c r="AG239" s="2" t="s">
        <v>36</v>
      </c>
      <c r="AH239" s="164">
        <v>6.0000000000000002E-5</v>
      </c>
      <c r="AI239" s="164">
        <v>1.0240343392091801E-2</v>
      </c>
      <c r="AJ239" s="164">
        <v>1.76022923187601E-3</v>
      </c>
    </row>
    <row r="240" spans="1:36">
      <c r="A240" s="2">
        <v>337</v>
      </c>
      <c r="B240" s="2">
        <v>9962</v>
      </c>
      <c r="C240" s="2" t="s">
        <v>2407</v>
      </c>
      <c r="D240" s="2" t="s">
        <v>2408</v>
      </c>
      <c r="E240" s="4" t="s">
        <v>1303</v>
      </c>
      <c r="F240" s="2" t="s">
        <v>2411</v>
      </c>
      <c r="G240" s="2" t="s">
        <v>2412</v>
      </c>
      <c r="H240" s="2" t="s">
        <v>318</v>
      </c>
      <c r="I240" s="2" t="s">
        <v>753</v>
      </c>
      <c r="J240" s="2" t="s">
        <v>30</v>
      </c>
      <c r="K240" s="2" t="s">
        <v>30</v>
      </c>
      <c r="L240" s="2" t="s">
        <v>324</v>
      </c>
      <c r="M240" s="2" t="s">
        <v>41</v>
      </c>
      <c r="N240" s="2" t="s">
        <v>441</v>
      </c>
      <c r="O240" s="2" t="s">
        <v>134</v>
      </c>
      <c r="P240" s="2" t="s">
        <v>1826</v>
      </c>
      <c r="Q240" s="2" t="s">
        <v>410</v>
      </c>
      <c r="R240" s="2" t="s">
        <v>403</v>
      </c>
      <c r="S240" s="2" t="s">
        <v>34</v>
      </c>
      <c r="T240" s="151">
        <v>0.33200000000000002</v>
      </c>
      <c r="U240" s="2" t="s">
        <v>2413</v>
      </c>
      <c r="V240" s="162">
        <v>2.4799999999999999E-2</v>
      </c>
      <c r="W240" s="164">
        <v>2.597E-2</v>
      </c>
      <c r="X240" s="4" t="s">
        <v>409</v>
      </c>
      <c r="Y240" s="4" t="s">
        <v>134</v>
      </c>
      <c r="Z240" s="151">
        <v>50000</v>
      </c>
      <c r="AA240" s="158">
        <v>1</v>
      </c>
      <c r="AB240" s="175">
        <v>116.22</v>
      </c>
      <c r="AD240" s="151">
        <v>58.11</v>
      </c>
      <c r="AG240" s="2" t="s">
        <v>36</v>
      </c>
      <c r="AH240" s="164">
        <v>1.18E-4</v>
      </c>
      <c r="AI240" s="164">
        <v>8.8320225972817103E-3</v>
      </c>
      <c r="AJ240" s="164">
        <v>1.51815068665868E-3</v>
      </c>
    </row>
    <row r="241" spans="1:36">
      <c r="A241" s="2">
        <v>337</v>
      </c>
      <c r="B241" s="2">
        <v>9962</v>
      </c>
      <c r="C241" s="2" t="s">
        <v>1174</v>
      </c>
      <c r="D241" s="2" t="s">
        <v>1589</v>
      </c>
      <c r="E241" s="4" t="s">
        <v>1303</v>
      </c>
      <c r="F241" s="2" t="s">
        <v>2086</v>
      </c>
      <c r="G241" s="2" t="s">
        <v>2087</v>
      </c>
      <c r="H241" s="2" t="s">
        <v>318</v>
      </c>
      <c r="I241" s="2" t="s">
        <v>753</v>
      </c>
      <c r="J241" s="2" t="s">
        <v>30</v>
      </c>
      <c r="K241" s="2" t="s">
        <v>30</v>
      </c>
      <c r="L241" s="2" t="s">
        <v>324</v>
      </c>
      <c r="M241" s="2" t="s">
        <v>41</v>
      </c>
      <c r="N241" s="2" t="s">
        <v>444</v>
      </c>
      <c r="O241" s="2" t="s">
        <v>134</v>
      </c>
      <c r="P241" s="2" t="s">
        <v>1176</v>
      </c>
      <c r="Q241" s="2" t="s">
        <v>410</v>
      </c>
      <c r="R241" s="2" t="s">
        <v>403</v>
      </c>
      <c r="S241" s="2" t="s">
        <v>34</v>
      </c>
      <c r="T241" s="151">
        <v>2.3460000000000001</v>
      </c>
      <c r="U241" s="2" t="s">
        <v>59</v>
      </c>
      <c r="V241" s="162">
        <v>1.8599999999999998E-2</v>
      </c>
      <c r="W241" s="164">
        <v>2.4129999999999999E-2</v>
      </c>
      <c r="X241" s="4" t="s">
        <v>409</v>
      </c>
      <c r="Y241" s="4" t="s">
        <v>134</v>
      </c>
      <c r="Z241" s="151">
        <v>37800</v>
      </c>
      <c r="AA241" s="158">
        <v>1</v>
      </c>
      <c r="AB241" s="175">
        <v>102.59</v>
      </c>
      <c r="AD241" s="151">
        <v>38.779000000000003</v>
      </c>
      <c r="AG241" s="2" t="s">
        <v>36</v>
      </c>
      <c r="AH241" s="164">
        <v>1.2999999999999999E-5</v>
      </c>
      <c r="AI241" s="164">
        <v>5.89394563655893E-3</v>
      </c>
      <c r="AJ241" s="164">
        <v>1.01311987336002E-3</v>
      </c>
    </row>
    <row r="242" spans="1:36">
      <c r="A242" s="2">
        <v>337</v>
      </c>
      <c r="B242" s="2">
        <v>9962</v>
      </c>
      <c r="C242" s="2" t="s">
        <v>1174</v>
      </c>
      <c r="D242" s="2" t="s">
        <v>1589</v>
      </c>
      <c r="E242" s="4" t="s">
        <v>1303</v>
      </c>
      <c r="F242" s="2" t="s">
        <v>2414</v>
      </c>
      <c r="G242" s="2" t="s">
        <v>2415</v>
      </c>
      <c r="H242" s="2" t="s">
        <v>318</v>
      </c>
      <c r="I242" s="2" t="s">
        <v>753</v>
      </c>
      <c r="J242" s="2" t="s">
        <v>30</v>
      </c>
      <c r="K242" s="2" t="s">
        <v>30</v>
      </c>
      <c r="L242" s="2" t="s">
        <v>324</v>
      </c>
      <c r="M242" s="2" t="s">
        <v>41</v>
      </c>
      <c r="N242" s="2" t="s">
        <v>444</v>
      </c>
      <c r="O242" s="2" t="s">
        <v>134</v>
      </c>
      <c r="P242" s="2" t="s">
        <v>1176</v>
      </c>
      <c r="Q242" s="2" t="s">
        <v>410</v>
      </c>
      <c r="R242" s="2" t="s">
        <v>403</v>
      </c>
      <c r="S242" s="2" t="s">
        <v>34</v>
      </c>
      <c r="T242" s="151">
        <v>2.649</v>
      </c>
      <c r="U242" s="2" t="s">
        <v>2416</v>
      </c>
      <c r="V242" s="162">
        <v>1E-3</v>
      </c>
      <c r="W242" s="164">
        <v>2.3560000000000001E-2</v>
      </c>
      <c r="X242" s="4" t="s">
        <v>409</v>
      </c>
      <c r="Y242" s="4" t="s">
        <v>134</v>
      </c>
      <c r="Z242" s="151">
        <v>28000</v>
      </c>
      <c r="AA242" s="158">
        <v>1</v>
      </c>
      <c r="AB242" s="175">
        <v>106.31</v>
      </c>
      <c r="AD242" s="151">
        <v>29.766999999999999</v>
      </c>
      <c r="AG242" s="2" t="s">
        <v>36</v>
      </c>
      <c r="AH242" s="164">
        <v>9.0000000000000002E-6</v>
      </c>
      <c r="AI242" s="164">
        <v>4.52419635602762E-3</v>
      </c>
      <c r="AJ242" s="164">
        <v>7.7767144828139005E-4</v>
      </c>
    </row>
    <row r="243" spans="1:36">
      <c r="A243" s="2">
        <v>337</v>
      </c>
      <c r="B243" s="2">
        <v>9962</v>
      </c>
      <c r="C243" s="2" t="s">
        <v>1174</v>
      </c>
      <c r="D243" s="2" t="s">
        <v>1589</v>
      </c>
      <c r="E243" s="4" t="s">
        <v>1303</v>
      </c>
      <c r="F243" s="2" t="s">
        <v>2088</v>
      </c>
      <c r="G243" s="2" t="s">
        <v>2089</v>
      </c>
      <c r="H243" s="2" t="s">
        <v>318</v>
      </c>
      <c r="I243" s="2" t="s">
        <v>753</v>
      </c>
      <c r="J243" s="2" t="s">
        <v>30</v>
      </c>
      <c r="K243" s="2" t="s">
        <v>30</v>
      </c>
      <c r="L243" s="2" t="s">
        <v>324</v>
      </c>
      <c r="M243" s="2" t="s">
        <v>41</v>
      </c>
      <c r="N243" s="2" t="s">
        <v>444</v>
      </c>
      <c r="O243" s="2" t="s">
        <v>134</v>
      </c>
      <c r="P243" s="2" t="s">
        <v>1176</v>
      </c>
      <c r="Q243" s="2" t="s">
        <v>410</v>
      </c>
      <c r="R243" s="2" t="s">
        <v>403</v>
      </c>
      <c r="S243" s="2" t="s">
        <v>34</v>
      </c>
      <c r="T243" s="151">
        <v>4.5970000000000004</v>
      </c>
      <c r="U243" s="2" t="s">
        <v>2090</v>
      </c>
      <c r="V243" s="162">
        <v>2.0199999999999999E-2</v>
      </c>
      <c r="W243" s="164">
        <v>2.5819999999999999E-2</v>
      </c>
      <c r="X243" s="4" t="s">
        <v>409</v>
      </c>
      <c r="Y243" s="4" t="s">
        <v>134</v>
      </c>
      <c r="Z243" s="151">
        <v>142000</v>
      </c>
      <c r="AA243" s="158">
        <v>1</v>
      </c>
      <c r="AB243" s="175">
        <v>101.85</v>
      </c>
      <c r="AD243" s="151">
        <v>144.62700000000001</v>
      </c>
      <c r="AG243" s="2" t="s">
        <v>36</v>
      </c>
      <c r="AH243" s="164">
        <v>4.0000000000000003E-5</v>
      </c>
      <c r="AI243" s="164">
        <v>2.1981568270126699E-2</v>
      </c>
      <c r="AJ243" s="164">
        <v>3.7784474162688799E-3</v>
      </c>
    </row>
    <row r="244" spans="1:36">
      <c r="A244" s="2">
        <v>337</v>
      </c>
      <c r="B244" s="2">
        <v>9962</v>
      </c>
      <c r="C244" s="2" t="s">
        <v>1174</v>
      </c>
      <c r="D244" s="2" t="s">
        <v>1589</v>
      </c>
      <c r="E244" s="4" t="s">
        <v>1303</v>
      </c>
      <c r="F244" s="2" t="s">
        <v>2091</v>
      </c>
      <c r="G244" s="2" t="s">
        <v>2092</v>
      </c>
      <c r="H244" s="2" t="s">
        <v>318</v>
      </c>
      <c r="I244" s="2" t="s">
        <v>753</v>
      </c>
      <c r="J244" s="2" t="s">
        <v>30</v>
      </c>
      <c r="K244" s="2" t="s">
        <v>30</v>
      </c>
      <c r="L244" s="2" t="s">
        <v>324</v>
      </c>
      <c r="M244" s="2" t="s">
        <v>41</v>
      </c>
      <c r="N244" s="2" t="s">
        <v>444</v>
      </c>
      <c r="O244" s="2" t="s">
        <v>134</v>
      </c>
      <c r="P244" s="2" t="s">
        <v>1176</v>
      </c>
      <c r="Q244" s="2" t="s">
        <v>410</v>
      </c>
      <c r="R244" s="2" t="s">
        <v>403</v>
      </c>
      <c r="S244" s="2" t="s">
        <v>34</v>
      </c>
      <c r="T244" s="151">
        <v>4.6440000000000001</v>
      </c>
      <c r="U244" s="2" t="s">
        <v>2093</v>
      </c>
      <c r="V244" s="162">
        <v>1E-3</v>
      </c>
      <c r="W244" s="164">
        <v>2.571E-2</v>
      </c>
      <c r="X244" s="4" t="s">
        <v>409</v>
      </c>
      <c r="Y244" s="4" t="s">
        <v>134</v>
      </c>
      <c r="Z244" s="151">
        <v>29000</v>
      </c>
      <c r="AA244" s="158">
        <v>1</v>
      </c>
      <c r="AB244" s="175">
        <v>100.7</v>
      </c>
      <c r="AD244" s="151">
        <v>29.202999999999999</v>
      </c>
      <c r="AG244" s="2" t="s">
        <v>36</v>
      </c>
      <c r="AH244" s="164">
        <v>1.2E-5</v>
      </c>
      <c r="AI244" s="164">
        <v>4.4385055224301804E-3</v>
      </c>
      <c r="AJ244" s="164">
        <v>7.6294191193414902E-4</v>
      </c>
    </row>
    <row r="245" spans="1:36">
      <c r="A245" s="2">
        <v>337</v>
      </c>
      <c r="B245" s="2">
        <v>9962</v>
      </c>
      <c r="C245" s="2" t="s">
        <v>1174</v>
      </c>
      <c r="D245" s="2" t="s">
        <v>1589</v>
      </c>
      <c r="E245" s="4" t="s">
        <v>1303</v>
      </c>
      <c r="F245" s="2" t="s">
        <v>2094</v>
      </c>
      <c r="G245" s="2" t="s">
        <v>2095</v>
      </c>
      <c r="H245" s="2" t="s">
        <v>318</v>
      </c>
      <c r="I245" s="2" t="s">
        <v>753</v>
      </c>
      <c r="J245" s="2" t="s">
        <v>30</v>
      </c>
      <c r="K245" s="2" t="s">
        <v>30</v>
      </c>
      <c r="L245" s="2" t="s">
        <v>324</v>
      </c>
      <c r="M245" s="2" t="s">
        <v>41</v>
      </c>
      <c r="N245" s="2" t="s">
        <v>444</v>
      </c>
      <c r="O245" s="2" t="s">
        <v>134</v>
      </c>
      <c r="P245" s="2" t="s">
        <v>1826</v>
      </c>
      <c r="Q245" s="2" t="s">
        <v>410</v>
      </c>
      <c r="R245" s="2" t="s">
        <v>403</v>
      </c>
      <c r="S245" s="2" t="s">
        <v>34</v>
      </c>
      <c r="T245" s="151">
        <v>2.944</v>
      </c>
      <c r="U245" s="2" t="s">
        <v>2096</v>
      </c>
      <c r="V245" s="162">
        <v>1.4999999999999999E-2</v>
      </c>
      <c r="W245" s="164">
        <v>3.0460000000000001E-2</v>
      </c>
      <c r="X245" s="4" t="s">
        <v>409</v>
      </c>
      <c r="Y245" s="4" t="s">
        <v>134</v>
      </c>
      <c r="Z245" s="151">
        <v>50000</v>
      </c>
      <c r="AA245" s="158">
        <v>1</v>
      </c>
      <c r="AB245" s="175">
        <v>106.7</v>
      </c>
      <c r="AD245" s="151">
        <v>53.35</v>
      </c>
      <c r="AG245" s="2" t="s">
        <v>36</v>
      </c>
      <c r="AH245" s="164">
        <v>3.6000000000000001E-5</v>
      </c>
      <c r="AI245" s="164">
        <v>8.1085597240574594E-3</v>
      </c>
      <c r="AJ245" s="164">
        <v>1.3937934801796701E-3</v>
      </c>
    </row>
    <row r="246" spans="1:36">
      <c r="A246" s="2">
        <v>337</v>
      </c>
      <c r="B246" s="2">
        <v>9962</v>
      </c>
      <c r="C246" s="2" t="s">
        <v>1174</v>
      </c>
      <c r="D246" s="2" t="s">
        <v>1589</v>
      </c>
      <c r="E246" s="4" t="s">
        <v>1303</v>
      </c>
      <c r="F246" s="2" t="s">
        <v>2097</v>
      </c>
      <c r="G246" s="2" t="s">
        <v>2098</v>
      </c>
      <c r="H246" s="2" t="s">
        <v>318</v>
      </c>
      <c r="I246" s="2" t="s">
        <v>753</v>
      </c>
      <c r="J246" s="2" t="s">
        <v>30</v>
      </c>
      <c r="K246" s="2" t="s">
        <v>30</v>
      </c>
      <c r="L246" s="2" t="s">
        <v>324</v>
      </c>
      <c r="M246" s="2" t="s">
        <v>31</v>
      </c>
      <c r="N246" s="2" t="s">
        <v>444</v>
      </c>
      <c r="O246" s="2" t="s">
        <v>134</v>
      </c>
      <c r="P246" s="2" t="s">
        <v>1826</v>
      </c>
      <c r="Q246" s="2" t="s">
        <v>410</v>
      </c>
      <c r="R246" s="2" t="s">
        <v>403</v>
      </c>
      <c r="S246" s="2" t="s">
        <v>34</v>
      </c>
      <c r="T246" s="151">
        <v>5.4809999999999999</v>
      </c>
      <c r="U246" s="2" t="s">
        <v>2099</v>
      </c>
      <c r="V246" s="162">
        <v>3.1E-2</v>
      </c>
      <c r="W246" s="164">
        <v>3.1029999999999999E-2</v>
      </c>
      <c r="X246" s="4" t="s">
        <v>409</v>
      </c>
      <c r="Y246" s="4" t="s">
        <v>134</v>
      </c>
      <c r="Z246" s="151">
        <v>67000</v>
      </c>
      <c r="AA246" s="158">
        <v>1</v>
      </c>
      <c r="AB246" s="175">
        <v>100.81</v>
      </c>
      <c r="AD246" s="151">
        <v>67.543000000000006</v>
      </c>
      <c r="AG246" s="2" t="s">
        <v>36</v>
      </c>
      <c r="AH246" s="164">
        <v>4.3999999999999999E-5</v>
      </c>
      <c r="AI246" s="164">
        <v>1.0265679791454501E-2</v>
      </c>
      <c r="AJ246" s="164">
        <v>1.76458434664913E-3</v>
      </c>
    </row>
    <row r="247" spans="1:36">
      <c r="A247" s="2">
        <v>337</v>
      </c>
      <c r="B247" s="2">
        <v>9962</v>
      </c>
      <c r="C247" s="2" t="s">
        <v>2417</v>
      </c>
      <c r="D247" s="2" t="s">
        <v>2418</v>
      </c>
      <c r="E247" s="4" t="s">
        <v>1303</v>
      </c>
      <c r="F247" s="2" t="s">
        <v>2419</v>
      </c>
      <c r="G247" s="2" t="s">
        <v>2420</v>
      </c>
      <c r="H247" s="2" t="s">
        <v>318</v>
      </c>
      <c r="I247" s="2" t="s">
        <v>753</v>
      </c>
      <c r="J247" s="2" t="s">
        <v>30</v>
      </c>
      <c r="K247" s="2" t="s">
        <v>30</v>
      </c>
      <c r="L247" s="2" t="s">
        <v>324</v>
      </c>
      <c r="M247" s="2" t="s">
        <v>41</v>
      </c>
      <c r="N247" s="2" t="s">
        <v>447</v>
      </c>
      <c r="O247" s="2" t="s">
        <v>134</v>
      </c>
      <c r="P247" s="2" t="s">
        <v>1814</v>
      </c>
      <c r="Q247" s="2" t="s">
        <v>412</v>
      </c>
      <c r="R247" s="2" t="s">
        <v>403</v>
      </c>
      <c r="S247" s="2" t="s">
        <v>34</v>
      </c>
      <c r="T247" s="151">
        <v>2.69</v>
      </c>
      <c r="U247" s="2" t="s">
        <v>2421</v>
      </c>
      <c r="V247" s="162">
        <v>3.73E-2</v>
      </c>
      <c r="W247" s="164">
        <v>3.313E-2</v>
      </c>
      <c r="X247" s="4" t="s">
        <v>409</v>
      </c>
      <c r="Y247" s="4" t="s">
        <v>134</v>
      </c>
      <c r="Z247" s="151">
        <v>25920</v>
      </c>
      <c r="AA247" s="158">
        <v>1</v>
      </c>
      <c r="AB247" s="175">
        <v>109.05</v>
      </c>
      <c r="AD247" s="151">
        <v>28.265999999999998</v>
      </c>
      <c r="AG247" s="2" t="s">
        <v>36</v>
      </c>
      <c r="AH247" s="164">
        <v>5.8999999999999998E-5</v>
      </c>
      <c r="AI247" s="164">
        <v>4.2960562906443197E-3</v>
      </c>
      <c r="AJ247" s="164">
        <v>7.3845608248028602E-4</v>
      </c>
    </row>
    <row r="248" spans="1:36">
      <c r="A248" s="2">
        <v>337</v>
      </c>
      <c r="B248" s="2">
        <v>9962</v>
      </c>
      <c r="C248" s="2" t="s">
        <v>2422</v>
      </c>
      <c r="D248" s="2" t="s">
        <v>2423</v>
      </c>
      <c r="E248" s="4" t="s">
        <v>1303</v>
      </c>
      <c r="F248" s="2" t="s">
        <v>2424</v>
      </c>
      <c r="G248" s="2" t="s">
        <v>2425</v>
      </c>
      <c r="H248" s="2" t="s">
        <v>318</v>
      </c>
      <c r="I248" s="2" t="s">
        <v>965</v>
      </c>
      <c r="J248" s="2" t="s">
        <v>30</v>
      </c>
      <c r="K248" s="2" t="s">
        <v>30</v>
      </c>
      <c r="L248" s="2" t="s">
        <v>324</v>
      </c>
      <c r="M248" s="2" t="s">
        <v>41</v>
      </c>
      <c r="N248" s="2" t="s">
        <v>443</v>
      </c>
      <c r="O248" s="2" t="s">
        <v>134</v>
      </c>
      <c r="P248" s="2" t="s">
        <v>1842</v>
      </c>
      <c r="Q248" s="2" t="s">
        <v>406</v>
      </c>
      <c r="R248" s="2" t="s">
        <v>406</v>
      </c>
      <c r="S248" s="2" t="s">
        <v>34</v>
      </c>
      <c r="T248" s="151">
        <v>3.7109999999999999</v>
      </c>
      <c r="U248" s="2" t="s">
        <v>2426</v>
      </c>
      <c r="V248" s="162">
        <v>6.7299999999999999E-2</v>
      </c>
      <c r="W248" s="164">
        <v>5.8349999999999999E-2</v>
      </c>
      <c r="X248" s="4" t="s">
        <v>409</v>
      </c>
      <c r="Y248" s="4" t="s">
        <v>134</v>
      </c>
      <c r="Z248" s="151">
        <v>30000</v>
      </c>
      <c r="AA248" s="158">
        <v>1</v>
      </c>
      <c r="AB248" s="175">
        <v>105.84</v>
      </c>
      <c r="AD248" s="151">
        <v>31.751999999999999</v>
      </c>
      <c r="AG248" s="2" t="s">
        <v>36</v>
      </c>
      <c r="AH248" s="164">
        <v>1.0900000000000001E-4</v>
      </c>
      <c r="AI248" s="164">
        <v>4.8259229308017402E-3</v>
      </c>
      <c r="AJ248" s="164">
        <v>8.2953571851292999E-4</v>
      </c>
    </row>
    <row r="249" spans="1:36">
      <c r="A249" s="2">
        <v>337</v>
      </c>
      <c r="B249" s="2">
        <v>9962</v>
      </c>
      <c r="C249" s="2" t="s">
        <v>2100</v>
      </c>
      <c r="D249" s="2" t="s">
        <v>2101</v>
      </c>
      <c r="E249" s="4" t="s">
        <v>1303</v>
      </c>
      <c r="F249" s="2" t="s">
        <v>2102</v>
      </c>
      <c r="G249" s="2" t="s">
        <v>2103</v>
      </c>
      <c r="H249" s="2" t="s">
        <v>318</v>
      </c>
      <c r="I249" s="2" t="s">
        <v>965</v>
      </c>
      <c r="J249" s="2" t="s">
        <v>30</v>
      </c>
      <c r="K249" s="2" t="s">
        <v>30</v>
      </c>
      <c r="L249" s="2" t="s">
        <v>324</v>
      </c>
      <c r="M249" s="2" t="s">
        <v>41</v>
      </c>
      <c r="N249" s="2" t="s">
        <v>443</v>
      </c>
      <c r="O249" s="2" t="s">
        <v>134</v>
      </c>
      <c r="P249" s="2" t="s">
        <v>1842</v>
      </c>
      <c r="Q249" s="2" t="s">
        <v>406</v>
      </c>
      <c r="R249" s="2" t="s">
        <v>406</v>
      </c>
      <c r="S249" s="2" t="s">
        <v>34</v>
      </c>
      <c r="T249" s="151">
        <v>3.0840000000000001</v>
      </c>
      <c r="U249" s="2" t="s">
        <v>2104</v>
      </c>
      <c r="V249" s="162">
        <v>8.1500000000000003E-2</v>
      </c>
      <c r="W249" s="164">
        <v>6.1679999999999999E-2</v>
      </c>
      <c r="X249" s="4" t="s">
        <v>409</v>
      </c>
      <c r="Y249" s="4" t="s">
        <v>134</v>
      </c>
      <c r="Z249" s="151">
        <v>28000</v>
      </c>
      <c r="AA249" s="158">
        <v>1</v>
      </c>
      <c r="AB249" s="175">
        <v>106.44</v>
      </c>
      <c r="AD249" s="151">
        <v>29.803000000000001</v>
      </c>
      <c r="AG249" s="2" t="s">
        <v>36</v>
      </c>
      <c r="AH249" s="164">
        <v>1.36E-4</v>
      </c>
      <c r="AI249" s="164">
        <v>4.5297287191758103E-3</v>
      </c>
      <c r="AJ249" s="164">
        <v>7.7862241515446395E-4</v>
      </c>
    </row>
    <row r="250" spans="1:36">
      <c r="A250" s="2">
        <v>337</v>
      </c>
      <c r="B250" s="2">
        <v>9962</v>
      </c>
      <c r="C250" s="2" t="s">
        <v>2105</v>
      </c>
      <c r="D250" s="2" t="s">
        <v>2106</v>
      </c>
      <c r="E250" s="4" t="s">
        <v>1303</v>
      </c>
      <c r="F250" s="2" t="s">
        <v>2107</v>
      </c>
      <c r="G250" s="2" t="s">
        <v>2108</v>
      </c>
      <c r="H250" s="2" t="s">
        <v>318</v>
      </c>
      <c r="I250" s="2" t="s">
        <v>965</v>
      </c>
      <c r="J250" s="2" t="s">
        <v>30</v>
      </c>
      <c r="K250" s="2" t="s">
        <v>80</v>
      </c>
      <c r="L250" s="2" t="s">
        <v>324</v>
      </c>
      <c r="M250" s="2" t="s">
        <v>41</v>
      </c>
      <c r="N250" s="2" t="s">
        <v>461</v>
      </c>
      <c r="O250" s="2" t="s">
        <v>134</v>
      </c>
      <c r="P250" s="2" t="s">
        <v>1848</v>
      </c>
      <c r="Q250" s="2" t="s">
        <v>410</v>
      </c>
      <c r="R250" s="2" t="s">
        <v>403</v>
      </c>
      <c r="S250" s="2" t="s">
        <v>34</v>
      </c>
      <c r="T250" s="151">
        <v>0.65600000000000003</v>
      </c>
      <c r="U250" s="2" t="s">
        <v>2109</v>
      </c>
      <c r="V250" s="162">
        <v>3.95E-2</v>
      </c>
      <c r="W250" s="164">
        <v>5.8720000000000001E-2</v>
      </c>
      <c r="X250" s="4" t="s">
        <v>409</v>
      </c>
      <c r="Y250" s="4" t="s">
        <v>134</v>
      </c>
      <c r="Z250" s="151">
        <v>13000</v>
      </c>
      <c r="AA250" s="158">
        <v>1</v>
      </c>
      <c r="AB250" s="175">
        <v>100.13</v>
      </c>
      <c r="AD250" s="151">
        <v>13.016999999999999</v>
      </c>
      <c r="AG250" s="2" t="s">
        <v>36</v>
      </c>
      <c r="AH250" s="164">
        <v>4.1E-5</v>
      </c>
      <c r="AI250" s="164">
        <v>1.97841257867073E-3</v>
      </c>
      <c r="AJ250" s="164">
        <v>3.4007254643206601E-4</v>
      </c>
    </row>
    <row r="251" spans="1:36">
      <c r="A251" s="2">
        <v>337</v>
      </c>
      <c r="B251" s="2">
        <v>9962</v>
      </c>
      <c r="C251" s="2" t="s">
        <v>1592</v>
      </c>
      <c r="D251" s="2" t="s">
        <v>1593</v>
      </c>
      <c r="E251" s="4" t="s">
        <v>1303</v>
      </c>
      <c r="F251" s="2" t="s">
        <v>2113</v>
      </c>
      <c r="G251" s="2" t="s">
        <v>2114</v>
      </c>
      <c r="H251" s="2" t="s">
        <v>318</v>
      </c>
      <c r="I251" s="2" t="s">
        <v>753</v>
      </c>
      <c r="J251" s="2" t="s">
        <v>30</v>
      </c>
      <c r="K251" s="2" t="s">
        <v>30</v>
      </c>
      <c r="L251" s="2" t="s">
        <v>324</v>
      </c>
      <c r="M251" s="2" t="s">
        <v>41</v>
      </c>
      <c r="N251" s="2" t="s">
        <v>460</v>
      </c>
      <c r="O251" s="2" t="s">
        <v>134</v>
      </c>
      <c r="P251" s="2" t="s">
        <v>1834</v>
      </c>
      <c r="Q251" s="2" t="s">
        <v>410</v>
      </c>
      <c r="R251" s="2" t="s">
        <v>403</v>
      </c>
      <c r="S251" s="2" t="s">
        <v>34</v>
      </c>
      <c r="T251" s="151">
        <v>2.9889999999999999</v>
      </c>
      <c r="U251" s="2" t="s">
        <v>2022</v>
      </c>
      <c r="V251" s="162">
        <v>2.81E-2</v>
      </c>
      <c r="W251" s="164">
        <v>2.8590000000000001E-2</v>
      </c>
      <c r="X251" s="4" t="s">
        <v>409</v>
      </c>
      <c r="Y251" s="4" t="s">
        <v>134</v>
      </c>
      <c r="Z251" s="151">
        <v>27187.5</v>
      </c>
      <c r="AA251" s="158">
        <v>1</v>
      </c>
      <c r="AB251" s="175">
        <v>117.66</v>
      </c>
      <c r="AD251" s="151">
        <v>31.989000000000001</v>
      </c>
      <c r="AG251" s="2" t="s">
        <v>36</v>
      </c>
      <c r="AH251" s="164">
        <v>2.0000000000000002E-5</v>
      </c>
      <c r="AI251" s="164">
        <v>4.86191558871464E-3</v>
      </c>
      <c r="AJ251" s="164">
        <v>8.3572255484891996E-4</v>
      </c>
    </row>
    <row r="252" spans="1:36">
      <c r="A252" s="2">
        <v>337</v>
      </c>
      <c r="B252" s="2">
        <v>9962</v>
      </c>
      <c r="C252" s="2" t="s">
        <v>1592</v>
      </c>
      <c r="D252" s="2" t="s">
        <v>1593</v>
      </c>
      <c r="E252" s="4" t="s">
        <v>1303</v>
      </c>
      <c r="F252" s="2" t="s">
        <v>2427</v>
      </c>
      <c r="G252" s="2" t="s">
        <v>2428</v>
      </c>
      <c r="H252" s="2" t="s">
        <v>318</v>
      </c>
      <c r="I252" s="2" t="s">
        <v>753</v>
      </c>
      <c r="J252" s="2" t="s">
        <v>30</v>
      </c>
      <c r="K252" s="2" t="s">
        <v>30</v>
      </c>
      <c r="L252" s="2" t="s">
        <v>324</v>
      </c>
      <c r="M252" s="2" t="s">
        <v>41</v>
      </c>
      <c r="N252" s="2" t="s">
        <v>460</v>
      </c>
      <c r="O252" s="2" t="s">
        <v>134</v>
      </c>
      <c r="P252" s="2" t="s">
        <v>1834</v>
      </c>
      <c r="Q252" s="2" t="s">
        <v>410</v>
      </c>
      <c r="R252" s="2" t="s">
        <v>403</v>
      </c>
      <c r="S252" s="2" t="s">
        <v>34</v>
      </c>
      <c r="T252" s="151">
        <v>1.6830000000000001</v>
      </c>
      <c r="U252" s="2" t="s">
        <v>1843</v>
      </c>
      <c r="V252" s="162">
        <v>3.6999999999999998E-2</v>
      </c>
      <c r="W252" s="164">
        <v>2.8479999999999998E-2</v>
      </c>
      <c r="X252" s="4" t="s">
        <v>409</v>
      </c>
      <c r="Y252" s="4" t="s">
        <v>134</v>
      </c>
      <c r="Z252" s="151">
        <v>7017.51</v>
      </c>
      <c r="AA252" s="158">
        <v>1</v>
      </c>
      <c r="AB252" s="175">
        <v>118.43</v>
      </c>
      <c r="AD252" s="151">
        <v>8.3109999999999999</v>
      </c>
      <c r="AG252" s="2" t="s">
        <v>36</v>
      </c>
      <c r="AH252" s="164">
        <v>2.3E-5</v>
      </c>
      <c r="AI252" s="164">
        <v>1.26314749626059E-3</v>
      </c>
      <c r="AJ252" s="164">
        <v>2.1712447151000499E-4</v>
      </c>
    </row>
    <row r="253" spans="1:36">
      <c r="A253" s="2">
        <v>337</v>
      </c>
      <c r="B253" s="2">
        <v>9962</v>
      </c>
      <c r="C253" s="2" t="s">
        <v>2119</v>
      </c>
      <c r="D253" s="2" t="s">
        <v>2120</v>
      </c>
      <c r="E253" s="4" t="s">
        <v>1303</v>
      </c>
      <c r="F253" s="2" t="s">
        <v>2121</v>
      </c>
      <c r="G253" s="2" t="s">
        <v>2122</v>
      </c>
      <c r="H253" s="2" t="s">
        <v>318</v>
      </c>
      <c r="I253" s="2" t="s">
        <v>753</v>
      </c>
      <c r="J253" s="2" t="s">
        <v>30</v>
      </c>
      <c r="K253" s="2" t="s">
        <v>30</v>
      </c>
      <c r="L253" s="2" t="s">
        <v>324</v>
      </c>
      <c r="M253" s="2" t="s">
        <v>41</v>
      </c>
      <c r="N253" s="2" t="s">
        <v>460</v>
      </c>
      <c r="O253" s="2" t="s">
        <v>134</v>
      </c>
      <c r="P253" s="2" t="s">
        <v>1848</v>
      </c>
      <c r="Q253" s="2" t="s">
        <v>410</v>
      </c>
      <c r="R253" s="2" t="s">
        <v>403</v>
      </c>
      <c r="S253" s="2" t="s">
        <v>34</v>
      </c>
      <c r="T253" s="151">
        <v>1.3859999999999999</v>
      </c>
      <c r="U253" s="2" t="s">
        <v>2123</v>
      </c>
      <c r="V253" s="162">
        <v>2.0500000000000001E-2</v>
      </c>
      <c r="W253" s="164">
        <v>3.1309999999999998E-2</v>
      </c>
      <c r="X253" s="4" t="s">
        <v>409</v>
      </c>
      <c r="Y253" s="4" t="s">
        <v>134</v>
      </c>
      <c r="Z253" s="151">
        <v>40265.620000000003</v>
      </c>
      <c r="AA253" s="158">
        <v>1</v>
      </c>
      <c r="AB253" s="175">
        <v>115.58</v>
      </c>
      <c r="AD253" s="151">
        <v>46.539000000000001</v>
      </c>
      <c r="AG253" s="2" t="s">
        <v>36</v>
      </c>
      <c r="AH253" s="164">
        <v>5.3000000000000001E-5</v>
      </c>
      <c r="AI253" s="164">
        <v>7.0733700123016101E-3</v>
      </c>
      <c r="AJ253" s="164">
        <v>1.21585304191496E-3</v>
      </c>
    </row>
    <row r="254" spans="1:36">
      <c r="A254" s="2">
        <v>337</v>
      </c>
      <c r="B254" s="2">
        <v>9962</v>
      </c>
      <c r="C254" s="2" t="s">
        <v>2119</v>
      </c>
      <c r="D254" s="2" t="s">
        <v>2120</v>
      </c>
      <c r="E254" s="4" t="s">
        <v>1303</v>
      </c>
      <c r="F254" s="2" t="s">
        <v>2127</v>
      </c>
      <c r="G254" s="2" t="s">
        <v>2128</v>
      </c>
      <c r="H254" s="2" t="s">
        <v>318</v>
      </c>
      <c r="I254" s="2" t="s">
        <v>753</v>
      </c>
      <c r="J254" s="2" t="s">
        <v>30</v>
      </c>
      <c r="K254" s="2" t="s">
        <v>30</v>
      </c>
      <c r="L254" s="2" t="s">
        <v>324</v>
      </c>
      <c r="M254" s="2" t="s">
        <v>41</v>
      </c>
      <c r="N254" s="2" t="s">
        <v>460</v>
      </c>
      <c r="O254" s="2" t="s">
        <v>134</v>
      </c>
      <c r="P254" s="2" t="s">
        <v>1848</v>
      </c>
      <c r="Q254" s="2" t="s">
        <v>410</v>
      </c>
      <c r="R254" s="2" t="s">
        <v>403</v>
      </c>
      <c r="S254" s="2" t="s">
        <v>34</v>
      </c>
      <c r="T254" s="151">
        <v>5.3570000000000002</v>
      </c>
      <c r="U254" s="2" t="s">
        <v>2129</v>
      </c>
      <c r="V254" s="162">
        <v>9.7000000000000003E-3</v>
      </c>
      <c r="W254" s="164">
        <v>3.3239999999999999E-2</v>
      </c>
      <c r="X254" s="4" t="s">
        <v>409</v>
      </c>
      <c r="Y254" s="4" t="s">
        <v>134</v>
      </c>
      <c r="Z254" s="151">
        <v>108001.24</v>
      </c>
      <c r="AA254" s="158">
        <v>1</v>
      </c>
      <c r="AB254" s="175">
        <v>100.61</v>
      </c>
      <c r="AD254" s="151">
        <v>108.66</v>
      </c>
      <c r="AG254" s="2" t="s">
        <v>36</v>
      </c>
      <c r="AH254" s="164">
        <v>1.7899999999999999E-4</v>
      </c>
      <c r="AI254" s="164">
        <v>1.6515023154482101E-2</v>
      </c>
      <c r="AJ254" s="164">
        <v>2.8387941115410602E-3</v>
      </c>
    </row>
    <row r="255" spans="1:36">
      <c r="A255" s="2">
        <v>337</v>
      </c>
      <c r="B255" s="2">
        <v>9962</v>
      </c>
      <c r="C255" s="2" t="s">
        <v>2130</v>
      </c>
      <c r="D255" s="2" t="s">
        <v>2131</v>
      </c>
      <c r="E255" s="4" t="s">
        <v>1303</v>
      </c>
      <c r="F255" s="2" t="s">
        <v>2135</v>
      </c>
      <c r="G255" s="2" t="s">
        <v>2136</v>
      </c>
      <c r="H255" s="2" t="s">
        <v>318</v>
      </c>
      <c r="I255" s="2" t="s">
        <v>753</v>
      </c>
      <c r="J255" s="2" t="s">
        <v>30</v>
      </c>
      <c r="K255" s="2" t="s">
        <v>30</v>
      </c>
      <c r="L255" s="2" t="s">
        <v>324</v>
      </c>
      <c r="M255" s="2" t="s">
        <v>41</v>
      </c>
      <c r="N255" s="2" t="s">
        <v>444</v>
      </c>
      <c r="O255" s="2" t="s">
        <v>134</v>
      </c>
      <c r="P255" s="2" t="s">
        <v>1176</v>
      </c>
      <c r="Q255" s="2" t="s">
        <v>410</v>
      </c>
      <c r="R255" s="2" t="s">
        <v>403</v>
      </c>
      <c r="S255" s="2" t="s">
        <v>34</v>
      </c>
      <c r="T255" s="151">
        <v>3.5550000000000002</v>
      </c>
      <c r="U255" s="2" t="s">
        <v>2137</v>
      </c>
      <c r="V255" s="162">
        <v>1E-3</v>
      </c>
      <c r="W255" s="164">
        <v>2.5600000000000001E-2</v>
      </c>
      <c r="X255" s="4" t="s">
        <v>409</v>
      </c>
      <c r="Y255" s="4" t="s">
        <v>134</v>
      </c>
      <c r="Z255" s="151">
        <v>58000</v>
      </c>
      <c r="AA255" s="158">
        <v>1</v>
      </c>
      <c r="AB255" s="175">
        <v>103.56</v>
      </c>
      <c r="AD255" s="151">
        <v>60.064999999999998</v>
      </c>
      <c r="AG255" s="2" t="s">
        <v>36</v>
      </c>
      <c r="AH255" s="164">
        <v>1.7E-5</v>
      </c>
      <c r="AI255" s="164">
        <v>9.1291287368990993E-3</v>
      </c>
      <c r="AJ255" s="164">
        <v>1.5692207427984201E-3</v>
      </c>
    </row>
    <row r="256" spans="1:36">
      <c r="A256" s="2">
        <v>337</v>
      </c>
      <c r="B256" s="2">
        <v>9962</v>
      </c>
      <c r="C256" s="2" t="s">
        <v>2130</v>
      </c>
      <c r="D256" s="2" t="s">
        <v>2131</v>
      </c>
      <c r="E256" s="4" t="s">
        <v>1303</v>
      </c>
      <c r="F256" s="2" t="s">
        <v>2144</v>
      </c>
      <c r="G256" s="2" t="s">
        <v>2145</v>
      </c>
      <c r="H256" s="2" t="s">
        <v>318</v>
      </c>
      <c r="I256" s="2" t="s">
        <v>753</v>
      </c>
      <c r="J256" s="2" t="s">
        <v>30</v>
      </c>
      <c r="K256" s="2" t="s">
        <v>30</v>
      </c>
      <c r="L256" s="2" t="s">
        <v>324</v>
      </c>
      <c r="M256" s="2" t="s">
        <v>41</v>
      </c>
      <c r="N256" s="2" t="s">
        <v>444</v>
      </c>
      <c r="O256" s="2" t="s">
        <v>134</v>
      </c>
      <c r="P256" s="2" t="s">
        <v>1176</v>
      </c>
      <c r="Q256" s="2" t="s">
        <v>410</v>
      </c>
      <c r="R256" s="2" t="s">
        <v>403</v>
      </c>
      <c r="S256" s="2" t="s">
        <v>34</v>
      </c>
      <c r="T256" s="151">
        <v>5.22</v>
      </c>
      <c r="U256" s="2" t="s">
        <v>2146</v>
      </c>
      <c r="V256" s="162">
        <v>2E-3</v>
      </c>
      <c r="W256" s="164">
        <v>2.606E-2</v>
      </c>
      <c r="X256" s="4" t="s">
        <v>409</v>
      </c>
      <c r="Y256" s="4" t="s">
        <v>134</v>
      </c>
      <c r="Z256" s="151">
        <v>70000</v>
      </c>
      <c r="AA256" s="158">
        <v>1</v>
      </c>
      <c r="AB256" s="175">
        <v>102.35</v>
      </c>
      <c r="AD256" s="151">
        <v>71.644999999999996</v>
      </c>
      <c r="AG256" s="2" t="s">
        <v>36</v>
      </c>
      <c r="AH256" s="164">
        <v>2.0000000000000002E-5</v>
      </c>
      <c r="AI256" s="164">
        <v>1.08891801580149E-2</v>
      </c>
      <c r="AJ256" s="164">
        <v>1.8717588357539301E-3</v>
      </c>
    </row>
    <row r="257" spans="1:36">
      <c r="A257" s="2">
        <v>337</v>
      </c>
      <c r="B257" s="2">
        <v>9962</v>
      </c>
      <c r="C257" s="2" t="s">
        <v>2149</v>
      </c>
      <c r="D257" s="2" t="s">
        <v>2150</v>
      </c>
      <c r="E257" s="4" t="s">
        <v>1303</v>
      </c>
      <c r="F257" s="2" t="s">
        <v>2151</v>
      </c>
      <c r="G257" s="2" t="s">
        <v>2152</v>
      </c>
      <c r="H257" s="2" t="s">
        <v>318</v>
      </c>
      <c r="I257" s="2" t="s">
        <v>753</v>
      </c>
      <c r="J257" s="2" t="s">
        <v>30</v>
      </c>
      <c r="K257" s="2" t="s">
        <v>30</v>
      </c>
      <c r="L257" s="2" t="s">
        <v>324</v>
      </c>
      <c r="M257" s="2" t="s">
        <v>41</v>
      </c>
      <c r="N257" s="2" t="s">
        <v>439</v>
      </c>
      <c r="O257" s="2" t="s">
        <v>134</v>
      </c>
      <c r="P257" s="2" t="s">
        <v>2057</v>
      </c>
      <c r="Q257" s="2" t="s">
        <v>412</v>
      </c>
      <c r="R257" s="2" t="s">
        <v>403</v>
      </c>
      <c r="S257" s="2" t="s">
        <v>34</v>
      </c>
      <c r="T257" s="151">
        <v>3.0270000000000001</v>
      </c>
      <c r="U257" s="2" t="s">
        <v>2153</v>
      </c>
      <c r="V257" s="162">
        <v>0.01</v>
      </c>
      <c r="W257" s="164">
        <v>3.3369999999999997E-2</v>
      </c>
      <c r="X257" s="4" t="s">
        <v>409</v>
      </c>
      <c r="Y257" s="4" t="s">
        <v>134</v>
      </c>
      <c r="Z257" s="151">
        <v>83992.76</v>
      </c>
      <c r="AA257" s="158">
        <v>1</v>
      </c>
      <c r="AB257" s="175">
        <v>105.29</v>
      </c>
      <c r="AD257" s="151">
        <v>88.436000000000007</v>
      </c>
      <c r="AG257" s="2" t="s">
        <v>36</v>
      </c>
      <c r="AH257" s="164">
        <v>4.6999999999999997E-5</v>
      </c>
      <c r="AI257" s="164">
        <v>1.34412071469973E-2</v>
      </c>
      <c r="AJ257" s="164">
        <v>2.3104308933738398E-3</v>
      </c>
    </row>
    <row r="258" spans="1:36">
      <c r="A258" s="2">
        <v>337</v>
      </c>
      <c r="B258" s="2">
        <v>9962</v>
      </c>
      <c r="C258" s="2" t="s">
        <v>2149</v>
      </c>
      <c r="D258" s="2" t="s">
        <v>2150</v>
      </c>
      <c r="E258" s="4" t="s">
        <v>1303</v>
      </c>
      <c r="F258" s="2" t="s">
        <v>2154</v>
      </c>
      <c r="G258" s="2" t="s">
        <v>2155</v>
      </c>
      <c r="H258" s="2" t="s">
        <v>318</v>
      </c>
      <c r="I258" s="2" t="s">
        <v>753</v>
      </c>
      <c r="J258" s="2" t="s">
        <v>30</v>
      </c>
      <c r="K258" s="2" t="s">
        <v>30</v>
      </c>
      <c r="L258" s="2" t="s">
        <v>324</v>
      </c>
      <c r="M258" s="2" t="s">
        <v>41</v>
      </c>
      <c r="N258" s="2" t="s">
        <v>439</v>
      </c>
      <c r="O258" s="2" t="s">
        <v>134</v>
      </c>
      <c r="P258" s="2" t="s">
        <v>2057</v>
      </c>
      <c r="Q258" s="2" t="s">
        <v>412</v>
      </c>
      <c r="R258" s="2" t="s">
        <v>403</v>
      </c>
      <c r="S258" s="2" t="s">
        <v>34</v>
      </c>
      <c r="T258" s="151">
        <v>1.3089999999999999</v>
      </c>
      <c r="U258" s="2" t="s">
        <v>53</v>
      </c>
      <c r="V258" s="162">
        <v>3.5400000000000001E-2</v>
      </c>
      <c r="W258" s="164">
        <v>3.0630000000000001E-2</v>
      </c>
      <c r="X258" s="4" t="s">
        <v>409</v>
      </c>
      <c r="Y258" s="4" t="s">
        <v>134</v>
      </c>
      <c r="Z258" s="151">
        <v>34200</v>
      </c>
      <c r="AA258" s="158">
        <v>1</v>
      </c>
      <c r="AB258" s="175">
        <v>107.99</v>
      </c>
      <c r="AD258" s="151">
        <v>36.933</v>
      </c>
      <c r="AG258" s="2" t="s">
        <v>36</v>
      </c>
      <c r="AH258" s="164">
        <v>3.4E-5</v>
      </c>
      <c r="AI258" s="164">
        <v>5.6133089164672996E-3</v>
      </c>
      <c r="AJ258" s="164">
        <v>9.6488077245012198E-4</v>
      </c>
    </row>
    <row r="259" spans="1:36">
      <c r="A259" s="2">
        <v>337</v>
      </c>
      <c r="B259" s="2">
        <v>9962</v>
      </c>
      <c r="C259" s="2" t="s">
        <v>2149</v>
      </c>
      <c r="D259" s="2" t="s">
        <v>2150</v>
      </c>
      <c r="E259" s="4" t="s">
        <v>1303</v>
      </c>
      <c r="F259" s="2" t="s">
        <v>2156</v>
      </c>
      <c r="G259" s="2" t="s">
        <v>2157</v>
      </c>
      <c r="H259" s="2" t="s">
        <v>318</v>
      </c>
      <c r="I259" s="2" t="s">
        <v>753</v>
      </c>
      <c r="J259" s="2" t="s">
        <v>30</v>
      </c>
      <c r="K259" s="2" t="s">
        <v>30</v>
      </c>
      <c r="L259" s="2" t="s">
        <v>324</v>
      </c>
      <c r="M259" s="2" t="s">
        <v>41</v>
      </c>
      <c r="N259" s="2" t="s">
        <v>439</v>
      </c>
      <c r="O259" s="2" t="s">
        <v>134</v>
      </c>
      <c r="P259" s="2" t="s">
        <v>2057</v>
      </c>
      <c r="Q259" s="2" t="s">
        <v>412</v>
      </c>
      <c r="R259" s="2" t="s">
        <v>403</v>
      </c>
      <c r="S259" s="2" t="s">
        <v>34</v>
      </c>
      <c r="T259" s="151">
        <v>0.432</v>
      </c>
      <c r="U259" s="2" t="s">
        <v>2158</v>
      </c>
      <c r="V259" s="162">
        <v>0.01</v>
      </c>
      <c r="W259" s="164">
        <v>2.8709999999999999E-2</v>
      </c>
      <c r="X259" s="4" t="s">
        <v>409</v>
      </c>
      <c r="Y259" s="4" t="s">
        <v>134</v>
      </c>
      <c r="Z259" s="151">
        <v>14302.4</v>
      </c>
      <c r="AA259" s="158">
        <v>1</v>
      </c>
      <c r="AB259" s="175">
        <v>113.7</v>
      </c>
      <c r="AD259" s="151">
        <v>16.262</v>
      </c>
      <c r="AG259" s="2" t="s">
        <v>36</v>
      </c>
      <c r="AH259" s="164">
        <v>8.5000000000000006E-5</v>
      </c>
      <c r="AI259" s="164">
        <v>2.4716028125060501E-3</v>
      </c>
      <c r="AJ259" s="164">
        <v>4.2484781550586602E-4</v>
      </c>
    </row>
    <row r="260" spans="1:36">
      <c r="A260" s="2">
        <v>337</v>
      </c>
      <c r="B260" s="2">
        <v>9962</v>
      </c>
      <c r="C260" s="2" t="s">
        <v>1604</v>
      </c>
      <c r="D260" s="2" t="s">
        <v>1605</v>
      </c>
      <c r="E260" s="4" t="s">
        <v>1303</v>
      </c>
      <c r="F260" s="2" t="s">
        <v>2159</v>
      </c>
      <c r="G260" s="2" t="s">
        <v>2160</v>
      </c>
      <c r="H260" s="2" t="s">
        <v>318</v>
      </c>
      <c r="I260" s="2" t="s">
        <v>753</v>
      </c>
      <c r="J260" s="2" t="s">
        <v>30</v>
      </c>
      <c r="K260" s="2" t="s">
        <v>30</v>
      </c>
      <c r="L260" s="2" t="s">
        <v>324</v>
      </c>
      <c r="M260" s="2" t="s">
        <v>41</v>
      </c>
      <c r="N260" s="2" t="s">
        <v>460</v>
      </c>
      <c r="O260" s="2" t="s">
        <v>134</v>
      </c>
      <c r="P260" s="2" t="s">
        <v>1834</v>
      </c>
      <c r="Q260" s="2" t="s">
        <v>410</v>
      </c>
      <c r="R260" s="2" t="s">
        <v>403</v>
      </c>
      <c r="S260" s="2" t="s">
        <v>34</v>
      </c>
      <c r="T260" s="151">
        <v>3.9249999999999998</v>
      </c>
      <c r="U260" s="2" t="s">
        <v>1863</v>
      </c>
      <c r="V260" s="162">
        <v>1.43E-2</v>
      </c>
      <c r="W260" s="164">
        <v>2.8070000000000001E-2</v>
      </c>
      <c r="X260" s="4" t="s">
        <v>409</v>
      </c>
      <c r="Y260" s="4" t="s">
        <v>134</v>
      </c>
      <c r="Z260" s="151">
        <v>53817.2</v>
      </c>
      <c r="AA260" s="158">
        <v>1</v>
      </c>
      <c r="AB260" s="175">
        <v>110</v>
      </c>
      <c r="AD260" s="151">
        <v>59.198999999999998</v>
      </c>
      <c r="AG260" s="2" t="s">
        <v>36</v>
      </c>
      <c r="AH260" s="164">
        <v>3.4E-5</v>
      </c>
      <c r="AI260" s="164">
        <v>8.9975253686916598E-3</v>
      </c>
      <c r="AJ260" s="164">
        <v>1.5465992264231999E-3</v>
      </c>
    </row>
    <row r="261" spans="1:36">
      <c r="A261" s="2">
        <v>337</v>
      </c>
      <c r="B261" s="2">
        <v>9962</v>
      </c>
      <c r="C261" s="2" t="s">
        <v>1604</v>
      </c>
      <c r="D261" s="2" t="s">
        <v>1605</v>
      </c>
      <c r="E261" s="4" t="s">
        <v>1303</v>
      </c>
      <c r="F261" s="2" t="s">
        <v>2161</v>
      </c>
      <c r="G261" s="2" t="s">
        <v>2162</v>
      </c>
      <c r="H261" s="2" t="s">
        <v>318</v>
      </c>
      <c r="I261" s="2" t="s">
        <v>753</v>
      </c>
      <c r="J261" s="2" t="s">
        <v>30</v>
      </c>
      <c r="K261" s="2" t="s">
        <v>30</v>
      </c>
      <c r="L261" s="2" t="s">
        <v>324</v>
      </c>
      <c r="M261" s="2" t="s">
        <v>41</v>
      </c>
      <c r="N261" s="2" t="s">
        <v>460</v>
      </c>
      <c r="O261" s="2" t="s">
        <v>134</v>
      </c>
      <c r="P261" s="2" t="s">
        <v>1834</v>
      </c>
      <c r="Q261" s="2" t="s">
        <v>410</v>
      </c>
      <c r="R261" s="2" t="s">
        <v>403</v>
      </c>
      <c r="S261" s="2" t="s">
        <v>34</v>
      </c>
      <c r="T261" s="151">
        <v>5.726</v>
      </c>
      <c r="U261" s="2" t="s">
        <v>2163</v>
      </c>
      <c r="V261" s="162">
        <v>3.61E-2</v>
      </c>
      <c r="W261" s="164">
        <v>3.0759999999999999E-2</v>
      </c>
      <c r="X261" s="4" t="s">
        <v>409</v>
      </c>
      <c r="Y261" s="4" t="s">
        <v>134</v>
      </c>
      <c r="Z261" s="151">
        <v>66829.08</v>
      </c>
      <c r="AA261" s="158">
        <v>1</v>
      </c>
      <c r="AB261" s="175">
        <v>110.37</v>
      </c>
      <c r="AD261" s="151">
        <v>73.759</v>
      </c>
      <c r="AG261" s="2" t="s">
        <v>36</v>
      </c>
      <c r="AH261" s="164">
        <v>4.3000000000000002E-5</v>
      </c>
      <c r="AI261" s="164">
        <v>1.12105216345302E-2</v>
      </c>
      <c r="AJ261" s="164">
        <v>1.92699474325418E-3</v>
      </c>
    </row>
    <row r="262" spans="1:36">
      <c r="A262" s="2">
        <v>337</v>
      </c>
      <c r="B262" s="2">
        <v>9962</v>
      </c>
      <c r="C262" s="2" t="s">
        <v>1604</v>
      </c>
      <c r="D262" s="2" t="s">
        <v>1605</v>
      </c>
      <c r="E262" s="4" t="s">
        <v>1303</v>
      </c>
      <c r="F262" s="2" t="s">
        <v>2429</v>
      </c>
      <c r="G262" s="2" t="s">
        <v>2430</v>
      </c>
      <c r="H262" s="2" t="s">
        <v>318</v>
      </c>
      <c r="I262" s="2" t="s">
        <v>753</v>
      </c>
      <c r="J262" s="2" t="s">
        <v>30</v>
      </c>
      <c r="K262" s="2" t="s">
        <v>30</v>
      </c>
      <c r="L262" s="2" t="s">
        <v>324</v>
      </c>
      <c r="M262" s="2" t="s">
        <v>41</v>
      </c>
      <c r="N262" s="2" t="s">
        <v>460</v>
      </c>
      <c r="O262" s="2" t="s">
        <v>134</v>
      </c>
      <c r="P262" s="2" t="s">
        <v>1834</v>
      </c>
      <c r="Q262" s="2" t="s">
        <v>410</v>
      </c>
      <c r="R262" s="2" t="s">
        <v>403</v>
      </c>
      <c r="S262" s="2" t="s">
        <v>34</v>
      </c>
      <c r="T262" s="151">
        <v>0.27400000000000002</v>
      </c>
      <c r="U262" s="2" t="s">
        <v>2431</v>
      </c>
      <c r="V262" s="162">
        <v>2.3E-2</v>
      </c>
      <c r="W262" s="164">
        <v>2.1250000000000002E-2</v>
      </c>
      <c r="X262" s="4" t="s">
        <v>409</v>
      </c>
      <c r="Y262" s="4" t="s">
        <v>134</v>
      </c>
      <c r="Z262" s="151">
        <v>34005.089999999997</v>
      </c>
      <c r="AA262" s="158">
        <v>1</v>
      </c>
      <c r="AB262" s="175">
        <v>118.09</v>
      </c>
      <c r="AD262" s="151">
        <v>40.156999999999996</v>
      </c>
      <c r="AG262" s="2" t="s">
        <v>36</v>
      </c>
      <c r="AH262" s="164">
        <v>4.3000000000000002E-5</v>
      </c>
      <c r="AI262" s="164">
        <v>6.1033229022205903E-3</v>
      </c>
      <c r="AJ262" s="164">
        <v>1.04911007109035E-3</v>
      </c>
    </row>
    <row r="263" spans="1:36">
      <c r="A263" s="2">
        <v>337</v>
      </c>
      <c r="B263" s="2">
        <v>9962</v>
      </c>
      <c r="C263" s="2" t="s">
        <v>1604</v>
      </c>
      <c r="D263" s="2" t="s">
        <v>1605</v>
      </c>
      <c r="E263" s="4" t="s">
        <v>1303</v>
      </c>
      <c r="F263" s="2" t="s">
        <v>2167</v>
      </c>
      <c r="G263" s="2" t="s">
        <v>2168</v>
      </c>
      <c r="H263" s="2" t="s">
        <v>318</v>
      </c>
      <c r="I263" s="2" t="s">
        <v>753</v>
      </c>
      <c r="J263" s="2" t="s">
        <v>30</v>
      </c>
      <c r="K263" s="2" t="s">
        <v>30</v>
      </c>
      <c r="L263" s="2" t="s">
        <v>324</v>
      </c>
      <c r="M263" s="2" t="s">
        <v>41</v>
      </c>
      <c r="N263" s="2" t="s">
        <v>460</v>
      </c>
      <c r="O263" s="2" t="s">
        <v>134</v>
      </c>
      <c r="P263" s="2" t="s">
        <v>1834</v>
      </c>
      <c r="Q263" s="2" t="s">
        <v>410</v>
      </c>
      <c r="R263" s="2" t="s">
        <v>403</v>
      </c>
      <c r="S263" s="2" t="s">
        <v>34</v>
      </c>
      <c r="T263" s="151">
        <v>4.8760000000000003</v>
      </c>
      <c r="U263" s="2" t="s">
        <v>2146</v>
      </c>
      <c r="V263" s="162">
        <v>2.5000000000000001E-3</v>
      </c>
      <c r="W263" s="164">
        <v>2.7699999999999999E-2</v>
      </c>
      <c r="X263" s="4" t="s">
        <v>409</v>
      </c>
      <c r="Y263" s="4" t="s">
        <v>134</v>
      </c>
      <c r="Z263" s="151">
        <v>27840</v>
      </c>
      <c r="AA263" s="158">
        <v>1</v>
      </c>
      <c r="AB263" s="175">
        <v>100.5</v>
      </c>
      <c r="AD263" s="151">
        <v>27.978999999999999</v>
      </c>
      <c r="AG263" s="2" t="s">
        <v>36</v>
      </c>
      <c r="AH263" s="164">
        <v>2.0999999999999999E-5</v>
      </c>
      <c r="AI263" s="164">
        <v>4.2525026097722301E-3</v>
      </c>
      <c r="AJ263" s="164">
        <v>7.3096956964654103E-4</v>
      </c>
    </row>
    <row r="264" spans="1:36">
      <c r="A264" s="2">
        <v>337</v>
      </c>
      <c r="B264" s="2">
        <v>9962</v>
      </c>
      <c r="C264" s="2" t="s">
        <v>2169</v>
      </c>
      <c r="D264" s="2" t="s">
        <v>2170</v>
      </c>
      <c r="E264" s="4" t="s">
        <v>1303</v>
      </c>
      <c r="F264" s="2" t="s">
        <v>2171</v>
      </c>
      <c r="G264" t="s">
        <v>2172</v>
      </c>
      <c r="H264" s="2" t="s">
        <v>318</v>
      </c>
      <c r="I264" s="2" t="s">
        <v>965</v>
      </c>
      <c r="J264" s="2" t="s">
        <v>30</v>
      </c>
      <c r="K264" s="2" t="s">
        <v>30</v>
      </c>
      <c r="L264" s="2" t="s">
        <v>324</v>
      </c>
      <c r="M264" s="209" t="s">
        <v>41</v>
      </c>
      <c r="N264" s="2" t="s">
        <v>441</v>
      </c>
      <c r="O264" s="2" t="s">
        <v>134</v>
      </c>
      <c r="P264" s="2" t="s">
        <v>2173</v>
      </c>
      <c r="Q264" s="2" t="s">
        <v>412</v>
      </c>
      <c r="R264" s="2" t="s">
        <v>403</v>
      </c>
      <c r="S264" s="2" t="s">
        <v>34</v>
      </c>
      <c r="T264" s="151">
        <v>6.3310000000000004</v>
      </c>
      <c r="U264" s="2" t="s">
        <v>2174</v>
      </c>
      <c r="V264" s="162">
        <v>5.0200000000000002E-2</v>
      </c>
      <c r="W264" s="164">
        <v>5.2510000000000001E-2</v>
      </c>
      <c r="X264" s="4" t="s">
        <v>409</v>
      </c>
      <c r="Y264" s="4" t="s">
        <v>134</v>
      </c>
      <c r="Z264" s="151">
        <v>56000</v>
      </c>
      <c r="AA264" s="158">
        <v>1</v>
      </c>
      <c r="AB264" s="175">
        <v>99.08</v>
      </c>
      <c r="AD264" s="151">
        <v>55.484999999999999</v>
      </c>
      <c r="AG264" s="2" t="s">
        <v>36</v>
      </c>
      <c r="AH264" s="164">
        <v>1.3999999999999999E-4</v>
      </c>
      <c r="AI264" s="164">
        <v>8.4330237034186198E-3</v>
      </c>
      <c r="AJ264" s="164">
        <v>1.4495661197576901E-3</v>
      </c>
    </row>
    <row r="265" spans="1:36">
      <c r="A265" s="2">
        <v>337</v>
      </c>
      <c r="B265" s="2">
        <v>9962</v>
      </c>
      <c r="C265" s="2" t="s">
        <v>1612</v>
      </c>
      <c r="D265" s="2" t="s">
        <v>1613</v>
      </c>
      <c r="E265" s="4" t="s">
        <v>1303</v>
      </c>
      <c r="F265" s="2" t="s">
        <v>2175</v>
      </c>
      <c r="G265" s="2" t="s">
        <v>2176</v>
      </c>
      <c r="H265" s="2" t="s">
        <v>318</v>
      </c>
      <c r="I265" s="2" t="s">
        <v>965</v>
      </c>
      <c r="J265" s="2" t="s">
        <v>30</v>
      </c>
      <c r="K265" s="2" t="s">
        <v>30</v>
      </c>
      <c r="L265" s="2" t="s">
        <v>324</v>
      </c>
      <c r="M265" s="2" t="s">
        <v>41</v>
      </c>
      <c r="N265" s="2" t="s">
        <v>439</v>
      </c>
      <c r="O265" s="2" t="s">
        <v>134</v>
      </c>
      <c r="P265" s="2" t="s">
        <v>1909</v>
      </c>
      <c r="Q265" s="2" t="s">
        <v>412</v>
      </c>
      <c r="R265" s="2" t="s">
        <v>403</v>
      </c>
      <c r="S265" s="2" t="s">
        <v>34</v>
      </c>
      <c r="T265" s="151">
        <v>0.98399999999999999</v>
      </c>
      <c r="U265" s="2" t="s">
        <v>2177</v>
      </c>
      <c r="V265" s="162">
        <v>0.114</v>
      </c>
      <c r="W265" s="164">
        <v>5.747E-2</v>
      </c>
      <c r="X265" s="4" t="s">
        <v>409</v>
      </c>
      <c r="Y265" s="4" t="s">
        <v>134</v>
      </c>
      <c r="Z265" s="151">
        <v>24790</v>
      </c>
      <c r="AA265" s="158">
        <v>1</v>
      </c>
      <c r="AB265" s="175">
        <v>101.2</v>
      </c>
      <c r="AD265" s="151">
        <v>25.087</v>
      </c>
      <c r="AG265" s="2" t="s">
        <v>36</v>
      </c>
      <c r="AH265" s="164">
        <v>1.03E-4</v>
      </c>
      <c r="AI265" s="164">
        <v>3.8129958745285299E-3</v>
      </c>
      <c r="AJ265" s="164">
        <v>6.5542204420127102E-4</v>
      </c>
    </row>
    <row r="266" spans="1:36">
      <c r="A266" s="2">
        <v>337</v>
      </c>
      <c r="B266" s="2">
        <v>9962</v>
      </c>
      <c r="C266" s="2" t="s">
        <v>1612</v>
      </c>
      <c r="D266" s="2" t="s">
        <v>1613</v>
      </c>
      <c r="E266" s="4" t="s">
        <v>1303</v>
      </c>
      <c r="F266" s="2" t="s">
        <v>2178</v>
      </c>
      <c r="G266" s="2" t="s">
        <v>2179</v>
      </c>
      <c r="H266" s="2" t="s">
        <v>318</v>
      </c>
      <c r="I266" s="2" t="s">
        <v>965</v>
      </c>
      <c r="J266" s="2" t="s">
        <v>30</v>
      </c>
      <c r="K266" s="2" t="s">
        <v>30</v>
      </c>
      <c r="L266" s="2" t="s">
        <v>324</v>
      </c>
      <c r="M266" s="2" t="s">
        <v>31</v>
      </c>
      <c r="N266" s="2" t="s">
        <v>439</v>
      </c>
      <c r="O266" s="2" t="s">
        <v>134</v>
      </c>
      <c r="P266" s="2" t="s">
        <v>1909</v>
      </c>
      <c r="Q266" s="2" t="s">
        <v>412</v>
      </c>
      <c r="R266" s="2" t="s">
        <v>403</v>
      </c>
      <c r="S266" s="2" t="s">
        <v>34</v>
      </c>
      <c r="T266" s="151">
        <v>3.2839999999999998</v>
      </c>
      <c r="U266" s="2" t="s">
        <v>2180</v>
      </c>
      <c r="V266" s="162">
        <v>6.4000000000000001E-2</v>
      </c>
      <c r="W266" s="164">
        <v>6.4170000000000005E-2</v>
      </c>
      <c r="X266" s="4" t="s">
        <v>409</v>
      </c>
      <c r="Y266" s="4" t="s">
        <v>134</v>
      </c>
      <c r="Z266" s="151">
        <v>34000</v>
      </c>
      <c r="AA266" s="158">
        <v>1</v>
      </c>
      <c r="AB266" s="175">
        <v>101.3</v>
      </c>
      <c r="AD266" s="151">
        <v>34.442</v>
      </c>
      <c r="AG266" s="2" t="s">
        <v>36</v>
      </c>
      <c r="AH266" s="164">
        <v>1.7000000000000001E-4</v>
      </c>
      <c r="AI266" s="164">
        <v>5.2347706469725802E-3</v>
      </c>
      <c r="AJ266" s="164">
        <v>8.99813215451698E-4</v>
      </c>
    </row>
    <row r="267" spans="1:36">
      <c r="A267" s="2">
        <v>337</v>
      </c>
      <c r="B267" s="2">
        <v>9962</v>
      </c>
      <c r="C267" s="2" t="s">
        <v>2181</v>
      </c>
      <c r="D267" s="2" t="s">
        <v>2182</v>
      </c>
      <c r="E267" s="4" t="s">
        <v>1303</v>
      </c>
      <c r="F267" s="2" t="s">
        <v>2183</v>
      </c>
      <c r="G267" s="2" t="s">
        <v>2184</v>
      </c>
      <c r="H267" s="2" t="s">
        <v>318</v>
      </c>
      <c r="I267" s="2" t="s">
        <v>753</v>
      </c>
      <c r="J267" s="2" t="s">
        <v>30</v>
      </c>
      <c r="K267" s="2" t="s">
        <v>30</v>
      </c>
      <c r="L267" s="2" t="s">
        <v>324</v>
      </c>
      <c r="M267" s="2" t="s">
        <v>41</v>
      </c>
      <c r="N267" s="2" t="s">
        <v>443</v>
      </c>
      <c r="O267" s="2" t="s">
        <v>134</v>
      </c>
      <c r="P267" s="2" t="s">
        <v>2185</v>
      </c>
      <c r="Q267" s="2" t="s">
        <v>412</v>
      </c>
      <c r="R267" s="2" t="s">
        <v>403</v>
      </c>
      <c r="S267" s="2" t="s">
        <v>34</v>
      </c>
      <c r="T267" s="151">
        <v>3.2440000000000002</v>
      </c>
      <c r="U267" s="2" t="s">
        <v>2186</v>
      </c>
      <c r="V267" s="162">
        <v>2.07E-2</v>
      </c>
      <c r="W267" s="164">
        <v>4.1939999999999998E-2</v>
      </c>
      <c r="X267" s="4" t="s">
        <v>409</v>
      </c>
      <c r="Y267" s="4" t="s">
        <v>134</v>
      </c>
      <c r="Z267" s="151">
        <v>78223.199999999997</v>
      </c>
      <c r="AA267" s="158">
        <v>1</v>
      </c>
      <c r="AB267" s="175">
        <v>105.96</v>
      </c>
      <c r="AD267" s="151">
        <v>82.885000000000005</v>
      </c>
      <c r="AG267" s="2" t="s">
        <v>36</v>
      </c>
      <c r="AH267" s="164">
        <v>1.64E-4</v>
      </c>
      <c r="AI267" s="164">
        <v>1.2597571271822001E-2</v>
      </c>
      <c r="AJ267" s="164">
        <v>2.16541695471142E-3</v>
      </c>
    </row>
    <row r="268" spans="1:36">
      <c r="A268" s="2">
        <v>337</v>
      </c>
      <c r="B268" s="2">
        <v>9962</v>
      </c>
      <c r="C268" s="2" t="s">
        <v>2432</v>
      </c>
      <c r="D268" s="2" t="s">
        <v>2433</v>
      </c>
      <c r="E268" s="4" t="s">
        <v>1303</v>
      </c>
      <c r="F268" s="2" t="s">
        <v>2434</v>
      </c>
      <c r="G268" s="2" t="s">
        <v>2435</v>
      </c>
      <c r="H268" s="2" t="s">
        <v>318</v>
      </c>
      <c r="I268" s="2" t="s">
        <v>753</v>
      </c>
      <c r="J268" s="2" t="s">
        <v>30</v>
      </c>
      <c r="K268" s="2" t="s">
        <v>30</v>
      </c>
      <c r="L268" s="2" t="s">
        <v>324</v>
      </c>
      <c r="M268" s="2" t="s">
        <v>41</v>
      </c>
      <c r="N268" s="2" t="s">
        <v>474</v>
      </c>
      <c r="O268" s="2" t="s">
        <v>134</v>
      </c>
      <c r="P268" s="2" t="s">
        <v>1176</v>
      </c>
      <c r="Q268" s="2" t="s">
        <v>410</v>
      </c>
      <c r="R268" s="2" t="s">
        <v>403</v>
      </c>
      <c r="S268" s="2" t="s">
        <v>34</v>
      </c>
      <c r="T268" s="151">
        <v>11.712999999999999</v>
      </c>
      <c r="U268" s="2" t="s">
        <v>2436</v>
      </c>
      <c r="V268" s="162">
        <v>2.07E-2</v>
      </c>
      <c r="W268" s="164">
        <v>2.9860000000000001E-2</v>
      </c>
      <c r="X268" s="4" t="s">
        <v>409</v>
      </c>
      <c r="Y268" s="4" t="s">
        <v>134</v>
      </c>
      <c r="Z268" s="151">
        <v>57813.1</v>
      </c>
      <c r="AA268" s="158">
        <v>1</v>
      </c>
      <c r="AB268" s="175">
        <v>102.91</v>
      </c>
      <c r="AD268" s="151">
        <v>59.494999999999997</v>
      </c>
      <c r="AG268" s="2" t="s">
        <v>36</v>
      </c>
      <c r="AH268" s="164">
        <v>1.1E-5</v>
      </c>
      <c r="AI268" s="164">
        <v>9.0425960736950205E-3</v>
      </c>
      <c r="AJ268" s="164">
        <v>1.55434650299494E-3</v>
      </c>
    </row>
    <row r="269" spans="1:36">
      <c r="A269" s="2">
        <v>337</v>
      </c>
      <c r="B269" s="2">
        <v>9962</v>
      </c>
      <c r="C269" s="2" t="s">
        <v>1616</v>
      </c>
      <c r="D269" s="2" t="s">
        <v>1617</v>
      </c>
      <c r="E269" s="4" t="s">
        <v>309</v>
      </c>
      <c r="F269" s="2" t="s">
        <v>2187</v>
      </c>
      <c r="G269" s="2" t="s">
        <v>2188</v>
      </c>
      <c r="H269" s="2" t="s">
        <v>318</v>
      </c>
      <c r="I269" s="2" t="s">
        <v>965</v>
      </c>
      <c r="J269" s="2" t="s">
        <v>30</v>
      </c>
      <c r="K269" s="2" t="s">
        <v>30</v>
      </c>
      <c r="L269" s="2" t="s">
        <v>324</v>
      </c>
      <c r="M269" s="2" t="s">
        <v>41</v>
      </c>
      <c r="N269" s="2" t="s">
        <v>450</v>
      </c>
      <c r="O269" s="2" t="s">
        <v>134</v>
      </c>
      <c r="P269" s="2" t="s">
        <v>1830</v>
      </c>
      <c r="Q269" s="2" t="s">
        <v>410</v>
      </c>
      <c r="R269" s="2" t="s">
        <v>403</v>
      </c>
      <c r="S269" s="2" t="s">
        <v>34</v>
      </c>
      <c r="T269" s="151">
        <v>1.958</v>
      </c>
      <c r="U269" s="2" t="s">
        <v>2189</v>
      </c>
      <c r="V269" s="162">
        <v>5.2499999999999998E-2</v>
      </c>
      <c r="W269" s="164">
        <v>5.4800000000000001E-2</v>
      </c>
      <c r="X269" s="4" t="s">
        <v>409</v>
      </c>
      <c r="Y269" s="4" t="s">
        <v>134</v>
      </c>
      <c r="Z269" s="151">
        <v>75000</v>
      </c>
      <c r="AA269" s="158">
        <v>1</v>
      </c>
      <c r="AB269" s="175">
        <v>100.79</v>
      </c>
      <c r="AD269" s="151">
        <v>75.593000000000004</v>
      </c>
      <c r="AG269" s="2" t="s">
        <v>36</v>
      </c>
      <c r="AH269" s="164">
        <v>2.2699999999999999E-4</v>
      </c>
      <c r="AI269" s="164">
        <v>1.14891527823958E-2</v>
      </c>
      <c r="AJ269" s="164">
        <v>1.9748891031018101E-3</v>
      </c>
    </row>
    <row r="270" spans="1:36">
      <c r="A270" s="2">
        <v>337</v>
      </c>
      <c r="B270" s="2">
        <v>9962</v>
      </c>
      <c r="C270" s="2" t="s">
        <v>1616</v>
      </c>
      <c r="D270" s="2" t="s">
        <v>1617</v>
      </c>
      <c r="E270" s="4" t="s">
        <v>309</v>
      </c>
      <c r="F270" s="2" t="s">
        <v>2190</v>
      </c>
      <c r="G270" s="2" t="s">
        <v>2191</v>
      </c>
      <c r="H270" s="2" t="s">
        <v>318</v>
      </c>
      <c r="I270" s="2" t="s">
        <v>965</v>
      </c>
      <c r="J270" s="2" t="s">
        <v>30</v>
      </c>
      <c r="K270" s="2" t="s">
        <v>80</v>
      </c>
      <c r="L270" s="2" t="s">
        <v>324</v>
      </c>
      <c r="M270" s="2" t="s">
        <v>41</v>
      </c>
      <c r="N270" s="2" t="s">
        <v>450</v>
      </c>
      <c r="O270" s="2" t="s">
        <v>134</v>
      </c>
      <c r="P270" s="2" t="s">
        <v>1830</v>
      </c>
      <c r="Q270" s="2" t="s">
        <v>410</v>
      </c>
      <c r="R270" s="2" t="s">
        <v>403</v>
      </c>
      <c r="S270" s="2" t="s">
        <v>34</v>
      </c>
      <c r="T270" s="151">
        <v>2.7229999999999999</v>
      </c>
      <c r="U270" s="2" t="s">
        <v>2192</v>
      </c>
      <c r="V270" s="162">
        <v>6.5000000000000002E-2</v>
      </c>
      <c r="W270" s="164">
        <v>5.7889999999999997E-2</v>
      </c>
      <c r="X270" s="4" t="s">
        <v>409</v>
      </c>
      <c r="Y270" s="4" t="s">
        <v>134</v>
      </c>
      <c r="Z270" s="151">
        <v>56000</v>
      </c>
      <c r="AA270" s="158">
        <v>1</v>
      </c>
      <c r="AB270" s="175">
        <v>103.75</v>
      </c>
      <c r="AD270" s="151">
        <v>58.1</v>
      </c>
      <c r="AG270" s="2" t="s">
        <v>36</v>
      </c>
      <c r="AH270" s="164">
        <v>1.12E-4</v>
      </c>
      <c r="AI270" s="164">
        <v>8.8305027172959401E-3</v>
      </c>
      <c r="AJ270" s="164">
        <v>1.5178894320232201E-3</v>
      </c>
    </row>
    <row r="271" spans="1:36">
      <c r="A271" s="2">
        <v>337</v>
      </c>
      <c r="B271" s="2">
        <v>9962</v>
      </c>
      <c r="C271" s="2" t="s">
        <v>1616</v>
      </c>
      <c r="D271" s="2" t="s">
        <v>1617</v>
      </c>
      <c r="E271" s="4" t="s">
        <v>309</v>
      </c>
      <c r="F271" s="2" t="s">
        <v>2193</v>
      </c>
      <c r="G271" s="2" t="s">
        <v>2194</v>
      </c>
      <c r="H271" s="2" t="s">
        <v>318</v>
      </c>
      <c r="I271" s="2" t="s">
        <v>965</v>
      </c>
      <c r="J271" s="2" t="s">
        <v>30</v>
      </c>
      <c r="K271" s="2" t="s">
        <v>30</v>
      </c>
      <c r="L271" s="2" t="s">
        <v>324</v>
      </c>
      <c r="M271" s="2" t="s">
        <v>31</v>
      </c>
      <c r="N271" s="2" t="s">
        <v>450</v>
      </c>
      <c r="O271" s="2" t="s">
        <v>134</v>
      </c>
      <c r="P271" s="2" t="s">
        <v>1830</v>
      </c>
      <c r="Q271" s="2" t="s">
        <v>410</v>
      </c>
      <c r="R271" s="2" t="s">
        <v>403</v>
      </c>
      <c r="S271" s="2" t="s">
        <v>34</v>
      </c>
      <c r="T271" s="151">
        <v>3.3740000000000001</v>
      </c>
      <c r="U271" s="2" t="s">
        <v>1857</v>
      </c>
      <c r="V271" s="162">
        <v>6.7000000000000004E-2</v>
      </c>
      <c r="W271" s="164">
        <v>5.6849999999999998E-2</v>
      </c>
      <c r="X271" s="4" t="s">
        <v>409</v>
      </c>
      <c r="Y271" s="4" t="s">
        <v>134</v>
      </c>
      <c r="Z271" s="151">
        <v>48000</v>
      </c>
      <c r="AA271" s="158">
        <v>1</v>
      </c>
      <c r="AB271" s="175">
        <v>103.63</v>
      </c>
      <c r="AD271" s="151">
        <v>49.741999999999997</v>
      </c>
      <c r="AG271" s="2" t="s">
        <v>36</v>
      </c>
      <c r="AH271" s="164">
        <v>5.3000000000000001E-5</v>
      </c>
      <c r="AI271" s="164">
        <v>7.5602478203927997E-3</v>
      </c>
      <c r="AJ271" s="164">
        <v>1.29954325789108E-3</v>
      </c>
    </row>
    <row r="272" spans="1:36">
      <c r="A272" s="2">
        <v>337</v>
      </c>
      <c r="B272" s="2">
        <v>9962</v>
      </c>
      <c r="C272" s="2" t="s">
        <v>1624</v>
      </c>
      <c r="D272" s="2" t="s">
        <v>1625</v>
      </c>
      <c r="E272" s="4" t="s">
        <v>1303</v>
      </c>
      <c r="F272" s="2" t="s">
        <v>2195</v>
      </c>
      <c r="G272" s="2" t="s">
        <v>2196</v>
      </c>
      <c r="H272" s="2" t="s">
        <v>318</v>
      </c>
      <c r="I272" s="2" t="s">
        <v>753</v>
      </c>
      <c r="J272" s="2" t="s">
        <v>30</v>
      </c>
      <c r="K272" s="2" t="s">
        <v>30</v>
      </c>
      <c r="L272" s="2" t="s">
        <v>324</v>
      </c>
      <c r="M272" s="2" t="s">
        <v>41</v>
      </c>
      <c r="N272" s="2" t="s">
        <v>437</v>
      </c>
      <c r="O272" s="2" t="s">
        <v>134</v>
      </c>
      <c r="P272" s="2" t="s">
        <v>1909</v>
      </c>
      <c r="Q272" s="2" t="s">
        <v>412</v>
      </c>
      <c r="R272" s="2" t="s">
        <v>403</v>
      </c>
      <c r="S272" s="2" t="s">
        <v>34</v>
      </c>
      <c r="T272" s="151">
        <v>2.21</v>
      </c>
      <c r="U272" s="2" t="s">
        <v>2025</v>
      </c>
      <c r="V272" s="162">
        <v>1.4800000000000001E-2</v>
      </c>
      <c r="W272" s="164">
        <v>3.1119999999999998E-2</v>
      </c>
      <c r="X272" s="4" t="s">
        <v>409</v>
      </c>
      <c r="Y272" s="4" t="s">
        <v>134</v>
      </c>
      <c r="Z272" s="151">
        <v>40320</v>
      </c>
      <c r="AA272" s="158">
        <v>1</v>
      </c>
      <c r="AB272" s="175">
        <v>109.88</v>
      </c>
      <c r="AD272" s="151">
        <v>44.304000000000002</v>
      </c>
      <c r="AG272" s="2" t="s">
        <v>36</v>
      </c>
      <c r="AH272" s="164">
        <v>1.27E-4</v>
      </c>
      <c r="AI272" s="164">
        <v>6.7336179255427899E-3</v>
      </c>
      <c r="AJ272" s="164">
        <v>1.1574525047644501E-3</v>
      </c>
    </row>
    <row r="273" spans="1:36">
      <c r="A273" s="2">
        <v>337</v>
      </c>
      <c r="B273" s="2">
        <v>9962</v>
      </c>
      <c r="C273" s="2" t="s">
        <v>1636</v>
      </c>
      <c r="D273" s="2" t="s">
        <v>1637</v>
      </c>
      <c r="E273" s="4" t="s">
        <v>1303</v>
      </c>
      <c r="F273" s="2" t="s">
        <v>2199</v>
      </c>
      <c r="G273" s="2" t="s">
        <v>2200</v>
      </c>
      <c r="H273" s="2" t="s">
        <v>318</v>
      </c>
      <c r="I273" s="2" t="s">
        <v>753</v>
      </c>
      <c r="J273" s="2" t="s">
        <v>30</v>
      </c>
      <c r="K273" s="2" t="s">
        <v>30</v>
      </c>
      <c r="L273" s="2" t="s">
        <v>324</v>
      </c>
      <c r="M273" s="2" t="s">
        <v>41</v>
      </c>
      <c r="N273" s="2" t="s">
        <v>460</v>
      </c>
      <c r="O273" s="2" t="s">
        <v>134</v>
      </c>
      <c r="P273" s="2" t="s">
        <v>1862</v>
      </c>
      <c r="Q273" s="2" t="s">
        <v>410</v>
      </c>
      <c r="R273" s="2" t="s">
        <v>403</v>
      </c>
      <c r="S273" s="2" t="s">
        <v>34</v>
      </c>
      <c r="T273" s="151">
        <v>3.6859999999999999</v>
      </c>
      <c r="U273" s="2" t="s">
        <v>1863</v>
      </c>
      <c r="V273" s="162">
        <v>3.6200000000000003E-2</v>
      </c>
      <c r="W273" s="164">
        <v>3.5290000000000002E-2</v>
      </c>
      <c r="X273" s="4" t="s">
        <v>409</v>
      </c>
      <c r="Y273" s="4" t="s">
        <v>134</v>
      </c>
      <c r="Z273" s="151">
        <v>19740</v>
      </c>
      <c r="AA273" s="158">
        <v>1</v>
      </c>
      <c r="AB273" s="175">
        <v>107.99</v>
      </c>
      <c r="AD273" s="151">
        <v>21.317</v>
      </c>
      <c r="AG273" s="2" t="s">
        <v>36</v>
      </c>
      <c r="AH273" s="164">
        <v>1.1E-5</v>
      </c>
      <c r="AI273" s="164">
        <v>3.2399625149433999E-3</v>
      </c>
      <c r="AJ273" s="164">
        <v>5.5692241076507002E-4</v>
      </c>
    </row>
    <row r="274" spans="1:36">
      <c r="A274" s="2">
        <v>337</v>
      </c>
      <c r="B274" s="2">
        <v>9962</v>
      </c>
      <c r="C274" s="2" t="s">
        <v>2201</v>
      </c>
      <c r="D274" s="2" t="s">
        <v>2202</v>
      </c>
      <c r="E274" s="4" t="s">
        <v>310</v>
      </c>
      <c r="F274" s="2" t="s">
        <v>2203</v>
      </c>
      <c r="G274" s="2" t="s">
        <v>2204</v>
      </c>
      <c r="H274" s="2" t="s">
        <v>318</v>
      </c>
      <c r="I274" s="2" t="s">
        <v>965</v>
      </c>
      <c r="J274" s="2" t="s">
        <v>30</v>
      </c>
      <c r="K274" s="2" t="s">
        <v>80</v>
      </c>
      <c r="L274" s="2" t="s">
        <v>324</v>
      </c>
      <c r="M274" s="2" t="s">
        <v>41</v>
      </c>
      <c r="N274" s="2" t="s">
        <v>461</v>
      </c>
      <c r="O274" s="2" t="s">
        <v>134</v>
      </c>
      <c r="P274" s="2" t="s">
        <v>1826</v>
      </c>
      <c r="Q274" s="2" t="s">
        <v>410</v>
      </c>
      <c r="R274" s="2" t="s">
        <v>403</v>
      </c>
      <c r="S274" s="2" t="s">
        <v>34</v>
      </c>
      <c r="T274" s="151">
        <v>3.2810000000000001</v>
      </c>
      <c r="U274" s="2" t="s">
        <v>2205</v>
      </c>
      <c r="V274" s="162">
        <v>4.4999999999999998E-2</v>
      </c>
      <c r="W274" s="164">
        <v>6.0130000000000003E-2</v>
      </c>
      <c r="X274" s="4" t="s">
        <v>409</v>
      </c>
      <c r="Y274" s="4" t="s">
        <v>134</v>
      </c>
      <c r="Z274" s="151">
        <v>54855.34</v>
      </c>
      <c r="AA274" s="158">
        <v>1</v>
      </c>
      <c r="AB274" s="175">
        <v>97.47</v>
      </c>
      <c r="AD274" s="151">
        <v>53.466999999999999</v>
      </c>
      <c r="AG274" s="2" t="s">
        <v>36</v>
      </c>
      <c r="AH274" s="164">
        <v>6.3999999999999997E-5</v>
      </c>
      <c r="AI274" s="164">
        <v>8.1264182983874292E-3</v>
      </c>
      <c r="AJ274" s="164">
        <v>1.3968632194815301E-3</v>
      </c>
    </row>
    <row r="275" spans="1:36">
      <c r="A275" s="2">
        <v>337</v>
      </c>
      <c r="B275" s="2">
        <v>9962</v>
      </c>
      <c r="C275" s="2" t="s">
        <v>2201</v>
      </c>
      <c r="D275" s="2" t="s">
        <v>2202</v>
      </c>
      <c r="E275" s="4" t="s">
        <v>310</v>
      </c>
      <c r="F275" s="2" t="s">
        <v>2206</v>
      </c>
      <c r="G275" s="2" t="s">
        <v>2207</v>
      </c>
      <c r="H275" s="2" t="s">
        <v>318</v>
      </c>
      <c r="I275" s="2" t="s">
        <v>965</v>
      </c>
      <c r="J275" s="2" t="s">
        <v>30</v>
      </c>
      <c r="K275" s="2" t="s">
        <v>30</v>
      </c>
      <c r="L275" s="2" t="s">
        <v>324</v>
      </c>
      <c r="M275" s="2" t="s">
        <v>41</v>
      </c>
      <c r="N275" s="2" t="s">
        <v>461</v>
      </c>
      <c r="O275" s="2" t="s">
        <v>134</v>
      </c>
      <c r="P275" s="2" t="s">
        <v>1834</v>
      </c>
      <c r="Q275" s="2" t="s">
        <v>410</v>
      </c>
      <c r="R275" s="2" t="s">
        <v>403</v>
      </c>
      <c r="S275" s="2" t="s">
        <v>34</v>
      </c>
      <c r="T275" s="151">
        <v>2.0169999999999999</v>
      </c>
      <c r="U275" s="2" t="s">
        <v>1910</v>
      </c>
      <c r="V275" s="162">
        <v>6.3500000000000001E-2</v>
      </c>
      <c r="W275" s="164">
        <v>5.7439999999999998E-2</v>
      </c>
      <c r="X275" s="4" t="s">
        <v>409</v>
      </c>
      <c r="Y275" s="4" t="s">
        <v>134</v>
      </c>
      <c r="Z275" s="151">
        <v>25000</v>
      </c>
      <c r="AA275" s="158">
        <v>1</v>
      </c>
      <c r="AB275" s="175">
        <v>102.97</v>
      </c>
      <c r="AD275" s="151">
        <v>25.742000000000001</v>
      </c>
      <c r="AG275" s="2" t="s">
        <v>36</v>
      </c>
      <c r="AH275" s="164">
        <v>6.0999999999999999E-5</v>
      </c>
      <c r="AI275" s="164">
        <v>3.9125510533561201E-3</v>
      </c>
      <c r="AJ275" s="164">
        <v>6.7253474533317899E-4</v>
      </c>
    </row>
    <row r="276" spans="1:36">
      <c r="A276" s="2">
        <v>337</v>
      </c>
      <c r="B276" s="2">
        <v>9962</v>
      </c>
      <c r="C276" s="2" t="s">
        <v>2201</v>
      </c>
      <c r="D276" s="2" t="s">
        <v>2202</v>
      </c>
      <c r="E276" s="4" t="s">
        <v>310</v>
      </c>
      <c r="F276" s="2" t="s">
        <v>2208</v>
      </c>
      <c r="G276" s="2" t="s">
        <v>2209</v>
      </c>
      <c r="H276" s="2" t="s">
        <v>318</v>
      </c>
      <c r="I276" s="2" t="s">
        <v>965</v>
      </c>
      <c r="J276" s="2" t="s">
        <v>30</v>
      </c>
      <c r="K276" s="2" t="s">
        <v>30</v>
      </c>
      <c r="L276" s="2" t="s">
        <v>324</v>
      </c>
      <c r="M276" s="2" t="s">
        <v>31</v>
      </c>
      <c r="N276" s="2" t="s">
        <v>461</v>
      </c>
      <c r="O276" s="2" t="s">
        <v>134</v>
      </c>
      <c r="P276" s="2" t="s">
        <v>1834</v>
      </c>
      <c r="Q276" s="2" t="s">
        <v>410</v>
      </c>
      <c r="R276" s="2" t="s">
        <v>403</v>
      </c>
      <c r="S276" s="2" t="s">
        <v>34</v>
      </c>
      <c r="T276" s="151">
        <v>3.5379999999999998</v>
      </c>
      <c r="U276" s="2" t="s">
        <v>2210</v>
      </c>
      <c r="V276" s="162">
        <v>6.25E-2</v>
      </c>
      <c r="W276" s="164">
        <v>5.7919999999999999E-2</v>
      </c>
      <c r="X276" s="4" t="s">
        <v>409</v>
      </c>
      <c r="Y276" s="4" t="s">
        <v>134</v>
      </c>
      <c r="Z276" s="151">
        <v>29000</v>
      </c>
      <c r="AA276" s="158">
        <v>1</v>
      </c>
      <c r="AB276" s="175">
        <v>104.79</v>
      </c>
      <c r="AD276" s="151">
        <v>30.388999999999999</v>
      </c>
      <c r="AG276" s="2" t="s">
        <v>36</v>
      </c>
      <c r="AH276" s="164">
        <v>5.3000000000000001E-5</v>
      </c>
      <c r="AI276" s="164">
        <v>4.6187784875417904E-3</v>
      </c>
      <c r="AJ276" s="164">
        <v>7.9392932424607202E-4</v>
      </c>
    </row>
    <row r="277" spans="1:36">
      <c r="A277" s="2">
        <v>337</v>
      </c>
      <c r="B277" s="2">
        <v>9962</v>
      </c>
      <c r="C277" s="2" t="s">
        <v>1643</v>
      </c>
      <c r="D277" s="2" t="s">
        <v>1644</v>
      </c>
      <c r="E277" s="4" t="s">
        <v>1303</v>
      </c>
      <c r="F277" s="2" t="s">
        <v>2211</v>
      </c>
      <c r="G277" s="2" t="s">
        <v>2212</v>
      </c>
      <c r="H277" s="2" t="s">
        <v>318</v>
      </c>
      <c r="I277" s="2" t="s">
        <v>753</v>
      </c>
      <c r="J277" s="2" t="s">
        <v>30</v>
      </c>
      <c r="K277" s="2" t="s">
        <v>30</v>
      </c>
      <c r="L277" s="2" t="s">
        <v>324</v>
      </c>
      <c r="M277" s="2" t="s">
        <v>41</v>
      </c>
      <c r="N277" s="2" t="s">
        <v>437</v>
      </c>
      <c r="O277" s="2" t="s">
        <v>134</v>
      </c>
      <c r="P277" s="2" t="s">
        <v>1842</v>
      </c>
      <c r="Q277" s="2" t="s">
        <v>406</v>
      </c>
      <c r="R277" s="2" t="s">
        <v>406</v>
      </c>
      <c r="S277" s="2" t="s">
        <v>34</v>
      </c>
      <c r="T277" s="151">
        <v>2.0219999999999998</v>
      </c>
      <c r="U277" s="2" t="s">
        <v>2025</v>
      </c>
      <c r="V277" s="162">
        <v>2.3E-2</v>
      </c>
      <c r="W277" s="164">
        <v>3.4250000000000003E-2</v>
      </c>
      <c r="X277" s="4" t="s">
        <v>409</v>
      </c>
      <c r="Y277" s="4" t="s">
        <v>134</v>
      </c>
      <c r="Z277" s="151">
        <v>29250</v>
      </c>
      <c r="AA277" s="158">
        <v>1</v>
      </c>
      <c r="AB277" s="175">
        <v>110.71</v>
      </c>
      <c r="AD277" s="151">
        <v>32.383000000000003</v>
      </c>
      <c r="AG277" s="2" t="s">
        <v>36</v>
      </c>
      <c r="AH277" s="164">
        <v>3.5300000000000002E-4</v>
      </c>
      <c r="AI277" s="164">
        <v>4.9217779618039798E-3</v>
      </c>
      <c r="AJ277" s="164">
        <v>8.4601239523480999E-4</v>
      </c>
    </row>
    <row r="278" spans="1:36">
      <c r="A278" s="2">
        <v>337</v>
      </c>
      <c r="B278" s="2">
        <v>9962</v>
      </c>
      <c r="C278" s="2" t="s">
        <v>2437</v>
      </c>
      <c r="D278" s="2" t="s">
        <v>2438</v>
      </c>
      <c r="E278" s="4" t="s">
        <v>1303</v>
      </c>
      <c r="F278" s="2" t="s">
        <v>2439</v>
      </c>
      <c r="G278" s="2" t="s">
        <v>2440</v>
      </c>
      <c r="H278" s="2" t="s">
        <v>318</v>
      </c>
      <c r="I278" s="2" t="s">
        <v>753</v>
      </c>
      <c r="J278" s="2" t="s">
        <v>30</v>
      </c>
      <c r="K278" s="2" t="s">
        <v>30</v>
      </c>
      <c r="L278" s="2" t="s">
        <v>324</v>
      </c>
      <c r="M278" s="2" t="s">
        <v>41</v>
      </c>
      <c r="N278" s="2" t="s">
        <v>437</v>
      </c>
      <c r="O278" s="2" t="s">
        <v>134</v>
      </c>
      <c r="P278" s="2" t="s">
        <v>1842</v>
      </c>
      <c r="Q278" s="2" t="s">
        <v>406</v>
      </c>
      <c r="R278" s="2" t="s">
        <v>406</v>
      </c>
      <c r="S278" s="2" t="s">
        <v>34</v>
      </c>
      <c r="T278" s="151">
        <v>1.9890000000000001</v>
      </c>
      <c r="U278" s="2" t="s">
        <v>2025</v>
      </c>
      <c r="V278" s="162">
        <v>2.9499999999999998E-2</v>
      </c>
      <c r="W278" s="164">
        <v>3.8620000000000002E-2</v>
      </c>
      <c r="X278" s="4" t="s">
        <v>409</v>
      </c>
      <c r="Y278" s="4" t="s">
        <v>134</v>
      </c>
      <c r="Z278" s="151">
        <v>16000</v>
      </c>
      <c r="AA278" s="158">
        <v>1</v>
      </c>
      <c r="AB278" s="175">
        <v>109.81</v>
      </c>
      <c r="AD278" s="151">
        <v>17.57</v>
      </c>
      <c r="AG278" s="2" t="s">
        <v>36</v>
      </c>
      <c r="AH278" s="164">
        <v>6.6000000000000005E-5</v>
      </c>
      <c r="AI278" s="164">
        <v>2.67036833979007E-3</v>
      </c>
      <c r="AJ278" s="164">
        <v>4.5901394431798799E-4</v>
      </c>
    </row>
    <row r="279" spans="1:36">
      <c r="A279" s="2">
        <v>337</v>
      </c>
      <c r="B279" s="2">
        <v>9962</v>
      </c>
      <c r="C279" s="2" t="s">
        <v>2213</v>
      </c>
      <c r="D279" s="2" t="s">
        <v>2214</v>
      </c>
      <c r="E279" s="4" t="s">
        <v>310</v>
      </c>
      <c r="F279" s="2" t="s">
        <v>2441</v>
      </c>
      <c r="G279" s="2" t="s">
        <v>2442</v>
      </c>
      <c r="H279" s="2" t="s">
        <v>318</v>
      </c>
      <c r="I279" s="2" t="s">
        <v>965</v>
      </c>
      <c r="J279" s="2" t="s">
        <v>30</v>
      </c>
      <c r="K279" s="2" t="s">
        <v>80</v>
      </c>
      <c r="L279" s="2" t="s">
        <v>324</v>
      </c>
      <c r="M279" s="2" t="s">
        <v>41</v>
      </c>
      <c r="N279" s="2" t="s">
        <v>461</v>
      </c>
      <c r="O279" s="2" t="s">
        <v>134</v>
      </c>
      <c r="P279" s="2" t="s">
        <v>1848</v>
      </c>
      <c r="Q279" s="2" t="s">
        <v>410</v>
      </c>
      <c r="R279" s="2" t="s">
        <v>403</v>
      </c>
      <c r="S279" s="2" t="s">
        <v>34</v>
      </c>
      <c r="T279" s="151">
        <v>1.377</v>
      </c>
      <c r="U279" s="2" t="s">
        <v>2177</v>
      </c>
      <c r="V279" s="162">
        <v>9.0999999999999998E-2</v>
      </c>
      <c r="W279" s="164">
        <v>6.4310000000000006E-2</v>
      </c>
      <c r="X279" s="4" t="s">
        <v>409</v>
      </c>
      <c r="Y279" s="4" t="s">
        <v>134</v>
      </c>
      <c r="Z279" s="151">
        <v>47000</v>
      </c>
      <c r="AA279" s="158">
        <v>1</v>
      </c>
      <c r="AB279" s="175">
        <v>103.75</v>
      </c>
      <c r="AD279" s="151">
        <v>48.762999999999998</v>
      </c>
      <c r="AG279" s="2" t="s">
        <v>36</v>
      </c>
      <c r="AH279" s="164">
        <v>2.5000000000000001E-4</v>
      </c>
      <c r="AI279" s="164">
        <v>7.4113147805876696E-3</v>
      </c>
      <c r="AJ279" s="164">
        <v>1.2739429161623399E-3</v>
      </c>
    </row>
    <row r="280" spans="1:36">
      <c r="A280" s="2">
        <v>337</v>
      </c>
      <c r="B280" s="2">
        <v>9962</v>
      </c>
      <c r="C280" s="2" t="s">
        <v>2217</v>
      </c>
      <c r="D280" s="2" t="s">
        <v>2218</v>
      </c>
      <c r="E280" s="4" t="s">
        <v>33</v>
      </c>
      <c r="F280" s="2" t="s">
        <v>2219</v>
      </c>
      <c r="G280" s="2" t="s">
        <v>2220</v>
      </c>
      <c r="H280" s="2" t="s">
        <v>318</v>
      </c>
      <c r="I280" s="2" t="s">
        <v>754</v>
      </c>
      <c r="J280" s="2" t="s">
        <v>30</v>
      </c>
      <c r="K280" s="2" t="s">
        <v>80</v>
      </c>
      <c r="L280" s="2" t="s">
        <v>324</v>
      </c>
      <c r="M280" s="2" t="s">
        <v>41</v>
      </c>
      <c r="N280" s="2" t="s">
        <v>439</v>
      </c>
      <c r="O280" s="2" t="s">
        <v>134</v>
      </c>
      <c r="P280" s="2" t="s">
        <v>2057</v>
      </c>
      <c r="Q280" s="2" t="s">
        <v>412</v>
      </c>
      <c r="R280" s="2" t="s">
        <v>403</v>
      </c>
      <c r="S280" s="2" t="s">
        <v>34</v>
      </c>
      <c r="T280" s="151">
        <v>1.345</v>
      </c>
      <c r="U280" s="2" t="s">
        <v>2221</v>
      </c>
      <c r="V280" s="162">
        <v>7.9135999999999998E-2</v>
      </c>
      <c r="W280" s="164">
        <v>6.2979999999999994E-2</v>
      </c>
      <c r="X280" s="4" t="s">
        <v>409</v>
      </c>
      <c r="Y280" s="4" t="s">
        <v>134</v>
      </c>
      <c r="Z280" s="151">
        <v>33000</v>
      </c>
      <c r="AA280" s="158">
        <v>1</v>
      </c>
      <c r="AB280" s="175">
        <v>105.12</v>
      </c>
      <c r="AD280" s="151">
        <v>34.69</v>
      </c>
      <c r="AG280" s="2" t="s">
        <v>36</v>
      </c>
      <c r="AH280" s="164">
        <v>7.7999999999999999E-5</v>
      </c>
      <c r="AI280" s="164">
        <v>5.2724028754201303E-3</v>
      </c>
      <c r="AJ280" s="164">
        <v>9.0628188022569105E-4</v>
      </c>
    </row>
    <row r="281" spans="1:36">
      <c r="A281" s="2">
        <v>337</v>
      </c>
      <c r="B281" s="2">
        <v>9962</v>
      </c>
      <c r="C281" s="2" t="s">
        <v>2222</v>
      </c>
      <c r="D281" s="2" t="s">
        <v>2223</v>
      </c>
      <c r="E281" s="4" t="s">
        <v>310</v>
      </c>
      <c r="F281" s="2" t="s">
        <v>2224</v>
      </c>
      <c r="G281" s="2" t="s">
        <v>2225</v>
      </c>
      <c r="H281" s="2" t="s">
        <v>318</v>
      </c>
      <c r="I281" s="2" t="s">
        <v>965</v>
      </c>
      <c r="J281" s="2" t="s">
        <v>30</v>
      </c>
      <c r="K281" s="2" t="s">
        <v>80</v>
      </c>
      <c r="L281" s="2" t="s">
        <v>324</v>
      </c>
      <c r="M281" s="2" t="s">
        <v>31</v>
      </c>
      <c r="N281" s="2" t="s">
        <v>461</v>
      </c>
      <c r="O281" s="2" t="s">
        <v>134</v>
      </c>
      <c r="P281" s="2" t="s">
        <v>1834</v>
      </c>
      <c r="Q281" s="2" t="s">
        <v>410</v>
      </c>
      <c r="R281" s="2" t="s">
        <v>403</v>
      </c>
      <c r="S281" s="2" t="s">
        <v>34</v>
      </c>
      <c r="T281" s="151">
        <v>4.016</v>
      </c>
      <c r="U281" s="2" t="s">
        <v>2226</v>
      </c>
      <c r="V281" s="162">
        <v>6.7400000000000002E-2</v>
      </c>
      <c r="W281" s="164">
        <v>6.0229999999999999E-2</v>
      </c>
      <c r="X281" s="4" t="s">
        <v>409</v>
      </c>
      <c r="Y281" s="4" t="s">
        <v>134</v>
      </c>
      <c r="Z281" s="151">
        <v>64000</v>
      </c>
      <c r="AA281" s="158">
        <v>1</v>
      </c>
      <c r="AB281" s="175">
        <v>106.73</v>
      </c>
      <c r="AD281" s="151">
        <v>68.307000000000002</v>
      </c>
      <c r="AG281" s="2" t="s">
        <v>36</v>
      </c>
      <c r="AH281" s="164">
        <v>2.2499999999999999E-4</v>
      </c>
      <c r="AI281" s="164">
        <v>1.03818746163662E-2</v>
      </c>
      <c r="AJ281" s="164">
        <v>1.78455726353006E-3</v>
      </c>
    </row>
    <row r="282" spans="1:36">
      <c r="A282" s="2">
        <v>337</v>
      </c>
      <c r="B282" s="2">
        <v>9962</v>
      </c>
      <c r="C282" s="2" t="s">
        <v>1655</v>
      </c>
      <c r="D282" s="2" t="s">
        <v>1656</v>
      </c>
      <c r="E282" s="4" t="s">
        <v>1303</v>
      </c>
      <c r="F282" s="2" t="s">
        <v>2231</v>
      </c>
      <c r="G282" s="2" t="s">
        <v>2232</v>
      </c>
      <c r="H282" s="2" t="s">
        <v>318</v>
      </c>
      <c r="I282" s="2" t="s">
        <v>753</v>
      </c>
      <c r="J282" s="2" t="s">
        <v>30</v>
      </c>
      <c r="K282" s="2" t="s">
        <v>30</v>
      </c>
      <c r="L282" s="2" t="s">
        <v>324</v>
      </c>
      <c r="M282" s="2" t="s">
        <v>41</v>
      </c>
      <c r="N282" s="2" t="s">
        <v>460</v>
      </c>
      <c r="O282" s="2" t="s">
        <v>134</v>
      </c>
      <c r="P282" s="2" t="s">
        <v>82</v>
      </c>
      <c r="Q282" s="2" t="s">
        <v>410</v>
      </c>
      <c r="R282" s="2" t="s">
        <v>403</v>
      </c>
      <c r="S282" s="2" t="s">
        <v>34</v>
      </c>
      <c r="T282" s="151">
        <v>2.6619999999999999</v>
      </c>
      <c r="U282" s="2" t="s">
        <v>2233</v>
      </c>
      <c r="V282" s="162">
        <v>1.34E-2</v>
      </c>
      <c r="W282" s="164">
        <v>2.8070000000000001E-2</v>
      </c>
      <c r="X282" s="4" t="s">
        <v>409</v>
      </c>
      <c r="Y282" s="4" t="s">
        <v>134</v>
      </c>
      <c r="Z282" s="151">
        <v>55000</v>
      </c>
      <c r="AA282" s="158">
        <v>1</v>
      </c>
      <c r="AB282" s="175">
        <v>113.01</v>
      </c>
      <c r="AD282" s="151">
        <v>62.155999999999999</v>
      </c>
      <c r="AG282" s="2" t="s">
        <v>36</v>
      </c>
      <c r="AH282" s="164">
        <v>2.3E-5</v>
      </c>
      <c r="AI282" s="164">
        <v>9.4468900455230292E-3</v>
      </c>
      <c r="AJ282" s="164">
        <v>1.62384124943406E-3</v>
      </c>
    </row>
    <row r="283" spans="1:36">
      <c r="A283" s="2">
        <v>337</v>
      </c>
      <c r="B283" s="2">
        <v>9962</v>
      </c>
      <c r="C283" s="2" t="s">
        <v>1655</v>
      </c>
      <c r="D283" s="2" t="s">
        <v>1656</v>
      </c>
      <c r="E283" s="4" t="s">
        <v>1303</v>
      </c>
      <c r="F283" s="2" t="s">
        <v>2234</v>
      </c>
      <c r="G283" s="2" t="s">
        <v>2235</v>
      </c>
      <c r="H283" s="2" t="s">
        <v>318</v>
      </c>
      <c r="I283" s="2" t="s">
        <v>753</v>
      </c>
      <c r="J283" s="2" t="s">
        <v>30</v>
      </c>
      <c r="K283" s="2" t="s">
        <v>30</v>
      </c>
      <c r="L283" s="2" t="s">
        <v>324</v>
      </c>
      <c r="M283" s="2" t="s">
        <v>41</v>
      </c>
      <c r="N283" s="2" t="s">
        <v>460</v>
      </c>
      <c r="O283" s="2" t="s">
        <v>134</v>
      </c>
      <c r="P283" s="2" t="s">
        <v>2236</v>
      </c>
      <c r="Q283" s="2" t="s">
        <v>412</v>
      </c>
      <c r="R283" s="2" t="s">
        <v>403</v>
      </c>
      <c r="S283" s="2" t="s">
        <v>34</v>
      </c>
      <c r="T283" s="151">
        <v>2.0680000000000001</v>
      </c>
      <c r="U283" s="2" t="s">
        <v>1843</v>
      </c>
      <c r="V283" s="162">
        <v>1.77E-2</v>
      </c>
      <c r="W283" s="164">
        <v>2.751E-2</v>
      </c>
      <c r="X283" s="4" t="s">
        <v>409</v>
      </c>
      <c r="Y283" s="4" t="s">
        <v>134</v>
      </c>
      <c r="Z283" s="151">
        <v>60540.54</v>
      </c>
      <c r="AA283" s="158">
        <v>1</v>
      </c>
      <c r="AB283" s="175">
        <v>113.81</v>
      </c>
      <c r="AD283" s="151">
        <v>68.900999999999996</v>
      </c>
      <c r="AG283" s="2" t="s">
        <v>36</v>
      </c>
      <c r="AH283" s="164">
        <v>2.3E-5</v>
      </c>
      <c r="AI283" s="164">
        <v>1.0472153750905801E-2</v>
      </c>
      <c r="AJ283" s="164">
        <v>1.80007549036684E-3</v>
      </c>
    </row>
    <row r="284" spans="1:36">
      <c r="A284" s="2">
        <v>337</v>
      </c>
      <c r="B284" s="2">
        <v>9962</v>
      </c>
      <c r="C284" s="2" t="s">
        <v>1655</v>
      </c>
      <c r="D284" s="2" t="s">
        <v>1656</v>
      </c>
      <c r="E284" s="4" t="s">
        <v>1303</v>
      </c>
      <c r="F284" s="2" t="s">
        <v>2237</v>
      </c>
      <c r="G284" s="2" t="s">
        <v>2238</v>
      </c>
      <c r="H284" s="2" t="s">
        <v>318</v>
      </c>
      <c r="I284" s="2" t="s">
        <v>753</v>
      </c>
      <c r="J284" s="2" t="s">
        <v>30</v>
      </c>
      <c r="K284" s="2" t="s">
        <v>30</v>
      </c>
      <c r="L284" s="2" t="s">
        <v>324</v>
      </c>
      <c r="M284" s="2" t="s">
        <v>41</v>
      </c>
      <c r="N284" s="2" t="s">
        <v>460</v>
      </c>
      <c r="O284" s="2" t="s">
        <v>134</v>
      </c>
      <c r="P284" s="2" t="s">
        <v>82</v>
      </c>
      <c r="Q284" s="2" t="s">
        <v>410</v>
      </c>
      <c r="R284" s="2" t="s">
        <v>403</v>
      </c>
      <c r="S284" s="2" t="s">
        <v>34</v>
      </c>
      <c r="T284" s="151">
        <v>6.4729999999999999</v>
      </c>
      <c r="U284" s="2" t="s">
        <v>2239</v>
      </c>
      <c r="V284" s="162">
        <v>8.9999999999999993E-3</v>
      </c>
      <c r="W284" s="164">
        <v>3.0720000000000001E-2</v>
      </c>
      <c r="X284" s="4" t="s">
        <v>409</v>
      </c>
      <c r="Y284" s="4" t="s">
        <v>134</v>
      </c>
      <c r="Z284" s="151">
        <v>79420</v>
      </c>
      <c r="AA284" s="158">
        <v>1</v>
      </c>
      <c r="AB284" s="175">
        <v>99.26</v>
      </c>
      <c r="AD284" s="151">
        <v>78.831999999999994</v>
      </c>
      <c r="AG284" s="2" t="s">
        <v>36</v>
      </c>
      <c r="AH284" s="164">
        <v>2.9E-5</v>
      </c>
      <c r="AI284" s="164">
        <v>1.198156228428E-2</v>
      </c>
      <c r="AJ284" s="164">
        <v>2.05953017089447E-3</v>
      </c>
    </row>
    <row r="285" spans="1:36">
      <c r="A285" s="2">
        <v>337</v>
      </c>
      <c r="B285" s="2">
        <v>9962</v>
      </c>
      <c r="C285" s="2" t="s">
        <v>1655</v>
      </c>
      <c r="D285" s="2" t="s">
        <v>1656</v>
      </c>
      <c r="E285" s="4" t="s">
        <v>1303</v>
      </c>
      <c r="F285" s="2" t="s">
        <v>2443</v>
      </c>
      <c r="G285" s="2" t="s">
        <v>2444</v>
      </c>
      <c r="H285" s="2" t="s">
        <v>318</v>
      </c>
      <c r="I285" s="2" t="s">
        <v>753</v>
      </c>
      <c r="J285" s="2" t="s">
        <v>30</v>
      </c>
      <c r="K285" s="2" t="s">
        <v>30</v>
      </c>
      <c r="L285" s="2" t="s">
        <v>324</v>
      </c>
      <c r="M285" s="2" t="s">
        <v>31</v>
      </c>
      <c r="N285" s="2" t="s">
        <v>460</v>
      </c>
      <c r="O285" s="2" t="s">
        <v>134</v>
      </c>
      <c r="P285" s="2" t="s">
        <v>2236</v>
      </c>
      <c r="Q285" s="2" t="s">
        <v>412</v>
      </c>
      <c r="R285" s="2" t="s">
        <v>403</v>
      </c>
      <c r="S285" s="2" t="s">
        <v>34</v>
      </c>
      <c r="T285" s="151">
        <v>11.904</v>
      </c>
      <c r="U285" s="2" t="s">
        <v>2445</v>
      </c>
      <c r="V285" s="162">
        <v>3.6700000000000003E-2</v>
      </c>
      <c r="W285" s="164">
        <v>3.4259999999999999E-2</v>
      </c>
      <c r="X285" s="4" t="s">
        <v>409</v>
      </c>
      <c r="Y285" s="4" t="s">
        <v>134</v>
      </c>
      <c r="Z285" s="151">
        <v>35000</v>
      </c>
      <c r="AA285" s="158">
        <v>1</v>
      </c>
      <c r="AB285" s="175">
        <v>105.88</v>
      </c>
      <c r="AD285" s="151">
        <v>37.058</v>
      </c>
      <c r="AG285" s="2" t="s">
        <v>36</v>
      </c>
      <c r="AH285" s="164">
        <v>1.1E-5</v>
      </c>
      <c r="AI285" s="164">
        <v>5.6323712512487602E-3</v>
      </c>
      <c r="AJ285" s="164">
        <v>9.6815742808806205E-4</v>
      </c>
    </row>
    <row r="286" spans="1:36">
      <c r="A286" s="2">
        <v>337</v>
      </c>
      <c r="B286" s="2">
        <v>9962</v>
      </c>
      <c r="C286" s="2" t="s">
        <v>1655</v>
      </c>
      <c r="D286" s="2" t="s">
        <v>1656</v>
      </c>
      <c r="E286" s="4" t="s">
        <v>1303</v>
      </c>
      <c r="F286" s="2" t="s">
        <v>2243</v>
      </c>
      <c r="G286" s="2" t="s">
        <v>2244</v>
      </c>
      <c r="H286" s="2" t="s">
        <v>318</v>
      </c>
      <c r="I286" s="2" t="s">
        <v>753</v>
      </c>
      <c r="J286" s="2" t="s">
        <v>30</v>
      </c>
      <c r="K286" s="2" t="s">
        <v>30</v>
      </c>
      <c r="L286" s="2" t="s">
        <v>324</v>
      </c>
      <c r="M286" s="2" t="s">
        <v>41</v>
      </c>
      <c r="N286" s="2" t="s">
        <v>460</v>
      </c>
      <c r="O286" s="2" t="s">
        <v>134</v>
      </c>
      <c r="P286" s="2" t="s">
        <v>82</v>
      </c>
      <c r="Q286" s="2" t="s">
        <v>410</v>
      </c>
      <c r="R286" s="2" t="s">
        <v>403</v>
      </c>
      <c r="S286" s="2" t="s">
        <v>34</v>
      </c>
      <c r="T286" s="151">
        <v>3.0000000000000001E-3</v>
      </c>
      <c r="U286" s="2" t="s">
        <v>2037</v>
      </c>
      <c r="V286" s="162">
        <v>6.4999999999999997E-3</v>
      </c>
      <c r="W286" s="164">
        <v>0.25729000000000002</v>
      </c>
      <c r="X286" s="4" t="s">
        <v>409</v>
      </c>
      <c r="Y286" s="4" t="s">
        <v>134</v>
      </c>
      <c r="Z286" s="151">
        <v>20000</v>
      </c>
      <c r="AA286" s="158">
        <v>1</v>
      </c>
      <c r="AB286" s="175">
        <v>115.85</v>
      </c>
      <c r="AD286" s="151">
        <v>23.17</v>
      </c>
      <c r="AG286" s="2" t="s">
        <v>36</v>
      </c>
      <c r="AH286" s="164">
        <v>3.6999999999999998E-5</v>
      </c>
      <c r="AI286" s="164">
        <v>3.5215619270180199E-3</v>
      </c>
      <c r="AJ286" s="164">
        <v>6.0532699036106702E-4</v>
      </c>
    </row>
    <row r="287" spans="1:36">
      <c r="A287" s="2">
        <v>337</v>
      </c>
      <c r="B287" s="2">
        <v>9962</v>
      </c>
      <c r="C287" s="2" t="s">
        <v>2245</v>
      </c>
      <c r="D287" s="2" t="s">
        <v>2246</v>
      </c>
      <c r="E287" s="4" t="s">
        <v>1303</v>
      </c>
      <c r="F287" s="2" t="s">
        <v>2247</v>
      </c>
      <c r="G287" s="2" t="s">
        <v>2248</v>
      </c>
      <c r="H287" s="2" t="s">
        <v>318</v>
      </c>
      <c r="I287" s="2" t="s">
        <v>965</v>
      </c>
      <c r="J287" s="2" t="s">
        <v>30</v>
      </c>
      <c r="K287" s="2" t="s">
        <v>30</v>
      </c>
      <c r="L287" s="2" t="s">
        <v>324</v>
      </c>
      <c r="M287" s="2" t="s">
        <v>41</v>
      </c>
      <c r="N287" s="2" t="s">
        <v>443</v>
      </c>
      <c r="O287" s="2" t="s">
        <v>134</v>
      </c>
      <c r="P287" s="2" t="s">
        <v>1909</v>
      </c>
      <c r="Q287" s="2" t="s">
        <v>412</v>
      </c>
      <c r="R287" s="2" t="s">
        <v>403</v>
      </c>
      <c r="S287" s="2" t="s">
        <v>34</v>
      </c>
      <c r="T287" s="151">
        <v>1.135</v>
      </c>
      <c r="U287" s="2" t="s">
        <v>42</v>
      </c>
      <c r="V287" s="162">
        <v>0.06</v>
      </c>
      <c r="W287" s="164">
        <v>5.5219999999999998E-2</v>
      </c>
      <c r="X287" s="4" t="s">
        <v>409</v>
      </c>
      <c r="Y287" s="4" t="s">
        <v>134</v>
      </c>
      <c r="Z287" s="151">
        <v>25764.44</v>
      </c>
      <c r="AA287" s="158">
        <v>1</v>
      </c>
      <c r="AB287" s="175">
        <v>102.62</v>
      </c>
      <c r="AD287" s="151">
        <v>26.439</v>
      </c>
      <c r="AG287" s="2" t="s">
        <v>36</v>
      </c>
      <c r="AH287" s="164">
        <v>1.03E-4</v>
      </c>
      <c r="AI287" s="164">
        <v>4.0184818746000703E-3</v>
      </c>
      <c r="AJ287" s="164">
        <v>6.9074336597906699E-4</v>
      </c>
    </row>
    <row r="288" spans="1:36">
      <c r="A288" s="2">
        <v>337</v>
      </c>
      <c r="B288" s="2">
        <v>9962</v>
      </c>
      <c r="C288" s="2" t="s">
        <v>1659</v>
      </c>
      <c r="D288" s="2" t="s">
        <v>1660</v>
      </c>
      <c r="E288" s="4" t="s">
        <v>1303</v>
      </c>
      <c r="F288" s="2" t="s">
        <v>2249</v>
      </c>
      <c r="G288" s="2" t="s">
        <v>2250</v>
      </c>
      <c r="H288" s="2" t="s">
        <v>318</v>
      </c>
      <c r="I288" s="2" t="s">
        <v>753</v>
      </c>
      <c r="J288" s="2" t="s">
        <v>30</v>
      </c>
      <c r="K288" s="2" t="s">
        <v>30</v>
      </c>
      <c r="L288" s="2" t="s">
        <v>324</v>
      </c>
      <c r="M288" s="2" t="s">
        <v>41</v>
      </c>
      <c r="N288" s="2" t="s">
        <v>444</v>
      </c>
      <c r="O288" s="2" t="s">
        <v>134</v>
      </c>
      <c r="P288" s="2" t="s">
        <v>1176</v>
      </c>
      <c r="Q288" s="2" t="s">
        <v>410</v>
      </c>
      <c r="R288" s="2" t="s">
        <v>403</v>
      </c>
      <c r="S288" s="2" t="s">
        <v>34</v>
      </c>
      <c r="T288" s="151">
        <v>3.5870000000000002</v>
      </c>
      <c r="U288" s="2" t="s">
        <v>2251</v>
      </c>
      <c r="V288" s="162">
        <v>1E-3</v>
      </c>
      <c r="W288" s="164">
        <v>2.5610000000000001E-2</v>
      </c>
      <c r="X288" s="4" t="s">
        <v>409</v>
      </c>
      <c r="Y288" s="4" t="s">
        <v>134</v>
      </c>
      <c r="Z288" s="151">
        <v>21709.8</v>
      </c>
      <c r="AA288" s="158">
        <v>1</v>
      </c>
      <c r="AB288" s="175">
        <v>103.24</v>
      </c>
      <c r="AD288" s="151">
        <v>22.413</v>
      </c>
      <c r="AG288" s="2" t="s">
        <v>36</v>
      </c>
      <c r="AH288" s="164">
        <v>2.1999999999999999E-5</v>
      </c>
      <c r="AI288" s="164">
        <v>3.40653703276507E-3</v>
      </c>
      <c r="AJ288" s="164">
        <v>5.8555517475829602E-4</v>
      </c>
    </row>
    <row r="289" spans="1:36">
      <c r="A289" s="2">
        <v>337</v>
      </c>
      <c r="B289" s="2">
        <v>9962</v>
      </c>
      <c r="C289" s="2" t="s">
        <v>1659</v>
      </c>
      <c r="D289" s="2" t="s">
        <v>1660</v>
      </c>
      <c r="E289" s="4" t="s">
        <v>1303</v>
      </c>
      <c r="F289" s="2" t="s">
        <v>2252</v>
      </c>
      <c r="G289" s="2" t="s">
        <v>2253</v>
      </c>
      <c r="H289" s="2" t="s">
        <v>318</v>
      </c>
      <c r="I289" s="2" t="s">
        <v>753</v>
      </c>
      <c r="J289" s="2" t="s">
        <v>30</v>
      </c>
      <c r="K289" s="2" t="s">
        <v>30</v>
      </c>
      <c r="L289" s="2" t="s">
        <v>324</v>
      </c>
      <c r="M289" s="2" t="s">
        <v>41</v>
      </c>
      <c r="N289" s="2" t="s">
        <v>444</v>
      </c>
      <c r="O289" s="2" t="s">
        <v>134</v>
      </c>
      <c r="P289" s="2" t="s">
        <v>1176</v>
      </c>
      <c r="Q289" s="2" t="s">
        <v>410</v>
      </c>
      <c r="R289" s="2" t="s">
        <v>403</v>
      </c>
      <c r="S289" s="2" t="s">
        <v>34</v>
      </c>
      <c r="T289" s="151">
        <v>3.9660000000000002</v>
      </c>
      <c r="U289" s="2" t="s">
        <v>2254</v>
      </c>
      <c r="V289" s="162">
        <v>1.3899999999999999E-2</v>
      </c>
      <c r="W289" s="164">
        <v>2.5260000000000001E-2</v>
      </c>
      <c r="X289" s="4" t="s">
        <v>409</v>
      </c>
      <c r="Y289" s="4" t="s">
        <v>134</v>
      </c>
      <c r="Z289" s="151">
        <v>34400</v>
      </c>
      <c r="AA289" s="158">
        <v>1</v>
      </c>
      <c r="AB289" s="175">
        <v>103.09</v>
      </c>
      <c r="AD289" s="151">
        <v>35.463000000000001</v>
      </c>
      <c r="AG289" s="2" t="s">
        <v>36</v>
      </c>
      <c r="AH289" s="164">
        <v>2.1999999999999999E-5</v>
      </c>
      <c r="AI289" s="164">
        <v>5.38994431399927E-3</v>
      </c>
      <c r="AJ289" s="164">
        <v>9.2648626871363405E-4</v>
      </c>
    </row>
    <row r="290" spans="1:36">
      <c r="A290" s="2">
        <v>337</v>
      </c>
      <c r="B290" s="2">
        <v>9962</v>
      </c>
      <c r="C290" s="2" t="s">
        <v>1659</v>
      </c>
      <c r="D290" s="2" t="s">
        <v>1660</v>
      </c>
      <c r="E290" s="4" t="s">
        <v>1303</v>
      </c>
      <c r="F290" s="2" t="s">
        <v>2446</v>
      </c>
      <c r="G290" s="2" t="s">
        <v>2447</v>
      </c>
      <c r="H290" s="2" t="s">
        <v>318</v>
      </c>
      <c r="I290" s="2" t="s">
        <v>753</v>
      </c>
      <c r="J290" s="2" t="s">
        <v>30</v>
      </c>
      <c r="K290" s="2" t="s">
        <v>30</v>
      </c>
      <c r="L290" s="2" t="s">
        <v>324</v>
      </c>
      <c r="M290" s="2" t="s">
        <v>41</v>
      </c>
      <c r="N290" s="2" t="s">
        <v>444</v>
      </c>
      <c r="O290" s="2" t="s">
        <v>134</v>
      </c>
      <c r="P290" s="2" t="s">
        <v>1176</v>
      </c>
      <c r="Q290" s="2" t="s">
        <v>410</v>
      </c>
      <c r="R290" s="2" t="s">
        <v>403</v>
      </c>
      <c r="S290" s="2" t="s">
        <v>34</v>
      </c>
      <c r="T290" s="151">
        <v>1.54</v>
      </c>
      <c r="U290" s="2" t="s">
        <v>2448</v>
      </c>
      <c r="V290" s="162">
        <v>6.0000000000000001E-3</v>
      </c>
      <c r="W290" s="164">
        <v>2.4459999999999999E-2</v>
      </c>
      <c r="X290" s="4" t="s">
        <v>409</v>
      </c>
      <c r="Y290" s="4" t="s">
        <v>134</v>
      </c>
      <c r="Z290" s="151">
        <v>37200</v>
      </c>
      <c r="AA290" s="158">
        <v>1</v>
      </c>
      <c r="AB290" s="175">
        <v>113.98</v>
      </c>
      <c r="AD290" s="151">
        <v>42.401000000000003</v>
      </c>
      <c r="AG290" s="2" t="s">
        <v>36</v>
      </c>
      <c r="AH290" s="164">
        <v>4.1999999999999998E-5</v>
      </c>
      <c r="AI290" s="164">
        <v>6.4443762529237496E-3</v>
      </c>
      <c r="AJ290" s="164">
        <v>1.10773428461044E-3</v>
      </c>
    </row>
    <row r="291" spans="1:36">
      <c r="A291" s="2">
        <v>337</v>
      </c>
      <c r="B291" s="2">
        <v>9962</v>
      </c>
      <c r="C291" s="2" t="s">
        <v>1659</v>
      </c>
      <c r="D291" s="2" t="s">
        <v>1660</v>
      </c>
      <c r="E291" s="4" t="s">
        <v>1303</v>
      </c>
      <c r="F291" s="2" t="s">
        <v>2255</v>
      </c>
      <c r="G291" s="2" t="s">
        <v>2256</v>
      </c>
      <c r="H291" s="2" t="s">
        <v>318</v>
      </c>
      <c r="I291" s="2" t="s">
        <v>753</v>
      </c>
      <c r="J291" s="2" t="s">
        <v>30</v>
      </c>
      <c r="K291" s="2" t="s">
        <v>30</v>
      </c>
      <c r="L291" s="2" t="s">
        <v>324</v>
      </c>
      <c r="M291" s="2" t="s">
        <v>41</v>
      </c>
      <c r="N291" s="2" t="s">
        <v>444</v>
      </c>
      <c r="O291" s="2" t="s">
        <v>134</v>
      </c>
      <c r="P291" s="2" t="s">
        <v>1176</v>
      </c>
      <c r="Q291" s="2" t="s">
        <v>410</v>
      </c>
      <c r="R291" s="2" t="s">
        <v>403</v>
      </c>
      <c r="S291" s="2" t="s">
        <v>34</v>
      </c>
      <c r="T291" s="151">
        <v>3.0529999999999999</v>
      </c>
      <c r="U291" s="2" t="s">
        <v>2257</v>
      </c>
      <c r="V291" s="162">
        <v>1.7500000000000002E-2</v>
      </c>
      <c r="W291" s="164">
        <v>2.554E-2</v>
      </c>
      <c r="X291" s="4" t="s">
        <v>409</v>
      </c>
      <c r="Y291" s="4" t="s">
        <v>134</v>
      </c>
      <c r="Z291" s="151">
        <v>25724.18</v>
      </c>
      <c r="AA291" s="158">
        <v>1</v>
      </c>
      <c r="AB291" s="175">
        <v>112.78</v>
      </c>
      <c r="AD291" s="151">
        <v>29.012</v>
      </c>
      <c r="AG291" s="2" t="s">
        <v>36</v>
      </c>
      <c r="AH291" s="164">
        <v>1.2E-5</v>
      </c>
      <c r="AI291" s="164">
        <v>4.409434808948E-3</v>
      </c>
      <c r="AJ291" s="164">
        <v>7.5794489985129795E-4</v>
      </c>
    </row>
    <row r="292" spans="1:36">
      <c r="A292" s="2">
        <v>337</v>
      </c>
      <c r="B292" s="2">
        <v>9962</v>
      </c>
      <c r="C292" s="2" t="s">
        <v>1659</v>
      </c>
      <c r="D292" s="2" t="s">
        <v>1660</v>
      </c>
      <c r="E292" s="4" t="s">
        <v>1303</v>
      </c>
      <c r="F292" s="2" t="s">
        <v>2258</v>
      </c>
      <c r="G292" s="2" t="s">
        <v>2259</v>
      </c>
      <c r="H292" s="2" t="s">
        <v>318</v>
      </c>
      <c r="I292" s="2" t="s">
        <v>753</v>
      </c>
      <c r="J292" s="2" t="s">
        <v>30</v>
      </c>
      <c r="K292" s="2" t="s">
        <v>30</v>
      </c>
      <c r="L292" s="2" t="s">
        <v>324</v>
      </c>
      <c r="M292" s="2" t="s">
        <v>31</v>
      </c>
      <c r="N292" s="2" t="s">
        <v>444</v>
      </c>
      <c r="O292" s="2" t="s">
        <v>134</v>
      </c>
      <c r="P292" s="2" t="s">
        <v>1826</v>
      </c>
      <c r="Q292" s="2" t="s">
        <v>410</v>
      </c>
      <c r="R292" s="2" t="s">
        <v>403</v>
      </c>
      <c r="S292" s="2" t="s">
        <v>34</v>
      </c>
      <c r="T292" s="151">
        <v>6.8019999999999996</v>
      </c>
      <c r="U292" s="2" t="s">
        <v>2260</v>
      </c>
      <c r="V292" s="162">
        <v>3.4500000000000003E-2</v>
      </c>
      <c r="W292" s="164">
        <v>3.1910000000000001E-2</v>
      </c>
      <c r="X292" s="4" t="s">
        <v>409</v>
      </c>
      <c r="Y292" s="4" t="s">
        <v>134</v>
      </c>
      <c r="Z292" s="151">
        <v>67000</v>
      </c>
      <c r="AA292" s="158">
        <v>1</v>
      </c>
      <c r="AB292" s="175">
        <v>102.77</v>
      </c>
      <c r="AD292" s="151">
        <v>68.855999999999995</v>
      </c>
      <c r="AG292" s="2" t="s">
        <v>36</v>
      </c>
      <c r="AH292" s="164">
        <v>7.2999999999999999E-5</v>
      </c>
      <c r="AI292" s="164">
        <v>1.0465270431185201E-2</v>
      </c>
      <c r="AJ292" s="164">
        <v>1.7988923053777501E-3</v>
      </c>
    </row>
    <row r="293" spans="1:36">
      <c r="A293" s="2">
        <v>337</v>
      </c>
      <c r="B293" s="2">
        <v>9962</v>
      </c>
      <c r="C293" s="2" t="s">
        <v>1659</v>
      </c>
      <c r="D293" s="2" t="s">
        <v>1660</v>
      </c>
      <c r="E293" s="4" t="s">
        <v>1303</v>
      </c>
      <c r="F293" s="2" t="s">
        <v>2449</v>
      </c>
      <c r="G293" s="2" t="s">
        <v>2450</v>
      </c>
      <c r="H293" s="2" t="s">
        <v>318</v>
      </c>
      <c r="I293" s="2" t="s">
        <v>753</v>
      </c>
      <c r="J293" s="2" t="s">
        <v>30</v>
      </c>
      <c r="K293" s="2" t="s">
        <v>30</v>
      </c>
      <c r="L293" s="2" t="s">
        <v>324</v>
      </c>
      <c r="M293" s="2" t="s">
        <v>41</v>
      </c>
      <c r="N293" s="2" t="s">
        <v>444</v>
      </c>
      <c r="O293" s="2" t="s">
        <v>134</v>
      </c>
      <c r="P293" s="2" t="s">
        <v>1826</v>
      </c>
      <c r="Q293" s="2" t="s">
        <v>410</v>
      </c>
      <c r="R293" s="2" t="s">
        <v>403</v>
      </c>
      <c r="S293" s="2" t="s">
        <v>34</v>
      </c>
      <c r="T293" s="151">
        <v>2.9249999999999998</v>
      </c>
      <c r="U293" s="2" t="s">
        <v>2451</v>
      </c>
      <c r="V293" s="162">
        <v>8.3999999999999995E-3</v>
      </c>
      <c r="W293" s="164">
        <v>3.0499999999999999E-2</v>
      </c>
      <c r="X293" s="4" t="s">
        <v>409</v>
      </c>
      <c r="Y293" s="4" t="s">
        <v>134</v>
      </c>
      <c r="Z293" s="151">
        <v>50000</v>
      </c>
      <c r="AA293" s="158">
        <v>1</v>
      </c>
      <c r="AB293" s="175">
        <v>105.44</v>
      </c>
      <c r="AD293" s="151">
        <v>52.72</v>
      </c>
      <c r="AG293" s="2" t="s">
        <v>36</v>
      </c>
      <c r="AH293" s="164">
        <v>1.26E-4</v>
      </c>
      <c r="AI293" s="164">
        <v>8.0128072849542601E-3</v>
      </c>
      <c r="AJ293" s="164">
        <v>1.3773344381456799E-3</v>
      </c>
    </row>
    <row r="294" spans="1:36">
      <c r="A294" s="2">
        <v>337</v>
      </c>
      <c r="B294" s="2">
        <v>9962</v>
      </c>
      <c r="C294" s="2" t="s">
        <v>1667</v>
      </c>
      <c r="D294" s="2" t="s">
        <v>1668</v>
      </c>
      <c r="E294" s="4" t="s">
        <v>1303</v>
      </c>
      <c r="F294" s="2" t="s">
        <v>2261</v>
      </c>
      <c r="G294" s="2" t="s">
        <v>2262</v>
      </c>
      <c r="H294" s="2" t="s">
        <v>318</v>
      </c>
      <c r="I294" s="2" t="s">
        <v>965</v>
      </c>
      <c r="J294" s="2" t="s">
        <v>30</v>
      </c>
      <c r="K294" s="2" t="s">
        <v>30</v>
      </c>
      <c r="L294" s="2" t="s">
        <v>324</v>
      </c>
      <c r="M294" s="2" t="s">
        <v>41</v>
      </c>
      <c r="N294" s="2" t="s">
        <v>473</v>
      </c>
      <c r="O294" s="2" t="s">
        <v>134</v>
      </c>
      <c r="P294" s="2" t="s">
        <v>1826</v>
      </c>
      <c r="Q294" s="2" t="s">
        <v>410</v>
      </c>
      <c r="R294" s="2" t="s">
        <v>403</v>
      </c>
      <c r="S294" s="2" t="s">
        <v>34</v>
      </c>
      <c r="T294" s="151">
        <v>1.1419999999999999</v>
      </c>
      <c r="U294" s="2" t="s">
        <v>2263</v>
      </c>
      <c r="V294" s="162">
        <v>2.29E-2</v>
      </c>
      <c r="W294" s="164">
        <v>4.8680000000000001E-2</v>
      </c>
      <c r="X294" s="4" t="s">
        <v>409</v>
      </c>
      <c r="Y294" s="4" t="s">
        <v>134</v>
      </c>
      <c r="Z294" s="151">
        <v>19038.46</v>
      </c>
      <c r="AA294" s="158">
        <v>1</v>
      </c>
      <c r="AB294" s="175">
        <v>97.94</v>
      </c>
      <c r="AD294" s="151">
        <v>18.646000000000001</v>
      </c>
      <c r="AG294" s="2" t="s">
        <v>36</v>
      </c>
      <c r="AH294" s="164">
        <v>5.7000000000000003E-5</v>
      </c>
      <c r="AI294" s="164">
        <v>2.8340089122927598E-3</v>
      </c>
      <c r="AJ294" s="164">
        <v>4.8714238769251701E-4</v>
      </c>
    </row>
    <row r="295" spans="1:36">
      <c r="A295" s="2">
        <v>337</v>
      </c>
      <c r="B295" s="2">
        <v>9962</v>
      </c>
      <c r="C295" s="2" t="s">
        <v>2264</v>
      </c>
      <c r="D295" s="2" t="s">
        <v>2265</v>
      </c>
      <c r="E295" s="4" t="s">
        <v>1303</v>
      </c>
      <c r="F295" s="2" t="s">
        <v>2452</v>
      </c>
      <c r="G295" s="2" t="s">
        <v>2453</v>
      </c>
      <c r="H295" s="2" t="s">
        <v>318</v>
      </c>
      <c r="I295" s="2" t="s">
        <v>965</v>
      </c>
      <c r="J295" s="2" t="s">
        <v>30</v>
      </c>
      <c r="K295" s="2" t="s">
        <v>30</v>
      </c>
      <c r="L295" s="2" t="s">
        <v>324</v>
      </c>
      <c r="M295" s="2" t="s">
        <v>41</v>
      </c>
      <c r="N295" s="2" t="s">
        <v>441</v>
      </c>
      <c r="O295" s="2" t="s">
        <v>134</v>
      </c>
      <c r="P295" s="2" t="s">
        <v>1834</v>
      </c>
      <c r="Q295" s="2" t="s">
        <v>410</v>
      </c>
      <c r="R295" s="2" t="s">
        <v>403</v>
      </c>
      <c r="S295" s="2" t="s">
        <v>34</v>
      </c>
      <c r="T295" s="151">
        <v>3.843</v>
      </c>
      <c r="U295" s="2" t="s">
        <v>1974</v>
      </c>
      <c r="V295" s="162">
        <v>2.6200000000000001E-2</v>
      </c>
      <c r="W295" s="164">
        <v>4.8739999999999999E-2</v>
      </c>
      <c r="X295" s="4" t="s">
        <v>409</v>
      </c>
      <c r="Y295" s="4" t="s">
        <v>134</v>
      </c>
      <c r="Z295" s="151">
        <v>67090</v>
      </c>
      <c r="AA295" s="158">
        <v>1</v>
      </c>
      <c r="AB295" s="175">
        <v>93.04</v>
      </c>
      <c r="AD295" s="151">
        <v>62.420999999999999</v>
      </c>
      <c r="AG295" s="2" t="s">
        <v>36</v>
      </c>
      <c r="AH295" s="164">
        <v>5.1999999999999997E-5</v>
      </c>
      <c r="AI295" s="164">
        <v>9.4871723367137596E-3</v>
      </c>
      <c r="AJ295" s="164">
        <v>1.6307654377904399E-3</v>
      </c>
    </row>
    <row r="296" spans="1:36">
      <c r="A296" s="2">
        <v>337</v>
      </c>
      <c r="B296" s="2">
        <v>9962</v>
      </c>
      <c r="C296" s="2" t="s">
        <v>2264</v>
      </c>
      <c r="D296" s="2" t="s">
        <v>2265</v>
      </c>
      <c r="E296" s="4" t="s">
        <v>1303</v>
      </c>
      <c r="F296" s="2" t="s">
        <v>2266</v>
      </c>
      <c r="G296" s="2" t="s">
        <v>2267</v>
      </c>
      <c r="H296" s="2" t="s">
        <v>318</v>
      </c>
      <c r="I296" s="2" t="s">
        <v>753</v>
      </c>
      <c r="J296" s="2" t="s">
        <v>30</v>
      </c>
      <c r="K296" s="2" t="s">
        <v>30</v>
      </c>
      <c r="L296" s="2" t="s">
        <v>324</v>
      </c>
      <c r="M296" s="2" t="s">
        <v>41</v>
      </c>
      <c r="N296" s="2" t="s">
        <v>441</v>
      </c>
      <c r="O296" s="2" t="s">
        <v>134</v>
      </c>
      <c r="P296" s="2" t="s">
        <v>1826</v>
      </c>
      <c r="Q296" s="2" t="s">
        <v>410</v>
      </c>
      <c r="R296" s="2" t="s">
        <v>403</v>
      </c>
      <c r="S296" s="2" t="s">
        <v>34</v>
      </c>
      <c r="T296" s="151">
        <v>6.3789999999999996</v>
      </c>
      <c r="U296" s="2" t="s">
        <v>2268</v>
      </c>
      <c r="V296" s="162">
        <v>2.0899999999999998E-2</v>
      </c>
      <c r="W296" s="164">
        <v>3.2320000000000002E-2</v>
      </c>
      <c r="X296" s="4" t="s">
        <v>409</v>
      </c>
      <c r="Y296" s="4" t="s">
        <v>134</v>
      </c>
      <c r="Z296" s="151">
        <v>100000</v>
      </c>
      <c r="AA296" s="158">
        <v>1</v>
      </c>
      <c r="AB296" s="175">
        <v>106.44</v>
      </c>
      <c r="AD296" s="151">
        <v>106.44</v>
      </c>
      <c r="AG296" s="2" t="s">
        <v>36</v>
      </c>
      <c r="AH296" s="164">
        <v>6.4999999999999994E-5</v>
      </c>
      <c r="AI296" s="164">
        <v>1.6177602568485001E-2</v>
      </c>
      <c r="AJ296" s="164">
        <v>2.7807943398373701E-3</v>
      </c>
    </row>
    <row r="297" spans="1:36">
      <c r="A297" s="2">
        <v>337</v>
      </c>
      <c r="B297" s="2">
        <v>9962</v>
      </c>
      <c r="C297" s="2" t="s">
        <v>2269</v>
      </c>
      <c r="D297" s="2" t="s">
        <v>2270</v>
      </c>
      <c r="E297" s="4" t="s">
        <v>310</v>
      </c>
      <c r="F297" s="2" t="s">
        <v>2271</v>
      </c>
      <c r="G297" s="2" t="s">
        <v>2272</v>
      </c>
      <c r="H297" s="2" t="s">
        <v>318</v>
      </c>
      <c r="I297" s="2" t="s">
        <v>965</v>
      </c>
      <c r="J297" s="2" t="s">
        <v>30</v>
      </c>
      <c r="K297" s="2" t="s">
        <v>80</v>
      </c>
      <c r="L297" s="2" t="s">
        <v>324</v>
      </c>
      <c r="M297" s="2" t="s">
        <v>41</v>
      </c>
      <c r="N297" s="2" t="s">
        <v>461</v>
      </c>
      <c r="O297" s="2" t="s">
        <v>134</v>
      </c>
      <c r="P297" s="2" t="s">
        <v>1862</v>
      </c>
      <c r="Q297" s="2" t="s">
        <v>410</v>
      </c>
      <c r="R297" s="2" t="s">
        <v>403</v>
      </c>
      <c r="S297" s="2" t="s">
        <v>34</v>
      </c>
      <c r="T297" s="151">
        <v>0.82699999999999996</v>
      </c>
      <c r="U297" s="2" t="s">
        <v>2158</v>
      </c>
      <c r="V297" s="162">
        <v>4.045E-2</v>
      </c>
      <c r="W297" s="164">
        <v>0.15790000000000001</v>
      </c>
      <c r="X297" s="4" t="s">
        <v>409</v>
      </c>
      <c r="Y297" s="4" t="s">
        <v>134</v>
      </c>
      <c r="Z297" s="151">
        <v>0.6</v>
      </c>
      <c r="AA297" s="158">
        <v>1</v>
      </c>
      <c r="AB297" s="175">
        <v>92.45</v>
      </c>
      <c r="AD297" s="151">
        <v>1E-3</v>
      </c>
      <c r="AG297" s="2" t="s">
        <v>36</v>
      </c>
      <c r="AH297" s="164">
        <v>0</v>
      </c>
      <c r="AI297" s="164">
        <v>8.43077428103969E-8</v>
      </c>
      <c r="AJ297" s="164">
        <v>1.4491794628972099E-8</v>
      </c>
    </row>
    <row r="298" spans="1:36">
      <c r="A298" s="2">
        <v>337</v>
      </c>
      <c r="B298" s="2">
        <v>9962</v>
      </c>
      <c r="C298" s="2" t="s">
        <v>2269</v>
      </c>
      <c r="D298" s="2" t="s">
        <v>2270</v>
      </c>
      <c r="E298" s="4" t="s">
        <v>310</v>
      </c>
      <c r="F298" s="2" t="s">
        <v>2454</v>
      </c>
      <c r="G298" s="2" t="s">
        <v>2455</v>
      </c>
      <c r="H298" s="2" t="s">
        <v>318</v>
      </c>
      <c r="I298" s="2" t="s">
        <v>965</v>
      </c>
      <c r="J298" s="2" t="s">
        <v>30</v>
      </c>
      <c r="K298" s="2" t="s">
        <v>80</v>
      </c>
      <c r="L298" s="2" t="s">
        <v>324</v>
      </c>
      <c r="M298" s="2" t="s">
        <v>41</v>
      </c>
      <c r="N298" s="2" t="s">
        <v>461</v>
      </c>
      <c r="O298" s="2" t="s">
        <v>134</v>
      </c>
      <c r="P298" s="2" t="s">
        <v>1826</v>
      </c>
      <c r="Q298" s="2" t="s">
        <v>410</v>
      </c>
      <c r="R298" s="2" t="s">
        <v>403</v>
      </c>
      <c r="S298" s="2" t="s">
        <v>34</v>
      </c>
      <c r="T298" s="151">
        <v>1.1839999999999999</v>
      </c>
      <c r="U298" s="2" t="s">
        <v>1992</v>
      </c>
      <c r="V298" s="162">
        <v>0.09</v>
      </c>
      <c r="W298" s="164">
        <v>7.6689999999999994E-2</v>
      </c>
      <c r="X298" s="4" t="s">
        <v>409</v>
      </c>
      <c r="Y298" s="4" t="s">
        <v>134</v>
      </c>
      <c r="Z298" s="151">
        <v>0.89</v>
      </c>
      <c r="AA298" s="158">
        <v>1</v>
      </c>
      <c r="AB298" s="175">
        <v>103.98</v>
      </c>
      <c r="AD298" s="151">
        <v>1E-3</v>
      </c>
      <c r="AG298" s="2" t="s">
        <v>36</v>
      </c>
      <c r="AH298" s="164">
        <v>0</v>
      </c>
      <c r="AI298" s="164">
        <v>1.4065303761868201E-7</v>
      </c>
      <c r="AJ298" s="164">
        <v>2.4177078725676301E-8</v>
      </c>
    </row>
    <row r="299" spans="1:36">
      <c r="A299" s="2">
        <v>337</v>
      </c>
      <c r="B299" s="2">
        <v>9962</v>
      </c>
      <c r="C299" s="2" t="s">
        <v>2273</v>
      </c>
      <c r="D299" s="2" t="s">
        <v>2274</v>
      </c>
      <c r="E299" s="4" t="s">
        <v>1303</v>
      </c>
      <c r="F299" s="2" t="s">
        <v>2275</v>
      </c>
      <c r="G299" s="2" t="s">
        <v>2276</v>
      </c>
      <c r="H299" s="2" t="s">
        <v>318</v>
      </c>
      <c r="I299" s="2" t="s">
        <v>965</v>
      </c>
      <c r="J299" s="2" t="s">
        <v>30</v>
      </c>
      <c r="K299" s="2" t="s">
        <v>30</v>
      </c>
      <c r="L299" s="2" t="s">
        <v>324</v>
      </c>
      <c r="M299" s="209" t="s">
        <v>41</v>
      </c>
      <c r="N299" s="2" t="s">
        <v>461</v>
      </c>
      <c r="O299" s="2" t="s">
        <v>134</v>
      </c>
      <c r="P299" s="2" t="s">
        <v>1814</v>
      </c>
      <c r="Q299" s="2" t="s">
        <v>412</v>
      </c>
      <c r="R299" s="2" t="s">
        <v>403</v>
      </c>
      <c r="S299" s="2" t="s">
        <v>34</v>
      </c>
      <c r="T299" s="151">
        <v>5.8659999999999997</v>
      </c>
      <c r="U299" s="2" t="s">
        <v>2277</v>
      </c>
      <c r="V299" s="162">
        <v>5.5899999999999998E-2</v>
      </c>
      <c r="W299" s="164">
        <v>5.8259999999999999E-2</v>
      </c>
      <c r="X299" s="4" t="s">
        <v>409</v>
      </c>
      <c r="Y299" s="4" t="s">
        <v>134</v>
      </c>
      <c r="Z299" s="151">
        <v>48000</v>
      </c>
      <c r="AA299" s="158">
        <v>1</v>
      </c>
      <c r="AB299" s="175">
        <v>99.28</v>
      </c>
      <c r="AD299" s="151">
        <v>47.654000000000003</v>
      </c>
      <c r="AG299" s="2" t="s">
        <v>36</v>
      </c>
      <c r="AH299" s="164">
        <v>2.1499999999999999E-4</v>
      </c>
      <c r="AI299" s="164">
        <v>7.2428968793650196E-3</v>
      </c>
      <c r="AJ299" s="164">
        <v>1.24499329000701E-3</v>
      </c>
    </row>
    <row r="300" spans="1:36">
      <c r="A300" s="2">
        <v>337</v>
      </c>
      <c r="B300" s="2">
        <v>9962</v>
      </c>
      <c r="C300" s="2" t="s">
        <v>1675</v>
      </c>
      <c r="D300" s="2" t="s">
        <v>1676</v>
      </c>
      <c r="E300" s="4" t="s">
        <v>1303</v>
      </c>
      <c r="F300" s="2" t="s">
        <v>2280</v>
      </c>
      <c r="G300" s="2" t="s">
        <v>2281</v>
      </c>
      <c r="H300" s="2" t="s">
        <v>318</v>
      </c>
      <c r="I300" s="2" t="s">
        <v>753</v>
      </c>
      <c r="J300" s="2" t="s">
        <v>30</v>
      </c>
      <c r="K300" s="2" t="s">
        <v>30</v>
      </c>
      <c r="L300" s="2" t="s">
        <v>324</v>
      </c>
      <c r="M300" s="2" t="s">
        <v>41</v>
      </c>
      <c r="N300" s="2" t="s">
        <v>457</v>
      </c>
      <c r="O300" s="2" t="s">
        <v>134</v>
      </c>
      <c r="P300" s="2" t="s">
        <v>1814</v>
      </c>
      <c r="Q300" s="2" t="s">
        <v>412</v>
      </c>
      <c r="R300" s="2" t="s">
        <v>403</v>
      </c>
      <c r="S300" s="2" t="s">
        <v>34</v>
      </c>
      <c r="T300" s="151">
        <v>3.323</v>
      </c>
      <c r="U300" s="2" t="s">
        <v>2282</v>
      </c>
      <c r="V300" s="162">
        <v>3.2500000000000001E-2</v>
      </c>
      <c r="W300" s="164">
        <v>3.288E-2</v>
      </c>
      <c r="X300" s="4" t="s">
        <v>409</v>
      </c>
      <c r="Y300" s="4" t="s">
        <v>134</v>
      </c>
      <c r="Z300" s="151">
        <v>41280</v>
      </c>
      <c r="AA300" s="158">
        <v>1</v>
      </c>
      <c r="AB300" s="175">
        <v>109.85</v>
      </c>
      <c r="AD300" s="151">
        <v>45.345999999999997</v>
      </c>
      <c r="AG300" s="2" t="s">
        <v>36</v>
      </c>
      <c r="AH300" s="164">
        <v>1.0399999999999999E-4</v>
      </c>
      <c r="AI300" s="164">
        <v>6.8920599424908604E-3</v>
      </c>
      <c r="AJ300" s="164">
        <v>1.18468735999448E-3</v>
      </c>
    </row>
    <row r="301" spans="1:36">
      <c r="A301" s="2">
        <v>337</v>
      </c>
      <c r="B301" s="2">
        <v>9962</v>
      </c>
      <c r="C301" s="2" t="s">
        <v>2287</v>
      </c>
      <c r="D301" s="2" t="s">
        <v>2288</v>
      </c>
      <c r="E301" s="4" t="s">
        <v>1303</v>
      </c>
      <c r="F301" s="2" t="s">
        <v>2289</v>
      </c>
      <c r="G301" s="2" t="s">
        <v>2290</v>
      </c>
      <c r="H301" s="2" t="s">
        <v>318</v>
      </c>
      <c r="I301" s="2" t="s">
        <v>965</v>
      </c>
      <c r="J301" s="2" t="s">
        <v>30</v>
      </c>
      <c r="K301" s="2" t="s">
        <v>30</v>
      </c>
      <c r="L301" s="2" t="s">
        <v>324</v>
      </c>
      <c r="M301" s="2" t="s">
        <v>41</v>
      </c>
      <c r="N301" s="2" t="s">
        <v>443</v>
      </c>
      <c r="O301" s="2" t="s">
        <v>134</v>
      </c>
      <c r="P301" s="2" t="s">
        <v>1862</v>
      </c>
      <c r="Q301" s="2" t="s">
        <v>410</v>
      </c>
      <c r="R301" s="2" t="s">
        <v>403</v>
      </c>
      <c r="S301" s="2" t="s">
        <v>34</v>
      </c>
      <c r="T301" s="151">
        <v>2.4260000000000002</v>
      </c>
      <c r="U301" s="2" t="s">
        <v>2180</v>
      </c>
      <c r="V301" s="162">
        <v>5.3400000000000003E-2</v>
      </c>
      <c r="W301" s="164">
        <v>5.7290000000000001E-2</v>
      </c>
      <c r="X301" s="4" t="s">
        <v>409</v>
      </c>
      <c r="Y301" s="4" t="s">
        <v>134</v>
      </c>
      <c r="Z301" s="151">
        <v>56000</v>
      </c>
      <c r="AA301" s="158">
        <v>1</v>
      </c>
      <c r="AB301" s="175">
        <v>101.03</v>
      </c>
      <c r="AD301" s="151">
        <v>56.576999999999998</v>
      </c>
      <c r="AG301" s="2" t="s">
        <v>36</v>
      </c>
      <c r="AH301" s="164">
        <v>8.0000000000000007E-5</v>
      </c>
      <c r="AI301" s="164">
        <v>8.5989945978641891E-3</v>
      </c>
      <c r="AJ301" s="164">
        <v>1.4780951259499399E-3</v>
      </c>
    </row>
    <row r="302" spans="1:36">
      <c r="A302" s="2">
        <v>337</v>
      </c>
      <c r="B302" s="2">
        <v>9962</v>
      </c>
      <c r="C302" s="2" t="s">
        <v>2291</v>
      </c>
      <c r="D302" s="2" t="s">
        <v>2292</v>
      </c>
      <c r="E302" s="4" t="s">
        <v>1303</v>
      </c>
      <c r="F302" s="2" t="s">
        <v>2293</v>
      </c>
      <c r="G302" s="2" t="s">
        <v>2294</v>
      </c>
      <c r="H302" s="2" t="s">
        <v>318</v>
      </c>
      <c r="I302" s="2" t="s">
        <v>965</v>
      </c>
      <c r="J302" s="2" t="s">
        <v>30</v>
      </c>
      <c r="K302" s="2" t="s">
        <v>30</v>
      </c>
      <c r="L302" s="2" t="s">
        <v>324</v>
      </c>
      <c r="M302" s="2" t="s">
        <v>41</v>
      </c>
      <c r="N302" s="2" t="s">
        <v>443</v>
      </c>
      <c r="O302" s="2" t="s">
        <v>134</v>
      </c>
      <c r="P302" s="2" t="s">
        <v>1909</v>
      </c>
      <c r="Q302" s="2" t="s">
        <v>412</v>
      </c>
      <c r="R302" s="2" t="s">
        <v>403</v>
      </c>
      <c r="S302" s="2" t="s">
        <v>34</v>
      </c>
      <c r="T302" s="151">
        <v>0.28499999999999998</v>
      </c>
      <c r="U302" s="2" t="s">
        <v>2295</v>
      </c>
      <c r="V302" s="162">
        <v>4.3499999999999997E-2</v>
      </c>
      <c r="W302" s="164">
        <v>7.0150000000000004E-2</v>
      </c>
      <c r="X302" s="4" t="s">
        <v>409</v>
      </c>
      <c r="Y302" s="4" t="s">
        <v>134</v>
      </c>
      <c r="Z302" s="151">
        <v>12000</v>
      </c>
      <c r="AA302" s="158">
        <v>1</v>
      </c>
      <c r="AB302" s="175">
        <v>100.22</v>
      </c>
      <c r="AD302" s="151">
        <v>12.026</v>
      </c>
      <c r="AG302" s="2" t="s">
        <v>36</v>
      </c>
      <c r="AH302" s="164">
        <v>5.0000000000000001E-4</v>
      </c>
      <c r="AI302" s="164">
        <v>1.82786846608069E-3</v>
      </c>
      <c r="AJ302" s="164">
        <v>3.1419527478974198E-4</v>
      </c>
    </row>
    <row r="303" spans="1:36">
      <c r="A303" s="2">
        <v>337</v>
      </c>
      <c r="B303" s="2">
        <v>9962</v>
      </c>
      <c r="C303" s="2" t="s">
        <v>2291</v>
      </c>
      <c r="D303" s="2" t="s">
        <v>2292</v>
      </c>
      <c r="E303" s="4" t="s">
        <v>1303</v>
      </c>
      <c r="F303" s="2" t="s">
        <v>2296</v>
      </c>
      <c r="G303" s="2" t="s">
        <v>2297</v>
      </c>
      <c r="H303" s="2" t="s">
        <v>318</v>
      </c>
      <c r="I303" s="2" t="s">
        <v>965</v>
      </c>
      <c r="J303" s="2" t="s">
        <v>30</v>
      </c>
      <c r="K303" s="2" t="s">
        <v>30</v>
      </c>
      <c r="L303" s="2" t="s">
        <v>324</v>
      </c>
      <c r="M303" s="2" t="s">
        <v>41</v>
      </c>
      <c r="N303" s="2" t="s">
        <v>443</v>
      </c>
      <c r="O303" s="2" t="s">
        <v>134</v>
      </c>
      <c r="P303" s="2" t="s">
        <v>1909</v>
      </c>
      <c r="Q303" s="2" t="s">
        <v>412</v>
      </c>
      <c r="R303" s="2" t="s">
        <v>403</v>
      </c>
      <c r="S303" s="2" t="s">
        <v>34</v>
      </c>
      <c r="T303" s="151">
        <v>0.28499999999999998</v>
      </c>
      <c r="U303" s="2" t="s">
        <v>2295</v>
      </c>
      <c r="V303" s="162">
        <v>0.06</v>
      </c>
      <c r="W303" s="164">
        <v>6.1990000000000003E-2</v>
      </c>
      <c r="X303" s="4" t="s">
        <v>409</v>
      </c>
      <c r="Y303" s="4" t="s">
        <v>134</v>
      </c>
      <c r="Z303" s="151">
        <v>2667.2</v>
      </c>
      <c r="AA303" s="158">
        <v>1</v>
      </c>
      <c r="AB303" s="175">
        <v>101.25</v>
      </c>
      <c r="AD303" s="151">
        <v>2.7010000000000001</v>
      </c>
      <c r="AG303" s="2" t="s">
        <v>36</v>
      </c>
      <c r="AH303" s="164">
        <v>1.03E-4</v>
      </c>
      <c r="AI303" s="164">
        <v>4.1044966967584197E-4</v>
      </c>
      <c r="AJ303" s="164">
        <v>7.0552859324543596E-5</v>
      </c>
    </row>
    <row r="304" spans="1:36">
      <c r="A304" s="2">
        <v>337</v>
      </c>
      <c r="B304" s="2">
        <v>9962</v>
      </c>
      <c r="C304" s="2" t="s">
        <v>2298</v>
      </c>
      <c r="D304" s="2" t="s">
        <v>2299</v>
      </c>
      <c r="E304" s="4" t="s">
        <v>1303</v>
      </c>
      <c r="F304" s="2" t="s">
        <v>2300</v>
      </c>
      <c r="G304" s="2" t="s">
        <v>2301</v>
      </c>
      <c r="H304" s="2" t="s">
        <v>318</v>
      </c>
      <c r="I304" s="2" t="s">
        <v>965</v>
      </c>
      <c r="J304" s="2" t="s">
        <v>30</v>
      </c>
      <c r="K304" s="2" t="s">
        <v>30</v>
      </c>
      <c r="L304" s="2" t="s">
        <v>324</v>
      </c>
      <c r="M304" s="2" t="s">
        <v>41</v>
      </c>
      <c r="N304" s="2" t="s">
        <v>443</v>
      </c>
      <c r="O304" s="2" t="s">
        <v>134</v>
      </c>
      <c r="P304" s="2" t="s">
        <v>1842</v>
      </c>
      <c r="Q304" s="2" t="s">
        <v>406</v>
      </c>
      <c r="R304" s="2" t="s">
        <v>406</v>
      </c>
      <c r="S304" s="2" t="s">
        <v>34</v>
      </c>
      <c r="T304" s="151">
        <v>0.247</v>
      </c>
      <c r="U304" s="2" t="s">
        <v>1809</v>
      </c>
      <c r="V304" s="162">
        <v>4.4900000000000002E-2</v>
      </c>
      <c r="W304" s="164">
        <v>8.0570000000000003E-2</v>
      </c>
      <c r="X304" s="4" t="s">
        <v>409</v>
      </c>
      <c r="Y304" s="4" t="s">
        <v>134</v>
      </c>
      <c r="Z304" s="151">
        <v>11220</v>
      </c>
      <c r="AA304" s="158">
        <v>1</v>
      </c>
      <c r="AB304" s="175">
        <v>100.31</v>
      </c>
      <c r="AD304" s="151">
        <v>11.255000000000001</v>
      </c>
      <c r="AG304" s="2" t="s">
        <v>36</v>
      </c>
      <c r="AH304" s="164">
        <v>3.1700000000000001E-4</v>
      </c>
      <c r="AI304" s="164">
        <v>1.7105917905950699E-3</v>
      </c>
      <c r="AJ304" s="164">
        <v>2.9403639685929701E-4</v>
      </c>
    </row>
    <row r="305" spans="1:36">
      <c r="A305" s="2">
        <v>337</v>
      </c>
      <c r="B305" s="2">
        <v>9962</v>
      </c>
      <c r="C305" s="2" t="s">
        <v>1687</v>
      </c>
      <c r="D305" s="2" t="s">
        <v>1688</v>
      </c>
      <c r="E305" s="4" t="s">
        <v>1303</v>
      </c>
      <c r="F305" s="2" t="s">
        <v>2302</v>
      </c>
      <c r="G305" s="2" t="s">
        <v>2303</v>
      </c>
      <c r="H305" s="2" t="s">
        <v>318</v>
      </c>
      <c r="I305" s="2" t="s">
        <v>753</v>
      </c>
      <c r="J305" s="2" t="s">
        <v>30</v>
      </c>
      <c r="K305" s="2" t="s">
        <v>30</v>
      </c>
      <c r="L305" s="2" t="s">
        <v>324</v>
      </c>
      <c r="M305" s="2" t="s">
        <v>41</v>
      </c>
      <c r="N305" s="2" t="s">
        <v>460</v>
      </c>
      <c r="O305" s="2" t="s">
        <v>134</v>
      </c>
      <c r="P305" s="2" t="s">
        <v>1834</v>
      </c>
      <c r="Q305" s="2" t="s">
        <v>410</v>
      </c>
      <c r="R305" s="2" t="s">
        <v>403</v>
      </c>
      <c r="S305" s="2" t="s">
        <v>34</v>
      </c>
      <c r="T305" s="151">
        <v>6.2430000000000003</v>
      </c>
      <c r="U305" s="2" t="s">
        <v>2304</v>
      </c>
      <c r="V305" s="162">
        <v>2.5000000000000001E-2</v>
      </c>
      <c r="W305" s="164">
        <v>3.1879999999999999E-2</v>
      </c>
      <c r="X305" s="4" t="s">
        <v>409</v>
      </c>
      <c r="Y305" s="4" t="s">
        <v>134</v>
      </c>
      <c r="Z305" s="151">
        <v>75450</v>
      </c>
      <c r="AA305" s="158">
        <v>1</v>
      </c>
      <c r="AB305" s="175">
        <v>111</v>
      </c>
      <c r="AD305" s="151">
        <v>83.748999999999995</v>
      </c>
      <c r="AG305" s="2" t="s">
        <v>36</v>
      </c>
      <c r="AH305" s="164">
        <v>7.2000000000000002E-5</v>
      </c>
      <c r="AI305" s="164">
        <v>1.2728918886784501E-2</v>
      </c>
      <c r="AJ305" s="164">
        <v>2.1879945092466201E-3</v>
      </c>
    </row>
    <row r="306" spans="1:36">
      <c r="A306" s="2">
        <v>337</v>
      </c>
      <c r="B306" s="2">
        <v>9962</v>
      </c>
      <c r="C306" s="2" t="s">
        <v>2305</v>
      </c>
      <c r="D306" s="2" t="s">
        <v>2306</v>
      </c>
      <c r="E306" s="4" t="s">
        <v>1303</v>
      </c>
      <c r="F306" s="2" t="s">
        <v>2307</v>
      </c>
      <c r="G306" s="2" t="s">
        <v>2308</v>
      </c>
      <c r="H306" s="2" t="s">
        <v>318</v>
      </c>
      <c r="I306" s="2" t="s">
        <v>965</v>
      </c>
      <c r="J306" s="2" t="s">
        <v>30</v>
      </c>
      <c r="K306" s="2" t="s">
        <v>30</v>
      </c>
      <c r="L306" s="2" t="s">
        <v>324</v>
      </c>
      <c r="M306" s="2" t="s">
        <v>31</v>
      </c>
      <c r="N306" s="2" t="s">
        <v>443</v>
      </c>
      <c r="O306" s="2" t="s">
        <v>134</v>
      </c>
      <c r="P306" s="2" t="s">
        <v>1814</v>
      </c>
      <c r="Q306" s="2" t="s">
        <v>412</v>
      </c>
      <c r="R306" s="2" t="s">
        <v>403</v>
      </c>
      <c r="S306" s="2" t="s">
        <v>34</v>
      </c>
      <c r="T306" s="151">
        <v>3.782</v>
      </c>
      <c r="U306" s="2" t="s">
        <v>102</v>
      </c>
      <c r="V306" s="162">
        <v>5.8200000000000002E-2</v>
      </c>
      <c r="W306" s="164">
        <v>5.3960000000000001E-2</v>
      </c>
      <c r="X306" s="4" t="s">
        <v>409</v>
      </c>
      <c r="Y306" s="4" t="s">
        <v>134</v>
      </c>
      <c r="Z306" s="151">
        <v>47000</v>
      </c>
      <c r="AA306" s="158">
        <v>1</v>
      </c>
      <c r="AB306" s="175">
        <v>105.12</v>
      </c>
      <c r="AD306" s="151">
        <v>49.405999999999999</v>
      </c>
      <c r="AG306" s="2" t="s">
        <v>36</v>
      </c>
      <c r="AH306" s="164">
        <v>2.6899999999999998E-4</v>
      </c>
      <c r="AI306" s="164">
        <v>7.5091798528710901E-3</v>
      </c>
      <c r="AJ306" s="164">
        <v>1.29076510213962E-3</v>
      </c>
    </row>
    <row r="307" spans="1:36">
      <c r="A307" s="2">
        <v>337</v>
      </c>
      <c r="B307" s="2">
        <v>9962</v>
      </c>
      <c r="C307" s="2" t="s">
        <v>2456</v>
      </c>
      <c r="D307" s="2" t="s">
        <v>2457</v>
      </c>
      <c r="E307" s="4" t="s">
        <v>1303</v>
      </c>
      <c r="F307" s="2" t="s">
        <v>2458</v>
      </c>
      <c r="G307" s="2" t="s">
        <v>2459</v>
      </c>
      <c r="H307" s="2" t="s">
        <v>318</v>
      </c>
      <c r="I307" s="2" t="s">
        <v>753</v>
      </c>
      <c r="J307" s="2" t="s">
        <v>30</v>
      </c>
      <c r="K307" s="2" t="s">
        <v>30</v>
      </c>
      <c r="L307" s="2" t="s">
        <v>324</v>
      </c>
      <c r="M307" s="2" t="s">
        <v>41</v>
      </c>
      <c r="N307" s="2" t="s">
        <v>460</v>
      </c>
      <c r="O307" s="2" t="s">
        <v>134</v>
      </c>
      <c r="P307" s="2" t="s">
        <v>1830</v>
      </c>
      <c r="Q307" s="2" t="s">
        <v>410</v>
      </c>
      <c r="R307" s="2" t="s">
        <v>403</v>
      </c>
      <c r="S307" s="2" t="s">
        <v>34</v>
      </c>
      <c r="T307" s="151">
        <v>2.6429999999999998</v>
      </c>
      <c r="U307" s="2" t="s">
        <v>2460</v>
      </c>
      <c r="V307" s="162">
        <v>1.0800000000000001E-2</v>
      </c>
      <c r="W307" s="164">
        <v>3.431E-2</v>
      </c>
      <c r="X307" s="4" t="s">
        <v>409</v>
      </c>
      <c r="Y307" s="4" t="s">
        <v>134</v>
      </c>
      <c r="Z307" s="151">
        <v>0.5</v>
      </c>
      <c r="AA307" s="158">
        <v>1</v>
      </c>
      <c r="AB307" s="175">
        <v>108.95</v>
      </c>
      <c r="AD307" s="151">
        <v>1E-3</v>
      </c>
      <c r="AG307" s="2" t="s">
        <v>36</v>
      </c>
      <c r="AH307" s="164">
        <v>0</v>
      </c>
      <c r="AI307" s="164">
        <v>8.2795462224560494E-8</v>
      </c>
      <c r="AJ307" s="164">
        <v>1.42318462666893E-8</v>
      </c>
    </row>
    <row r="308" spans="1:36">
      <c r="A308" s="2">
        <v>337</v>
      </c>
      <c r="B308" s="2">
        <v>9962</v>
      </c>
      <c r="C308" s="2" t="s">
        <v>2309</v>
      </c>
      <c r="D308" s="2" t="s">
        <v>2310</v>
      </c>
      <c r="E308" s="4" t="s">
        <v>1303</v>
      </c>
      <c r="F308" s="2" t="s">
        <v>2311</v>
      </c>
      <c r="G308" s="2" t="s">
        <v>2312</v>
      </c>
      <c r="H308" s="2" t="s">
        <v>318</v>
      </c>
      <c r="I308" s="2" t="s">
        <v>965</v>
      </c>
      <c r="J308" s="2" t="s">
        <v>30</v>
      </c>
      <c r="K308" s="2" t="s">
        <v>30</v>
      </c>
      <c r="L308" s="2" t="s">
        <v>324</v>
      </c>
      <c r="M308" s="2" t="s">
        <v>41</v>
      </c>
      <c r="N308" s="2" t="s">
        <v>439</v>
      </c>
      <c r="O308" s="2" t="s">
        <v>134</v>
      </c>
      <c r="P308" s="2" t="s">
        <v>2313</v>
      </c>
      <c r="Q308" s="2" t="s">
        <v>412</v>
      </c>
      <c r="R308" s="2" t="s">
        <v>403</v>
      </c>
      <c r="S308" s="2" t="s">
        <v>34</v>
      </c>
      <c r="T308" s="151">
        <v>0.49199999999999999</v>
      </c>
      <c r="U308" s="2" t="s">
        <v>2314</v>
      </c>
      <c r="V308" s="162">
        <v>3.15E-2</v>
      </c>
      <c r="W308" s="164">
        <v>8.004E-2</v>
      </c>
      <c r="X308" s="4" t="s">
        <v>409</v>
      </c>
      <c r="Y308" s="4" t="s">
        <v>134</v>
      </c>
      <c r="Z308" s="151">
        <v>30568.240000000002</v>
      </c>
      <c r="AA308" s="158">
        <v>1</v>
      </c>
      <c r="AB308" s="175">
        <v>98.54</v>
      </c>
      <c r="AD308" s="151">
        <v>30.122</v>
      </c>
      <c r="AG308" s="2" t="s">
        <v>36</v>
      </c>
      <c r="AH308" s="164">
        <v>3.5399999999999999E-4</v>
      </c>
      <c r="AI308" s="164">
        <v>4.5781739355897303E-3</v>
      </c>
      <c r="AJ308" s="164">
        <v>7.86949741964833E-4</v>
      </c>
    </row>
    <row r="309" spans="1:36">
      <c r="A309" s="2">
        <v>337</v>
      </c>
      <c r="B309" s="2">
        <v>9962</v>
      </c>
      <c r="C309" s="2" t="s">
        <v>2318</v>
      </c>
      <c r="D309" s="2" t="s">
        <v>2319</v>
      </c>
      <c r="E309" s="4" t="s">
        <v>1303</v>
      </c>
      <c r="F309" s="2" t="s">
        <v>2320</v>
      </c>
      <c r="G309" s="2" t="s">
        <v>2321</v>
      </c>
      <c r="H309" s="2" t="s">
        <v>318</v>
      </c>
      <c r="I309" s="2" t="s">
        <v>965</v>
      </c>
      <c r="J309" s="2" t="s">
        <v>30</v>
      </c>
      <c r="K309" s="2" t="s">
        <v>30</v>
      </c>
      <c r="L309" s="2" t="s">
        <v>324</v>
      </c>
      <c r="M309" s="2" t="s">
        <v>41</v>
      </c>
      <c r="N309" s="2" t="s">
        <v>460</v>
      </c>
      <c r="O309" s="2" t="s">
        <v>134</v>
      </c>
      <c r="P309" s="2" t="s">
        <v>1909</v>
      </c>
      <c r="Q309" s="2" t="s">
        <v>412</v>
      </c>
      <c r="R309" s="2" t="s">
        <v>403</v>
      </c>
      <c r="S309" s="2" t="s">
        <v>34</v>
      </c>
      <c r="T309" s="151">
        <v>2.7869999999999999</v>
      </c>
      <c r="U309" s="2" t="s">
        <v>2322</v>
      </c>
      <c r="V309" s="162">
        <v>4.1000000000000002E-2</v>
      </c>
      <c r="W309" s="164">
        <v>5.6250000000000001E-2</v>
      </c>
      <c r="X309" s="4" t="s">
        <v>409</v>
      </c>
      <c r="Y309" s="4" t="s">
        <v>134</v>
      </c>
      <c r="Z309" s="151">
        <v>12666.67</v>
      </c>
      <c r="AA309" s="158">
        <v>1</v>
      </c>
      <c r="AB309" s="175">
        <v>97.74</v>
      </c>
      <c r="AD309" s="151">
        <v>12.38</v>
      </c>
      <c r="AG309" s="2" t="s">
        <v>36</v>
      </c>
      <c r="AH309" s="164">
        <v>2.8E-5</v>
      </c>
      <c r="AI309" s="164">
        <v>1.8816727127536799E-3</v>
      </c>
      <c r="AJ309" s="164">
        <v>3.2344377400178999E-4</v>
      </c>
    </row>
    <row r="310" spans="1:36">
      <c r="A310" s="2">
        <v>337</v>
      </c>
      <c r="B310" s="2">
        <v>9962</v>
      </c>
      <c r="C310" s="2" t="s">
        <v>2461</v>
      </c>
      <c r="D310" s="2" t="s">
        <v>2462</v>
      </c>
      <c r="E310" s="4" t="s">
        <v>1303</v>
      </c>
      <c r="F310" s="2" t="s">
        <v>2463</v>
      </c>
      <c r="G310" s="2" t="s">
        <v>2464</v>
      </c>
      <c r="H310" s="2" t="s">
        <v>318</v>
      </c>
      <c r="I310" s="2" t="s">
        <v>754</v>
      </c>
      <c r="J310" s="2" t="s">
        <v>30</v>
      </c>
      <c r="K310" s="2" t="s">
        <v>30</v>
      </c>
      <c r="L310" s="2" t="s">
        <v>324</v>
      </c>
      <c r="M310" s="2" t="s">
        <v>41</v>
      </c>
      <c r="N310" s="2" t="s">
        <v>450</v>
      </c>
      <c r="O310" s="2" t="s">
        <v>134</v>
      </c>
      <c r="P310" s="2" t="s">
        <v>2057</v>
      </c>
      <c r="Q310" s="2" t="s">
        <v>412</v>
      </c>
      <c r="R310" s="2" t="s">
        <v>403</v>
      </c>
      <c r="S310" s="2" t="s">
        <v>34</v>
      </c>
      <c r="T310" s="151">
        <v>2.6720000000000002</v>
      </c>
      <c r="U310" s="2" t="s">
        <v>2465</v>
      </c>
      <c r="V310" s="162">
        <v>4.6899999999999997E-2</v>
      </c>
      <c r="W310" s="164">
        <v>6.7659999999999998E-2</v>
      </c>
      <c r="X310" s="4" t="s">
        <v>409</v>
      </c>
      <c r="Y310" s="4" t="s">
        <v>134</v>
      </c>
      <c r="Z310" s="151">
        <v>29065.37</v>
      </c>
      <c r="AA310" s="158">
        <v>1</v>
      </c>
      <c r="AB310" s="175">
        <v>101</v>
      </c>
      <c r="AD310" s="151">
        <v>29.356000000000002</v>
      </c>
      <c r="AG310" s="2" t="s">
        <v>36</v>
      </c>
      <c r="AH310" s="164">
        <v>2.1999999999999999E-5</v>
      </c>
      <c r="AI310" s="164">
        <v>4.4617632883279497E-3</v>
      </c>
      <c r="AJ310" s="164">
        <v>7.6693972703017403E-4</v>
      </c>
    </row>
    <row r="311" spans="1:36">
      <c r="A311" s="2">
        <v>337</v>
      </c>
      <c r="B311" s="2">
        <v>9962</v>
      </c>
      <c r="C311" s="2" t="s">
        <v>2327</v>
      </c>
      <c r="D311" s="2" t="s">
        <v>2328</v>
      </c>
      <c r="E311" s="4" t="s">
        <v>1303</v>
      </c>
      <c r="F311" s="2" t="s">
        <v>2329</v>
      </c>
      <c r="G311" s="2" t="s">
        <v>2330</v>
      </c>
      <c r="H311" s="2" t="s">
        <v>318</v>
      </c>
      <c r="I311" s="2" t="s">
        <v>753</v>
      </c>
      <c r="J311" s="2" t="s">
        <v>30</v>
      </c>
      <c r="K311" s="2" t="s">
        <v>30</v>
      </c>
      <c r="L311" s="2" t="s">
        <v>324</v>
      </c>
      <c r="M311" s="2" t="s">
        <v>41</v>
      </c>
      <c r="N311" s="2" t="s">
        <v>460</v>
      </c>
      <c r="O311" s="2" t="s">
        <v>134</v>
      </c>
      <c r="P311" s="2" t="s">
        <v>1842</v>
      </c>
      <c r="Q311" s="2" t="s">
        <v>406</v>
      </c>
      <c r="R311" s="2" t="s">
        <v>406</v>
      </c>
      <c r="S311" s="2" t="s">
        <v>34</v>
      </c>
      <c r="T311" s="151">
        <v>1.675</v>
      </c>
      <c r="U311" s="2" t="s">
        <v>2331</v>
      </c>
      <c r="V311" s="162">
        <v>3.5180000000000003E-2</v>
      </c>
      <c r="W311" s="164">
        <v>3.712E-2</v>
      </c>
      <c r="X311" s="4" t="s">
        <v>409</v>
      </c>
      <c r="Y311" s="4" t="s">
        <v>134</v>
      </c>
      <c r="Z311" s="151">
        <v>80000</v>
      </c>
      <c r="AA311" s="158">
        <v>1</v>
      </c>
      <c r="AB311" s="175">
        <v>108.75</v>
      </c>
      <c r="AD311" s="151">
        <v>87</v>
      </c>
      <c r="AG311" s="2" t="s">
        <v>36</v>
      </c>
      <c r="AH311" s="164">
        <v>1.15E-4</v>
      </c>
      <c r="AI311" s="164">
        <v>1.32229558761574E-2</v>
      </c>
      <c r="AJ311" s="164">
        <v>2.2729153285029301E-3</v>
      </c>
    </row>
    <row r="312" spans="1:36">
      <c r="A312" s="2">
        <v>337</v>
      </c>
      <c r="B312" s="2">
        <v>9962</v>
      </c>
      <c r="C312" s="2" t="s">
        <v>1474</v>
      </c>
      <c r="D312" s="2" t="s">
        <v>1475</v>
      </c>
      <c r="E312" s="4" t="s">
        <v>311</v>
      </c>
      <c r="F312" s="2" t="s">
        <v>2332</v>
      </c>
      <c r="G312" s="2" t="s">
        <v>2333</v>
      </c>
      <c r="H312" s="2" t="s">
        <v>318</v>
      </c>
      <c r="I312" s="2" t="s">
        <v>754</v>
      </c>
      <c r="J312" s="2" t="s">
        <v>79</v>
      </c>
      <c r="K312" s="2" t="s">
        <v>295</v>
      </c>
      <c r="L312" s="2" t="s">
        <v>324</v>
      </c>
      <c r="M312" s="2" t="s">
        <v>164</v>
      </c>
      <c r="N312" s="2" t="s">
        <v>450</v>
      </c>
      <c r="O312" s="2" t="s">
        <v>134</v>
      </c>
      <c r="P312" s="2" t="s">
        <v>1808</v>
      </c>
      <c r="Q312" s="2" t="s">
        <v>429</v>
      </c>
      <c r="R312" s="2" t="s">
        <v>403</v>
      </c>
      <c r="S312" s="2" t="s">
        <v>84</v>
      </c>
      <c r="T312" s="151">
        <v>2.81</v>
      </c>
      <c r="U312" s="2" t="s">
        <v>2334</v>
      </c>
      <c r="V312" s="162">
        <v>5.3749999999999999E-2</v>
      </c>
      <c r="W312" s="164">
        <v>7.1599999999999997E-2</v>
      </c>
      <c r="X312" s="4" t="s">
        <v>409</v>
      </c>
      <c r="Y312" s="4" t="s">
        <v>134</v>
      </c>
      <c r="Z312" s="151">
        <v>7000</v>
      </c>
      <c r="AA312" s="158">
        <v>3.718</v>
      </c>
      <c r="AB312" s="175">
        <v>95.662999999999997</v>
      </c>
      <c r="AD312" s="151">
        <v>24.896999999999998</v>
      </c>
      <c r="AG312" s="2" t="s">
        <v>36</v>
      </c>
      <c r="AH312" s="164">
        <v>1.1E-5</v>
      </c>
      <c r="AI312" s="164">
        <v>3.7840796036511001E-3</v>
      </c>
      <c r="AJ312" s="164">
        <v>6.5045157950820197E-4</v>
      </c>
    </row>
    <row r="313" spans="1:36">
      <c r="A313" s="2">
        <v>337</v>
      </c>
      <c r="B313" s="2">
        <v>9962</v>
      </c>
      <c r="C313" s="2" t="s">
        <v>1474</v>
      </c>
      <c r="D313" s="2" t="s">
        <v>1475</v>
      </c>
      <c r="E313" s="4" t="s">
        <v>311</v>
      </c>
      <c r="F313" s="2" t="s">
        <v>2335</v>
      </c>
      <c r="G313" s="2" t="s">
        <v>2336</v>
      </c>
      <c r="H313" s="2" t="s">
        <v>318</v>
      </c>
      <c r="I313" s="2" t="s">
        <v>754</v>
      </c>
      <c r="J313" s="2" t="s">
        <v>79</v>
      </c>
      <c r="K313" s="2" t="s">
        <v>295</v>
      </c>
      <c r="L313" s="2" t="s">
        <v>324</v>
      </c>
      <c r="M313" s="2" t="s">
        <v>164</v>
      </c>
      <c r="N313" s="2" t="s">
        <v>450</v>
      </c>
      <c r="O313" s="2" t="s">
        <v>134</v>
      </c>
      <c r="P313" s="2" t="s">
        <v>1808</v>
      </c>
      <c r="Q313" s="2" t="s">
        <v>429</v>
      </c>
      <c r="R313" s="2" t="s">
        <v>403</v>
      </c>
      <c r="S313" s="2" t="s">
        <v>84</v>
      </c>
      <c r="T313" s="151">
        <v>5.0999999999999996</v>
      </c>
      <c r="U313" s="2" t="s">
        <v>2337</v>
      </c>
      <c r="V313" s="162">
        <v>5.8749999999999997E-2</v>
      </c>
      <c r="W313" s="164">
        <v>7.5800000000000006E-2</v>
      </c>
      <c r="X313" s="4" t="s">
        <v>409</v>
      </c>
      <c r="Y313" s="4" t="s">
        <v>134</v>
      </c>
      <c r="Z313" s="151">
        <v>5000</v>
      </c>
      <c r="AA313" s="158">
        <v>3.718</v>
      </c>
      <c r="AB313" s="175">
        <v>92.078999999999994</v>
      </c>
      <c r="AD313" s="151">
        <v>17.117999999999999</v>
      </c>
      <c r="AG313" s="2" t="s">
        <v>36</v>
      </c>
      <c r="AH313" s="164">
        <v>7.9999999999999996E-6</v>
      </c>
      <c r="AI313" s="164">
        <v>2.60166092937112E-3</v>
      </c>
      <c r="AJ313" s="164">
        <v>4.4720371612199598E-4</v>
      </c>
    </row>
    <row r="314" spans="1:36">
      <c r="A314" s="2">
        <v>337</v>
      </c>
      <c r="B314" s="2">
        <v>9962</v>
      </c>
      <c r="C314" s="2" t="s">
        <v>1174</v>
      </c>
      <c r="D314" s="2" t="s">
        <v>1589</v>
      </c>
      <c r="E314" s="4" t="s">
        <v>1303</v>
      </c>
      <c r="F314" s="2" t="s">
        <v>2338</v>
      </c>
      <c r="G314" s="2" t="s">
        <v>2339</v>
      </c>
      <c r="H314" s="2" t="s">
        <v>318</v>
      </c>
      <c r="I314" s="2" t="s">
        <v>754</v>
      </c>
      <c r="J314" s="2" t="s">
        <v>79</v>
      </c>
      <c r="K314" s="2" t="s">
        <v>30</v>
      </c>
      <c r="L314" s="2" t="s">
        <v>324</v>
      </c>
      <c r="M314" s="2" t="s">
        <v>164</v>
      </c>
      <c r="N314" s="2" t="s">
        <v>533</v>
      </c>
      <c r="O314" s="2" t="s">
        <v>134</v>
      </c>
      <c r="P314" s="2" t="s">
        <v>2340</v>
      </c>
      <c r="Q314" s="2" t="s">
        <v>429</v>
      </c>
      <c r="R314" s="2" t="s">
        <v>403</v>
      </c>
      <c r="S314" s="2" t="s">
        <v>84</v>
      </c>
      <c r="T314" s="151">
        <v>5.09</v>
      </c>
      <c r="U314" s="2" t="s">
        <v>2341</v>
      </c>
      <c r="V314" s="162">
        <v>3.2750000000000001E-2</v>
      </c>
      <c r="W314" s="164">
        <v>5.7320000000000003E-2</v>
      </c>
      <c r="X314" s="4" t="s">
        <v>409</v>
      </c>
      <c r="Y314" s="4" t="s">
        <v>134</v>
      </c>
      <c r="Z314" s="151">
        <v>7000</v>
      </c>
      <c r="AA314" s="158">
        <v>3.718</v>
      </c>
      <c r="AB314" s="175">
        <v>98.22</v>
      </c>
      <c r="AD314" s="151">
        <v>25.562999999999999</v>
      </c>
      <c r="AG314" s="2" t="s">
        <v>36</v>
      </c>
      <c r="AH314" s="164">
        <v>9.0000000000000002E-6</v>
      </c>
      <c r="AI314" s="164">
        <v>3.88523322080526E-3</v>
      </c>
      <c r="AJ314" s="164">
        <v>6.6783903879616402E-4</v>
      </c>
    </row>
    <row r="315" spans="1:36">
      <c r="A315" s="2">
        <v>337</v>
      </c>
      <c r="B315" s="2">
        <v>9962</v>
      </c>
      <c r="C315" s="2" t="s">
        <v>1804</v>
      </c>
      <c r="D315" s="2" t="s">
        <v>1805</v>
      </c>
      <c r="E315" s="4" t="s">
        <v>1303</v>
      </c>
      <c r="F315" s="2" t="s">
        <v>2342</v>
      </c>
      <c r="G315" s="2" t="s">
        <v>2343</v>
      </c>
      <c r="H315" s="2" t="s">
        <v>318</v>
      </c>
      <c r="I315" s="2" t="s">
        <v>754</v>
      </c>
      <c r="J315" s="2" t="s">
        <v>79</v>
      </c>
      <c r="K315" s="2" t="s">
        <v>30</v>
      </c>
      <c r="L315" s="2" t="s">
        <v>324</v>
      </c>
      <c r="M315" s="2" t="s">
        <v>164</v>
      </c>
      <c r="N315" s="2" t="s">
        <v>483</v>
      </c>
      <c r="O315" s="2" t="s">
        <v>134</v>
      </c>
      <c r="P315" s="2" t="s">
        <v>1808</v>
      </c>
      <c r="Q315" s="2" t="s">
        <v>429</v>
      </c>
      <c r="R315" s="2" t="s">
        <v>403</v>
      </c>
      <c r="S315" s="2" t="s">
        <v>84</v>
      </c>
      <c r="T315" s="151">
        <v>2.085</v>
      </c>
      <c r="U315" s="2" t="s">
        <v>1910</v>
      </c>
      <c r="V315" s="162">
        <v>6.5000000000000002E-2</v>
      </c>
      <c r="W315" s="164">
        <v>7.2739999999999999E-2</v>
      </c>
      <c r="X315" s="4" t="s">
        <v>409</v>
      </c>
      <c r="Y315" s="4" t="s">
        <v>134</v>
      </c>
      <c r="Z315" s="151">
        <v>4000</v>
      </c>
      <c r="AA315" s="158">
        <v>3.718</v>
      </c>
      <c r="AB315" s="175">
        <v>100.452</v>
      </c>
      <c r="AD315" s="151">
        <v>14.939</v>
      </c>
      <c r="AG315" s="2" t="s">
        <v>36</v>
      </c>
      <c r="AH315" s="164">
        <v>6.9999999999999999E-6</v>
      </c>
      <c r="AI315" s="164">
        <v>2.2705846273225901E-3</v>
      </c>
      <c r="AJ315" s="164">
        <v>3.9029447367439399E-4</v>
      </c>
    </row>
    <row r="316" spans="1:36">
      <c r="A316" s="2">
        <v>337</v>
      </c>
      <c r="B316" s="2">
        <v>9962</v>
      </c>
      <c r="C316" s="2" t="s">
        <v>1596</v>
      </c>
      <c r="D316" s="2" t="s">
        <v>1597</v>
      </c>
      <c r="E316" s="4" t="s">
        <v>1303</v>
      </c>
      <c r="F316" s="2" t="s">
        <v>2344</v>
      </c>
      <c r="G316" s="2" t="s">
        <v>2345</v>
      </c>
      <c r="H316" s="2" t="s">
        <v>318</v>
      </c>
      <c r="I316" s="2" t="s">
        <v>754</v>
      </c>
      <c r="J316" s="2" t="s">
        <v>79</v>
      </c>
      <c r="K316" s="2" t="s">
        <v>30</v>
      </c>
      <c r="L316" s="2" t="s">
        <v>324</v>
      </c>
      <c r="M316" s="2" t="s">
        <v>164</v>
      </c>
      <c r="N316" s="2" t="s">
        <v>533</v>
      </c>
      <c r="O316" s="2" t="s">
        <v>134</v>
      </c>
      <c r="P316" s="2" t="s">
        <v>2340</v>
      </c>
      <c r="Q316" s="2" t="s">
        <v>429</v>
      </c>
      <c r="R316" s="2" t="s">
        <v>403</v>
      </c>
      <c r="S316" s="2" t="s">
        <v>84</v>
      </c>
      <c r="T316" s="151">
        <v>5.1630000000000003</v>
      </c>
      <c r="U316" s="2" t="s">
        <v>2346</v>
      </c>
      <c r="V316" s="162">
        <v>3.0769999999999999E-2</v>
      </c>
      <c r="W316" s="164">
        <v>6.2829999999999997E-2</v>
      </c>
      <c r="X316" s="4" t="s">
        <v>409</v>
      </c>
      <c r="Y316" s="4" t="s">
        <v>134</v>
      </c>
      <c r="Z316" s="151">
        <v>7000</v>
      </c>
      <c r="AA316" s="158">
        <v>3.718</v>
      </c>
      <c r="AB316" s="175">
        <v>98.525999999999996</v>
      </c>
      <c r="AD316" s="151">
        <v>25.641999999999999</v>
      </c>
      <c r="AG316" s="2" t="s">
        <v>36</v>
      </c>
      <c r="AH316" s="164">
        <v>1.2E-5</v>
      </c>
      <c r="AI316" s="164">
        <v>3.8973216555785802E-3</v>
      </c>
      <c r="AJ316" s="164">
        <v>6.6991693945250798E-4</v>
      </c>
    </row>
    <row r="317" spans="1:36">
      <c r="A317" s="2">
        <v>337</v>
      </c>
      <c r="B317" s="2">
        <v>9962</v>
      </c>
      <c r="C317" s="2" t="s">
        <v>1569</v>
      </c>
      <c r="D317" s="2" t="s">
        <v>1570</v>
      </c>
      <c r="E317" s="4" t="s">
        <v>1303</v>
      </c>
      <c r="F317" s="2" t="s">
        <v>2347</v>
      </c>
      <c r="G317" s="2" t="s">
        <v>2348</v>
      </c>
      <c r="H317" s="2" t="s">
        <v>318</v>
      </c>
      <c r="I317" s="2" t="s">
        <v>754</v>
      </c>
      <c r="J317" s="2" t="s">
        <v>79</v>
      </c>
      <c r="K317" s="2" t="s">
        <v>80</v>
      </c>
      <c r="L317" s="2" t="s">
        <v>324</v>
      </c>
      <c r="M317" s="2" t="s">
        <v>164</v>
      </c>
      <c r="N317" s="2" t="s">
        <v>463</v>
      </c>
      <c r="O317" s="2" t="s">
        <v>134</v>
      </c>
      <c r="P317" s="2" t="s">
        <v>1808</v>
      </c>
      <c r="Q317" s="2" t="s">
        <v>429</v>
      </c>
      <c r="R317" s="2" t="s">
        <v>403</v>
      </c>
      <c r="S317" s="2" t="s">
        <v>1177</v>
      </c>
      <c r="T317" s="151">
        <v>4.3479999999999999</v>
      </c>
      <c r="U317" s="2" t="s">
        <v>2349</v>
      </c>
      <c r="V317" s="162">
        <v>4.3749999999999997E-2</v>
      </c>
      <c r="W317" s="164">
        <v>4.4729999999999999E-2</v>
      </c>
      <c r="X317" s="4" t="s">
        <v>409</v>
      </c>
      <c r="Y317" s="4" t="s">
        <v>134</v>
      </c>
      <c r="Z317" s="151">
        <v>13000</v>
      </c>
      <c r="AA317" s="158">
        <v>4.0218999999999996</v>
      </c>
      <c r="AB317" s="175">
        <v>101.59099999999999</v>
      </c>
      <c r="AD317" s="151">
        <v>53.116</v>
      </c>
      <c r="AG317" s="2" t="s">
        <v>36</v>
      </c>
      <c r="AH317" s="164">
        <v>9.0000000000000002E-6</v>
      </c>
      <c r="AI317" s="164">
        <v>8.0730621682050304E-3</v>
      </c>
      <c r="AJ317" s="164">
        <v>1.3876917477397301E-3</v>
      </c>
    </row>
    <row r="318" spans="1:36">
      <c r="A318" s="2">
        <v>337</v>
      </c>
      <c r="B318" s="2">
        <v>9962</v>
      </c>
      <c r="C318" s="2" t="s">
        <v>1569</v>
      </c>
      <c r="D318" s="2" t="s">
        <v>1570</v>
      </c>
      <c r="E318" s="4" t="s">
        <v>1303</v>
      </c>
      <c r="F318" s="2" t="s">
        <v>2350</v>
      </c>
      <c r="G318" s="2" t="s">
        <v>2351</v>
      </c>
      <c r="H318" s="2" t="s">
        <v>318</v>
      </c>
      <c r="I318" s="2" t="s">
        <v>754</v>
      </c>
      <c r="J318" s="2" t="s">
        <v>79</v>
      </c>
      <c r="K318" s="2" t="s">
        <v>80</v>
      </c>
      <c r="L318" s="2" t="s">
        <v>324</v>
      </c>
      <c r="M318" s="2" t="s">
        <v>164</v>
      </c>
      <c r="N318" s="2" t="s">
        <v>463</v>
      </c>
      <c r="O318" s="2" t="s">
        <v>134</v>
      </c>
      <c r="P318" s="2" t="s">
        <v>1808</v>
      </c>
      <c r="Q318" s="2" t="s">
        <v>429</v>
      </c>
      <c r="R318" s="2" t="s">
        <v>403</v>
      </c>
      <c r="S318" s="2" t="s">
        <v>84</v>
      </c>
      <c r="T318" s="151">
        <v>3.6709999999999998</v>
      </c>
      <c r="U318" s="2" t="s">
        <v>2352</v>
      </c>
      <c r="V318" s="162">
        <v>5.1249999999999997E-2</v>
      </c>
      <c r="W318" s="164">
        <v>5.6770000000000001E-2</v>
      </c>
      <c r="X318" s="4" t="s">
        <v>409</v>
      </c>
      <c r="Y318" s="4" t="s">
        <v>134</v>
      </c>
      <c r="Z318" s="151">
        <v>8000</v>
      </c>
      <c r="AA318" s="158">
        <v>3.718</v>
      </c>
      <c r="AB318" s="175">
        <v>102.021</v>
      </c>
      <c r="AD318" s="151">
        <v>30.344999999999999</v>
      </c>
      <c r="AG318" s="2" t="s">
        <v>36</v>
      </c>
      <c r="AH318" s="164">
        <v>7.9999999999999996E-6</v>
      </c>
      <c r="AI318" s="164">
        <v>4.6120855667434804E-3</v>
      </c>
      <c r="AJ318" s="164">
        <v>7.9277886723650402E-4</v>
      </c>
    </row>
    <row r="319" spans="1:36">
      <c r="A319" s="2">
        <v>337</v>
      </c>
      <c r="B319" s="2">
        <v>9963</v>
      </c>
      <c r="C319" s="2" t="s">
        <v>1804</v>
      </c>
      <c r="D319" s="2" t="s">
        <v>1805</v>
      </c>
      <c r="E319" s="4" t="s">
        <v>1303</v>
      </c>
      <c r="F319" s="2" t="s">
        <v>1806</v>
      </c>
      <c r="G319" s="2" t="s">
        <v>1807</v>
      </c>
      <c r="H319" s="2" t="s">
        <v>318</v>
      </c>
      <c r="I319" s="2" t="s">
        <v>754</v>
      </c>
      <c r="J319" s="2" t="s">
        <v>79</v>
      </c>
      <c r="K319" s="2" t="s">
        <v>30</v>
      </c>
      <c r="L319" s="2" t="s">
        <v>324</v>
      </c>
      <c r="M319" s="2" t="s">
        <v>164</v>
      </c>
      <c r="N319" s="2" t="s">
        <v>483</v>
      </c>
      <c r="O319" s="2" t="s">
        <v>134</v>
      </c>
      <c r="P319" s="2" t="s">
        <v>1808</v>
      </c>
      <c r="Q319" s="2" t="s">
        <v>429</v>
      </c>
      <c r="R319" s="2" t="s">
        <v>403</v>
      </c>
      <c r="S319" s="2" t="s">
        <v>84</v>
      </c>
      <c r="T319" s="151">
        <v>0.23899999999999999</v>
      </c>
      <c r="U319" s="2" t="s">
        <v>1809</v>
      </c>
      <c r="V319" s="162">
        <v>6.1249999999999999E-2</v>
      </c>
      <c r="W319" s="164">
        <v>6.862E-2</v>
      </c>
      <c r="X319" s="4" t="s">
        <v>409</v>
      </c>
      <c r="Y319" s="4" t="s">
        <v>134</v>
      </c>
      <c r="Z319" s="151">
        <v>873000</v>
      </c>
      <c r="AA319" s="158">
        <v>3.718</v>
      </c>
      <c r="AB319" s="175">
        <v>101.505</v>
      </c>
      <c r="AD319" s="151">
        <v>3294.6729999999998</v>
      </c>
      <c r="AG319" s="2" t="s">
        <v>36</v>
      </c>
      <c r="AH319" s="164">
        <v>1.4549999999999999E-3</v>
      </c>
      <c r="AI319" s="164">
        <v>1.8056359359559199E-2</v>
      </c>
      <c r="AJ319" s="164">
        <v>3.0647401046486099E-3</v>
      </c>
    </row>
    <row r="320" spans="1:36">
      <c r="A320" s="2">
        <v>337</v>
      </c>
      <c r="B320" s="2">
        <v>9963</v>
      </c>
      <c r="C320" s="2" t="s">
        <v>1810</v>
      </c>
      <c r="D320" s="2" t="s">
        <v>1811</v>
      </c>
      <c r="E320" s="4" t="s">
        <v>1303</v>
      </c>
      <c r="F320" s="2" t="s">
        <v>1812</v>
      </c>
      <c r="G320" s="2" t="s">
        <v>1813</v>
      </c>
      <c r="H320" s="2" t="s">
        <v>318</v>
      </c>
      <c r="I320" s="2" t="s">
        <v>965</v>
      </c>
      <c r="J320" s="2" t="s">
        <v>30</v>
      </c>
      <c r="K320" s="2" t="s">
        <v>30</v>
      </c>
      <c r="L320" s="2" t="s">
        <v>324</v>
      </c>
      <c r="M320" s="2" t="s">
        <v>41</v>
      </c>
      <c r="N320" s="2" t="s">
        <v>443</v>
      </c>
      <c r="O320" s="2" t="s">
        <v>134</v>
      </c>
      <c r="P320" s="2" t="s">
        <v>1814</v>
      </c>
      <c r="Q320" s="2" t="s">
        <v>412</v>
      </c>
      <c r="R320" s="2" t="s">
        <v>403</v>
      </c>
      <c r="S320" s="2" t="s">
        <v>34</v>
      </c>
      <c r="T320" s="151">
        <v>1.456</v>
      </c>
      <c r="U320" s="2" t="s">
        <v>94</v>
      </c>
      <c r="V320" s="162">
        <v>3.5000000000000003E-2</v>
      </c>
      <c r="W320" s="164">
        <v>5.4859999999999999E-2</v>
      </c>
      <c r="X320" s="4" t="s">
        <v>409</v>
      </c>
      <c r="Y320" s="4" t="s">
        <v>134</v>
      </c>
      <c r="Z320" s="151">
        <v>439038.46</v>
      </c>
      <c r="AA320" s="158">
        <v>1</v>
      </c>
      <c r="AB320" s="175">
        <v>97.31</v>
      </c>
      <c r="AD320" s="151">
        <v>427.22800000000001</v>
      </c>
      <c r="AG320" s="2" t="s">
        <v>36</v>
      </c>
      <c r="AH320" s="164">
        <v>3.1589999999999999E-3</v>
      </c>
      <c r="AI320" s="164">
        <v>2.34141221750565E-3</v>
      </c>
      <c r="AJ320" s="164">
        <v>3.97412334436335E-4</v>
      </c>
    </row>
    <row r="321" spans="1:36">
      <c r="A321" s="2">
        <v>337</v>
      </c>
      <c r="B321" s="2">
        <v>9963</v>
      </c>
      <c r="C321" s="2" t="s">
        <v>1810</v>
      </c>
      <c r="D321" s="2" t="s">
        <v>1811</v>
      </c>
      <c r="E321" s="4" t="s">
        <v>1303</v>
      </c>
      <c r="F321" s="2" t="s">
        <v>1815</v>
      </c>
      <c r="G321" s="2" t="s">
        <v>1816</v>
      </c>
      <c r="H321" s="2" t="s">
        <v>318</v>
      </c>
      <c r="I321" s="2" t="s">
        <v>753</v>
      </c>
      <c r="J321" s="2" t="s">
        <v>30</v>
      </c>
      <c r="K321" s="2" t="s">
        <v>30</v>
      </c>
      <c r="L321" s="2" t="s">
        <v>324</v>
      </c>
      <c r="M321" s="2" t="s">
        <v>41</v>
      </c>
      <c r="N321" s="2" t="s">
        <v>443</v>
      </c>
      <c r="O321" s="2" t="s">
        <v>134</v>
      </c>
      <c r="P321" s="2" t="s">
        <v>1814</v>
      </c>
      <c r="Q321" s="2" t="s">
        <v>412</v>
      </c>
      <c r="R321" s="2" t="s">
        <v>403</v>
      </c>
      <c r="S321" s="2" t="s">
        <v>34</v>
      </c>
      <c r="T321" s="151">
        <v>2.367</v>
      </c>
      <c r="U321" s="2" t="s">
        <v>1817</v>
      </c>
      <c r="V321" s="162">
        <v>3.85E-2</v>
      </c>
      <c r="W321" s="164">
        <v>3.3009999999999998E-2</v>
      </c>
      <c r="X321" s="4" t="s">
        <v>409</v>
      </c>
      <c r="Y321" s="4" t="s">
        <v>134</v>
      </c>
      <c r="Z321" s="151">
        <v>438772</v>
      </c>
      <c r="AA321" s="158">
        <v>1</v>
      </c>
      <c r="AB321" s="175">
        <v>108.67</v>
      </c>
      <c r="AD321" s="151">
        <v>476.81400000000002</v>
      </c>
      <c r="AG321" s="2" t="s">
        <v>36</v>
      </c>
      <c r="AH321" s="164">
        <v>1.4630000000000001E-3</v>
      </c>
      <c r="AI321" s="164">
        <v>2.6131624796183099E-3</v>
      </c>
      <c r="AJ321" s="164">
        <v>4.4353702159839802E-4</v>
      </c>
    </row>
    <row r="322" spans="1:36">
      <c r="A322" s="2">
        <v>337</v>
      </c>
      <c r="B322" s="2">
        <v>9963</v>
      </c>
      <c r="C322" s="2" t="s">
        <v>1818</v>
      </c>
      <c r="D322" s="2" t="s">
        <v>1819</v>
      </c>
      <c r="E322" s="4" t="s">
        <v>1303</v>
      </c>
      <c r="F322" s="2" t="s">
        <v>2466</v>
      </c>
      <c r="G322" s="2" t="s">
        <v>2467</v>
      </c>
      <c r="H322" s="2" t="s">
        <v>318</v>
      </c>
      <c r="I322" s="2" t="s">
        <v>753</v>
      </c>
      <c r="J322" s="2" t="s">
        <v>30</v>
      </c>
      <c r="K322" s="2" t="s">
        <v>295</v>
      </c>
      <c r="L322" s="2" t="s">
        <v>324</v>
      </c>
      <c r="M322" s="2" t="s">
        <v>41</v>
      </c>
      <c r="N322" s="2" t="s">
        <v>461</v>
      </c>
      <c r="O322" s="2" t="s">
        <v>134</v>
      </c>
      <c r="P322" s="2" t="s">
        <v>1814</v>
      </c>
      <c r="Q322" s="2" t="s">
        <v>412</v>
      </c>
      <c r="R322" s="2" t="s">
        <v>403</v>
      </c>
      <c r="S322" s="2" t="s">
        <v>34</v>
      </c>
      <c r="T322" s="151">
        <v>1.3859999999999999</v>
      </c>
      <c r="U322" s="2" t="s">
        <v>2468</v>
      </c>
      <c r="V322" s="162">
        <v>2.8500000000000001E-2</v>
      </c>
      <c r="W322" s="164">
        <v>3.2989999999999998E-2</v>
      </c>
      <c r="X322" s="4" t="s">
        <v>409</v>
      </c>
      <c r="Y322" s="4" t="s">
        <v>134</v>
      </c>
      <c r="Z322" s="151">
        <v>15846.75</v>
      </c>
      <c r="AA322" s="158">
        <v>1</v>
      </c>
      <c r="AB322" s="175">
        <v>116.54</v>
      </c>
      <c r="AD322" s="151">
        <v>18.468</v>
      </c>
      <c r="AG322" s="2" t="s">
        <v>36</v>
      </c>
      <c r="AH322" s="164">
        <v>3.8999999999999999E-5</v>
      </c>
      <c r="AI322" s="164">
        <v>1.0121224580274299E-4</v>
      </c>
      <c r="AJ322" s="164">
        <v>1.7178946354377001E-5</v>
      </c>
    </row>
    <row r="323" spans="1:36">
      <c r="A323" s="2">
        <v>337</v>
      </c>
      <c r="B323" s="2">
        <v>9963</v>
      </c>
      <c r="C323" s="2" t="s">
        <v>1822</v>
      </c>
      <c r="D323" s="2" t="s">
        <v>1823</v>
      </c>
      <c r="E323" s="4" t="s">
        <v>1303</v>
      </c>
      <c r="F323" s="2" t="s">
        <v>1824</v>
      </c>
      <c r="G323" s="2" t="s">
        <v>1825</v>
      </c>
      <c r="H323" s="2" t="s">
        <v>318</v>
      </c>
      <c r="I323" s="2" t="s">
        <v>753</v>
      </c>
      <c r="J323" s="2" t="s">
        <v>30</v>
      </c>
      <c r="K323" s="2" t="s">
        <v>30</v>
      </c>
      <c r="L323" s="2" t="s">
        <v>324</v>
      </c>
      <c r="M323" s="2" t="s">
        <v>41</v>
      </c>
      <c r="N323" s="2" t="s">
        <v>452</v>
      </c>
      <c r="O323" s="2" t="s">
        <v>134</v>
      </c>
      <c r="P323" s="2" t="s">
        <v>1826</v>
      </c>
      <c r="Q323" s="2" t="s">
        <v>410</v>
      </c>
      <c r="R323" s="2" t="s">
        <v>403</v>
      </c>
      <c r="S323" s="2" t="s">
        <v>34</v>
      </c>
      <c r="T323" s="151">
        <v>5.1289999999999996</v>
      </c>
      <c r="U323" s="2" t="s">
        <v>1827</v>
      </c>
      <c r="V323" s="162">
        <v>5.1499999999999997E-2</v>
      </c>
      <c r="W323" s="164">
        <v>4.5159999999999999E-2</v>
      </c>
      <c r="X323" s="4" t="s">
        <v>409</v>
      </c>
      <c r="Y323" s="4" t="s">
        <v>134</v>
      </c>
      <c r="Z323" s="151">
        <v>0.28000000000000003</v>
      </c>
      <c r="AA323" s="158">
        <v>1</v>
      </c>
      <c r="AB323" s="175">
        <v>146.6</v>
      </c>
      <c r="AD323" s="151">
        <v>0</v>
      </c>
      <c r="AG323" s="2" t="s">
        <v>36</v>
      </c>
      <c r="AH323" s="164">
        <v>0</v>
      </c>
      <c r="AI323" s="164">
        <v>2.2496235147409303E-9</v>
      </c>
      <c r="AJ323" s="164">
        <v>3.81832863906591E-10</v>
      </c>
    </row>
    <row r="324" spans="1:36">
      <c r="A324" s="2">
        <v>337</v>
      </c>
      <c r="B324" s="2">
        <v>9963</v>
      </c>
      <c r="C324" s="2" t="s">
        <v>1430</v>
      </c>
      <c r="D324" s="2" t="s">
        <v>1431</v>
      </c>
      <c r="E324" s="4" t="s">
        <v>1303</v>
      </c>
      <c r="F324" s="2" t="s">
        <v>1828</v>
      </c>
      <c r="G324" s="2" t="s">
        <v>1829</v>
      </c>
      <c r="H324" s="2" t="s">
        <v>318</v>
      </c>
      <c r="I324" s="2" t="s">
        <v>753</v>
      </c>
      <c r="J324" s="2" t="s">
        <v>30</v>
      </c>
      <c r="K324" s="2" t="s">
        <v>30</v>
      </c>
      <c r="L324" s="2" t="s">
        <v>324</v>
      </c>
      <c r="M324" s="2" t="s">
        <v>41</v>
      </c>
      <c r="N324" s="2" t="s">
        <v>436</v>
      </c>
      <c r="O324" s="2" t="s">
        <v>134</v>
      </c>
      <c r="P324" s="2" t="s">
        <v>1830</v>
      </c>
      <c r="Q324" s="2" t="s">
        <v>410</v>
      </c>
      <c r="R324" s="2" t="s">
        <v>403</v>
      </c>
      <c r="S324" s="2" t="s">
        <v>34</v>
      </c>
      <c r="T324" s="151">
        <v>2.7240000000000002</v>
      </c>
      <c r="U324" s="2" t="s">
        <v>1831</v>
      </c>
      <c r="V324" s="162">
        <v>2.75E-2</v>
      </c>
      <c r="W324" s="164">
        <v>3.075E-2</v>
      </c>
      <c r="X324" s="4" t="s">
        <v>409</v>
      </c>
      <c r="Y324" s="4" t="s">
        <v>134</v>
      </c>
      <c r="Z324" s="151">
        <v>171528.42</v>
      </c>
      <c r="AA324" s="158">
        <v>1</v>
      </c>
      <c r="AB324" s="175">
        <v>114.05</v>
      </c>
      <c r="AD324" s="151">
        <v>195.62799999999999</v>
      </c>
      <c r="AG324" s="2" t="s">
        <v>36</v>
      </c>
      <c r="AH324" s="164">
        <v>2.3000000000000001E-4</v>
      </c>
      <c r="AI324" s="164">
        <v>1.07213436867294E-3</v>
      </c>
      <c r="AJ324" s="164">
        <v>1.819753989059E-4</v>
      </c>
    </row>
    <row r="325" spans="1:36">
      <c r="A325" s="2">
        <v>337</v>
      </c>
      <c r="B325" s="2">
        <v>9963</v>
      </c>
      <c r="C325" s="2" t="s">
        <v>1836</v>
      </c>
      <c r="D325" s="2" t="s">
        <v>1837</v>
      </c>
      <c r="E325" s="4" t="s">
        <v>1303</v>
      </c>
      <c r="F325" s="2" t="s">
        <v>1838</v>
      </c>
      <c r="G325" s="2" t="s">
        <v>1839</v>
      </c>
      <c r="H325" s="2" t="s">
        <v>318</v>
      </c>
      <c r="I325" s="2" t="s">
        <v>753</v>
      </c>
      <c r="J325" s="2" t="s">
        <v>30</v>
      </c>
      <c r="K325" s="2" t="s">
        <v>30</v>
      </c>
      <c r="L325" s="2" t="s">
        <v>324</v>
      </c>
      <c r="M325" s="2" t="s">
        <v>41</v>
      </c>
      <c r="N325" s="2" t="s">
        <v>460</v>
      </c>
      <c r="O325" s="2" t="s">
        <v>134</v>
      </c>
      <c r="P325" s="2" t="s">
        <v>1834</v>
      </c>
      <c r="Q325" s="2" t="s">
        <v>410</v>
      </c>
      <c r="R325" s="2" t="s">
        <v>403</v>
      </c>
      <c r="S325" s="2" t="s">
        <v>34</v>
      </c>
      <c r="T325" s="151">
        <v>2.2669999999999999</v>
      </c>
      <c r="U325" s="2" t="s">
        <v>108</v>
      </c>
      <c r="V325" s="162">
        <v>2.3400000000000001E-2</v>
      </c>
      <c r="W325" s="164">
        <v>2.7969999999999998E-2</v>
      </c>
      <c r="X325" s="4" t="s">
        <v>409</v>
      </c>
      <c r="Y325" s="4" t="s">
        <v>134</v>
      </c>
      <c r="Z325" s="151">
        <v>1893141.37</v>
      </c>
      <c r="AA325" s="158">
        <v>1</v>
      </c>
      <c r="AB325" s="175">
        <v>114.39</v>
      </c>
      <c r="AD325" s="151">
        <v>2165.5639999999999</v>
      </c>
      <c r="AG325" s="2" t="s">
        <v>36</v>
      </c>
      <c r="AH325" s="164">
        <v>1.1609999999999999E-3</v>
      </c>
      <c r="AI325" s="164">
        <v>1.18683117971463E-2</v>
      </c>
      <c r="AJ325" s="164">
        <v>2.01443106081804E-3</v>
      </c>
    </row>
    <row r="326" spans="1:36">
      <c r="A326" s="2">
        <v>337</v>
      </c>
      <c r="B326" s="2">
        <v>9963</v>
      </c>
      <c r="C326" s="2" t="s">
        <v>1450</v>
      </c>
      <c r="D326" s="2" t="s">
        <v>1451</v>
      </c>
      <c r="E326" s="4" t="s">
        <v>1303</v>
      </c>
      <c r="F326" s="2" t="s">
        <v>1840</v>
      </c>
      <c r="G326" s="2" t="s">
        <v>1841</v>
      </c>
      <c r="H326" s="2" t="s">
        <v>318</v>
      </c>
      <c r="I326" s="2" t="s">
        <v>966</v>
      </c>
      <c r="J326" s="2" t="s">
        <v>30</v>
      </c>
      <c r="K326" s="2" t="s">
        <v>30</v>
      </c>
      <c r="L326" s="2" t="s">
        <v>324</v>
      </c>
      <c r="M326" s="2" t="s">
        <v>41</v>
      </c>
      <c r="N326" s="2" t="s">
        <v>457</v>
      </c>
      <c r="O326" s="2" t="s">
        <v>134</v>
      </c>
      <c r="P326" s="2" t="s">
        <v>1842</v>
      </c>
      <c r="Q326" s="2" t="s">
        <v>406</v>
      </c>
      <c r="R326" s="2" t="s">
        <v>406</v>
      </c>
      <c r="S326" s="2" t="s">
        <v>34</v>
      </c>
      <c r="T326" s="151">
        <v>3.0169999999999999</v>
      </c>
      <c r="U326" s="2" t="s">
        <v>1843</v>
      </c>
      <c r="V326" s="162">
        <v>4.8500000000000001E-2</v>
      </c>
      <c r="W326" s="164">
        <v>2.4250000000000001E-2</v>
      </c>
      <c r="X326" s="4" t="s">
        <v>409</v>
      </c>
      <c r="Y326" s="4" t="s">
        <v>134</v>
      </c>
      <c r="Z326" s="151">
        <v>898612</v>
      </c>
      <c r="AA326" s="158">
        <v>1</v>
      </c>
      <c r="AB326" s="175">
        <v>104.5</v>
      </c>
      <c r="AD326" s="151">
        <v>939.05</v>
      </c>
      <c r="AG326" s="2" t="s">
        <v>36</v>
      </c>
      <c r="AH326" s="164">
        <v>2.9949999999999998E-3</v>
      </c>
      <c r="AI326" s="164">
        <v>5.1464332651789402E-3</v>
      </c>
      <c r="AJ326" s="164">
        <v>8.73513874508788E-4</v>
      </c>
    </row>
    <row r="327" spans="1:36">
      <c r="A327" s="2">
        <v>337</v>
      </c>
      <c r="B327" s="2">
        <v>9963</v>
      </c>
      <c r="C327" s="2" t="s">
        <v>1844</v>
      </c>
      <c r="D327" s="2" t="s">
        <v>1845</v>
      </c>
      <c r="E327" s="4" t="s">
        <v>1303</v>
      </c>
      <c r="F327" s="2" t="s">
        <v>1846</v>
      </c>
      <c r="G327" s="2" t="s">
        <v>1847</v>
      </c>
      <c r="H327" s="2" t="s">
        <v>318</v>
      </c>
      <c r="I327" s="2" t="s">
        <v>753</v>
      </c>
      <c r="J327" s="2" t="s">
        <v>30</v>
      </c>
      <c r="K327" s="2" t="s">
        <v>30</v>
      </c>
      <c r="L327" s="2" t="s">
        <v>324</v>
      </c>
      <c r="M327" s="2" t="s">
        <v>41</v>
      </c>
      <c r="N327" s="2" t="s">
        <v>474</v>
      </c>
      <c r="O327" s="2" t="s">
        <v>134</v>
      </c>
      <c r="P327" s="2" t="s">
        <v>1848</v>
      </c>
      <c r="Q327" s="2" t="s">
        <v>410</v>
      </c>
      <c r="R327" s="2" t="s">
        <v>403</v>
      </c>
      <c r="S327" s="2" t="s">
        <v>34</v>
      </c>
      <c r="T327" s="151">
        <v>1.571</v>
      </c>
      <c r="U327" s="2" t="s">
        <v>1849</v>
      </c>
      <c r="V327" s="162">
        <v>3.2000000000000001E-2</v>
      </c>
      <c r="W327" s="164">
        <v>3.1649999999999998E-2</v>
      </c>
      <c r="X327" s="4" t="s">
        <v>409</v>
      </c>
      <c r="Y327" s="4" t="s">
        <v>134</v>
      </c>
      <c r="Z327" s="151">
        <v>129352.15</v>
      </c>
      <c r="AA327" s="158">
        <v>1</v>
      </c>
      <c r="AB327" s="175">
        <v>107.84</v>
      </c>
      <c r="AD327" s="151">
        <v>139.49299999999999</v>
      </c>
      <c r="AG327" s="2" t="s">
        <v>36</v>
      </c>
      <c r="AH327" s="164">
        <v>1.8100000000000001E-4</v>
      </c>
      <c r="AI327" s="164">
        <v>7.6448923106305598E-4</v>
      </c>
      <c r="AJ327" s="164">
        <v>1.2975820647757199E-4</v>
      </c>
    </row>
    <row r="328" spans="1:36">
      <c r="A328" s="2">
        <v>337</v>
      </c>
      <c r="B328" s="2">
        <v>9963</v>
      </c>
      <c r="C328" s="2" t="s">
        <v>1844</v>
      </c>
      <c r="D328" s="2" t="s">
        <v>1845</v>
      </c>
      <c r="E328" s="4" t="s">
        <v>1303</v>
      </c>
      <c r="F328" s="2" t="s">
        <v>1850</v>
      </c>
      <c r="G328" s="2" t="s">
        <v>1851</v>
      </c>
      <c r="H328" s="2" t="s">
        <v>318</v>
      </c>
      <c r="I328" s="2" t="s">
        <v>965</v>
      </c>
      <c r="J328" s="2" t="s">
        <v>30</v>
      </c>
      <c r="K328" s="2" t="s">
        <v>30</v>
      </c>
      <c r="L328" s="2" t="s">
        <v>324</v>
      </c>
      <c r="M328" s="2" t="s">
        <v>41</v>
      </c>
      <c r="N328" s="2" t="s">
        <v>474</v>
      </c>
      <c r="O328" s="2" t="s">
        <v>134</v>
      </c>
      <c r="P328" s="2" t="s">
        <v>1848</v>
      </c>
      <c r="Q328" s="2" t="s">
        <v>410</v>
      </c>
      <c r="R328" s="2" t="s">
        <v>403</v>
      </c>
      <c r="S328" s="2" t="s">
        <v>34</v>
      </c>
      <c r="T328" s="151">
        <v>1.629</v>
      </c>
      <c r="U328" s="2" t="s">
        <v>1852</v>
      </c>
      <c r="V328" s="162">
        <v>5.7000000000000002E-2</v>
      </c>
      <c r="W328" s="164">
        <v>5.5789999999999999E-2</v>
      </c>
      <c r="X328" s="4" t="s">
        <v>409</v>
      </c>
      <c r="Y328" s="4" t="s">
        <v>134</v>
      </c>
      <c r="Z328" s="151">
        <v>505556.03</v>
      </c>
      <c r="AA328" s="158">
        <v>1</v>
      </c>
      <c r="AB328" s="175">
        <v>100.54</v>
      </c>
      <c r="AD328" s="151">
        <v>508.286</v>
      </c>
      <c r="AG328" s="2" t="s">
        <v>36</v>
      </c>
      <c r="AH328" s="164">
        <v>5.9199999999999997E-4</v>
      </c>
      <c r="AI328" s="164">
        <v>2.7856465870830399E-3</v>
      </c>
      <c r="AJ328" s="164">
        <v>4.7281307614711399E-4</v>
      </c>
    </row>
    <row r="329" spans="1:36">
      <c r="A329" s="2">
        <v>337</v>
      </c>
      <c r="B329" s="2">
        <v>9963</v>
      </c>
      <c r="C329" s="2" t="s">
        <v>1853</v>
      </c>
      <c r="D329" s="2" t="s">
        <v>1854</v>
      </c>
      <c r="E329" s="4" t="s">
        <v>1303</v>
      </c>
      <c r="F329" s="2" t="s">
        <v>1855</v>
      </c>
      <c r="G329" s="2" t="s">
        <v>1856</v>
      </c>
      <c r="H329" s="2" t="s">
        <v>318</v>
      </c>
      <c r="I329" s="2" t="s">
        <v>753</v>
      </c>
      <c r="J329" s="2" t="s">
        <v>30</v>
      </c>
      <c r="K329" s="2" t="s">
        <v>30</v>
      </c>
      <c r="L329" s="2" t="s">
        <v>324</v>
      </c>
      <c r="M329" s="2" t="s">
        <v>41</v>
      </c>
      <c r="N329" s="2" t="s">
        <v>474</v>
      </c>
      <c r="O329" s="2" t="s">
        <v>134</v>
      </c>
      <c r="P329" s="2" t="s">
        <v>1848</v>
      </c>
      <c r="Q329" s="2" t="s">
        <v>410</v>
      </c>
      <c r="R329" s="2" t="s">
        <v>403</v>
      </c>
      <c r="S329" s="2" t="s">
        <v>34</v>
      </c>
      <c r="T329" s="151">
        <v>2.419</v>
      </c>
      <c r="U329" s="2" t="s">
        <v>1857</v>
      </c>
      <c r="V329" s="162">
        <v>3.2300000000000002E-2</v>
      </c>
      <c r="W329" s="164">
        <v>3.0110000000000001E-2</v>
      </c>
      <c r="X329" s="4" t="s">
        <v>409</v>
      </c>
      <c r="Y329" s="4" t="s">
        <v>134</v>
      </c>
      <c r="Z329" s="151">
        <v>520070.25</v>
      </c>
      <c r="AA329" s="158">
        <v>1</v>
      </c>
      <c r="AB329" s="175">
        <v>107.78</v>
      </c>
      <c r="AD329" s="151">
        <v>560.53200000000004</v>
      </c>
      <c r="AG329" s="2" t="s">
        <v>36</v>
      </c>
      <c r="AH329" s="164">
        <v>1.008E-3</v>
      </c>
      <c r="AI329" s="164">
        <v>3.0719775088540002E-3</v>
      </c>
      <c r="AJ329" s="164">
        <v>5.2141256631443205E-4</v>
      </c>
    </row>
    <row r="330" spans="1:36">
      <c r="A330" s="2">
        <v>337</v>
      </c>
      <c r="B330" s="2">
        <v>9963</v>
      </c>
      <c r="C330" s="2" t="s">
        <v>1858</v>
      </c>
      <c r="D330" s="2" t="s">
        <v>1859</v>
      </c>
      <c r="E330" s="4" t="s">
        <v>1303</v>
      </c>
      <c r="F330" s="2" t="s">
        <v>1860</v>
      </c>
      <c r="G330" s="2" t="s">
        <v>1861</v>
      </c>
      <c r="H330" s="2" t="s">
        <v>318</v>
      </c>
      <c r="I330" s="2" t="s">
        <v>753</v>
      </c>
      <c r="J330" s="2" t="s">
        <v>30</v>
      </c>
      <c r="K330" s="2" t="s">
        <v>30</v>
      </c>
      <c r="L330" s="2" t="s">
        <v>324</v>
      </c>
      <c r="M330" s="2" t="s">
        <v>41</v>
      </c>
      <c r="N330" s="2" t="s">
        <v>460</v>
      </c>
      <c r="O330" s="2" t="s">
        <v>134</v>
      </c>
      <c r="P330" s="2" t="s">
        <v>1862</v>
      </c>
      <c r="Q330" s="2" t="s">
        <v>410</v>
      </c>
      <c r="R330" s="2" t="s">
        <v>403</v>
      </c>
      <c r="S330" s="2" t="s">
        <v>34</v>
      </c>
      <c r="T330" s="151">
        <v>2.1549999999999998</v>
      </c>
      <c r="U330" s="2" t="s">
        <v>1863</v>
      </c>
      <c r="V330" s="162">
        <v>2.4899999999999999E-2</v>
      </c>
      <c r="W330" s="164">
        <v>3.4090000000000002E-2</v>
      </c>
      <c r="X330" s="4" t="s">
        <v>409</v>
      </c>
      <c r="Y330" s="4" t="s">
        <v>134</v>
      </c>
      <c r="Z330" s="151">
        <v>359720</v>
      </c>
      <c r="AA330" s="158">
        <v>1</v>
      </c>
      <c r="AB330" s="175">
        <v>106.72</v>
      </c>
      <c r="AD330" s="151">
        <v>383.89299999999997</v>
      </c>
      <c r="AG330" s="2" t="s">
        <v>36</v>
      </c>
      <c r="AH330" s="164">
        <v>1.7149999999999999E-3</v>
      </c>
      <c r="AI330" s="164">
        <v>2.1039152550067402E-3</v>
      </c>
      <c r="AJ330" s="164">
        <v>3.5710152475380001E-4</v>
      </c>
    </row>
    <row r="331" spans="1:36">
      <c r="A331" s="2">
        <v>337</v>
      </c>
      <c r="B331" s="2">
        <v>9963</v>
      </c>
      <c r="C331" s="2" t="s">
        <v>1867</v>
      </c>
      <c r="D331" s="2" t="s">
        <v>1868</v>
      </c>
      <c r="E331" s="4" t="s">
        <v>1303</v>
      </c>
      <c r="F331" s="2" t="s">
        <v>2469</v>
      </c>
      <c r="G331" s="2" t="s">
        <v>2470</v>
      </c>
      <c r="H331" s="2" t="s">
        <v>318</v>
      </c>
      <c r="I331" s="2" t="s">
        <v>965</v>
      </c>
      <c r="J331" s="2" t="s">
        <v>30</v>
      </c>
      <c r="K331" s="2" t="s">
        <v>30</v>
      </c>
      <c r="L331" s="2" t="s">
        <v>324</v>
      </c>
      <c r="M331" s="2" t="s">
        <v>41</v>
      </c>
      <c r="N331" s="2" t="s">
        <v>447</v>
      </c>
      <c r="O331" s="2" t="s">
        <v>134</v>
      </c>
      <c r="P331" s="2" t="s">
        <v>1826</v>
      </c>
      <c r="Q331" s="2" t="s">
        <v>410</v>
      </c>
      <c r="R331" s="2" t="s">
        <v>403</v>
      </c>
      <c r="S331" s="2" t="s">
        <v>34</v>
      </c>
      <c r="T331" s="151">
        <v>3.9239999999999999</v>
      </c>
      <c r="U331" s="2" t="s">
        <v>2471</v>
      </c>
      <c r="V331" s="162">
        <v>2.9899999999999999E-2</v>
      </c>
      <c r="W331" s="164">
        <v>5.2769999999999997E-2</v>
      </c>
      <c r="X331" s="4" t="s">
        <v>409</v>
      </c>
      <c r="Y331" s="4" t="s">
        <v>134</v>
      </c>
      <c r="Z331" s="151">
        <v>2500000</v>
      </c>
      <c r="AA331" s="158">
        <v>1</v>
      </c>
      <c r="AB331" s="175">
        <v>105.02</v>
      </c>
      <c r="AD331" s="151">
        <v>2625.5</v>
      </c>
      <c r="AG331" s="2" t="s">
        <v>36</v>
      </c>
      <c r="AH331" s="164">
        <v>1.2500000000000001E-2</v>
      </c>
      <c r="AI331" s="164">
        <v>1.43889751947776E-2</v>
      </c>
      <c r="AJ331" s="164">
        <v>2.4422680378745698E-3</v>
      </c>
    </row>
    <row r="332" spans="1:36">
      <c r="A332" s="2">
        <v>337</v>
      </c>
      <c r="B332" s="2">
        <v>9963</v>
      </c>
      <c r="C332" s="2" t="s">
        <v>1872</v>
      </c>
      <c r="D332" s="2" t="s">
        <v>1873</v>
      </c>
      <c r="E332" s="4" t="s">
        <v>1303</v>
      </c>
      <c r="F332" s="2" t="s">
        <v>1874</v>
      </c>
      <c r="G332" s="2" t="s">
        <v>1875</v>
      </c>
      <c r="H332" s="2" t="s">
        <v>318</v>
      </c>
      <c r="I332" s="2" t="s">
        <v>965</v>
      </c>
      <c r="J332" s="2" t="s">
        <v>30</v>
      </c>
      <c r="K332" s="2" t="s">
        <v>30</v>
      </c>
      <c r="L332" s="2" t="s">
        <v>324</v>
      </c>
      <c r="M332" s="2" t="s">
        <v>41</v>
      </c>
      <c r="N332" s="2" t="s">
        <v>447</v>
      </c>
      <c r="O332" s="2" t="s">
        <v>134</v>
      </c>
      <c r="P332" s="2" t="s">
        <v>1848</v>
      </c>
      <c r="Q332" s="2" t="s">
        <v>410</v>
      </c>
      <c r="R332" s="2" t="s">
        <v>403</v>
      </c>
      <c r="S332" s="2" t="s">
        <v>34</v>
      </c>
      <c r="T332" s="151">
        <v>2.996</v>
      </c>
      <c r="U332" s="2" t="s">
        <v>1876</v>
      </c>
      <c r="V332" s="162">
        <v>0.04</v>
      </c>
      <c r="W332" s="164">
        <v>5.2400000000000002E-2</v>
      </c>
      <c r="X332" s="4" t="s">
        <v>409</v>
      </c>
      <c r="Y332" s="4" t="s">
        <v>134</v>
      </c>
      <c r="Z332" s="151">
        <v>600000.25</v>
      </c>
      <c r="AA332" s="158">
        <v>1</v>
      </c>
      <c r="AB332" s="175">
        <v>97.45</v>
      </c>
      <c r="AD332" s="151">
        <v>584.70000000000005</v>
      </c>
      <c r="AG332" s="2" t="s">
        <v>36</v>
      </c>
      <c r="AH332" s="164">
        <v>1.0330000000000001E-3</v>
      </c>
      <c r="AI332" s="164">
        <v>3.2044324135976098E-3</v>
      </c>
      <c r="AJ332" s="164">
        <v>5.4389438839947204E-4</v>
      </c>
    </row>
    <row r="333" spans="1:36">
      <c r="A333" s="2">
        <v>337</v>
      </c>
      <c r="B333" s="2">
        <v>9963</v>
      </c>
      <c r="C333" s="2" t="s">
        <v>1872</v>
      </c>
      <c r="D333" s="2" t="s">
        <v>1873</v>
      </c>
      <c r="E333" s="4" t="s">
        <v>1303</v>
      </c>
      <c r="F333" s="2" t="s">
        <v>1877</v>
      </c>
      <c r="G333" s="2" t="s">
        <v>1878</v>
      </c>
      <c r="H333" s="2" t="s">
        <v>318</v>
      </c>
      <c r="I333" s="2" t="s">
        <v>965</v>
      </c>
      <c r="J333" s="2" t="s">
        <v>30</v>
      </c>
      <c r="K333" s="2" t="s">
        <v>30</v>
      </c>
      <c r="L333" s="2" t="s">
        <v>324</v>
      </c>
      <c r="M333" s="2" t="s">
        <v>41</v>
      </c>
      <c r="N333" s="2" t="s">
        <v>447</v>
      </c>
      <c r="O333" s="2" t="s">
        <v>134</v>
      </c>
      <c r="P333" s="2" t="s">
        <v>1848</v>
      </c>
      <c r="Q333" s="2" t="s">
        <v>410</v>
      </c>
      <c r="R333" s="2" t="s">
        <v>403</v>
      </c>
      <c r="S333" s="2" t="s">
        <v>34</v>
      </c>
      <c r="T333" s="151">
        <v>4.9290000000000003</v>
      </c>
      <c r="U333" s="2" t="s">
        <v>1879</v>
      </c>
      <c r="V333" s="162">
        <v>2.07E-2</v>
      </c>
      <c r="W333" s="164">
        <v>5.3780000000000001E-2</v>
      </c>
      <c r="X333" s="4" t="s">
        <v>409</v>
      </c>
      <c r="Y333" s="4" t="s">
        <v>134</v>
      </c>
      <c r="Z333" s="151">
        <v>2000000</v>
      </c>
      <c r="AA333" s="158">
        <v>1</v>
      </c>
      <c r="AB333" s="175">
        <v>85.61</v>
      </c>
      <c r="AD333" s="151">
        <v>1712.2</v>
      </c>
      <c r="AG333" s="2" t="s">
        <v>36</v>
      </c>
      <c r="AH333" s="164">
        <v>2.7539999999999999E-3</v>
      </c>
      <c r="AI333" s="164">
        <v>9.3836615229473102E-3</v>
      </c>
      <c r="AJ333" s="164">
        <v>1.59270665947395E-3</v>
      </c>
    </row>
    <row r="334" spans="1:36">
      <c r="A334" s="2">
        <v>337</v>
      </c>
      <c r="B334" s="2">
        <v>9963</v>
      </c>
      <c r="C334" s="2" t="s">
        <v>1466</v>
      </c>
      <c r="D334" s="2" t="s">
        <v>1467</v>
      </c>
      <c r="E334" s="4" t="s">
        <v>1303</v>
      </c>
      <c r="F334" s="2" t="s">
        <v>1885</v>
      </c>
      <c r="G334" s="2" t="s">
        <v>1886</v>
      </c>
      <c r="H334" s="2" t="s">
        <v>318</v>
      </c>
      <c r="I334" s="2" t="s">
        <v>753</v>
      </c>
      <c r="J334" s="2" t="s">
        <v>30</v>
      </c>
      <c r="K334" s="2" t="s">
        <v>30</v>
      </c>
      <c r="L334" s="2" t="s">
        <v>324</v>
      </c>
      <c r="M334" s="2" t="s">
        <v>41</v>
      </c>
      <c r="N334" s="2" t="s">
        <v>460</v>
      </c>
      <c r="O334" s="2" t="s">
        <v>134</v>
      </c>
      <c r="P334" s="2" t="s">
        <v>1834</v>
      </c>
      <c r="Q334" s="2" t="s">
        <v>410</v>
      </c>
      <c r="R334" s="2" t="s">
        <v>403</v>
      </c>
      <c r="S334" s="2" t="s">
        <v>34</v>
      </c>
      <c r="T334" s="151">
        <v>2.8319999999999999</v>
      </c>
      <c r="U334" s="2" t="s">
        <v>1887</v>
      </c>
      <c r="V334" s="162">
        <v>1.14E-2</v>
      </c>
      <c r="W334" s="164">
        <v>2.7900000000000001E-2</v>
      </c>
      <c r="X334" s="4" t="s">
        <v>409</v>
      </c>
      <c r="Y334" s="4" t="s">
        <v>134</v>
      </c>
      <c r="Z334" s="151">
        <v>4000000</v>
      </c>
      <c r="AA334" s="158">
        <v>1</v>
      </c>
      <c r="AB334" s="175">
        <v>109.34</v>
      </c>
      <c r="AD334" s="151">
        <v>4373.6000000000004</v>
      </c>
      <c r="AG334" s="2" t="s">
        <v>36</v>
      </c>
      <c r="AH334" s="164">
        <v>1.6930000000000001E-3</v>
      </c>
      <c r="AI334" s="164">
        <v>2.3969385607266899E-2</v>
      </c>
      <c r="AJ334" s="164">
        <v>4.0683692593594502E-3</v>
      </c>
    </row>
    <row r="335" spans="1:36">
      <c r="A335" s="2">
        <v>337</v>
      </c>
      <c r="B335" s="2">
        <v>9963</v>
      </c>
      <c r="C335" s="2" t="s">
        <v>1466</v>
      </c>
      <c r="D335" s="2" t="s">
        <v>1467</v>
      </c>
      <c r="E335" s="4" t="s">
        <v>1303</v>
      </c>
      <c r="F335" s="2" t="s">
        <v>2472</v>
      </c>
      <c r="G335" s="2" t="s">
        <v>2473</v>
      </c>
      <c r="H335" s="2" t="s">
        <v>318</v>
      </c>
      <c r="I335" s="2" t="s">
        <v>753</v>
      </c>
      <c r="J335" s="2" t="s">
        <v>30</v>
      </c>
      <c r="K335" s="2" t="s">
        <v>30</v>
      </c>
      <c r="L335" s="2" t="s">
        <v>324</v>
      </c>
      <c r="M335" s="2" t="s">
        <v>41</v>
      </c>
      <c r="N335" s="2" t="s">
        <v>460</v>
      </c>
      <c r="O335" s="2" t="s">
        <v>134</v>
      </c>
      <c r="P335" s="2" t="s">
        <v>1834</v>
      </c>
      <c r="Q335" s="2" t="s">
        <v>410</v>
      </c>
      <c r="R335" s="2" t="s">
        <v>403</v>
      </c>
      <c r="S335" s="2" t="s">
        <v>34</v>
      </c>
      <c r="T335" s="151">
        <v>5.1189999999999998</v>
      </c>
      <c r="U335" s="2" t="s">
        <v>2364</v>
      </c>
      <c r="V335" s="162">
        <v>9.1999999999999998E-3</v>
      </c>
      <c r="W335" s="164">
        <v>2.98E-2</v>
      </c>
      <c r="X335" s="4" t="s">
        <v>409</v>
      </c>
      <c r="Y335" s="4" t="s">
        <v>134</v>
      </c>
      <c r="Z335" s="151">
        <v>2000000</v>
      </c>
      <c r="AA335" s="158">
        <v>1</v>
      </c>
      <c r="AB335" s="175">
        <v>104.6</v>
      </c>
      <c r="AD335" s="151">
        <v>2092</v>
      </c>
      <c r="AG335" s="2" t="s">
        <v>36</v>
      </c>
      <c r="AH335" s="164">
        <v>7.7300000000000003E-4</v>
      </c>
      <c r="AI335" s="164">
        <v>1.14651442039515E-2</v>
      </c>
      <c r="AJ335" s="164">
        <v>1.9460006609154899E-3</v>
      </c>
    </row>
    <row r="336" spans="1:36">
      <c r="A336" s="2">
        <v>337</v>
      </c>
      <c r="B336" s="2">
        <v>9963</v>
      </c>
      <c r="C336" s="2" t="s">
        <v>1888</v>
      </c>
      <c r="D336" s="2" t="s">
        <v>1889</v>
      </c>
      <c r="E336" s="4" t="s">
        <v>1303</v>
      </c>
      <c r="F336" s="2" t="s">
        <v>1890</v>
      </c>
      <c r="G336" s="2" t="s">
        <v>1891</v>
      </c>
      <c r="H336" s="2" t="s">
        <v>318</v>
      </c>
      <c r="I336" s="2" t="s">
        <v>965</v>
      </c>
      <c r="J336" s="2" t="s">
        <v>30</v>
      </c>
      <c r="K336" s="2" t="s">
        <v>30</v>
      </c>
      <c r="L336" s="2" t="s">
        <v>324</v>
      </c>
      <c r="M336" s="2" t="s">
        <v>41</v>
      </c>
      <c r="N336" s="2" t="s">
        <v>460</v>
      </c>
      <c r="O336" s="2" t="s">
        <v>134</v>
      </c>
      <c r="P336" s="2" t="s">
        <v>1842</v>
      </c>
      <c r="Q336" s="2" t="s">
        <v>406</v>
      </c>
      <c r="R336" s="2" t="s">
        <v>406</v>
      </c>
      <c r="S336" s="2" t="s">
        <v>34</v>
      </c>
      <c r="T336" s="151">
        <v>0.44600000000000001</v>
      </c>
      <c r="U336" s="2" t="s">
        <v>1892</v>
      </c>
      <c r="V336" s="162">
        <v>6.5000000000000002E-2</v>
      </c>
      <c r="W336" s="164">
        <v>0.10415000000000001</v>
      </c>
      <c r="X336" s="4" t="s">
        <v>409</v>
      </c>
      <c r="Y336" s="4" t="s">
        <v>134</v>
      </c>
      <c r="Z336" s="151">
        <v>1041206</v>
      </c>
      <c r="AA336" s="158">
        <v>1</v>
      </c>
      <c r="AB336" s="175">
        <v>100.31</v>
      </c>
      <c r="AD336" s="151">
        <v>1044.434</v>
      </c>
      <c r="AG336" s="2" t="s">
        <v>36</v>
      </c>
      <c r="AH336" s="164">
        <v>9.4739999999999998E-3</v>
      </c>
      <c r="AI336" s="164">
        <v>5.7239882526391997E-3</v>
      </c>
      <c r="AJ336" s="164">
        <v>9.7154337743691804E-4</v>
      </c>
    </row>
    <row r="337" spans="1:36">
      <c r="A337" s="2">
        <v>337</v>
      </c>
      <c r="B337" s="2">
        <v>9963</v>
      </c>
      <c r="C337" s="2" t="s">
        <v>1470</v>
      </c>
      <c r="D337" s="2" t="s">
        <v>1471</v>
      </c>
      <c r="E337" s="4" t="s">
        <v>1303</v>
      </c>
      <c r="F337" s="2" t="s">
        <v>1893</v>
      </c>
      <c r="G337" s="2" t="s">
        <v>1894</v>
      </c>
      <c r="H337" s="2" t="s">
        <v>318</v>
      </c>
      <c r="I337" s="2" t="s">
        <v>965</v>
      </c>
      <c r="J337" s="2" t="s">
        <v>30</v>
      </c>
      <c r="K337" s="2" t="s">
        <v>80</v>
      </c>
      <c r="L337" s="2" t="s">
        <v>324</v>
      </c>
      <c r="M337" s="2" t="s">
        <v>41</v>
      </c>
      <c r="N337" s="2" t="s">
        <v>437</v>
      </c>
      <c r="O337" s="2" t="s">
        <v>134</v>
      </c>
      <c r="P337" s="2" t="s">
        <v>1814</v>
      </c>
      <c r="Q337" s="2" t="s">
        <v>412</v>
      </c>
      <c r="R337" s="2" t="s">
        <v>403</v>
      </c>
      <c r="S337" s="2" t="s">
        <v>34</v>
      </c>
      <c r="T337" s="151">
        <v>1.2609999999999999</v>
      </c>
      <c r="U337" s="2" t="s">
        <v>1895</v>
      </c>
      <c r="V337" s="162">
        <v>3.4500000000000003E-2</v>
      </c>
      <c r="W337" s="164">
        <v>5.4989999999999997E-2</v>
      </c>
      <c r="X337" s="4" t="s">
        <v>409</v>
      </c>
      <c r="Y337" s="4" t="s">
        <v>134</v>
      </c>
      <c r="Z337" s="151">
        <v>954265.2</v>
      </c>
      <c r="AA337" s="158">
        <v>1</v>
      </c>
      <c r="AB337" s="175">
        <v>97.86</v>
      </c>
      <c r="AD337" s="151">
        <v>933.84400000000005</v>
      </c>
      <c r="AG337" s="2" t="s">
        <v>36</v>
      </c>
      <c r="AH337" s="164">
        <v>1.485E-3</v>
      </c>
      <c r="AI337" s="164">
        <v>5.1179040444067096E-3</v>
      </c>
      <c r="AJ337" s="164">
        <v>8.6867155578251995E-4</v>
      </c>
    </row>
    <row r="338" spans="1:36">
      <c r="A338" s="2">
        <v>337</v>
      </c>
      <c r="B338" s="2">
        <v>9963</v>
      </c>
      <c r="C338" s="2" t="s">
        <v>1470</v>
      </c>
      <c r="D338" s="2" t="s">
        <v>1471</v>
      </c>
      <c r="E338" s="4" t="s">
        <v>1303</v>
      </c>
      <c r="F338" s="2" t="s">
        <v>1896</v>
      </c>
      <c r="G338" s="2" t="s">
        <v>1897</v>
      </c>
      <c r="H338" s="2" t="s">
        <v>318</v>
      </c>
      <c r="I338" s="2" t="s">
        <v>965</v>
      </c>
      <c r="J338" s="2" t="s">
        <v>30</v>
      </c>
      <c r="K338" s="2" t="s">
        <v>80</v>
      </c>
      <c r="L338" s="2" t="s">
        <v>324</v>
      </c>
      <c r="M338" s="2" t="s">
        <v>41</v>
      </c>
      <c r="N338" s="2" t="s">
        <v>437</v>
      </c>
      <c r="O338" s="2" t="s">
        <v>134</v>
      </c>
      <c r="P338" s="2" t="s">
        <v>1814</v>
      </c>
      <c r="Q338" s="2" t="s">
        <v>412</v>
      </c>
      <c r="R338" s="2" t="s">
        <v>403</v>
      </c>
      <c r="S338" s="2" t="s">
        <v>34</v>
      </c>
      <c r="T338" s="151">
        <v>3.2930000000000001</v>
      </c>
      <c r="U338" s="2" t="s">
        <v>1898</v>
      </c>
      <c r="V338" s="162">
        <v>1.4999999999999999E-2</v>
      </c>
      <c r="W338" s="164">
        <v>5.5910000000000001E-2</v>
      </c>
      <c r="X338" s="4" t="s">
        <v>409</v>
      </c>
      <c r="Y338" s="4" t="s">
        <v>134</v>
      </c>
      <c r="Z338" s="151">
        <v>700000</v>
      </c>
      <c r="AA338" s="158">
        <v>1</v>
      </c>
      <c r="AB338" s="175">
        <v>87.84</v>
      </c>
      <c r="AD338" s="151">
        <v>614.88</v>
      </c>
      <c r="AG338" s="2" t="s">
        <v>36</v>
      </c>
      <c r="AH338" s="164">
        <v>5.9500000000000004E-4</v>
      </c>
      <c r="AI338" s="164">
        <v>3.3698316769243302E-3</v>
      </c>
      <c r="AJ338" s="164">
        <v>5.7196791892147E-4</v>
      </c>
    </row>
    <row r="339" spans="1:36">
      <c r="A339" s="2">
        <v>337</v>
      </c>
      <c r="B339" s="2">
        <v>9963</v>
      </c>
      <c r="C339" s="2" t="s">
        <v>1478</v>
      </c>
      <c r="D339" s="2" t="s">
        <v>1479</v>
      </c>
      <c r="E339" s="4" t="s">
        <v>1303</v>
      </c>
      <c r="F339" s="2" t="s">
        <v>1899</v>
      </c>
      <c r="G339" s="2" t="s">
        <v>1900</v>
      </c>
      <c r="H339" s="2" t="s">
        <v>318</v>
      </c>
      <c r="I339" s="2" t="s">
        <v>965</v>
      </c>
      <c r="J339" s="2" t="s">
        <v>30</v>
      </c>
      <c r="K339" s="2" t="s">
        <v>30</v>
      </c>
      <c r="L339" s="2" t="s">
        <v>324</v>
      </c>
      <c r="M339" s="2" t="s">
        <v>41</v>
      </c>
      <c r="N339" s="2" t="s">
        <v>437</v>
      </c>
      <c r="O339" s="2" t="s">
        <v>134</v>
      </c>
      <c r="P339" s="2" t="s">
        <v>1862</v>
      </c>
      <c r="Q339" s="2" t="s">
        <v>410</v>
      </c>
      <c r="R339" s="2" t="s">
        <v>403</v>
      </c>
      <c r="S339" s="2" t="s">
        <v>34</v>
      </c>
      <c r="T339" s="151">
        <v>2.6560000000000001</v>
      </c>
      <c r="U339" s="2" t="s">
        <v>1901</v>
      </c>
      <c r="V339" s="162">
        <v>2.0500000000000001E-2</v>
      </c>
      <c r="W339" s="164">
        <v>5.4919999999999997E-2</v>
      </c>
      <c r="X339" s="4" t="s">
        <v>409</v>
      </c>
      <c r="Y339" s="4" t="s">
        <v>134</v>
      </c>
      <c r="Z339" s="151">
        <v>1500000</v>
      </c>
      <c r="AA339" s="158">
        <v>1</v>
      </c>
      <c r="AB339" s="175">
        <v>91.77</v>
      </c>
      <c r="AD339" s="151">
        <v>1376.55</v>
      </c>
      <c r="AG339" s="2" t="s">
        <v>36</v>
      </c>
      <c r="AH339" s="164">
        <v>1.5640000000000001E-3</v>
      </c>
      <c r="AI339" s="164">
        <v>7.5441416127865401E-3</v>
      </c>
      <c r="AJ339" s="164">
        <v>1.28048145783136E-3</v>
      </c>
    </row>
    <row r="340" spans="1:36">
      <c r="A340" s="2">
        <v>337</v>
      </c>
      <c r="B340" s="2">
        <v>9963</v>
      </c>
      <c r="C340" s="2" t="s">
        <v>1478</v>
      </c>
      <c r="D340" s="2" t="s">
        <v>1479</v>
      </c>
      <c r="E340" s="4" t="s">
        <v>1303</v>
      </c>
      <c r="F340" s="2" t="s">
        <v>1902</v>
      </c>
      <c r="G340" s="2" t="s">
        <v>1903</v>
      </c>
      <c r="H340" s="2" t="s">
        <v>318</v>
      </c>
      <c r="I340" s="2" t="s">
        <v>966</v>
      </c>
      <c r="J340" s="2" t="s">
        <v>30</v>
      </c>
      <c r="K340" s="2" t="s">
        <v>30</v>
      </c>
      <c r="L340" s="2" t="s">
        <v>324</v>
      </c>
      <c r="M340" s="2" t="s">
        <v>41</v>
      </c>
      <c r="N340" s="2" t="s">
        <v>437</v>
      </c>
      <c r="O340" s="2" t="s">
        <v>134</v>
      </c>
      <c r="P340" s="2" t="s">
        <v>1862</v>
      </c>
      <c r="Q340" s="2" t="s">
        <v>410</v>
      </c>
      <c r="R340" s="2" t="s">
        <v>403</v>
      </c>
      <c r="S340" s="2" t="s">
        <v>34</v>
      </c>
      <c r="T340" s="151">
        <v>2.3250000000000002</v>
      </c>
      <c r="U340" s="2" t="s">
        <v>1904</v>
      </c>
      <c r="V340" s="162">
        <v>1.25E-3</v>
      </c>
      <c r="W340" s="164">
        <v>5.6779999999999997E-2</v>
      </c>
      <c r="X340" s="4" t="s">
        <v>409</v>
      </c>
      <c r="Y340" s="4" t="s">
        <v>134</v>
      </c>
      <c r="Z340" s="151">
        <v>528000</v>
      </c>
      <c r="AA340" s="158">
        <v>1</v>
      </c>
      <c r="AB340" s="175">
        <v>88.8</v>
      </c>
      <c r="AD340" s="151">
        <v>468.86399999999998</v>
      </c>
      <c r="AG340" s="2" t="s">
        <v>36</v>
      </c>
      <c r="AH340" s="164">
        <v>9.3199999999999999E-4</v>
      </c>
      <c r="AI340" s="164">
        <v>2.5695953021231E-3</v>
      </c>
      <c r="AJ340" s="164">
        <v>4.3614228196915802E-4</v>
      </c>
    </row>
    <row r="341" spans="1:36">
      <c r="A341" s="2">
        <v>337</v>
      </c>
      <c r="B341" s="2">
        <v>9963</v>
      </c>
      <c r="C341" s="2" t="s">
        <v>1905</v>
      </c>
      <c r="D341" s="2" t="s">
        <v>1906</v>
      </c>
      <c r="E341" s="4" t="s">
        <v>1303</v>
      </c>
      <c r="F341" s="2" t="s">
        <v>1907</v>
      </c>
      <c r="G341" s="2" t="s">
        <v>1908</v>
      </c>
      <c r="H341" s="2" t="s">
        <v>318</v>
      </c>
      <c r="I341" s="2" t="s">
        <v>753</v>
      </c>
      <c r="J341" s="2" t="s">
        <v>30</v>
      </c>
      <c r="K341" s="2" t="s">
        <v>30</v>
      </c>
      <c r="L341" s="2" t="s">
        <v>324</v>
      </c>
      <c r="M341" s="2" t="s">
        <v>41</v>
      </c>
      <c r="N341" s="2" t="s">
        <v>439</v>
      </c>
      <c r="O341" s="2" t="s">
        <v>134</v>
      </c>
      <c r="P341" s="2" t="s">
        <v>1909</v>
      </c>
      <c r="Q341" s="2" t="s">
        <v>412</v>
      </c>
      <c r="R341" s="2" t="s">
        <v>403</v>
      </c>
      <c r="S341" s="2" t="s">
        <v>34</v>
      </c>
      <c r="T341" s="151">
        <v>1.222</v>
      </c>
      <c r="U341" s="2" t="s">
        <v>1910</v>
      </c>
      <c r="V341" s="162">
        <v>1.2500000000000001E-2</v>
      </c>
      <c r="W341" s="164">
        <v>4.19E-2</v>
      </c>
      <c r="X341" s="4" t="s">
        <v>409</v>
      </c>
      <c r="Y341" s="4" t="s">
        <v>134</v>
      </c>
      <c r="Z341" s="151">
        <v>0.78</v>
      </c>
      <c r="AA341" s="158">
        <v>1</v>
      </c>
      <c r="AB341" s="175">
        <v>105.98</v>
      </c>
      <c r="AD341" s="151">
        <v>1E-3</v>
      </c>
      <c r="AG341" s="2" t="s">
        <v>36</v>
      </c>
      <c r="AH341" s="164">
        <v>0</v>
      </c>
      <c r="AI341" s="164">
        <v>4.5303980235809201E-9</v>
      </c>
      <c r="AJ341" s="164">
        <v>7.6895304509647297E-10</v>
      </c>
    </row>
    <row r="342" spans="1:36">
      <c r="A342" s="2">
        <v>337</v>
      </c>
      <c r="B342" s="2">
        <v>9963</v>
      </c>
      <c r="C342" s="2" t="s">
        <v>1911</v>
      </c>
      <c r="D342" s="2" t="s">
        <v>1912</v>
      </c>
      <c r="E342" s="4" t="s">
        <v>1303</v>
      </c>
      <c r="F342" s="2" t="s">
        <v>1915</v>
      </c>
      <c r="G342" s="2" t="s">
        <v>1916</v>
      </c>
      <c r="H342" s="2" t="s">
        <v>318</v>
      </c>
      <c r="I342" s="2" t="s">
        <v>753</v>
      </c>
      <c r="J342" s="2" t="s">
        <v>30</v>
      </c>
      <c r="K342" s="2" t="s">
        <v>30</v>
      </c>
      <c r="L342" s="2" t="s">
        <v>324</v>
      </c>
      <c r="M342" s="2" t="s">
        <v>41</v>
      </c>
      <c r="N342" s="2" t="s">
        <v>461</v>
      </c>
      <c r="O342" s="2" t="s">
        <v>134</v>
      </c>
      <c r="P342" s="2" t="s">
        <v>1848</v>
      </c>
      <c r="Q342" s="2" t="s">
        <v>410</v>
      </c>
      <c r="R342" s="2" t="s">
        <v>403</v>
      </c>
      <c r="S342" s="2" t="s">
        <v>34</v>
      </c>
      <c r="T342" s="151">
        <v>3.665</v>
      </c>
      <c r="U342" s="2" t="s">
        <v>1863</v>
      </c>
      <c r="V342" s="162">
        <v>1.09E-2</v>
      </c>
      <c r="W342" s="164">
        <v>3.2640000000000002E-2</v>
      </c>
      <c r="X342" s="4" t="s">
        <v>409</v>
      </c>
      <c r="Y342" s="4" t="s">
        <v>134</v>
      </c>
      <c r="Z342" s="151">
        <v>1018000</v>
      </c>
      <c r="AA342" s="158">
        <v>1</v>
      </c>
      <c r="AB342" s="175">
        <v>105.7</v>
      </c>
      <c r="AD342" s="151">
        <v>1076.0260000000001</v>
      </c>
      <c r="AG342" s="2" t="s">
        <v>36</v>
      </c>
      <c r="AH342" s="164">
        <v>1.4300000000000001E-3</v>
      </c>
      <c r="AI342" s="164">
        <v>5.89712870803113E-3</v>
      </c>
      <c r="AJ342" s="164">
        <v>1.0009308351636001E-3</v>
      </c>
    </row>
    <row r="343" spans="1:36">
      <c r="A343" s="2">
        <v>337</v>
      </c>
      <c r="B343" s="2">
        <v>9963</v>
      </c>
      <c r="C343" s="2" t="s">
        <v>1911</v>
      </c>
      <c r="D343" s="2" t="s">
        <v>1912</v>
      </c>
      <c r="E343" s="4" t="s">
        <v>1303</v>
      </c>
      <c r="F343" s="2" t="s">
        <v>1917</v>
      </c>
      <c r="G343" s="2" t="s">
        <v>1918</v>
      </c>
      <c r="H343" s="2" t="s">
        <v>318</v>
      </c>
      <c r="I343" s="2" t="s">
        <v>753</v>
      </c>
      <c r="J343" s="2" t="s">
        <v>30</v>
      </c>
      <c r="K343" s="2" t="s">
        <v>30</v>
      </c>
      <c r="L343" s="2" t="s">
        <v>324</v>
      </c>
      <c r="M343" s="2" t="s">
        <v>31</v>
      </c>
      <c r="N343" s="2" t="s">
        <v>461</v>
      </c>
      <c r="O343" s="2" t="s">
        <v>134</v>
      </c>
      <c r="P343" s="2" t="s">
        <v>1848</v>
      </c>
      <c r="Q343" s="2" t="s">
        <v>410</v>
      </c>
      <c r="R343" s="2" t="s">
        <v>403</v>
      </c>
      <c r="S343" s="2" t="s">
        <v>34</v>
      </c>
      <c r="T343" s="151">
        <v>6.8319999999999999</v>
      </c>
      <c r="U343" s="2" t="s">
        <v>1919</v>
      </c>
      <c r="V343" s="162">
        <v>4.02E-2</v>
      </c>
      <c r="W343" s="164">
        <v>3.5560000000000001E-2</v>
      </c>
      <c r="X343" s="4" t="s">
        <v>409</v>
      </c>
      <c r="Y343" s="4" t="s">
        <v>134</v>
      </c>
      <c r="Z343" s="151">
        <v>1493000</v>
      </c>
      <c r="AA343" s="158">
        <v>1</v>
      </c>
      <c r="AB343" s="175">
        <v>104.52</v>
      </c>
      <c r="AD343" s="151">
        <v>1560.4839999999999</v>
      </c>
      <c r="AG343" s="2" t="s">
        <v>36</v>
      </c>
      <c r="AH343" s="164">
        <v>1.851E-3</v>
      </c>
      <c r="AI343" s="164">
        <v>8.5521842743314508E-3</v>
      </c>
      <c r="AJ343" s="164">
        <v>1.45157844978383E-3</v>
      </c>
    </row>
    <row r="344" spans="1:36">
      <c r="A344" s="2">
        <v>337</v>
      </c>
      <c r="B344" s="2">
        <v>9963</v>
      </c>
      <c r="C344" s="2" t="s">
        <v>1920</v>
      </c>
      <c r="D344" s="2" t="s">
        <v>1921</v>
      </c>
      <c r="E344" s="4" t="s">
        <v>1303</v>
      </c>
      <c r="F344" s="2" t="s">
        <v>1922</v>
      </c>
      <c r="G344" s="2" t="s">
        <v>1923</v>
      </c>
      <c r="H344" s="2" t="s">
        <v>318</v>
      </c>
      <c r="I344" s="2" t="s">
        <v>965</v>
      </c>
      <c r="J344" s="2" t="s">
        <v>30</v>
      </c>
      <c r="K344" s="2" t="s">
        <v>30</v>
      </c>
      <c r="L344" s="2" t="s">
        <v>324</v>
      </c>
      <c r="M344" s="2" t="s">
        <v>41</v>
      </c>
      <c r="N344" s="2" t="s">
        <v>443</v>
      </c>
      <c r="O344" s="2" t="s">
        <v>134</v>
      </c>
      <c r="P344" s="2" t="s">
        <v>1842</v>
      </c>
      <c r="Q344" s="2" t="s">
        <v>406</v>
      </c>
      <c r="R344" s="2" t="s">
        <v>406</v>
      </c>
      <c r="S344" s="2" t="s">
        <v>34</v>
      </c>
      <c r="T344" s="151">
        <v>1.629</v>
      </c>
      <c r="U344" s="2" t="s">
        <v>1910</v>
      </c>
      <c r="V344" s="162">
        <v>8.5000000000000006E-2</v>
      </c>
      <c r="W344" s="164">
        <v>6.3089999999999993E-2</v>
      </c>
      <c r="X344" s="4" t="s">
        <v>409</v>
      </c>
      <c r="Y344" s="4" t="s">
        <v>134</v>
      </c>
      <c r="Z344" s="151">
        <v>627000</v>
      </c>
      <c r="AA344" s="158">
        <v>1</v>
      </c>
      <c r="AB344" s="175">
        <v>105.85</v>
      </c>
      <c r="AD344" s="151">
        <v>663.67899999999997</v>
      </c>
      <c r="AG344" s="2" t="s">
        <v>36</v>
      </c>
      <c r="AH344" s="164">
        <v>4.823E-3</v>
      </c>
      <c r="AI344" s="164">
        <v>3.6372758951751598E-3</v>
      </c>
      <c r="AJ344" s="164">
        <v>6.1736173309563105E-4</v>
      </c>
    </row>
    <row r="345" spans="1:36">
      <c r="A345" s="2">
        <v>337</v>
      </c>
      <c r="B345" s="2">
        <v>9963</v>
      </c>
      <c r="C345" s="2" t="s">
        <v>1924</v>
      </c>
      <c r="D345" s="2" t="s">
        <v>1925</v>
      </c>
      <c r="E345" s="4" t="s">
        <v>1303</v>
      </c>
      <c r="F345" s="2" t="s">
        <v>1926</v>
      </c>
      <c r="G345" s="2" t="s">
        <v>1927</v>
      </c>
      <c r="H345" s="2" t="s">
        <v>318</v>
      </c>
      <c r="I345" s="2" t="s">
        <v>753</v>
      </c>
      <c r="J345" s="2" t="s">
        <v>30</v>
      </c>
      <c r="K345" s="2" t="s">
        <v>30</v>
      </c>
      <c r="L345" s="2" t="s">
        <v>324</v>
      </c>
      <c r="M345" s="2" t="s">
        <v>41</v>
      </c>
      <c r="N345" s="2" t="s">
        <v>447</v>
      </c>
      <c r="O345" s="2" t="s">
        <v>134</v>
      </c>
      <c r="P345" s="2" t="s">
        <v>1830</v>
      </c>
      <c r="Q345" s="2" t="s">
        <v>410</v>
      </c>
      <c r="R345" s="2" t="s">
        <v>403</v>
      </c>
      <c r="S345" s="2" t="s">
        <v>34</v>
      </c>
      <c r="T345" s="151">
        <v>2.4510000000000001</v>
      </c>
      <c r="U345" s="2" t="s">
        <v>1928</v>
      </c>
      <c r="V345" s="162">
        <v>2.8799999999999999E-2</v>
      </c>
      <c r="W345" s="164">
        <v>3.218E-2</v>
      </c>
      <c r="X345" s="4" t="s">
        <v>409</v>
      </c>
      <c r="Y345" s="4" t="s">
        <v>134</v>
      </c>
      <c r="Z345" s="151">
        <v>37311.56</v>
      </c>
      <c r="AA345" s="158">
        <v>1</v>
      </c>
      <c r="AB345" s="175">
        <v>114.69</v>
      </c>
      <c r="AD345" s="151">
        <v>42.792999999999999</v>
      </c>
      <c r="AG345" s="2" t="s">
        <v>36</v>
      </c>
      <c r="AH345" s="164">
        <v>1.64E-4</v>
      </c>
      <c r="AI345" s="164">
        <v>2.34523734591939E-4</v>
      </c>
      <c r="AJ345" s="164">
        <v>3.9806158073353098E-5</v>
      </c>
    </row>
    <row r="346" spans="1:36">
      <c r="A346" s="2">
        <v>337</v>
      </c>
      <c r="B346" s="2">
        <v>9963</v>
      </c>
      <c r="C346" s="2" t="s">
        <v>1929</v>
      </c>
      <c r="D346" s="2" t="s">
        <v>1930</v>
      </c>
      <c r="E346" s="4" t="s">
        <v>1303</v>
      </c>
      <c r="F346" s="2" t="s">
        <v>1931</v>
      </c>
      <c r="G346" s="2" t="s">
        <v>1932</v>
      </c>
      <c r="H346" s="2" t="s">
        <v>318</v>
      </c>
      <c r="I346" s="2" t="s">
        <v>965</v>
      </c>
      <c r="J346" s="2" t="s">
        <v>30</v>
      </c>
      <c r="K346" s="2" t="s">
        <v>30</v>
      </c>
      <c r="L346" s="2" t="s">
        <v>324</v>
      </c>
      <c r="M346" s="2" t="s">
        <v>41</v>
      </c>
      <c r="N346" s="2" t="s">
        <v>447</v>
      </c>
      <c r="O346" s="2" t="s">
        <v>134</v>
      </c>
      <c r="P346" s="2" t="s">
        <v>1834</v>
      </c>
      <c r="Q346" s="2" t="s">
        <v>410</v>
      </c>
      <c r="R346" s="2" t="s">
        <v>403</v>
      </c>
      <c r="S346" s="2" t="s">
        <v>34</v>
      </c>
      <c r="T346" s="151">
        <v>6.0330000000000004</v>
      </c>
      <c r="U346" s="2" t="s">
        <v>1933</v>
      </c>
      <c r="V346" s="162">
        <v>5.3100000000000001E-2</v>
      </c>
      <c r="W346" s="164">
        <v>5.2409999999999998E-2</v>
      </c>
      <c r="X346" s="4" t="s">
        <v>409</v>
      </c>
      <c r="Y346" s="4" t="s">
        <v>134</v>
      </c>
      <c r="Z346" s="151">
        <v>622000</v>
      </c>
      <c r="AA346" s="158">
        <v>1</v>
      </c>
      <c r="AB346" s="175">
        <v>101.76</v>
      </c>
      <c r="AD346" s="151">
        <v>632.947</v>
      </c>
      <c r="AG346" s="2" t="s">
        <v>36</v>
      </c>
      <c r="AH346" s="164">
        <v>1.9550000000000001E-3</v>
      </c>
      <c r="AI346" s="164">
        <v>3.46884843283334E-3</v>
      </c>
      <c r="AJ346" s="164">
        <v>5.88774220614057E-4</v>
      </c>
    </row>
    <row r="347" spans="1:36">
      <c r="A347" s="2">
        <v>337</v>
      </c>
      <c r="B347" s="2">
        <v>9963</v>
      </c>
      <c r="C347" s="2" t="s">
        <v>1836</v>
      </c>
      <c r="D347" s="2" t="s">
        <v>1837</v>
      </c>
      <c r="E347" s="4" t="s">
        <v>1303</v>
      </c>
      <c r="F347" s="2" t="s">
        <v>1944</v>
      </c>
      <c r="G347" s="2" t="s">
        <v>1945</v>
      </c>
      <c r="H347" s="2" t="s">
        <v>318</v>
      </c>
      <c r="I347" s="2" t="s">
        <v>753</v>
      </c>
      <c r="J347" s="2" t="s">
        <v>30</v>
      </c>
      <c r="K347" s="2" t="s">
        <v>30</v>
      </c>
      <c r="L347" s="2" t="s">
        <v>324</v>
      </c>
      <c r="M347" s="2" t="s">
        <v>41</v>
      </c>
      <c r="N347" s="2" t="s">
        <v>460</v>
      </c>
      <c r="O347" s="2" t="s">
        <v>134</v>
      </c>
      <c r="P347" s="2" t="s">
        <v>1834</v>
      </c>
      <c r="Q347" s="2" t="s">
        <v>410</v>
      </c>
      <c r="R347" s="2" t="s">
        <v>403</v>
      </c>
      <c r="S347" s="2" t="s">
        <v>34</v>
      </c>
      <c r="T347" s="151">
        <v>4.91</v>
      </c>
      <c r="U347" s="2" t="s">
        <v>1946</v>
      </c>
      <c r="V347" s="162">
        <v>6.4999999999999997E-3</v>
      </c>
      <c r="W347" s="164">
        <v>2.9739999999999999E-2</v>
      </c>
      <c r="X347" s="4" t="s">
        <v>409</v>
      </c>
      <c r="Y347" s="4" t="s">
        <v>134</v>
      </c>
      <c r="Z347" s="151">
        <v>1493143.18</v>
      </c>
      <c r="AA347" s="158">
        <v>1</v>
      </c>
      <c r="AB347" s="175">
        <v>102.5</v>
      </c>
      <c r="AD347" s="151">
        <v>1530.472</v>
      </c>
      <c r="AG347" s="2" t="s">
        <v>36</v>
      </c>
      <c r="AH347" s="164">
        <v>6.6100000000000002E-4</v>
      </c>
      <c r="AI347" s="164">
        <v>8.3877052689975608E-3</v>
      </c>
      <c r="AJ347" s="164">
        <v>1.42366111639555E-3</v>
      </c>
    </row>
    <row r="348" spans="1:36">
      <c r="A348" s="2">
        <v>337</v>
      </c>
      <c r="B348" s="2">
        <v>9963</v>
      </c>
      <c r="C348" s="2" t="s">
        <v>1836</v>
      </c>
      <c r="D348" s="2" t="s">
        <v>1837</v>
      </c>
      <c r="E348" s="4" t="s">
        <v>1303</v>
      </c>
      <c r="F348" s="2" t="s">
        <v>1947</v>
      </c>
      <c r="G348" s="2" t="s">
        <v>1948</v>
      </c>
      <c r="H348" s="2" t="s">
        <v>318</v>
      </c>
      <c r="I348" s="2" t="s">
        <v>753</v>
      </c>
      <c r="J348" s="2" t="s">
        <v>30</v>
      </c>
      <c r="K348" s="2" t="s">
        <v>30</v>
      </c>
      <c r="L348" s="2" t="s">
        <v>324</v>
      </c>
      <c r="M348" s="2" t="s">
        <v>31</v>
      </c>
      <c r="N348" s="2" t="s">
        <v>460</v>
      </c>
      <c r="O348" s="2" t="s">
        <v>134</v>
      </c>
      <c r="P348" s="2" t="s">
        <v>1834</v>
      </c>
      <c r="Q348" s="2" t="s">
        <v>410</v>
      </c>
      <c r="R348" s="2" t="s">
        <v>403</v>
      </c>
      <c r="S348" s="2" t="s">
        <v>34</v>
      </c>
      <c r="T348" s="151">
        <v>7.2910000000000004</v>
      </c>
      <c r="U348" s="2" t="s">
        <v>1949</v>
      </c>
      <c r="V348" s="162">
        <v>3.5999999999999997E-2</v>
      </c>
      <c r="W348" s="164">
        <v>3.2489999999999998E-2</v>
      </c>
      <c r="X348" s="4" t="s">
        <v>409</v>
      </c>
      <c r="Y348" s="4" t="s">
        <v>134</v>
      </c>
      <c r="Z348" s="151">
        <v>2000000</v>
      </c>
      <c r="AA348" s="158">
        <v>1</v>
      </c>
      <c r="AB348" s="175">
        <v>104.88</v>
      </c>
      <c r="AD348" s="151">
        <v>2097.6</v>
      </c>
      <c r="AG348" s="2" t="s">
        <v>36</v>
      </c>
      <c r="AH348" s="164">
        <v>2.7369999999999998E-3</v>
      </c>
      <c r="AI348" s="164">
        <v>1.14958348385319E-2</v>
      </c>
      <c r="AJ348" s="164">
        <v>1.9512098405049399E-3</v>
      </c>
    </row>
    <row r="349" spans="1:36">
      <c r="A349" s="2">
        <v>337</v>
      </c>
      <c r="B349" s="2">
        <v>9963</v>
      </c>
      <c r="C349" s="2" t="s">
        <v>1950</v>
      </c>
      <c r="D349" s="2" t="s">
        <v>1951</v>
      </c>
      <c r="E349" s="4" t="s">
        <v>1303</v>
      </c>
      <c r="F349" s="2" t="s">
        <v>1952</v>
      </c>
      <c r="G349" s="2" t="s">
        <v>1953</v>
      </c>
      <c r="H349" s="2" t="s">
        <v>318</v>
      </c>
      <c r="I349" s="2" t="s">
        <v>753</v>
      </c>
      <c r="J349" s="2" t="s">
        <v>30</v>
      </c>
      <c r="K349" s="2" t="s">
        <v>30</v>
      </c>
      <c r="L349" s="2" t="s">
        <v>324</v>
      </c>
      <c r="M349" s="2" t="s">
        <v>41</v>
      </c>
      <c r="N349" s="2" t="s">
        <v>460</v>
      </c>
      <c r="O349" s="2" t="s">
        <v>134</v>
      </c>
      <c r="P349" s="2" t="s">
        <v>1862</v>
      </c>
      <c r="Q349" s="2" t="s">
        <v>410</v>
      </c>
      <c r="R349" s="2" t="s">
        <v>403</v>
      </c>
      <c r="S349" s="2" t="s">
        <v>34</v>
      </c>
      <c r="T349" s="151">
        <v>5.7060000000000004</v>
      </c>
      <c r="U349" s="2" t="s">
        <v>1954</v>
      </c>
      <c r="V349" s="162">
        <v>3.6799999999999999E-2</v>
      </c>
      <c r="W349" s="164">
        <v>3.5349999999999999E-2</v>
      </c>
      <c r="X349" s="4" t="s">
        <v>409</v>
      </c>
      <c r="Y349" s="4" t="s">
        <v>134</v>
      </c>
      <c r="Z349" s="151">
        <v>2000000</v>
      </c>
      <c r="AA349" s="158">
        <v>1</v>
      </c>
      <c r="AB349" s="175">
        <v>105.69</v>
      </c>
      <c r="AD349" s="151">
        <v>2113.8000000000002</v>
      </c>
      <c r="AG349" s="2" t="s">
        <v>36</v>
      </c>
      <c r="AH349" s="164">
        <v>4.5079999999999999E-3</v>
      </c>
      <c r="AI349" s="164">
        <v>1.1584618459996501E-2</v>
      </c>
      <c r="AJ349" s="164">
        <v>1.9662792528887E-3</v>
      </c>
    </row>
    <row r="350" spans="1:36">
      <c r="A350" s="2">
        <v>337</v>
      </c>
      <c r="B350" s="2">
        <v>9963</v>
      </c>
      <c r="C350" s="2" t="s">
        <v>1493</v>
      </c>
      <c r="D350" s="2" t="s">
        <v>1494</v>
      </c>
      <c r="E350" s="4" t="s">
        <v>1303</v>
      </c>
      <c r="F350" s="2" t="s">
        <v>1958</v>
      </c>
      <c r="G350" s="2" t="s">
        <v>1959</v>
      </c>
      <c r="H350" s="2" t="s">
        <v>318</v>
      </c>
      <c r="I350" s="2" t="s">
        <v>965</v>
      </c>
      <c r="J350" s="2" t="s">
        <v>30</v>
      </c>
      <c r="K350" s="2" t="s">
        <v>30</v>
      </c>
      <c r="L350" s="2" t="s">
        <v>324</v>
      </c>
      <c r="M350" s="2" t="s">
        <v>41</v>
      </c>
      <c r="N350" s="2" t="s">
        <v>481</v>
      </c>
      <c r="O350" s="2" t="s">
        <v>134</v>
      </c>
      <c r="P350" s="2" t="s">
        <v>1834</v>
      </c>
      <c r="Q350" s="2" t="s">
        <v>410</v>
      </c>
      <c r="R350" s="2" t="s">
        <v>403</v>
      </c>
      <c r="S350" s="2" t="s">
        <v>34</v>
      </c>
      <c r="T350" s="151">
        <v>7.5209999999999999</v>
      </c>
      <c r="U350" s="2" t="s">
        <v>1960</v>
      </c>
      <c r="V350" s="162">
        <v>2.7900000000000001E-2</v>
      </c>
      <c r="W350" s="164">
        <v>5.1869999999999999E-2</v>
      </c>
      <c r="X350" s="4" t="s">
        <v>409</v>
      </c>
      <c r="Y350" s="4" t="s">
        <v>134</v>
      </c>
      <c r="Z350" s="151">
        <v>2000000</v>
      </c>
      <c r="AA350" s="158">
        <v>1</v>
      </c>
      <c r="AB350" s="175">
        <v>84.82</v>
      </c>
      <c r="AD350" s="151">
        <v>1696.4</v>
      </c>
      <c r="AG350" s="2" t="s">
        <v>36</v>
      </c>
      <c r="AH350" s="164">
        <v>1.426E-3</v>
      </c>
      <c r="AI350" s="164">
        <v>9.2970700896669901E-3</v>
      </c>
      <c r="AJ350" s="164">
        <v>1.57800933134657E-3</v>
      </c>
    </row>
    <row r="351" spans="1:36">
      <c r="A351" s="2">
        <v>337</v>
      </c>
      <c r="B351" s="2">
        <v>9963</v>
      </c>
      <c r="C351" s="2" t="s">
        <v>1497</v>
      </c>
      <c r="D351" s="2" t="s">
        <v>1498</v>
      </c>
      <c r="E351" s="4" t="s">
        <v>1303</v>
      </c>
      <c r="F351" s="2" t="s">
        <v>1961</v>
      </c>
      <c r="G351" s="2" t="s">
        <v>1962</v>
      </c>
      <c r="H351" s="2" t="s">
        <v>318</v>
      </c>
      <c r="I351" s="2" t="s">
        <v>753</v>
      </c>
      <c r="J351" s="2" t="s">
        <v>30</v>
      </c>
      <c r="K351" s="2" t="s">
        <v>30</v>
      </c>
      <c r="L351" s="2" t="s">
        <v>324</v>
      </c>
      <c r="M351" s="2" t="s">
        <v>41</v>
      </c>
      <c r="N351" s="2" t="s">
        <v>460</v>
      </c>
      <c r="O351" s="2" t="s">
        <v>134</v>
      </c>
      <c r="P351" s="2" t="s">
        <v>1826</v>
      </c>
      <c r="Q351" s="2" t="s">
        <v>410</v>
      </c>
      <c r="R351" s="2" t="s">
        <v>403</v>
      </c>
      <c r="S351" s="2" t="s">
        <v>34</v>
      </c>
      <c r="T351" s="151">
        <v>4.8780000000000001</v>
      </c>
      <c r="U351" s="2" t="s">
        <v>1963</v>
      </c>
      <c r="V351" s="162">
        <v>1.8700000000000001E-2</v>
      </c>
      <c r="W351" s="164">
        <v>3.1629999999999998E-2</v>
      </c>
      <c r="X351" s="4" t="s">
        <v>409</v>
      </c>
      <c r="Y351" s="4" t="s">
        <v>134</v>
      </c>
      <c r="Z351" s="151">
        <v>5390000</v>
      </c>
      <c r="AA351" s="158">
        <v>1</v>
      </c>
      <c r="AB351" s="175">
        <v>105.08</v>
      </c>
      <c r="AD351" s="151">
        <v>5663.8119999999999</v>
      </c>
      <c r="AG351" s="2" t="s">
        <v>36</v>
      </c>
      <c r="AH351" s="164">
        <v>5.2659999999999998E-3</v>
      </c>
      <c r="AI351" s="164">
        <v>3.1040354361410599E-2</v>
      </c>
      <c r="AJ351" s="164">
        <v>5.2685381908704901E-3</v>
      </c>
    </row>
    <row r="352" spans="1:36">
      <c r="A352" s="2">
        <v>337</v>
      </c>
      <c r="B352" s="2">
        <v>9963</v>
      </c>
      <c r="C352" s="2" t="s">
        <v>1964</v>
      </c>
      <c r="D352" s="2" t="s">
        <v>1965</v>
      </c>
      <c r="E352" s="4" t="s">
        <v>1303</v>
      </c>
      <c r="F352" s="2" t="s">
        <v>1966</v>
      </c>
      <c r="G352" s="2" t="s">
        <v>1967</v>
      </c>
      <c r="H352" s="2" t="s">
        <v>318</v>
      </c>
      <c r="I352" s="2" t="s">
        <v>753</v>
      </c>
      <c r="J352" s="2" t="s">
        <v>30</v>
      </c>
      <c r="K352" s="2" t="s">
        <v>30</v>
      </c>
      <c r="L352" s="2" t="s">
        <v>324</v>
      </c>
      <c r="M352" s="2" t="s">
        <v>41</v>
      </c>
      <c r="N352" s="2" t="s">
        <v>444</v>
      </c>
      <c r="O352" s="2" t="s">
        <v>134</v>
      </c>
      <c r="P352" s="2" t="s">
        <v>1826</v>
      </c>
      <c r="Q352" s="2" t="s">
        <v>410</v>
      </c>
      <c r="R352" s="2" t="s">
        <v>403</v>
      </c>
      <c r="S352" s="2" t="s">
        <v>34</v>
      </c>
      <c r="T352" s="151">
        <v>2.9670000000000001</v>
      </c>
      <c r="U352" s="2" t="s">
        <v>1968</v>
      </c>
      <c r="V352" s="162">
        <v>1.09E-2</v>
      </c>
      <c r="W352" s="164">
        <v>2.9389999999999999E-2</v>
      </c>
      <c r="X352" s="4" t="s">
        <v>409</v>
      </c>
      <c r="Y352" s="4" t="s">
        <v>134</v>
      </c>
      <c r="Z352" s="151">
        <v>1850000</v>
      </c>
      <c r="AA352" s="158">
        <v>1</v>
      </c>
      <c r="AB352" s="175">
        <v>105.7</v>
      </c>
      <c r="AD352" s="151">
        <v>1955.45</v>
      </c>
      <c r="AG352" s="2" t="s">
        <v>36</v>
      </c>
      <c r="AH352" s="164">
        <v>2.0379999999999999E-3</v>
      </c>
      <c r="AI352" s="164">
        <v>1.0716785962532E-2</v>
      </c>
      <c r="AJ352" s="164">
        <v>1.8189803978906299E-3</v>
      </c>
    </row>
    <row r="353" spans="1:36">
      <c r="A353" s="2">
        <v>337</v>
      </c>
      <c r="B353" s="2">
        <v>9963</v>
      </c>
      <c r="C353" s="2" t="s">
        <v>1671</v>
      </c>
      <c r="D353" s="2" t="s">
        <v>1672</v>
      </c>
      <c r="E353" s="4" t="s">
        <v>1303</v>
      </c>
      <c r="F353" s="2" t="s">
        <v>1972</v>
      </c>
      <c r="G353" s="2" t="s">
        <v>1973</v>
      </c>
      <c r="H353" s="2" t="s">
        <v>318</v>
      </c>
      <c r="I353" s="2" t="s">
        <v>965</v>
      </c>
      <c r="J353" s="2" t="s">
        <v>30</v>
      </c>
      <c r="K353" s="2" t="s">
        <v>30</v>
      </c>
      <c r="L353" s="2" t="s">
        <v>324</v>
      </c>
      <c r="M353" s="2" t="s">
        <v>41</v>
      </c>
      <c r="N353" s="2" t="s">
        <v>436</v>
      </c>
      <c r="O353" s="2" t="s">
        <v>134</v>
      </c>
      <c r="P353" s="2" t="s">
        <v>1909</v>
      </c>
      <c r="Q353" s="2" t="s">
        <v>412</v>
      </c>
      <c r="R353" s="2" t="s">
        <v>403</v>
      </c>
      <c r="S353" s="2" t="s">
        <v>34</v>
      </c>
      <c r="T353" s="151">
        <v>2.621</v>
      </c>
      <c r="U353" s="2" t="s">
        <v>1974</v>
      </c>
      <c r="V353" s="162">
        <v>7.2499999999999995E-2</v>
      </c>
      <c r="W353" s="164">
        <v>5.6919999999999998E-2</v>
      </c>
      <c r="X353" s="4" t="s">
        <v>409</v>
      </c>
      <c r="Y353" s="4" t="s">
        <v>134</v>
      </c>
      <c r="Z353" s="151">
        <v>2240924</v>
      </c>
      <c r="AA353" s="158">
        <v>1</v>
      </c>
      <c r="AB353" s="175">
        <v>107.37</v>
      </c>
      <c r="AD353" s="151">
        <v>2406.08</v>
      </c>
      <c r="AG353" s="2" t="s">
        <v>36</v>
      </c>
      <c r="AH353" s="164">
        <v>3.1120000000000002E-3</v>
      </c>
      <c r="AI353" s="164">
        <v>1.31864509077437E-2</v>
      </c>
      <c r="AJ353" s="164">
        <v>2.2381613109370901E-3</v>
      </c>
    </row>
    <row r="354" spans="1:36">
      <c r="A354" s="2">
        <v>337</v>
      </c>
      <c r="B354" s="2">
        <v>9963</v>
      </c>
      <c r="C354" s="2" t="s">
        <v>1513</v>
      </c>
      <c r="D354" s="2" t="s">
        <v>1514</v>
      </c>
      <c r="E354" s="4" t="s">
        <v>1303</v>
      </c>
      <c r="F354" s="2" t="s">
        <v>1983</v>
      </c>
      <c r="G354" s="2" t="s">
        <v>1984</v>
      </c>
      <c r="H354" s="2" t="s">
        <v>318</v>
      </c>
      <c r="I354" s="2" t="s">
        <v>753</v>
      </c>
      <c r="J354" s="2" t="s">
        <v>30</v>
      </c>
      <c r="K354" s="2" t="s">
        <v>30</v>
      </c>
      <c r="L354" s="2" t="s">
        <v>324</v>
      </c>
      <c r="M354" s="2" t="s">
        <v>41</v>
      </c>
      <c r="N354" s="2" t="s">
        <v>460</v>
      </c>
      <c r="O354" s="2" t="s">
        <v>134</v>
      </c>
      <c r="P354" s="2" t="s">
        <v>1834</v>
      </c>
      <c r="Q354" s="2" t="s">
        <v>410</v>
      </c>
      <c r="R354" s="2" t="s">
        <v>403</v>
      </c>
      <c r="S354" s="2" t="s">
        <v>34</v>
      </c>
      <c r="T354" s="151">
        <v>3.4889999999999999</v>
      </c>
      <c r="U354" s="2" t="s">
        <v>1985</v>
      </c>
      <c r="V354" s="162">
        <v>5.0000000000000001E-3</v>
      </c>
      <c r="W354" s="164">
        <v>3.0589999999999999E-2</v>
      </c>
      <c r="X354" s="4" t="s">
        <v>409</v>
      </c>
      <c r="Y354" s="4" t="s">
        <v>134</v>
      </c>
      <c r="Z354" s="151">
        <v>3000000.86</v>
      </c>
      <c r="AA354" s="158">
        <v>1</v>
      </c>
      <c r="AB354" s="175">
        <v>105.54</v>
      </c>
      <c r="AD354" s="151">
        <v>3166.201</v>
      </c>
      <c r="AG354" s="2" t="s">
        <v>36</v>
      </c>
      <c r="AH354" s="164">
        <v>1.864E-3</v>
      </c>
      <c r="AI354" s="164">
        <v>1.7352270547237401E-2</v>
      </c>
      <c r="AJ354" s="164">
        <v>2.9452337757487701E-3</v>
      </c>
    </row>
    <row r="355" spans="1:36">
      <c r="A355" s="2">
        <v>337</v>
      </c>
      <c r="B355" s="2">
        <v>9963</v>
      </c>
      <c r="C355" s="2" t="s">
        <v>1513</v>
      </c>
      <c r="D355" s="2" t="s">
        <v>1514</v>
      </c>
      <c r="E355" s="4" t="s">
        <v>1303</v>
      </c>
      <c r="F355" s="2" t="s">
        <v>2474</v>
      </c>
      <c r="G355" s="2" t="s">
        <v>2475</v>
      </c>
      <c r="H355" s="2" t="s">
        <v>318</v>
      </c>
      <c r="I355" s="2" t="s">
        <v>753</v>
      </c>
      <c r="J355" s="2" t="s">
        <v>30</v>
      </c>
      <c r="K355" s="2" t="s">
        <v>30</v>
      </c>
      <c r="L355" s="2" t="s">
        <v>324</v>
      </c>
      <c r="M355" s="2" t="s">
        <v>41</v>
      </c>
      <c r="N355" s="2" t="s">
        <v>460</v>
      </c>
      <c r="O355" s="2" t="s">
        <v>134</v>
      </c>
      <c r="P355" s="2" t="s">
        <v>1834</v>
      </c>
      <c r="Q355" s="2" t="s">
        <v>410</v>
      </c>
      <c r="R355" s="2" t="s">
        <v>403</v>
      </c>
      <c r="S355" s="2" t="s">
        <v>34</v>
      </c>
      <c r="T355" s="151">
        <v>4.673</v>
      </c>
      <c r="U355" s="2" t="s">
        <v>2476</v>
      </c>
      <c r="V355" s="162">
        <v>5.8999999999999999E-3</v>
      </c>
      <c r="W355" s="164">
        <v>3.0779999999999998E-2</v>
      </c>
      <c r="X355" s="4" t="s">
        <v>409</v>
      </c>
      <c r="Y355" s="4" t="s">
        <v>134</v>
      </c>
      <c r="Z355" s="151">
        <v>30856</v>
      </c>
      <c r="AA355" s="158">
        <v>1</v>
      </c>
      <c r="AB355" s="175">
        <v>100.11</v>
      </c>
      <c r="AD355" s="151">
        <v>30.89</v>
      </c>
      <c r="AG355" s="2" t="s">
        <v>36</v>
      </c>
      <c r="AH355" s="164">
        <v>2.1999999999999999E-5</v>
      </c>
      <c r="AI355" s="164">
        <v>1.69291412474016E-4</v>
      </c>
      <c r="AJ355" s="164">
        <v>2.8734152375354101E-5</v>
      </c>
    </row>
    <row r="356" spans="1:36">
      <c r="A356" s="2">
        <v>337</v>
      </c>
      <c r="B356" s="2">
        <v>9963</v>
      </c>
      <c r="C356" s="2" t="s">
        <v>1513</v>
      </c>
      <c r="D356" s="2" t="s">
        <v>1514</v>
      </c>
      <c r="E356" s="4" t="s">
        <v>1303</v>
      </c>
      <c r="F356" s="2" t="s">
        <v>1986</v>
      </c>
      <c r="G356" s="2" t="s">
        <v>1987</v>
      </c>
      <c r="H356" s="2" t="s">
        <v>318</v>
      </c>
      <c r="I356" s="2" t="s">
        <v>753</v>
      </c>
      <c r="J356" s="2" t="s">
        <v>30</v>
      </c>
      <c r="K356" s="2" t="s">
        <v>30</v>
      </c>
      <c r="L356" s="2" t="s">
        <v>324</v>
      </c>
      <c r="M356" s="2" t="s">
        <v>31</v>
      </c>
      <c r="N356" s="2" t="s">
        <v>460</v>
      </c>
      <c r="O356" s="2" t="s">
        <v>134</v>
      </c>
      <c r="P356" s="2" t="s">
        <v>1834</v>
      </c>
      <c r="Q356" s="2" t="s">
        <v>410</v>
      </c>
      <c r="R356" s="2" t="s">
        <v>403</v>
      </c>
      <c r="S356" s="2" t="s">
        <v>34</v>
      </c>
      <c r="T356" s="151">
        <v>3.3180000000000001</v>
      </c>
      <c r="U356" s="2" t="s">
        <v>74</v>
      </c>
      <c r="V356" s="162">
        <v>3.3399999999999999E-2</v>
      </c>
      <c r="W356" s="164">
        <v>3.0470000000000001E-2</v>
      </c>
      <c r="X356" s="4" t="s">
        <v>409</v>
      </c>
      <c r="Y356" s="4" t="s">
        <v>134</v>
      </c>
      <c r="Z356" s="151">
        <v>3200000</v>
      </c>
      <c r="AA356" s="158">
        <v>1</v>
      </c>
      <c r="AB356" s="175">
        <v>102.84</v>
      </c>
      <c r="AD356" s="151">
        <v>3290.88</v>
      </c>
      <c r="AG356" s="2" t="s">
        <v>36</v>
      </c>
      <c r="AH356" s="164">
        <v>2.9740000000000001E-3</v>
      </c>
      <c r="AI356" s="164">
        <v>1.8035570629971302E-2</v>
      </c>
      <c r="AJ356" s="164">
        <v>3.06121159416518E-3</v>
      </c>
    </row>
    <row r="357" spans="1:36">
      <c r="A357" s="2">
        <v>337</v>
      </c>
      <c r="B357" s="2">
        <v>9963</v>
      </c>
      <c r="C357" s="2" t="s">
        <v>1988</v>
      </c>
      <c r="D357" s="2" t="s">
        <v>1989</v>
      </c>
      <c r="E357" s="4" t="s">
        <v>1303</v>
      </c>
      <c r="F357" s="2" t="s">
        <v>1990</v>
      </c>
      <c r="G357" s="2" t="s">
        <v>1991</v>
      </c>
      <c r="H357" s="2" t="s">
        <v>318</v>
      </c>
      <c r="I357" s="2" t="s">
        <v>965</v>
      </c>
      <c r="J357" s="2" t="s">
        <v>30</v>
      </c>
      <c r="K357" s="2" t="s">
        <v>30</v>
      </c>
      <c r="L357" s="2" t="s">
        <v>324</v>
      </c>
      <c r="M357" s="2" t="s">
        <v>41</v>
      </c>
      <c r="N357" s="2" t="s">
        <v>443</v>
      </c>
      <c r="O357" s="2" t="s">
        <v>134</v>
      </c>
      <c r="P357" s="2" t="s">
        <v>1842</v>
      </c>
      <c r="Q357" s="2" t="s">
        <v>406</v>
      </c>
      <c r="R357" s="2" t="s">
        <v>406</v>
      </c>
      <c r="S357" s="2" t="s">
        <v>34</v>
      </c>
      <c r="T357" s="151">
        <v>1.177</v>
      </c>
      <c r="U357" s="2" t="s">
        <v>1992</v>
      </c>
      <c r="V357" s="162">
        <v>3.8699999999999998E-2</v>
      </c>
      <c r="W357" s="164">
        <v>5.9119999999999999E-2</v>
      </c>
      <c r="X357" s="4" t="s">
        <v>409</v>
      </c>
      <c r="Y357" s="4" t="s">
        <v>134</v>
      </c>
      <c r="Z357" s="151">
        <v>0.3</v>
      </c>
      <c r="AA357" s="158">
        <v>1</v>
      </c>
      <c r="AB357" s="175">
        <v>98.73</v>
      </c>
      <c r="AD357" s="151">
        <v>0</v>
      </c>
      <c r="AG357" s="2" t="s">
        <v>36</v>
      </c>
      <c r="AH357" s="164">
        <v>0</v>
      </c>
      <c r="AI357" s="164">
        <v>1.6232605457783901E-9</v>
      </c>
      <c r="AJ357" s="164">
        <v>2.7551908974978901E-10</v>
      </c>
    </row>
    <row r="358" spans="1:36">
      <c r="A358" s="2">
        <v>337</v>
      </c>
      <c r="B358" s="2">
        <v>9963</v>
      </c>
      <c r="C358" s="2" t="s">
        <v>1988</v>
      </c>
      <c r="D358" s="2" t="s">
        <v>1989</v>
      </c>
      <c r="E358" s="4" t="s">
        <v>1303</v>
      </c>
      <c r="F358" s="2" t="s">
        <v>1993</v>
      </c>
      <c r="G358" s="2" t="s">
        <v>1994</v>
      </c>
      <c r="H358" s="2" t="s">
        <v>318</v>
      </c>
      <c r="I358" s="2" t="s">
        <v>965</v>
      </c>
      <c r="J358" s="2" t="s">
        <v>30</v>
      </c>
      <c r="K358" s="2" t="s">
        <v>30</v>
      </c>
      <c r="L358" s="2" t="s">
        <v>324</v>
      </c>
      <c r="M358" s="2" t="s">
        <v>41</v>
      </c>
      <c r="N358" s="2" t="s">
        <v>443</v>
      </c>
      <c r="O358" s="2" t="s">
        <v>134</v>
      </c>
      <c r="P358" s="2" t="s">
        <v>1842</v>
      </c>
      <c r="Q358" s="2" t="s">
        <v>406</v>
      </c>
      <c r="R358" s="2" t="s">
        <v>406</v>
      </c>
      <c r="S358" s="2" t="s">
        <v>34</v>
      </c>
      <c r="T358" s="151">
        <v>1.18</v>
      </c>
      <c r="U358" s="2" t="s">
        <v>1910</v>
      </c>
      <c r="V358" s="162">
        <v>6.25E-2</v>
      </c>
      <c r="W358" s="164">
        <v>6.8479999999999999E-2</v>
      </c>
      <c r="X358" s="4" t="s">
        <v>409</v>
      </c>
      <c r="Y358" s="4" t="s">
        <v>134</v>
      </c>
      <c r="Z358" s="151">
        <v>0.25</v>
      </c>
      <c r="AA358" s="158">
        <v>1</v>
      </c>
      <c r="AB358" s="175">
        <v>101.01</v>
      </c>
      <c r="AD358" s="151">
        <v>0</v>
      </c>
      <c r="AG358" s="2" t="s">
        <v>36</v>
      </c>
      <c r="AH358" s="164">
        <v>0</v>
      </c>
      <c r="AI358" s="164">
        <v>1.3839558031084401E-9</v>
      </c>
      <c r="AJ358" s="164">
        <v>2.3490144211170302E-10</v>
      </c>
    </row>
    <row r="359" spans="1:36">
      <c r="A359" s="2">
        <v>337</v>
      </c>
      <c r="B359" s="2">
        <v>9963</v>
      </c>
      <c r="C359" s="2" t="s">
        <v>2477</v>
      </c>
      <c r="D359" s="2" t="s">
        <v>2478</v>
      </c>
      <c r="E359" s="4" t="s">
        <v>1303</v>
      </c>
      <c r="F359" s="2" t="s">
        <v>2479</v>
      </c>
      <c r="G359" s="2" t="s">
        <v>2480</v>
      </c>
      <c r="H359" s="2" t="s">
        <v>318</v>
      </c>
      <c r="I359" s="2" t="s">
        <v>753</v>
      </c>
      <c r="J359" s="2" t="s">
        <v>30</v>
      </c>
      <c r="K359" s="2" t="s">
        <v>30</v>
      </c>
      <c r="L359" s="2" t="s">
        <v>324</v>
      </c>
      <c r="M359" s="2" t="s">
        <v>41</v>
      </c>
      <c r="N359" s="2" t="s">
        <v>460</v>
      </c>
      <c r="O359" s="2" t="s">
        <v>134</v>
      </c>
      <c r="P359" s="2" t="s">
        <v>2057</v>
      </c>
      <c r="Q359" s="2" t="s">
        <v>412</v>
      </c>
      <c r="R359" s="2" t="s">
        <v>403</v>
      </c>
      <c r="S359" s="2" t="s">
        <v>34</v>
      </c>
      <c r="T359" s="151">
        <v>0.74399999999999999</v>
      </c>
      <c r="U359" s="2" t="s">
        <v>2314</v>
      </c>
      <c r="V359" s="162">
        <v>2.5000000000000001E-2</v>
      </c>
      <c r="W359" s="164">
        <v>3.4279999999999998E-2</v>
      </c>
      <c r="X359" s="4" t="s">
        <v>409</v>
      </c>
      <c r="Y359" s="4" t="s">
        <v>134</v>
      </c>
      <c r="Z359" s="151">
        <v>738725.11</v>
      </c>
      <c r="AA359" s="158">
        <v>1</v>
      </c>
      <c r="AB359" s="175">
        <v>116.9</v>
      </c>
      <c r="AD359" s="151">
        <v>863.57</v>
      </c>
      <c r="AG359" s="2" t="s">
        <v>36</v>
      </c>
      <c r="AH359" s="164">
        <v>2.4229999999999998E-3</v>
      </c>
      <c r="AI359" s="164">
        <v>4.73276797732591E-3</v>
      </c>
      <c r="AJ359" s="164">
        <v>8.0330168099077297E-4</v>
      </c>
    </row>
    <row r="360" spans="1:36">
      <c r="A360" s="2">
        <v>337</v>
      </c>
      <c r="B360" s="2">
        <v>9963</v>
      </c>
      <c r="C360" s="2" t="s">
        <v>1995</v>
      </c>
      <c r="D360" s="2" t="s">
        <v>1996</v>
      </c>
      <c r="E360" s="4" t="s">
        <v>1303</v>
      </c>
      <c r="F360" s="2" t="s">
        <v>1997</v>
      </c>
      <c r="G360" s="2" t="s">
        <v>1998</v>
      </c>
      <c r="H360" s="2" t="s">
        <v>318</v>
      </c>
      <c r="I360" s="2" t="s">
        <v>966</v>
      </c>
      <c r="J360" s="2" t="s">
        <v>30</v>
      </c>
      <c r="K360" s="2" t="s">
        <v>30</v>
      </c>
      <c r="L360" s="2" t="s">
        <v>324</v>
      </c>
      <c r="M360" s="2" t="s">
        <v>41</v>
      </c>
      <c r="N360" s="2" t="s">
        <v>443</v>
      </c>
      <c r="O360" s="2" t="s">
        <v>134</v>
      </c>
      <c r="P360" s="2" t="s">
        <v>1842</v>
      </c>
      <c r="Q360" s="2" t="s">
        <v>406</v>
      </c>
      <c r="R360" s="2" t="s">
        <v>406</v>
      </c>
      <c r="S360" s="2" t="s">
        <v>34</v>
      </c>
      <c r="T360" s="151">
        <v>3.24</v>
      </c>
      <c r="U360" s="2" t="s">
        <v>1831</v>
      </c>
      <c r="V360" s="162">
        <v>7.0000000000000007E-2</v>
      </c>
      <c r="W360" s="164">
        <v>-6.3850000000000004E-2</v>
      </c>
      <c r="X360" s="4" t="s">
        <v>409</v>
      </c>
      <c r="Y360" s="4" t="s">
        <v>134</v>
      </c>
      <c r="Z360" s="151">
        <v>417609</v>
      </c>
      <c r="AA360" s="158">
        <v>1</v>
      </c>
      <c r="AB360" s="175">
        <v>133.1</v>
      </c>
      <c r="AD360" s="151">
        <v>555.83799999999997</v>
      </c>
      <c r="AG360" s="2" t="s">
        <v>36</v>
      </c>
      <c r="AH360" s="164">
        <v>8.3580000000000008E-3</v>
      </c>
      <c r="AI360" s="164">
        <v>3.0462514327009001E-3</v>
      </c>
      <c r="AJ360" s="164">
        <v>5.1704603063846297E-4</v>
      </c>
    </row>
    <row r="361" spans="1:36">
      <c r="A361" s="2">
        <v>337</v>
      </c>
      <c r="B361" s="2">
        <v>9963</v>
      </c>
      <c r="C361" s="2" t="s">
        <v>2372</v>
      </c>
      <c r="D361" s="2" t="s">
        <v>2373</v>
      </c>
      <c r="E361" s="4" t="s">
        <v>33</v>
      </c>
      <c r="F361" s="2" t="s">
        <v>2376</v>
      </c>
      <c r="G361" s="2" t="s">
        <v>2377</v>
      </c>
      <c r="H361" s="2" t="s">
        <v>318</v>
      </c>
      <c r="I361" s="2" t="s">
        <v>965</v>
      </c>
      <c r="J361" s="2" t="s">
        <v>30</v>
      </c>
      <c r="K361" s="2" t="s">
        <v>80</v>
      </c>
      <c r="L361" s="2" t="s">
        <v>324</v>
      </c>
      <c r="M361" s="2" t="s">
        <v>41</v>
      </c>
      <c r="N361" s="2" t="s">
        <v>461</v>
      </c>
      <c r="O361" s="2" t="s">
        <v>134</v>
      </c>
      <c r="P361" s="2" t="s">
        <v>1862</v>
      </c>
      <c r="Q361" s="2" t="s">
        <v>410</v>
      </c>
      <c r="R361" s="2" t="s">
        <v>403</v>
      </c>
      <c r="S361" s="2" t="s">
        <v>34</v>
      </c>
      <c r="T361" s="151">
        <v>1.611</v>
      </c>
      <c r="U361" s="2" t="s">
        <v>2331</v>
      </c>
      <c r="V361" s="162">
        <v>6.8000000000000005E-2</v>
      </c>
      <c r="W361" s="164">
        <v>6.123E-2</v>
      </c>
      <c r="X361" s="4" t="s">
        <v>409</v>
      </c>
      <c r="Y361" s="4" t="s">
        <v>134</v>
      </c>
      <c r="Z361" s="151">
        <v>405430</v>
      </c>
      <c r="AA361" s="158">
        <v>1</v>
      </c>
      <c r="AB361" s="175">
        <v>102.91</v>
      </c>
      <c r="AD361" s="151">
        <v>417.22800000000001</v>
      </c>
      <c r="AG361" s="2" t="s">
        <v>36</v>
      </c>
      <c r="AH361" s="164">
        <v>1.165E-3</v>
      </c>
      <c r="AI361" s="164">
        <v>2.2866058006563799E-3</v>
      </c>
      <c r="AJ361" s="164">
        <v>3.8810993740461501E-4</v>
      </c>
    </row>
    <row r="362" spans="1:36">
      <c r="A362" s="2">
        <v>337</v>
      </c>
      <c r="B362" s="2">
        <v>9963</v>
      </c>
      <c r="C362" s="2" t="s">
        <v>1999</v>
      </c>
      <c r="D362" s="2" t="s">
        <v>2000</v>
      </c>
      <c r="E362" s="4" t="s">
        <v>1303</v>
      </c>
      <c r="F362" s="2" t="s">
        <v>2001</v>
      </c>
      <c r="G362" s="2" t="s">
        <v>2002</v>
      </c>
      <c r="H362" s="2" t="s">
        <v>318</v>
      </c>
      <c r="I362" s="2" t="s">
        <v>753</v>
      </c>
      <c r="J362" s="2" t="s">
        <v>30</v>
      </c>
      <c r="K362" s="2" t="s">
        <v>30</v>
      </c>
      <c r="L362" s="2" t="s">
        <v>324</v>
      </c>
      <c r="M362" s="2" t="s">
        <v>41</v>
      </c>
      <c r="N362" s="2" t="s">
        <v>444</v>
      </c>
      <c r="O362" s="2" t="s">
        <v>134</v>
      </c>
      <c r="P362" s="2" t="s">
        <v>1176</v>
      </c>
      <c r="Q362" s="2" t="s">
        <v>410</v>
      </c>
      <c r="R362" s="2" t="s">
        <v>403</v>
      </c>
      <c r="S362" s="2" t="s">
        <v>34</v>
      </c>
      <c r="T362" s="151">
        <v>3.7480000000000002</v>
      </c>
      <c r="U362" s="2" t="s">
        <v>2003</v>
      </c>
      <c r="V362" s="162">
        <v>2E-3</v>
      </c>
      <c r="W362" s="164">
        <v>2.5999999999999999E-2</v>
      </c>
      <c r="X362" s="4" t="s">
        <v>409</v>
      </c>
      <c r="Y362" s="4" t="s">
        <v>134</v>
      </c>
      <c r="Z362" s="151">
        <v>2647059.09</v>
      </c>
      <c r="AA362" s="158">
        <v>1</v>
      </c>
      <c r="AB362" s="175">
        <v>103.06</v>
      </c>
      <c r="AD362" s="151">
        <v>2728.0590000000002</v>
      </c>
      <c r="AG362" s="2" t="s">
        <v>36</v>
      </c>
      <c r="AH362" s="164">
        <v>7.7700000000000002E-4</v>
      </c>
      <c r="AI362" s="164">
        <v>1.49510473026948E-2</v>
      </c>
      <c r="AJ362" s="164">
        <v>2.5376696023060199E-3</v>
      </c>
    </row>
    <row r="363" spans="1:36">
      <c r="A363" s="2">
        <v>337</v>
      </c>
      <c r="B363" s="2">
        <v>9963</v>
      </c>
      <c r="C363" s="2" t="s">
        <v>1999</v>
      </c>
      <c r="D363" s="2" t="s">
        <v>2000</v>
      </c>
      <c r="E363" s="4" t="s">
        <v>1303</v>
      </c>
      <c r="F363" s="2" t="s">
        <v>2378</v>
      </c>
      <c r="G363" s="2" t="s">
        <v>2379</v>
      </c>
      <c r="H363" s="2" t="s">
        <v>318</v>
      </c>
      <c r="I363" s="2" t="s">
        <v>753</v>
      </c>
      <c r="J363" s="2" t="s">
        <v>30</v>
      </c>
      <c r="K363" s="2" t="s">
        <v>30</v>
      </c>
      <c r="L363" s="2" t="s">
        <v>324</v>
      </c>
      <c r="M363" s="2" t="s">
        <v>41</v>
      </c>
      <c r="N363" s="2" t="s">
        <v>444</v>
      </c>
      <c r="O363" s="2" t="s">
        <v>134</v>
      </c>
      <c r="P363" s="2" t="s">
        <v>1826</v>
      </c>
      <c r="Q363" s="2" t="s">
        <v>410</v>
      </c>
      <c r="R363" s="2" t="s">
        <v>403</v>
      </c>
      <c r="S363" s="2" t="s">
        <v>34</v>
      </c>
      <c r="T363" s="151">
        <v>2.58</v>
      </c>
      <c r="U363" s="2" t="s">
        <v>2380</v>
      </c>
      <c r="V363" s="162">
        <v>2E-3</v>
      </c>
      <c r="W363" s="164">
        <v>2.964E-2</v>
      </c>
      <c r="X363" s="4" t="s">
        <v>409</v>
      </c>
      <c r="Y363" s="4" t="s">
        <v>134</v>
      </c>
      <c r="Z363" s="151">
        <v>1428791</v>
      </c>
      <c r="AA363" s="158">
        <v>1</v>
      </c>
      <c r="AB363" s="175">
        <v>105.18</v>
      </c>
      <c r="AD363" s="151">
        <v>1502.8019999999999</v>
      </c>
      <c r="AG363" s="2" t="s">
        <v>36</v>
      </c>
      <c r="AH363" s="164">
        <v>2.493E-3</v>
      </c>
      <c r="AI363" s="164">
        <v>8.2360640180007896E-3</v>
      </c>
      <c r="AJ363" s="164">
        <v>1.3979227593882201E-3</v>
      </c>
    </row>
    <row r="364" spans="1:36">
      <c r="A364" s="2">
        <v>337</v>
      </c>
      <c r="B364" s="2">
        <v>9963</v>
      </c>
      <c r="C364" s="2" t="s">
        <v>2007</v>
      </c>
      <c r="D364" s="2" t="s">
        <v>2008</v>
      </c>
      <c r="E364" s="4" t="s">
        <v>1303</v>
      </c>
      <c r="F364" s="2" t="s">
        <v>2009</v>
      </c>
      <c r="G364" s="2" t="s">
        <v>2010</v>
      </c>
      <c r="H364" s="2" t="s">
        <v>318</v>
      </c>
      <c r="I364" s="2" t="s">
        <v>753</v>
      </c>
      <c r="J364" s="2" t="s">
        <v>30</v>
      </c>
      <c r="K364" s="2" t="s">
        <v>30</v>
      </c>
      <c r="L364" s="2" t="s">
        <v>324</v>
      </c>
      <c r="M364" s="2" t="s">
        <v>41</v>
      </c>
      <c r="N364" s="2" t="s">
        <v>436</v>
      </c>
      <c r="O364" s="2" t="s">
        <v>134</v>
      </c>
      <c r="P364" s="2" t="s">
        <v>1909</v>
      </c>
      <c r="Q364" s="2" t="s">
        <v>412</v>
      </c>
      <c r="R364" s="2" t="s">
        <v>403</v>
      </c>
      <c r="S364" s="2" t="s">
        <v>34</v>
      </c>
      <c r="T364" s="151">
        <v>3.448</v>
      </c>
      <c r="U364" s="2" t="s">
        <v>2011</v>
      </c>
      <c r="V364" s="162">
        <v>1.7999999999999999E-2</v>
      </c>
      <c r="W364" s="164">
        <v>3.4950000000000002E-2</v>
      </c>
      <c r="X364" s="4" t="s">
        <v>409</v>
      </c>
      <c r="Y364" s="4" t="s">
        <v>134</v>
      </c>
      <c r="Z364" s="151">
        <v>441285.46</v>
      </c>
      <c r="AA364" s="158">
        <v>1</v>
      </c>
      <c r="AB364" s="175">
        <v>109.14</v>
      </c>
      <c r="AD364" s="151">
        <v>481.61900000000003</v>
      </c>
      <c r="AG364" s="2" t="s">
        <v>36</v>
      </c>
      <c r="AH364" s="164">
        <v>5.0100000000000003E-4</v>
      </c>
      <c r="AI364" s="164">
        <v>2.6394984345484299E-3</v>
      </c>
      <c r="AJ364" s="164">
        <v>4.4800707315537601E-4</v>
      </c>
    </row>
    <row r="365" spans="1:36">
      <c r="A365" s="2">
        <v>337</v>
      </c>
      <c r="B365" s="2">
        <v>9963</v>
      </c>
      <c r="C365" s="2" t="s">
        <v>2012</v>
      </c>
      <c r="D365" s="2" t="s">
        <v>2013</v>
      </c>
      <c r="E365" s="4" t="s">
        <v>1303</v>
      </c>
      <c r="F365" s="2" t="s">
        <v>2016</v>
      </c>
      <c r="G365" s="2" t="s">
        <v>2017</v>
      </c>
      <c r="H365" s="2" t="s">
        <v>318</v>
      </c>
      <c r="I365" s="2" t="s">
        <v>965</v>
      </c>
      <c r="J365" s="2" t="s">
        <v>30</v>
      </c>
      <c r="K365" s="2" t="s">
        <v>30</v>
      </c>
      <c r="L365" s="2" t="s">
        <v>324</v>
      </c>
      <c r="M365" s="2" t="s">
        <v>31</v>
      </c>
      <c r="N365" s="2" t="s">
        <v>450</v>
      </c>
      <c r="O365" s="2" t="s">
        <v>134</v>
      </c>
      <c r="P365" s="2" t="s">
        <v>1830</v>
      </c>
      <c r="Q365" s="2" t="s">
        <v>410</v>
      </c>
      <c r="R365" s="2" t="s">
        <v>403</v>
      </c>
      <c r="S365" s="2" t="s">
        <v>34</v>
      </c>
      <c r="T365" s="151">
        <v>5.6980000000000004</v>
      </c>
      <c r="U365" s="2" t="s">
        <v>1985</v>
      </c>
      <c r="V365" s="162">
        <v>5.6899999999999999E-2</v>
      </c>
      <c r="W365" s="164">
        <v>6.0499999999999998E-2</v>
      </c>
      <c r="X365" s="4" t="s">
        <v>409</v>
      </c>
      <c r="Y365" s="4" t="s">
        <v>134</v>
      </c>
      <c r="Z365" s="151">
        <v>1496000</v>
      </c>
      <c r="AA365" s="158">
        <v>1</v>
      </c>
      <c r="AB365" s="175">
        <v>99.25</v>
      </c>
      <c r="AD365" s="151">
        <v>1484.78</v>
      </c>
      <c r="AG365" s="2" t="s">
        <v>36</v>
      </c>
      <c r="AH365" s="164">
        <v>1.4090000000000001E-3</v>
      </c>
      <c r="AI365" s="164">
        <v>8.1372929307567503E-3</v>
      </c>
      <c r="AJ365" s="164">
        <v>1.3811581555038699E-3</v>
      </c>
    </row>
    <row r="366" spans="1:36">
      <c r="A366" s="2">
        <v>337</v>
      </c>
      <c r="B366" s="2">
        <v>9963</v>
      </c>
      <c r="C366" s="2" t="s">
        <v>2018</v>
      </c>
      <c r="D366" s="2" t="s">
        <v>2019</v>
      </c>
      <c r="E366" s="4" t="s">
        <v>1303</v>
      </c>
      <c r="F366" s="2" t="s">
        <v>2020</v>
      </c>
      <c r="G366" s="2" t="s">
        <v>2021</v>
      </c>
      <c r="H366" s="2" t="s">
        <v>318</v>
      </c>
      <c r="I366" s="2" t="s">
        <v>753</v>
      </c>
      <c r="J366" s="2" t="s">
        <v>30</v>
      </c>
      <c r="K366" s="2" t="s">
        <v>30</v>
      </c>
      <c r="L366" s="2" t="s">
        <v>324</v>
      </c>
      <c r="M366" s="2" t="s">
        <v>41</v>
      </c>
      <c r="N366" s="2" t="s">
        <v>460</v>
      </c>
      <c r="O366" s="2" t="s">
        <v>134</v>
      </c>
      <c r="P366" s="2" t="s">
        <v>1862</v>
      </c>
      <c r="Q366" s="2" t="s">
        <v>410</v>
      </c>
      <c r="R366" s="2" t="s">
        <v>403</v>
      </c>
      <c r="S366" s="2" t="s">
        <v>34</v>
      </c>
      <c r="T366" s="151">
        <v>3.077</v>
      </c>
      <c r="U366" s="2" t="s">
        <v>2022</v>
      </c>
      <c r="V366" s="162">
        <v>2.7E-2</v>
      </c>
      <c r="W366" s="164">
        <v>3.3090000000000001E-2</v>
      </c>
      <c r="X366" s="4" t="s">
        <v>409</v>
      </c>
      <c r="Y366" s="4" t="s">
        <v>134</v>
      </c>
      <c r="Z366" s="151">
        <v>1350000</v>
      </c>
      <c r="AA366" s="158">
        <v>1</v>
      </c>
      <c r="AB366" s="175">
        <v>106.11</v>
      </c>
      <c r="AD366" s="151">
        <v>1432.4849999999999</v>
      </c>
      <c r="AG366" s="2" t="s">
        <v>36</v>
      </c>
      <c r="AH366" s="164">
        <v>3.4280000000000001E-3</v>
      </c>
      <c r="AI366" s="164">
        <v>7.85069172801027E-3</v>
      </c>
      <c r="AJ366" s="164">
        <v>1.3325127900341901E-3</v>
      </c>
    </row>
    <row r="367" spans="1:36">
      <c r="A367" s="2">
        <v>337</v>
      </c>
      <c r="B367" s="2">
        <v>9963</v>
      </c>
      <c r="C367" s="2" t="s">
        <v>2030</v>
      </c>
      <c r="D367" s="2" t="s">
        <v>2031</v>
      </c>
      <c r="E367" s="4" t="s">
        <v>1303</v>
      </c>
      <c r="F367" s="2" t="s">
        <v>2032</v>
      </c>
      <c r="G367" s="2" t="s">
        <v>2033</v>
      </c>
      <c r="H367" s="2" t="s">
        <v>318</v>
      </c>
      <c r="I367" s="2" t="s">
        <v>753</v>
      </c>
      <c r="J367" s="2" t="s">
        <v>30</v>
      </c>
      <c r="K367" s="2" t="s">
        <v>30</v>
      </c>
      <c r="L367" s="2" t="s">
        <v>324</v>
      </c>
      <c r="M367" s="209" t="s">
        <v>41</v>
      </c>
      <c r="N367" s="2" t="s">
        <v>460</v>
      </c>
      <c r="O367" s="2" t="s">
        <v>134</v>
      </c>
      <c r="P367" s="2" t="s">
        <v>1814</v>
      </c>
      <c r="Q367" s="2" t="s">
        <v>412</v>
      </c>
      <c r="R367" s="2" t="s">
        <v>403</v>
      </c>
      <c r="S367" s="2" t="s">
        <v>34</v>
      </c>
      <c r="T367" s="151">
        <v>5.2880000000000003</v>
      </c>
      <c r="U367" s="2" t="s">
        <v>2034</v>
      </c>
      <c r="V367" s="162">
        <v>3.1800000000000002E-2</v>
      </c>
      <c r="W367" s="164">
        <v>3.2190000000000003E-2</v>
      </c>
      <c r="X367" s="4" t="s">
        <v>409</v>
      </c>
      <c r="Y367" s="4" t="s">
        <v>134</v>
      </c>
      <c r="Z367" s="151">
        <v>2000000</v>
      </c>
      <c r="AA367" s="158">
        <v>1</v>
      </c>
      <c r="AB367" s="175">
        <v>101.12</v>
      </c>
      <c r="AD367" s="151">
        <v>2022.4</v>
      </c>
      <c r="AG367" s="2" t="s">
        <v>36</v>
      </c>
      <c r="AH367" s="164">
        <v>8.9619999999999995E-3</v>
      </c>
      <c r="AI367" s="164">
        <v>1.1083703459881199E-2</v>
      </c>
      <c r="AJ367" s="164">
        <v>1.88125800030377E-3</v>
      </c>
    </row>
    <row r="368" spans="1:36">
      <c r="A368" s="2">
        <v>337</v>
      </c>
      <c r="B368" s="2">
        <v>9963</v>
      </c>
      <c r="C368" s="2" t="s">
        <v>2038</v>
      </c>
      <c r="D368" s="2" t="s">
        <v>2039</v>
      </c>
      <c r="E368" s="4" t="s">
        <v>1303</v>
      </c>
      <c r="F368" s="2" t="s">
        <v>2040</v>
      </c>
      <c r="G368" s="2" t="s">
        <v>2041</v>
      </c>
      <c r="H368" s="2" t="s">
        <v>318</v>
      </c>
      <c r="I368" s="2" t="s">
        <v>753</v>
      </c>
      <c r="J368" s="2" t="s">
        <v>30</v>
      </c>
      <c r="K368" s="2" t="s">
        <v>30</v>
      </c>
      <c r="L368" s="2" t="s">
        <v>324</v>
      </c>
      <c r="M368" s="2" t="s">
        <v>41</v>
      </c>
      <c r="N368" s="2" t="s">
        <v>436</v>
      </c>
      <c r="O368" s="2" t="s">
        <v>134</v>
      </c>
      <c r="P368" s="2" t="s">
        <v>1176</v>
      </c>
      <c r="Q368" s="2" t="s">
        <v>410</v>
      </c>
      <c r="R368" s="2" t="s">
        <v>403</v>
      </c>
      <c r="S368" s="2" t="s">
        <v>34</v>
      </c>
      <c r="T368" s="151">
        <v>10.119999999999999</v>
      </c>
      <c r="U368" s="2" t="s">
        <v>2042</v>
      </c>
      <c r="V368" s="162">
        <v>3.2000000000000001E-2</v>
      </c>
      <c r="W368" s="164">
        <v>3.1019999999999999E-2</v>
      </c>
      <c r="X368" s="4" t="s">
        <v>409</v>
      </c>
      <c r="Y368" s="4" t="s">
        <v>134</v>
      </c>
      <c r="Z368" s="151">
        <v>2500000</v>
      </c>
      <c r="AA368" s="158">
        <v>1</v>
      </c>
      <c r="AB368" s="175">
        <v>107.1</v>
      </c>
      <c r="AD368" s="151">
        <v>2677.5</v>
      </c>
      <c r="AG368" s="2" t="s">
        <v>36</v>
      </c>
      <c r="AH368" s="164">
        <v>5.0799999999999999E-4</v>
      </c>
      <c r="AI368" s="164">
        <v>1.4673959658738101E-2</v>
      </c>
      <c r="AJ368" s="164">
        <v>2.4906389912051699E-3</v>
      </c>
    </row>
    <row r="369" spans="1:36">
      <c r="A369" s="2">
        <v>337</v>
      </c>
      <c r="B369" s="2">
        <v>9963</v>
      </c>
      <c r="C369" s="2" t="s">
        <v>2043</v>
      </c>
      <c r="D369" s="2" t="s">
        <v>2044</v>
      </c>
      <c r="E369" s="4" t="s">
        <v>33</v>
      </c>
      <c r="F369" s="2" t="s">
        <v>2045</v>
      </c>
      <c r="G369" s="2" t="s">
        <v>2046</v>
      </c>
      <c r="H369" s="2" t="s">
        <v>318</v>
      </c>
      <c r="I369" s="2" t="s">
        <v>754</v>
      </c>
      <c r="J369" s="2" t="s">
        <v>30</v>
      </c>
      <c r="K369" s="2" t="s">
        <v>80</v>
      </c>
      <c r="L369" s="2" t="s">
        <v>324</v>
      </c>
      <c r="M369" s="2" t="s">
        <v>41</v>
      </c>
      <c r="N369" s="2" t="s">
        <v>461</v>
      </c>
      <c r="O369" s="2" t="s">
        <v>134</v>
      </c>
      <c r="P369" s="2" t="s">
        <v>1826</v>
      </c>
      <c r="Q369" s="2" t="s">
        <v>410</v>
      </c>
      <c r="R369" s="2" t="s">
        <v>403</v>
      </c>
      <c r="S369" s="2" t="s">
        <v>84</v>
      </c>
      <c r="T369" s="151">
        <v>1.843</v>
      </c>
      <c r="U369" s="2" t="s">
        <v>2047</v>
      </c>
      <c r="V369" s="162">
        <v>4.7199999999999999E-2</v>
      </c>
      <c r="W369" s="164">
        <v>6.2030000000000002E-2</v>
      </c>
      <c r="X369" s="4" t="s">
        <v>409</v>
      </c>
      <c r="Y369" s="4" t="s">
        <v>134</v>
      </c>
      <c r="Z369" s="151">
        <v>1576000</v>
      </c>
      <c r="AA369" s="158">
        <v>3.718</v>
      </c>
      <c r="AB369" s="175">
        <v>30.661999999999999</v>
      </c>
      <c r="AD369" s="151">
        <v>1796.64</v>
      </c>
      <c r="AG369" s="2" t="s">
        <v>36</v>
      </c>
      <c r="AH369" s="164">
        <v>4.7910000000000001E-3</v>
      </c>
      <c r="AI369" s="164">
        <v>9.8464324486555593E-3</v>
      </c>
      <c r="AJ369" s="164">
        <v>1.6712536459977099E-3</v>
      </c>
    </row>
    <row r="370" spans="1:36">
      <c r="A370" s="2">
        <v>337</v>
      </c>
      <c r="B370" s="2">
        <v>9963</v>
      </c>
      <c r="C370" s="2" t="s">
        <v>2481</v>
      </c>
      <c r="D370" s="2" t="s">
        <v>2482</v>
      </c>
      <c r="E370" s="4" t="s">
        <v>1303</v>
      </c>
      <c r="F370" s="2" t="s">
        <v>2483</v>
      </c>
      <c r="G370" s="2" t="s">
        <v>2484</v>
      </c>
      <c r="H370" s="2" t="s">
        <v>318</v>
      </c>
      <c r="I370" s="2" t="s">
        <v>965</v>
      </c>
      <c r="J370" s="2" t="s">
        <v>30</v>
      </c>
      <c r="K370" s="2" t="s">
        <v>30</v>
      </c>
      <c r="L370" s="2" t="s">
        <v>324</v>
      </c>
      <c r="M370" s="2" t="s">
        <v>41</v>
      </c>
      <c r="N370" s="2" t="s">
        <v>458</v>
      </c>
      <c r="O370" s="2" t="s">
        <v>134</v>
      </c>
      <c r="P370" s="2" t="s">
        <v>1826</v>
      </c>
      <c r="Q370" s="2" t="s">
        <v>410</v>
      </c>
      <c r="R370" s="2" t="s">
        <v>403</v>
      </c>
      <c r="S370" s="2" t="s">
        <v>34</v>
      </c>
      <c r="T370" s="151">
        <v>2.7120000000000002</v>
      </c>
      <c r="U370" s="2" t="s">
        <v>2485</v>
      </c>
      <c r="V370" s="162">
        <v>4.6800000000000001E-2</v>
      </c>
      <c r="W370" s="164">
        <v>5.2639999999999999E-2</v>
      </c>
      <c r="X370" s="4" t="s">
        <v>409</v>
      </c>
      <c r="Y370" s="4" t="s">
        <v>134</v>
      </c>
      <c r="Z370" s="151">
        <v>366157.32</v>
      </c>
      <c r="AA370" s="158">
        <v>1</v>
      </c>
      <c r="AB370" s="175">
        <v>99.35</v>
      </c>
      <c r="AD370" s="151">
        <v>363.77699999999999</v>
      </c>
      <c r="AG370" s="2" t="s">
        <v>36</v>
      </c>
      <c r="AH370" s="164">
        <v>9.4399999999999996E-4</v>
      </c>
      <c r="AI370" s="164">
        <v>1.9936707328126499E-3</v>
      </c>
      <c r="AJ370" s="164">
        <v>3.3838951300447899E-4</v>
      </c>
    </row>
    <row r="371" spans="1:36">
      <c r="A371" s="2">
        <v>337</v>
      </c>
      <c r="B371" s="2">
        <v>9963</v>
      </c>
      <c r="C371" s="2" t="s">
        <v>2059</v>
      </c>
      <c r="D371" s="2" t="s">
        <v>2060</v>
      </c>
      <c r="E371" s="4" t="s">
        <v>1303</v>
      </c>
      <c r="F371" s="2" t="s">
        <v>2061</v>
      </c>
      <c r="G371" s="2" t="s">
        <v>2062</v>
      </c>
      <c r="H371" s="2" t="s">
        <v>318</v>
      </c>
      <c r="I371" s="2" t="s">
        <v>753</v>
      </c>
      <c r="J371" s="2" t="s">
        <v>30</v>
      </c>
      <c r="K371" s="2" t="s">
        <v>30</v>
      </c>
      <c r="L371" s="2" t="s">
        <v>324</v>
      </c>
      <c r="M371" s="2" t="s">
        <v>41</v>
      </c>
      <c r="N371" s="2" t="s">
        <v>444</v>
      </c>
      <c r="O371" s="2" t="s">
        <v>134</v>
      </c>
      <c r="P371" s="2" t="s">
        <v>1826</v>
      </c>
      <c r="Q371" s="2" t="s">
        <v>410</v>
      </c>
      <c r="R371" s="2" t="s">
        <v>403</v>
      </c>
      <c r="S371" s="2" t="s">
        <v>34</v>
      </c>
      <c r="T371" s="151">
        <v>4.1260000000000003</v>
      </c>
      <c r="U371" s="2" t="s">
        <v>2063</v>
      </c>
      <c r="V371" s="162">
        <v>2.5899999999999999E-2</v>
      </c>
      <c r="W371" s="164">
        <v>2.7740000000000001E-2</v>
      </c>
      <c r="X371" s="4" t="s">
        <v>409</v>
      </c>
      <c r="Y371" s="4" t="s">
        <v>134</v>
      </c>
      <c r="Z371" s="151">
        <v>922000</v>
      </c>
      <c r="AA371" s="158">
        <v>1</v>
      </c>
      <c r="AB371" s="175">
        <v>103.09</v>
      </c>
      <c r="AD371" s="151">
        <v>950.49</v>
      </c>
      <c r="AG371" s="2" t="s">
        <v>36</v>
      </c>
      <c r="AH371" s="164">
        <v>1.3500000000000001E-3</v>
      </c>
      <c r="AI371" s="164">
        <v>5.2091312721725801E-3</v>
      </c>
      <c r="AJ371" s="164">
        <v>8.8415572609628495E-4</v>
      </c>
    </row>
    <row r="372" spans="1:36">
      <c r="A372" s="2">
        <v>337</v>
      </c>
      <c r="B372" s="2">
        <v>9963</v>
      </c>
      <c r="C372" s="2" t="s">
        <v>2064</v>
      </c>
      <c r="D372" s="2" t="s">
        <v>2065</v>
      </c>
      <c r="E372" s="4" t="s">
        <v>1303</v>
      </c>
      <c r="F372" s="2" t="s">
        <v>2066</v>
      </c>
      <c r="G372" s="2" t="s">
        <v>2067</v>
      </c>
      <c r="H372" s="2" t="s">
        <v>318</v>
      </c>
      <c r="I372" s="2" t="s">
        <v>753</v>
      </c>
      <c r="J372" s="2" t="s">
        <v>30</v>
      </c>
      <c r="K372" s="2" t="s">
        <v>30</v>
      </c>
      <c r="L372" s="2" t="s">
        <v>324</v>
      </c>
      <c r="M372" s="2" t="s">
        <v>41</v>
      </c>
      <c r="N372" s="2" t="s">
        <v>460</v>
      </c>
      <c r="O372" s="2" t="s">
        <v>134</v>
      </c>
      <c r="P372" s="2" t="s">
        <v>1842</v>
      </c>
      <c r="Q372" s="2" t="s">
        <v>406</v>
      </c>
      <c r="R372" s="2" t="s">
        <v>406</v>
      </c>
      <c r="S372" s="2" t="s">
        <v>34</v>
      </c>
      <c r="T372" s="151">
        <v>2.56</v>
      </c>
      <c r="U372" s="2" t="s">
        <v>2025</v>
      </c>
      <c r="V372" s="162">
        <v>4.4999999999999998E-2</v>
      </c>
      <c r="W372" s="164">
        <v>3.4479999999999997E-2</v>
      </c>
      <c r="X372" s="4" t="s">
        <v>409</v>
      </c>
      <c r="Y372" s="4" t="s">
        <v>134</v>
      </c>
      <c r="Z372" s="151">
        <v>1430124</v>
      </c>
      <c r="AA372" s="158">
        <v>1</v>
      </c>
      <c r="AB372" s="175">
        <v>108.36</v>
      </c>
      <c r="AD372" s="151">
        <v>1549.682</v>
      </c>
      <c r="AG372" s="2" t="s">
        <v>36</v>
      </c>
      <c r="AH372" s="164">
        <v>1.4599999999999999E-3</v>
      </c>
      <c r="AI372" s="164">
        <v>8.4929884326466597E-3</v>
      </c>
      <c r="AJ372" s="164">
        <v>1.44153102735348E-3</v>
      </c>
    </row>
    <row r="373" spans="1:36">
      <c r="A373" s="2">
        <v>337</v>
      </c>
      <c r="B373" s="2">
        <v>9963</v>
      </c>
      <c r="C373" s="2" t="s">
        <v>2075</v>
      </c>
      <c r="D373" s="2" t="s">
        <v>2076</v>
      </c>
      <c r="E373" s="4" t="s">
        <v>1303</v>
      </c>
      <c r="F373" s="2" t="s">
        <v>2077</v>
      </c>
      <c r="G373" s="2" t="s">
        <v>2078</v>
      </c>
      <c r="H373" s="2" t="s">
        <v>318</v>
      </c>
      <c r="I373" s="2" t="s">
        <v>753</v>
      </c>
      <c r="J373" s="2" t="s">
        <v>30</v>
      </c>
      <c r="K373" s="2" t="s">
        <v>30</v>
      </c>
      <c r="L373" s="2" t="s">
        <v>324</v>
      </c>
      <c r="M373" s="2" t="s">
        <v>41</v>
      </c>
      <c r="N373" s="2" t="s">
        <v>460</v>
      </c>
      <c r="O373" s="2" t="s">
        <v>134</v>
      </c>
      <c r="P373" s="2" t="s">
        <v>1834</v>
      </c>
      <c r="Q373" s="2" t="s">
        <v>410</v>
      </c>
      <c r="R373" s="2" t="s">
        <v>403</v>
      </c>
      <c r="S373" s="2" t="s">
        <v>34</v>
      </c>
      <c r="T373" s="151">
        <v>1.835</v>
      </c>
      <c r="U373" s="2" t="s">
        <v>2079</v>
      </c>
      <c r="V373" s="162">
        <v>1.5800000000000002E-2</v>
      </c>
      <c r="W373" s="164">
        <v>2.708E-2</v>
      </c>
      <c r="X373" s="4" t="s">
        <v>409</v>
      </c>
      <c r="Y373" s="4" t="s">
        <v>134</v>
      </c>
      <c r="Z373" s="151">
        <v>804362.58</v>
      </c>
      <c r="AA373" s="158">
        <v>1</v>
      </c>
      <c r="AB373" s="175">
        <v>115.06</v>
      </c>
      <c r="AD373" s="151">
        <v>925.5</v>
      </c>
      <c r="AG373" s="2" t="s">
        <v>36</v>
      </c>
      <c r="AH373" s="164">
        <v>1.8730000000000001E-3</v>
      </c>
      <c r="AI373" s="164">
        <v>5.0721731345793704E-3</v>
      </c>
      <c r="AJ373" s="164">
        <v>8.6090956176262696E-4</v>
      </c>
    </row>
    <row r="374" spans="1:36">
      <c r="A374" s="2">
        <v>337</v>
      </c>
      <c r="B374" s="2">
        <v>9963</v>
      </c>
      <c r="C374" s="2" t="s">
        <v>2075</v>
      </c>
      <c r="D374" s="2" t="s">
        <v>2076</v>
      </c>
      <c r="E374" s="4" t="s">
        <v>1303</v>
      </c>
      <c r="F374" s="2" t="s">
        <v>2083</v>
      </c>
      <c r="G374" s="2" t="s">
        <v>2084</v>
      </c>
      <c r="H374" s="2" t="s">
        <v>318</v>
      </c>
      <c r="I374" s="2" t="s">
        <v>753</v>
      </c>
      <c r="J374" s="2" t="s">
        <v>30</v>
      </c>
      <c r="K374" s="2" t="s">
        <v>30</v>
      </c>
      <c r="L374" s="2" t="s">
        <v>324</v>
      </c>
      <c r="M374" s="2" t="s">
        <v>41</v>
      </c>
      <c r="N374" s="2" t="s">
        <v>460</v>
      </c>
      <c r="O374" s="2" t="s">
        <v>134</v>
      </c>
      <c r="P374" s="2" t="s">
        <v>1834</v>
      </c>
      <c r="Q374" s="2" t="s">
        <v>410</v>
      </c>
      <c r="R374" s="2" t="s">
        <v>403</v>
      </c>
      <c r="S374" s="2" t="s">
        <v>34</v>
      </c>
      <c r="T374" s="151">
        <v>4.4550000000000001</v>
      </c>
      <c r="U374" s="2" t="s">
        <v>2085</v>
      </c>
      <c r="V374" s="162">
        <v>8.3999999999999995E-3</v>
      </c>
      <c r="W374" s="164">
        <v>2.86E-2</v>
      </c>
      <c r="X374" s="4" t="s">
        <v>409</v>
      </c>
      <c r="Y374" s="4" t="s">
        <v>134</v>
      </c>
      <c r="Z374" s="151">
        <v>1586973.15</v>
      </c>
      <c r="AA374" s="158">
        <v>1</v>
      </c>
      <c r="AB374" s="175">
        <v>105.34</v>
      </c>
      <c r="AD374" s="151">
        <v>1671.7180000000001</v>
      </c>
      <c r="AG374" s="2" t="s">
        <v>36</v>
      </c>
      <c r="AH374" s="164">
        <v>2.0699999999999998E-3</v>
      </c>
      <c r="AI374" s="164">
        <v>9.1617984663572207E-3</v>
      </c>
      <c r="AJ374" s="164">
        <v>1.55504942227947E-3</v>
      </c>
    </row>
    <row r="375" spans="1:36">
      <c r="A375" s="2">
        <v>337</v>
      </c>
      <c r="B375" s="2">
        <v>9963</v>
      </c>
      <c r="C375" s="2" t="s">
        <v>1174</v>
      </c>
      <c r="D375" s="2" t="s">
        <v>1589</v>
      </c>
      <c r="E375" s="4" t="s">
        <v>1303</v>
      </c>
      <c r="F375" s="2" t="s">
        <v>2086</v>
      </c>
      <c r="G375" s="2" t="s">
        <v>2087</v>
      </c>
      <c r="H375" s="2" t="s">
        <v>318</v>
      </c>
      <c r="I375" s="2" t="s">
        <v>753</v>
      </c>
      <c r="J375" s="2" t="s">
        <v>30</v>
      </c>
      <c r="K375" s="2" t="s">
        <v>30</v>
      </c>
      <c r="L375" s="2" t="s">
        <v>324</v>
      </c>
      <c r="M375" s="2" t="s">
        <v>41</v>
      </c>
      <c r="N375" s="2" t="s">
        <v>444</v>
      </c>
      <c r="O375" s="2" t="s">
        <v>134</v>
      </c>
      <c r="P375" s="2" t="s">
        <v>1176</v>
      </c>
      <c r="Q375" s="2" t="s">
        <v>410</v>
      </c>
      <c r="R375" s="2" t="s">
        <v>403</v>
      </c>
      <c r="S375" s="2" t="s">
        <v>34</v>
      </c>
      <c r="T375" s="151">
        <v>2.3460000000000001</v>
      </c>
      <c r="U375" s="2" t="s">
        <v>59</v>
      </c>
      <c r="V375" s="162">
        <v>1.8599999999999998E-2</v>
      </c>
      <c r="W375" s="164">
        <v>2.4129999999999999E-2</v>
      </c>
      <c r="X375" s="4" t="s">
        <v>409</v>
      </c>
      <c r="Y375" s="4" t="s">
        <v>134</v>
      </c>
      <c r="Z375" s="151">
        <v>1347300</v>
      </c>
      <c r="AA375" s="158">
        <v>1</v>
      </c>
      <c r="AB375" s="175">
        <v>102.59</v>
      </c>
      <c r="AD375" s="151">
        <v>1382.1949999999999</v>
      </c>
      <c r="AG375" s="2" t="s">
        <v>36</v>
      </c>
      <c r="AH375" s="164">
        <v>4.6900000000000002E-4</v>
      </c>
      <c r="AI375" s="164">
        <v>7.5750792521705797E-3</v>
      </c>
      <c r="AJ375" s="164">
        <v>1.2857325620144E-3</v>
      </c>
    </row>
    <row r="376" spans="1:36">
      <c r="A376" s="2">
        <v>337</v>
      </c>
      <c r="B376" s="2">
        <v>9963</v>
      </c>
      <c r="C376" s="2" t="s">
        <v>1174</v>
      </c>
      <c r="D376" s="2" t="s">
        <v>1589</v>
      </c>
      <c r="E376" s="4" t="s">
        <v>1303</v>
      </c>
      <c r="F376" s="2" t="s">
        <v>2088</v>
      </c>
      <c r="G376" s="2" t="s">
        <v>2089</v>
      </c>
      <c r="H376" s="2" t="s">
        <v>318</v>
      </c>
      <c r="I376" s="2" t="s">
        <v>753</v>
      </c>
      <c r="J376" s="2" t="s">
        <v>30</v>
      </c>
      <c r="K376" s="2" t="s">
        <v>30</v>
      </c>
      <c r="L376" s="2" t="s">
        <v>324</v>
      </c>
      <c r="M376" s="2" t="s">
        <v>41</v>
      </c>
      <c r="N376" s="2" t="s">
        <v>444</v>
      </c>
      <c r="O376" s="2" t="s">
        <v>134</v>
      </c>
      <c r="P376" s="2" t="s">
        <v>1176</v>
      </c>
      <c r="Q376" s="2" t="s">
        <v>410</v>
      </c>
      <c r="R376" s="2" t="s">
        <v>403</v>
      </c>
      <c r="S376" s="2" t="s">
        <v>34</v>
      </c>
      <c r="T376" s="151">
        <v>4.5970000000000004</v>
      </c>
      <c r="U376" s="2" t="s">
        <v>2090</v>
      </c>
      <c r="V376" s="162">
        <v>2.0199999999999999E-2</v>
      </c>
      <c r="W376" s="164">
        <v>2.5819999999999999E-2</v>
      </c>
      <c r="X376" s="4" t="s">
        <v>409</v>
      </c>
      <c r="Y376" s="4" t="s">
        <v>134</v>
      </c>
      <c r="Z376" s="151">
        <v>3497000</v>
      </c>
      <c r="AA376" s="158">
        <v>1</v>
      </c>
      <c r="AB376" s="175">
        <v>101.85</v>
      </c>
      <c r="AD376" s="151">
        <v>3561.6950000000002</v>
      </c>
      <c r="AG376" s="2" t="s">
        <v>36</v>
      </c>
      <c r="AH376" s="164">
        <v>9.7999999999999997E-4</v>
      </c>
      <c r="AI376" s="164">
        <v>1.9519761497572199E-2</v>
      </c>
      <c r="AJ376" s="164">
        <v>3.31312612379496E-3</v>
      </c>
    </row>
    <row r="377" spans="1:36">
      <c r="A377" s="2">
        <v>337</v>
      </c>
      <c r="B377" s="2">
        <v>9963</v>
      </c>
      <c r="C377" s="2" t="s">
        <v>1174</v>
      </c>
      <c r="D377" s="2" t="s">
        <v>1589</v>
      </c>
      <c r="E377" s="4" t="s">
        <v>1303</v>
      </c>
      <c r="F377" s="2" t="s">
        <v>2091</v>
      </c>
      <c r="G377" s="2" t="s">
        <v>2092</v>
      </c>
      <c r="H377" s="2" t="s">
        <v>318</v>
      </c>
      <c r="I377" s="2" t="s">
        <v>753</v>
      </c>
      <c r="J377" s="2" t="s">
        <v>30</v>
      </c>
      <c r="K377" s="2" t="s">
        <v>30</v>
      </c>
      <c r="L377" s="2" t="s">
        <v>324</v>
      </c>
      <c r="M377" s="2" t="s">
        <v>41</v>
      </c>
      <c r="N377" s="2" t="s">
        <v>444</v>
      </c>
      <c r="O377" s="2" t="s">
        <v>134</v>
      </c>
      <c r="P377" s="2" t="s">
        <v>1176</v>
      </c>
      <c r="Q377" s="2" t="s">
        <v>410</v>
      </c>
      <c r="R377" s="2" t="s">
        <v>403</v>
      </c>
      <c r="S377" s="2" t="s">
        <v>34</v>
      </c>
      <c r="T377" s="151">
        <v>4.6440000000000001</v>
      </c>
      <c r="U377" s="2" t="s">
        <v>2093</v>
      </c>
      <c r="V377" s="162">
        <v>1E-3</v>
      </c>
      <c r="W377" s="164">
        <v>2.571E-2</v>
      </c>
      <c r="X377" s="4" t="s">
        <v>409</v>
      </c>
      <c r="Y377" s="4" t="s">
        <v>134</v>
      </c>
      <c r="Z377" s="151">
        <v>604000</v>
      </c>
      <c r="AA377" s="158">
        <v>1</v>
      </c>
      <c r="AB377" s="175">
        <v>100.7</v>
      </c>
      <c r="AD377" s="151">
        <v>608.22799999999995</v>
      </c>
      <c r="AG377" s="2" t="s">
        <v>36</v>
      </c>
      <c r="AH377" s="164">
        <v>2.43E-4</v>
      </c>
      <c r="AI377" s="164">
        <v>3.33337558741923E-3</v>
      </c>
      <c r="AJ377" s="164">
        <v>5.6578015773771698E-4</v>
      </c>
    </row>
    <row r="378" spans="1:36">
      <c r="A378" s="2">
        <v>337</v>
      </c>
      <c r="B378" s="2">
        <v>9963</v>
      </c>
      <c r="C378" s="2" t="s">
        <v>1174</v>
      </c>
      <c r="D378" s="2" t="s">
        <v>1589</v>
      </c>
      <c r="E378" s="4" t="s">
        <v>1303</v>
      </c>
      <c r="F378" s="2" t="s">
        <v>2094</v>
      </c>
      <c r="G378" s="2" t="s">
        <v>2095</v>
      </c>
      <c r="H378" s="2" t="s">
        <v>318</v>
      </c>
      <c r="I378" s="2" t="s">
        <v>753</v>
      </c>
      <c r="J378" s="2" t="s">
        <v>30</v>
      </c>
      <c r="K378" s="2" t="s">
        <v>30</v>
      </c>
      <c r="L378" s="2" t="s">
        <v>324</v>
      </c>
      <c r="M378" s="2" t="s">
        <v>41</v>
      </c>
      <c r="N378" s="2" t="s">
        <v>444</v>
      </c>
      <c r="O378" s="2" t="s">
        <v>134</v>
      </c>
      <c r="P378" s="2" t="s">
        <v>1826</v>
      </c>
      <c r="Q378" s="2" t="s">
        <v>410</v>
      </c>
      <c r="R378" s="2" t="s">
        <v>403</v>
      </c>
      <c r="S378" s="2" t="s">
        <v>34</v>
      </c>
      <c r="T378" s="151">
        <v>2.944</v>
      </c>
      <c r="U378" s="2" t="s">
        <v>2096</v>
      </c>
      <c r="V378" s="162">
        <v>1.4999999999999999E-2</v>
      </c>
      <c r="W378" s="164">
        <v>3.0460000000000001E-2</v>
      </c>
      <c r="X378" s="4" t="s">
        <v>409</v>
      </c>
      <c r="Y378" s="4" t="s">
        <v>134</v>
      </c>
      <c r="Z378" s="151">
        <v>2000000</v>
      </c>
      <c r="AA378" s="158">
        <v>1</v>
      </c>
      <c r="AB378" s="175">
        <v>106.7</v>
      </c>
      <c r="AD378" s="151">
        <v>2134</v>
      </c>
      <c r="AG378" s="2" t="s">
        <v>36</v>
      </c>
      <c r="AH378" s="164">
        <v>1.4250000000000001E-3</v>
      </c>
      <c r="AI378" s="164">
        <v>1.16953239633043E-2</v>
      </c>
      <c r="AJ378" s="164">
        <v>1.9850695078363501E-3</v>
      </c>
    </row>
    <row r="379" spans="1:36">
      <c r="A379" s="2">
        <v>337</v>
      </c>
      <c r="B379" s="2">
        <v>9963</v>
      </c>
      <c r="C379" s="2" t="s">
        <v>1174</v>
      </c>
      <c r="D379" s="2" t="s">
        <v>1589</v>
      </c>
      <c r="E379" s="4" t="s">
        <v>1303</v>
      </c>
      <c r="F379" s="2" t="s">
        <v>2097</v>
      </c>
      <c r="G379" s="2" t="s">
        <v>2098</v>
      </c>
      <c r="H379" s="2" t="s">
        <v>318</v>
      </c>
      <c r="I379" s="2" t="s">
        <v>753</v>
      </c>
      <c r="J379" s="2" t="s">
        <v>30</v>
      </c>
      <c r="K379" s="2" t="s">
        <v>30</v>
      </c>
      <c r="L379" s="2" t="s">
        <v>324</v>
      </c>
      <c r="M379" s="2" t="s">
        <v>31</v>
      </c>
      <c r="N379" s="2" t="s">
        <v>444</v>
      </c>
      <c r="O379" s="2" t="s">
        <v>134</v>
      </c>
      <c r="P379" s="2" t="s">
        <v>1826</v>
      </c>
      <c r="Q379" s="2" t="s">
        <v>410</v>
      </c>
      <c r="R379" s="2" t="s">
        <v>403</v>
      </c>
      <c r="S379" s="2" t="s">
        <v>34</v>
      </c>
      <c r="T379" s="151">
        <v>5.4809999999999999</v>
      </c>
      <c r="U379" s="2" t="s">
        <v>2099</v>
      </c>
      <c r="V379" s="162">
        <v>3.1E-2</v>
      </c>
      <c r="W379" s="164">
        <v>3.1029999999999999E-2</v>
      </c>
      <c r="X379" s="4" t="s">
        <v>409</v>
      </c>
      <c r="Y379" s="4" t="s">
        <v>134</v>
      </c>
      <c r="Z379" s="151">
        <v>2000000</v>
      </c>
      <c r="AA379" s="158">
        <v>1</v>
      </c>
      <c r="AB379" s="175">
        <v>100.81</v>
      </c>
      <c r="AD379" s="151">
        <v>2016.2</v>
      </c>
      <c r="AG379" s="2" t="s">
        <v>36</v>
      </c>
      <c r="AH379" s="164">
        <v>1.3029999999999999E-3</v>
      </c>
      <c r="AI379" s="164">
        <v>1.10497245430244E-2</v>
      </c>
      <c r="AJ379" s="164">
        <v>1.8754906943297301E-3</v>
      </c>
    </row>
    <row r="380" spans="1:36">
      <c r="A380" s="2">
        <v>337</v>
      </c>
      <c r="B380" s="2">
        <v>9963</v>
      </c>
      <c r="C380" s="2" t="s">
        <v>2100</v>
      </c>
      <c r="D380" s="2" t="s">
        <v>2101</v>
      </c>
      <c r="E380" s="4" t="s">
        <v>1303</v>
      </c>
      <c r="F380" s="2" t="s">
        <v>2102</v>
      </c>
      <c r="G380" s="2" t="s">
        <v>2103</v>
      </c>
      <c r="H380" s="2" t="s">
        <v>318</v>
      </c>
      <c r="I380" s="2" t="s">
        <v>965</v>
      </c>
      <c r="J380" s="2" t="s">
        <v>30</v>
      </c>
      <c r="K380" s="2" t="s">
        <v>30</v>
      </c>
      <c r="L380" s="2" t="s">
        <v>324</v>
      </c>
      <c r="M380" s="2" t="s">
        <v>41</v>
      </c>
      <c r="N380" s="2" t="s">
        <v>443</v>
      </c>
      <c r="O380" s="2" t="s">
        <v>134</v>
      </c>
      <c r="P380" s="2" t="s">
        <v>1842</v>
      </c>
      <c r="Q380" s="2" t="s">
        <v>406</v>
      </c>
      <c r="R380" s="2" t="s">
        <v>406</v>
      </c>
      <c r="S380" s="2" t="s">
        <v>34</v>
      </c>
      <c r="T380" s="151">
        <v>3.0840000000000001</v>
      </c>
      <c r="U380" s="2" t="s">
        <v>2104</v>
      </c>
      <c r="V380" s="162">
        <v>8.1500000000000003E-2</v>
      </c>
      <c r="W380" s="164">
        <v>6.1679999999999999E-2</v>
      </c>
      <c r="X380" s="4" t="s">
        <v>409</v>
      </c>
      <c r="Y380" s="4" t="s">
        <v>134</v>
      </c>
      <c r="Z380" s="151">
        <v>1000000</v>
      </c>
      <c r="AA380" s="158">
        <v>1</v>
      </c>
      <c r="AB380" s="175">
        <v>106.44</v>
      </c>
      <c r="AD380" s="151">
        <v>1064.4000000000001</v>
      </c>
      <c r="AG380" s="2" t="s">
        <v>36</v>
      </c>
      <c r="AH380" s="164">
        <v>4.8479999999999999E-3</v>
      </c>
      <c r="AI380" s="164">
        <v>5.8334127584541099E-3</v>
      </c>
      <c r="AJ380" s="164">
        <v>9.9011620625164606E-4</v>
      </c>
    </row>
    <row r="381" spans="1:36">
      <c r="A381" s="2">
        <v>337</v>
      </c>
      <c r="B381" s="2">
        <v>9963</v>
      </c>
      <c r="C381" s="2" t="s">
        <v>1592</v>
      </c>
      <c r="D381" s="2" t="s">
        <v>1593</v>
      </c>
      <c r="E381" s="4" t="s">
        <v>1303</v>
      </c>
      <c r="F381" s="2" t="s">
        <v>2113</v>
      </c>
      <c r="G381" s="2" t="s">
        <v>2114</v>
      </c>
      <c r="H381" s="2" t="s">
        <v>318</v>
      </c>
      <c r="I381" s="2" t="s">
        <v>753</v>
      </c>
      <c r="J381" s="2" t="s">
        <v>30</v>
      </c>
      <c r="K381" s="2" t="s">
        <v>30</v>
      </c>
      <c r="L381" s="2" t="s">
        <v>324</v>
      </c>
      <c r="M381" s="2" t="s">
        <v>41</v>
      </c>
      <c r="N381" s="2" t="s">
        <v>460</v>
      </c>
      <c r="O381" s="2" t="s">
        <v>134</v>
      </c>
      <c r="P381" s="2" t="s">
        <v>1834</v>
      </c>
      <c r="Q381" s="2" t="s">
        <v>410</v>
      </c>
      <c r="R381" s="2" t="s">
        <v>403</v>
      </c>
      <c r="S381" s="2" t="s">
        <v>34</v>
      </c>
      <c r="T381" s="151">
        <v>2.9889999999999999</v>
      </c>
      <c r="U381" s="2" t="s">
        <v>2022</v>
      </c>
      <c r="V381" s="162">
        <v>2.81E-2</v>
      </c>
      <c r="W381" s="164">
        <v>2.8590000000000001E-2</v>
      </c>
      <c r="X381" s="4" t="s">
        <v>409</v>
      </c>
      <c r="Y381" s="4" t="s">
        <v>134</v>
      </c>
      <c r="Z381" s="151">
        <v>2700000</v>
      </c>
      <c r="AA381" s="158">
        <v>1</v>
      </c>
      <c r="AB381" s="175">
        <v>117.66</v>
      </c>
      <c r="AD381" s="151">
        <v>3176.82</v>
      </c>
      <c r="AG381" s="2" t="s">
        <v>36</v>
      </c>
      <c r="AH381" s="164">
        <v>1.9610000000000001E-3</v>
      </c>
      <c r="AI381" s="164">
        <v>1.74104681692147E-2</v>
      </c>
      <c r="AJ381" s="164">
        <v>2.9551117684558001E-3</v>
      </c>
    </row>
    <row r="382" spans="1:36">
      <c r="A382" s="2">
        <v>337</v>
      </c>
      <c r="B382" s="2">
        <v>9963</v>
      </c>
      <c r="C382" s="2" t="s">
        <v>1592</v>
      </c>
      <c r="D382" s="2" t="s">
        <v>1593</v>
      </c>
      <c r="E382" s="4" t="s">
        <v>1303</v>
      </c>
      <c r="F382" s="2" t="s">
        <v>2427</v>
      </c>
      <c r="G382" s="2" t="s">
        <v>2428</v>
      </c>
      <c r="H382" s="2" t="s">
        <v>318</v>
      </c>
      <c r="I382" s="2" t="s">
        <v>753</v>
      </c>
      <c r="J382" s="2" t="s">
        <v>30</v>
      </c>
      <c r="K382" s="2" t="s">
        <v>30</v>
      </c>
      <c r="L382" s="2" t="s">
        <v>324</v>
      </c>
      <c r="M382" s="2" t="s">
        <v>41</v>
      </c>
      <c r="N382" s="2" t="s">
        <v>460</v>
      </c>
      <c r="O382" s="2" t="s">
        <v>134</v>
      </c>
      <c r="P382" s="2" t="s">
        <v>1834</v>
      </c>
      <c r="Q382" s="2" t="s">
        <v>410</v>
      </c>
      <c r="R382" s="2" t="s">
        <v>403</v>
      </c>
      <c r="S382" s="2" t="s">
        <v>34</v>
      </c>
      <c r="T382" s="151">
        <v>1.6830000000000001</v>
      </c>
      <c r="U382" s="2" t="s">
        <v>1843</v>
      </c>
      <c r="V382" s="162">
        <v>3.6999999999999998E-2</v>
      </c>
      <c r="W382" s="164">
        <v>2.8479999999999998E-2</v>
      </c>
      <c r="X382" s="4" t="s">
        <v>409</v>
      </c>
      <c r="Y382" s="4" t="s">
        <v>134</v>
      </c>
      <c r="Z382" s="151">
        <v>480000.74</v>
      </c>
      <c r="AA382" s="158">
        <v>1</v>
      </c>
      <c r="AB382" s="175">
        <v>118.43</v>
      </c>
      <c r="AD382" s="151">
        <v>568.46500000000003</v>
      </c>
      <c r="AG382" s="2" t="s">
        <v>36</v>
      </c>
      <c r="AH382" s="164">
        <v>1.596E-3</v>
      </c>
      <c r="AI382" s="164">
        <v>3.1154549630024401E-3</v>
      </c>
      <c r="AJ382" s="164">
        <v>5.2879207702992903E-4</v>
      </c>
    </row>
    <row r="383" spans="1:36">
      <c r="A383" s="2">
        <v>337</v>
      </c>
      <c r="B383" s="2">
        <v>9963</v>
      </c>
      <c r="C383" s="2" t="s">
        <v>2119</v>
      </c>
      <c r="D383" s="2" t="s">
        <v>2120</v>
      </c>
      <c r="E383" s="4" t="s">
        <v>1303</v>
      </c>
      <c r="F383" s="2" t="s">
        <v>2486</v>
      </c>
      <c r="G383" s="2" t="s">
        <v>2487</v>
      </c>
      <c r="H383" s="2" t="s">
        <v>318</v>
      </c>
      <c r="I383" s="2" t="s">
        <v>753</v>
      </c>
      <c r="J383" s="2" t="s">
        <v>30</v>
      </c>
      <c r="K383" s="2" t="s">
        <v>30</v>
      </c>
      <c r="L383" s="2" t="s">
        <v>324</v>
      </c>
      <c r="M383" s="2" t="s">
        <v>41</v>
      </c>
      <c r="N383" s="2" t="s">
        <v>460</v>
      </c>
      <c r="O383" s="2" t="s">
        <v>134</v>
      </c>
      <c r="P383" s="2" t="s">
        <v>1826</v>
      </c>
      <c r="Q383" s="2" t="s">
        <v>410</v>
      </c>
      <c r="R383" s="2" t="s">
        <v>403</v>
      </c>
      <c r="S383" s="2" t="s">
        <v>34</v>
      </c>
      <c r="T383" s="151">
        <v>1.6459999999999999</v>
      </c>
      <c r="U383" s="2" t="s">
        <v>53</v>
      </c>
      <c r="V383" s="162">
        <v>1.4E-2</v>
      </c>
      <c r="W383" s="164">
        <v>2.6589999999999999E-2</v>
      </c>
      <c r="X383" s="4" t="s">
        <v>409</v>
      </c>
      <c r="Y383" s="4" t="s">
        <v>134</v>
      </c>
      <c r="Z383" s="151">
        <v>528133.80000000005</v>
      </c>
      <c r="AA383" s="158">
        <v>1</v>
      </c>
      <c r="AB383" s="175">
        <v>113.81</v>
      </c>
      <c r="AD383" s="151">
        <v>601.06899999999996</v>
      </c>
      <c r="AG383" s="2" t="s">
        <v>36</v>
      </c>
      <c r="AH383" s="164">
        <v>8.7299999999999997E-4</v>
      </c>
      <c r="AI383" s="164">
        <v>3.2941413256614999E-3</v>
      </c>
      <c r="AJ383" s="164">
        <v>5.5912085211077503E-4</v>
      </c>
    </row>
    <row r="384" spans="1:36">
      <c r="A384" s="2">
        <v>337</v>
      </c>
      <c r="B384" s="2">
        <v>9963</v>
      </c>
      <c r="C384" s="2" t="s">
        <v>2119</v>
      </c>
      <c r="D384" s="2" t="s">
        <v>2120</v>
      </c>
      <c r="E384" s="4" t="s">
        <v>1303</v>
      </c>
      <c r="F384" s="2" t="s">
        <v>2121</v>
      </c>
      <c r="G384" s="2" t="s">
        <v>2122</v>
      </c>
      <c r="H384" s="2" t="s">
        <v>318</v>
      </c>
      <c r="I384" s="2" t="s">
        <v>753</v>
      </c>
      <c r="J384" s="2" t="s">
        <v>30</v>
      </c>
      <c r="K384" s="2" t="s">
        <v>30</v>
      </c>
      <c r="L384" s="2" t="s">
        <v>324</v>
      </c>
      <c r="M384" s="2" t="s">
        <v>41</v>
      </c>
      <c r="N384" s="2" t="s">
        <v>460</v>
      </c>
      <c r="O384" s="2" t="s">
        <v>134</v>
      </c>
      <c r="P384" s="2" t="s">
        <v>1848</v>
      </c>
      <c r="Q384" s="2" t="s">
        <v>410</v>
      </c>
      <c r="R384" s="2" t="s">
        <v>403</v>
      </c>
      <c r="S384" s="2" t="s">
        <v>34</v>
      </c>
      <c r="T384" s="151">
        <v>1.3859999999999999</v>
      </c>
      <c r="U384" s="2" t="s">
        <v>2123</v>
      </c>
      <c r="V384" s="162">
        <v>2.0500000000000001E-2</v>
      </c>
      <c r="W384" s="164">
        <v>3.1309999999999998E-2</v>
      </c>
      <c r="X384" s="4" t="s">
        <v>409</v>
      </c>
      <c r="Y384" s="4" t="s">
        <v>134</v>
      </c>
      <c r="Z384" s="151">
        <v>1582325.81</v>
      </c>
      <c r="AA384" s="158">
        <v>1</v>
      </c>
      <c r="AB384" s="175">
        <v>115.58</v>
      </c>
      <c r="AD384" s="151">
        <v>1828.8520000000001</v>
      </c>
      <c r="AG384" s="2" t="s">
        <v>36</v>
      </c>
      <c r="AH384" s="164">
        <v>2.0950000000000001E-3</v>
      </c>
      <c r="AI384" s="164">
        <v>1.0022970301383801E-2</v>
      </c>
      <c r="AJ384" s="164">
        <v>1.7012177504149299E-3</v>
      </c>
    </row>
    <row r="385" spans="1:36">
      <c r="A385" s="2">
        <v>337</v>
      </c>
      <c r="B385" s="2">
        <v>9963</v>
      </c>
      <c r="C385" s="2" t="s">
        <v>2119</v>
      </c>
      <c r="D385" s="2" t="s">
        <v>2120</v>
      </c>
      <c r="E385" s="4" t="s">
        <v>1303</v>
      </c>
      <c r="F385" s="2" t="s">
        <v>2127</v>
      </c>
      <c r="G385" s="2" t="s">
        <v>2128</v>
      </c>
      <c r="H385" s="2" t="s">
        <v>318</v>
      </c>
      <c r="I385" s="2" t="s">
        <v>753</v>
      </c>
      <c r="J385" s="2" t="s">
        <v>30</v>
      </c>
      <c r="K385" s="2" t="s">
        <v>30</v>
      </c>
      <c r="L385" s="2" t="s">
        <v>324</v>
      </c>
      <c r="M385" s="2" t="s">
        <v>41</v>
      </c>
      <c r="N385" s="2" t="s">
        <v>460</v>
      </c>
      <c r="O385" s="2" t="s">
        <v>134</v>
      </c>
      <c r="P385" s="2" t="s">
        <v>1848</v>
      </c>
      <c r="Q385" s="2" t="s">
        <v>410</v>
      </c>
      <c r="R385" s="2" t="s">
        <v>403</v>
      </c>
      <c r="S385" s="2" t="s">
        <v>34</v>
      </c>
      <c r="T385" s="151">
        <v>5.3570000000000002</v>
      </c>
      <c r="U385" s="2" t="s">
        <v>2129</v>
      </c>
      <c r="V385" s="162">
        <v>9.7000000000000003E-3</v>
      </c>
      <c r="W385" s="164">
        <v>3.3239999999999999E-2</v>
      </c>
      <c r="X385" s="4" t="s">
        <v>409</v>
      </c>
      <c r="Y385" s="4" t="s">
        <v>134</v>
      </c>
      <c r="Z385" s="151">
        <v>1455882.35</v>
      </c>
      <c r="AA385" s="158">
        <v>1</v>
      </c>
      <c r="AB385" s="175">
        <v>100.61</v>
      </c>
      <c r="AD385" s="151">
        <v>1464.7629999999999</v>
      </c>
      <c r="AG385" s="2" t="s">
        <v>36</v>
      </c>
      <c r="AH385" s="164">
        <v>2.4190000000000001E-3</v>
      </c>
      <c r="AI385" s="164">
        <v>8.0275916268484297E-3</v>
      </c>
      <c r="AJ385" s="164">
        <v>1.3625383452239999E-3</v>
      </c>
    </row>
    <row r="386" spans="1:36">
      <c r="A386" s="2">
        <v>337</v>
      </c>
      <c r="B386" s="2">
        <v>9963</v>
      </c>
      <c r="C386" s="2" t="s">
        <v>2130</v>
      </c>
      <c r="D386" s="2" t="s">
        <v>2131</v>
      </c>
      <c r="E386" s="4" t="s">
        <v>1303</v>
      </c>
      <c r="F386" s="2" t="s">
        <v>2135</v>
      </c>
      <c r="G386" s="2" t="s">
        <v>2136</v>
      </c>
      <c r="H386" s="2" t="s">
        <v>318</v>
      </c>
      <c r="I386" s="2" t="s">
        <v>753</v>
      </c>
      <c r="J386" s="2" t="s">
        <v>30</v>
      </c>
      <c r="K386" s="2" t="s">
        <v>30</v>
      </c>
      <c r="L386" s="2" t="s">
        <v>324</v>
      </c>
      <c r="M386" s="2" t="s">
        <v>41</v>
      </c>
      <c r="N386" s="2" t="s">
        <v>444</v>
      </c>
      <c r="O386" s="2" t="s">
        <v>134</v>
      </c>
      <c r="P386" s="2" t="s">
        <v>1176</v>
      </c>
      <c r="Q386" s="2" t="s">
        <v>410</v>
      </c>
      <c r="R386" s="2" t="s">
        <v>403</v>
      </c>
      <c r="S386" s="2" t="s">
        <v>34</v>
      </c>
      <c r="T386" s="151">
        <v>3.5550000000000002</v>
      </c>
      <c r="U386" s="2" t="s">
        <v>2137</v>
      </c>
      <c r="V386" s="162">
        <v>1E-3</v>
      </c>
      <c r="W386" s="164">
        <v>2.5600000000000001E-2</v>
      </c>
      <c r="X386" s="4" t="s">
        <v>409</v>
      </c>
      <c r="Y386" s="4" t="s">
        <v>134</v>
      </c>
      <c r="Z386" s="151">
        <v>2108000</v>
      </c>
      <c r="AA386" s="158">
        <v>1</v>
      </c>
      <c r="AB386" s="175">
        <v>103.56</v>
      </c>
      <c r="AD386" s="151">
        <v>2183.0450000000001</v>
      </c>
      <c r="AG386" s="2" t="s">
        <v>36</v>
      </c>
      <c r="AH386" s="164">
        <v>6.2399999999999999E-4</v>
      </c>
      <c r="AI386" s="164">
        <v>1.1964112540959099E-2</v>
      </c>
      <c r="AJ386" s="164">
        <v>2.0306915026807402E-3</v>
      </c>
    </row>
    <row r="387" spans="1:36">
      <c r="A387" s="2">
        <v>337</v>
      </c>
      <c r="B387" s="2">
        <v>9963</v>
      </c>
      <c r="C387" s="2" t="s">
        <v>2130</v>
      </c>
      <c r="D387" s="2" t="s">
        <v>2131</v>
      </c>
      <c r="E387" s="4" t="s">
        <v>1303</v>
      </c>
      <c r="F387" s="2" t="s">
        <v>2144</v>
      </c>
      <c r="G387" s="2" t="s">
        <v>2145</v>
      </c>
      <c r="H387" s="2" t="s">
        <v>318</v>
      </c>
      <c r="I387" s="2" t="s">
        <v>753</v>
      </c>
      <c r="J387" s="2" t="s">
        <v>30</v>
      </c>
      <c r="K387" s="2" t="s">
        <v>30</v>
      </c>
      <c r="L387" s="2" t="s">
        <v>324</v>
      </c>
      <c r="M387" s="2" t="s">
        <v>41</v>
      </c>
      <c r="N387" s="2" t="s">
        <v>444</v>
      </c>
      <c r="O387" s="2" t="s">
        <v>134</v>
      </c>
      <c r="P387" s="2" t="s">
        <v>1176</v>
      </c>
      <c r="Q387" s="2" t="s">
        <v>410</v>
      </c>
      <c r="R387" s="2" t="s">
        <v>403</v>
      </c>
      <c r="S387" s="2" t="s">
        <v>34</v>
      </c>
      <c r="T387" s="151">
        <v>5.22</v>
      </c>
      <c r="U387" s="2" t="s">
        <v>2146</v>
      </c>
      <c r="V387" s="162">
        <v>2E-3</v>
      </c>
      <c r="W387" s="164">
        <v>2.606E-2</v>
      </c>
      <c r="X387" s="4" t="s">
        <v>409</v>
      </c>
      <c r="Y387" s="4" t="s">
        <v>134</v>
      </c>
      <c r="Z387" s="151">
        <v>2000000</v>
      </c>
      <c r="AA387" s="158">
        <v>1</v>
      </c>
      <c r="AB387" s="175">
        <v>102.35</v>
      </c>
      <c r="AD387" s="151">
        <v>2047</v>
      </c>
      <c r="AG387" s="2" t="s">
        <v>36</v>
      </c>
      <c r="AH387" s="164">
        <v>5.7799999999999995E-4</v>
      </c>
      <c r="AI387" s="164">
        <v>1.1218523033216399E-2</v>
      </c>
      <c r="AJ387" s="164">
        <v>1.9041411820717E-3</v>
      </c>
    </row>
    <row r="388" spans="1:36">
      <c r="A388" s="2">
        <v>337</v>
      </c>
      <c r="B388" s="2">
        <v>9963</v>
      </c>
      <c r="C388" s="2" t="s">
        <v>2130</v>
      </c>
      <c r="D388" s="2" t="s">
        <v>2131</v>
      </c>
      <c r="E388" s="4" t="s">
        <v>1303</v>
      </c>
      <c r="F388" s="2" t="s">
        <v>2488</v>
      </c>
      <c r="G388" s="2" t="s">
        <v>2489</v>
      </c>
      <c r="H388" s="2" t="s">
        <v>318</v>
      </c>
      <c r="I388" s="2" t="s">
        <v>753</v>
      </c>
      <c r="J388" s="2" t="s">
        <v>30</v>
      </c>
      <c r="K388" s="2" t="s">
        <v>30</v>
      </c>
      <c r="L388" s="2" t="s">
        <v>324</v>
      </c>
      <c r="M388" s="2" t="s">
        <v>41</v>
      </c>
      <c r="N388" s="2" t="s">
        <v>444</v>
      </c>
      <c r="O388" s="2" t="s">
        <v>134</v>
      </c>
      <c r="P388" s="2" t="s">
        <v>1826</v>
      </c>
      <c r="Q388" s="2" t="s">
        <v>410</v>
      </c>
      <c r="R388" s="2" t="s">
        <v>403</v>
      </c>
      <c r="S388" s="2" t="s">
        <v>34</v>
      </c>
      <c r="T388" s="151">
        <v>3.9239999999999999</v>
      </c>
      <c r="U388" s="2" t="s">
        <v>2490</v>
      </c>
      <c r="V388" s="162">
        <v>3.3599999999999998E-2</v>
      </c>
      <c r="W388" s="164">
        <v>3.0030000000000001E-2</v>
      </c>
      <c r="X388" s="4" t="s">
        <v>409</v>
      </c>
      <c r="Y388" s="4" t="s">
        <v>134</v>
      </c>
      <c r="Z388" s="151">
        <v>2000000</v>
      </c>
      <c r="AA388" s="158">
        <v>1</v>
      </c>
      <c r="AB388" s="175">
        <v>107.83</v>
      </c>
      <c r="AD388" s="151">
        <v>2156.6</v>
      </c>
      <c r="AG388" s="2" t="s">
        <v>36</v>
      </c>
      <c r="AH388" s="164">
        <v>1.7129999999999999E-3</v>
      </c>
      <c r="AI388" s="164">
        <v>1.18191825957179E-2</v>
      </c>
      <c r="AJ388" s="164">
        <v>2.0060922683223402E-3</v>
      </c>
    </row>
    <row r="389" spans="1:36">
      <c r="A389" s="2">
        <v>337</v>
      </c>
      <c r="B389" s="2">
        <v>9963</v>
      </c>
      <c r="C389" s="2" t="s">
        <v>2149</v>
      </c>
      <c r="D389" s="2" t="s">
        <v>2150</v>
      </c>
      <c r="E389" s="4" t="s">
        <v>1303</v>
      </c>
      <c r="F389" s="2" t="s">
        <v>2151</v>
      </c>
      <c r="G389" s="2" t="s">
        <v>2152</v>
      </c>
      <c r="H389" s="2" t="s">
        <v>318</v>
      </c>
      <c r="I389" s="2" t="s">
        <v>753</v>
      </c>
      <c r="J389" s="2" t="s">
        <v>30</v>
      </c>
      <c r="K389" s="2" t="s">
        <v>30</v>
      </c>
      <c r="L389" s="2" t="s">
        <v>324</v>
      </c>
      <c r="M389" s="2" t="s">
        <v>41</v>
      </c>
      <c r="N389" s="2" t="s">
        <v>439</v>
      </c>
      <c r="O389" s="2" t="s">
        <v>134</v>
      </c>
      <c r="P389" s="2" t="s">
        <v>2057</v>
      </c>
      <c r="Q389" s="2" t="s">
        <v>412</v>
      </c>
      <c r="R389" s="2" t="s">
        <v>403</v>
      </c>
      <c r="S389" s="2" t="s">
        <v>34</v>
      </c>
      <c r="T389" s="151">
        <v>3.0270000000000001</v>
      </c>
      <c r="U389" s="2" t="s">
        <v>2153</v>
      </c>
      <c r="V389" s="162">
        <v>0.01</v>
      </c>
      <c r="W389" s="164">
        <v>3.3369999999999997E-2</v>
      </c>
      <c r="X389" s="4" t="s">
        <v>409</v>
      </c>
      <c r="Y389" s="4" t="s">
        <v>134</v>
      </c>
      <c r="Z389" s="151">
        <v>2076040</v>
      </c>
      <c r="AA389" s="158">
        <v>1</v>
      </c>
      <c r="AB389" s="175">
        <v>105.29</v>
      </c>
      <c r="AD389" s="151">
        <v>2185.8629999999998</v>
      </c>
      <c r="AG389" s="2" t="s">
        <v>36</v>
      </c>
      <c r="AH389" s="164">
        <v>1.1529999999999999E-3</v>
      </c>
      <c r="AI389" s="164">
        <v>1.1979554950263999E-2</v>
      </c>
      <c r="AJ389" s="164">
        <v>2.0333125720871799E-3</v>
      </c>
    </row>
    <row r="390" spans="1:36">
      <c r="A390" s="2">
        <v>337</v>
      </c>
      <c r="B390" s="2">
        <v>9963</v>
      </c>
      <c r="C390" s="2" t="s">
        <v>2149</v>
      </c>
      <c r="D390" s="2" t="s">
        <v>2150</v>
      </c>
      <c r="E390" s="4" t="s">
        <v>1303</v>
      </c>
      <c r="F390" s="2" t="s">
        <v>2154</v>
      </c>
      <c r="G390" s="2" t="s">
        <v>2155</v>
      </c>
      <c r="H390" s="2" t="s">
        <v>318</v>
      </c>
      <c r="I390" s="2" t="s">
        <v>753</v>
      </c>
      <c r="J390" s="2" t="s">
        <v>30</v>
      </c>
      <c r="K390" s="2" t="s">
        <v>30</v>
      </c>
      <c r="L390" s="2" t="s">
        <v>324</v>
      </c>
      <c r="M390" s="2" t="s">
        <v>41</v>
      </c>
      <c r="N390" s="2" t="s">
        <v>439</v>
      </c>
      <c r="O390" s="2" t="s">
        <v>134</v>
      </c>
      <c r="P390" s="2" t="s">
        <v>2057</v>
      </c>
      <c r="Q390" s="2" t="s">
        <v>412</v>
      </c>
      <c r="R390" s="2" t="s">
        <v>403</v>
      </c>
      <c r="S390" s="2" t="s">
        <v>34</v>
      </c>
      <c r="T390" s="151">
        <v>1.3089999999999999</v>
      </c>
      <c r="U390" s="2" t="s">
        <v>53</v>
      </c>
      <c r="V390" s="162">
        <v>3.5400000000000001E-2</v>
      </c>
      <c r="W390" s="164">
        <v>3.0630000000000001E-2</v>
      </c>
      <c r="X390" s="4" t="s">
        <v>409</v>
      </c>
      <c r="Y390" s="4" t="s">
        <v>134</v>
      </c>
      <c r="Z390" s="151">
        <v>360000</v>
      </c>
      <c r="AA390" s="158">
        <v>1</v>
      </c>
      <c r="AB390" s="175">
        <v>107.99</v>
      </c>
      <c r="AD390" s="151">
        <v>388.76400000000001</v>
      </c>
      <c r="AG390" s="2" t="s">
        <v>36</v>
      </c>
      <c r="AH390" s="164">
        <v>3.5799999999999997E-4</v>
      </c>
      <c r="AI390" s="164">
        <v>2.13060961821463E-3</v>
      </c>
      <c r="AJ390" s="164">
        <v>3.6163240962722198E-4</v>
      </c>
    </row>
    <row r="391" spans="1:36">
      <c r="A391" s="2">
        <v>337</v>
      </c>
      <c r="B391" s="2">
        <v>9963</v>
      </c>
      <c r="C391" s="2" t="s">
        <v>1604</v>
      </c>
      <c r="D391" s="2" t="s">
        <v>1605</v>
      </c>
      <c r="E391" s="4" t="s">
        <v>1303</v>
      </c>
      <c r="F391" s="2" t="s">
        <v>2159</v>
      </c>
      <c r="G391" s="2" t="s">
        <v>2160</v>
      </c>
      <c r="H391" s="2" t="s">
        <v>318</v>
      </c>
      <c r="I391" s="2" t="s">
        <v>753</v>
      </c>
      <c r="J391" s="2" t="s">
        <v>30</v>
      </c>
      <c r="K391" s="2" t="s">
        <v>30</v>
      </c>
      <c r="L391" s="2" t="s">
        <v>324</v>
      </c>
      <c r="M391" s="2" t="s">
        <v>41</v>
      </c>
      <c r="N391" s="2" t="s">
        <v>460</v>
      </c>
      <c r="O391" s="2" t="s">
        <v>134</v>
      </c>
      <c r="P391" s="2" t="s">
        <v>1834</v>
      </c>
      <c r="Q391" s="2" t="s">
        <v>410</v>
      </c>
      <c r="R391" s="2" t="s">
        <v>403</v>
      </c>
      <c r="S391" s="2" t="s">
        <v>34</v>
      </c>
      <c r="T391" s="151">
        <v>3.9249999999999998</v>
      </c>
      <c r="U391" s="2" t="s">
        <v>1863</v>
      </c>
      <c r="V391" s="162">
        <v>1.43E-2</v>
      </c>
      <c r="W391" s="164">
        <v>2.8070000000000001E-2</v>
      </c>
      <c r="X391" s="4" t="s">
        <v>409</v>
      </c>
      <c r="Y391" s="4" t="s">
        <v>134</v>
      </c>
      <c r="Z391" s="151">
        <v>2947183.26</v>
      </c>
      <c r="AA391" s="158">
        <v>1</v>
      </c>
      <c r="AB391" s="175">
        <v>110</v>
      </c>
      <c r="AD391" s="151">
        <v>3241.902</v>
      </c>
      <c r="AG391" s="2" t="s">
        <v>36</v>
      </c>
      <c r="AH391" s="164">
        <v>1.853E-3</v>
      </c>
      <c r="AI391" s="164">
        <v>1.77671458788284E-2</v>
      </c>
      <c r="AJ391" s="164">
        <v>3.0156513522843998E-3</v>
      </c>
    </row>
    <row r="392" spans="1:36">
      <c r="A392" s="2">
        <v>337</v>
      </c>
      <c r="B392" s="2">
        <v>9963</v>
      </c>
      <c r="C392" s="2" t="s">
        <v>1604</v>
      </c>
      <c r="D392" s="2" t="s">
        <v>1605</v>
      </c>
      <c r="E392" s="4" t="s">
        <v>1303</v>
      </c>
      <c r="F392" s="2" t="s">
        <v>2161</v>
      </c>
      <c r="G392" s="2" t="s">
        <v>2162</v>
      </c>
      <c r="H392" s="2" t="s">
        <v>318</v>
      </c>
      <c r="I392" s="2" t="s">
        <v>753</v>
      </c>
      <c r="J392" s="2" t="s">
        <v>30</v>
      </c>
      <c r="K392" s="2" t="s">
        <v>30</v>
      </c>
      <c r="L392" s="2" t="s">
        <v>324</v>
      </c>
      <c r="M392" s="2" t="s">
        <v>41</v>
      </c>
      <c r="N392" s="2" t="s">
        <v>460</v>
      </c>
      <c r="O392" s="2" t="s">
        <v>134</v>
      </c>
      <c r="P392" s="2" t="s">
        <v>1834</v>
      </c>
      <c r="Q392" s="2" t="s">
        <v>410</v>
      </c>
      <c r="R392" s="2" t="s">
        <v>403</v>
      </c>
      <c r="S392" s="2" t="s">
        <v>34</v>
      </c>
      <c r="T392" s="151">
        <v>5.726</v>
      </c>
      <c r="U392" s="2" t="s">
        <v>2163</v>
      </c>
      <c r="V392" s="162">
        <v>3.61E-2</v>
      </c>
      <c r="W392" s="164">
        <v>3.0759999999999999E-2</v>
      </c>
      <c r="X392" s="4" t="s">
        <v>409</v>
      </c>
      <c r="Y392" s="4" t="s">
        <v>134</v>
      </c>
      <c r="Z392" s="151">
        <v>1994897.96</v>
      </c>
      <c r="AA392" s="158">
        <v>1</v>
      </c>
      <c r="AB392" s="175">
        <v>110.37</v>
      </c>
      <c r="AD392" s="151">
        <v>2201.7689999999998</v>
      </c>
      <c r="AG392" s="2" t="s">
        <v>36</v>
      </c>
      <c r="AH392" s="164">
        <v>1.2689999999999999E-3</v>
      </c>
      <c r="AI392" s="164">
        <v>1.2066729299820601E-2</v>
      </c>
      <c r="AJ392" s="164">
        <v>2.0481088396992102E-3</v>
      </c>
    </row>
    <row r="393" spans="1:36">
      <c r="A393" s="2">
        <v>337</v>
      </c>
      <c r="B393" s="2">
        <v>9963</v>
      </c>
      <c r="C393" s="2" t="s">
        <v>1604</v>
      </c>
      <c r="D393" s="2" t="s">
        <v>1605</v>
      </c>
      <c r="E393" s="4" t="s">
        <v>1303</v>
      </c>
      <c r="F393" s="2" t="s">
        <v>2167</v>
      </c>
      <c r="G393" s="2" t="s">
        <v>2168</v>
      </c>
      <c r="H393" s="2" t="s">
        <v>318</v>
      </c>
      <c r="I393" s="2" t="s">
        <v>753</v>
      </c>
      <c r="J393" s="2" t="s">
        <v>30</v>
      </c>
      <c r="K393" s="2" t="s">
        <v>30</v>
      </c>
      <c r="L393" s="2" t="s">
        <v>324</v>
      </c>
      <c r="M393" s="2" t="s">
        <v>41</v>
      </c>
      <c r="N393" s="2" t="s">
        <v>460</v>
      </c>
      <c r="O393" s="2" t="s">
        <v>134</v>
      </c>
      <c r="P393" s="2" t="s">
        <v>1834</v>
      </c>
      <c r="Q393" s="2" t="s">
        <v>410</v>
      </c>
      <c r="R393" s="2" t="s">
        <v>403</v>
      </c>
      <c r="S393" s="2" t="s">
        <v>34</v>
      </c>
      <c r="T393" s="151">
        <v>4.8760000000000003</v>
      </c>
      <c r="U393" s="2" t="s">
        <v>2146</v>
      </c>
      <c r="V393" s="162">
        <v>2.5000000000000001E-3</v>
      </c>
      <c r="W393" s="164">
        <v>2.7699999999999999E-2</v>
      </c>
      <c r="X393" s="4" t="s">
        <v>409</v>
      </c>
      <c r="Y393" s="4" t="s">
        <v>134</v>
      </c>
      <c r="Z393" s="151">
        <v>1698240</v>
      </c>
      <c r="AA393" s="158">
        <v>1</v>
      </c>
      <c r="AB393" s="175">
        <v>100.5</v>
      </c>
      <c r="AD393" s="151">
        <v>1706.731</v>
      </c>
      <c r="AG393" s="2" t="s">
        <v>36</v>
      </c>
      <c r="AH393" s="164">
        <v>1.256E-3</v>
      </c>
      <c r="AI393" s="164">
        <v>9.3536899260913998E-3</v>
      </c>
      <c r="AJ393" s="164">
        <v>1.5876195235205899E-3</v>
      </c>
    </row>
    <row r="394" spans="1:36">
      <c r="A394" s="2">
        <v>337</v>
      </c>
      <c r="B394" s="2">
        <v>9963</v>
      </c>
      <c r="C394" s="2" t="s">
        <v>2169</v>
      </c>
      <c r="D394" s="2" t="s">
        <v>2170</v>
      </c>
      <c r="E394" s="4" t="s">
        <v>1303</v>
      </c>
      <c r="F394" s="2" t="s">
        <v>2171</v>
      </c>
      <c r="G394" s="2" t="s">
        <v>2172</v>
      </c>
      <c r="H394" s="2" t="s">
        <v>318</v>
      </c>
      <c r="I394" s="2" t="s">
        <v>965</v>
      </c>
      <c r="J394" s="2" t="s">
        <v>30</v>
      </c>
      <c r="K394" s="2" t="s">
        <v>30</v>
      </c>
      <c r="L394" s="2" t="s">
        <v>324</v>
      </c>
      <c r="M394" s="209" t="s">
        <v>41</v>
      </c>
      <c r="N394" s="2" t="s">
        <v>441</v>
      </c>
      <c r="O394" s="2" t="s">
        <v>134</v>
      </c>
      <c r="P394" s="2" t="s">
        <v>2173</v>
      </c>
      <c r="Q394" s="2" t="s">
        <v>412</v>
      </c>
      <c r="R394" s="2" t="s">
        <v>403</v>
      </c>
      <c r="S394" s="2" t="s">
        <v>34</v>
      </c>
      <c r="T394" s="151">
        <v>6.3310000000000004</v>
      </c>
      <c r="U394" s="2" t="s">
        <v>2174</v>
      </c>
      <c r="V394" s="162">
        <v>5.0200000000000002E-2</v>
      </c>
      <c r="W394" s="164">
        <v>5.2510000000000001E-2</v>
      </c>
      <c r="X394" s="4" t="s">
        <v>409</v>
      </c>
      <c r="Y394" s="4" t="s">
        <v>134</v>
      </c>
      <c r="Z394" s="151">
        <v>1500000</v>
      </c>
      <c r="AA394" s="158">
        <v>1</v>
      </c>
      <c r="AB394" s="175">
        <v>99.08</v>
      </c>
      <c r="AD394" s="151">
        <v>1486.2</v>
      </c>
      <c r="AG394" s="2" t="s">
        <v>36</v>
      </c>
      <c r="AH394" s="164">
        <v>3.7499999999999999E-3</v>
      </c>
      <c r="AI394" s="164">
        <v>8.1450751988110595E-3</v>
      </c>
      <c r="AJ394" s="164">
        <v>1.3824790546140501E-3</v>
      </c>
    </row>
    <row r="395" spans="1:36">
      <c r="A395" s="2">
        <v>337</v>
      </c>
      <c r="B395" s="2">
        <v>9963</v>
      </c>
      <c r="C395" s="2" t="s">
        <v>1612</v>
      </c>
      <c r="D395" s="2" t="s">
        <v>1613</v>
      </c>
      <c r="E395" s="4" t="s">
        <v>1303</v>
      </c>
      <c r="F395" s="2" t="s">
        <v>2175</v>
      </c>
      <c r="G395" s="2" t="s">
        <v>2176</v>
      </c>
      <c r="H395" s="2" t="s">
        <v>318</v>
      </c>
      <c r="I395" s="2" t="s">
        <v>965</v>
      </c>
      <c r="J395" s="2" t="s">
        <v>30</v>
      </c>
      <c r="K395" s="2" t="s">
        <v>30</v>
      </c>
      <c r="L395" s="2" t="s">
        <v>324</v>
      </c>
      <c r="M395" s="2" t="s">
        <v>41</v>
      </c>
      <c r="N395" s="2" t="s">
        <v>439</v>
      </c>
      <c r="O395" s="2" t="s">
        <v>134</v>
      </c>
      <c r="P395" s="2" t="s">
        <v>1909</v>
      </c>
      <c r="Q395" s="2" t="s">
        <v>412</v>
      </c>
      <c r="R395" s="2" t="s">
        <v>403</v>
      </c>
      <c r="S395" s="2" t="s">
        <v>34</v>
      </c>
      <c r="T395" s="151">
        <v>0.98399999999999999</v>
      </c>
      <c r="U395" s="2" t="s">
        <v>2177</v>
      </c>
      <c r="V395" s="162">
        <v>0.114</v>
      </c>
      <c r="W395" s="164">
        <v>5.747E-2</v>
      </c>
      <c r="X395" s="4" t="s">
        <v>409</v>
      </c>
      <c r="Y395" s="4" t="s">
        <v>134</v>
      </c>
      <c r="Z395" s="151">
        <v>1337320</v>
      </c>
      <c r="AA395" s="158">
        <v>1</v>
      </c>
      <c r="AB395" s="175">
        <v>101.2</v>
      </c>
      <c r="AD395" s="151">
        <v>1353.3679999999999</v>
      </c>
      <c r="AG395" s="2" t="s">
        <v>36</v>
      </c>
      <c r="AH395" s="164">
        <v>5.5319999999999996E-3</v>
      </c>
      <c r="AI395" s="164">
        <v>7.4170924696894697E-3</v>
      </c>
      <c r="AJ395" s="164">
        <v>1.25891716591863E-3</v>
      </c>
    </row>
    <row r="396" spans="1:36">
      <c r="A396" s="2">
        <v>337</v>
      </c>
      <c r="B396" s="2">
        <v>9963</v>
      </c>
      <c r="C396" s="2" t="s">
        <v>1612</v>
      </c>
      <c r="D396" s="2" t="s">
        <v>1613</v>
      </c>
      <c r="E396" s="4" t="s">
        <v>1303</v>
      </c>
      <c r="F396" s="2" t="s">
        <v>2178</v>
      </c>
      <c r="G396" s="2" t="s">
        <v>2179</v>
      </c>
      <c r="H396" s="2" t="s">
        <v>318</v>
      </c>
      <c r="I396" s="2" t="s">
        <v>965</v>
      </c>
      <c r="J396" s="2" t="s">
        <v>30</v>
      </c>
      <c r="K396" s="2" t="s">
        <v>30</v>
      </c>
      <c r="L396" s="2" t="s">
        <v>324</v>
      </c>
      <c r="M396" s="2" t="s">
        <v>31</v>
      </c>
      <c r="N396" s="2" t="s">
        <v>439</v>
      </c>
      <c r="O396" s="2" t="s">
        <v>134</v>
      </c>
      <c r="P396" s="2" t="s">
        <v>1909</v>
      </c>
      <c r="Q396" s="2" t="s">
        <v>412</v>
      </c>
      <c r="R396" s="2" t="s">
        <v>403</v>
      </c>
      <c r="S396" s="2" t="s">
        <v>34</v>
      </c>
      <c r="T396" s="151">
        <v>3.2839999999999998</v>
      </c>
      <c r="U396" s="2" t="s">
        <v>2180</v>
      </c>
      <c r="V396" s="162">
        <v>6.4000000000000001E-2</v>
      </c>
      <c r="W396" s="164">
        <v>6.4170000000000005E-2</v>
      </c>
      <c r="X396" s="4" t="s">
        <v>409</v>
      </c>
      <c r="Y396" s="4" t="s">
        <v>134</v>
      </c>
      <c r="Z396" s="151">
        <v>975000</v>
      </c>
      <c r="AA396" s="158">
        <v>1</v>
      </c>
      <c r="AB396" s="175">
        <v>101.3</v>
      </c>
      <c r="AD396" s="151">
        <v>987.67499999999995</v>
      </c>
      <c r="AG396" s="2" t="s">
        <v>36</v>
      </c>
      <c r="AH396" s="164">
        <v>4.875E-3</v>
      </c>
      <c r="AI396" s="164">
        <v>5.4129236623507698E-3</v>
      </c>
      <c r="AJ396" s="164">
        <v>9.1874579482299399E-4</v>
      </c>
    </row>
    <row r="397" spans="1:36">
      <c r="A397" s="2">
        <v>337</v>
      </c>
      <c r="B397" s="2">
        <v>9963</v>
      </c>
      <c r="C397" s="2" t="s">
        <v>2181</v>
      </c>
      <c r="D397" s="2" t="s">
        <v>2182</v>
      </c>
      <c r="E397" s="4" t="s">
        <v>1303</v>
      </c>
      <c r="F397" s="2" t="s">
        <v>2183</v>
      </c>
      <c r="G397" s="2" t="s">
        <v>2184</v>
      </c>
      <c r="H397" s="2" t="s">
        <v>318</v>
      </c>
      <c r="I397" s="2" t="s">
        <v>753</v>
      </c>
      <c r="J397" s="2" t="s">
        <v>30</v>
      </c>
      <c r="K397" s="2" t="s">
        <v>30</v>
      </c>
      <c r="L397" s="2" t="s">
        <v>324</v>
      </c>
      <c r="M397" s="2" t="s">
        <v>41</v>
      </c>
      <c r="N397" s="2" t="s">
        <v>443</v>
      </c>
      <c r="O397" s="2" t="s">
        <v>134</v>
      </c>
      <c r="P397" s="2" t="s">
        <v>2185</v>
      </c>
      <c r="Q397" s="2" t="s">
        <v>412</v>
      </c>
      <c r="R397" s="2" t="s">
        <v>403</v>
      </c>
      <c r="S397" s="2" t="s">
        <v>34</v>
      </c>
      <c r="T397" s="151">
        <v>3.2440000000000002</v>
      </c>
      <c r="U397" s="2" t="s">
        <v>2186</v>
      </c>
      <c r="V397" s="162">
        <v>2.07E-2</v>
      </c>
      <c r="W397" s="164">
        <v>4.1939999999999998E-2</v>
      </c>
      <c r="X397" s="4" t="s">
        <v>409</v>
      </c>
      <c r="Y397" s="4" t="s">
        <v>134</v>
      </c>
      <c r="Z397" s="151">
        <v>2215980.7000000002</v>
      </c>
      <c r="AA397" s="158">
        <v>1</v>
      </c>
      <c r="AB397" s="175">
        <v>105.96</v>
      </c>
      <c r="AD397" s="151">
        <v>2348.0529999999999</v>
      </c>
      <c r="AG397" s="2" t="s">
        <v>36</v>
      </c>
      <c r="AH397" s="164">
        <v>4.646E-3</v>
      </c>
      <c r="AI397" s="164">
        <v>1.28684359273816E-2</v>
      </c>
      <c r="AJ397" s="164">
        <v>2.1841840254396799E-3</v>
      </c>
    </row>
    <row r="398" spans="1:36">
      <c r="A398" s="2">
        <v>337</v>
      </c>
      <c r="B398" s="2">
        <v>9963</v>
      </c>
      <c r="C398" s="2" t="s">
        <v>2491</v>
      </c>
      <c r="D398" s="2" t="s">
        <v>2492</v>
      </c>
      <c r="E398" s="4" t="s">
        <v>1303</v>
      </c>
      <c r="F398" s="2" t="s">
        <v>2493</v>
      </c>
      <c r="G398" s="2" t="s">
        <v>2494</v>
      </c>
      <c r="H398" s="2" t="s">
        <v>318</v>
      </c>
      <c r="I398" s="2" t="s">
        <v>965</v>
      </c>
      <c r="J398" s="2" t="s">
        <v>30</v>
      </c>
      <c r="K398" s="2" t="s">
        <v>30</v>
      </c>
      <c r="L398" s="2" t="s">
        <v>324</v>
      </c>
      <c r="M398" s="2" t="s">
        <v>41</v>
      </c>
      <c r="N398" s="2" t="s">
        <v>439</v>
      </c>
      <c r="O398" s="2" t="s">
        <v>134</v>
      </c>
      <c r="P398" s="2" t="s">
        <v>1862</v>
      </c>
      <c r="Q398" s="2" t="s">
        <v>410</v>
      </c>
      <c r="R398" s="2" t="s">
        <v>403</v>
      </c>
      <c r="S398" s="2" t="s">
        <v>34</v>
      </c>
      <c r="T398" s="151">
        <v>0.66300000000000003</v>
      </c>
      <c r="U398" s="2" t="s">
        <v>2400</v>
      </c>
      <c r="V398" s="162">
        <v>1.55E-2</v>
      </c>
      <c r="W398" s="164">
        <v>5.7880000000000001E-2</v>
      </c>
      <c r="X398" s="4" t="s">
        <v>409</v>
      </c>
      <c r="Y398" s="4" t="s">
        <v>134</v>
      </c>
      <c r="Z398" s="151">
        <v>0.06</v>
      </c>
      <c r="AA398" s="158">
        <v>1</v>
      </c>
      <c r="AB398" s="175">
        <v>97.45</v>
      </c>
      <c r="AD398" s="151">
        <v>0</v>
      </c>
      <c r="AG398" s="2" t="s">
        <v>36</v>
      </c>
      <c r="AH398" s="164">
        <v>0</v>
      </c>
      <c r="AI398" s="164">
        <v>3.2044310784179999E-10</v>
      </c>
      <c r="AJ398" s="164">
        <v>5.4389416177690498E-11</v>
      </c>
    </row>
    <row r="399" spans="1:36">
      <c r="A399" s="2">
        <v>337</v>
      </c>
      <c r="B399" s="2">
        <v>9963</v>
      </c>
      <c r="C399" s="2" t="s">
        <v>1616</v>
      </c>
      <c r="D399" s="2" t="s">
        <v>1617</v>
      </c>
      <c r="E399" s="4" t="s">
        <v>309</v>
      </c>
      <c r="F399" s="2" t="s">
        <v>2187</v>
      </c>
      <c r="G399" s="2" t="s">
        <v>2188</v>
      </c>
      <c r="H399" s="2" t="s">
        <v>318</v>
      </c>
      <c r="I399" s="2" t="s">
        <v>965</v>
      </c>
      <c r="J399" s="2" t="s">
        <v>30</v>
      </c>
      <c r="K399" s="2" t="s">
        <v>30</v>
      </c>
      <c r="L399" s="2" t="s">
        <v>324</v>
      </c>
      <c r="M399" s="2" t="s">
        <v>41</v>
      </c>
      <c r="N399" s="2" t="s">
        <v>450</v>
      </c>
      <c r="O399" s="2" t="s">
        <v>134</v>
      </c>
      <c r="P399" s="2" t="s">
        <v>1830</v>
      </c>
      <c r="Q399" s="2" t="s">
        <v>410</v>
      </c>
      <c r="R399" s="2" t="s">
        <v>403</v>
      </c>
      <c r="S399" s="2" t="s">
        <v>34</v>
      </c>
      <c r="T399" s="151">
        <v>1.958</v>
      </c>
      <c r="U399" s="2" t="s">
        <v>2189</v>
      </c>
      <c r="V399" s="162">
        <v>5.2499999999999998E-2</v>
      </c>
      <c r="W399" s="164">
        <v>5.4800000000000001E-2</v>
      </c>
      <c r="X399" s="4" t="s">
        <v>409</v>
      </c>
      <c r="Y399" s="4" t="s">
        <v>134</v>
      </c>
      <c r="Z399" s="151">
        <v>2719000</v>
      </c>
      <c r="AA399" s="158">
        <v>1</v>
      </c>
      <c r="AB399" s="175">
        <v>100.79</v>
      </c>
      <c r="AD399" s="151">
        <v>2740.48</v>
      </c>
      <c r="AG399" s="2" t="s">
        <v>36</v>
      </c>
      <c r="AH399" s="164">
        <v>8.2389999999999998E-3</v>
      </c>
      <c r="AI399" s="164">
        <v>1.5019120236405101E-2</v>
      </c>
      <c r="AJ399" s="164">
        <v>2.5492237503947101E-3</v>
      </c>
    </row>
    <row r="400" spans="1:36">
      <c r="A400" s="2">
        <v>337</v>
      </c>
      <c r="B400" s="2">
        <v>9963</v>
      </c>
      <c r="C400" s="2" t="s">
        <v>1616</v>
      </c>
      <c r="D400" s="2" t="s">
        <v>1617</v>
      </c>
      <c r="E400" s="4" t="s">
        <v>309</v>
      </c>
      <c r="F400" s="2" t="s">
        <v>2190</v>
      </c>
      <c r="G400" s="2" t="s">
        <v>2191</v>
      </c>
      <c r="H400" s="2" t="s">
        <v>318</v>
      </c>
      <c r="I400" s="2" t="s">
        <v>965</v>
      </c>
      <c r="J400" s="2" t="s">
        <v>30</v>
      </c>
      <c r="K400" s="2" t="s">
        <v>80</v>
      </c>
      <c r="L400" s="2" t="s">
        <v>324</v>
      </c>
      <c r="M400" s="2" t="s">
        <v>41</v>
      </c>
      <c r="N400" s="2" t="s">
        <v>450</v>
      </c>
      <c r="O400" s="2" t="s">
        <v>134</v>
      </c>
      <c r="P400" s="2" t="s">
        <v>1830</v>
      </c>
      <c r="Q400" s="2" t="s">
        <v>410</v>
      </c>
      <c r="R400" s="2" t="s">
        <v>403</v>
      </c>
      <c r="S400" s="2" t="s">
        <v>34</v>
      </c>
      <c r="T400" s="151">
        <v>2.7229999999999999</v>
      </c>
      <c r="U400" s="2" t="s">
        <v>2192</v>
      </c>
      <c r="V400" s="162">
        <v>6.5000000000000002E-2</v>
      </c>
      <c r="W400" s="164">
        <v>5.7889999999999997E-2</v>
      </c>
      <c r="X400" s="4" t="s">
        <v>409</v>
      </c>
      <c r="Y400" s="4" t="s">
        <v>134</v>
      </c>
      <c r="Z400" s="151">
        <v>2000000</v>
      </c>
      <c r="AA400" s="158">
        <v>1</v>
      </c>
      <c r="AB400" s="175">
        <v>103.75</v>
      </c>
      <c r="AD400" s="151">
        <v>2075</v>
      </c>
      <c r="AG400" s="2" t="s">
        <v>36</v>
      </c>
      <c r="AH400" s="164">
        <v>4.0000000000000001E-3</v>
      </c>
      <c r="AI400" s="164">
        <v>1.13719762061183E-2</v>
      </c>
      <c r="AJ400" s="164">
        <v>1.9301870800189501E-3</v>
      </c>
    </row>
    <row r="401" spans="1:36">
      <c r="A401" s="2">
        <v>337</v>
      </c>
      <c r="B401" s="2">
        <v>9963</v>
      </c>
      <c r="C401" s="2" t="s">
        <v>1616</v>
      </c>
      <c r="D401" s="2" t="s">
        <v>1617</v>
      </c>
      <c r="E401" s="4" t="s">
        <v>309</v>
      </c>
      <c r="F401" s="2" t="s">
        <v>2193</v>
      </c>
      <c r="G401" s="2" t="s">
        <v>2194</v>
      </c>
      <c r="H401" s="2" t="s">
        <v>318</v>
      </c>
      <c r="I401" s="2" t="s">
        <v>965</v>
      </c>
      <c r="J401" s="2" t="s">
        <v>30</v>
      </c>
      <c r="K401" s="2" t="s">
        <v>30</v>
      </c>
      <c r="L401" s="2" t="s">
        <v>324</v>
      </c>
      <c r="M401" s="2" t="s">
        <v>31</v>
      </c>
      <c r="N401" s="2" t="s">
        <v>450</v>
      </c>
      <c r="O401" s="2" t="s">
        <v>134</v>
      </c>
      <c r="P401" s="2" t="s">
        <v>1830</v>
      </c>
      <c r="Q401" s="2" t="s">
        <v>410</v>
      </c>
      <c r="R401" s="2" t="s">
        <v>403</v>
      </c>
      <c r="S401" s="2" t="s">
        <v>34</v>
      </c>
      <c r="T401" s="151">
        <v>3.3740000000000001</v>
      </c>
      <c r="U401" s="2" t="s">
        <v>1857</v>
      </c>
      <c r="V401" s="162">
        <v>6.7000000000000004E-2</v>
      </c>
      <c r="W401" s="164">
        <v>5.6849999999999998E-2</v>
      </c>
      <c r="X401" s="4" t="s">
        <v>409</v>
      </c>
      <c r="Y401" s="4" t="s">
        <v>134</v>
      </c>
      <c r="Z401" s="151">
        <v>1668000</v>
      </c>
      <c r="AA401" s="158">
        <v>1</v>
      </c>
      <c r="AB401" s="175">
        <v>103.63</v>
      </c>
      <c r="AD401" s="151">
        <v>1728.548</v>
      </c>
      <c r="AG401" s="2" t="s">
        <v>36</v>
      </c>
      <c r="AH401" s="164">
        <v>1.833E-3</v>
      </c>
      <c r="AI401" s="164">
        <v>9.4732584462283304E-3</v>
      </c>
      <c r="AJ401" s="164">
        <v>1.6079141151168299E-3</v>
      </c>
    </row>
    <row r="402" spans="1:36">
      <c r="A402" s="2">
        <v>337</v>
      </c>
      <c r="B402" s="2">
        <v>9963</v>
      </c>
      <c r="C402" s="2" t="s">
        <v>1624</v>
      </c>
      <c r="D402" s="2" t="s">
        <v>1625</v>
      </c>
      <c r="E402" s="4" t="s">
        <v>1303</v>
      </c>
      <c r="F402" s="2" t="s">
        <v>2195</v>
      </c>
      <c r="G402" s="2" t="s">
        <v>2196</v>
      </c>
      <c r="H402" s="2" t="s">
        <v>318</v>
      </c>
      <c r="I402" s="2" t="s">
        <v>753</v>
      </c>
      <c r="J402" s="2" t="s">
        <v>30</v>
      </c>
      <c r="K402" s="2" t="s">
        <v>30</v>
      </c>
      <c r="L402" s="2" t="s">
        <v>324</v>
      </c>
      <c r="M402" s="2" t="s">
        <v>41</v>
      </c>
      <c r="N402" s="2" t="s">
        <v>437</v>
      </c>
      <c r="O402" s="2" t="s">
        <v>134</v>
      </c>
      <c r="P402" s="2" t="s">
        <v>1909</v>
      </c>
      <c r="Q402" s="2" t="s">
        <v>412</v>
      </c>
      <c r="R402" s="2" t="s">
        <v>403</v>
      </c>
      <c r="S402" s="2" t="s">
        <v>34</v>
      </c>
      <c r="T402" s="151">
        <v>2.21</v>
      </c>
      <c r="U402" s="2" t="s">
        <v>2025</v>
      </c>
      <c r="V402" s="162">
        <v>1.4800000000000001E-2</v>
      </c>
      <c r="W402" s="164">
        <v>3.1119999999999998E-2</v>
      </c>
      <c r="X402" s="4" t="s">
        <v>409</v>
      </c>
      <c r="Y402" s="4" t="s">
        <v>134</v>
      </c>
      <c r="Z402" s="151">
        <v>1371792</v>
      </c>
      <c r="AA402" s="158">
        <v>1</v>
      </c>
      <c r="AB402" s="175">
        <v>109.88</v>
      </c>
      <c r="AD402" s="151">
        <v>1507.325</v>
      </c>
      <c r="AG402" s="2" t="s">
        <v>36</v>
      </c>
      <c r="AH402" s="164">
        <v>4.3229999999999996E-3</v>
      </c>
      <c r="AI402" s="164">
        <v>8.2608504091263701E-3</v>
      </c>
      <c r="AJ402" s="164">
        <v>1.40212980054305E-3</v>
      </c>
    </row>
    <row r="403" spans="1:36">
      <c r="A403" s="2">
        <v>337</v>
      </c>
      <c r="B403" s="2">
        <v>9963</v>
      </c>
      <c r="C403" s="2" t="s">
        <v>1636</v>
      </c>
      <c r="D403" s="2" t="s">
        <v>1637</v>
      </c>
      <c r="E403" s="4" t="s">
        <v>1303</v>
      </c>
      <c r="F403" s="2" t="s">
        <v>2357</v>
      </c>
      <c r="G403" s="2" t="s">
        <v>2358</v>
      </c>
      <c r="H403" s="2" t="s">
        <v>318</v>
      </c>
      <c r="I403" s="2" t="s">
        <v>753</v>
      </c>
      <c r="J403" s="2" t="s">
        <v>30</v>
      </c>
      <c r="K403" s="2" t="s">
        <v>30</v>
      </c>
      <c r="L403" s="2" t="s">
        <v>324</v>
      </c>
      <c r="M403" s="2" t="s">
        <v>41</v>
      </c>
      <c r="N403" s="2" t="s">
        <v>460</v>
      </c>
      <c r="O403" s="2" t="s">
        <v>134</v>
      </c>
      <c r="P403" s="2" t="s">
        <v>1862</v>
      </c>
      <c r="Q403" s="2" t="s">
        <v>410</v>
      </c>
      <c r="R403" s="2" t="s">
        <v>403</v>
      </c>
      <c r="S403" s="2" t="s">
        <v>34</v>
      </c>
      <c r="T403" s="151">
        <v>0.73899999999999999</v>
      </c>
      <c r="U403" s="2" t="s">
        <v>2314</v>
      </c>
      <c r="V403" s="162">
        <v>4.9500000000000002E-2</v>
      </c>
      <c r="W403" s="164">
        <v>3.2739999999999998E-2</v>
      </c>
      <c r="X403" s="4" t="s">
        <v>409</v>
      </c>
      <c r="Y403" s="4" t="s">
        <v>134</v>
      </c>
      <c r="Z403" s="151">
        <v>421212.01</v>
      </c>
      <c r="AA403" s="158">
        <v>1</v>
      </c>
      <c r="AB403" s="175">
        <v>143.07</v>
      </c>
      <c r="AD403" s="151">
        <v>602.62800000000004</v>
      </c>
      <c r="AG403" s="2" t="s">
        <v>36</v>
      </c>
      <c r="AH403" s="164">
        <v>1.918E-3</v>
      </c>
      <c r="AI403" s="164">
        <v>3.3026850772838998E-3</v>
      </c>
      <c r="AJ403" s="164">
        <v>5.6057099927056195E-4</v>
      </c>
    </row>
    <row r="404" spans="1:36">
      <c r="A404" s="2">
        <v>337</v>
      </c>
      <c r="B404" s="2">
        <v>9963</v>
      </c>
      <c r="C404" s="2" t="s">
        <v>2201</v>
      </c>
      <c r="D404" s="2" t="s">
        <v>2202</v>
      </c>
      <c r="E404" s="4" t="s">
        <v>310</v>
      </c>
      <c r="F404" s="2" t="s">
        <v>2203</v>
      </c>
      <c r="G404" s="2" t="s">
        <v>2204</v>
      </c>
      <c r="H404" s="2" t="s">
        <v>318</v>
      </c>
      <c r="I404" s="2" t="s">
        <v>965</v>
      </c>
      <c r="J404" s="2" t="s">
        <v>30</v>
      </c>
      <c r="K404" s="2" t="s">
        <v>80</v>
      </c>
      <c r="L404" s="2" t="s">
        <v>324</v>
      </c>
      <c r="M404" s="2" t="s">
        <v>41</v>
      </c>
      <c r="N404" s="2" t="s">
        <v>461</v>
      </c>
      <c r="O404" s="2" t="s">
        <v>134</v>
      </c>
      <c r="P404" s="2" t="s">
        <v>1826</v>
      </c>
      <c r="Q404" s="2" t="s">
        <v>410</v>
      </c>
      <c r="R404" s="2" t="s">
        <v>403</v>
      </c>
      <c r="S404" s="2" t="s">
        <v>34</v>
      </c>
      <c r="T404" s="151">
        <v>3.2810000000000001</v>
      </c>
      <c r="U404" s="2" t="s">
        <v>2205</v>
      </c>
      <c r="V404" s="162">
        <v>4.4999999999999998E-2</v>
      </c>
      <c r="W404" s="164">
        <v>6.0130000000000003E-2</v>
      </c>
      <c r="X404" s="4" t="s">
        <v>409</v>
      </c>
      <c r="Y404" s="4" t="s">
        <v>134</v>
      </c>
      <c r="Z404" s="151">
        <v>1876671.28</v>
      </c>
      <c r="AA404" s="158">
        <v>1</v>
      </c>
      <c r="AB404" s="175">
        <v>97.47</v>
      </c>
      <c r="AD404" s="151">
        <v>1829.191</v>
      </c>
      <c r="AG404" s="2" t="s">
        <v>36</v>
      </c>
      <c r="AH404" s="164">
        <v>2.173E-3</v>
      </c>
      <c r="AI404" s="164">
        <v>1.0024829964313701E-2</v>
      </c>
      <c r="AJ404" s="164">
        <v>1.7015333945295001E-3</v>
      </c>
    </row>
    <row r="405" spans="1:36">
      <c r="A405" s="2">
        <v>337</v>
      </c>
      <c r="B405" s="2">
        <v>9963</v>
      </c>
      <c r="C405" s="2" t="s">
        <v>2201</v>
      </c>
      <c r="D405" s="2" t="s">
        <v>2202</v>
      </c>
      <c r="E405" s="4" t="s">
        <v>310</v>
      </c>
      <c r="F405" s="2" t="s">
        <v>2206</v>
      </c>
      <c r="G405" s="2" t="s">
        <v>2207</v>
      </c>
      <c r="H405" s="2" t="s">
        <v>318</v>
      </c>
      <c r="I405" s="2" t="s">
        <v>965</v>
      </c>
      <c r="J405" s="2" t="s">
        <v>30</v>
      </c>
      <c r="K405" s="2" t="s">
        <v>30</v>
      </c>
      <c r="L405" s="2" t="s">
        <v>324</v>
      </c>
      <c r="M405" s="2" t="s">
        <v>41</v>
      </c>
      <c r="N405" s="2" t="s">
        <v>461</v>
      </c>
      <c r="O405" s="2" t="s">
        <v>134</v>
      </c>
      <c r="P405" s="2" t="s">
        <v>1834</v>
      </c>
      <c r="Q405" s="2" t="s">
        <v>410</v>
      </c>
      <c r="R405" s="2" t="s">
        <v>403</v>
      </c>
      <c r="S405" s="2" t="s">
        <v>34</v>
      </c>
      <c r="T405" s="151">
        <v>2.0169999999999999</v>
      </c>
      <c r="U405" s="2" t="s">
        <v>1910</v>
      </c>
      <c r="V405" s="162">
        <v>6.3500000000000001E-2</v>
      </c>
      <c r="W405" s="164">
        <v>5.7439999999999998E-2</v>
      </c>
      <c r="X405" s="4" t="s">
        <v>409</v>
      </c>
      <c r="Y405" s="4" t="s">
        <v>134</v>
      </c>
      <c r="Z405" s="151">
        <v>991000</v>
      </c>
      <c r="AA405" s="158">
        <v>1</v>
      </c>
      <c r="AB405" s="175">
        <v>102.97</v>
      </c>
      <c r="AD405" s="151">
        <v>1020.433</v>
      </c>
      <c r="AG405" s="2" t="s">
        <v>36</v>
      </c>
      <c r="AH405" s="164">
        <v>2.4169999999999999E-3</v>
      </c>
      <c r="AI405" s="164">
        <v>5.59245126956386E-3</v>
      </c>
      <c r="AJ405" s="164">
        <v>9.4921735593679396E-4</v>
      </c>
    </row>
    <row r="406" spans="1:36">
      <c r="A406" s="2">
        <v>337</v>
      </c>
      <c r="B406" s="2">
        <v>9963</v>
      </c>
      <c r="C406" s="2" t="s">
        <v>2201</v>
      </c>
      <c r="D406" s="2" t="s">
        <v>2202</v>
      </c>
      <c r="E406" s="4" t="s">
        <v>310</v>
      </c>
      <c r="F406" s="2" t="s">
        <v>2208</v>
      </c>
      <c r="G406" s="2" t="s">
        <v>2209</v>
      </c>
      <c r="H406" s="2" t="s">
        <v>318</v>
      </c>
      <c r="I406" s="2" t="s">
        <v>965</v>
      </c>
      <c r="J406" s="2" t="s">
        <v>30</v>
      </c>
      <c r="K406" s="2" t="s">
        <v>30</v>
      </c>
      <c r="L406" s="2" t="s">
        <v>324</v>
      </c>
      <c r="M406" s="2" t="s">
        <v>31</v>
      </c>
      <c r="N406" s="2" t="s">
        <v>461</v>
      </c>
      <c r="O406" s="2" t="s">
        <v>134</v>
      </c>
      <c r="P406" s="2" t="s">
        <v>1834</v>
      </c>
      <c r="Q406" s="2" t="s">
        <v>410</v>
      </c>
      <c r="R406" s="2" t="s">
        <v>403</v>
      </c>
      <c r="S406" s="2" t="s">
        <v>34</v>
      </c>
      <c r="T406" s="151">
        <v>3.5379999999999998</v>
      </c>
      <c r="U406" s="2" t="s">
        <v>2210</v>
      </c>
      <c r="V406" s="162">
        <v>6.25E-2</v>
      </c>
      <c r="W406" s="164">
        <v>5.7919999999999999E-2</v>
      </c>
      <c r="X406" s="4" t="s">
        <v>409</v>
      </c>
      <c r="Y406" s="4" t="s">
        <v>134</v>
      </c>
      <c r="Z406" s="151">
        <v>968000</v>
      </c>
      <c r="AA406" s="158">
        <v>1</v>
      </c>
      <c r="AB406" s="175">
        <v>104.79</v>
      </c>
      <c r="AD406" s="151">
        <v>1014.367</v>
      </c>
      <c r="AG406" s="2" t="s">
        <v>36</v>
      </c>
      <c r="AH406" s="164">
        <v>1.7600000000000001E-3</v>
      </c>
      <c r="AI406" s="164">
        <v>5.5592094759840003E-3</v>
      </c>
      <c r="AJ406" s="164">
        <v>9.4357516329397295E-4</v>
      </c>
    </row>
    <row r="407" spans="1:36">
      <c r="A407" s="2">
        <v>337</v>
      </c>
      <c r="B407" s="2">
        <v>9963</v>
      </c>
      <c r="C407" s="2" t="s">
        <v>1643</v>
      </c>
      <c r="D407" s="2" t="s">
        <v>1644</v>
      </c>
      <c r="E407" s="4" t="s">
        <v>1303</v>
      </c>
      <c r="F407" s="2" t="s">
        <v>2211</v>
      </c>
      <c r="G407" s="2" t="s">
        <v>2212</v>
      </c>
      <c r="H407" s="2" t="s">
        <v>318</v>
      </c>
      <c r="I407" s="2" t="s">
        <v>753</v>
      </c>
      <c r="J407" s="2" t="s">
        <v>30</v>
      </c>
      <c r="K407" s="2" t="s">
        <v>30</v>
      </c>
      <c r="L407" s="2" t="s">
        <v>324</v>
      </c>
      <c r="M407" s="2" t="s">
        <v>41</v>
      </c>
      <c r="N407" s="2" t="s">
        <v>437</v>
      </c>
      <c r="O407" s="2" t="s">
        <v>134</v>
      </c>
      <c r="P407" s="2" t="s">
        <v>1842</v>
      </c>
      <c r="Q407" s="2" t="s">
        <v>406</v>
      </c>
      <c r="R407" s="2" t="s">
        <v>406</v>
      </c>
      <c r="S407" s="2" t="s">
        <v>34</v>
      </c>
      <c r="T407" s="151">
        <v>2.0219999999999998</v>
      </c>
      <c r="U407" s="2" t="s">
        <v>2025</v>
      </c>
      <c r="V407" s="162">
        <v>2.3E-2</v>
      </c>
      <c r="W407" s="164">
        <v>3.4250000000000003E-2</v>
      </c>
      <c r="X407" s="4" t="s">
        <v>409</v>
      </c>
      <c r="Y407" s="4" t="s">
        <v>134</v>
      </c>
      <c r="Z407" s="151">
        <v>0.33</v>
      </c>
      <c r="AA407" s="158">
        <v>1</v>
      </c>
      <c r="AB407" s="175">
        <v>110.71</v>
      </c>
      <c r="AD407" s="151">
        <v>0</v>
      </c>
      <c r="AG407" s="2" t="s">
        <v>36</v>
      </c>
      <c r="AH407" s="164">
        <v>0</v>
      </c>
      <c r="AI407" s="164">
        <v>2.0022515195527E-9</v>
      </c>
      <c r="AJ407" s="164">
        <v>3.3984594620499401E-10</v>
      </c>
    </row>
    <row r="408" spans="1:36">
      <c r="A408" s="2">
        <v>337</v>
      </c>
      <c r="B408" s="2">
        <v>9963</v>
      </c>
      <c r="C408" s="2" t="s">
        <v>2437</v>
      </c>
      <c r="D408" s="2" t="s">
        <v>2438</v>
      </c>
      <c r="E408" s="4" t="s">
        <v>1303</v>
      </c>
      <c r="F408" s="2" t="s">
        <v>2439</v>
      </c>
      <c r="G408" s="2" t="s">
        <v>2440</v>
      </c>
      <c r="H408" s="2" t="s">
        <v>318</v>
      </c>
      <c r="I408" s="2" t="s">
        <v>753</v>
      </c>
      <c r="J408" s="2" t="s">
        <v>30</v>
      </c>
      <c r="K408" s="2" t="s">
        <v>30</v>
      </c>
      <c r="L408" s="2" t="s">
        <v>324</v>
      </c>
      <c r="M408" s="2" t="s">
        <v>41</v>
      </c>
      <c r="N408" s="2" t="s">
        <v>437</v>
      </c>
      <c r="O408" s="2" t="s">
        <v>134</v>
      </c>
      <c r="P408" s="2" t="s">
        <v>1842</v>
      </c>
      <c r="Q408" s="2" t="s">
        <v>406</v>
      </c>
      <c r="R408" s="2" t="s">
        <v>406</v>
      </c>
      <c r="S408" s="2" t="s">
        <v>34</v>
      </c>
      <c r="T408" s="151">
        <v>1.9890000000000001</v>
      </c>
      <c r="U408" s="2" t="s">
        <v>2025</v>
      </c>
      <c r="V408" s="162">
        <v>2.9499999999999998E-2</v>
      </c>
      <c r="W408" s="164">
        <v>3.8620000000000002E-2</v>
      </c>
      <c r="X408" s="4" t="s">
        <v>409</v>
      </c>
      <c r="Y408" s="4" t="s">
        <v>134</v>
      </c>
      <c r="Z408" s="151">
        <v>552284.88</v>
      </c>
      <c r="AA408" s="158">
        <v>1</v>
      </c>
      <c r="AB408" s="175">
        <v>109.81</v>
      </c>
      <c r="AD408" s="151">
        <v>606.46400000000006</v>
      </c>
      <c r="AG408" s="2" t="s">
        <v>36</v>
      </c>
      <c r="AH408" s="164">
        <v>2.2659999999999998E-3</v>
      </c>
      <c r="AI408" s="164">
        <v>3.3237081840084199E-3</v>
      </c>
      <c r="AJ408" s="164">
        <v>5.6413929102971103E-4</v>
      </c>
    </row>
    <row r="409" spans="1:36">
      <c r="A409" s="2">
        <v>337</v>
      </c>
      <c r="B409" s="2">
        <v>9963</v>
      </c>
      <c r="C409" s="2" t="s">
        <v>2217</v>
      </c>
      <c r="D409" s="2" t="s">
        <v>2218</v>
      </c>
      <c r="E409" s="4" t="s">
        <v>33</v>
      </c>
      <c r="F409" s="2" t="s">
        <v>2219</v>
      </c>
      <c r="G409" s="2" t="s">
        <v>2220</v>
      </c>
      <c r="H409" s="2" t="s">
        <v>318</v>
      </c>
      <c r="I409" s="2" t="s">
        <v>754</v>
      </c>
      <c r="J409" s="2" t="s">
        <v>30</v>
      </c>
      <c r="K409" s="2" t="s">
        <v>80</v>
      </c>
      <c r="L409" s="2" t="s">
        <v>324</v>
      </c>
      <c r="M409" s="2" t="s">
        <v>41</v>
      </c>
      <c r="N409" s="2" t="s">
        <v>439</v>
      </c>
      <c r="O409" s="2" t="s">
        <v>134</v>
      </c>
      <c r="P409" s="2" t="s">
        <v>2057</v>
      </c>
      <c r="Q409" s="2" t="s">
        <v>412</v>
      </c>
      <c r="R409" s="2" t="s">
        <v>403</v>
      </c>
      <c r="S409" s="2" t="s">
        <v>34</v>
      </c>
      <c r="T409" s="151">
        <v>1.345</v>
      </c>
      <c r="U409" s="2" t="s">
        <v>2221</v>
      </c>
      <c r="V409" s="162">
        <v>7.9135999999999998E-2</v>
      </c>
      <c r="W409" s="164">
        <v>6.2979999999999994E-2</v>
      </c>
      <c r="X409" s="4" t="s">
        <v>409</v>
      </c>
      <c r="Y409" s="4" t="s">
        <v>134</v>
      </c>
      <c r="Z409" s="151">
        <v>1463000</v>
      </c>
      <c r="AA409" s="158">
        <v>1</v>
      </c>
      <c r="AB409" s="175">
        <v>105.12</v>
      </c>
      <c r="AD409" s="151">
        <v>1537.9059999999999</v>
      </c>
      <c r="AG409" s="2" t="s">
        <v>36</v>
      </c>
      <c r="AH409" s="164">
        <v>3.4749999999999998E-3</v>
      </c>
      <c r="AI409" s="164">
        <v>8.4284462122679593E-3</v>
      </c>
      <c r="AJ409" s="164">
        <v>1.4305761539319399E-3</v>
      </c>
    </row>
    <row r="410" spans="1:36">
      <c r="A410" s="2">
        <v>337</v>
      </c>
      <c r="B410" s="2">
        <v>9963</v>
      </c>
      <c r="C410" s="2" t="s">
        <v>2222</v>
      </c>
      <c r="D410" s="2" t="s">
        <v>2223</v>
      </c>
      <c r="E410" s="4" t="s">
        <v>310</v>
      </c>
      <c r="F410" s="2" t="s">
        <v>2224</v>
      </c>
      <c r="G410" s="2" t="s">
        <v>2225</v>
      </c>
      <c r="H410" s="2" t="s">
        <v>318</v>
      </c>
      <c r="I410" s="2" t="s">
        <v>965</v>
      </c>
      <c r="J410" s="2" t="s">
        <v>30</v>
      </c>
      <c r="K410" s="2" t="s">
        <v>80</v>
      </c>
      <c r="L410" s="2" t="s">
        <v>324</v>
      </c>
      <c r="M410" s="2" t="s">
        <v>31</v>
      </c>
      <c r="N410" s="2" t="s">
        <v>461</v>
      </c>
      <c r="O410" s="2" t="s">
        <v>134</v>
      </c>
      <c r="P410" s="2" t="s">
        <v>1834</v>
      </c>
      <c r="Q410" s="2" t="s">
        <v>410</v>
      </c>
      <c r="R410" s="2" t="s">
        <v>403</v>
      </c>
      <c r="S410" s="2" t="s">
        <v>34</v>
      </c>
      <c r="T410" s="151">
        <v>4.016</v>
      </c>
      <c r="U410" s="2" t="s">
        <v>2226</v>
      </c>
      <c r="V410" s="162">
        <v>6.7400000000000002E-2</v>
      </c>
      <c r="W410" s="164">
        <v>6.0229999999999999E-2</v>
      </c>
      <c r="X410" s="4" t="s">
        <v>409</v>
      </c>
      <c r="Y410" s="4" t="s">
        <v>134</v>
      </c>
      <c r="Z410" s="151">
        <v>1907000</v>
      </c>
      <c r="AA410" s="158">
        <v>1</v>
      </c>
      <c r="AB410" s="175">
        <v>106.73</v>
      </c>
      <c r="AD410" s="151">
        <v>2035.3409999999999</v>
      </c>
      <c r="AG410" s="2" t="s">
        <v>36</v>
      </c>
      <c r="AH410" s="164">
        <v>6.6909999999999999E-3</v>
      </c>
      <c r="AI410" s="164">
        <v>1.11546267761612E-2</v>
      </c>
      <c r="AJ410" s="164">
        <v>1.8932959492296601E-3</v>
      </c>
    </row>
    <row r="411" spans="1:36">
      <c r="A411" s="2">
        <v>337</v>
      </c>
      <c r="B411" s="2">
        <v>9963</v>
      </c>
      <c r="C411" s="2" t="s">
        <v>1655</v>
      </c>
      <c r="D411" s="2" t="s">
        <v>1656</v>
      </c>
      <c r="E411" s="4" t="s">
        <v>1303</v>
      </c>
      <c r="F411" s="2" t="s">
        <v>2231</v>
      </c>
      <c r="G411" s="2" t="s">
        <v>2232</v>
      </c>
      <c r="H411" s="2" t="s">
        <v>318</v>
      </c>
      <c r="I411" s="2" t="s">
        <v>753</v>
      </c>
      <c r="J411" s="2" t="s">
        <v>30</v>
      </c>
      <c r="K411" s="2" t="s">
        <v>30</v>
      </c>
      <c r="L411" s="2" t="s">
        <v>324</v>
      </c>
      <c r="M411" s="2" t="s">
        <v>41</v>
      </c>
      <c r="N411" s="2" t="s">
        <v>460</v>
      </c>
      <c r="O411" s="2" t="s">
        <v>134</v>
      </c>
      <c r="P411" s="2" t="s">
        <v>82</v>
      </c>
      <c r="Q411" s="2" t="s">
        <v>410</v>
      </c>
      <c r="R411" s="2" t="s">
        <v>403</v>
      </c>
      <c r="S411" s="2" t="s">
        <v>34</v>
      </c>
      <c r="T411" s="151">
        <v>2.6619999999999999</v>
      </c>
      <c r="U411" s="2" t="s">
        <v>2233</v>
      </c>
      <c r="V411" s="162">
        <v>1.34E-2</v>
      </c>
      <c r="W411" s="164">
        <v>2.8070000000000001E-2</v>
      </c>
      <c r="X411" s="4" t="s">
        <v>409</v>
      </c>
      <c r="Y411" s="4" t="s">
        <v>134</v>
      </c>
      <c r="Z411" s="151">
        <v>2269968.98</v>
      </c>
      <c r="AA411" s="158">
        <v>1</v>
      </c>
      <c r="AB411" s="175">
        <v>113.01</v>
      </c>
      <c r="AD411" s="151">
        <v>2565.2919999999999</v>
      </c>
      <c r="AG411" s="2" t="s">
        <v>36</v>
      </c>
      <c r="AH411" s="164">
        <v>9.3400000000000004E-4</v>
      </c>
      <c r="AI411" s="164">
        <v>1.40590067240018E-2</v>
      </c>
      <c r="AJ411" s="164">
        <v>2.3862618637882798E-3</v>
      </c>
    </row>
    <row r="412" spans="1:36">
      <c r="A412" s="2">
        <v>337</v>
      </c>
      <c r="B412" s="2">
        <v>9963</v>
      </c>
      <c r="C412" s="2" t="s">
        <v>1655</v>
      </c>
      <c r="D412" s="2" t="s">
        <v>1656</v>
      </c>
      <c r="E412" s="4" t="s">
        <v>1303</v>
      </c>
      <c r="F412" s="2" t="s">
        <v>2234</v>
      </c>
      <c r="G412" s="2" t="s">
        <v>2235</v>
      </c>
      <c r="H412" s="2" t="s">
        <v>318</v>
      </c>
      <c r="I412" s="2" t="s">
        <v>753</v>
      </c>
      <c r="J412" s="2" t="s">
        <v>30</v>
      </c>
      <c r="K412" s="2" t="s">
        <v>30</v>
      </c>
      <c r="L412" s="2" t="s">
        <v>324</v>
      </c>
      <c r="M412" s="2" t="s">
        <v>41</v>
      </c>
      <c r="N412" s="2" t="s">
        <v>460</v>
      </c>
      <c r="O412" s="2" t="s">
        <v>134</v>
      </c>
      <c r="P412" s="2" t="s">
        <v>2236</v>
      </c>
      <c r="Q412" s="2" t="s">
        <v>412</v>
      </c>
      <c r="R412" s="2" t="s">
        <v>403</v>
      </c>
      <c r="S412" s="2" t="s">
        <v>34</v>
      </c>
      <c r="T412" s="151">
        <v>2.0680000000000001</v>
      </c>
      <c r="U412" s="2" t="s">
        <v>1843</v>
      </c>
      <c r="V412" s="162">
        <v>1.77E-2</v>
      </c>
      <c r="W412" s="164">
        <v>2.751E-2</v>
      </c>
      <c r="X412" s="4" t="s">
        <v>409</v>
      </c>
      <c r="Y412" s="4" t="s">
        <v>134</v>
      </c>
      <c r="Z412" s="151">
        <v>1639504</v>
      </c>
      <c r="AA412" s="158">
        <v>1</v>
      </c>
      <c r="AB412" s="175">
        <v>113.81</v>
      </c>
      <c r="AD412" s="151">
        <v>1865.92</v>
      </c>
      <c r="AG412" s="2" t="s">
        <v>36</v>
      </c>
      <c r="AH412" s="164">
        <v>6.3199999999999997E-4</v>
      </c>
      <c r="AI412" s="164">
        <v>1.02261167150963E-2</v>
      </c>
      <c r="AJ412" s="164">
        <v>1.7356981763314999E-3</v>
      </c>
    </row>
    <row r="413" spans="1:36">
      <c r="A413" s="2">
        <v>337</v>
      </c>
      <c r="B413" s="2">
        <v>9963</v>
      </c>
      <c r="C413" s="2" t="s">
        <v>1655</v>
      </c>
      <c r="D413" s="2" t="s">
        <v>1656</v>
      </c>
      <c r="E413" s="4" t="s">
        <v>1303</v>
      </c>
      <c r="F413" s="2" t="s">
        <v>2237</v>
      </c>
      <c r="G413" s="2" t="s">
        <v>2238</v>
      </c>
      <c r="H413" s="2" t="s">
        <v>318</v>
      </c>
      <c r="I413" s="2" t="s">
        <v>753</v>
      </c>
      <c r="J413" s="2" t="s">
        <v>30</v>
      </c>
      <c r="K413" s="2" t="s">
        <v>30</v>
      </c>
      <c r="L413" s="2" t="s">
        <v>324</v>
      </c>
      <c r="M413" s="2" t="s">
        <v>41</v>
      </c>
      <c r="N413" s="2" t="s">
        <v>460</v>
      </c>
      <c r="O413" s="2" t="s">
        <v>134</v>
      </c>
      <c r="P413" s="2" t="s">
        <v>82</v>
      </c>
      <c r="Q413" s="2" t="s">
        <v>410</v>
      </c>
      <c r="R413" s="2" t="s">
        <v>403</v>
      </c>
      <c r="S413" s="2" t="s">
        <v>34</v>
      </c>
      <c r="T413" s="151">
        <v>6.4729999999999999</v>
      </c>
      <c r="U413" s="2" t="s">
        <v>2239</v>
      </c>
      <c r="V413" s="162">
        <v>8.9999999999999993E-3</v>
      </c>
      <c r="W413" s="164">
        <v>3.0720000000000001E-2</v>
      </c>
      <c r="X413" s="4" t="s">
        <v>409</v>
      </c>
      <c r="Y413" s="4" t="s">
        <v>134</v>
      </c>
      <c r="Z413" s="151">
        <v>2679000</v>
      </c>
      <c r="AA413" s="158">
        <v>1</v>
      </c>
      <c r="AB413" s="175">
        <v>99.26</v>
      </c>
      <c r="AD413" s="151">
        <v>2659.1750000000002</v>
      </c>
      <c r="AG413" s="2" t="s">
        <v>36</v>
      </c>
      <c r="AH413" s="164">
        <v>9.7400000000000004E-4</v>
      </c>
      <c r="AI413" s="164">
        <v>1.4573532229732501E-2</v>
      </c>
      <c r="AJ413" s="164">
        <v>2.4735932532936001E-3</v>
      </c>
    </row>
    <row r="414" spans="1:36">
      <c r="A414" s="2">
        <v>337</v>
      </c>
      <c r="B414" s="2">
        <v>9963</v>
      </c>
      <c r="C414" s="2" t="s">
        <v>1655</v>
      </c>
      <c r="D414" s="2" t="s">
        <v>1656</v>
      </c>
      <c r="E414" s="4" t="s">
        <v>1303</v>
      </c>
      <c r="F414" s="2" t="s">
        <v>2443</v>
      </c>
      <c r="G414" s="2" t="s">
        <v>2444</v>
      </c>
      <c r="H414" s="2" t="s">
        <v>318</v>
      </c>
      <c r="I414" s="2" t="s">
        <v>753</v>
      </c>
      <c r="J414" s="2" t="s">
        <v>30</v>
      </c>
      <c r="K414" s="2" t="s">
        <v>30</v>
      </c>
      <c r="L414" s="2" t="s">
        <v>324</v>
      </c>
      <c r="M414" s="2" t="s">
        <v>31</v>
      </c>
      <c r="N414" s="2" t="s">
        <v>460</v>
      </c>
      <c r="O414" s="2" t="s">
        <v>134</v>
      </c>
      <c r="P414" s="2" t="s">
        <v>2236</v>
      </c>
      <c r="Q414" s="2" t="s">
        <v>412</v>
      </c>
      <c r="R414" s="2" t="s">
        <v>403</v>
      </c>
      <c r="S414" s="2" t="s">
        <v>34</v>
      </c>
      <c r="T414" s="151">
        <v>11.904</v>
      </c>
      <c r="U414" s="2" t="s">
        <v>2445</v>
      </c>
      <c r="V414" s="162">
        <v>3.6700000000000003E-2</v>
      </c>
      <c r="W414" s="164">
        <v>3.4259999999999999E-2</v>
      </c>
      <c r="X414" s="4" t="s">
        <v>409</v>
      </c>
      <c r="Y414" s="4" t="s">
        <v>134</v>
      </c>
      <c r="Z414" s="151">
        <v>1000000</v>
      </c>
      <c r="AA414" s="158">
        <v>1</v>
      </c>
      <c r="AB414" s="175">
        <v>105.88</v>
      </c>
      <c r="AD414" s="151">
        <v>1058.8</v>
      </c>
      <c r="AG414" s="2" t="s">
        <v>36</v>
      </c>
      <c r="AH414" s="164">
        <v>3.0499999999999999E-4</v>
      </c>
      <c r="AI414" s="164">
        <v>5.80272212387374E-3</v>
      </c>
      <c r="AJ414" s="164">
        <v>9.849070266621969E-4</v>
      </c>
    </row>
    <row r="415" spans="1:36">
      <c r="A415" s="2">
        <v>337</v>
      </c>
      <c r="B415" s="2">
        <v>9963</v>
      </c>
      <c r="C415" s="2" t="s">
        <v>2245</v>
      </c>
      <c r="D415" s="2" t="s">
        <v>2246</v>
      </c>
      <c r="E415" s="4" t="s">
        <v>1303</v>
      </c>
      <c r="F415" s="2" t="s">
        <v>2247</v>
      </c>
      <c r="G415" s="2" t="s">
        <v>2248</v>
      </c>
      <c r="H415" s="2" t="s">
        <v>318</v>
      </c>
      <c r="I415" s="2" t="s">
        <v>965</v>
      </c>
      <c r="J415" s="2" t="s">
        <v>30</v>
      </c>
      <c r="K415" s="2" t="s">
        <v>30</v>
      </c>
      <c r="L415" s="2" t="s">
        <v>324</v>
      </c>
      <c r="M415" s="2" t="s">
        <v>41</v>
      </c>
      <c r="N415" s="2" t="s">
        <v>443</v>
      </c>
      <c r="O415" s="2" t="s">
        <v>134</v>
      </c>
      <c r="P415" s="2" t="s">
        <v>1909</v>
      </c>
      <c r="Q415" s="2" t="s">
        <v>412</v>
      </c>
      <c r="R415" s="2" t="s">
        <v>403</v>
      </c>
      <c r="S415" s="2" t="s">
        <v>34</v>
      </c>
      <c r="T415" s="151">
        <v>1.135</v>
      </c>
      <c r="U415" s="2" t="s">
        <v>42</v>
      </c>
      <c r="V415" s="162">
        <v>0.06</v>
      </c>
      <c r="W415" s="164">
        <v>5.5219999999999998E-2</v>
      </c>
      <c r="X415" s="4" t="s">
        <v>409</v>
      </c>
      <c r="Y415" s="4" t="s">
        <v>134</v>
      </c>
      <c r="Z415" s="151">
        <v>0.11</v>
      </c>
      <c r="AA415" s="158">
        <v>1</v>
      </c>
      <c r="AB415" s="175">
        <v>102.62</v>
      </c>
      <c r="AD415" s="151">
        <v>0</v>
      </c>
      <c r="AG415" s="2" t="s">
        <v>36</v>
      </c>
      <c r="AH415" s="164">
        <v>0</v>
      </c>
      <c r="AI415" s="164">
        <v>6.1864646655375497E-10</v>
      </c>
      <c r="AJ415" s="164">
        <v>1.05004037574313E-10</v>
      </c>
    </row>
    <row r="416" spans="1:36">
      <c r="A416" s="2">
        <v>337</v>
      </c>
      <c r="B416" s="2">
        <v>9963</v>
      </c>
      <c r="C416" s="2" t="s">
        <v>1659</v>
      </c>
      <c r="D416" s="2" t="s">
        <v>1660</v>
      </c>
      <c r="E416" s="4" t="s">
        <v>1303</v>
      </c>
      <c r="F416" s="2" t="s">
        <v>2249</v>
      </c>
      <c r="G416" s="2" t="s">
        <v>2250</v>
      </c>
      <c r="H416" s="2" t="s">
        <v>318</v>
      </c>
      <c r="I416" s="2" t="s">
        <v>753</v>
      </c>
      <c r="J416" s="2" t="s">
        <v>30</v>
      </c>
      <c r="K416" s="2" t="s">
        <v>30</v>
      </c>
      <c r="L416" s="2" t="s">
        <v>324</v>
      </c>
      <c r="M416" s="2" t="s">
        <v>41</v>
      </c>
      <c r="N416" s="2" t="s">
        <v>444</v>
      </c>
      <c r="O416" s="2" t="s">
        <v>134</v>
      </c>
      <c r="P416" s="2" t="s">
        <v>1176</v>
      </c>
      <c r="Q416" s="2" t="s">
        <v>410</v>
      </c>
      <c r="R416" s="2" t="s">
        <v>403</v>
      </c>
      <c r="S416" s="2" t="s">
        <v>34</v>
      </c>
      <c r="T416" s="151">
        <v>3.5870000000000002</v>
      </c>
      <c r="U416" s="2" t="s">
        <v>2251</v>
      </c>
      <c r="V416" s="162">
        <v>1E-3</v>
      </c>
      <c r="W416" s="164">
        <v>2.5610000000000001E-2</v>
      </c>
      <c r="X416" s="4" t="s">
        <v>409</v>
      </c>
      <c r="Y416" s="4" t="s">
        <v>134</v>
      </c>
      <c r="Z416" s="151">
        <v>553608.5</v>
      </c>
      <c r="AA416" s="158">
        <v>1</v>
      </c>
      <c r="AB416" s="175">
        <v>103.24</v>
      </c>
      <c r="AD416" s="151">
        <v>571.54499999999996</v>
      </c>
      <c r="AG416" s="2" t="s">
        <v>36</v>
      </c>
      <c r="AH416" s="164">
        <v>5.6300000000000002E-4</v>
      </c>
      <c r="AI416" s="164">
        <v>3.13233776609387E-3</v>
      </c>
      <c r="AJ416" s="164">
        <v>5.31657627204405E-4</v>
      </c>
    </row>
    <row r="417" spans="1:36">
      <c r="A417" s="2">
        <v>337</v>
      </c>
      <c r="B417" s="2">
        <v>9963</v>
      </c>
      <c r="C417" s="2" t="s">
        <v>1659</v>
      </c>
      <c r="D417" s="2" t="s">
        <v>1660</v>
      </c>
      <c r="E417" s="4" t="s">
        <v>1303</v>
      </c>
      <c r="F417" s="2" t="s">
        <v>2252</v>
      </c>
      <c r="G417" s="2" t="s">
        <v>2253</v>
      </c>
      <c r="H417" s="2" t="s">
        <v>318</v>
      </c>
      <c r="I417" s="2" t="s">
        <v>753</v>
      </c>
      <c r="J417" s="2" t="s">
        <v>30</v>
      </c>
      <c r="K417" s="2" t="s">
        <v>30</v>
      </c>
      <c r="L417" s="2" t="s">
        <v>324</v>
      </c>
      <c r="M417" s="2" t="s">
        <v>41</v>
      </c>
      <c r="N417" s="2" t="s">
        <v>444</v>
      </c>
      <c r="O417" s="2" t="s">
        <v>134</v>
      </c>
      <c r="P417" s="2" t="s">
        <v>1176</v>
      </c>
      <c r="Q417" s="2" t="s">
        <v>410</v>
      </c>
      <c r="R417" s="2" t="s">
        <v>403</v>
      </c>
      <c r="S417" s="2" t="s">
        <v>34</v>
      </c>
      <c r="T417" s="151">
        <v>3.9660000000000002</v>
      </c>
      <c r="U417" s="2" t="s">
        <v>2254</v>
      </c>
      <c r="V417" s="162">
        <v>1.3899999999999999E-2</v>
      </c>
      <c r="W417" s="164">
        <v>2.5260000000000001E-2</v>
      </c>
      <c r="X417" s="4" t="s">
        <v>409</v>
      </c>
      <c r="Y417" s="4" t="s">
        <v>134</v>
      </c>
      <c r="Z417" s="151">
        <v>1584800</v>
      </c>
      <c r="AA417" s="158">
        <v>1</v>
      </c>
      <c r="AB417" s="175">
        <v>103.09</v>
      </c>
      <c r="AD417" s="151">
        <v>1633.77</v>
      </c>
      <c r="AG417" s="2" t="s">
        <v>36</v>
      </c>
      <c r="AH417" s="164">
        <v>9.9099999999999991E-4</v>
      </c>
      <c r="AI417" s="164">
        <v>8.9538299784589007E-3</v>
      </c>
      <c r="AJ417" s="164">
        <v>1.51975053656984E-3</v>
      </c>
    </row>
    <row r="418" spans="1:36">
      <c r="A418" s="2">
        <v>337</v>
      </c>
      <c r="B418" s="2">
        <v>9963</v>
      </c>
      <c r="C418" s="2" t="s">
        <v>1659</v>
      </c>
      <c r="D418" s="2" t="s">
        <v>1660</v>
      </c>
      <c r="E418" s="4" t="s">
        <v>1303</v>
      </c>
      <c r="F418" s="2" t="s">
        <v>2446</v>
      </c>
      <c r="G418" s="2" t="s">
        <v>2447</v>
      </c>
      <c r="H418" s="2" t="s">
        <v>318</v>
      </c>
      <c r="I418" s="2" t="s">
        <v>753</v>
      </c>
      <c r="J418" s="2" t="s">
        <v>30</v>
      </c>
      <c r="K418" s="2" t="s">
        <v>30</v>
      </c>
      <c r="L418" s="2" t="s">
        <v>324</v>
      </c>
      <c r="M418" s="2" t="s">
        <v>41</v>
      </c>
      <c r="N418" s="2" t="s">
        <v>444</v>
      </c>
      <c r="O418" s="2" t="s">
        <v>134</v>
      </c>
      <c r="P418" s="2" t="s">
        <v>1176</v>
      </c>
      <c r="Q418" s="2" t="s">
        <v>410</v>
      </c>
      <c r="R418" s="2" t="s">
        <v>403</v>
      </c>
      <c r="S418" s="2" t="s">
        <v>34</v>
      </c>
      <c r="T418" s="151">
        <v>1.54</v>
      </c>
      <c r="U418" s="2" t="s">
        <v>2448</v>
      </c>
      <c r="V418" s="162">
        <v>6.0000000000000001E-3</v>
      </c>
      <c r="W418" s="164">
        <v>2.4459999999999999E-2</v>
      </c>
      <c r="X418" s="4" t="s">
        <v>409</v>
      </c>
      <c r="Y418" s="4" t="s">
        <v>134</v>
      </c>
      <c r="Z418" s="151">
        <v>200000</v>
      </c>
      <c r="AA418" s="158">
        <v>1</v>
      </c>
      <c r="AB418" s="175">
        <v>113.98</v>
      </c>
      <c r="AD418" s="151">
        <v>227.96</v>
      </c>
      <c r="AG418" s="2" t="s">
        <v>36</v>
      </c>
      <c r="AH418" s="164">
        <v>2.2499999999999999E-4</v>
      </c>
      <c r="AI418" s="164">
        <v>1.24932804623938E-3</v>
      </c>
      <c r="AJ418" s="164">
        <v>2.1205081771620199E-4</v>
      </c>
    </row>
    <row r="419" spans="1:36">
      <c r="A419" s="2">
        <v>337</v>
      </c>
      <c r="B419" s="2">
        <v>9963</v>
      </c>
      <c r="C419" s="2" t="s">
        <v>1659</v>
      </c>
      <c r="D419" s="2" t="s">
        <v>1660</v>
      </c>
      <c r="E419" s="4" t="s">
        <v>1303</v>
      </c>
      <c r="F419" s="2" t="s">
        <v>2258</v>
      </c>
      <c r="G419" s="2" t="s">
        <v>2259</v>
      </c>
      <c r="H419" s="2" t="s">
        <v>318</v>
      </c>
      <c r="I419" s="2" t="s">
        <v>753</v>
      </c>
      <c r="J419" s="2" t="s">
        <v>30</v>
      </c>
      <c r="K419" s="2" t="s">
        <v>30</v>
      </c>
      <c r="L419" s="2" t="s">
        <v>324</v>
      </c>
      <c r="M419" s="2" t="s">
        <v>31</v>
      </c>
      <c r="N419" s="2" t="s">
        <v>444</v>
      </c>
      <c r="O419" s="2" t="s">
        <v>134</v>
      </c>
      <c r="P419" s="2" t="s">
        <v>1826</v>
      </c>
      <c r="Q419" s="2" t="s">
        <v>410</v>
      </c>
      <c r="R419" s="2" t="s">
        <v>403</v>
      </c>
      <c r="S419" s="2" t="s">
        <v>34</v>
      </c>
      <c r="T419" s="151">
        <v>6.8019999999999996</v>
      </c>
      <c r="U419" s="2" t="s">
        <v>2260</v>
      </c>
      <c r="V419" s="162">
        <v>3.4500000000000003E-2</v>
      </c>
      <c r="W419" s="164">
        <v>3.1910000000000001E-2</v>
      </c>
      <c r="X419" s="4" t="s">
        <v>409</v>
      </c>
      <c r="Y419" s="4" t="s">
        <v>134</v>
      </c>
      <c r="Z419" s="151">
        <v>2000000</v>
      </c>
      <c r="AA419" s="158">
        <v>1</v>
      </c>
      <c r="AB419" s="175">
        <v>102.77</v>
      </c>
      <c r="AD419" s="151">
        <v>2055.4</v>
      </c>
      <c r="AG419" s="2" t="s">
        <v>36</v>
      </c>
      <c r="AH419" s="164">
        <v>2.1740000000000002E-3</v>
      </c>
      <c r="AI419" s="164">
        <v>1.1264558985087001E-2</v>
      </c>
      <c r="AJ419" s="164">
        <v>1.91195495145588E-3</v>
      </c>
    </row>
    <row r="420" spans="1:36">
      <c r="A420" s="2">
        <v>337</v>
      </c>
      <c r="B420" s="2">
        <v>9963</v>
      </c>
      <c r="C420" s="2" t="s">
        <v>1659</v>
      </c>
      <c r="D420" s="2" t="s">
        <v>1660</v>
      </c>
      <c r="E420" s="4" t="s">
        <v>1303</v>
      </c>
      <c r="F420" s="2" t="s">
        <v>2449</v>
      </c>
      <c r="G420" s="2" t="s">
        <v>2450</v>
      </c>
      <c r="H420" s="2" t="s">
        <v>318</v>
      </c>
      <c r="I420" s="2" t="s">
        <v>753</v>
      </c>
      <c r="J420" s="2" t="s">
        <v>30</v>
      </c>
      <c r="K420" s="2" t="s">
        <v>30</v>
      </c>
      <c r="L420" s="2" t="s">
        <v>324</v>
      </c>
      <c r="M420" s="2" t="s">
        <v>41</v>
      </c>
      <c r="N420" s="2" t="s">
        <v>444</v>
      </c>
      <c r="O420" s="2" t="s">
        <v>134</v>
      </c>
      <c r="P420" s="2" t="s">
        <v>1826</v>
      </c>
      <c r="Q420" s="2" t="s">
        <v>410</v>
      </c>
      <c r="R420" s="2" t="s">
        <v>403</v>
      </c>
      <c r="S420" s="2" t="s">
        <v>34</v>
      </c>
      <c r="T420" s="151">
        <v>2.9249999999999998</v>
      </c>
      <c r="U420" s="2" t="s">
        <v>2451</v>
      </c>
      <c r="V420" s="162">
        <v>8.3999999999999995E-3</v>
      </c>
      <c r="W420" s="164">
        <v>3.0499999999999999E-2</v>
      </c>
      <c r="X420" s="4" t="s">
        <v>409</v>
      </c>
      <c r="Y420" s="4" t="s">
        <v>134</v>
      </c>
      <c r="Z420" s="151">
        <v>2100000</v>
      </c>
      <c r="AA420" s="158">
        <v>1</v>
      </c>
      <c r="AB420" s="175">
        <v>105.44</v>
      </c>
      <c r="AD420" s="151">
        <v>2214.2399999999998</v>
      </c>
      <c r="AG420" s="2" t="s">
        <v>36</v>
      </c>
      <c r="AH420" s="164">
        <v>5.2810000000000001E-3</v>
      </c>
      <c r="AI420" s="164">
        <v>1.2135076913077201E-2</v>
      </c>
      <c r="AJ420" s="164">
        <v>2.0597096096680199E-3</v>
      </c>
    </row>
    <row r="421" spans="1:36">
      <c r="A421" s="2">
        <v>337</v>
      </c>
      <c r="B421" s="2">
        <v>9963</v>
      </c>
      <c r="C421" s="2" t="s">
        <v>1667</v>
      </c>
      <c r="D421" s="2" t="s">
        <v>1668</v>
      </c>
      <c r="E421" s="4" t="s">
        <v>1303</v>
      </c>
      <c r="F421" s="2" t="s">
        <v>2261</v>
      </c>
      <c r="G421" s="2" t="s">
        <v>2262</v>
      </c>
      <c r="H421" s="2" t="s">
        <v>318</v>
      </c>
      <c r="I421" s="2" t="s">
        <v>965</v>
      </c>
      <c r="J421" s="2" t="s">
        <v>30</v>
      </c>
      <c r="K421" s="2" t="s">
        <v>30</v>
      </c>
      <c r="L421" s="2" t="s">
        <v>324</v>
      </c>
      <c r="M421" s="2" t="s">
        <v>41</v>
      </c>
      <c r="N421" s="2" t="s">
        <v>473</v>
      </c>
      <c r="O421" s="2" t="s">
        <v>134</v>
      </c>
      <c r="P421" s="2" t="s">
        <v>1826</v>
      </c>
      <c r="Q421" s="2" t="s">
        <v>410</v>
      </c>
      <c r="R421" s="2" t="s">
        <v>403</v>
      </c>
      <c r="S421" s="2" t="s">
        <v>34</v>
      </c>
      <c r="T421" s="151">
        <v>1.1419999999999999</v>
      </c>
      <c r="U421" s="2" t="s">
        <v>2263</v>
      </c>
      <c r="V421" s="162">
        <v>2.29E-2</v>
      </c>
      <c r="W421" s="164">
        <v>4.8680000000000001E-2</v>
      </c>
      <c r="X421" s="4" t="s">
        <v>409</v>
      </c>
      <c r="Y421" s="4" t="s">
        <v>134</v>
      </c>
      <c r="Z421" s="151">
        <v>966346.15</v>
      </c>
      <c r="AA421" s="158">
        <v>1</v>
      </c>
      <c r="AB421" s="175">
        <v>97.94</v>
      </c>
      <c r="AD421" s="151">
        <v>946.43899999999996</v>
      </c>
      <c r="AG421" s="2" t="s">
        <v>36</v>
      </c>
      <c r="AH421" s="164">
        <v>2.9169999999999999E-3</v>
      </c>
      <c r="AI421" s="164">
        <v>5.1869332804461198E-3</v>
      </c>
      <c r="AJ421" s="164">
        <v>8.8038801887845605E-4</v>
      </c>
    </row>
    <row r="422" spans="1:36">
      <c r="A422" s="2">
        <v>337</v>
      </c>
      <c r="B422" s="2">
        <v>9963</v>
      </c>
      <c r="C422" s="2" t="s">
        <v>2264</v>
      </c>
      <c r="D422" s="2" t="s">
        <v>2265</v>
      </c>
      <c r="E422" s="4" t="s">
        <v>1303</v>
      </c>
      <c r="F422" s="2" t="s">
        <v>2266</v>
      </c>
      <c r="G422" s="2" t="s">
        <v>2267</v>
      </c>
      <c r="H422" s="2" t="s">
        <v>318</v>
      </c>
      <c r="I422" s="2" t="s">
        <v>753</v>
      </c>
      <c r="J422" s="2" t="s">
        <v>30</v>
      </c>
      <c r="K422" s="2" t="s">
        <v>30</v>
      </c>
      <c r="L422" s="2" t="s">
        <v>324</v>
      </c>
      <c r="M422" s="2" t="s">
        <v>41</v>
      </c>
      <c r="N422" s="2" t="s">
        <v>441</v>
      </c>
      <c r="O422" s="2" t="s">
        <v>134</v>
      </c>
      <c r="P422" s="2" t="s">
        <v>1826</v>
      </c>
      <c r="Q422" s="2" t="s">
        <v>410</v>
      </c>
      <c r="R422" s="2" t="s">
        <v>403</v>
      </c>
      <c r="S422" s="2" t="s">
        <v>34</v>
      </c>
      <c r="T422" s="151">
        <v>6.3789999999999996</v>
      </c>
      <c r="U422" s="2" t="s">
        <v>2268</v>
      </c>
      <c r="V422" s="162">
        <v>2.0899999999999998E-2</v>
      </c>
      <c r="W422" s="164">
        <v>3.2320000000000002E-2</v>
      </c>
      <c r="X422" s="4" t="s">
        <v>409</v>
      </c>
      <c r="Y422" s="4" t="s">
        <v>134</v>
      </c>
      <c r="Z422" s="151">
        <v>4100000</v>
      </c>
      <c r="AA422" s="158">
        <v>1</v>
      </c>
      <c r="AB422" s="175">
        <v>106.44</v>
      </c>
      <c r="AD422" s="151">
        <v>4364.04</v>
      </c>
      <c r="AG422" s="2" t="s">
        <v>36</v>
      </c>
      <c r="AH422" s="164">
        <v>2.6559999999999999E-3</v>
      </c>
      <c r="AI422" s="164">
        <v>2.3916992309661801E-2</v>
      </c>
      <c r="AJ422" s="164">
        <v>4.0594764456317496E-3</v>
      </c>
    </row>
    <row r="423" spans="1:36">
      <c r="A423" s="2">
        <v>337</v>
      </c>
      <c r="B423" s="2">
        <v>9963</v>
      </c>
      <c r="C423" s="2" t="s">
        <v>2269</v>
      </c>
      <c r="D423" s="2" t="s">
        <v>2270</v>
      </c>
      <c r="E423" s="4" t="s">
        <v>310</v>
      </c>
      <c r="F423" s="2" t="s">
        <v>2271</v>
      </c>
      <c r="G423" s="2" t="s">
        <v>2272</v>
      </c>
      <c r="H423" s="2" t="s">
        <v>318</v>
      </c>
      <c r="I423" s="2" t="s">
        <v>965</v>
      </c>
      <c r="J423" s="2" t="s">
        <v>30</v>
      </c>
      <c r="K423" s="2" t="s">
        <v>80</v>
      </c>
      <c r="L423" s="2" t="s">
        <v>324</v>
      </c>
      <c r="M423" s="2" t="s">
        <v>41</v>
      </c>
      <c r="N423" s="2" t="s">
        <v>461</v>
      </c>
      <c r="O423" s="2" t="s">
        <v>134</v>
      </c>
      <c r="P423" s="2" t="s">
        <v>1862</v>
      </c>
      <c r="Q423" s="2" t="s">
        <v>410</v>
      </c>
      <c r="R423" s="2" t="s">
        <v>403</v>
      </c>
      <c r="S423" s="2" t="s">
        <v>34</v>
      </c>
      <c r="T423" s="151">
        <v>0.82699999999999996</v>
      </c>
      <c r="U423" s="2" t="s">
        <v>2158</v>
      </c>
      <c r="V423" s="162">
        <v>4.045E-2</v>
      </c>
      <c r="W423" s="164">
        <v>0.15790000000000001</v>
      </c>
      <c r="X423" s="4" t="s">
        <v>409</v>
      </c>
      <c r="Y423" s="4" t="s">
        <v>134</v>
      </c>
      <c r="Z423" s="151">
        <v>7.0000000000000007E-2</v>
      </c>
      <c r="AA423" s="158">
        <v>1</v>
      </c>
      <c r="AB423" s="175">
        <v>92.45</v>
      </c>
      <c r="AD423" s="151">
        <v>0</v>
      </c>
      <c r="AG423" s="2" t="s">
        <v>36</v>
      </c>
      <c r="AH423" s="164">
        <v>0</v>
      </c>
      <c r="AI423" s="164">
        <v>3.5466864586937002E-10</v>
      </c>
      <c r="AJ423" s="164">
        <v>6.0198581630566797E-11</v>
      </c>
    </row>
    <row r="424" spans="1:36">
      <c r="A424" s="2">
        <v>337</v>
      </c>
      <c r="B424" s="2">
        <v>9963</v>
      </c>
      <c r="C424" s="2" t="s">
        <v>2269</v>
      </c>
      <c r="D424" s="2" t="s">
        <v>2270</v>
      </c>
      <c r="E424" s="4" t="s">
        <v>310</v>
      </c>
      <c r="F424" s="2" t="s">
        <v>2454</v>
      </c>
      <c r="G424" s="2" t="s">
        <v>2455</v>
      </c>
      <c r="H424" s="2" t="s">
        <v>318</v>
      </c>
      <c r="I424" s="2" t="s">
        <v>965</v>
      </c>
      <c r="J424" s="2" t="s">
        <v>30</v>
      </c>
      <c r="K424" s="2" t="s">
        <v>80</v>
      </c>
      <c r="L424" s="2" t="s">
        <v>324</v>
      </c>
      <c r="M424" s="2" t="s">
        <v>41</v>
      </c>
      <c r="N424" s="2" t="s">
        <v>461</v>
      </c>
      <c r="O424" s="2" t="s">
        <v>134</v>
      </c>
      <c r="P424" s="2" t="s">
        <v>1826</v>
      </c>
      <c r="Q424" s="2" t="s">
        <v>410</v>
      </c>
      <c r="R424" s="2" t="s">
        <v>403</v>
      </c>
      <c r="S424" s="2" t="s">
        <v>34</v>
      </c>
      <c r="T424" s="151">
        <v>1.1839999999999999</v>
      </c>
      <c r="U424" s="2" t="s">
        <v>1992</v>
      </c>
      <c r="V424" s="162">
        <v>0.09</v>
      </c>
      <c r="W424" s="164">
        <v>7.6689999999999994E-2</v>
      </c>
      <c r="X424" s="4" t="s">
        <v>409</v>
      </c>
      <c r="Y424" s="4" t="s">
        <v>134</v>
      </c>
      <c r="Z424" s="151">
        <v>0.01</v>
      </c>
      <c r="AA424" s="158">
        <v>1</v>
      </c>
      <c r="AB424" s="175">
        <v>103.98</v>
      </c>
      <c r="AD424" s="151">
        <v>0</v>
      </c>
      <c r="AG424" s="2" t="s">
        <v>36</v>
      </c>
      <c r="AH424" s="164">
        <v>0</v>
      </c>
      <c r="AI424" s="164">
        <v>5.6985931851189192E-11</v>
      </c>
      <c r="AJ424" s="164">
        <v>9.6723302448371102E-12</v>
      </c>
    </row>
    <row r="425" spans="1:36">
      <c r="A425" s="2">
        <v>337</v>
      </c>
      <c r="B425" s="2">
        <v>9963</v>
      </c>
      <c r="C425" s="2" t="s">
        <v>2273</v>
      </c>
      <c r="D425" s="2" t="s">
        <v>2274</v>
      </c>
      <c r="E425" s="4" t="s">
        <v>1303</v>
      </c>
      <c r="F425" s="2" t="s">
        <v>2275</v>
      </c>
      <c r="G425" s="2" t="s">
        <v>2276</v>
      </c>
      <c r="H425" s="2" t="s">
        <v>318</v>
      </c>
      <c r="I425" s="2" t="s">
        <v>965</v>
      </c>
      <c r="J425" s="2" t="s">
        <v>30</v>
      </c>
      <c r="K425" s="2" t="s">
        <v>30</v>
      </c>
      <c r="L425" s="2" t="s">
        <v>324</v>
      </c>
      <c r="M425" s="209" t="s">
        <v>41</v>
      </c>
      <c r="N425" s="2" t="s">
        <v>461</v>
      </c>
      <c r="O425" s="2" t="s">
        <v>134</v>
      </c>
      <c r="P425" s="2" t="s">
        <v>1814</v>
      </c>
      <c r="Q425" s="2" t="s">
        <v>412</v>
      </c>
      <c r="R425" s="2" t="s">
        <v>403</v>
      </c>
      <c r="S425" s="2" t="s">
        <v>34</v>
      </c>
      <c r="T425" s="151">
        <v>5.8659999999999997</v>
      </c>
      <c r="U425" s="2" t="s">
        <v>2277</v>
      </c>
      <c r="V425" s="162">
        <v>5.5899999999999998E-2</v>
      </c>
      <c r="W425" s="164">
        <v>5.8259999999999999E-2</v>
      </c>
      <c r="X425" s="4" t="s">
        <v>409</v>
      </c>
      <c r="Y425" s="4" t="s">
        <v>134</v>
      </c>
      <c r="Z425" s="151">
        <v>1304000</v>
      </c>
      <c r="AA425" s="158">
        <v>1</v>
      </c>
      <c r="AB425" s="175">
        <v>99.28</v>
      </c>
      <c r="AD425" s="151">
        <v>1294.6110000000001</v>
      </c>
      <c r="AG425" s="2" t="s">
        <v>36</v>
      </c>
      <c r="AH425" s="164">
        <v>5.8300000000000001E-3</v>
      </c>
      <c r="AI425" s="164">
        <v>7.0950784397947999E-3</v>
      </c>
      <c r="AJ425" s="164">
        <v>1.2042611141628099E-3</v>
      </c>
    </row>
    <row r="426" spans="1:36">
      <c r="A426" s="2">
        <v>337</v>
      </c>
      <c r="B426" s="2">
        <v>9963</v>
      </c>
      <c r="C426" s="2" t="s">
        <v>1675</v>
      </c>
      <c r="D426" s="2" t="s">
        <v>1676</v>
      </c>
      <c r="E426" s="4" t="s">
        <v>1303</v>
      </c>
      <c r="F426" s="2" t="s">
        <v>2280</v>
      </c>
      <c r="G426" s="2" t="s">
        <v>2281</v>
      </c>
      <c r="H426" s="2" t="s">
        <v>318</v>
      </c>
      <c r="I426" s="2" t="s">
        <v>753</v>
      </c>
      <c r="J426" s="2" t="s">
        <v>30</v>
      </c>
      <c r="K426" s="2" t="s">
        <v>30</v>
      </c>
      <c r="L426" s="2" t="s">
        <v>324</v>
      </c>
      <c r="M426" s="2" t="s">
        <v>41</v>
      </c>
      <c r="N426" s="2" t="s">
        <v>457</v>
      </c>
      <c r="O426" s="2" t="s">
        <v>134</v>
      </c>
      <c r="P426" s="2" t="s">
        <v>1814</v>
      </c>
      <c r="Q426" s="2" t="s">
        <v>412</v>
      </c>
      <c r="R426" s="2" t="s">
        <v>403</v>
      </c>
      <c r="S426" s="2" t="s">
        <v>34</v>
      </c>
      <c r="T426" s="151">
        <v>3.323</v>
      </c>
      <c r="U426" s="2" t="s">
        <v>2282</v>
      </c>
      <c r="V426" s="162">
        <v>3.2500000000000001E-2</v>
      </c>
      <c r="W426" s="164">
        <v>3.288E-2</v>
      </c>
      <c r="X426" s="4" t="s">
        <v>409</v>
      </c>
      <c r="Y426" s="4" t="s">
        <v>134</v>
      </c>
      <c r="Z426" s="151">
        <v>684578.49</v>
      </c>
      <c r="AA426" s="158">
        <v>1</v>
      </c>
      <c r="AB426" s="175">
        <v>109.85</v>
      </c>
      <c r="AD426" s="151">
        <v>752.00900000000001</v>
      </c>
      <c r="AG426" s="2" t="s">
        <v>36</v>
      </c>
      <c r="AH426" s="164">
        <v>1.73E-3</v>
      </c>
      <c r="AI426" s="164">
        <v>4.1213656934945301E-3</v>
      </c>
      <c r="AJ426" s="164">
        <v>6.9952721228317197E-4</v>
      </c>
    </row>
    <row r="427" spans="1:36">
      <c r="A427" s="2">
        <v>337</v>
      </c>
      <c r="B427" s="2">
        <v>9963</v>
      </c>
      <c r="C427" s="2" t="s">
        <v>1683</v>
      </c>
      <c r="D427" s="2" t="s">
        <v>1684</v>
      </c>
      <c r="E427" s="4" t="s">
        <v>1303</v>
      </c>
      <c r="F427" s="2" t="s">
        <v>2495</v>
      </c>
      <c r="G427" t="s">
        <v>2496</v>
      </c>
      <c r="H427" s="2" t="s">
        <v>318</v>
      </c>
      <c r="I427" s="2" t="s">
        <v>965</v>
      </c>
      <c r="J427" s="2" t="s">
        <v>30</v>
      </c>
      <c r="K427" s="2" t="s">
        <v>30</v>
      </c>
      <c r="L427" s="2" t="s">
        <v>324</v>
      </c>
      <c r="M427" s="2" t="s">
        <v>41</v>
      </c>
      <c r="N427" s="2" t="s">
        <v>458</v>
      </c>
      <c r="O427" s="2" t="s">
        <v>134</v>
      </c>
      <c r="P427" s="2" t="s">
        <v>1826</v>
      </c>
      <c r="Q427" s="2" t="s">
        <v>410</v>
      </c>
      <c r="R427" s="2" t="s">
        <v>403</v>
      </c>
      <c r="S427" s="2" t="s">
        <v>34</v>
      </c>
      <c r="T427" s="151">
        <v>1.8080000000000001</v>
      </c>
      <c r="U427" s="2" t="s">
        <v>1831</v>
      </c>
      <c r="V427" s="162">
        <v>2.1499999999999998E-2</v>
      </c>
      <c r="W427" s="164">
        <v>5.1889999999999999E-2</v>
      </c>
      <c r="X427" s="4" t="s">
        <v>409</v>
      </c>
      <c r="Y427" s="4" t="s">
        <v>134</v>
      </c>
      <c r="Z427" s="151">
        <v>1134142.53</v>
      </c>
      <c r="AA427" s="158">
        <v>1</v>
      </c>
      <c r="AB427" s="175">
        <v>94.82</v>
      </c>
      <c r="AC427" s="151">
        <v>87.367000000000004</v>
      </c>
      <c r="AD427" s="151">
        <v>1162.761</v>
      </c>
      <c r="AG427" s="2" t="s">
        <v>36</v>
      </c>
      <c r="AH427" s="164">
        <v>1.493E-3</v>
      </c>
      <c r="AI427" s="164">
        <v>6.37247866682713E-3</v>
      </c>
      <c r="AJ427" s="164">
        <v>1.08161288482019E-3</v>
      </c>
    </row>
    <row r="428" spans="1:36">
      <c r="A428" s="2">
        <v>337</v>
      </c>
      <c r="B428" s="2">
        <v>9963</v>
      </c>
      <c r="C428" s="2" t="s">
        <v>2287</v>
      </c>
      <c r="D428" s="2" t="s">
        <v>2288</v>
      </c>
      <c r="E428" s="4" t="s">
        <v>1303</v>
      </c>
      <c r="F428" s="2" t="s">
        <v>2289</v>
      </c>
      <c r="G428" s="2" t="s">
        <v>2290</v>
      </c>
      <c r="H428" s="2" t="s">
        <v>318</v>
      </c>
      <c r="I428" s="2" t="s">
        <v>965</v>
      </c>
      <c r="J428" s="2" t="s">
        <v>30</v>
      </c>
      <c r="K428" s="2" t="s">
        <v>30</v>
      </c>
      <c r="L428" s="2" t="s">
        <v>324</v>
      </c>
      <c r="M428" s="2" t="s">
        <v>41</v>
      </c>
      <c r="N428" s="2" t="s">
        <v>443</v>
      </c>
      <c r="O428" s="2" t="s">
        <v>134</v>
      </c>
      <c r="P428" s="2" t="s">
        <v>1862</v>
      </c>
      <c r="Q428" s="2" t="s">
        <v>410</v>
      </c>
      <c r="R428" s="2" t="s">
        <v>403</v>
      </c>
      <c r="S428" s="2" t="s">
        <v>34</v>
      </c>
      <c r="T428" s="151">
        <v>2.4260000000000002</v>
      </c>
      <c r="U428" s="2" t="s">
        <v>2180</v>
      </c>
      <c r="V428" s="162">
        <v>5.3400000000000003E-2</v>
      </c>
      <c r="W428" s="164">
        <v>5.7290000000000001E-2</v>
      </c>
      <c r="X428" s="4" t="s">
        <v>409</v>
      </c>
      <c r="Y428" s="4" t="s">
        <v>134</v>
      </c>
      <c r="Z428" s="151">
        <v>2000000</v>
      </c>
      <c r="AA428" s="158">
        <v>1</v>
      </c>
      <c r="AB428" s="175">
        <v>101.03</v>
      </c>
      <c r="AD428" s="151">
        <v>2020.6</v>
      </c>
      <c r="AG428" s="2" t="s">
        <v>36</v>
      </c>
      <c r="AH428" s="164">
        <v>2.8709999999999999E-3</v>
      </c>
      <c r="AI428" s="164">
        <v>1.1073838613051799E-2</v>
      </c>
      <c r="AJ428" s="164">
        <v>1.8795836211500201E-3</v>
      </c>
    </row>
    <row r="429" spans="1:36">
      <c r="A429" s="2">
        <v>337</v>
      </c>
      <c r="B429" s="2">
        <v>9963</v>
      </c>
      <c r="C429" s="2" t="s">
        <v>2291</v>
      </c>
      <c r="D429" s="2" t="s">
        <v>2292</v>
      </c>
      <c r="E429" s="4" t="s">
        <v>1303</v>
      </c>
      <c r="F429" s="2" t="s">
        <v>2296</v>
      </c>
      <c r="G429" s="2" t="s">
        <v>2297</v>
      </c>
      <c r="H429" s="2" t="s">
        <v>318</v>
      </c>
      <c r="I429" s="2" t="s">
        <v>965</v>
      </c>
      <c r="J429" s="2" t="s">
        <v>30</v>
      </c>
      <c r="K429" s="2" t="s">
        <v>30</v>
      </c>
      <c r="L429" s="2" t="s">
        <v>324</v>
      </c>
      <c r="M429" s="2" t="s">
        <v>41</v>
      </c>
      <c r="N429" s="2" t="s">
        <v>443</v>
      </c>
      <c r="O429" s="2" t="s">
        <v>134</v>
      </c>
      <c r="P429" s="2" t="s">
        <v>1909</v>
      </c>
      <c r="Q429" s="2" t="s">
        <v>412</v>
      </c>
      <c r="R429" s="2" t="s">
        <v>403</v>
      </c>
      <c r="S429" s="2" t="s">
        <v>34</v>
      </c>
      <c r="T429" s="151">
        <v>0.28499999999999998</v>
      </c>
      <c r="U429" s="2" t="s">
        <v>2295</v>
      </c>
      <c r="V429" s="162">
        <v>0.06</v>
      </c>
      <c r="W429" s="164">
        <v>6.1990000000000003E-2</v>
      </c>
      <c r="X429" s="4" t="s">
        <v>409</v>
      </c>
      <c r="Y429" s="4" t="s">
        <v>134</v>
      </c>
      <c r="Z429" s="151">
        <v>106354.6</v>
      </c>
      <c r="AA429" s="158">
        <v>1</v>
      </c>
      <c r="AB429" s="175">
        <v>101.25</v>
      </c>
      <c r="AD429" s="151">
        <v>107.684</v>
      </c>
      <c r="AG429" s="2" t="s">
        <v>36</v>
      </c>
      <c r="AH429" s="164">
        <v>4.0899999999999999E-3</v>
      </c>
      <c r="AI429" s="164">
        <v>5.9015915921391097E-4</v>
      </c>
      <c r="AJ429" s="164">
        <v>1.0016883289438099E-4</v>
      </c>
    </row>
    <row r="430" spans="1:36">
      <c r="A430" s="2">
        <v>337</v>
      </c>
      <c r="B430" s="2">
        <v>9963</v>
      </c>
      <c r="C430" s="2" t="s">
        <v>1687</v>
      </c>
      <c r="D430" s="2" t="s">
        <v>1688</v>
      </c>
      <c r="E430" s="4" t="s">
        <v>1303</v>
      </c>
      <c r="F430" s="2" t="s">
        <v>2302</v>
      </c>
      <c r="G430" s="2" t="s">
        <v>2303</v>
      </c>
      <c r="H430" s="2" t="s">
        <v>318</v>
      </c>
      <c r="I430" s="2" t="s">
        <v>753</v>
      </c>
      <c r="J430" s="2" t="s">
        <v>30</v>
      </c>
      <c r="K430" s="2" t="s">
        <v>30</v>
      </c>
      <c r="L430" s="2" t="s">
        <v>324</v>
      </c>
      <c r="M430" s="2" t="s">
        <v>41</v>
      </c>
      <c r="N430" s="2" t="s">
        <v>460</v>
      </c>
      <c r="O430" s="2" t="s">
        <v>134</v>
      </c>
      <c r="P430" s="2" t="s">
        <v>1834</v>
      </c>
      <c r="Q430" s="2" t="s">
        <v>410</v>
      </c>
      <c r="R430" s="2" t="s">
        <v>403</v>
      </c>
      <c r="S430" s="2" t="s">
        <v>34</v>
      </c>
      <c r="T430" s="151">
        <v>6.2430000000000003</v>
      </c>
      <c r="U430" s="2" t="s">
        <v>2304</v>
      </c>
      <c r="V430" s="162">
        <v>2.5000000000000001E-2</v>
      </c>
      <c r="W430" s="164">
        <v>3.1879999999999999E-2</v>
      </c>
      <c r="X430" s="4" t="s">
        <v>409</v>
      </c>
      <c r="Y430" s="4" t="s">
        <v>134</v>
      </c>
      <c r="Z430" s="151">
        <v>2329050</v>
      </c>
      <c r="AA430" s="158">
        <v>1</v>
      </c>
      <c r="AB430" s="175">
        <v>111</v>
      </c>
      <c r="AD430" s="151">
        <v>2585.2449999999999</v>
      </c>
      <c r="AG430" s="2" t="s">
        <v>36</v>
      </c>
      <c r="AH430" s="164">
        <v>2.2190000000000001E-3</v>
      </c>
      <c r="AI430" s="164">
        <v>1.4168361596614099E-2</v>
      </c>
      <c r="AJ430" s="164">
        <v>2.4048228736275302E-3</v>
      </c>
    </row>
    <row r="431" spans="1:36">
      <c r="A431" s="2">
        <v>337</v>
      </c>
      <c r="B431" s="2">
        <v>9963</v>
      </c>
      <c r="C431" s="2" t="s">
        <v>2305</v>
      </c>
      <c r="D431" s="2" t="s">
        <v>2306</v>
      </c>
      <c r="E431" s="4" t="s">
        <v>1303</v>
      </c>
      <c r="F431" s="2" t="s">
        <v>2307</v>
      </c>
      <c r="G431" s="2" t="s">
        <v>2308</v>
      </c>
      <c r="H431" s="2" t="s">
        <v>318</v>
      </c>
      <c r="I431" s="2" t="s">
        <v>965</v>
      </c>
      <c r="J431" s="2" t="s">
        <v>30</v>
      </c>
      <c r="K431" s="2" t="s">
        <v>30</v>
      </c>
      <c r="L431" s="2" t="s">
        <v>324</v>
      </c>
      <c r="M431" s="2" t="s">
        <v>31</v>
      </c>
      <c r="N431" s="2" t="s">
        <v>443</v>
      </c>
      <c r="O431" s="2" t="s">
        <v>134</v>
      </c>
      <c r="P431" s="2" t="s">
        <v>1814</v>
      </c>
      <c r="Q431" s="2" t="s">
        <v>412</v>
      </c>
      <c r="R431" s="2" t="s">
        <v>403</v>
      </c>
      <c r="S431" s="2" t="s">
        <v>34</v>
      </c>
      <c r="T431" s="151">
        <v>3.782</v>
      </c>
      <c r="U431" s="2" t="s">
        <v>102</v>
      </c>
      <c r="V431" s="162">
        <v>5.8200000000000002E-2</v>
      </c>
      <c r="W431" s="164">
        <v>5.3960000000000001E-2</v>
      </c>
      <c r="X431" s="4" t="s">
        <v>409</v>
      </c>
      <c r="Y431" s="4" t="s">
        <v>134</v>
      </c>
      <c r="Z431" s="151">
        <v>1345148</v>
      </c>
      <c r="AA431" s="158">
        <v>1</v>
      </c>
      <c r="AB431" s="175">
        <v>105.12</v>
      </c>
      <c r="AD431" s="151">
        <v>1414.02</v>
      </c>
      <c r="AG431" s="2" t="s">
        <v>36</v>
      </c>
      <c r="AH431" s="164">
        <v>7.6870000000000003E-3</v>
      </c>
      <c r="AI431" s="164">
        <v>7.7494925260012401E-3</v>
      </c>
      <c r="AJ431" s="164">
        <v>1.3153360576276499E-3</v>
      </c>
    </row>
    <row r="432" spans="1:36">
      <c r="A432" s="2">
        <v>337</v>
      </c>
      <c r="B432" s="2">
        <v>9963</v>
      </c>
      <c r="C432" s="2" t="s">
        <v>2456</v>
      </c>
      <c r="D432" s="2" t="s">
        <v>2457</v>
      </c>
      <c r="E432" s="4" t="s">
        <v>1303</v>
      </c>
      <c r="F432" s="2" t="s">
        <v>2458</v>
      </c>
      <c r="G432" s="2" t="s">
        <v>2459</v>
      </c>
      <c r="H432" s="2" t="s">
        <v>318</v>
      </c>
      <c r="I432" s="2" t="s">
        <v>753</v>
      </c>
      <c r="J432" s="2" t="s">
        <v>30</v>
      </c>
      <c r="K432" s="2" t="s">
        <v>30</v>
      </c>
      <c r="L432" s="2" t="s">
        <v>324</v>
      </c>
      <c r="M432" s="2" t="s">
        <v>41</v>
      </c>
      <c r="N432" s="2" t="s">
        <v>460</v>
      </c>
      <c r="O432" s="2" t="s">
        <v>134</v>
      </c>
      <c r="P432" s="2" t="s">
        <v>1830</v>
      </c>
      <c r="Q432" s="2" t="s">
        <v>410</v>
      </c>
      <c r="R432" s="2" t="s">
        <v>403</v>
      </c>
      <c r="S432" s="2" t="s">
        <v>34</v>
      </c>
      <c r="T432" s="151">
        <v>2.6429999999999998</v>
      </c>
      <c r="U432" s="2" t="s">
        <v>2460</v>
      </c>
      <c r="V432" s="162">
        <v>1.0800000000000001E-2</v>
      </c>
      <c r="W432" s="164">
        <v>3.431E-2</v>
      </c>
      <c r="X432" s="4" t="s">
        <v>409</v>
      </c>
      <c r="Y432" s="4" t="s">
        <v>134</v>
      </c>
      <c r="Z432" s="151">
        <v>0.02</v>
      </c>
      <c r="AA432" s="158">
        <v>1</v>
      </c>
      <c r="AB432" s="175">
        <v>108.95</v>
      </c>
      <c r="AD432" s="151">
        <v>0</v>
      </c>
      <c r="AG432" s="2" t="s">
        <v>36</v>
      </c>
      <c r="AH432" s="164">
        <v>0</v>
      </c>
      <c r="AI432" s="164">
        <v>1.1941945134039401E-10</v>
      </c>
      <c r="AJ432" s="164">
        <v>2.0269289866801399E-11</v>
      </c>
    </row>
    <row r="433" spans="1:36">
      <c r="A433" s="2">
        <v>337</v>
      </c>
      <c r="B433" s="2">
        <v>9963</v>
      </c>
      <c r="C433" s="2" t="s">
        <v>2456</v>
      </c>
      <c r="D433" s="2" t="s">
        <v>2457</v>
      </c>
      <c r="E433" s="4" t="s">
        <v>1303</v>
      </c>
      <c r="F433" s="2" t="s">
        <v>2497</v>
      </c>
      <c r="G433" s="2" t="s">
        <v>2498</v>
      </c>
      <c r="H433" s="2" t="s">
        <v>318</v>
      </c>
      <c r="I433" s="2" t="s">
        <v>753</v>
      </c>
      <c r="J433" s="2" t="s">
        <v>30</v>
      </c>
      <c r="K433" s="2" t="s">
        <v>30</v>
      </c>
      <c r="L433" s="2" t="s">
        <v>324</v>
      </c>
      <c r="M433" s="2" t="s">
        <v>41</v>
      </c>
      <c r="N433" s="2" t="s">
        <v>460</v>
      </c>
      <c r="O433" s="2" t="s">
        <v>134</v>
      </c>
      <c r="P433" s="2" t="s">
        <v>2371</v>
      </c>
      <c r="Q433" s="2" t="s">
        <v>410</v>
      </c>
      <c r="R433" s="2" t="s">
        <v>403</v>
      </c>
      <c r="S433" s="2" t="s">
        <v>34</v>
      </c>
      <c r="T433" s="151">
        <v>3.2080000000000002</v>
      </c>
      <c r="U433" s="2" t="s">
        <v>1863</v>
      </c>
      <c r="V433" s="162">
        <v>9.4000000000000004E-3</v>
      </c>
      <c r="W433" s="164">
        <v>4.0689999999999997E-2</v>
      </c>
      <c r="X433" s="4" t="s">
        <v>409</v>
      </c>
      <c r="Y433" s="4" t="s">
        <v>134</v>
      </c>
      <c r="Z433" s="151">
        <v>0.84</v>
      </c>
      <c r="AA433" s="158">
        <v>1</v>
      </c>
      <c r="AB433" s="175">
        <v>102.48</v>
      </c>
      <c r="AD433" s="151">
        <v>1E-3</v>
      </c>
      <c r="AG433" s="2" t="s">
        <v>36</v>
      </c>
      <c r="AH433" s="164">
        <v>0</v>
      </c>
      <c r="AI433" s="164">
        <v>4.71776434769407E-9</v>
      </c>
      <c r="AJ433" s="164">
        <v>8.0075508649005706E-10</v>
      </c>
    </row>
    <row r="434" spans="1:36">
      <c r="A434" s="2">
        <v>337</v>
      </c>
      <c r="B434" s="2">
        <v>9963</v>
      </c>
      <c r="C434" s="2" t="s">
        <v>2309</v>
      </c>
      <c r="D434" s="2" t="s">
        <v>2310</v>
      </c>
      <c r="E434" s="4" t="s">
        <v>1303</v>
      </c>
      <c r="F434" s="2" t="s">
        <v>2311</v>
      </c>
      <c r="G434" s="2" t="s">
        <v>2312</v>
      </c>
      <c r="H434" s="2" t="s">
        <v>318</v>
      </c>
      <c r="I434" s="2" t="s">
        <v>965</v>
      </c>
      <c r="J434" s="2" t="s">
        <v>30</v>
      </c>
      <c r="K434" s="2" t="s">
        <v>30</v>
      </c>
      <c r="L434" s="2" t="s">
        <v>324</v>
      </c>
      <c r="M434" s="2" t="s">
        <v>41</v>
      </c>
      <c r="N434" s="2" t="s">
        <v>439</v>
      </c>
      <c r="O434" s="2" t="s">
        <v>134</v>
      </c>
      <c r="P434" s="2" t="s">
        <v>2313</v>
      </c>
      <c r="Q434" s="2" t="s">
        <v>412</v>
      </c>
      <c r="R434" s="2" t="s">
        <v>403</v>
      </c>
      <c r="S434" s="2" t="s">
        <v>34</v>
      </c>
      <c r="T434" s="151">
        <v>0.49199999999999999</v>
      </c>
      <c r="U434" s="2" t="s">
        <v>2314</v>
      </c>
      <c r="V434" s="162">
        <v>3.15E-2</v>
      </c>
      <c r="W434" s="164">
        <v>8.004E-2</v>
      </c>
      <c r="X434" s="4" t="s">
        <v>409</v>
      </c>
      <c r="Y434" s="4" t="s">
        <v>134</v>
      </c>
      <c r="Z434" s="151">
        <v>684998.53</v>
      </c>
      <c r="AA434" s="158">
        <v>1</v>
      </c>
      <c r="AB434" s="175">
        <v>98.54</v>
      </c>
      <c r="AD434" s="151">
        <v>674.99800000000005</v>
      </c>
      <c r="AG434" s="2" t="s">
        <v>36</v>
      </c>
      <c r="AH434" s="164">
        <v>7.9389999999999999E-3</v>
      </c>
      <c r="AI434" s="164">
        <v>3.6993041418862398E-3</v>
      </c>
      <c r="AJ434" s="164">
        <v>6.2788990500066302E-4</v>
      </c>
    </row>
    <row r="435" spans="1:36">
      <c r="A435" s="2">
        <v>337</v>
      </c>
      <c r="B435" s="2">
        <v>9963</v>
      </c>
      <c r="C435" s="2" t="s">
        <v>2318</v>
      </c>
      <c r="D435" s="2" t="s">
        <v>2319</v>
      </c>
      <c r="E435" s="4" t="s">
        <v>1303</v>
      </c>
      <c r="F435" s="2" t="s">
        <v>2320</v>
      </c>
      <c r="G435" s="2" t="s">
        <v>2321</v>
      </c>
      <c r="H435" s="2" t="s">
        <v>318</v>
      </c>
      <c r="I435" s="2" t="s">
        <v>965</v>
      </c>
      <c r="J435" s="2" t="s">
        <v>30</v>
      </c>
      <c r="K435" s="2" t="s">
        <v>30</v>
      </c>
      <c r="L435" s="2" t="s">
        <v>324</v>
      </c>
      <c r="M435" s="2" t="s">
        <v>41</v>
      </c>
      <c r="N435" s="2" t="s">
        <v>460</v>
      </c>
      <c r="O435" s="2" t="s">
        <v>134</v>
      </c>
      <c r="P435" s="2" t="s">
        <v>1909</v>
      </c>
      <c r="Q435" s="2" t="s">
        <v>412</v>
      </c>
      <c r="R435" s="2" t="s">
        <v>403</v>
      </c>
      <c r="S435" s="2" t="s">
        <v>34</v>
      </c>
      <c r="T435" s="151">
        <v>2.7869999999999999</v>
      </c>
      <c r="U435" s="2" t="s">
        <v>2322</v>
      </c>
      <c r="V435" s="162">
        <v>4.1000000000000002E-2</v>
      </c>
      <c r="W435" s="164">
        <v>5.6250000000000001E-2</v>
      </c>
      <c r="X435" s="4" t="s">
        <v>409</v>
      </c>
      <c r="Y435" s="4" t="s">
        <v>134</v>
      </c>
      <c r="Z435" s="151">
        <v>0.1</v>
      </c>
      <c r="AA435" s="158">
        <v>1</v>
      </c>
      <c r="AB435" s="175">
        <v>97.74</v>
      </c>
      <c r="AD435" s="151">
        <v>0</v>
      </c>
      <c r="AG435" s="2" t="s">
        <v>36</v>
      </c>
      <c r="AH435" s="164">
        <v>0</v>
      </c>
      <c r="AI435" s="164">
        <v>5.3566118283662604E-10</v>
      </c>
      <c r="AJ435" s="164">
        <v>9.0918788048699592E-11</v>
      </c>
    </row>
    <row r="436" spans="1:36">
      <c r="A436" s="2">
        <v>337</v>
      </c>
      <c r="B436" s="2">
        <v>9963</v>
      </c>
      <c r="C436" s="2" t="s">
        <v>2461</v>
      </c>
      <c r="D436" s="2" t="s">
        <v>2462</v>
      </c>
      <c r="E436" s="4" t="s">
        <v>1303</v>
      </c>
      <c r="F436" s="2" t="s">
        <v>2463</v>
      </c>
      <c r="G436" s="2" t="s">
        <v>2464</v>
      </c>
      <c r="H436" s="2" t="s">
        <v>318</v>
      </c>
      <c r="I436" s="2" t="s">
        <v>754</v>
      </c>
      <c r="J436" s="2" t="s">
        <v>30</v>
      </c>
      <c r="K436" s="2" t="s">
        <v>30</v>
      </c>
      <c r="L436" s="2" t="s">
        <v>324</v>
      </c>
      <c r="M436" s="2" t="s">
        <v>41</v>
      </c>
      <c r="N436" s="2" t="s">
        <v>450</v>
      </c>
      <c r="O436" s="2" t="s">
        <v>134</v>
      </c>
      <c r="P436" s="2" t="s">
        <v>2057</v>
      </c>
      <c r="Q436" s="2" t="s">
        <v>412</v>
      </c>
      <c r="R436" s="2" t="s">
        <v>403</v>
      </c>
      <c r="S436" s="2" t="s">
        <v>34</v>
      </c>
      <c r="T436" s="151">
        <v>2.6720000000000002</v>
      </c>
      <c r="U436" s="2" t="s">
        <v>2465</v>
      </c>
      <c r="V436" s="162">
        <v>4.6899999999999997E-2</v>
      </c>
      <c r="W436" s="164">
        <v>6.7659999999999998E-2</v>
      </c>
      <c r="X436" s="4" t="s">
        <v>409</v>
      </c>
      <c r="Y436" s="4" t="s">
        <v>134</v>
      </c>
      <c r="Z436" s="151">
        <v>3120485.44</v>
      </c>
      <c r="AA436" s="158">
        <v>1</v>
      </c>
      <c r="AB436" s="175">
        <v>101</v>
      </c>
      <c r="AD436" s="151">
        <v>3151.69</v>
      </c>
      <c r="AG436" s="2" t="s">
        <v>36</v>
      </c>
      <c r="AH436" s="164">
        <v>2.3089999999999999E-3</v>
      </c>
      <c r="AI436" s="164">
        <v>1.72727455599858E-2</v>
      </c>
      <c r="AJ436" s="164">
        <v>2.9317358489021599E-3</v>
      </c>
    </row>
    <row r="437" spans="1:36">
      <c r="A437" s="2">
        <v>337</v>
      </c>
      <c r="B437" s="2">
        <v>9963</v>
      </c>
      <c r="C437" s="2" t="s">
        <v>2038</v>
      </c>
      <c r="D437" s="2" t="s">
        <v>2039</v>
      </c>
      <c r="E437" s="4" t="s">
        <v>1303</v>
      </c>
      <c r="F437" s="2" t="s">
        <v>2499</v>
      </c>
      <c r="G437" s="2" t="s">
        <v>2500</v>
      </c>
      <c r="H437" s="2" t="s">
        <v>318</v>
      </c>
      <c r="I437" s="2" t="s">
        <v>754</v>
      </c>
      <c r="J437" s="2" t="s">
        <v>79</v>
      </c>
      <c r="K437" s="2" t="s">
        <v>30</v>
      </c>
      <c r="L437" s="2" t="s">
        <v>324</v>
      </c>
      <c r="M437" s="2" t="s">
        <v>164</v>
      </c>
      <c r="N437" s="2" t="s">
        <v>436</v>
      </c>
      <c r="O437" s="2" t="s">
        <v>134</v>
      </c>
      <c r="P437" s="2" t="s">
        <v>2501</v>
      </c>
      <c r="Q437" s="2" t="s">
        <v>429</v>
      </c>
      <c r="R437" s="2" t="s">
        <v>403</v>
      </c>
      <c r="S437" s="2" t="s">
        <v>84</v>
      </c>
      <c r="T437" s="151">
        <v>15.709</v>
      </c>
      <c r="U437" s="2" t="s">
        <v>2502</v>
      </c>
      <c r="V437" s="162">
        <v>8.1000000000000003E-2</v>
      </c>
      <c r="W437" s="164">
        <v>6.3549999999999995E-2</v>
      </c>
      <c r="X437" s="4" t="s">
        <v>409</v>
      </c>
      <c r="Y437" s="4" t="s">
        <v>134</v>
      </c>
      <c r="Z437" s="151">
        <v>700000</v>
      </c>
      <c r="AA437" s="158">
        <v>3.718</v>
      </c>
      <c r="AB437" s="175">
        <v>129.89599999999999</v>
      </c>
      <c r="AD437" s="151">
        <v>3380.6729999999998</v>
      </c>
      <c r="AG437" s="2" t="s">
        <v>36</v>
      </c>
      <c r="AH437" s="164">
        <v>5.5999999999999999E-3</v>
      </c>
      <c r="AI437" s="164">
        <v>1.8527680136275398E-2</v>
      </c>
      <c r="AJ437" s="164">
        <v>3.1447382735924202E-3</v>
      </c>
    </row>
    <row r="438" spans="1:36">
      <c r="A438" s="2">
        <v>337</v>
      </c>
      <c r="B438" s="2">
        <v>9963</v>
      </c>
      <c r="C438" s="2" t="s">
        <v>1474</v>
      </c>
      <c r="D438" s="2" t="s">
        <v>1475</v>
      </c>
      <c r="E438" s="4" t="s">
        <v>311</v>
      </c>
      <c r="F438" s="2" t="s">
        <v>2503</v>
      </c>
      <c r="G438" s="2" t="s">
        <v>2504</v>
      </c>
      <c r="H438" s="2" t="s">
        <v>318</v>
      </c>
      <c r="I438" s="2" t="s">
        <v>754</v>
      </c>
      <c r="J438" s="2" t="s">
        <v>79</v>
      </c>
      <c r="K438" s="2" t="s">
        <v>295</v>
      </c>
      <c r="L438" s="2" t="s">
        <v>324</v>
      </c>
      <c r="M438" s="2" t="s">
        <v>164</v>
      </c>
      <c r="N438" s="2" t="s">
        <v>483</v>
      </c>
      <c r="O438" s="2" t="s">
        <v>134</v>
      </c>
      <c r="P438" s="2" t="s">
        <v>2505</v>
      </c>
      <c r="Q438" s="2" t="s">
        <v>429</v>
      </c>
      <c r="R438" s="2" t="s">
        <v>403</v>
      </c>
      <c r="S438" s="2" t="s">
        <v>84</v>
      </c>
      <c r="T438" s="151">
        <v>1.921</v>
      </c>
      <c r="U438" s="2" t="s">
        <v>2506</v>
      </c>
      <c r="V438" s="162">
        <v>6.5000000000000002E-2</v>
      </c>
      <c r="W438" s="164">
        <v>7.5539999999999996E-2</v>
      </c>
      <c r="X438" s="4" t="s">
        <v>409</v>
      </c>
      <c r="Y438" s="4" t="s">
        <v>134</v>
      </c>
      <c r="Z438" s="151">
        <v>800000</v>
      </c>
      <c r="AA438" s="158">
        <v>3.718</v>
      </c>
      <c r="AB438" s="175">
        <v>101.254</v>
      </c>
      <c r="AD438" s="151">
        <v>3011.7109999999998</v>
      </c>
      <c r="AG438" s="2" t="s">
        <v>36</v>
      </c>
      <c r="AH438" s="164">
        <v>1.7780000000000001E-3</v>
      </c>
      <c r="AI438" s="164">
        <v>1.6505592479174401E-2</v>
      </c>
      <c r="AJ438" s="164">
        <v>2.8015255021567702E-3</v>
      </c>
    </row>
    <row r="439" spans="1:36">
      <c r="A439" s="2">
        <v>337</v>
      </c>
      <c r="B439" s="2">
        <v>9963</v>
      </c>
      <c r="C439" s="2" t="s">
        <v>1474</v>
      </c>
      <c r="D439" s="2" t="s">
        <v>1475</v>
      </c>
      <c r="E439" s="4" t="s">
        <v>311</v>
      </c>
      <c r="F439" s="2" t="s">
        <v>2332</v>
      </c>
      <c r="G439" s="2" t="s">
        <v>2333</v>
      </c>
      <c r="H439" s="2" t="s">
        <v>318</v>
      </c>
      <c r="I439" s="2" t="s">
        <v>754</v>
      </c>
      <c r="J439" s="2" t="s">
        <v>79</v>
      </c>
      <c r="K439" s="2" t="s">
        <v>295</v>
      </c>
      <c r="L439" s="2" t="s">
        <v>324</v>
      </c>
      <c r="M439" s="2" t="s">
        <v>164</v>
      </c>
      <c r="N439" s="2" t="s">
        <v>450</v>
      </c>
      <c r="O439" s="2" t="s">
        <v>134</v>
      </c>
      <c r="P439" s="2" t="s">
        <v>1808</v>
      </c>
      <c r="Q439" s="2" t="s">
        <v>429</v>
      </c>
      <c r="R439" s="2" t="s">
        <v>403</v>
      </c>
      <c r="S439" s="2" t="s">
        <v>84</v>
      </c>
      <c r="T439" s="151">
        <v>2.81</v>
      </c>
      <c r="U439" s="2" t="s">
        <v>2334</v>
      </c>
      <c r="V439" s="162">
        <v>5.3749999999999999E-2</v>
      </c>
      <c r="W439" s="164">
        <v>7.1599999999999997E-2</v>
      </c>
      <c r="X439" s="4" t="s">
        <v>409</v>
      </c>
      <c r="Y439" s="4" t="s">
        <v>134</v>
      </c>
      <c r="Z439" s="151">
        <v>400000</v>
      </c>
      <c r="AA439" s="158">
        <v>3.718</v>
      </c>
      <c r="AB439" s="175">
        <v>95.662999999999997</v>
      </c>
      <c r="AD439" s="151">
        <v>1422.6990000000001</v>
      </c>
      <c r="AG439" s="2" t="s">
        <v>36</v>
      </c>
      <c r="AH439" s="164">
        <v>6.4000000000000005E-4</v>
      </c>
      <c r="AI439" s="164">
        <v>7.7970579193398504E-3</v>
      </c>
      <c r="AJ439" s="164">
        <v>1.32340942201165E-3</v>
      </c>
    </row>
    <row r="440" spans="1:36">
      <c r="A440" s="2">
        <v>337</v>
      </c>
      <c r="B440" s="2">
        <v>9963</v>
      </c>
      <c r="C440" s="2" t="s">
        <v>1474</v>
      </c>
      <c r="D440" s="2" t="s">
        <v>1475</v>
      </c>
      <c r="E440" s="4" t="s">
        <v>311</v>
      </c>
      <c r="F440" s="2" t="s">
        <v>2335</v>
      </c>
      <c r="G440" s="2" t="s">
        <v>2336</v>
      </c>
      <c r="H440" s="2" t="s">
        <v>318</v>
      </c>
      <c r="I440" s="2" t="s">
        <v>754</v>
      </c>
      <c r="J440" s="2" t="s">
        <v>79</v>
      </c>
      <c r="K440" s="2" t="s">
        <v>295</v>
      </c>
      <c r="L440" s="2" t="s">
        <v>324</v>
      </c>
      <c r="M440" s="2" t="s">
        <v>164</v>
      </c>
      <c r="N440" s="2" t="s">
        <v>450</v>
      </c>
      <c r="O440" s="2" t="s">
        <v>134</v>
      </c>
      <c r="P440" s="2" t="s">
        <v>1808</v>
      </c>
      <c r="Q440" s="2" t="s">
        <v>429</v>
      </c>
      <c r="R440" s="2" t="s">
        <v>403</v>
      </c>
      <c r="S440" s="2" t="s">
        <v>84</v>
      </c>
      <c r="T440" s="151">
        <v>5.0999999999999996</v>
      </c>
      <c r="U440" s="2" t="s">
        <v>2337</v>
      </c>
      <c r="V440" s="162">
        <v>5.8749999999999997E-2</v>
      </c>
      <c r="W440" s="164">
        <v>7.5800000000000006E-2</v>
      </c>
      <c r="X440" s="4" t="s">
        <v>409</v>
      </c>
      <c r="Y440" s="4" t="s">
        <v>134</v>
      </c>
      <c r="Z440" s="151">
        <v>656000</v>
      </c>
      <c r="AA440" s="158">
        <v>3.718</v>
      </c>
      <c r="AB440" s="175">
        <v>92.078999999999994</v>
      </c>
      <c r="AD440" s="151">
        <v>2245.8209999999999</v>
      </c>
      <c r="AG440" s="2" t="s">
        <v>36</v>
      </c>
      <c r="AH440" s="164">
        <v>1.0499999999999999E-3</v>
      </c>
      <c r="AI440" s="164">
        <v>1.23081583544564E-2</v>
      </c>
      <c r="AJ440" s="164">
        <v>2.0890870508344299E-3</v>
      </c>
    </row>
    <row r="441" spans="1:36">
      <c r="A441" s="2">
        <v>337</v>
      </c>
      <c r="B441" s="2">
        <v>9963</v>
      </c>
      <c r="C441" s="2" t="s">
        <v>1174</v>
      </c>
      <c r="D441" s="2" t="s">
        <v>1589</v>
      </c>
      <c r="E441" s="4" t="s">
        <v>1303</v>
      </c>
      <c r="F441" s="2" t="s">
        <v>2338</v>
      </c>
      <c r="G441" s="2" t="s">
        <v>2339</v>
      </c>
      <c r="H441" s="2" t="s">
        <v>318</v>
      </c>
      <c r="I441" s="2" t="s">
        <v>754</v>
      </c>
      <c r="J441" s="2" t="s">
        <v>79</v>
      </c>
      <c r="K441" s="2" t="s">
        <v>30</v>
      </c>
      <c r="L441" s="2" t="s">
        <v>324</v>
      </c>
      <c r="M441" s="2" t="s">
        <v>164</v>
      </c>
      <c r="N441" s="2" t="s">
        <v>533</v>
      </c>
      <c r="O441" s="2" t="s">
        <v>134</v>
      </c>
      <c r="P441" s="2" t="s">
        <v>2340</v>
      </c>
      <c r="Q441" s="2" t="s">
        <v>429</v>
      </c>
      <c r="R441" s="2" t="s">
        <v>403</v>
      </c>
      <c r="S441" s="2" t="s">
        <v>84</v>
      </c>
      <c r="T441" s="151">
        <v>5.09</v>
      </c>
      <c r="U441" s="2" t="s">
        <v>2341</v>
      </c>
      <c r="V441" s="162">
        <v>3.2750000000000001E-2</v>
      </c>
      <c r="W441" s="164">
        <v>5.7320000000000003E-2</v>
      </c>
      <c r="X441" s="4" t="s">
        <v>409</v>
      </c>
      <c r="Y441" s="4" t="s">
        <v>134</v>
      </c>
      <c r="Z441" s="151">
        <v>243000</v>
      </c>
      <c r="AA441" s="158">
        <v>3.718</v>
      </c>
      <c r="AB441" s="175">
        <v>98.22</v>
      </c>
      <c r="AD441" s="151">
        <v>887.39300000000003</v>
      </c>
      <c r="AG441" s="2" t="s">
        <v>36</v>
      </c>
      <c r="AH441" s="164">
        <v>3.2400000000000001E-4</v>
      </c>
      <c r="AI441" s="164">
        <v>4.8633314868155404E-3</v>
      </c>
      <c r="AJ441" s="164">
        <v>8.2546247297372096E-4</v>
      </c>
    </row>
    <row r="442" spans="1:36">
      <c r="A442" s="2">
        <v>337</v>
      </c>
      <c r="B442" s="2">
        <v>9963</v>
      </c>
      <c r="C442" s="2" t="s">
        <v>1804</v>
      </c>
      <c r="D442" s="2" t="s">
        <v>1805</v>
      </c>
      <c r="E442" s="4" t="s">
        <v>1303</v>
      </c>
      <c r="F442" s="2" t="s">
        <v>2342</v>
      </c>
      <c r="G442" s="2" t="s">
        <v>2343</v>
      </c>
      <c r="H442" s="2" t="s">
        <v>318</v>
      </c>
      <c r="I442" s="2" t="s">
        <v>754</v>
      </c>
      <c r="J442" s="2" t="s">
        <v>79</v>
      </c>
      <c r="K442" s="2" t="s">
        <v>30</v>
      </c>
      <c r="L442" s="2" t="s">
        <v>324</v>
      </c>
      <c r="M442" s="2" t="s">
        <v>164</v>
      </c>
      <c r="N442" s="2" t="s">
        <v>483</v>
      </c>
      <c r="O442" s="2" t="s">
        <v>134</v>
      </c>
      <c r="P442" s="2" t="s">
        <v>1808</v>
      </c>
      <c r="Q442" s="2" t="s">
        <v>429</v>
      </c>
      <c r="R442" s="2" t="s">
        <v>403</v>
      </c>
      <c r="S442" s="2" t="s">
        <v>84</v>
      </c>
      <c r="T442" s="151">
        <v>2.085</v>
      </c>
      <c r="U442" s="2" t="s">
        <v>1910</v>
      </c>
      <c r="V442" s="162">
        <v>6.5000000000000002E-2</v>
      </c>
      <c r="W442" s="164">
        <v>7.2739999999999999E-2</v>
      </c>
      <c r="X442" s="4" t="s">
        <v>409</v>
      </c>
      <c r="Y442" s="4" t="s">
        <v>134</v>
      </c>
      <c r="Z442" s="151">
        <v>162000</v>
      </c>
      <c r="AA442" s="158">
        <v>3.718</v>
      </c>
      <c r="AB442" s="175">
        <v>100.452</v>
      </c>
      <c r="AD442" s="151">
        <v>605.03899999999999</v>
      </c>
      <c r="AG442" s="2" t="s">
        <v>36</v>
      </c>
      <c r="AH442" s="164">
        <v>2.7E-4</v>
      </c>
      <c r="AI442" s="164">
        <v>3.3158987542383101E-3</v>
      </c>
      <c r="AJ442" s="164">
        <v>5.6281378171001302E-4</v>
      </c>
    </row>
    <row r="443" spans="1:36">
      <c r="A443" s="2">
        <v>337</v>
      </c>
      <c r="B443" s="2">
        <v>9963</v>
      </c>
      <c r="C443" s="2" t="s">
        <v>1596</v>
      </c>
      <c r="D443" s="2" t="s">
        <v>1597</v>
      </c>
      <c r="E443" s="4" t="s">
        <v>1303</v>
      </c>
      <c r="F443" s="2" t="s">
        <v>2344</v>
      </c>
      <c r="G443" s="2" t="s">
        <v>2345</v>
      </c>
      <c r="H443" s="2" t="s">
        <v>318</v>
      </c>
      <c r="I443" s="2" t="s">
        <v>754</v>
      </c>
      <c r="J443" s="2" t="s">
        <v>79</v>
      </c>
      <c r="K443" s="2" t="s">
        <v>30</v>
      </c>
      <c r="L443" s="2" t="s">
        <v>324</v>
      </c>
      <c r="M443" s="2" t="s">
        <v>164</v>
      </c>
      <c r="N443" s="2" t="s">
        <v>533</v>
      </c>
      <c r="O443" s="2" t="s">
        <v>134</v>
      </c>
      <c r="P443" s="2" t="s">
        <v>2340</v>
      </c>
      <c r="Q443" s="2" t="s">
        <v>429</v>
      </c>
      <c r="R443" s="2" t="s">
        <v>403</v>
      </c>
      <c r="S443" s="2" t="s">
        <v>84</v>
      </c>
      <c r="T443" s="151">
        <v>5.1630000000000003</v>
      </c>
      <c r="U443" s="2" t="s">
        <v>2346</v>
      </c>
      <c r="V443" s="162">
        <v>3.0769999999999999E-2</v>
      </c>
      <c r="W443" s="164">
        <v>6.2829999999999997E-2</v>
      </c>
      <c r="X443" s="4" t="s">
        <v>409</v>
      </c>
      <c r="Y443" s="4" t="s">
        <v>134</v>
      </c>
      <c r="Z443" s="151">
        <v>243000</v>
      </c>
      <c r="AA443" s="158">
        <v>3.718</v>
      </c>
      <c r="AB443" s="175">
        <v>98.525999999999996</v>
      </c>
      <c r="AD443" s="151">
        <v>890.154</v>
      </c>
      <c r="AG443" s="2" t="s">
        <v>36</v>
      </c>
      <c r="AH443" s="164">
        <v>4.0499999999999998E-4</v>
      </c>
      <c r="AI443" s="164">
        <v>4.8784631564266602E-3</v>
      </c>
      <c r="AJ443" s="164">
        <v>8.2803079994285197E-4</v>
      </c>
    </row>
    <row r="444" spans="1:36">
      <c r="A444" s="2">
        <v>337</v>
      </c>
      <c r="B444" s="2">
        <v>9963</v>
      </c>
      <c r="C444" s="2" t="s">
        <v>1569</v>
      </c>
      <c r="D444" s="2" t="s">
        <v>1570</v>
      </c>
      <c r="E444" s="4" t="s">
        <v>1303</v>
      </c>
      <c r="F444" s="2" t="s">
        <v>2347</v>
      </c>
      <c r="G444" s="2" t="s">
        <v>2348</v>
      </c>
      <c r="H444" s="2" t="s">
        <v>318</v>
      </c>
      <c r="I444" s="2" t="s">
        <v>754</v>
      </c>
      <c r="J444" s="2" t="s">
        <v>79</v>
      </c>
      <c r="K444" s="2" t="s">
        <v>80</v>
      </c>
      <c r="L444" s="2" t="s">
        <v>324</v>
      </c>
      <c r="M444" s="2" t="s">
        <v>164</v>
      </c>
      <c r="N444" s="2" t="s">
        <v>463</v>
      </c>
      <c r="O444" s="2" t="s">
        <v>134</v>
      </c>
      <c r="P444" s="2" t="s">
        <v>1808</v>
      </c>
      <c r="Q444" s="2" t="s">
        <v>429</v>
      </c>
      <c r="R444" s="2" t="s">
        <v>403</v>
      </c>
      <c r="S444" s="2" t="s">
        <v>1177</v>
      </c>
      <c r="T444" s="151">
        <v>4.3479999999999999</v>
      </c>
      <c r="U444" s="2" t="s">
        <v>2349</v>
      </c>
      <c r="V444" s="162">
        <v>4.3749999999999997E-2</v>
      </c>
      <c r="W444" s="164">
        <v>4.4729999999999999E-2</v>
      </c>
      <c r="X444" s="4" t="s">
        <v>409</v>
      </c>
      <c r="Y444" s="4" t="s">
        <v>134</v>
      </c>
      <c r="Z444" s="151">
        <v>709000</v>
      </c>
      <c r="AA444" s="158">
        <v>4.0218999999999996</v>
      </c>
      <c r="AB444" s="175">
        <v>101.59099999999999</v>
      </c>
      <c r="AD444" s="151">
        <v>2896.8890000000001</v>
      </c>
      <c r="AG444" s="2" t="s">
        <v>36</v>
      </c>
      <c r="AH444" s="164">
        <v>4.73E-4</v>
      </c>
      <c r="AI444" s="164">
        <v>1.5876315650974301E-2</v>
      </c>
      <c r="AJ444" s="164">
        <v>2.6947171531475902E-3</v>
      </c>
    </row>
    <row r="445" spans="1:36">
      <c r="A445" s="2">
        <v>337</v>
      </c>
      <c r="B445" s="2">
        <v>9963</v>
      </c>
      <c r="C445" s="2" t="s">
        <v>1569</v>
      </c>
      <c r="D445" s="2" t="s">
        <v>1570</v>
      </c>
      <c r="E445" s="4" t="s">
        <v>1303</v>
      </c>
      <c r="F445" s="2" t="s">
        <v>2350</v>
      </c>
      <c r="G445" s="2" t="s">
        <v>2351</v>
      </c>
      <c r="H445" s="2" t="s">
        <v>318</v>
      </c>
      <c r="I445" s="2" t="s">
        <v>754</v>
      </c>
      <c r="J445" s="2" t="s">
        <v>79</v>
      </c>
      <c r="K445" s="2" t="s">
        <v>80</v>
      </c>
      <c r="L445" s="2" t="s">
        <v>324</v>
      </c>
      <c r="M445" s="2" t="s">
        <v>164</v>
      </c>
      <c r="N445" s="2" t="s">
        <v>463</v>
      </c>
      <c r="O445" s="2" t="s">
        <v>134</v>
      </c>
      <c r="P445" s="2" t="s">
        <v>1808</v>
      </c>
      <c r="Q445" s="2" t="s">
        <v>429</v>
      </c>
      <c r="R445" s="2" t="s">
        <v>403</v>
      </c>
      <c r="S445" s="2" t="s">
        <v>84</v>
      </c>
      <c r="T445" s="151">
        <v>3.6709999999999998</v>
      </c>
      <c r="U445" s="2" t="s">
        <v>2352</v>
      </c>
      <c r="V445" s="162">
        <v>5.1249999999999997E-2</v>
      </c>
      <c r="W445" s="164">
        <v>5.6770000000000001E-2</v>
      </c>
      <c r="X445" s="4" t="s">
        <v>409</v>
      </c>
      <c r="Y445" s="4" t="s">
        <v>134</v>
      </c>
      <c r="Z445" s="151">
        <v>559000</v>
      </c>
      <c r="AA445" s="158">
        <v>3.718</v>
      </c>
      <c r="AB445" s="175">
        <v>102.021</v>
      </c>
      <c r="AD445" s="151">
        <v>2120.3609999999999</v>
      </c>
      <c r="AG445" s="2" t="s">
        <v>36</v>
      </c>
      <c r="AH445" s="164">
        <v>5.5900000000000004E-4</v>
      </c>
      <c r="AI445" s="164">
        <v>1.1620577832745799E-2</v>
      </c>
      <c r="AJ445" s="164">
        <v>1.9723827053958198E-3</v>
      </c>
    </row>
    <row r="446" spans="1:36">
      <c r="A446" s="2">
        <v>337</v>
      </c>
      <c r="B446" s="2">
        <v>9964</v>
      </c>
      <c r="C446" s="2" t="s">
        <v>1804</v>
      </c>
      <c r="D446" s="2" t="s">
        <v>1805</v>
      </c>
      <c r="E446" s="4" t="s">
        <v>1303</v>
      </c>
      <c r="F446" s="2" t="s">
        <v>1806</v>
      </c>
      <c r="G446" s="2" t="s">
        <v>1807</v>
      </c>
      <c r="H446" s="2" t="s">
        <v>318</v>
      </c>
      <c r="I446" s="2" t="s">
        <v>754</v>
      </c>
      <c r="J446" s="2" t="s">
        <v>79</v>
      </c>
      <c r="K446" s="2" t="s">
        <v>30</v>
      </c>
      <c r="L446" s="2" t="s">
        <v>324</v>
      </c>
      <c r="M446" s="2" t="s">
        <v>164</v>
      </c>
      <c r="N446" s="2" t="s">
        <v>483</v>
      </c>
      <c r="O446" s="2" t="s">
        <v>134</v>
      </c>
      <c r="P446" s="2" t="s">
        <v>1808</v>
      </c>
      <c r="Q446" s="2" t="s">
        <v>429</v>
      </c>
      <c r="R446" s="2" t="s">
        <v>403</v>
      </c>
      <c r="S446" s="2" t="s">
        <v>84</v>
      </c>
      <c r="T446" s="151">
        <v>0.23899999999999999</v>
      </c>
      <c r="U446" s="2" t="s">
        <v>1809</v>
      </c>
      <c r="V446" s="162">
        <v>6.1249999999999999E-2</v>
      </c>
      <c r="W446" s="164">
        <v>6.862E-2</v>
      </c>
      <c r="X446" s="4" t="s">
        <v>409</v>
      </c>
      <c r="Y446" s="4" t="s">
        <v>134</v>
      </c>
      <c r="Z446" s="151">
        <v>17000</v>
      </c>
      <c r="AA446" s="158">
        <v>3.718</v>
      </c>
      <c r="AB446" s="175">
        <v>101.505</v>
      </c>
      <c r="AD446" s="151">
        <v>64.156999999999996</v>
      </c>
      <c r="AG446" s="2" t="s">
        <v>36</v>
      </c>
      <c r="AH446" s="164">
        <v>2.8E-5</v>
      </c>
      <c r="AI446" s="164">
        <v>8.0018099715965692E-3</v>
      </c>
      <c r="AJ446" s="164">
        <v>1.7472446403978699E-3</v>
      </c>
    </row>
    <row r="447" spans="1:36">
      <c r="A447" s="2">
        <v>337</v>
      </c>
      <c r="B447" s="2">
        <v>9964</v>
      </c>
      <c r="C447" s="2" t="s">
        <v>1810</v>
      </c>
      <c r="D447" s="2" t="s">
        <v>1811</v>
      </c>
      <c r="E447" s="4" t="s">
        <v>1303</v>
      </c>
      <c r="F447" s="2" t="s">
        <v>1812</v>
      </c>
      <c r="G447" s="2" t="s">
        <v>1813</v>
      </c>
      <c r="H447" s="2" t="s">
        <v>318</v>
      </c>
      <c r="I447" s="2" t="s">
        <v>965</v>
      </c>
      <c r="J447" s="2" t="s">
        <v>30</v>
      </c>
      <c r="K447" s="2" t="s">
        <v>30</v>
      </c>
      <c r="L447" s="2" t="s">
        <v>324</v>
      </c>
      <c r="M447" s="2" t="s">
        <v>41</v>
      </c>
      <c r="N447" s="2" t="s">
        <v>443</v>
      </c>
      <c r="O447" s="2" t="s">
        <v>134</v>
      </c>
      <c r="P447" s="2" t="s">
        <v>1814</v>
      </c>
      <c r="Q447" s="2" t="s">
        <v>412</v>
      </c>
      <c r="R447" s="2" t="s">
        <v>403</v>
      </c>
      <c r="S447" s="2" t="s">
        <v>34</v>
      </c>
      <c r="T447" s="151">
        <v>1.456</v>
      </c>
      <c r="U447" s="2" t="s">
        <v>94</v>
      </c>
      <c r="V447" s="162">
        <v>3.5000000000000003E-2</v>
      </c>
      <c r="W447" s="164">
        <v>5.4859999999999999E-2</v>
      </c>
      <c r="X447" s="4" t="s">
        <v>409</v>
      </c>
      <c r="Y447" s="4" t="s">
        <v>134</v>
      </c>
      <c r="Z447" s="151">
        <v>33916</v>
      </c>
      <c r="AA447" s="158">
        <v>1</v>
      </c>
      <c r="AB447" s="175">
        <v>97.31</v>
      </c>
      <c r="AD447" s="151">
        <v>33.003999999999998</v>
      </c>
      <c r="AG447" s="2" t="s">
        <v>36</v>
      </c>
      <c r="AH447" s="164">
        <v>2.4399999999999999E-4</v>
      </c>
      <c r="AI447" s="164">
        <v>4.1162648139326102E-3</v>
      </c>
      <c r="AJ447" s="164">
        <v>8.9881185133506496E-4</v>
      </c>
    </row>
    <row r="448" spans="1:36">
      <c r="A448" s="2">
        <v>337</v>
      </c>
      <c r="B448" s="2">
        <v>9964</v>
      </c>
      <c r="C448" s="2" t="s">
        <v>1810</v>
      </c>
      <c r="D448" s="2" t="s">
        <v>1811</v>
      </c>
      <c r="E448" s="4" t="s">
        <v>1303</v>
      </c>
      <c r="F448" s="2" t="s">
        <v>1815</v>
      </c>
      <c r="G448" s="2" t="s">
        <v>1816</v>
      </c>
      <c r="H448" s="2" t="s">
        <v>318</v>
      </c>
      <c r="I448" s="2" t="s">
        <v>753</v>
      </c>
      <c r="J448" s="2" t="s">
        <v>30</v>
      </c>
      <c r="K448" s="2" t="s">
        <v>30</v>
      </c>
      <c r="L448" s="2" t="s">
        <v>324</v>
      </c>
      <c r="M448" s="2" t="s">
        <v>41</v>
      </c>
      <c r="N448" s="2" t="s">
        <v>443</v>
      </c>
      <c r="O448" s="2" t="s">
        <v>134</v>
      </c>
      <c r="P448" s="2" t="s">
        <v>1814</v>
      </c>
      <c r="Q448" s="2" t="s">
        <v>412</v>
      </c>
      <c r="R448" s="2" t="s">
        <v>403</v>
      </c>
      <c r="S448" s="2" t="s">
        <v>34</v>
      </c>
      <c r="T448" s="151">
        <v>2.367</v>
      </c>
      <c r="U448" s="2" t="s">
        <v>1817</v>
      </c>
      <c r="V448" s="162">
        <v>3.85E-2</v>
      </c>
      <c r="W448" s="164">
        <v>3.3009999999999998E-2</v>
      </c>
      <c r="X448" s="4" t="s">
        <v>409</v>
      </c>
      <c r="Y448" s="4" t="s">
        <v>134</v>
      </c>
      <c r="Z448" s="151">
        <v>54000</v>
      </c>
      <c r="AA448" s="158">
        <v>1</v>
      </c>
      <c r="AB448" s="175">
        <v>108.67</v>
      </c>
      <c r="AD448" s="151">
        <v>58.682000000000002</v>
      </c>
      <c r="AG448" s="2" t="s">
        <v>36</v>
      </c>
      <c r="AH448" s="164">
        <v>1.8000000000000001E-4</v>
      </c>
      <c r="AI448" s="164">
        <v>7.3188801328635299E-3</v>
      </c>
      <c r="AJ448" s="164">
        <v>1.5981226911476801E-3</v>
      </c>
    </row>
    <row r="449" spans="1:36">
      <c r="A449" s="2">
        <v>337</v>
      </c>
      <c r="B449" s="2">
        <v>9964</v>
      </c>
      <c r="C449" s="2" t="s">
        <v>1818</v>
      </c>
      <c r="D449" s="2" t="s">
        <v>1819</v>
      </c>
      <c r="E449" s="4" t="s">
        <v>1303</v>
      </c>
      <c r="F449" s="2" t="s">
        <v>2466</v>
      </c>
      <c r="G449" s="2" t="s">
        <v>2467</v>
      </c>
      <c r="H449" s="2" t="s">
        <v>318</v>
      </c>
      <c r="I449" s="2" t="s">
        <v>753</v>
      </c>
      <c r="J449" s="2" t="s">
        <v>30</v>
      </c>
      <c r="K449" s="2" t="s">
        <v>295</v>
      </c>
      <c r="L449" s="2" t="s">
        <v>324</v>
      </c>
      <c r="M449" s="2" t="s">
        <v>41</v>
      </c>
      <c r="N449" s="2" t="s">
        <v>461</v>
      </c>
      <c r="O449" s="2" t="s">
        <v>134</v>
      </c>
      <c r="P449" s="2" t="s">
        <v>1814</v>
      </c>
      <c r="Q449" s="2" t="s">
        <v>412</v>
      </c>
      <c r="R449" s="2" t="s">
        <v>403</v>
      </c>
      <c r="S449" s="2" t="s">
        <v>34</v>
      </c>
      <c r="T449" s="151">
        <v>1.3859999999999999</v>
      </c>
      <c r="U449" s="2" t="s">
        <v>2468</v>
      </c>
      <c r="V449" s="162">
        <v>2.8500000000000001E-2</v>
      </c>
      <c r="W449" s="164">
        <v>3.2989999999999998E-2</v>
      </c>
      <c r="X449" s="4" t="s">
        <v>409</v>
      </c>
      <c r="Y449" s="4" t="s">
        <v>134</v>
      </c>
      <c r="Z449" s="151">
        <v>12000</v>
      </c>
      <c r="AA449" s="158">
        <v>1</v>
      </c>
      <c r="AB449" s="175">
        <v>116.54</v>
      </c>
      <c r="AD449" s="151">
        <v>13.984999999999999</v>
      </c>
      <c r="AG449" s="2" t="s">
        <v>36</v>
      </c>
      <c r="AH449" s="164">
        <v>2.9E-5</v>
      </c>
      <c r="AI449" s="164">
        <v>1.7442047599438E-3</v>
      </c>
      <c r="AJ449" s="164">
        <v>3.8085788457685498E-4</v>
      </c>
    </row>
    <row r="450" spans="1:36">
      <c r="A450" s="2">
        <v>337</v>
      </c>
      <c r="B450" s="2">
        <v>9964</v>
      </c>
      <c r="C450" s="2" t="s">
        <v>1818</v>
      </c>
      <c r="D450" s="2" t="s">
        <v>1819</v>
      </c>
      <c r="E450" s="4" t="s">
        <v>1303</v>
      </c>
      <c r="F450" s="2" t="s">
        <v>1820</v>
      </c>
      <c r="G450" s="2" t="s">
        <v>1821</v>
      </c>
      <c r="H450" s="2" t="s">
        <v>318</v>
      </c>
      <c r="I450" s="2" t="s">
        <v>753</v>
      </c>
      <c r="J450" s="2" t="s">
        <v>30</v>
      </c>
      <c r="K450" s="2" t="s">
        <v>295</v>
      </c>
      <c r="L450" s="2" t="s">
        <v>324</v>
      </c>
      <c r="M450" s="2" t="s">
        <v>41</v>
      </c>
      <c r="N450" s="2" t="s">
        <v>461</v>
      </c>
      <c r="O450" s="2" t="s">
        <v>134</v>
      </c>
      <c r="P450" s="2" t="s">
        <v>1814</v>
      </c>
      <c r="Q450" s="2" t="s">
        <v>412</v>
      </c>
      <c r="R450" s="2" t="s">
        <v>403</v>
      </c>
      <c r="S450" s="2" t="s">
        <v>34</v>
      </c>
      <c r="T450" s="151">
        <v>2.87</v>
      </c>
      <c r="U450" s="2" t="s">
        <v>74</v>
      </c>
      <c r="V450" s="162">
        <v>2.4500000000000001E-2</v>
      </c>
      <c r="W450" s="164">
        <v>3.3500000000000002E-2</v>
      </c>
      <c r="X450" s="4" t="s">
        <v>409</v>
      </c>
      <c r="Y450" s="4" t="s">
        <v>134</v>
      </c>
      <c r="Z450" s="151">
        <v>13695.66</v>
      </c>
      <c r="AA450" s="158">
        <v>1</v>
      </c>
      <c r="AB450" s="175">
        <v>112.51</v>
      </c>
      <c r="AD450" s="151">
        <v>15.409000000000001</v>
      </c>
      <c r="AG450" s="2" t="s">
        <v>36</v>
      </c>
      <c r="AH450" s="164">
        <v>2.9E-5</v>
      </c>
      <c r="AI450" s="164">
        <v>1.9218314589003499E-3</v>
      </c>
      <c r="AJ450" s="164">
        <v>4.1964377162554198E-4</v>
      </c>
    </row>
    <row r="451" spans="1:36">
      <c r="A451" s="2">
        <v>337</v>
      </c>
      <c r="B451" s="2">
        <v>9964</v>
      </c>
      <c r="C451" s="2" t="s">
        <v>1822</v>
      </c>
      <c r="D451" s="2" t="s">
        <v>1823</v>
      </c>
      <c r="E451" s="4" t="s">
        <v>1303</v>
      </c>
      <c r="F451" s="2" t="s">
        <v>1824</v>
      </c>
      <c r="G451" s="2" t="s">
        <v>1825</v>
      </c>
      <c r="H451" s="2" t="s">
        <v>318</v>
      </c>
      <c r="I451" s="2" t="s">
        <v>753</v>
      </c>
      <c r="J451" s="2" t="s">
        <v>30</v>
      </c>
      <c r="K451" s="2" t="s">
        <v>30</v>
      </c>
      <c r="L451" s="2" t="s">
        <v>324</v>
      </c>
      <c r="M451" s="2" t="s">
        <v>41</v>
      </c>
      <c r="N451" s="2" t="s">
        <v>452</v>
      </c>
      <c r="O451" s="2" t="s">
        <v>134</v>
      </c>
      <c r="P451" s="2" t="s">
        <v>1826</v>
      </c>
      <c r="Q451" s="2" t="s">
        <v>410</v>
      </c>
      <c r="R451" s="2" t="s">
        <v>403</v>
      </c>
      <c r="S451" s="2" t="s">
        <v>34</v>
      </c>
      <c r="T451" s="151">
        <v>5.1289999999999996</v>
      </c>
      <c r="U451" s="2" t="s">
        <v>1827</v>
      </c>
      <c r="V451" s="162">
        <v>5.1499999999999997E-2</v>
      </c>
      <c r="W451" s="164">
        <v>4.5159999999999999E-2</v>
      </c>
      <c r="X451" s="4" t="s">
        <v>409</v>
      </c>
      <c r="Y451" s="4" t="s">
        <v>134</v>
      </c>
      <c r="Z451" s="151">
        <v>0.7</v>
      </c>
      <c r="AA451" s="158">
        <v>1</v>
      </c>
      <c r="AB451" s="175">
        <v>146.6</v>
      </c>
      <c r="AD451" s="151">
        <v>1E-3</v>
      </c>
      <c r="AG451" s="2" t="s">
        <v>36</v>
      </c>
      <c r="AH451" s="164">
        <v>0</v>
      </c>
      <c r="AI451" s="164">
        <v>1.27989168572616E-7</v>
      </c>
      <c r="AJ451" s="164">
        <v>2.7947225641608701E-8</v>
      </c>
    </row>
    <row r="452" spans="1:36">
      <c r="A452" s="2">
        <v>337</v>
      </c>
      <c r="B452" s="2">
        <v>9964</v>
      </c>
      <c r="C452" s="2" t="s">
        <v>1430</v>
      </c>
      <c r="D452" s="2" t="s">
        <v>1431</v>
      </c>
      <c r="E452" s="4" t="s">
        <v>1303</v>
      </c>
      <c r="F452" s="2" t="s">
        <v>1828</v>
      </c>
      <c r="G452" s="2" t="s">
        <v>1829</v>
      </c>
      <c r="H452" s="2" t="s">
        <v>318</v>
      </c>
      <c r="I452" s="2" t="s">
        <v>753</v>
      </c>
      <c r="J452" s="2" t="s">
        <v>30</v>
      </c>
      <c r="K452" s="2" t="s">
        <v>30</v>
      </c>
      <c r="L452" s="2" t="s">
        <v>324</v>
      </c>
      <c r="M452" s="2" t="s">
        <v>41</v>
      </c>
      <c r="N452" s="2" t="s">
        <v>436</v>
      </c>
      <c r="O452" s="2" t="s">
        <v>134</v>
      </c>
      <c r="P452" s="2" t="s">
        <v>1830</v>
      </c>
      <c r="Q452" s="2" t="s">
        <v>410</v>
      </c>
      <c r="R452" s="2" t="s">
        <v>403</v>
      </c>
      <c r="S452" s="2" t="s">
        <v>34</v>
      </c>
      <c r="T452" s="151">
        <v>2.7240000000000002</v>
      </c>
      <c r="U452" s="2" t="s">
        <v>1831</v>
      </c>
      <c r="V452" s="162">
        <v>2.75E-2</v>
      </c>
      <c r="W452" s="164">
        <v>3.075E-2</v>
      </c>
      <c r="X452" s="4" t="s">
        <v>409</v>
      </c>
      <c r="Y452" s="4" t="s">
        <v>134</v>
      </c>
      <c r="Z452" s="151">
        <v>118066.27</v>
      </c>
      <c r="AA452" s="158">
        <v>1</v>
      </c>
      <c r="AB452" s="175">
        <v>114.05</v>
      </c>
      <c r="AD452" s="151">
        <v>134.655</v>
      </c>
      <c r="AG452" s="2" t="s">
        <v>36</v>
      </c>
      <c r="AH452" s="164">
        <v>1.5799999999999999E-4</v>
      </c>
      <c r="AI452" s="164">
        <v>1.6794316759271798E-2</v>
      </c>
      <c r="AJ452" s="164">
        <v>3.6671428153056901E-3</v>
      </c>
    </row>
    <row r="453" spans="1:36">
      <c r="A453" s="2">
        <v>337</v>
      </c>
      <c r="B453" s="2">
        <v>9964</v>
      </c>
      <c r="C453" s="2" t="s">
        <v>1836</v>
      </c>
      <c r="D453" s="2" t="s">
        <v>1837</v>
      </c>
      <c r="E453" s="4" t="s">
        <v>1303</v>
      </c>
      <c r="F453" s="2" t="s">
        <v>1838</v>
      </c>
      <c r="G453" s="2" t="s">
        <v>1839</v>
      </c>
      <c r="H453" s="2" t="s">
        <v>318</v>
      </c>
      <c r="I453" s="2" t="s">
        <v>753</v>
      </c>
      <c r="J453" s="2" t="s">
        <v>30</v>
      </c>
      <c r="K453" s="2" t="s">
        <v>30</v>
      </c>
      <c r="L453" s="2" t="s">
        <v>324</v>
      </c>
      <c r="M453" s="2" t="s">
        <v>41</v>
      </c>
      <c r="N453" s="2" t="s">
        <v>460</v>
      </c>
      <c r="O453" s="2" t="s">
        <v>134</v>
      </c>
      <c r="P453" s="2" t="s">
        <v>1834</v>
      </c>
      <c r="Q453" s="2" t="s">
        <v>410</v>
      </c>
      <c r="R453" s="2" t="s">
        <v>403</v>
      </c>
      <c r="S453" s="2" t="s">
        <v>34</v>
      </c>
      <c r="T453" s="151">
        <v>2.2669999999999999</v>
      </c>
      <c r="U453" s="2" t="s">
        <v>108</v>
      </c>
      <c r="V453" s="162">
        <v>2.3400000000000001E-2</v>
      </c>
      <c r="W453" s="164">
        <v>2.7969999999999998E-2</v>
      </c>
      <c r="X453" s="4" t="s">
        <v>409</v>
      </c>
      <c r="Y453" s="4" t="s">
        <v>134</v>
      </c>
      <c r="Z453" s="151">
        <v>75478.17</v>
      </c>
      <c r="AA453" s="158">
        <v>1</v>
      </c>
      <c r="AB453" s="175">
        <v>114.39</v>
      </c>
      <c r="AD453" s="151">
        <v>86.338999999999999</v>
      </c>
      <c r="AG453" s="2" t="s">
        <v>36</v>
      </c>
      <c r="AH453" s="164">
        <v>4.6E-5</v>
      </c>
      <c r="AI453" s="164">
        <v>1.0768386366274099E-2</v>
      </c>
      <c r="AJ453" s="164">
        <v>2.3513436873647598E-3</v>
      </c>
    </row>
    <row r="454" spans="1:36">
      <c r="A454" s="2">
        <v>337</v>
      </c>
      <c r="B454" s="2">
        <v>9964</v>
      </c>
      <c r="C454" s="2" t="s">
        <v>1844</v>
      </c>
      <c r="D454" s="2" t="s">
        <v>1845</v>
      </c>
      <c r="E454" s="4" t="s">
        <v>1303</v>
      </c>
      <c r="F454" s="2" t="s">
        <v>1846</v>
      </c>
      <c r="G454" s="2" t="s">
        <v>1847</v>
      </c>
      <c r="H454" s="2" t="s">
        <v>318</v>
      </c>
      <c r="I454" s="2" t="s">
        <v>753</v>
      </c>
      <c r="J454" s="2" t="s">
        <v>30</v>
      </c>
      <c r="K454" s="2" t="s">
        <v>30</v>
      </c>
      <c r="L454" s="2" t="s">
        <v>324</v>
      </c>
      <c r="M454" s="2" t="s">
        <v>41</v>
      </c>
      <c r="N454" s="2" t="s">
        <v>474</v>
      </c>
      <c r="O454" s="2" t="s">
        <v>134</v>
      </c>
      <c r="P454" s="2" t="s">
        <v>1848</v>
      </c>
      <c r="Q454" s="2" t="s">
        <v>410</v>
      </c>
      <c r="R454" s="2" t="s">
        <v>403</v>
      </c>
      <c r="S454" s="2" t="s">
        <v>34</v>
      </c>
      <c r="T454" s="151">
        <v>1.571</v>
      </c>
      <c r="U454" s="2" t="s">
        <v>1849</v>
      </c>
      <c r="V454" s="162">
        <v>3.2000000000000001E-2</v>
      </c>
      <c r="W454" s="164">
        <v>3.1649999999999998E-2</v>
      </c>
      <c r="X454" s="4" t="s">
        <v>409</v>
      </c>
      <c r="Y454" s="4" t="s">
        <v>134</v>
      </c>
      <c r="Z454" s="151">
        <v>20150</v>
      </c>
      <c r="AA454" s="158">
        <v>1</v>
      </c>
      <c r="AB454" s="175">
        <v>107.84</v>
      </c>
      <c r="AD454" s="151">
        <v>21.73</v>
      </c>
      <c r="AG454" s="2" t="s">
        <v>36</v>
      </c>
      <c r="AH454" s="164">
        <v>2.8E-5</v>
      </c>
      <c r="AI454" s="164">
        <v>2.7101675264884998E-3</v>
      </c>
      <c r="AJ454" s="164">
        <v>5.9178182211849805E-4</v>
      </c>
    </row>
    <row r="455" spans="1:36">
      <c r="A455" s="2">
        <v>337</v>
      </c>
      <c r="B455" s="2">
        <v>9964</v>
      </c>
      <c r="C455" s="2" t="s">
        <v>1844</v>
      </c>
      <c r="D455" s="2" t="s">
        <v>1845</v>
      </c>
      <c r="E455" s="4" t="s">
        <v>1303</v>
      </c>
      <c r="F455" s="2" t="s">
        <v>1850</v>
      </c>
      <c r="G455" s="2" t="s">
        <v>1851</v>
      </c>
      <c r="H455" s="2" t="s">
        <v>318</v>
      </c>
      <c r="I455" s="2" t="s">
        <v>965</v>
      </c>
      <c r="J455" s="2" t="s">
        <v>30</v>
      </c>
      <c r="K455" s="2" t="s">
        <v>30</v>
      </c>
      <c r="L455" s="2" t="s">
        <v>324</v>
      </c>
      <c r="M455" s="2" t="s">
        <v>41</v>
      </c>
      <c r="N455" s="2" t="s">
        <v>474</v>
      </c>
      <c r="O455" s="2" t="s">
        <v>134</v>
      </c>
      <c r="P455" s="2" t="s">
        <v>1848</v>
      </c>
      <c r="Q455" s="2" t="s">
        <v>410</v>
      </c>
      <c r="R455" s="2" t="s">
        <v>403</v>
      </c>
      <c r="S455" s="2" t="s">
        <v>34</v>
      </c>
      <c r="T455" s="151">
        <v>1.629</v>
      </c>
      <c r="U455" s="2" t="s">
        <v>1852</v>
      </c>
      <c r="V455" s="162">
        <v>5.7000000000000002E-2</v>
      </c>
      <c r="W455" s="164">
        <v>5.5789999999999999E-2</v>
      </c>
      <c r="X455" s="4" t="s">
        <v>409</v>
      </c>
      <c r="Y455" s="4" t="s">
        <v>134</v>
      </c>
      <c r="Z455" s="151">
        <v>19500</v>
      </c>
      <c r="AA455" s="158">
        <v>1</v>
      </c>
      <c r="AB455" s="175">
        <v>100.54</v>
      </c>
      <c r="AD455" s="151">
        <v>19.605</v>
      </c>
      <c r="AG455" s="2" t="s">
        <v>36</v>
      </c>
      <c r="AH455" s="164">
        <v>2.3E-5</v>
      </c>
      <c r="AI455" s="164">
        <v>2.4452017604918298E-3</v>
      </c>
      <c r="AJ455" s="164">
        <v>5.3392491022357302E-4</v>
      </c>
    </row>
    <row r="456" spans="1:36">
      <c r="A456" s="2">
        <v>337</v>
      </c>
      <c r="B456" s="2">
        <v>9964</v>
      </c>
      <c r="C456" s="2" t="s">
        <v>1853</v>
      </c>
      <c r="D456" s="2" t="s">
        <v>1854</v>
      </c>
      <c r="E456" s="4" t="s">
        <v>1303</v>
      </c>
      <c r="F456" s="2" t="s">
        <v>1855</v>
      </c>
      <c r="G456" s="2" t="s">
        <v>1856</v>
      </c>
      <c r="H456" s="2" t="s">
        <v>318</v>
      </c>
      <c r="I456" s="2" t="s">
        <v>753</v>
      </c>
      <c r="J456" s="2" t="s">
        <v>30</v>
      </c>
      <c r="K456" s="2" t="s">
        <v>30</v>
      </c>
      <c r="L456" s="2" t="s">
        <v>324</v>
      </c>
      <c r="M456" s="2" t="s">
        <v>41</v>
      </c>
      <c r="N456" s="2" t="s">
        <v>474</v>
      </c>
      <c r="O456" s="2" t="s">
        <v>134</v>
      </c>
      <c r="P456" s="2" t="s">
        <v>1848</v>
      </c>
      <c r="Q456" s="2" t="s">
        <v>410</v>
      </c>
      <c r="R456" s="2" t="s">
        <v>403</v>
      </c>
      <c r="S456" s="2" t="s">
        <v>34</v>
      </c>
      <c r="T456" s="151">
        <v>2.419</v>
      </c>
      <c r="U456" s="2" t="s">
        <v>1857</v>
      </c>
      <c r="V456" s="162">
        <v>3.2300000000000002E-2</v>
      </c>
      <c r="W456" s="164">
        <v>3.0110000000000001E-2</v>
      </c>
      <c r="X456" s="4" t="s">
        <v>409</v>
      </c>
      <c r="Y456" s="4" t="s">
        <v>134</v>
      </c>
      <c r="Z456" s="151">
        <v>26040</v>
      </c>
      <c r="AA456" s="158">
        <v>1</v>
      </c>
      <c r="AB456" s="175">
        <v>107.78</v>
      </c>
      <c r="AD456" s="151">
        <v>28.065999999999999</v>
      </c>
      <c r="AG456" s="2" t="s">
        <v>36</v>
      </c>
      <c r="AH456" s="164">
        <v>5.0000000000000002E-5</v>
      </c>
      <c r="AI456" s="164">
        <v>3.5004216937363202E-3</v>
      </c>
      <c r="AJ456" s="164">
        <v>7.6433870152166502E-4</v>
      </c>
    </row>
    <row r="457" spans="1:36">
      <c r="A457" s="2">
        <v>337</v>
      </c>
      <c r="B457" s="2">
        <v>9964</v>
      </c>
      <c r="C457" s="2" t="s">
        <v>1858</v>
      </c>
      <c r="D457" s="2" t="s">
        <v>1859</v>
      </c>
      <c r="E457" s="4" t="s">
        <v>1303</v>
      </c>
      <c r="F457" s="2" t="s">
        <v>1860</v>
      </c>
      <c r="G457" s="2" t="s">
        <v>1861</v>
      </c>
      <c r="H457" s="2" t="s">
        <v>318</v>
      </c>
      <c r="I457" s="2" t="s">
        <v>753</v>
      </c>
      <c r="J457" s="2" t="s">
        <v>30</v>
      </c>
      <c r="K457" s="2" t="s">
        <v>30</v>
      </c>
      <c r="L457" s="2" t="s">
        <v>324</v>
      </c>
      <c r="M457" s="2" t="s">
        <v>41</v>
      </c>
      <c r="N457" s="2" t="s">
        <v>460</v>
      </c>
      <c r="O457" s="2" t="s">
        <v>134</v>
      </c>
      <c r="P457" s="2" t="s">
        <v>1862</v>
      </c>
      <c r="Q457" s="2" t="s">
        <v>410</v>
      </c>
      <c r="R457" s="2" t="s">
        <v>403</v>
      </c>
      <c r="S457" s="2" t="s">
        <v>34</v>
      </c>
      <c r="T457" s="151">
        <v>2.1549999999999998</v>
      </c>
      <c r="U457" s="2" t="s">
        <v>1863</v>
      </c>
      <c r="V457" s="162">
        <v>2.4899999999999999E-2</v>
      </c>
      <c r="W457" s="164">
        <v>3.4090000000000002E-2</v>
      </c>
      <c r="X457" s="4" t="s">
        <v>409</v>
      </c>
      <c r="Y457" s="4" t="s">
        <v>134</v>
      </c>
      <c r="Z457" s="151">
        <v>55800</v>
      </c>
      <c r="AA457" s="158">
        <v>1</v>
      </c>
      <c r="AB457" s="175">
        <v>106.72</v>
      </c>
      <c r="AD457" s="151">
        <v>59.55</v>
      </c>
      <c r="AG457" s="2" t="s">
        <v>36</v>
      </c>
      <c r="AH457" s="164">
        <v>2.6600000000000001E-4</v>
      </c>
      <c r="AI457" s="164">
        <v>7.4271333766311003E-3</v>
      </c>
      <c r="AJ457" s="164">
        <v>1.6217604556846999E-3</v>
      </c>
    </row>
    <row r="458" spans="1:36">
      <c r="A458" s="2">
        <v>337</v>
      </c>
      <c r="B458" s="2">
        <v>9964</v>
      </c>
      <c r="C458" s="2" t="s">
        <v>1458</v>
      </c>
      <c r="D458" s="2" t="s">
        <v>1459</v>
      </c>
      <c r="E458" s="4" t="s">
        <v>1303</v>
      </c>
      <c r="F458" s="2" t="s">
        <v>2359</v>
      </c>
      <c r="G458" s="2" t="s">
        <v>2360</v>
      </c>
      <c r="H458" s="2" t="s">
        <v>318</v>
      </c>
      <c r="I458" s="2" t="s">
        <v>965</v>
      </c>
      <c r="J458" s="2" t="s">
        <v>30</v>
      </c>
      <c r="K458" s="2" t="s">
        <v>30</v>
      </c>
      <c r="L458" s="2" t="s">
        <v>324</v>
      </c>
      <c r="M458" s="2" t="s">
        <v>41</v>
      </c>
      <c r="N458" s="2" t="s">
        <v>460</v>
      </c>
      <c r="O458" s="2" t="s">
        <v>134</v>
      </c>
      <c r="P458" s="2" t="s">
        <v>1826</v>
      </c>
      <c r="Q458" s="2" t="s">
        <v>410</v>
      </c>
      <c r="R458" s="2" t="s">
        <v>403</v>
      </c>
      <c r="S458" s="2" t="s">
        <v>34</v>
      </c>
      <c r="T458" s="151">
        <v>6.1609999999999996</v>
      </c>
      <c r="U458" s="2" t="s">
        <v>2361</v>
      </c>
      <c r="V458" s="162">
        <v>4.9399999999999999E-2</v>
      </c>
      <c r="W458" s="164">
        <v>5.5919999999999997E-2</v>
      </c>
      <c r="X458" s="4" t="s">
        <v>409</v>
      </c>
      <c r="Y458" s="4" t="s">
        <v>134</v>
      </c>
      <c r="Z458" s="151">
        <v>62318</v>
      </c>
      <c r="AA458" s="158">
        <v>1</v>
      </c>
      <c r="AB458" s="175">
        <v>96.63</v>
      </c>
      <c r="AD458" s="151">
        <v>60.218000000000004</v>
      </c>
      <c r="AG458" s="2" t="s">
        <v>36</v>
      </c>
      <c r="AH458" s="164">
        <v>4.6E-5</v>
      </c>
      <c r="AI458" s="164">
        <v>7.5104627066543998E-3</v>
      </c>
      <c r="AJ458" s="164">
        <v>1.6399559296822099E-3</v>
      </c>
    </row>
    <row r="459" spans="1:36">
      <c r="A459" s="2">
        <v>337</v>
      </c>
      <c r="B459" s="2">
        <v>9964</v>
      </c>
      <c r="C459" s="2" t="s">
        <v>1867</v>
      </c>
      <c r="D459" s="2" t="s">
        <v>1868</v>
      </c>
      <c r="E459" s="4" t="s">
        <v>1303</v>
      </c>
      <c r="F459" s="2" t="s">
        <v>2469</v>
      </c>
      <c r="G459" s="2" t="s">
        <v>2470</v>
      </c>
      <c r="H459" s="2" t="s">
        <v>318</v>
      </c>
      <c r="I459" s="2" t="s">
        <v>965</v>
      </c>
      <c r="J459" s="2" t="s">
        <v>30</v>
      </c>
      <c r="K459" s="2" t="s">
        <v>30</v>
      </c>
      <c r="L459" s="2" t="s">
        <v>324</v>
      </c>
      <c r="M459" s="2" t="s">
        <v>41</v>
      </c>
      <c r="N459" s="2" t="s">
        <v>447</v>
      </c>
      <c r="O459" s="2" t="s">
        <v>134</v>
      </c>
      <c r="P459" s="2" t="s">
        <v>1826</v>
      </c>
      <c r="Q459" s="2" t="s">
        <v>410</v>
      </c>
      <c r="R459" s="2" t="s">
        <v>403</v>
      </c>
      <c r="S459" s="2" t="s">
        <v>34</v>
      </c>
      <c r="T459" s="151">
        <v>3.9239999999999999</v>
      </c>
      <c r="U459" s="2" t="s">
        <v>2471</v>
      </c>
      <c r="V459" s="162">
        <v>2.9899999999999999E-2</v>
      </c>
      <c r="W459" s="164">
        <v>5.2769999999999997E-2</v>
      </c>
      <c r="X459" s="4" t="s">
        <v>409</v>
      </c>
      <c r="Y459" s="4" t="s">
        <v>134</v>
      </c>
      <c r="Z459" s="151">
        <v>90000</v>
      </c>
      <c r="AA459" s="158">
        <v>1</v>
      </c>
      <c r="AB459" s="175">
        <v>105.02</v>
      </c>
      <c r="AD459" s="151">
        <v>94.518000000000001</v>
      </c>
      <c r="AG459" s="2" t="s">
        <v>36</v>
      </c>
      <c r="AH459" s="164">
        <v>4.4999999999999999E-4</v>
      </c>
      <c r="AI459" s="164">
        <v>1.17884235384394E-2</v>
      </c>
      <c r="AJ459" s="164">
        <v>2.5740751054312699E-3</v>
      </c>
    </row>
    <row r="460" spans="1:36">
      <c r="A460" s="2">
        <v>337</v>
      </c>
      <c r="B460" s="2">
        <v>9964</v>
      </c>
      <c r="C460" s="2" t="s">
        <v>1867</v>
      </c>
      <c r="D460" s="2" t="s">
        <v>1868</v>
      </c>
      <c r="E460" s="4" t="s">
        <v>1303</v>
      </c>
      <c r="F460" s="2" t="s">
        <v>1869</v>
      </c>
      <c r="G460" s="2" t="s">
        <v>1870</v>
      </c>
      <c r="H460" s="2" t="s">
        <v>318</v>
      </c>
      <c r="I460" s="2" t="s">
        <v>965</v>
      </c>
      <c r="J460" s="2" t="s">
        <v>30</v>
      </c>
      <c r="K460" s="2" t="s">
        <v>30</v>
      </c>
      <c r="L460" s="2" t="s">
        <v>324</v>
      </c>
      <c r="M460" s="2" t="s">
        <v>41</v>
      </c>
      <c r="N460" s="2" t="s">
        <v>447</v>
      </c>
      <c r="O460" s="2" t="s">
        <v>134</v>
      </c>
      <c r="P460" s="2" t="s">
        <v>1826</v>
      </c>
      <c r="Q460" s="2" t="s">
        <v>410</v>
      </c>
      <c r="R460" s="2" t="s">
        <v>403</v>
      </c>
      <c r="S460" s="2" t="s">
        <v>34</v>
      </c>
      <c r="T460" s="151">
        <v>2.3330000000000002</v>
      </c>
      <c r="U460" s="2" t="s">
        <v>1871</v>
      </c>
      <c r="V460" s="162">
        <v>2.0400000000000001E-2</v>
      </c>
      <c r="W460" s="164">
        <v>5.0250000000000003E-2</v>
      </c>
      <c r="X460" s="4" t="s">
        <v>409</v>
      </c>
      <c r="Y460" s="4" t="s">
        <v>134</v>
      </c>
      <c r="Z460" s="151">
        <v>45000</v>
      </c>
      <c r="AA460" s="158">
        <v>1</v>
      </c>
      <c r="AB460" s="175">
        <v>93.52</v>
      </c>
      <c r="AD460" s="151">
        <v>42.084000000000003</v>
      </c>
      <c r="AG460" s="2" t="s">
        <v>36</v>
      </c>
      <c r="AH460" s="164">
        <v>1.2E-4</v>
      </c>
      <c r="AI460" s="164">
        <v>5.2487781818456297E-3</v>
      </c>
      <c r="AJ460" s="164">
        <v>1.1461031415917599E-3</v>
      </c>
    </row>
    <row r="461" spans="1:36">
      <c r="A461" s="2">
        <v>337</v>
      </c>
      <c r="B461" s="2">
        <v>9964</v>
      </c>
      <c r="C461" s="2" t="s">
        <v>1872</v>
      </c>
      <c r="D461" s="2" t="s">
        <v>1873</v>
      </c>
      <c r="E461" s="4" t="s">
        <v>1303</v>
      </c>
      <c r="F461" s="2" t="s">
        <v>1874</v>
      </c>
      <c r="G461" s="2" t="s">
        <v>1875</v>
      </c>
      <c r="H461" s="2" t="s">
        <v>318</v>
      </c>
      <c r="I461" s="2" t="s">
        <v>965</v>
      </c>
      <c r="J461" s="2" t="s">
        <v>30</v>
      </c>
      <c r="K461" s="2" t="s">
        <v>30</v>
      </c>
      <c r="L461" s="2" t="s">
        <v>324</v>
      </c>
      <c r="M461" s="2" t="s">
        <v>41</v>
      </c>
      <c r="N461" s="2" t="s">
        <v>447</v>
      </c>
      <c r="O461" s="2" t="s">
        <v>134</v>
      </c>
      <c r="P461" s="2" t="s">
        <v>1848</v>
      </c>
      <c r="Q461" s="2" t="s">
        <v>410</v>
      </c>
      <c r="R461" s="2" t="s">
        <v>403</v>
      </c>
      <c r="S461" s="2" t="s">
        <v>34</v>
      </c>
      <c r="T461" s="151">
        <v>2.996</v>
      </c>
      <c r="U461" s="2" t="s">
        <v>1876</v>
      </c>
      <c r="V461" s="162">
        <v>0.04</v>
      </c>
      <c r="W461" s="164">
        <v>5.2400000000000002E-2</v>
      </c>
      <c r="X461" s="4" t="s">
        <v>409</v>
      </c>
      <c r="Y461" s="4" t="s">
        <v>134</v>
      </c>
      <c r="Z461" s="151">
        <v>24000.01</v>
      </c>
      <c r="AA461" s="158">
        <v>1</v>
      </c>
      <c r="AB461" s="175">
        <v>97.45</v>
      </c>
      <c r="AD461" s="151">
        <v>23.388000000000002</v>
      </c>
      <c r="AG461" s="2" t="s">
        <v>36</v>
      </c>
      <c r="AH461" s="164">
        <v>4.1E-5</v>
      </c>
      <c r="AI461" s="164">
        <v>2.9169868659430901E-3</v>
      </c>
      <c r="AJ461" s="164">
        <v>6.3694210256446803E-4</v>
      </c>
    </row>
    <row r="462" spans="1:36">
      <c r="A462" s="2">
        <v>337</v>
      </c>
      <c r="B462" s="2">
        <v>9964</v>
      </c>
      <c r="C462" s="2" t="s">
        <v>1872</v>
      </c>
      <c r="D462" s="2" t="s">
        <v>1873</v>
      </c>
      <c r="E462" s="4" t="s">
        <v>1303</v>
      </c>
      <c r="F462" s="2" t="s">
        <v>1877</v>
      </c>
      <c r="G462" s="2" t="s">
        <v>1878</v>
      </c>
      <c r="H462" s="2" t="s">
        <v>318</v>
      </c>
      <c r="I462" s="2" t="s">
        <v>965</v>
      </c>
      <c r="J462" s="2" t="s">
        <v>30</v>
      </c>
      <c r="K462" s="2" t="s">
        <v>30</v>
      </c>
      <c r="L462" s="2" t="s">
        <v>324</v>
      </c>
      <c r="M462" s="2" t="s">
        <v>41</v>
      </c>
      <c r="N462" s="2" t="s">
        <v>447</v>
      </c>
      <c r="O462" s="2" t="s">
        <v>134</v>
      </c>
      <c r="P462" s="2" t="s">
        <v>1848</v>
      </c>
      <c r="Q462" s="2" t="s">
        <v>410</v>
      </c>
      <c r="R462" s="2" t="s">
        <v>403</v>
      </c>
      <c r="S462" s="2" t="s">
        <v>34</v>
      </c>
      <c r="T462" s="151">
        <v>4.9290000000000003</v>
      </c>
      <c r="U462" s="2" t="s">
        <v>1879</v>
      </c>
      <c r="V462" s="162">
        <v>2.07E-2</v>
      </c>
      <c r="W462" s="164">
        <v>5.3780000000000001E-2</v>
      </c>
      <c r="X462" s="4" t="s">
        <v>409</v>
      </c>
      <c r="Y462" s="4" t="s">
        <v>134</v>
      </c>
      <c r="Z462" s="151">
        <v>70000</v>
      </c>
      <c r="AA462" s="158">
        <v>1</v>
      </c>
      <c r="AB462" s="175">
        <v>85.61</v>
      </c>
      <c r="AD462" s="151">
        <v>59.927</v>
      </c>
      <c r="AG462" s="2" t="s">
        <v>36</v>
      </c>
      <c r="AH462" s="164">
        <v>9.6000000000000002E-5</v>
      </c>
      <c r="AI462" s="164">
        <v>7.4741833025250204E-3</v>
      </c>
      <c r="AJ462" s="164">
        <v>1.6320340976658399E-3</v>
      </c>
    </row>
    <row r="463" spans="1:36">
      <c r="A463" s="2">
        <v>337</v>
      </c>
      <c r="B463" s="2">
        <v>9964</v>
      </c>
      <c r="C463" s="2" t="s">
        <v>1880</v>
      </c>
      <c r="D463" s="2" t="s">
        <v>1881</v>
      </c>
      <c r="E463" s="4" t="s">
        <v>1303</v>
      </c>
      <c r="F463" s="2" t="s">
        <v>1882</v>
      </c>
      <c r="G463" s="2" t="s">
        <v>1883</v>
      </c>
      <c r="H463" s="2" t="s">
        <v>318</v>
      </c>
      <c r="I463" s="2" t="s">
        <v>965</v>
      </c>
      <c r="J463" s="2" t="s">
        <v>30</v>
      </c>
      <c r="K463" s="2" t="s">
        <v>80</v>
      </c>
      <c r="L463" s="2" t="s">
        <v>324</v>
      </c>
      <c r="M463" s="2" t="s">
        <v>41</v>
      </c>
      <c r="N463" s="2" t="s">
        <v>439</v>
      </c>
      <c r="O463" s="2" t="s">
        <v>134</v>
      </c>
      <c r="P463" s="2" t="s">
        <v>1848</v>
      </c>
      <c r="Q463" s="2" t="s">
        <v>410</v>
      </c>
      <c r="R463" s="2" t="s">
        <v>403</v>
      </c>
      <c r="S463" s="2" t="s">
        <v>34</v>
      </c>
      <c r="T463" s="151">
        <v>0.47399999999999998</v>
      </c>
      <c r="U463" s="2" t="s">
        <v>1884</v>
      </c>
      <c r="V463" s="162">
        <v>4.7500000000000001E-2</v>
      </c>
      <c r="W463" s="164">
        <v>5.9470000000000002E-2</v>
      </c>
      <c r="X463" s="4" t="s">
        <v>409</v>
      </c>
      <c r="Y463" s="4" t="s">
        <v>134</v>
      </c>
      <c r="Z463" s="151">
        <v>122749.7</v>
      </c>
      <c r="AA463" s="158">
        <v>1</v>
      </c>
      <c r="AB463" s="175">
        <v>99.61</v>
      </c>
      <c r="AD463" s="151">
        <v>122.271</v>
      </c>
      <c r="AG463" s="2" t="s">
        <v>36</v>
      </c>
      <c r="AH463" s="164">
        <v>1.95E-4</v>
      </c>
      <c r="AI463" s="164">
        <v>1.5249815416644399E-2</v>
      </c>
      <c r="AJ463" s="164">
        <v>3.3298914056156198E-3</v>
      </c>
    </row>
    <row r="464" spans="1:36">
      <c r="A464" s="2">
        <v>337</v>
      </c>
      <c r="B464" s="2">
        <v>9964</v>
      </c>
      <c r="C464" s="2" t="s">
        <v>1466</v>
      </c>
      <c r="D464" s="2" t="s">
        <v>1467</v>
      </c>
      <c r="E464" s="4" t="s">
        <v>1303</v>
      </c>
      <c r="F464" s="2" t="s">
        <v>1885</v>
      </c>
      <c r="G464" s="2" t="s">
        <v>1886</v>
      </c>
      <c r="H464" s="2" t="s">
        <v>318</v>
      </c>
      <c r="I464" s="2" t="s">
        <v>753</v>
      </c>
      <c r="J464" s="2" t="s">
        <v>30</v>
      </c>
      <c r="K464" s="2" t="s">
        <v>30</v>
      </c>
      <c r="L464" s="2" t="s">
        <v>324</v>
      </c>
      <c r="M464" s="2" t="s">
        <v>41</v>
      </c>
      <c r="N464" s="2" t="s">
        <v>460</v>
      </c>
      <c r="O464" s="2" t="s">
        <v>134</v>
      </c>
      <c r="P464" s="2" t="s">
        <v>1834</v>
      </c>
      <c r="Q464" s="2" t="s">
        <v>410</v>
      </c>
      <c r="R464" s="2" t="s">
        <v>403</v>
      </c>
      <c r="S464" s="2" t="s">
        <v>34</v>
      </c>
      <c r="T464" s="151">
        <v>2.8319999999999999</v>
      </c>
      <c r="U464" s="2" t="s">
        <v>1887</v>
      </c>
      <c r="V464" s="162">
        <v>1.14E-2</v>
      </c>
      <c r="W464" s="164">
        <v>2.7900000000000001E-2</v>
      </c>
      <c r="X464" s="4" t="s">
        <v>409</v>
      </c>
      <c r="Y464" s="4" t="s">
        <v>134</v>
      </c>
      <c r="Z464" s="151">
        <v>100000</v>
      </c>
      <c r="AA464" s="158">
        <v>1</v>
      </c>
      <c r="AB464" s="175">
        <v>109.34</v>
      </c>
      <c r="AD464" s="151">
        <v>109.34</v>
      </c>
      <c r="AG464" s="2" t="s">
        <v>36</v>
      </c>
      <c r="AH464" s="164">
        <v>4.1999999999999998E-5</v>
      </c>
      <c r="AI464" s="164">
        <v>1.3637045109851699E-2</v>
      </c>
      <c r="AJ464" s="164">
        <v>2.9777330458521599E-3</v>
      </c>
    </row>
    <row r="465" spans="1:36">
      <c r="A465" s="2">
        <v>337</v>
      </c>
      <c r="B465" s="2">
        <v>9964</v>
      </c>
      <c r="C465" s="2" t="s">
        <v>1466</v>
      </c>
      <c r="D465" s="2" t="s">
        <v>1467</v>
      </c>
      <c r="E465" s="4" t="s">
        <v>1303</v>
      </c>
      <c r="F465" s="2" t="s">
        <v>2362</v>
      </c>
      <c r="G465" s="2" t="s">
        <v>2363</v>
      </c>
      <c r="H465" s="2" t="s">
        <v>318</v>
      </c>
      <c r="I465" s="2" t="s">
        <v>965</v>
      </c>
      <c r="J465" s="2" t="s">
        <v>30</v>
      </c>
      <c r="K465" s="2" t="s">
        <v>30</v>
      </c>
      <c r="L465" s="2" t="s">
        <v>324</v>
      </c>
      <c r="M465" s="2" t="s">
        <v>41</v>
      </c>
      <c r="N465" s="2" t="s">
        <v>460</v>
      </c>
      <c r="O465" s="2" t="s">
        <v>134</v>
      </c>
      <c r="P465" s="2" t="s">
        <v>1834</v>
      </c>
      <c r="Q465" s="2" t="s">
        <v>410</v>
      </c>
      <c r="R465" s="2" t="s">
        <v>403</v>
      </c>
      <c r="S465" s="2" t="s">
        <v>34</v>
      </c>
      <c r="T465" s="151">
        <v>4.915</v>
      </c>
      <c r="U465" s="2" t="s">
        <v>2364</v>
      </c>
      <c r="V465" s="162">
        <v>2.4400000000000002E-2</v>
      </c>
      <c r="W465" s="164">
        <v>5.1520000000000003E-2</v>
      </c>
      <c r="X465" s="4" t="s">
        <v>409</v>
      </c>
      <c r="Y465" s="4" t="s">
        <v>134</v>
      </c>
      <c r="Z465" s="151">
        <v>69388</v>
      </c>
      <c r="AA465" s="158">
        <v>1</v>
      </c>
      <c r="AB465" s="175">
        <v>88.38</v>
      </c>
      <c r="AD465" s="151">
        <v>61.325000000000003</v>
      </c>
      <c r="AG465" s="2" t="s">
        <v>36</v>
      </c>
      <c r="AH465" s="164">
        <v>5.7000000000000003E-5</v>
      </c>
      <c r="AI465" s="164">
        <v>7.6485581803513699E-3</v>
      </c>
      <c r="AJ465" s="164">
        <v>1.6701099294818399E-3</v>
      </c>
    </row>
    <row r="466" spans="1:36">
      <c r="A466" s="2">
        <v>337</v>
      </c>
      <c r="B466" s="2">
        <v>9964</v>
      </c>
      <c r="C466" s="2" t="s">
        <v>1888</v>
      </c>
      <c r="D466" s="2" t="s">
        <v>1889</v>
      </c>
      <c r="E466" s="4" t="s">
        <v>1303</v>
      </c>
      <c r="F466" s="2" t="s">
        <v>1890</v>
      </c>
      <c r="G466" s="2" t="s">
        <v>1891</v>
      </c>
      <c r="H466" s="2" t="s">
        <v>318</v>
      </c>
      <c r="I466" s="2" t="s">
        <v>965</v>
      </c>
      <c r="J466" s="2" t="s">
        <v>30</v>
      </c>
      <c r="K466" s="2" t="s">
        <v>30</v>
      </c>
      <c r="L466" s="2" t="s">
        <v>324</v>
      </c>
      <c r="M466" s="2" t="s">
        <v>41</v>
      </c>
      <c r="N466" s="2" t="s">
        <v>460</v>
      </c>
      <c r="O466" s="2" t="s">
        <v>134</v>
      </c>
      <c r="P466" s="2" t="s">
        <v>1842</v>
      </c>
      <c r="Q466" s="2" t="s">
        <v>406</v>
      </c>
      <c r="R466" s="2" t="s">
        <v>406</v>
      </c>
      <c r="S466" s="2" t="s">
        <v>34</v>
      </c>
      <c r="T466" s="151">
        <v>0.44600000000000001</v>
      </c>
      <c r="U466" s="2" t="s">
        <v>1892</v>
      </c>
      <c r="V466" s="162">
        <v>6.5000000000000002E-2</v>
      </c>
      <c r="W466" s="164">
        <v>0.10415000000000001</v>
      </c>
      <c r="X466" s="4" t="s">
        <v>409</v>
      </c>
      <c r="Y466" s="4" t="s">
        <v>134</v>
      </c>
      <c r="Z466" s="151">
        <v>68592</v>
      </c>
      <c r="AA466" s="158">
        <v>1</v>
      </c>
      <c r="AB466" s="175">
        <v>100.31</v>
      </c>
      <c r="AD466" s="151">
        <v>68.805000000000007</v>
      </c>
      <c r="AG466" s="2" t="s">
        <v>36</v>
      </c>
      <c r="AH466" s="164">
        <v>6.2399999999999999E-4</v>
      </c>
      <c r="AI466" s="164">
        <v>8.5814149806959297E-3</v>
      </c>
      <c r="AJ466" s="164">
        <v>1.8738049747836401E-3</v>
      </c>
    </row>
    <row r="467" spans="1:36">
      <c r="A467" s="2">
        <v>337</v>
      </c>
      <c r="B467" s="2">
        <v>9964</v>
      </c>
      <c r="C467" s="2" t="s">
        <v>1470</v>
      </c>
      <c r="D467" s="2" t="s">
        <v>1471</v>
      </c>
      <c r="E467" s="4" t="s">
        <v>1303</v>
      </c>
      <c r="F467" s="2" t="s">
        <v>1893</v>
      </c>
      <c r="G467" s="2" t="s">
        <v>1894</v>
      </c>
      <c r="H467" s="2" t="s">
        <v>318</v>
      </c>
      <c r="I467" s="2" t="s">
        <v>965</v>
      </c>
      <c r="J467" s="2" t="s">
        <v>30</v>
      </c>
      <c r="K467" s="2" t="s">
        <v>80</v>
      </c>
      <c r="L467" s="2" t="s">
        <v>324</v>
      </c>
      <c r="M467" s="2" t="s">
        <v>41</v>
      </c>
      <c r="N467" s="2" t="s">
        <v>437</v>
      </c>
      <c r="O467" s="2" t="s">
        <v>134</v>
      </c>
      <c r="P467" s="2" t="s">
        <v>1814</v>
      </c>
      <c r="Q467" s="2" t="s">
        <v>412</v>
      </c>
      <c r="R467" s="2" t="s">
        <v>403</v>
      </c>
      <c r="S467" s="2" t="s">
        <v>34</v>
      </c>
      <c r="T467" s="151">
        <v>1.2609999999999999</v>
      </c>
      <c r="U467" s="2" t="s">
        <v>1895</v>
      </c>
      <c r="V467" s="162">
        <v>3.4500000000000003E-2</v>
      </c>
      <c r="W467" s="164">
        <v>5.4989999999999997E-2</v>
      </c>
      <c r="X467" s="4" t="s">
        <v>409</v>
      </c>
      <c r="Y467" s="4" t="s">
        <v>134</v>
      </c>
      <c r="Z467" s="151">
        <v>55434.79</v>
      </c>
      <c r="AA467" s="158">
        <v>1</v>
      </c>
      <c r="AB467" s="175">
        <v>97.86</v>
      </c>
      <c r="AD467" s="151">
        <v>54.247999999999998</v>
      </c>
      <c r="AG467" s="2" t="s">
        <v>36</v>
      </c>
      <c r="AH467" s="164">
        <v>8.6000000000000003E-5</v>
      </c>
      <c r="AI467" s="164">
        <v>6.76595064773016E-3</v>
      </c>
      <c r="AJ467" s="164">
        <v>1.4773871222143399E-3</v>
      </c>
    </row>
    <row r="468" spans="1:36">
      <c r="A468" s="2">
        <v>337</v>
      </c>
      <c r="B468" s="2">
        <v>9964</v>
      </c>
      <c r="C468" s="2" t="s">
        <v>1470</v>
      </c>
      <c r="D468" s="2" t="s">
        <v>1471</v>
      </c>
      <c r="E468" s="4" t="s">
        <v>1303</v>
      </c>
      <c r="F468" s="2" t="s">
        <v>1896</v>
      </c>
      <c r="G468" s="2" t="s">
        <v>1897</v>
      </c>
      <c r="H468" s="2" t="s">
        <v>318</v>
      </c>
      <c r="I468" s="2" t="s">
        <v>965</v>
      </c>
      <c r="J468" s="2" t="s">
        <v>30</v>
      </c>
      <c r="K468" s="2" t="s">
        <v>80</v>
      </c>
      <c r="L468" s="2" t="s">
        <v>324</v>
      </c>
      <c r="M468" s="2" t="s">
        <v>41</v>
      </c>
      <c r="N468" s="2" t="s">
        <v>437</v>
      </c>
      <c r="O468" s="2" t="s">
        <v>134</v>
      </c>
      <c r="P468" s="2" t="s">
        <v>1814</v>
      </c>
      <c r="Q468" s="2" t="s">
        <v>412</v>
      </c>
      <c r="R468" s="2" t="s">
        <v>403</v>
      </c>
      <c r="S468" s="2" t="s">
        <v>34</v>
      </c>
      <c r="T468" s="151">
        <v>3.2930000000000001</v>
      </c>
      <c r="U468" s="2" t="s">
        <v>1898</v>
      </c>
      <c r="V468" s="162">
        <v>1.4999999999999999E-2</v>
      </c>
      <c r="W468" s="164">
        <v>5.5910000000000001E-2</v>
      </c>
      <c r="X468" s="4" t="s">
        <v>409</v>
      </c>
      <c r="Y468" s="4" t="s">
        <v>134</v>
      </c>
      <c r="Z468" s="151">
        <v>150000</v>
      </c>
      <c r="AA468" s="158">
        <v>1</v>
      </c>
      <c r="AB468" s="175">
        <v>87.84</v>
      </c>
      <c r="AD468" s="151">
        <v>131.76</v>
      </c>
      <c r="AG468" s="2" t="s">
        <v>36</v>
      </c>
      <c r="AH468" s="164">
        <v>1.27E-4</v>
      </c>
      <c r="AI468" s="164">
        <v>1.6433300381142001E-2</v>
      </c>
      <c r="AJ468" s="164">
        <v>3.58831265887581E-3</v>
      </c>
    </row>
    <row r="469" spans="1:36">
      <c r="A469" s="2">
        <v>337</v>
      </c>
      <c r="B469" s="2">
        <v>9964</v>
      </c>
      <c r="C469" s="2" t="s">
        <v>1478</v>
      </c>
      <c r="D469" s="2" t="s">
        <v>1479</v>
      </c>
      <c r="E469" s="4" t="s">
        <v>1303</v>
      </c>
      <c r="F469" s="2" t="s">
        <v>1899</v>
      </c>
      <c r="G469" s="2" t="s">
        <v>1900</v>
      </c>
      <c r="H469" s="2" t="s">
        <v>318</v>
      </c>
      <c r="I469" s="2" t="s">
        <v>965</v>
      </c>
      <c r="J469" s="2" t="s">
        <v>30</v>
      </c>
      <c r="K469" s="2" t="s">
        <v>30</v>
      </c>
      <c r="L469" s="2" t="s">
        <v>324</v>
      </c>
      <c r="M469" s="2" t="s">
        <v>41</v>
      </c>
      <c r="N469" s="2" t="s">
        <v>437</v>
      </c>
      <c r="O469" s="2" t="s">
        <v>134</v>
      </c>
      <c r="P469" s="2" t="s">
        <v>1862</v>
      </c>
      <c r="Q469" s="2" t="s">
        <v>410</v>
      </c>
      <c r="R469" s="2" t="s">
        <v>403</v>
      </c>
      <c r="S469" s="2" t="s">
        <v>34</v>
      </c>
      <c r="T469" s="151">
        <v>2.6560000000000001</v>
      </c>
      <c r="U469" s="2" t="s">
        <v>1901</v>
      </c>
      <c r="V469" s="162">
        <v>2.0500000000000001E-2</v>
      </c>
      <c r="W469" s="164">
        <v>5.4919999999999997E-2</v>
      </c>
      <c r="X469" s="4" t="s">
        <v>409</v>
      </c>
      <c r="Y469" s="4" t="s">
        <v>134</v>
      </c>
      <c r="Z469" s="151">
        <v>53000</v>
      </c>
      <c r="AA469" s="158">
        <v>1</v>
      </c>
      <c r="AB469" s="175">
        <v>91.77</v>
      </c>
      <c r="AD469" s="151">
        <v>48.637999999999998</v>
      </c>
      <c r="AG469" s="2" t="s">
        <v>36</v>
      </c>
      <c r="AH469" s="164">
        <v>5.5000000000000002E-5</v>
      </c>
      <c r="AI469" s="164">
        <v>6.06621514319993E-3</v>
      </c>
      <c r="AJ469" s="164">
        <v>1.3245955520163001E-3</v>
      </c>
    </row>
    <row r="470" spans="1:36">
      <c r="A470" s="2">
        <v>337</v>
      </c>
      <c r="B470" s="2">
        <v>9964</v>
      </c>
      <c r="C470" s="2" t="s">
        <v>1478</v>
      </c>
      <c r="D470" s="2" t="s">
        <v>1479</v>
      </c>
      <c r="E470" s="4" t="s">
        <v>1303</v>
      </c>
      <c r="F470" s="2" t="s">
        <v>1902</v>
      </c>
      <c r="G470" s="2" t="s">
        <v>1903</v>
      </c>
      <c r="H470" s="2" t="s">
        <v>318</v>
      </c>
      <c r="I470" s="2" t="s">
        <v>966</v>
      </c>
      <c r="J470" s="2" t="s">
        <v>30</v>
      </c>
      <c r="K470" s="2" t="s">
        <v>30</v>
      </c>
      <c r="L470" s="2" t="s">
        <v>324</v>
      </c>
      <c r="M470" s="2" t="s">
        <v>41</v>
      </c>
      <c r="N470" s="2" t="s">
        <v>437</v>
      </c>
      <c r="O470" s="2" t="s">
        <v>134</v>
      </c>
      <c r="P470" s="2" t="s">
        <v>1862</v>
      </c>
      <c r="Q470" s="2" t="s">
        <v>410</v>
      </c>
      <c r="R470" s="2" t="s">
        <v>403</v>
      </c>
      <c r="S470" s="2" t="s">
        <v>34</v>
      </c>
      <c r="T470" s="151">
        <v>2.3250000000000002</v>
      </c>
      <c r="U470" s="2" t="s">
        <v>1904</v>
      </c>
      <c r="V470" s="162">
        <v>1.25E-3</v>
      </c>
      <c r="W470" s="164">
        <v>5.6779999999999997E-2</v>
      </c>
      <c r="X470" s="4" t="s">
        <v>409</v>
      </c>
      <c r="Y470" s="4" t="s">
        <v>134</v>
      </c>
      <c r="Z470" s="151">
        <v>16000</v>
      </c>
      <c r="AA470" s="158">
        <v>1</v>
      </c>
      <c r="AB470" s="175">
        <v>88.8</v>
      </c>
      <c r="AD470" s="151">
        <v>14.208</v>
      </c>
      <c r="AG470" s="2" t="s">
        <v>36</v>
      </c>
      <c r="AH470" s="164">
        <v>2.8E-5</v>
      </c>
      <c r="AI470" s="164">
        <v>1.77204259119054E-3</v>
      </c>
      <c r="AJ470" s="164">
        <v>3.86936447004459E-4</v>
      </c>
    </row>
    <row r="471" spans="1:36">
      <c r="A471" s="2">
        <v>337</v>
      </c>
      <c r="B471" s="2">
        <v>9964</v>
      </c>
      <c r="C471" s="2" t="s">
        <v>1905</v>
      </c>
      <c r="D471" s="2" t="s">
        <v>1906</v>
      </c>
      <c r="E471" s="4" t="s">
        <v>1303</v>
      </c>
      <c r="F471" s="2" t="s">
        <v>1907</v>
      </c>
      <c r="G471" s="2" t="s">
        <v>1908</v>
      </c>
      <c r="H471" s="2" t="s">
        <v>318</v>
      </c>
      <c r="I471" s="2" t="s">
        <v>753</v>
      </c>
      <c r="J471" s="2" t="s">
        <v>30</v>
      </c>
      <c r="K471" s="2" t="s">
        <v>30</v>
      </c>
      <c r="L471" s="2" t="s">
        <v>324</v>
      </c>
      <c r="M471" s="2" t="s">
        <v>41</v>
      </c>
      <c r="N471" s="2" t="s">
        <v>439</v>
      </c>
      <c r="O471" s="2" t="s">
        <v>134</v>
      </c>
      <c r="P471" s="2" t="s">
        <v>1909</v>
      </c>
      <c r="Q471" s="2" t="s">
        <v>412</v>
      </c>
      <c r="R471" s="2" t="s">
        <v>403</v>
      </c>
      <c r="S471" s="2" t="s">
        <v>34</v>
      </c>
      <c r="T471" s="151">
        <v>1.222</v>
      </c>
      <c r="U471" s="2" t="s">
        <v>1910</v>
      </c>
      <c r="V471" s="162">
        <v>1.2500000000000001E-2</v>
      </c>
      <c r="W471" s="164">
        <v>4.19E-2</v>
      </c>
      <c r="X471" s="4" t="s">
        <v>409</v>
      </c>
      <c r="Y471" s="4" t="s">
        <v>134</v>
      </c>
      <c r="Z471" s="151">
        <v>0.83</v>
      </c>
      <c r="AA471" s="158">
        <v>1</v>
      </c>
      <c r="AB471" s="175">
        <v>105.98</v>
      </c>
      <c r="AD471" s="151">
        <v>1E-3</v>
      </c>
      <c r="AG471" s="2" t="s">
        <v>36</v>
      </c>
      <c r="AH471" s="164">
        <v>0</v>
      </c>
      <c r="AI471" s="164">
        <v>1.0970924216352E-7</v>
      </c>
      <c r="AJ471" s="164">
        <v>2.3955690781554101E-8</v>
      </c>
    </row>
    <row r="472" spans="1:36">
      <c r="A472" s="2">
        <v>337</v>
      </c>
      <c r="B472" s="2">
        <v>9964</v>
      </c>
      <c r="C472" s="2" t="s">
        <v>1911</v>
      </c>
      <c r="D472" s="2" t="s">
        <v>1912</v>
      </c>
      <c r="E472" s="4" t="s">
        <v>1303</v>
      </c>
      <c r="F472" s="2" t="s">
        <v>1915</v>
      </c>
      <c r="G472" s="2" t="s">
        <v>1916</v>
      </c>
      <c r="H472" s="2" t="s">
        <v>318</v>
      </c>
      <c r="I472" s="2" t="s">
        <v>753</v>
      </c>
      <c r="J472" s="2" t="s">
        <v>30</v>
      </c>
      <c r="K472" s="2" t="s">
        <v>30</v>
      </c>
      <c r="L472" s="2" t="s">
        <v>324</v>
      </c>
      <c r="M472" s="2" t="s">
        <v>41</v>
      </c>
      <c r="N472" s="2" t="s">
        <v>461</v>
      </c>
      <c r="O472" s="2" t="s">
        <v>134</v>
      </c>
      <c r="P472" s="2" t="s">
        <v>1848</v>
      </c>
      <c r="Q472" s="2" t="s">
        <v>410</v>
      </c>
      <c r="R472" s="2" t="s">
        <v>403</v>
      </c>
      <c r="S472" s="2" t="s">
        <v>34</v>
      </c>
      <c r="T472" s="151">
        <v>3.665</v>
      </c>
      <c r="U472" s="2" t="s">
        <v>1863</v>
      </c>
      <c r="V472" s="162">
        <v>1.09E-2</v>
      </c>
      <c r="W472" s="164">
        <v>3.2640000000000002E-2</v>
      </c>
      <c r="X472" s="4" t="s">
        <v>409</v>
      </c>
      <c r="Y472" s="4" t="s">
        <v>134</v>
      </c>
      <c r="Z472" s="151">
        <v>34000</v>
      </c>
      <c r="AA472" s="158">
        <v>1</v>
      </c>
      <c r="AB472" s="175">
        <v>105.7</v>
      </c>
      <c r="AD472" s="151">
        <v>35.938000000000002</v>
      </c>
      <c r="AG472" s="2" t="s">
        <v>36</v>
      </c>
      <c r="AH472" s="164">
        <v>4.8000000000000001E-5</v>
      </c>
      <c r="AI472" s="164">
        <v>4.48224005083091E-3</v>
      </c>
      <c r="AJ472" s="164">
        <v>9.7872480521158907E-4</v>
      </c>
    </row>
    <row r="473" spans="1:36">
      <c r="A473" s="2">
        <v>337</v>
      </c>
      <c r="B473" s="2">
        <v>9964</v>
      </c>
      <c r="C473" s="2" t="s">
        <v>1911</v>
      </c>
      <c r="D473" s="2" t="s">
        <v>1912</v>
      </c>
      <c r="E473" s="4" t="s">
        <v>1303</v>
      </c>
      <c r="F473" s="2" t="s">
        <v>1917</v>
      </c>
      <c r="G473" s="2" t="s">
        <v>1918</v>
      </c>
      <c r="H473" s="2" t="s">
        <v>318</v>
      </c>
      <c r="I473" s="2" t="s">
        <v>753</v>
      </c>
      <c r="J473" s="2" t="s">
        <v>30</v>
      </c>
      <c r="K473" s="2" t="s">
        <v>30</v>
      </c>
      <c r="L473" s="2" t="s">
        <v>324</v>
      </c>
      <c r="M473" s="2" t="s">
        <v>31</v>
      </c>
      <c r="N473" s="2" t="s">
        <v>461</v>
      </c>
      <c r="O473" s="2" t="s">
        <v>134</v>
      </c>
      <c r="P473" s="2" t="s">
        <v>1848</v>
      </c>
      <c r="Q473" s="2" t="s">
        <v>410</v>
      </c>
      <c r="R473" s="2" t="s">
        <v>403</v>
      </c>
      <c r="S473" s="2" t="s">
        <v>34</v>
      </c>
      <c r="T473" s="151">
        <v>6.8319999999999999</v>
      </c>
      <c r="U473" s="2" t="s">
        <v>1919</v>
      </c>
      <c r="V473" s="162">
        <v>4.02E-2</v>
      </c>
      <c r="W473" s="164">
        <v>3.5560000000000001E-2</v>
      </c>
      <c r="X473" s="4" t="s">
        <v>409</v>
      </c>
      <c r="Y473" s="4" t="s">
        <v>134</v>
      </c>
      <c r="Z473" s="151">
        <v>53000</v>
      </c>
      <c r="AA473" s="158">
        <v>1</v>
      </c>
      <c r="AB473" s="175">
        <v>104.52</v>
      </c>
      <c r="AD473" s="151">
        <v>55.396000000000001</v>
      </c>
      <c r="AG473" s="2" t="s">
        <v>36</v>
      </c>
      <c r="AH473" s="164">
        <v>6.6000000000000005E-5</v>
      </c>
      <c r="AI473" s="164">
        <v>6.9090204507710204E-3</v>
      </c>
      <c r="AJ473" s="164">
        <v>1.5086272975563201E-3</v>
      </c>
    </row>
    <row r="474" spans="1:36">
      <c r="A474" s="2">
        <v>337</v>
      </c>
      <c r="B474" s="2">
        <v>9964</v>
      </c>
      <c r="C474" s="2" t="s">
        <v>1920</v>
      </c>
      <c r="D474" s="2" t="s">
        <v>1921</v>
      </c>
      <c r="E474" s="4" t="s">
        <v>1303</v>
      </c>
      <c r="F474" s="2" t="s">
        <v>1922</v>
      </c>
      <c r="G474" s="2" t="s">
        <v>1923</v>
      </c>
      <c r="H474" s="2" t="s">
        <v>318</v>
      </c>
      <c r="I474" s="2" t="s">
        <v>965</v>
      </c>
      <c r="J474" s="2" t="s">
        <v>30</v>
      </c>
      <c r="K474" s="2" t="s">
        <v>30</v>
      </c>
      <c r="L474" s="2" t="s">
        <v>324</v>
      </c>
      <c r="M474" s="2" t="s">
        <v>41</v>
      </c>
      <c r="N474" s="2" t="s">
        <v>443</v>
      </c>
      <c r="O474" s="2" t="s">
        <v>134</v>
      </c>
      <c r="P474" s="2" t="s">
        <v>1842</v>
      </c>
      <c r="Q474" s="2" t="s">
        <v>406</v>
      </c>
      <c r="R474" s="2" t="s">
        <v>406</v>
      </c>
      <c r="S474" s="2" t="s">
        <v>34</v>
      </c>
      <c r="T474" s="151">
        <v>1.629</v>
      </c>
      <c r="U474" s="2" t="s">
        <v>1910</v>
      </c>
      <c r="V474" s="162">
        <v>8.5000000000000006E-2</v>
      </c>
      <c r="W474" s="164">
        <v>6.3089999999999993E-2</v>
      </c>
      <c r="X474" s="4" t="s">
        <v>409</v>
      </c>
      <c r="Y474" s="4" t="s">
        <v>134</v>
      </c>
      <c r="Z474" s="151">
        <v>29000</v>
      </c>
      <c r="AA474" s="158">
        <v>1</v>
      </c>
      <c r="AB474" s="175">
        <v>105.85</v>
      </c>
      <c r="AD474" s="151">
        <v>30.696999999999999</v>
      </c>
      <c r="AG474" s="2" t="s">
        <v>36</v>
      </c>
      <c r="AH474" s="164">
        <v>2.23E-4</v>
      </c>
      <c r="AI474" s="164">
        <v>3.8285124859572398E-3</v>
      </c>
      <c r="AJ474" s="164">
        <v>8.35979352862639E-4</v>
      </c>
    </row>
    <row r="475" spans="1:36">
      <c r="A475" s="2">
        <v>337</v>
      </c>
      <c r="B475" s="2">
        <v>9964</v>
      </c>
      <c r="C475" s="2" t="s">
        <v>1924</v>
      </c>
      <c r="D475" s="2" t="s">
        <v>1925</v>
      </c>
      <c r="E475" s="4" t="s">
        <v>1303</v>
      </c>
      <c r="F475" s="2" t="s">
        <v>1926</v>
      </c>
      <c r="G475" s="2" t="s">
        <v>1927</v>
      </c>
      <c r="H475" s="2" t="s">
        <v>318</v>
      </c>
      <c r="I475" s="2" t="s">
        <v>753</v>
      </c>
      <c r="J475" s="2" t="s">
        <v>30</v>
      </c>
      <c r="K475" s="2" t="s">
        <v>30</v>
      </c>
      <c r="L475" s="2" t="s">
        <v>324</v>
      </c>
      <c r="M475" s="2" t="s">
        <v>41</v>
      </c>
      <c r="N475" s="2" t="s">
        <v>447</v>
      </c>
      <c r="O475" s="2" t="s">
        <v>134</v>
      </c>
      <c r="P475" s="2" t="s">
        <v>1830</v>
      </c>
      <c r="Q475" s="2" t="s">
        <v>410</v>
      </c>
      <c r="R475" s="2" t="s">
        <v>403</v>
      </c>
      <c r="S475" s="2" t="s">
        <v>34</v>
      </c>
      <c r="T475" s="151">
        <v>2.4510000000000001</v>
      </c>
      <c r="U475" s="2" t="s">
        <v>1928</v>
      </c>
      <c r="V475" s="162">
        <v>2.8799999999999999E-2</v>
      </c>
      <c r="W475" s="164">
        <v>3.218E-2</v>
      </c>
      <c r="X475" s="4" t="s">
        <v>409</v>
      </c>
      <c r="Y475" s="4" t="s">
        <v>134</v>
      </c>
      <c r="Z475" s="151">
        <v>45111.11</v>
      </c>
      <c r="AA475" s="158">
        <v>1</v>
      </c>
      <c r="AB475" s="175">
        <v>114.69</v>
      </c>
      <c r="AD475" s="151">
        <v>51.738</v>
      </c>
      <c r="AG475" s="2" t="s">
        <v>36</v>
      </c>
      <c r="AH475" s="164">
        <v>1.9900000000000001E-4</v>
      </c>
      <c r="AI475" s="164">
        <v>6.4528307424458397E-3</v>
      </c>
      <c r="AJ475" s="164">
        <v>1.40901545652221E-3</v>
      </c>
    </row>
    <row r="476" spans="1:36">
      <c r="A476" s="2">
        <v>337</v>
      </c>
      <c r="B476" s="2">
        <v>9964</v>
      </c>
      <c r="C476" s="2" t="s">
        <v>1929</v>
      </c>
      <c r="D476" s="2" t="s">
        <v>1930</v>
      </c>
      <c r="E476" s="4" t="s">
        <v>1303</v>
      </c>
      <c r="F476" s="2" t="s">
        <v>1931</v>
      </c>
      <c r="G476" s="2" t="s">
        <v>1932</v>
      </c>
      <c r="H476" s="2" t="s">
        <v>318</v>
      </c>
      <c r="I476" s="2" t="s">
        <v>965</v>
      </c>
      <c r="J476" s="2" t="s">
        <v>30</v>
      </c>
      <c r="K476" s="2" t="s">
        <v>30</v>
      </c>
      <c r="L476" s="2" t="s">
        <v>324</v>
      </c>
      <c r="M476" s="2" t="s">
        <v>41</v>
      </c>
      <c r="N476" s="2" t="s">
        <v>447</v>
      </c>
      <c r="O476" s="2" t="s">
        <v>134</v>
      </c>
      <c r="P476" s="2" t="s">
        <v>1834</v>
      </c>
      <c r="Q476" s="2" t="s">
        <v>410</v>
      </c>
      <c r="R476" s="2" t="s">
        <v>403</v>
      </c>
      <c r="S476" s="2" t="s">
        <v>34</v>
      </c>
      <c r="T476" s="151">
        <v>6.0330000000000004</v>
      </c>
      <c r="U476" s="2" t="s">
        <v>1933</v>
      </c>
      <c r="V476" s="162">
        <v>5.3100000000000001E-2</v>
      </c>
      <c r="W476" s="164">
        <v>5.2409999999999998E-2</v>
      </c>
      <c r="X476" s="4" t="s">
        <v>409</v>
      </c>
      <c r="Y476" s="4" t="s">
        <v>134</v>
      </c>
      <c r="Z476" s="151">
        <v>17000</v>
      </c>
      <c r="AA476" s="158">
        <v>1</v>
      </c>
      <c r="AB476" s="175">
        <v>101.76</v>
      </c>
      <c r="AD476" s="151">
        <v>17.298999999999999</v>
      </c>
      <c r="AG476" s="2" t="s">
        <v>36</v>
      </c>
      <c r="AH476" s="164">
        <v>5.3000000000000001E-5</v>
      </c>
      <c r="AI476" s="164">
        <v>2.1575815873819898E-3</v>
      </c>
      <c r="AJ476" s="164">
        <v>4.7112126858245599E-4</v>
      </c>
    </row>
    <row r="477" spans="1:36">
      <c r="A477" s="2">
        <v>337</v>
      </c>
      <c r="B477" s="2">
        <v>9964</v>
      </c>
      <c r="C477" s="2" t="s">
        <v>1934</v>
      </c>
      <c r="D477" s="2" t="s">
        <v>1935</v>
      </c>
      <c r="E477" s="4" t="s">
        <v>310</v>
      </c>
      <c r="F477" s="2" t="s">
        <v>1936</v>
      </c>
      <c r="G477" s="2" t="s">
        <v>1937</v>
      </c>
      <c r="H477" s="2" t="s">
        <v>318</v>
      </c>
      <c r="I477" s="2" t="s">
        <v>965</v>
      </c>
      <c r="J477" s="2" t="s">
        <v>30</v>
      </c>
      <c r="K477" s="2" t="s">
        <v>30</v>
      </c>
      <c r="L477" s="2" t="s">
        <v>324</v>
      </c>
      <c r="M477" s="2" t="s">
        <v>41</v>
      </c>
      <c r="N477" s="2" t="s">
        <v>461</v>
      </c>
      <c r="O477" s="2" t="s">
        <v>134</v>
      </c>
      <c r="P477" s="2" t="s">
        <v>1909</v>
      </c>
      <c r="Q477" s="2" t="s">
        <v>412</v>
      </c>
      <c r="R477" s="2" t="s">
        <v>403</v>
      </c>
      <c r="S477" s="2" t="s">
        <v>34</v>
      </c>
      <c r="T477" s="151">
        <v>0.98</v>
      </c>
      <c r="U477" s="2" t="s">
        <v>1938</v>
      </c>
      <c r="V477" s="162">
        <v>7.0000000000000007E-2</v>
      </c>
      <c r="W477" s="164">
        <v>6.5449999999999994E-2</v>
      </c>
      <c r="X477" s="4" t="s">
        <v>409</v>
      </c>
      <c r="Y477" s="4" t="s">
        <v>134</v>
      </c>
      <c r="Z477" s="151">
        <v>0.17</v>
      </c>
      <c r="AA477" s="158">
        <v>1</v>
      </c>
      <c r="AB477" s="175">
        <v>100.55</v>
      </c>
      <c r="AD477" s="151">
        <v>0</v>
      </c>
      <c r="AG477" s="2" t="s">
        <v>36</v>
      </c>
      <c r="AH477" s="164">
        <v>0</v>
      </c>
      <c r="AI477" s="164">
        <v>2.1319263817930399E-8</v>
      </c>
      <c r="AJ477" s="164">
        <v>4.6551929595092407E-9</v>
      </c>
    </row>
    <row r="478" spans="1:36">
      <c r="A478" s="2">
        <v>337</v>
      </c>
      <c r="B478" s="2">
        <v>9964</v>
      </c>
      <c r="C478" s="2" t="s">
        <v>1836</v>
      </c>
      <c r="D478" s="2" t="s">
        <v>1837</v>
      </c>
      <c r="E478" s="4" t="s">
        <v>1303</v>
      </c>
      <c r="F478" s="2" t="s">
        <v>1944</v>
      </c>
      <c r="G478" s="2" t="s">
        <v>1945</v>
      </c>
      <c r="H478" s="2" t="s">
        <v>318</v>
      </c>
      <c r="I478" s="2" t="s">
        <v>753</v>
      </c>
      <c r="J478" s="2" t="s">
        <v>30</v>
      </c>
      <c r="K478" s="2" t="s">
        <v>30</v>
      </c>
      <c r="L478" s="2" t="s">
        <v>324</v>
      </c>
      <c r="M478" s="2" t="s">
        <v>41</v>
      </c>
      <c r="N478" s="2" t="s">
        <v>460</v>
      </c>
      <c r="O478" s="2" t="s">
        <v>134</v>
      </c>
      <c r="P478" s="2" t="s">
        <v>1834</v>
      </c>
      <c r="Q478" s="2" t="s">
        <v>410</v>
      </c>
      <c r="R478" s="2" t="s">
        <v>403</v>
      </c>
      <c r="S478" s="2" t="s">
        <v>34</v>
      </c>
      <c r="T478" s="151">
        <v>4.91</v>
      </c>
      <c r="U478" s="2" t="s">
        <v>1946</v>
      </c>
      <c r="V478" s="162">
        <v>6.4999999999999997E-3</v>
      </c>
      <c r="W478" s="164">
        <v>2.9739999999999999E-2</v>
      </c>
      <c r="X478" s="4" t="s">
        <v>409</v>
      </c>
      <c r="Y478" s="4" t="s">
        <v>134</v>
      </c>
      <c r="Z478" s="151">
        <v>92716.88</v>
      </c>
      <c r="AA478" s="158">
        <v>1</v>
      </c>
      <c r="AB478" s="175">
        <v>102.5</v>
      </c>
      <c r="AD478" s="151">
        <v>95.034999999999997</v>
      </c>
      <c r="AG478" s="2" t="s">
        <v>36</v>
      </c>
      <c r="AH478" s="164">
        <v>4.1E-5</v>
      </c>
      <c r="AI478" s="164">
        <v>1.18528798415935E-2</v>
      </c>
      <c r="AJ478" s="164">
        <v>2.5881495374192199E-3</v>
      </c>
    </row>
    <row r="479" spans="1:36">
      <c r="A479" s="2">
        <v>337</v>
      </c>
      <c r="B479" s="2">
        <v>9964</v>
      </c>
      <c r="C479" s="2" t="s">
        <v>1836</v>
      </c>
      <c r="D479" s="2" t="s">
        <v>1837</v>
      </c>
      <c r="E479" s="4" t="s">
        <v>1303</v>
      </c>
      <c r="F479" s="2" t="s">
        <v>1947</v>
      </c>
      <c r="G479" s="2" t="s">
        <v>1948</v>
      </c>
      <c r="H479" s="2" t="s">
        <v>318</v>
      </c>
      <c r="I479" s="2" t="s">
        <v>753</v>
      </c>
      <c r="J479" s="2" t="s">
        <v>30</v>
      </c>
      <c r="K479" s="2" t="s">
        <v>30</v>
      </c>
      <c r="L479" s="2" t="s">
        <v>324</v>
      </c>
      <c r="M479" s="2" t="s">
        <v>31</v>
      </c>
      <c r="N479" s="2" t="s">
        <v>460</v>
      </c>
      <c r="O479" s="2" t="s">
        <v>134</v>
      </c>
      <c r="P479" s="2" t="s">
        <v>1834</v>
      </c>
      <c r="Q479" s="2" t="s">
        <v>410</v>
      </c>
      <c r="R479" s="2" t="s">
        <v>403</v>
      </c>
      <c r="S479" s="2" t="s">
        <v>34</v>
      </c>
      <c r="T479" s="151">
        <v>7.2910000000000004</v>
      </c>
      <c r="U479" s="2" t="s">
        <v>1949</v>
      </c>
      <c r="V479" s="162">
        <v>3.5999999999999997E-2</v>
      </c>
      <c r="W479" s="164">
        <v>3.2489999999999998E-2</v>
      </c>
      <c r="X479" s="4" t="s">
        <v>409</v>
      </c>
      <c r="Y479" s="4" t="s">
        <v>134</v>
      </c>
      <c r="Z479" s="151">
        <v>70000</v>
      </c>
      <c r="AA479" s="158">
        <v>1</v>
      </c>
      <c r="AB479" s="175">
        <v>104.88</v>
      </c>
      <c r="AD479" s="151">
        <v>73.415999999999997</v>
      </c>
      <c r="AG479" s="2" t="s">
        <v>36</v>
      </c>
      <c r="AH479" s="164">
        <v>9.6000000000000002E-5</v>
      </c>
      <c r="AI479" s="164">
        <v>9.1565511595470602E-3</v>
      </c>
      <c r="AJ479" s="164">
        <v>1.9993895124774301E-3</v>
      </c>
    </row>
    <row r="480" spans="1:36">
      <c r="A480" s="2">
        <v>337</v>
      </c>
      <c r="B480" s="2">
        <v>9964</v>
      </c>
      <c r="C480" s="2" t="s">
        <v>1950</v>
      </c>
      <c r="D480" s="2" t="s">
        <v>1951</v>
      </c>
      <c r="E480" s="4" t="s">
        <v>1303</v>
      </c>
      <c r="F480" s="2" t="s">
        <v>1952</v>
      </c>
      <c r="G480" s="2" t="s">
        <v>1953</v>
      </c>
      <c r="H480" s="2" t="s">
        <v>318</v>
      </c>
      <c r="I480" s="2" t="s">
        <v>753</v>
      </c>
      <c r="J480" s="2" t="s">
        <v>30</v>
      </c>
      <c r="K480" s="2" t="s">
        <v>30</v>
      </c>
      <c r="L480" s="2" t="s">
        <v>324</v>
      </c>
      <c r="M480" s="2" t="s">
        <v>41</v>
      </c>
      <c r="N480" s="2" t="s">
        <v>460</v>
      </c>
      <c r="O480" s="2" t="s">
        <v>134</v>
      </c>
      <c r="P480" s="2" t="s">
        <v>1862</v>
      </c>
      <c r="Q480" s="2" t="s">
        <v>410</v>
      </c>
      <c r="R480" s="2" t="s">
        <v>403</v>
      </c>
      <c r="S480" s="2" t="s">
        <v>34</v>
      </c>
      <c r="T480" s="151">
        <v>5.7060000000000004</v>
      </c>
      <c r="U480" s="2" t="s">
        <v>1954</v>
      </c>
      <c r="V480" s="162">
        <v>3.6799999999999999E-2</v>
      </c>
      <c r="W480" s="164">
        <v>3.5349999999999999E-2</v>
      </c>
      <c r="X480" s="4" t="s">
        <v>409</v>
      </c>
      <c r="Y480" s="4" t="s">
        <v>134</v>
      </c>
      <c r="Z480" s="151">
        <v>70000</v>
      </c>
      <c r="AA480" s="158">
        <v>1</v>
      </c>
      <c r="AB480" s="175">
        <v>105.69</v>
      </c>
      <c r="AD480" s="151">
        <v>73.983000000000004</v>
      </c>
      <c r="AG480" s="2" t="s">
        <v>36</v>
      </c>
      <c r="AH480" s="164">
        <v>1.5799999999999999E-4</v>
      </c>
      <c r="AI480" s="164">
        <v>9.2272682308593493E-3</v>
      </c>
      <c r="AJ480" s="164">
        <v>2.0148310218701402E-3</v>
      </c>
    </row>
    <row r="481" spans="1:36">
      <c r="A481" s="2">
        <v>337</v>
      </c>
      <c r="B481" s="2">
        <v>9964</v>
      </c>
      <c r="C481" s="2" t="s">
        <v>1493</v>
      </c>
      <c r="D481" s="2" t="s">
        <v>1494</v>
      </c>
      <c r="E481" s="4" t="s">
        <v>1303</v>
      </c>
      <c r="F481" s="2" t="s">
        <v>1958</v>
      </c>
      <c r="G481" s="2" t="s">
        <v>1959</v>
      </c>
      <c r="H481" s="2" t="s">
        <v>318</v>
      </c>
      <c r="I481" s="2" t="s">
        <v>965</v>
      </c>
      <c r="J481" s="2" t="s">
        <v>30</v>
      </c>
      <c r="K481" s="2" t="s">
        <v>30</v>
      </c>
      <c r="L481" s="2" t="s">
        <v>324</v>
      </c>
      <c r="M481" s="2" t="s">
        <v>41</v>
      </c>
      <c r="N481" s="2" t="s">
        <v>481</v>
      </c>
      <c r="O481" s="2" t="s">
        <v>134</v>
      </c>
      <c r="P481" s="2" t="s">
        <v>1834</v>
      </c>
      <c r="Q481" s="2" t="s">
        <v>410</v>
      </c>
      <c r="R481" s="2" t="s">
        <v>403</v>
      </c>
      <c r="S481" s="2" t="s">
        <v>34</v>
      </c>
      <c r="T481" s="151">
        <v>7.5209999999999999</v>
      </c>
      <c r="U481" s="2" t="s">
        <v>1960</v>
      </c>
      <c r="V481" s="162">
        <v>2.7900000000000001E-2</v>
      </c>
      <c r="W481" s="164">
        <v>5.1869999999999999E-2</v>
      </c>
      <c r="X481" s="4" t="s">
        <v>409</v>
      </c>
      <c r="Y481" s="4" t="s">
        <v>134</v>
      </c>
      <c r="Z481" s="151">
        <v>70000</v>
      </c>
      <c r="AA481" s="158">
        <v>1</v>
      </c>
      <c r="AB481" s="175">
        <v>84.82</v>
      </c>
      <c r="AD481" s="151">
        <v>59.374000000000002</v>
      </c>
      <c r="AG481" s="2" t="s">
        <v>36</v>
      </c>
      <c r="AH481" s="164">
        <v>5.0000000000000002E-5</v>
      </c>
      <c r="AI481" s="164">
        <v>7.4052123317389596E-3</v>
      </c>
      <c r="AJ481" s="164">
        <v>1.61697386010999E-3</v>
      </c>
    </row>
    <row r="482" spans="1:36">
      <c r="A482" s="2">
        <v>337</v>
      </c>
      <c r="B482" s="2">
        <v>9964</v>
      </c>
      <c r="C482" s="2" t="s">
        <v>1497</v>
      </c>
      <c r="D482" s="2" t="s">
        <v>1498</v>
      </c>
      <c r="E482" s="4" t="s">
        <v>1303</v>
      </c>
      <c r="F482" s="2" t="s">
        <v>1961</v>
      </c>
      <c r="G482" s="2" t="s">
        <v>1962</v>
      </c>
      <c r="H482" s="2" t="s">
        <v>318</v>
      </c>
      <c r="I482" s="2" t="s">
        <v>753</v>
      </c>
      <c r="J482" s="2" t="s">
        <v>30</v>
      </c>
      <c r="K482" s="2" t="s">
        <v>30</v>
      </c>
      <c r="L482" s="2" t="s">
        <v>324</v>
      </c>
      <c r="M482" s="2" t="s">
        <v>41</v>
      </c>
      <c r="N482" s="2" t="s">
        <v>460</v>
      </c>
      <c r="O482" s="2" t="s">
        <v>134</v>
      </c>
      <c r="P482" s="2" t="s">
        <v>1826</v>
      </c>
      <c r="Q482" s="2" t="s">
        <v>410</v>
      </c>
      <c r="R482" s="2" t="s">
        <v>403</v>
      </c>
      <c r="S482" s="2" t="s">
        <v>34</v>
      </c>
      <c r="T482" s="151">
        <v>4.8780000000000001</v>
      </c>
      <c r="U482" s="2" t="s">
        <v>1963</v>
      </c>
      <c r="V482" s="162">
        <v>1.8700000000000001E-2</v>
      </c>
      <c r="W482" s="164">
        <v>3.1629999999999998E-2</v>
      </c>
      <c r="X482" s="4" t="s">
        <v>409</v>
      </c>
      <c r="Y482" s="4" t="s">
        <v>134</v>
      </c>
      <c r="Z482" s="151">
        <v>150000</v>
      </c>
      <c r="AA482" s="158">
        <v>1</v>
      </c>
      <c r="AB482" s="175">
        <v>105.08</v>
      </c>
      <c r="AD482" s="151">
        <v>157.62</v>
      </c>
      <c r="AG482" s="2" t="s">
        <v>36</v>
      </c>
      <c r="AH482" s="164">
        <v>1.47E-4</v>
      </c>
      <c r="AI482" s="164">
        <v>1.9658597496019999E-2</v>
      </c>
      <c r="AJ482" s="164">
        <v>4.2925762089557201E-3</v>
      </c>
    </row>
    <row r="483" spans="1:36">
      <c r="A483" s="2">
        <v>337</v>
      </c>
      <c r="B483" s="2">
        <v>9964</v>
      </c>
      <c r="C483" s="2" t="s">
        <v>1964</v>
      </c>
      <c r="D483" s="2" t="s">
        <v>1965</v>
      </c>
      <c r="E483" s="4" t="s">
        <v>1303</v>
      </c>
      <c r="F483" s="2" t="s">
        <v>1966</v>
      </c>
      <c r="G483" s="2" t="s">
        <v>1967</v>
      </c>
      <c r="H483" s="2" t="s">
        <v>318</v>
      </c>
      <c r="I483" s="2" t="s">
        <v>753</v>
      </c>
      <c r="J483" s="2" t="s">
        <v>30</v>
      </c>
      <c r="K483" s="2" t="s">
        <v>30</v>
      </c>
      <c r="L483" s="2" t="s">
        <v>324</v>
      </c>
      <c r="M483" s="2" t="s">
        <v>41</v>
      </c>
      <c r="N483" s="2" t="s">
        <v>444</v>
      </c>
      <c r="O483" s="2" t="s">
        <v>134</v>
      </c>
      <c r="P483" s="2" t="s">
        <v>1826</v>
      </c>
      <c r="Q483" s="2" t="s">
        <v>410</v>
      </c>
      <c r="R483" s="2" t="s">
        <v>403</v>
      </c>
      <c r="S483" s="2" t="s">
        <v>34</v>
      </c>
      <c r="T483" s="151">
        <v>2.9670000000000001</v>
      </c>
      <c r="U483" s="2" t="s">
        <v>1968</v>
      </c>
      <c r="V483" s="162">
        <v>1.09E-2</v>
      </c>
      <c r="W483" s="164">
        <v>2.9389999999999999E-2</v>
      </c>
      <c r="X483" s="4" t="s">
        <v>409</v>
      </c>
      <c r="Y483" s="4" t="s">
        <v>134</v>
      </c>
      <c r="Z483" s="151">
        <v>50000</v>
      </c>
      <c r="AA483" s="158">
        <v>1</v>
      </c>
      <c r="AB483" s="175">
        <v>105.7</v>
      </c>
      <c r="AD483" s="151">
        <v>52.85</v>
      </c>
      <c r="AG483" s="2" t="s">
        <v>36</v>
      </c>
      <c r="AH483" s="164">
        <v>5.5000000000000002E-5</v>
      </c>
      <c r="AI483" s="164">
        <v>6.5915294865160502E-3</v>
      </c>
      <c r="AJ483" s="164">
        <v>1.43930118413469E-3</v>
      </c>
    </row>
    <row r="484" spans="1:36">
      <c r="A484" s="2">
        <v>337</v>
      </c>
      <c r="B484" s="2">
        <v>9964</v>
      </c>
      <c r="C484" s="2" t="s">
        <v>1964</v>
      </c>
      <c r="D484" s="2" t="s">
        <v>1965</v>
      </c>
      <c r="E484" s="4" t="s">
        <v>1303</v>
      </c>
      <c r="F484" s="2" t="s">
        <v>1969</v>
      </c>
      <c r="G484" s="2" t="s">
        <v>1970</v>
      </c>
      <c r="H484" s="2" t="s">
        <v>318</v>
      </c>
      <c r="I484" s="2" t="s">
        <v>753</v>
      </c>
      <c r="J484" s="2" t="s">
        <v>30</v>
      </c>
      <c r="K484" s="2" t="s">
        <v>30</v>
      </c>
      <c r="L484" s="2" t="s">
        <v>324</v>
      </c>
      <c r="M484" s="2" t="s">
        <v>41</v>
      </c>
      <c r="N484" s="2" t="s">
        <v>444</v>
      </c>
      <c r="O484" s="2" t="s">
        <v>134</v>
      </c>
      <c r="P484" s="2" t="s">
        <v>1826</v>
      </c>
      <c r="Q484" s="2" t="s">
        <v>410</v>
      </c>
      <c r="R484" s="2" t="s">
        <v>403</v>
      </c>
      <c r="S484" s="2" t="s">
        <v>34</v>
      </c>
      <c r="T484" s="151">
        <v>3.78</v>
      </c>
      <c r="U484" s="2" t="s">
        <v>1971</v>
      </c>
      <c r="V484" s="162">
        <v>2.9899999999999999E-2</v>
      </c>
      <c r="W484" s="164">
        <v>3.065E-2</v>
      </c>
      <c r="X484" s="4" t="s">
        <v>409</v>
      </c>
      <c r="Y484" s="4" t="s">
        <v>134</v>
      </c>
      <c r="Z484" s="151">
        <v>33183</v>
      </c>
      <c r="AA484" s="158">
        <v>1</v>
      </c>
      <c r="AB484" s="175">
        <v>107.65</v>
      </c>
      <c r="AD484" s="151">
        <v>35.720999999999997</v>
      </c>
      <c r="AG484" s="2" t="s">
        <v>36</v>
      </c>
      <c r="AH484" s="164">
        <v>4.1E-5</v>
      </c>
      <c r="AI484" s="164">
        <v>4.4552377910467003E-3</v>
      </c>
      <c r="AJ484" s="164">
        <v>9.7282869497477198E-4</v>
      </c>
    </row>
    <row r="485" spans="1:36">
      <c r="A485" s="2">
        <v>337</v>
      </c>
      <c r="B485" s="2">
        <v>9964</v>
      </c>
      <c r="C485" s="2" t="s">
        <v>1671</v>
      </c>
      <c r="D485" s="2" t="s">
        <v>1672</v>
      </c>
      <c r="E485" s="4" t="s">
        <v>1303</v>
      </c>
      <c r="F485" s="2" t="s">
        <v>1972</v>
      </c>
      <c r="G485" s="2" t="s">
        <v>1973</v>
      </c>
      <c r="H485" s="2" t="s">
        <v>318</v>
      </c>
      <c r="I485" s="2" t="s">
        <v>965</v>
      </c>
      <c r="J485" s="2" t="s">
        <v>30</v>
      </c>
      <c r="K485" s="2" t="s">
        <v>30</v>
      </c>
      <c r="L485" s="2" t="s">
        <v>324</v>
      </c>
      <c r="M485" s="2" t="s">
        <v>41</v>
      </c>
      <c r="N485" s="2" t="s">
        <v>436</v>
      </c>
      <c r="O485" s="2" t="s">
        <v>134</v>
      </c>
      <c r="P485" s="2" t="s">
        <v>1909</v>
      </c>
      <c r="Q485" s="2" t="s">
        <v>412</v>
      </c>
      <c r="R485" s="2" t="s">
        <v>403</v>
      </c>
      <c r="S485" s="2" t="s">
        <v>34</v>
      </c>
      <c r="T485" s="151">
        <v>2.621</v>
      </c>
      <c r="U485" s="2" t="s">
        <v>1974</v>
      </c>
      <c r="V485" s="162">
        <v>7.2499999999999995E-2</v>
      </c>
      <c r="W485" s="164">
        <v>5.6919999999999998E-2</v>
      </c>
      <c r="X485" s="4" t="s">
        <v>409</v>
      </c>
      <c r="Y485" s="4" t="s">
        <v>134</v>
      </c>
      <c r="Z485" s="151">
        <v>138600</v>
      </c>
      <c r="AA485" s="158">
        <v>1</v>
      </c>
      <c r="AB485" s="175">
        <v>107.37</v>
      </c>
      <c r="AD485" s="151">
        <v>148.815</v>
      </c>
      <c r="AG485" s="2" t="s">
        <v>36</v>
      </c>
      <c r="AH485" s="164">
        <v>1.92E-4</v>
      </c>
      <c r="AI485" s="164">
        <v>1.8560402536623999E-2</v>
      </c>
      <c r="AJ485" s="164">
        <v>4.0527785552088996E-3</v>
      </c>
    </row>
    <row r="486" spans="1:36">
      <c r="A486" s="2">
        <v>337</v>
      </c>
      <c r="B486" s="2">
        <v>9964</v>
      </c>
      <c r="C486" s="2" t="s">
        <v>1513</v>
      </c>
      <c r="D486" s="2" t="s">
        <v>1514</v>
      </c>
      <c r="E486" s="4" t="s">
        <v>1303</v>
      </c>
      <c r="F486" s="2" t="s">
        <v>1983</v>
      </c>
      <c r="G486" s="2" t="s">
        <v>1984</v>
      </c>
      <c r="H486" s="2" t="s">
        <v>318</v>
      </c>
      <c r="I486" s="2" t="s">
        <v>753</v>
      </c>
      <c r="J486" s="2" t="s">
        <v>30</v>
      </c>
      <c r="K486" s="2" t="s">
        <v>30</v>
      </c>
      <c r="L486" s="2" t="s">
        <v>324</v>
      </c>
      <c r="M486" s="2" t="s">
        <v>41</v>
      </c>
      <c r="N486" s="2" t="s">
        <v>460</v>
      </c>
      <c r="O486" s="2" t="s">
        <v>134</v>
      </c>
      <c r="P486" s="2" t="s">
        <v>1834</v>
      </c>
      <c r="Q486" s="2" t="s">
        <v>410</v>
      </c>
      <c r="R486" s="2" t="s">
        <v>403</v>
      </c>
      <c r="S486" s="2" t="s">
        <v>34</v>
      </c>
      <c r="T486" s="151">
        <v>3.4889999999999999</v>
      </c>
      <c r="U486" s="2" t="s">
        <v>1985</v>
      </c>
      <c r="V486" s="162">
        <v>5.0000000000000001E-3</v>
      </c>
      <c r="W486" s="164">
        <v>3.0589999999999999E-2</v>
      </c>
      <c r="X486" s="4" t="s">
        <v>409</v>
      </c>
      <c r="Y486" s="4" t="s">
        <v>134</v>
      </c>
      <c r="Z486" s="151">
        <v>105000.68</v>
      </c>
      <c r="AA486" s="158">
        <v>1</v>
      </c>
      <c r="AB486" s="175">
        <v>105.54</v>
      </c>
      <c r="AD486" s="151">
        <v>110.818</v>
      </c>
      <c r="AG486" s="2" t="s">
        <v>36</v>
      </c>
      <c r="AH486" s="164">
        <v>6.4999999999999994E-5</v>
      </c>
      <c r="AI486" s="164">
        <v>1.3821348224473E-2</v>
      </c>
      <c r="AJ486" s="164">
        <v>3.0179767695063999E-3</v>
      </c>
    </row>
    <row r="487" spans="1:36">
      <c r="A487" s="2">
        <v>337</v>
      </c>
      <c r="B487" s="2">
        <v>9964</v>
      </c>
      <c r="C487" s="2" t="s">
        <v>1513</v>
      </c>
      <c r="D487" s="2" t="s">
        <v>1514</v>
      </c>
      <c r="E487" s="4" t="s">
        <v>1303</v>
      </c>
      <c r="F487" s="2" t="s">
        <v>2474</v>
      </c>
      <c r="G487" s="2" t="s">
        <v>2475</v>
      </c>
      <c r="H487" s="2" t="s">
        <v>318</v>
      </c>
      <c r="I487" s="2" t="s">
        <v>753</v>
      </c>
      <c r="J487" s="2" t="s">
        <v>30</v>
      </c>
      <c r="K487" s="2" t="s">
        <v>30</v>
      </c>
      <c r="L487" s="2" t="s">
        <v>324</v>
      </c>
      <c r="M487" s="2" t="s">
        <v>41</v>
      </c>
      <c r="N487" s="2" t="s">
        <v>460</v>
      </c>
      <c r="O487" s="2" t="s">
        <v>134</v>
      </c>
      <c r="P487" s="2" t="s">
        <v>1834</v>
      </c>
      <c r="Q487" s="2" t="s">
        <v>410</v>
      </c>
      <c r="R487" s="2" t="s">
        <v>403</v>
      </c>
      <c r="S487" s="2" t="s">
        <v>34</v>
      </c>
      <c r="T487" s="151">
        <v>4.673</v>
      </c>
      <c r="U487" s="2" t="s">
        <v>2476</v>
      </c>
      <c r="V487" s="162">
        <v>5.8999999999999999E-3</v>
      </c>
      <c r="W487" s="164">
        <v>3.0779999999999998E-2</v>
      </c>
      <c r="X487" s="4" t="s">
        <v>409</v>
      </c>
      <c r="Y487" s="4" t="s">
        <v>134</v>
      </c>
      <c r="Z487" s="151">
        <v>121847</v>
      </c>
      <c r="AA487" s="158">
        <v>1</v>
      </c>
      <c r="AB487" s="175">
        <v>100.11</v>
      </c>
      <c r="AD487" s="151">
        <v>121.98099999999999</v>
      </c>
      <c r="AG487" s="2" t="s">
        <v>36</v>
      </c>
      <c r="AH487" s="164">
        <v>8.7000000000000001E-5</v>
      </c>
      <c r="AI487" s="164">
        <v>1.52136531172412E-2</v>
      </c>
      <c r="AJ487" s="164">
        <v>3.3219951441396602E-3</v>
      </c>
    </row>
    <row r="488" spans="1:36">
      <c r="A488" s="2">
        <v>337</v>
      </c>
      <c r="B488" s="2">
        <v>9964</v>
      </c>
      <c r="C488" s="2" t="s">
        <v>1988</v>
      </c>
      <c r="D488" s="2" t="s">
        <v>1989</v>
      </c>
      <c r="E488" s="4" t="s">
        <v>1303</v>
      </c>
      <c r="F488" s="2" t="s">
        <v>1990</v>
      </c>
      <c r="G488" s="2" t="s">
        <v>1991</v>
      </c>
      <c r="H488" s="2" t="s">
        <v>318</v>
      </c>
      <c r="I488" s="2" t="s">
        <v>965</v>
      </c>
      <c r="J488" s="2" t="s">
        <v>30</v>
      </c>
      <c r="K488" s="2" t="s">
        <v>30</v>
      </c>
      <c r="L488" s="2" t="s">
        <v>324</v>
      </c>
      <c r="M488" s="2" t="s">
        <v>41</v>
      </c>
      <c r="N488" s="2" t="s">
        <v>443</v>
      </c>
      <c r="O488" s="2" t="s">
        <v>134</v>
      </c>
      <c r="P488" s="2" t="s">
        <v>1842</v>
      </c>
      <c r="Q488" s="2" t="s">
        <v>406</v>
      </c>
      <c r="R488" s="2" t="s">
        <v>406</v>
      </c>
      <c r="S488" s="2" t="s">
        <v>34</v>
      </c>
      <c r="T488" s="151">
        <v>1.177</v>
      </c>
      <c r="U488" s="2" t="s">
        <v>1992</v>
      </c>
      <c r="V488" s="162">
        <v>3.8699999999999998E-2</v>
      </c>
      <c r="W488" s="164">
        <v>5.9119999999999999E-2</v>
      </c>
      <c r="X488" s="4" t="s">
        <v>409</v>
      </c>
      <c r="Y488" s="4" t="s">
        <v>134</v>
      </c>
      <c r="Z488" s="151">
        <v>0.84</v>
      </c>
      <c r="AA488" s="158">
        <v>1</v>
      </c>
      <c r="AB488" s="175">
        <v>98.73</v>
      </c>
      <c r="AD488" s="151">
        <v>1E-3</v>
      </c>
      <c r="AG488" s="2" t="s">
        <v>36</v>
      </c>
      <c r="AH488" s="164">
        <v>0</v>
      </c>
      <c r="AI488" s="164">
        <v>1.03435502972778E-7</v>
      </c>
      <c r="AJ488" s="164">
        <v>2.25857810717273E-8</v>
      </c>
    </row>
    <row r="489" spans="1:36">
      <c r="A489" s="2">
        <v>337</v>
      </c>
      <c r="B489" s="2">
        <v>9964</v>
      </c>
      <c r="C489" s="2" t="s">
        <v>1988</v>
      </c>
      <c r="D489" s="2" t="s">
        <v>1989</v>
      </c>
      <c r="E489" s="4" t="s">
        <v>1303</v>
      </c>
      <c r="F489" s="2" t="s">
        <v>1993</v>
      </c>
      <c r="G489" s="2" t="s">
        <v>1994</v>
      </c>
      <c r="H489" s="2" t="s">
        <v>318</v>
      </c>
      <c r="I489" s="2" t="s">
        <v>965</v>
      </c>
      <c r="J489" s="2" t="s">
        <v>30</v>
      </c>
      <c r="K489" s="2" t="s">
        <v>30</v>
      </c>
      <c r="L489" s="2" t="s">
        <v>324</v>
      </c>
      <c r="M489" s="2" t="s">
        <v>41</v>
      </c>
      <c r="N489" s="2" t="s">
        <v>443</v>
      </c>
      <c r="O489" s="2" t="s">
        <v>134</v>
      </c>
      <c r="P489" s="2" t="s">
        <v>1842</v>
      </c>
      <c r="Q489" s="2" t="s">
        <v>406</v>
      </c>
      <c r="R489" s="2" t="s">
        <v>406</v>
      </c>
      <c r="S489" s="2" t="s">
        <v>34</v>
      </c>
      <c r="T489" s="151">
        <v>1.18</v>
      </c>
      <c r="U489" s="2" t="s">
        <v>1910</v>
      </c>
      <c r="V489" s="162">
        <v>6.25E-2</v>
      </c>
      <c r="W489" s="164">
        <v>6.8479999999999999E-2</v>
      </c>
      <c r="X489" s="4" t="s">
        <v>409</v>
      </c>
      <c r="Y489" s="4" t="s">
        <v>134</v>
      </c>
      <c r="Z489" s="151">
        <v>0.5</v>
      </c>
      <c r="AA489" s="158">
        <v>1</v>
      </c>
      <c r="AB489" s="175">
        <v>101.01</v>
      </c>
      <c r="AD489" s="151">
        <v>1E-3</v>
      </c>
      <c r="AG489" s="2" t="s">
        <v>36</v>
      </c>
      <c r="AH489" s="164">
        <v>0</v>
      </c>
      <c r="AI489" s="164">
        <v>6.2990576483726205E-8</v>
      </c>
      <c r="AJ489" s="164">
        <v>1.3754381514611601E-8</v>
      </c>
    </row>
    <row r="490" spans="1:36">
      <c r="A490" s="2">
        <v>337</v>
      </c>
      <c r="B490" s="2">
        <v>9964</v>
      </c>
      <c r="C490" s="2" t="s">
        <v>1995</v>
      </c>
      <c r="D490" s="2" t="s">
        <v>1996</v>
      </c>
      <c r="E490" s="4" t="s">
        <v>1303</v>
      </c>
      <c r="F490" s="2" t="s">
        <v>1997</v>
      </c>
      <c r="G490" s="2" t="s">
        <v>1998</v>
      </c>
      <c r="H490" s="2" t="s">
        <v>318</v>
      </c>
      <c r="I490" s="2" t="s">
        <v>966</v>
      </c>
      <c r="J490" s="2" t="s">
        <v>30</v>
      </c>
      <c r="K490" s="2" t="s">
        <v>30</v>
      </c>
      <c r="L490" s="2" t="s">
        <v>324</v>
      </c>
      <c r="M490" s="2" t="s">
        <v>41</v>
      </c>
      <c r="N490" s="2" t="s">
        <v>443</v>
      </c>
      <c r="O490" s="2" t="s">
        <v>134</v>
      </c>
      <c r="P490" s="2" t="s">
        <v>1842</v>
      </c>
      <c r="Q490" s="2" t="s">
        <v>406</v>
      </c>
      <c r="R490" s="2" t="s">
        <v>406</v>
      </c>
      <c r="S490" s="2" t="s">
        <v>34</v>
      </c>
      <c r="T490" s="151">
        <v>3.24</v>
      </c>
      <c r="U490" s="2" t="s">
        <v>1831</v>
      </c>
      <c r="V490" s="162">
        <v>7.0000000000000007E-2</v>
      </c>
      <c r="W490" s="164">
        <v>-6.3850000000000004E-2</v>
      </c>
      <c r="X490" s="4" t="s">
        <v>409</v>
      </c>
      <c r="Y490" s="4" t="s">
        <v>134</v>
      </c>
      <c r="Z490" s="151">
        <v>13000</v>
      </c>
      <c r="AA490" s="158">
        <v>1</v>
      </c>
      <c r="AB490" s="175">
        <v>133.1</v>
      </c>
      <c r="AD490" s="151">
        <v>17.303000000000001</v>
      </c>
      <c r="AG490" s="2" t="s">
        <v>36</v>
      </c>
      <c r="AH490" s="164">
        <v>2.5999999999999998E-4</v>
      </c>
      <c r="AI490" s="164">
        <v>2.1580555289534E-3</v>
      </c>
      <c r="AJ490" s="164">
        <v>4.7122475665245999E-4</v>
      </c>
    </row>
    <row r="491" spans="1:36">
      <c r="A491" s="2">
        <v>337</v>
      </c>
      <c r="B491" s="2">
        <v>9964</v>
      </c>
      <c r="C491" s="2" t="s">
        <v>2372</v>
      </c>
      <c r="D491" s="2" t="s">
        <v>2373</v>
      </c>
      <c r="E491" s="4" t="s">
        <v>33</v>
      </c>
      <c r="F491" s="2" t="s">
        <v>2376</v>
      </c>
      <c r="G491" s="2" t="s">
        <v>2377</v>
      </c>
      <c r="H491" s="2" t="s">
        <v>318</v>
      </c>
      <c r="I491" s="2" t="s">
        <v>965</v>
      </c>
      <c r="J491" s="2" t="s">
        <v>30</v>
      </c>
      <c r="K491" s="2" t="s">
        <v>80</v>
      </c>
      <c r="L491" s="2" t="s">
        <v>324</v>
      </c>
      <c r="M491" s="2" t="s">
        <v>41</v>
      </c>
      <c r="N491" s="2" t="s">
        <v>461</v>
      </c>
      <c r="O491" s="2" t="s">
        <v>134</v>
      </c>
      <c r="P491" s="2" t="s">
        <v>1862</v>
      </c>
      <c r="Q491" s="2" t="s">
        <v>410</v>
      </c>
      <c r="R491" s="2" t="s">
        <v>403</v>
      </c>
      <c r="S491" s="2" t="s">
        <v>34</v>
      </c>
      <c r="T491" s="151">
        <v>1.611</v>
      </c>
      <c r="U491" s="2" t="s">
        <v>2331</v>
      </c>
      <c r="V491" s="162">
        <v>6.8000000000000005E-2</v>
      </c>
      <c r="W491" s="164">
        <v>6.123E-2</v>
      </c>
      <c r="X491" s="4" t="s">
        <v>409</v>
      </c>
      <c r="Y491" s="4" t="s">
        <v>134</v>
      </c>
      <c r="Z491" s="151">
        <v>42975</v>
      </c>
      <c r="AA491" s="158">
        <v>1</v>
      </c>
      <c r="AB491" s="175">
        <v>102.91</v>
      </c>
      <c r="AD491" s="151">
        <v>44.225999999999999</v>
      </c>
      <c r="AG491" s="2" t="s">
        <v>36</v>
      </c>
      <c r="AH491" s="164">
        <v>1.2400000000000001E-4</v>
      </c>
      <c r="AI491" s="164">
        <v>5.5158782439319399E-3</v>
      </c>
      <c r="AJ491" s="164">
        <v>1.2044260902229801E-3</v>
      </c>
    </row>
    <row r="492" spans="1:36">
      <c r="A492" s="2">
        <v>337</v>
      </c>
      <c r="B492" s="2">
        <v>9964</v>
      </c>
      <c r="C492" s="2" t="s">
        <v>1999</v>
      </c>
      <c r="D492" s="2" t="s">
        <v>2000</v>
      </c>
      <c r="E492" s="4" t="s">
        <v>1303</v>
      </c>
      <c r="F492" s="2" t="s">
        <v>2001</v>
      </c>
      <c r="G492" s="2" t="s">
        <v>2002</v>
      </c>
      <c r="H492" s="2" t="s">
        <v>318</v>
      </c>
      <c r="I492" s="2" t="s">
        <v>753</v>
      </c>
      <c r="J492" s="2" t="s">
        <v>30</v>
      </c>
      <c r="K492" s="2" t="s">
        <v>30</v>
      </c>
      <c r="L492" s="2" t="s">
        <v>324</v>
      </c>
      <c r="M492" s="2" t="s">
        <v>41</v>
      </c>
      <c r="N492" s="2" t="s">
        <v>444</v>
      </c>
      <c r="O492" s="2" t="s">
        <v>134</v>
      </c>
      <c r="P492" s="2" t="s">
        <v>1176</v>
      </c>
      <c r="Q492" s="2" t="s">
        <v>410</v>
      </c>
      <c r="R492" s="2" t="s">
        <v>403</v>
      </c>
      <c r="S492" s="2" t="s">
        <v>34</v>
      </c>
      <c r="T492" s="151">
        <v>3.7480000000000002</v>
      </c>
      <c r="U492" s="2" t="s">
        <v>2003</v>
      </c>
      <c r="V492" s="162">
        <v>2E-3</v>
      </c>
      <c r="W492" s="164">
        <v>2.5999999999999999E-2</v>
      </c>
      <c r="X492" s="4" t="s">
        <v>409</v>
      </c>
      <c r="Y492" s="4" t="s">
        <v>134</v>
      </c>
      <c r="Z492" s="151">
        <v>123529.43</v>
      </c>
      <c r="AA492" s="158">
        <v>1</v>
      </c>
      <c r="AB492" s="175">
        <v>103.06</v>
      </c>
      <c r="AD492" s="151">
        <v>127.309</v>
      </c>
      <c r="AG492" s="2" t="s">
        <v>36</v>
      </c>
      <c r="AH492" s="164">
        <v>3.6000000000000001E-5</v>
      </c>
      <c r="AI492" s="164">
        <v>1.58782188350922E-2</v>
      </c>
      <c r="AJ492" s="164">
        <v>3.4671071741464998E-3</v>
      </c>
    </row>
    <row r="493" spans="1:36">
      <c r="A493" s="2">
        <v>337</v>
      </c>
      <c r="B493" s="2">
        <v>9964</v>
      </c>
      <c r="C493" s="2" t="s">
        <v>1999</v>
      </c>
      <c r="D493" s="2" t="s">
        <v>2000</v>
      </c>
      <c r="E493" s="4" t="s">
        <v>1303</v>
      </c>
      <c r="F493" s="2" t="s">
        <v>2378</v>
      </c>
      <c r="G493" s="2" t="s">
        <v>2379</v>
      </c>
      <c r="H493" s="2" t="s">
        <v>318</v>
      </c>
      <c r="I493" s="2" t="s">
        <v>753</v>
      </c>
      <c r="J493" s="2" t="s">
        <v>30</v>
      </c>
      <c r="K493" s="2" t="s">
        <v>30</v>
      </c>
      <c r="L493" s="2" t="s">
        <v>324</v>
      </c>
      <c r="M493" s="2" t="s">
        <v>41</v>
      </c>
      <c r="N493" s="2" t="s">
        <v>444</v>
      </c>
      <c r="O493" s="2" t="s">
        <v>134</v>
      </c>
      <c r="P493" s="2" t="s">
        <v>1826</v>
      </c>
      <c r="Q493" s="2" t="s">
        <v>410</v>
      </c>
      <c r="R493" s="2" t="s">
        <v>403</v>
      </c>
      <c r="S493" s="2" t="s">
        <v>34</v>
      </c>
      <c r="T493" s="151">
        <v>2.58</v>
      </c>
      <c r="U493" s="2" t="s">
        <v>2380</v>
      </c>
      <c r="V493" s="162">
        <v>2E-3</v>
      </c>
      <c r="W493" s="164">
        <v>2.964E-2</v>
      </c>
      <c r="X493" s="4" t="s">
        <v>409</v>
      </c>
      <c r="Y493" s="4" t="s">
        <v>134</v>
      </c>
      <c r="Z493" s="151">
        <v>50000</v>
      </c>
      <c r="AA493" s="158">
        <v>1</v>
      </c>
      <c r="AB493" s="175">
        <v>105.18</v>
      </c>
      <c r="AD493" s="151">
        <v>52.59</v>
      </c>
      <c r="AG493" s="2" t="s">
        <v>36</v>
      </c>
      <c r="AH493" s="164">
        <v>8.7000000000000001E-5</v>
      </c>
      <c r="AI493" s="164">
        <v>6.55910190531465E-3</v>
      </c>
      <c r="AJ493" s="164">
        <v>1.4322204214501999E-3</v>
      </c>
    </row>
    <row r="494" spans="1:36">
      <c r="A494" s="2">
        <v>337</v>
      </c>
      <c r="B494" s="2">
        <v>9964</v>
      </c>
      <c r="C494" s="2" t="s">
        <v>2007</v>
      </c>
      <c r="D494" s="2" t="s">
        <v>2008</v>
      </c>
      <c r="E494" s="4" t="s">
        <v>1303</v>
      </c>
      <c r="F494" s="2" t="s">
        <v>2009</v>
      </c>
      <c r="G494" s="2" t="s">
        <v>2010</v>
      </c>
      <c r="H494" s="2" t="s">
        <v>318</v>
      </c>
      <c r="I494" s="2" t="s">
        <v>753</v>
      </c>
      <c r="J494" s="2" t="s">
        <v>30</v>
      </c>
      <c r="K494" s="2" t="s">
        <v>30</v>
      </c>
      <c r="L494" s="2" t="s">
        <v>324</v>
      </c>
      <c r="M494" s="2" t="s">
        <v>41</v>
      </c>
      <c r="N494" s="2" t="s">
        <v>436</v>
      </c>
      <c r="O494" s="2" t="s">
        <v>134</v>
      </c>
      <c r="P494" s="2" t="s">
        <v>1909</v>
      </c>
      <c r="Q494" s="2" t="s">
        <v>412</v>
      </c>
      <c r="R494" s="2" t="s">
        <v>403</v>
      </c>
      <c r="S494" s="2" t="s">
        <v>34</v>
      </c>
      <c r="T494" s="151">
        <v>3.448</v>
      </c>
      <c r="U494" s="2" t="s">
        <v>2011</v>
      </c>
      <c r="V494" s="162">
        <v>1.7999999999999999E-2</v>
      </c>
      <c r="W494" s="164">
        <v>3.4950000000000002E-2</v>
      </c>
      <c r="X494" s="4" t="s">
        <v>409</v>
      </c>
      <c r="Y494" s="4" t="s">
        <v>134</v>
      </c>
      <c r="Z494" s="151">
        <v>37749.56</v>
      </c>
      <c r="AA494" s="158">
        <v>1</v>
      </c>
      <c r="AB494" s="175">
        <v>109.14</v>
      </c>
      <c r="AD494" s="151">
        <v>41.2</v>
      </c>
      <c r="AG494" s="2" t="s">
        <v>36</v>
      </c>
      <c r="AH494" s="164">
        <v>4.3000000000000002E-5</v>
      </c>
      <c r="AI494" s="164">
        <v>5.1385081650304198E-3</v>
      </c>
      <c r="AJ494" s="164">
        <v>1.12202500220068E-3</v>
      </c>
    </row>
    <row r="495" spans="1:36">
      <c r="A495" s="2">
        <v>337</v>
      </c>
      <c r="B495" s="2">
        <v>9964</v>
      </c>
      <c r="C495" s="2" t="s">
        <v>2012</v>
      </c>
      <c r="D495" s="2" t="s">
        <v>2013</v>
      </c>
      <c r="E495" s="4" t="s">
        <v>1303</v>
      </c>
      <c r="F495" s="2" t="s">
        <v>2016</v>
      </c>
      <c r="G495" s="2" t="s">
        <v>2017</v>
      </c>
      <c r="H495" s="2" t="s">
        <v>318</v>
      </c>
      <c r="I495" s="2" t="s">
        <v>965</v>
      </c>
      <c r="J495" s="2" t="s">
        <v>30</v>
      </c>
      <c r="K495" s="2" t="s">
        <v>30</v>
      </c>
      <c r="L495" s="2" t="s">
        <v>324</v>
      </c>
      <c r="M495" s="2" t="s">
        <v>31</v>
      </c>
      <c r="N495" s="2" t="s">
        <v>450</v>
      </c>
      <c r="O495" s="2" t="s">
        <v>134</v>
      </c>
      <c r="P495" s="2" t="s">
        <v>1830</v>
      </c>
      <c r="Q495" s="2" t="s">
        <v>410</v>
      </c>
      <c r="R495" s="2" t="s">
        <v>403</v>
      </c>
      <c r="S495" s="2" t="s">
        <v>34</v>
      </c>
      <c r="T495" s="151">
        <v>5.6980000000000004</v>
      </c>
      <c r="U495" s="2" t="s">
        <v>1985</v>
      </c>
      <c r="V495" s="162">
        <v>5.6899999999999999E-2</v>
      </c>
      <c r="W495" s="164">
        <v>6.0499999999999998E-2</v>
      </c>
      <c r="X495" s="4" t="s">
        <v>409</v>
      </c>
      <c r="Y495" s="4" t="s">
        <v>134</v>
      </c>
      <c r="Z495" s="151">
        <v>53000</v>
      </c>
      <c r="AA495" s="158">
        <v>1</v>
      </c>
      <c r="AB495" s="175">
        <v>99.25</v>
      </c>
      <c r="AD495" s="151">
        <v>52.601999999999997</v>
      </c>
      <c r="AG495" s="2" t="s">
        <v>36</v>
      </c>
      <c r="AH495" s="164">
        <v>5.0000000000000002E-5</v>
      </c>
      <c r="AI495" s="164">
        <v>6.56066092364164E-3</v>
      </c>
      <c r="AJ495" s="164">
        <v>1.4325608427331099E-3</v>
      </c>
    </row>
    <row r="496" spans="1:36">
      <c r="A496" s="2">
        <v>337</v>
      </c>
      <c r="B496" s="2">
        <v>9964</v>
      </c>
      <c r="C496" s="2" t="s">
        <v>2012</v>
      </c>
      <c r="D496" s="2" t="s">
        <v>2013</v>
      </c>
      <c r="E496" s="4" t="s">
        <v>1303</v>
      </c>
      <c r="F496" s="2" t="s">
        <v>2381</v>
      </c>
      <c r="G496" s="2" t="s">
        <v>2382</v>
      </c>
      <c r="H496" s="2" t="s">
        <v>318</v>
      </c>
      <c r="I496" s="2" t="s">
        <v>965</v>
      </c>
      <c r="J496" s="2" t="s">
        <v>30</v>
      </c>
      <c r="K496" s="2" t="s">
        <v>30</v>
      </c>
      <c r="L496" s="2" t="s">
        <v>324</v>
      </c>
      <c r="M496" s="2" t="s">
        <v>31</v>
      </c>
      <c r="N496" s="2" t="s">
        <v>450</v>
      </c>
      <c r="O496" s="2" t="s">
        <v>134</v>
      </c>
      <c r="P496" s="2" t="s">
        <v>1830</v>
      </c>
      <c r="Q496" s="2" t="s">
        <v>410</v>
      </c>
      <c r="R496" s="2" t="s">
        <v>403</v>
      </c>
      <c r="S496" s="2" t="s">
        <v>34</v>
      </c>
      <c r="T496" s="151">
        <v>5.0369999999999999</v>
      </c>
      <c r="U496" s="2" t="s">
        <v>2282</v>
      </c>
      <c r="V496" s="162">
        <v>6.3799999999999996E-2</v>
      </c>
      <c r="W496" s="164">
        <v>5.7140000000000003E-2</v>
      </c>
      <c r="X496" s="4" t="s">
        <v>409</v>
      </c>
      <c r="Y496" s="4" t="s">
        <v>134</v>
      </c>
      <c r="Z496" s="151">
        <v>58485</v>
      </c>
      <c r="AA496" s="158">
        <v>1</v>
      </c>
      <c r="AB496" s="175">
        <v>105.32</v>
      </c>
      <c r="AD496" s="151">
        <v>61.595999999999997</v>
      </c>
      <c r="AG496" s="2" t="s">
        <v>36</v>
      </c>
      <c r="AH496" s="164">
        <v>5.8E-5</v>
      </c>
      <c r="AI496" s="164">
        <v>7.6823935675741899E-3</v>
      </c>
      <c r="AJ496" s="164">
        <v>1.6774980953081599E-3</v>
      </c>
    </row>
    <row r="497" spans="1:36">
      <c r="A497" s="2">
        <v>337</v>
      </c>
      <c r="B497" s="2">
        <v>9964</v>
      </c>
      <c r="C497" s="2" t="s">
        <v>2018</v>
      </c>
      <c r="D497" s="2" t="s">
        <v>2019</v>
      </c>
      <c r="E497" s="4" t="s">
        <v>1303</v>
      </c>
      <c r="F497" s="2" t="s">
        <v>2020</v>
      </c>
      <c r="G497" s="2" t="s">
        <v>2021</v>
      </c>
      <c r="H497" s="2" t="s">
        <v>318</v>
      </c>
      <c r="I497" s="2" t="s">
        <v>753</v>
      </c>
      <c r="J497" s="2" t="s">
        <v>30</v>
      </c>
      <c r="K497" s="2" t="s">
        <v>30</v>
      </c>
      <c r="L497" s="2" t="s">
        <v>324</v>
      </c>
      <c r="M497" s="2" t="s">
        <v>41</v>
      </c>
      <c r="N497" s="2" t="s">
        <v>460</v>
      </c>
      <c r="O497" s="2" t="s">
        <v>134</v>
      </c>
      <c r="P497" s="2" t="s">
        <v>1862</v>
      </c>
      <c r="Q497" s="2" t="s">
        <v>410</v>
      </c>
      <c r="R497" s="2" t="s">
        <v>403</v>
      </c>
      <c r="S497" s="2" t="s">
        <v>34</v>
      </c>
      <c r="T497" s="151">
        <v>3.077</v>
      </c>
      <c r="U497" s="2" t="s">
        <v>2022</v>
      </c>
      <c r="V497" s="162">
        <v>2.7E-2</v>
      </c>
      <c r="W497" s="164">
        <v>3.3090000000000001E-2</v>
      </c>
      <c r="X497" s="4" t="s">
        <v>409</v>
      </c>
      <c r="Y497" s="4" t="s">
        <v>134</v>
      </c>
      <c r="Z497" s="151">
        <v>47700</v>
      </c>
      <c r="AA497" s="158">
        <v>1</v>
      </c>
      <c r="AB497" s="175">
        <v>106.11</v>
      </c>
      <c r="AD497" s="151">
        <v>50.613999999999997</v>
      </c>
      <c r="AG497" s="2" t="s">
        <v>36</v>
      </c>
      <c r="AH497" s="164">
        <v>1.21E-4</v>
      </c>
      <c r="AI497" s="164">
        <v>6.3127109072730701E-3</v>
      </c>
      <c r="AJ497" s="164">
        <v>1.37841942488836E-3</v>
      </c>
    </row>
    <row r="498" spans="1:36">
      <c r="A498" s="2">
        <v>337</v>
      </c>
      <c r="B498" s="2">
        <v>9964</v>
      </c>
      <c r="C498" s="2" t="s">
        <v>2018</v>
      </c>
      <c r="D498" s="2" t="s">
        <v>2019</v>
      </c>
      <c r="E498" s="4" t="s">
        <v>1303</v>
      </c>
      <c r="F498" s="2" t="s">
        <v>2023</v>
      </c>
      <c r="G498" s="2" t="s">
        <v>2024</v>
      </c>
      <c r="H498" s="2" t="s">
        <v>318</v>
      </c>
      <c r="I498" s="2" t="s">
        <v>753</v>
      </c>
      <c r="J498" s="2" t="s">
        <v>30</v>
      </c>
      <c r="K498" s="2" t="s">
        <v>30</v>
      </c>
      <c r="L498" s="2" t="s">
        <v>324</v>
      </c>
      <c r="M498" s="2" t="s">
        <v>41</v>
      </c>
      <c r="N498" s="2" t="s">
        <v>460</v>
      </c>
      <c r="O498" s="2" t="s">
        <v>134</v>
      </c>
      <c r="P498" s="2" t="s">
        <v>1862</v>
      </c>
      <c r="Q498" s="2" t="s">
        <v>410</v>
      </c>
      <c r="R498" s="2" t="s">
        <v>403</v>
      </c>
      <c r="S498" s="2" t="s">
        <v>34</v>
      </c>
      <c r="T498" s="151">
        <v>2.492</v>
      </c>
      <c r="U498" s="2" t="s">
        <v>2025</v>
      </c>
      <c r="V498" s="162">
        <v>1.7999999999999999E-2</v>
      </c>
      <c r="W498" s="164">
        <v>2.9749999999999999E-2</v>
      </c>
      <c r="X498" s="4" t="s">
        <v>409</v>
      </c>
      <c r="Y498" s="4" t="s">
        <v>134</v>
      </c>
      <c r="Z498" s="151">
        <v>118421.04</v>
      </c>
      <c r="AA498" s="158">
        <v>1</v>
      </c>
      <c r="AB498" s="175">
        <v>113.34</v>
      </c>
      <c r="AD498" s="151">
        <v>134.21799999999999</v>
      </c>
      <c r="AG498" s="2" t="s">
        <v>36</v>
      </c>
      <c r="AH498" s="164">
        <v>1.6000000000000001E-4</v>
      </c>
      <c r="AI498" s="164">
        <v>1.67399164736717E-2</v>
      </c>
      <c r="AJ498" s="164">
        <v>3.6552641768741001E-3</v>
      </c>
    </row>
    <row r="499" spans="1:36">
      <c r="A499" s="2">
        <v>337</v>
      </c>
      <c r="B499" s="2">
        <v>9964</v>
      </c>
      <c r="C499" s="2" t="s">
        <v>2030</v>
      </c>
      <c r="D499" s="2" t="s">
        <v>2031</v>
      </c>
      <c r="E499" s="4" t="s">
        <v>1303</v>
      </c>
      <c r="F499" s="2" t="s">
        <v>2032</v>
      </c>
      <c r="G499" s="2" t="s">
        <v>2033</v>
      </c>
      <c r="H499" s="2" t="s">
        <v>318</v>
      </c>
      <c r="I499" s="2" t="s">
        <v>753</v>
      </c>
      <c r="J499" s="2" t="s">
        <v>30</v>
      </c>
      <c r="K499" s="2" t="s">
        <v>30</v>
      </c>
      <c r="L499" s="2" t="s">
        <v>324</v>
      </c>
      <c r="M499" s="209" t="s">
        <v>41</v>
      </c>
      <c r="N499" s="2" t="s">
        <v>460</v>
      </c>
      <c r="O499" s="2" t="s">
        <v>134</v>
      </c>
      <c r="P499" s="2" t="s">
        <v>1814</v>
      </c>
      <c r="Q499" s="2" t="s">
        <v>412</v>
      </c>
      <c r="R499" s="2" t="s">
        <v>403</v>
      </c>
      <c r="S499" s="2" t="s">
        <v>34</v>
      </c>
      <c r="T499" s="151">
        <v>5.2880000000000003</v>
      </c>
      <c r="U499" s="2" t="s">
        <v>2034</v>
      </c>
      <c r="V499" s="162">
        <v>3.1800000000000002E-2</v>
      </c>
      <c r="W499" s="164">
        <v>3.2190000000000003E-2</v>
      </c>
      <c r="X499" s="4" t="s">
        <v>409</v>
      </c>
      <c r="Y499" s="4" t="s">
        <v>134</v>
      </c>
      <c r="Z499" s="151">
        <v>70000</v>
      </c>
      <c r="AA499" s="158">
        <v>1</v>
      </c>
      <c r="AB499" s="175">
        <v>101.12</v>
      </c>
      <c r="AD499" s="151">
        <v>70.784000000000006</v>
      </c>
      <c r="AG499" s="2" t="s">
        <v>36</v>
      </c>
      <c r="AH499" s="164">
        <v>3.1399999999999999E-4</v>
      </c>
      <c r="AI499" s="164">
        <v>8.8282842606159304E-3</v>
      </c>
      <c r="AJ499" s="164">
        <v>1.92771040714834E-3</v>
      </c>
    </row>
    <row r="500" spans="1:36">
      <c r="A500" s="2">
        <v>337</v>
      </c>
      <c r="B500" s="2">
        <v>9964</v>
      </c>
      <c r="C500" s="2" t="s">
        <v>1553</v>
      </c>
      <c r="D500" s="2" t="s">
        <v>1554</v>
      </c>
      <c r="E500" s="4" t="s">
        <v>1303</v>
      </c>
      <c r="F500" s="2" t="s">
        <v>2388</v>
      </c>
      <c r="G500" s="2" t="s">
        <v>2389</v>
      </c>
      <c r="H500" s="2" t="s">
        <v>318</v>
      </c>
      <c r="I500" s="2" t="s">
        <v>753</v>
      </c>
      <c r="J500" s="2" t="s">
        <v>30</v>
      </c>
      <c r="K500" s="2" t="s">
        <v>30</v>
      </c>
      <c r="L500" s="2" t="s">
        <v>324</v>
      </c>
      <c r="M500" s="2" t="s">
        <v>41</v>
      </c>
      <c r="N500" s="2" t="s">
        <v>443</v>
      </c>
      <c r="O500" s="2" t="s">
        <v>134</v>
      </c>
      <c r="P500" s="2" t="s">
        <v>1842</v>
      </c>
      <c r="Q500" s="2" t="s">
        <v>406</v>
      </c>
      <c r="R500" s="2" t="s">
        <v>406</v>
      </c>
      <c r="S500" s="2" t="s">
        <v>34</v>
      </c>
      <c r="T500" s="151">
        <v>1.341</v>
      </c>
      <c r="U500" s="2" t="s">
        <v>2331</v>
      </c>
      <c r="V500" s="162">
        <v>3.5000000000000003E-2</v>
      </c>
      <c r="W500" s="164">
        <v>3.2349999999999997E-2</v>
      </c>
      <c r="X500" s="4" t="s">
        <v>409</v>
      </c>
      <c r="Y500" s="4" t="s">
        <v>134</v>
      </c>
      <c r="Z500" s="151">
        <v>31200</v>
      </c>
      <c r="AA500" s="158">
        <v>1</v>
      </c>
      <c r="AB500" s="175">
        <v>110.8</v>
      </c>
      <c r="AD500" s="151">
        <v>34.57</v>
      </c>
      <c r="AG500" s="2" t="s">
        <v>36</v>
      </c>
      <c r="AH500" s="164">
        <v>2.05E-4</v>
      </c>
      <c r="AI500" s="164">
        <v>4.3115711965385998E-3</v>
      </c>
      <c r="AJ500" s="164">
        <v>9.4145820652909303E-4</v>
      </c>
    </row>
    <row r="501" spans="1:36">
      <c r="A501" s="2">
        <v>337</v>
      </c>
      <c r="B501" s="2">
        <v>9964</v>
      </c>
      <c r="C501" s="2" t="s">
        <v>1553</v>
      </c>
      <c r="D501" s="2" t="s">
        <v>1554</v>
      </c>
      <c r="E501" s="4" t="s">
        <v>1303</v>
      </c>
      <c r="F501" s="2" t="s">
        <v>2035</v>
      </c>
      <c r="G501" s="2" t="s">
        <v>2036</v>
      </c>
      <c r="H501" s="2" t="s">
        <v>318</v>
      </c>
      <c r="I501" s="2" t="s">
        <v>965</v>
      </c>
      <c r="J501" s="2" t="s">
        <v>30</v>
      </c>
      <c r="K501" s="2" t="s">
        <v>30</v>
      </c>
      <c r="L501" s="2" t="s">
        <v>324</v>
      </c>
      <c r="M501" s="2" t="s">
        <v>41</v>
      </c>
      <c r="N501" s="2" t="s">
        <v>443</v>
      </c>
      <c r="O501" s="2" t="s">
        <v>134</v>
      </c>
      <c r="P501" s="2" t="s">
        <v>1842</v>
      </c>
      <c r="Q501" s="2" t="s">
        <v>406</v>
      </c>
      <c r="R501" s="2" t="s">
        <v>406</v>
      </c>
      <c r="S501" s="2" t="s">
        <v>34</v>
      </c>
      <c r="T501" s="151">
        <v>3.0000000000000001E-3</v>
      </c>
      <c r="U501" s="2" t="s">
        <v>2037</v>
      </c>
      <c r="V501" s="162">
        <v>5.62E-2</v>
      </c>
      <c r="W501" s="164">
        <v>1.46231</v>
      </c>
      <c r="X501" s="4" t="s">
        <v>409</v>
      </c>
      <c r="Y501" s="4" t="s">
        <v>134</v>
      </c>
      <c r="Z501" s="151">
        <v>41650</v>
      </c>
      <c r="AA501" s="158">
        <v>1</v>
      </c>
      <c r="AB501" s="175">
        <v>101.14</v>
      </c>
      <c r="AD501" s="151">
        <v>42.125</v>
      </c>
      <c r="AG501" s="2" t="s">
        <v>36</v>
      </c>
      <c r="AH501" s="164">
        <v>2.0699999999999999E-4</v>
      </c>
      <c r="AI501" s="164">
        <v>5.2538680648795801E-3</v>
      </c>
      <c r="AJ501" s="164">
        <v>1.14721454899619E-3</v>
      </c>
    </row>
    <row r="502" spans="1:36">
      <c r="A502" s="2">
        <v>337</v>
      </c>
      <c r="B502" s="2">
        <v>9964</v>
      </c>
      <c r="C502" s="2" t="s">
        <v>2038</v>
      </c>
      <c r="D502" s="2" t="s">
        <v>2039</v>
      </c>
      <c r="E502" s="4" t="s">
        <v>1303</v>
      </c>
      <c r="F502" s="2" t="s">
        <v>2398</v>
      </c>
      <c r="G502" s="2" t="s">
        <v>2399</v>
      </c>
      <c r="H502" s="2" t="s">
        <v>318</v>
      </c>
      <c r="I502" s="2" t="s">
        <v>753</v>
      </c>
      <c r="J502" s="2" t="s">
        <v>30</v>
      </c>
      <c r="K502" s="2" t="s">
        <v>30</v>
      </c>
      <c r="L502" s="2" t="s">
        <v>324</v>
      </c>
      <c r="M502" s="2" t="s">
        <v>41</v>
      </c>
      <c r="N502" s="2" t="s">
        <v>436</v>
      </c>
      <c r="O502" s="2" t="s">
        <v>134</v>
      </c>
      <c r="P502" s="2" t="s">
        <v>1176</v>
      </c>
      <c r="Q502" s="2" t="s">
        <v>410</v>
      </c>
      <c r="R502" s="2" t="s">
        <v>403</v>
      </c>
      <c r="S502" s="2" t="s">
        <v>34</v>
      </c>
      <c r="T502" s="151">
        <v>0.90400000000000003</v>
      </c>
      <c r="U502" s="2" t="s">
        <v>2400</v>
      </c>
      <c r="V502" s="162">
        <v>4.4999999999999998E-2</v>
      </c>
      <c r="W502" s="164">
        <v>2.3970000000000002E-2</v>
      </c>
      <c r="X502" s="4" t="s">
        <v>409</v>
      </c>
      <c r="Y502" s="4" t="s">
        <v>134</v>
      </c>
      <c r="Z502" s="151">
        <v>75000</v>
      </c>
      <c r="AA502" s="158">
        <v>1</v>
      </c>
      <c r="AB502" s="175">
        <v>119.86</v>
      </c>
      <c r="AD502" s="151">
        <v>89.894999999999996</v>
      </c>
      <c r="AG502" s="2" t="s">
        <v>36</v>
      </c>
      <c r="AH502" s="164">
        <v>5.1E-5</v>
      </c>
      <c r="AI502" s="164">
        <v>1.1211836200385201E-2</v>
      </c>
      <c r="AJ502" s="164">
        <v>2.4481736981606002E-3</v>
      </c>
    </row>
    <row r="503" spans="1:36">
      <c r="A503" s="2">
        <v>337</v>
      </c>
      <c r="B503" s="2">
        <v>9964</v>
      </c>
      <c r="C503" s="2" t="s">
        <v>2038</v>
      </c>
      <c r="D503" s="2" t="s">
        <v>2039</v>
      </c>
      <c r="E503" s="4" t="s">
        <v>1303</v>
      </c>
      <c r="F503" s="2" t="s">
        <v>2040</v>
      </c>
      <c r="G503" s="2" t="s">
        <v>2041</v>
      </c>
      <c r="H503" s="2" t="s">
        <v>318</v>
      </c>
      <c r="I503" s="2" t="s">
        <v>753</v>
      </c>
      <c r="J503" s="2" t="s">
        <v>30</v>
      </c>
      <c r="K503" s="2" t="s">
        <v>30</v>
      </c>
      <c r="L503" s="2" t="s">
        <v>324</v>
      </c>
      <c r="M503" s="2" t="s">
        <v>41</v>
      </c>
      <c r="N503" s="2" t="s">
        <v>436</v>
      </c>
      <c r="O503" s="2" t="s">
        <v>134</v>
      </c>
      <c r="P503" s="2" t="s">
        <v>1176</v>
      </c>
      <c r="Q503" s="2" t="s">
        <v>410</v>
      </c>
      <c r="R503" s="2" t="s">
        <v>403</v>
      </c>
      <c r="S503" s="2" t="s">
        <v>34</v>
      </c>
      <c r="T503" s="151">
        <v>10.119999999999999</v>
      </c>
      <c r="U503" s="2" t="s">
        <v>2042</v>
      </c>
      <c r="V503" s="162">
        <v>3.2000000000000001E-2</v>
      </c>
      <c r="W503" s="164">
        <v>3.1019999999999999E-2</v>
      </c>
      <c r="X503" s="4" t="s">
        <v>409</v>
      </c>
      <c r="Y503" s="4" t="s">
        <v>134</v>
      </c>
      <c r="Z503" s="151">
        <v>85000</v>
      </c>
      <c r="AA503" s="158">
        <v>1</v>
      </c>
      <c r="AB503" s="175">
        <v>107.1</v>
      </c>
      <c r="AD503" s="151">
        <v>91.034999999999997</v>
      </c>
      <c r="AG503" s="2" t="s">
        <v>36</v>
      </c>
      <c r="AH503" s="164">
        <v>1.7E-5</v>
      </c>
      <c r="AI503" s="164">
        <v>1.13540186718068E-2</v>
      </c>
      <c r="AJ503" s="164">
        <v>2.4792201191618101E-3</v>
      </c>
    </row>
    <row r="504" spans="1:36">
      <c r="A504" s="2">
        <v>337</v>
      </c>
      <c r="B504" s="2">
        <v>9964</v>
      </c>
      <c r="C504" s="2" t="s">
        <v>2043</v>
      </c>
      <c r="D504" s="2" t="s">
        <v>2044</v>
      </c>
      <c r="E504" s="4" t="s">
        <v>33</v>
      </c>
      <c r="F504" s="2" t="s">
        <v>2045</v>
      </c>
      <c r="G504" s="2" t="s">
        <v>2046</v>
      </c>
      <c r="H504" s="2" t="s">
        <v>318</v>
      </c>
      <c r="I504" s="2" t="s">
        <v>754</v>
      </c>
      <c r="J504" s="2" t="s">
        <v>30</v>
      </c>
      <c r="K504" s="2" t="s">
        <v>80</v>
      </c>
      <c r="L504" s="2" t="s">
        <v>324</v>
      </c>
      <c r="M504" s="2" t="s">
        <v>41</v>
      </c>
      <c r="N504" s="2" t="s">
        <v>461</v>
      </c>
      <c r="O504" s="2" t="s">
        <v>134</v>
      </c>
      <c r="P504" s="2" t="s">
        <v>1826</v>
      </c>
      <c r="Q504" s="2" t="s">
        <v>410</v>
      </c>
      <c r="R504" s="2" t="s">
        <v>403</v>
      </c>
      <c r="S504" s="2" t="s">
        <v>84</v>
      </c>
      <c r="T504" s="151">
        <v>1.843</v>
      </c>
      <c r="U504" s="2" t="s">
        <v>2047</v>
      </c>
      <c r="V504" s="162">
        <v>4.7199999999999999E-2</v>
      </c>
      <c r="W504" s="164">
        <v>6.2030000000000002E-2</v>
      </c>
      <c r="X504" s="4" t="s">
        <v>409</v>
      </c>
      <c r="Y504" s="4" t="s">
        <v>134</v>
      </c>
      <c r="Z504" s="151">
        <v>48000</v>
      </c>
      <c r="AA504" s="158">
        <v>3.718</v>
      </c>
      <c r="AB504" s="175">
        <v>30.661999999999999</v>
      </c>
      <c r="AD504" s="151">
        <v>54.72</v>
      </c>
      <c r="AG504" s="2" t="s">
        <v>36</v>
      </c>
      <c r="AH504" s="164">
        <v>1.46E-4</v>
      </c>
      <c r="AI504" s="164">
        <v>6.8247586282338298E-3</v>
      </c>
      <c r="AJ504" s="164">
        <v>1.4902282080577101E-3</v>
      </c>
    </row>
    <row r="505" spans="1:36">
      <c r="A505" s="2">
        <v>337</v>
      </c>
      <c r="B505" s="2">
        <v>9964</v>
      </c>
      <c r="C505" s="2" t="s">
        <v>2053</v>
      </c>
      <c r="D505" s="2" t="s">
        <v>2054</v>
      </c>
      <c r="E505" s="4" t="s">
        <v>1303</v>
      </c>
      <c r="F505" s="2" t="s">
        <v>2055</v>
      </c>
      <c r="G505" s="2" t="s">
        <v>2056</v>
      </c>
      <c r="H505" s="2" t="s">
        <v>318</v>
      </c>
      <c r="I505" s="2" t="s">
        <v>965</v>
      </c>
      <c r="J505" s="2" t="s">
        <v>30</v>
      </c>
      <c r="K505" s="2" t="s">
        <v>30</v>
      </c>
      <c r="L505" s="2" t="s">
        <v>324</v>
      </c>
      <c r="M505" s="2" t="s">
        <v>41</v>
      </c>
      <c r="N505" s="2" t="s">
        <v>472</v>
      </c>
      <c r="O505" s="2" t="s">
        <v>134</v>
      </c>
      <c r="P505" s="2" t="s">
        <v>2057</v>
      </c>
      <c r="Q505" s="2" t="s">
        <v>412</v>
      </c>
      <c r="R505" s="2" t="s">
        <v>403</v>
      </c>
      <c r="S505" s="2" t="s">
        <v>34</v>
      </c>
      <c r="T505" s="151">
        <v>3.3610000000000002</v>
      </c>
      <c r="U505" s="2" t="s">
        <v>2058</v>
      </c>
      <c r="V505" s="162">
        <v>3.9399999999999998E-2</v>
      </c>
      <c r="W505" s="164">
        <v>5.1810000000000002E-2</v>
      </c>
      <c r="X505" s="4" t="s">
        <v>409</v>
      </c>
      <c r="Y505" s="4" t="s">
        <v>134</v>
      </c>
      <c r="Z505" s="151">
        <v>5334</v>
      </c>
      <c r="AA505" s="158">
        <v>1</v>
      </c>
      <c r="AB505" s="175">
        <v>97.11</v>
      </c>
      <c r="AD505" s="151">
        <v>5.18</v>
      </c>
      <c r="AG505" s="2" t="s">
        <v>36</v>
      </c>
      <c r="AH505" s="164">
        <v>3.4999999999999997E-5</v>
      </c>
      <c r="AI505" s="164">
        <v>6.4603816220914795E-4</v>
      </c>
      <c r="AJ505" s="164">
        <v>1.41066423774021E-4</v>
      </c>
    </row>
    <row r="506" spans="1:36">
      <c r="A506" s="2">
        <v>337</v>
      </c>
      <c r="B506" s="2">
        <v>9964</v>
      </c>
      <c r="C506" s="2" t="s">
        <v>2059</v>
      </c>
      <c r="D506" s="2" t="s">
        <v>2060</v>
      </c>
      <c r="E506" s="4" t="s">
        <v>1303</v>
      </c>
      <c r="F506" s="2" t="s">
        <v>2061</v>
      </c>
      <c r="G506" s="2" t="s">
        <v>2062</v>
      </c>
      <c r="H506" s="2" t="s">
        <v>318</v>
      </c>
      <c r="I506" s="2" t="s">
        <v>753</v>
      </c>
      <c r="J506" s="2" t="s">
        <v>30</v>
      </c>
      <c r="K506" s="2" t="s">
        <v>30</v>
      </c>
      <c r="L506" s="2" t="s">
        <v>324</v>
      </c>
      <c r="M506" s="2" t="s">
        <v>41</v>
      </c>
      <c r="N506" s="2" t="s">
        <v>444</v>
      </c>
      <c r="O506" s="2" t="s">
        <v>134</v>
      </c>
      <c r="P506" s="2" t="s">
        <v>1826</v>
      </c>
      <c r="Q506" s="2" t="s">
        <v>410</v>
      </c>
      <c r="R506" s="2" t="s">
        <v>403</v>
      </c>
      <c r="S506" s="2" t="s">
        <v>34</v>
      </c>
      <c r="T506" s="151">
        <v>4.1260000000000003</v>
      </c>
      <c r="U506" s="2" t="s">
        <v>2063</v>
      </c>
      <c r="V506" s="162">
        <v>2.5899999999999999E-2</v>
      </c>
      <c r="W506" s="164">
        <v>2.7740000000000001E-2</v>
      </c>
      <c r="X506" s="4" t="s">
        <v>409</v>
      </c>
      <c r="Y506" s="4" t="s">
        <v>134</v>
      </c>
      <c r="Z506" s="151">
        <v>30000</v>
      </c>
      <c r="AA506" s="158">
        <v>1</v>
      </c>
      <c r="AB506" s="175">
        <v>103.09</v>
      </c>
      <c r="AD506" s="151">
        <v>30.927</v>
      </c>
      <c r="AG506" s="2" t="s">
        <v>36</v>
      </c>
      <c r="AH506" s="164">
        <v>4.3999999999999999E-5</v>
      </c>
      <c r="AI506" s="164">
        <v>3.8572607839069402E-3</v>
      </c>
      <c r="AJ506" s="164">
        <v>8.4225672131946097E-4</v>
      </c>
    </row>
    <row r="507" spans="1:36">
      <c r="A507" s="2">
        <v>337</v>
      </c>
      <c r="B507" s="2">
        <v>9964</v>
      </c>
      <c r="C507" s="2" t="s">
        <v>2064</v>
      </c>
      <c r="D507" s="2" t="s">
        <v>2065</v>
      </c>
      <c r="E507" s="4" t="s">
        <v>1303</v>
      </c>
      <c r="F507" s="2" t="s">
        <v>2066</v>
      </c>
      <c r="G507" s="2" t="s">
        <v>2067</v>
      </c>
      <c r="H507" s="2" t="s">
        <v>318</v>
      </c>
      <c r="I507" s="2" t="s">
        <v>753</v>
      </c>
      <c r="J507" s="2" t="s">
        <v>30</v>
      </c>
      <c r="K507" s="2" t="s">
        <v>30</v>
      </c>
      <c r="L507" s="2" t="s">
        <v>324</v>
      </c>
      <c r="M507" s="2" t="s">
        <v>41</v>
      </c>
      <c r="N507" s="2" t="s">
        <v>460</v>
      </c>
      <c r="O507" s="2" t="s">
        <v>134</v>
      </c>
      <c r="P507" s="2" t="s">
        <v>1842</v>
      </c>
      <c r="Q507" s="2" t="s">
        <v>406</v>
      </c>
      <c r="R507" s="2" t="s">
        <v>406</v>
      </c>
      <c r="S507" s="2" t="s">
        <v>34</v>
      </c>
      <c r="T507" s="151">
        <v>2.56</v>
      </c>
      <c r="U507" s="2" t="s">
        <v>2025</v>
      </c>
      <c r="V507" s="162">
        <v>4.4999999999999998E-2</v>
      </c>
      <c r="W507" s="164">
        <v>3.4479999999999997E-2</v>
      </c>
      <c r="X507" s="4" t="s">
        <v>409</v>
      </c>
      <c r="Y507" s="4" t="s">
        <v>134</v>
      </c>
      <c r="Z507" s="151">
        <v>48000</v>
      </c>
      <c r="AA507" s="158">
        <v>1</v>
      </c>
      <c r="AB507" s="175">
        <v>108.36</v>
      </c>
      <c r="AD507" s="151">
        <v>52.012999999999998</v>
      </c>
      <c r="AG507" s="2" t="s">
        <v>36</v>
      </c>
      <c r="AH507" s="164">
        <v>4.8999999999999998E-5</v>
      </c>
      <c r="AI507" s="164">
        <v>6.4871126750475298E-3</v>
      </c>
      <c r="AJ507" s="164">
        <v>1.4165011282906499E-3</v>
      </c>
    </row>
    <row r="508" spans="1:36">
      <c r="A508" s="2">
        <v>337</v>
      </c>
      <c r="B508" s="2">
        <v>9964</v>
      </c>
      <c r="C508" s="2" t="s">
        <v>2068</v>
      </c>
      <c r="D508" s="2" t="s">
        <v>2069</v>
      </c>
      <c r="E508" s="4" t="s">
        <v>1303</v>
      </c>
      <c r="F508" s="2" t="s">
        <v>2070</v>
      </c>
      <c r="G508" s="2" t="s">
        <v>2071</v>
      </c>
      <c r="H508" s="2" t="s">
        <v>318</v>
      </c>
      <c r="I508" s="2" t="s">
        <v>965</v>
      </c>
      <c r="J508" s="2" t="s">
        <v>30</v>
      </c>
      <c r="K508" s="2" t="s">
        <v>30</v>
      </c>
      <c r="L508" s="2" t="s">
        <v>324</v>
      </c>
      <c r="M508" s="2" t="s">
        <v>41</v>
      </c>
      <c r="N508" s="2" t="s">
        <v>443</v>
      </c>
      <c r="O508" s="2" t="s">
        <v>134</v>
      </c>
      <c r="P508" s="2" t="s">
        <v>1830</v>
      </c>
      <c r="Q508" s="2" t="s">
        <v>410</v>
      </c>
      <c r="R508" s="2" t="s">
        <v>403</v>
      </c>
      <c r="S508" s="2" t="s">
        <v>34</v>
      </c>
      <c r="T508" s="151">
        <v>1.24</v>
      </c>
      <c r="U508" s="2" t="s">
        <v>1910</v>
      </c>
      <c r="V508" s="162">
        <v>3.95E-2</v>
      </c>
      <c r="W508" s="164">
        <v>6.1929999999999999E-2</v>
      </c>
      <c r="X508" s="4" t="s">
        <v>409</v>
      </c>
      <c r="Y508" s="4" t="s">
        <v>134</v>
      </c>
      <c r="Z508" s="151">
        <v>64000</v>
      </c>
      <c r="AA508" s="158">
        <v>1</v>
      </c>
      <c r="AB508" s="175">
        <v>98.39</v>
      </c>
      <c r="AD508" s="151">
        <v>62.97</v>
      </c>
      <c r="AG508" s="2" t="s">
        <v>36</v>
      </c>
      <c r="AH508" s="164">
        <v>7.6000000000000004E-5</v>
      </c>
      <c r="AI508" s="164">
        <v>7.8536608354611397E-3</v>
      </c>
      <c r="AJ508" s="164">
        <v>1.71489536129589E-3</v>
      </c>
    </row>
    <row r="509" spans="1:36">
      <c r="A509" s="2">
        <v>337</v>
      </c>
      <c r="B509" s="2">
        <v>9964</v>
      </c>
      <c r="C509" s="2" t="s">
        <v>2075</v>
      </c>
      <c r="D509" s="2" t="s">
        <v>2076</v>
      </c>
      <c r="E509" s="4" t="s">
        <v>1303</v>
      </c>
      <c r="F509" s="2" t="s">
        <v>2077</v>
      </c>
      <c r="G509" s="2" t="s">
        <v>2078</v>
      </c>
      <c r="H509" s="2" t="s">
        <v>318</v>
      </c>
      <c r="I509" s="2" t="s">
        <v>753</v>
      </c>
      <c r="J509" s="2" t="s">
        <v>30</v>
      </c>
      <c r="K509" s="2" t="s">
        <v>30</v>
      </c>
      <c r="L509" s="2" t="s">
        <v>324</v>
      </c>
      <c r="M509" s="2" t="s">
        <v>41</v>
      </c>
      <c r="N509" s="2" t="s">
        <v>460</v>
      </c>
      <c r="O509" s="2" t="s">
        <v>134</v>
      </c>
      <c r="P509" s="2" t="s">
        <v>1834</v>
      </c>
      <c r="Q509" s="2" t="s">
        <v>410</v>
      </c>
      <c r="R509" s="2" t="s">
        <v>403</v>
      </c>
      <c r="S509" s="2" t="s">
        <v>34</v>
      </c>
      <c r="T509" s="151">
        <v>1.835</v>
      </c>
      <c r="U509" s="2" t="s">
        <v>2079</v>
      </c>
      <c r="V509" s="162">
        <v>1.5800000000000002E-2</v>
      </c>
      <c r="W509" s="164">
        <v>2.708E-2</v>
      </c>
      <c r="X509" s="4" t="s">
        <v>409</v>
      </c>
      <c r="Y509" s="4" t="s">
        <v>134</v>
      </c>
      <c r="Z509" s="151">
        <v>25106.58</v>
      </c>
      <c r="AA509" s="158">
        <v>1</v>
      </c>
      <c r="AB509" s="175">
        <v>115.06</v>
      </c>
      <c r="AD509" s="151">
        <v>28.888000000000002</v>
      </c>
      <c r="AG509" s="2" t="s">
        <v>36</v>
      </c>
      <c r="AH509" s="164">
        <v>5.8E-5</v>
      </c>
      <c r="AI509" s="164">
        <v>3.6029076857017101E-3</v>
      </c>
      <c r="AJ509" s="164">
        <v>7.8671715099909803E-4</v>
      </c>
    </row>
    <row r="510" spans="1:36">
      <c r="A510" s="2">
        <v>337</v>
      </c>
      <c r="B510" s="2">
        <v>9964</v>
      </c>
      <c r="C510" s="2" t="s">
        <v>2075</v>
      </c>
      <c r="D510" s="2" t="s">
        <v>2076</v>
      </c>
      <c r="E510" s="4" t="s">
        <v>1303</v>
      </c>
      <c r="F510" s="2" t="s">
        <v>2083</v>
      </c>
      <c r="G510" s="2" t="s">
        <v>2084</v>
      </c>
      <c r="H510" s="2" t="s">
        <v>318</v>
      </c>
      <c r="I510" s="2" t="s">
        <v>753</v>
      </c>
      <c r="J510" s="2" t="s">
        <v>30</v>
      </c>
      <c r="K510" s="2" t="s">
        <v>30</v>
      </c>
      <c r="L510" s="2" t="s">
        <v>324</v>
      </c>
      <c r="M510" s="2" t="s">
        <v>41</v>
      </c>
      <c r="N510" s="2" t="s">
        <v>460</v>
      </c>
      <c r="O510" s="2" t="s">
        <v>134</v>
      </c>
      <c r="P510" s="2" t="s">
        <v>1834</v>
      </c>
      <c r="Q510" s="2" t="s">
        <v>410</v>
      </c>
      <c r="R510" s="2" t="s">
        <v>403</v>
      </c>
      <c r="S510" s="2" t="s">
        <v>34</v>
      </c>
      <c r="T510" s="151">
        <v>4.4550000000000001</v>
      </c>
      <c r="U510" s="2" t="s">
        <v>2085</v>
      </c>
      <c r="V510" s="162">
        <v>8.3999999999999995E-3</v>
      </c>
      <c r="W510" s="164">
        <v>2.86E-2</v>
      </c>
      <c r="X510" s="4" t="s">
        <v>409</v>
      </c>
      <c r="Y510" s="4" t="s">
        <v>134</v>
      </c>
      <c r="Z510" s="151">
        <v>59780.22</v>
      </c>
      <c r="AA510" s="158">
        <v>1</v>
      </c>
      <c r="AB510" s="175">
        <v>105.34</v>
      </c>
      <c r="AD510" s="151">
        <v>62.972000000000001</v>
      </c>
      <c r="AG510" s="2" t="s">
        <v>36</v>
      </c>
      <c r="AH510" s="164">
        <v>7.7999999999999999E-5</v>
      </c>
      <c r="AI510" s="164">
        <v>7.8540205007397307E-3</v>
      </c>
      <c r="AJ510" s="164">
        <v>1.7149738964313899E-3</v>
      </c>
    </row>
    <row r="511" spans="1:36">
      <c r="A511" s="2">
        <v>337</v>
      </c>
      <c r="B511" s="2">
        <v>9964</v>
      </c>
      <c r="C511" s="2" t="s">
        <v>1174</v>
      </c>
      <c r="D511" s="2" t="s">
        <v>1589</v>
      </c>
      <c r="E511" s="4" t="s">
        <v>1303</v>
      </c>
      <c r="F511" s="2" t="s">
        <v>2086</v>
      </c>
      <c r="G511" s="2" t="s">
        <v>2087</v>
      </c>
      <c r="H511" s="2" t="s">
        <v>318</v>
      </c>
      <c r="I511" s="2" t="s">
        <v>753</v>
      </c>
      <c r="J511" s="2" t="s">
        <v>30</v>
      </c>
      <c r="K511" s="2" t="s">
        <v>30</v>
      </c>
      <c r="L511" s="2" t="s">
        <v>324</v>
      </c>
      <c r="M511" s="2" t="s">
        <v>41</v>
      </c>
      <c r="N511" s="2" t="s">
        <v>444</v>
      </c>
      <c r="O511" s="2" t="s">
        <v>134</v>
      </c>
      <c r="P511" s="2" t="s">
        <v>1176</v>
      </c>
      <c r="Q511" s="2" t="s">
        <v>410</v>
      </c>
      <c r="R511" s="2" t="s">
        <v>403</v>
      </c>
      <c r="S511" s="2" t="s">
        <v>34</v>
      </c>
      <c r="T511" s="151">
        <v>2.3460000000000001</v>
      </c>
      <c r="U511" s="2" t="s">
        <v>59</v>
      </c>
      <c r="V511" s="162">
        <v>1.8599999999999998E-2</v>
      </c>
      <c r="W511" s="164">
        <v>2.4129999999999999E-2</v>
      </c>
      <c r="X511" s="4" t="s">
        <v>409</v>
      </c>
      <c r="Y511" s="4" t="s">
        <v>134</v>
      </c>
      <c r="Z511" s="151">
        <v>43200</v>
      </c>
      <c r="AA511" s="158">
        <v>1</v>
      </c>
      <c r="AB511" s="175">
        <v>102.59</v>
      </c>
      <c r="AD511" s="151">
        <v>44.319000000000003</v>
      </c>
      <c r="AG511" s="2" t="s">
        <v>36</v>
      </c>
      <c r="AH511" s="164">
        <v>1.5E-5</v>
      </c>
      <c r="AI511" s="164">
        <v>5.5275156921355999E-3</v>
      </c>
      <c r="AJ511" s="164">
        <v>1.20696719893138E-3</v>
      </c>
    </row>
    <row r="512" spans="1:36">
      <c r="A512" s="2">
        <v>337</v>
      </c>
      <c r="B512" s="2">
        <v>9964</v>
      </c>
      <c r="C512" s="2" t="s">
        <v>1174</v>
      </c>
      <c r="D512" s="2" t="s">
        <v>1589</v>
      </c>
      <c r="E512" s="4" t="s">
        <v>1303</v>
      </c>
      <c r="F512" s="2" t="s">
        <v>2414</v>
      </c>
      <c r="G512" s="2" t="s">
        <v>2415</v>
      </c>
      <c r="H512" s="2" t="s">
        <v>318</v>
      </c>
      <c r="I512" s="2" t="s">
        <v>753</v>
      </c>
      <c r="J512" s="2" t="s">
        <v>30</v>
      </c>
      <c r="K512" s="2" t="s">
        <v>30</v>
      </c>
      <c r="L512" s="2" t="s">
        <v>324</v>
      </c>
      <c r="M512" s="2" t="s">
        <v>41</v>
      </c>
      <c r="N512" s="2" t="s">
        <v>444</v>
      </c>
      <c r="O512" s="2" t="s">
        <v>134</v>
      </c>
      <c r="P512" s="2" t="s">
        <v>1176</v>
      </c>
      <c r="Q512" s="2" t="s">
        <v>410</v>
      </c>
      <c r="R512" s="2" t="s">
        <v>403</v>
      </c>
      <c r="S512" s="2" t="s">
        <v>34</v>
      </c>
      <c r="T512" s="151">
        <v>2.649</v>
      </c>
      <c r="U512" s="2" t="s">
        <v>2416</v>
      </c>
      <c r="V512" s="162">
        <v>1E-3</v>
      </c>
      <c r="W512" s="164">
        <v>2.3560000000000001E-2</v>
      </c>
      <c r="X512" s="4" t="s">
        <v>409</v>
      </c>
      <c r="Y512" s="4" t="s">
        <v>134</v>
      </c>
      <c r="Z512" s="151">
        <v>46000</v>
      </c>
      <c r="AA512" s="158">
        <v>1</v>
      </c>
      <c r="AB512" s="175">
        <v>106.31</v>
      </c>
      <c r="AD512" s="151">
        <v>48.902999999999999</v>
      </c>
      <c r="AG512" s="2" t="s">
        <v>36</v>
      </c>
      <c r="AH512" s="164">
        <v>1.5E-5</v>
      </c>
      <c r="AI512" s="164">
        <v>6.0992039709990504E-3</v>
      </c>
      <c r="AJ512" s="164">
        <v>1.33179886636263E-3</v>
      </c>
    </row>
    <row r="513" spans="1:36">
      <c r="A513" s="2">
        <v>337</v>
      </c>
      <c r="B513" s="2">
        <v>9964</v>
      </c>
      <c r="C513" s="2" t="s">
        <v>1174</v>
      </c>
      <c r="D513" s="2" t="s">
        <v>1589</v>
      </c>
      <c r="E513" s="4" t="s">
        <v>1303</v>
      </c>
      <c r="F513" s="2" t="s">
        <v>2088</v>
      </c>
      <c r="G513" s="2" t="s">
        <v>2089</v>
      </c>
      <c r="H513" s="2" t="s">
        <v>318</v>
      </c>
      <c r="I513" s="2" t="s">
        <v>753</v>
      </c>
      <c r="J513" s="2" t="s">
        <v>30</v>
      </c>
      <c r="K513" s="2" t="s">
        <v>30</v>
      </c>
      <c r="L513" s="2" t="s">
        <v>324</v>
      </c>
      <c r="M513" s="2" t="s">
        <v>41</v>
      </c>
      <c r="N513" s="2" t="s">
        <v>444</v>
      </c>
      <c r="O513" s="2" t="s">
        <v>134</v>
      </c>
      <c r="P513" s="2" t="s">
        <v>1176</v>
      </c>
      <c r="Q513" s="2" t="s">
        <v>410</v>
      </c>
      <c r="R513" s="2" t="s">
        <v>403</v>
      </c>
      <c r="S513" s="2" t="s">
        <v>34</v>
      </c>
      <c r="T513" s="151">
        <v>4.5970000000000004</v>
      </c>
      <c r="U513" s="2" t="s">
        <v>2090</v>
      </c>
      <c r="V513" s="162">
        <v>2.0199999999999999E-2</v>
      </c>
      <c r="W513" s="164">
        <v>2.5819999999999999E-2</v>
      </c>
      <c r="X513" s="4" t="s">
        <v>409</v>
      </c>
      <c r="Y513" s="4" t="s">
        <v>134</v>
      </c>
      <c r="Z513" s="151">
        <v>148000</v>
      </c>
      <c r="AA513" s="158">
        <v>1</v>
      </c>
      <c r="AB513" s="175">
        <v>101.85</v>
      </c>
      <c r="AD513" s="151">
        <v>150.738</v>
      </c>
      <c r="AG513" s="2" t="s">
        <v>36</v>
      </c>
      <c r="AH513" s="164">
        <v>4.1E-5</v>
      </c>
      <c r="AI513" s="164">
        <v>1.88002643659121E-2</v>
      </c>
      <c r="AJ513" s="164">
        <v>4.1051538674379299E-3</v>
      </c>
    </row>
    <row r="514" spans="1:36">
      <c r="A514" s="2">
        <v>337</v>
      </c>
      <c r="B514" s="2">
        <v>9964</v>
      </c>
      <c r="C514" s="2" t="s">
        <v>1174</v>
      </c>
      <c r="D514" s="2" t="s">
        <v>1589</v>
      </c>
      <c r="E514" s="4" t="s">
        <v>1303</v>
      </c>
      <c r="F514" s="2" t="s">
        <v>2091</v>
      </c>
      <c r="G514" s="2" t="s">
        <v>2092</v>
      </c>
      <c r="H514" s="2" t="s">
        <v>318</v>
      </c>
      <c r="I514" s="2" t="s">
        <v>753</v>
      </c>
      <c r="J514" s="2" t="s">
        <v>30</v>
      </c>
      <c r="K514" s="2" t="s">
        <v>30</v>
      </c>
      <c r="L514" s="2" t="s">
        <v>324</v>
      </c>
      <c r="M514" s="2" t="s">
        <v>41</v>
      </c>
      <c r="N514" s="2" t="s">
        <v>444</v>
      </c>
      <c r="O514" s="2" t="s">
        <v>134</v>
      </c>
      <c r="P514" s="2" t="s">
        <v>1176</v>
      </c>
      <c r="Q514" s="2" t="s">
        <v>410</v>
      </c>
      <c r="R514" s="2" t="s">
        <v>403</v>
      </c>
      <c r="S514" s="2" t="s">
        <v>34</v>
      </c>
      <c r="T514" s="151">
        <v>4.6440000000000001</v>
      </c>
      <c r="U514" s="2" t="s">
        <v>2093</v>
      </c>
      <c r="V514" s="162">
        <v>1E-3</v>
      </c>
      <c r="W514" s="164">
        <v>2.571E-2</v>
      </c>
      <c r="X514" s="4" t="s">
        <v>409</v>
      </c>
      <c r="Y514" s="4" t="s">
        <v>134</v>
      </c>
      <c r="Z514" s="151">
        <v>48000</v>
      </c>
      <c r="AA514" s="158">
        <v>1</v>
      </c>
      <c r="AB514" s="175">
        <v>100.7</v>
      </c>
      <c r="AD514" s="151">
        <v>48.335999999999999</v>
      </c>
      <c r="AG514" s="2" t="s">
        <v>36</v>
      </c>
      <c r="AH514" s="164">
        <v>1.9000000000000001E-5</v>
      </c>
      <c r="AI514" s="164">
        <v>6.0285367882732203E-3</v>
      </c>
      <c r="AJ514" s="164">
        <v>1.3163682504509801E-3</v>
      </c>
    </row>
    <row r="515" spans="1:36">
      <c r="A515" s="2">
        <v>337</v>
      </c>
      <c r="B515" s="2">
        <v>9964</v>
      </c>
      <c r="C515" s="2" t="s">
        <v>1174</v>
      </c>
      <c r="D515" s="2" t="s">
        <v>1589</v>
      </c>
      <c r="E515" s="4" t="s">
        <v>1303</v>
      </c>
      <c r="F515" s="2" t="s">
        <v>2094</v>
      </c>
      <c r="G515" s="2" t="s">
        <v>2095</v>
      </c>
      <c r="H515" s="2" t="s">
        <v>318</v>
      </c>
      <c r="I515" s="2" t="s">
        <v>753</v>
      </c>
      <c r="J515" s="2" t="s">
        <v>30</v>
      </c>
      <c r="K515" s="2" t="s">
        <v>30</v>
      </c>
      <c r="L515" s="2" t="s">
        <v>324</v>
      </c>
      <c r="M515" s="2" t="s">
        <v>41</v>
      </c>
      <c r="N515" s="2" t="s">
        <v>444</v>
      </c>
      <c r="O515" s="2" t="s">
        <v>134</v>
      </c>
      <c r="P515" s="2" t="s">
        <v>1826</v>
      </c>
      <c r="Q515" s="2" t="s">
        <v>410</v>
      </c>
      <c r="R515" s="2" t="s">
        <v>403</v>
      </c>
      <c r="S515" s="2" t="s">
        <v>34</v>
      </c>
      <c r="T515" s="151">
        <v>2.944</v>
      </c>
      <c r="U515" s="2" t="s">
        <v>2096</v>
      </c>
      <c r="V515" s="162">
        <v>1.4999999999999999E-2</v>
      </c>
      <c r="W515" s="164">
        <v>3.0460000000000001E-2</v>
      </c>
      <c r="X515" s="4" t="s">
        <v>409</v>
      </c>
      <c r="Y515" s="4" t="s">
        <v>134</v>
      </c>
      <c r="Z515" s="151">
        <v>50000</v>
      </c>
      <c r="AA515" s="158">
        <v>1</v>
      </c>
      <c r="AB515" s="175">
        <v>106.7</v>
      </c>
      <c r="AD515" s="151">
        <v>53.35</v>
      </c>
      <c r="AG515" s="2" t="s">
        <v>36</v>
      </c>
      <c r="AH515" s="164">
        <v>3.6000000000000001E-5</v>
      </c>
      <c r="AI515" s="164">
        <v>6.6538902195956698E-3</v>
      </c>
      <c r="AJ515" s="164">
        <v>1.4529180354510101E-3</v>
      </c>
    </row>
    <row r="516" spans="1:36">
      <c r="A516" s="2">
        <v>337</v>
      </c>
      <c r="B516" s="2">
        <v>9964</v>
      </c>
      <c r="C516" s="2" t="s">
        <v>1174</v>
      </c>
      <c r="D516" s="2" t="s">
        <v>1589</v>
      </c>
      <c r="E516" s="4" t="s">
        <v>1303</v>
      </c>
      <c r="F516" s="2" t="s">
        <v>2097</v>
      </c>
      <c r="G516" s="2" t="s">
        <v>2098</v>
      </c>
      <c r="H516" s="2" t="s">
        <v>318</v>
      </c>
      <c r="I516" s="2" t="s">
        <v>753</v>
      </c>
      <c r="J516" s="2" t="s">
        <v>30</v>
      </c>
      <c r="K516" s="2" t="s">
        <v>30</v>
      </c>
      <c r="L516" s="2" t="s">
        <v>324</v>
      </c>
      <c r="M516" s="2" t="s">
        <v>31</v>
      </c>
      <c r="N516" s="2" t="s">
        <v>444</v>
      </c>
      <c r="O516" s="2" t="s">
        <v>134</v>
      </c>
      <c r="P516" s="2" t="s">
        <v>1826</v>
      </c>
      <c r="Q516" s="2" t="s">
        <v>410</v>
      </c>
      <c r="R516" s="2" t="s">
        <v>403</v>
      </c>
      <c r="S516" s="2" t="s">
        <v>34</v>
      </c>
      <c r="T516" s="151">
        <v>5.4809999999999999</v>
      </c>
      <c r="U516" s="2" t="s">
        <v>2099</v>
      </c>
      <c r="V516" s="162">
        <v>3.1E-2</v>
      </c>
      <c r="W516" s="164">
        <v>3.1029999999999999E-2</v>
      </c>
      <c r="X516" s="4" t="s">
        <v>409</v>
      </c>
      <c r="Y516" s="4" t="s">
        <v>134</v>
      </c>
      <c r="Z516" s="151">
        <v>70000</v>
      </c>
      <c r="AA516" s="158">
        <v>1</v>
      </c>
      <c r="AB516" s="175">
        <v>100.81</v>
      </c>
      <c r="AD516" s="151">
        <v>70.566999999999993</v>
      </c>
      <c r="AG516" s="2" t="s">
        <v>36</v>
      </c>
      <c r="AH516" s="164">
        <v>4.6E-5</v>
      </c>
      <c r="AI516" s="164">
        <v>8.8012197024593796E-3</v>
      </c>
      <c r="AJ516" s="164">
        <v>1.92180069367706E-3</v>
      </c>
    </row>
    <row r="517" spans="1:36">
      <c r="A517" s="2">
        <v>337</v>
      </c>
      <c r="B517" s="2">
        <v>9964</v>
      </c>
      <c r="C517" s="2" t="s">
        <v>2422</v>
      </c>
      <c r="D517" s="2" t="s">
        <v>2423</v>
      </c>
      <c r="E517" s="4" t="s">
        <v>1303</v>
      </c>
      <c r="F517" s="2" t="s">
        <v>2424</v>
      </c>
      <c r="G517" s="2" t="s">
        <v>2425</v>
      </c>
      <c r="H517" s="2" t="s">
        <v>318</v>
      </c>
      <c r="I517" s="2" t="s">
        <v>965</v>
      </c>
      <c r="J517" s="2" t="s">
        <v>30</v>
      </c>
      <c r="K517" s="2" t="s">
        <v>30</v>
      </c>
      <c r="L517" s="2" t="s">
        <v>324</v>
      </c>
      <c r="M517" s="2" t="s">
        <v>41</v>
      </c>
      <c r="N517" s="2" t="s">
        <v>443</v>
      </c>
      <c r="O517" s="2" t="s">
        <v>134</v>
      </c>
      <c r="P517" s="2" t="s">
        <v>1842</v>
      </c>
      <c r="Q517" s="2" t="s">
        <v>406</v>
      </c>
      <c r="R517" s="2" t="s">
        <v>406</v>
      </c>
      <c r="S517" s="2" t="s">
        <v>34</v>
      </c>
      <c r="T517" s="151">
        <v>3.7109999999999999</v>
      </c>
      <c r="U517" s="2" t="s">
        <v>2426</v>
      </c>
      <c r="V517" s="162">
        <v>6.7299999999999999E-2</v>
      </c>
      <c r="W517" s="164">
        <v>5.8349999999999999E-2</v>
      </c>
      <c r="X517" s="4" t="s">
        <v>409</v>
      </c>
      <c r="Y517" s="4" t="s">
        <v>134</v>
      </c>
      <c r="Z517" s="151">
        <v>11663</v>
      </c>
      <c r="AA517" s="158">
        <v>1</v>
      </c>
      <c r="AB517" s="175">
        <v>105.84</v>
      </c>
      <c r="AD517" s="151">
        <v>12.343999999999999</v>
      </c>
      <c r="AG517" s="2" t="s">
        <v>36</v>
      </c>
      <c r="AH517" s="164">
        <v>4.1999999999999998E-5</v>
      </c>
      <c r="AI517" s="164">
        <v>1.5395766450684799E-3</v>
      </c>
      <c r="AJ517" s="164">
        <v>3.3617607155458402E-4</v>
      </c>
    </row>
    <row r="518" spans="1:36">
      <c r="A518" s="2">
        <v>337</v>
      </c>
      <c r="B518" s="2">
        <v>9964</v>
      </c>
      <c r="C518" s="2" t="s">
        <v>2100</v>
      </c>
      <c r="D518" s="2" t="s">
        <v>2101</v>
      </c>
      <c r="E518" s="4" t="s">
        <v>1303</v>
      </c>
      <c r="F518" s="2" t="s">
        <v>2102</v>
      </c>
      <c r="G518" s="2" t="s">
        <v>2103</v>
      </c>
      <c r="H518" s="2" t="s">
        <v>318</v>
      </c>
      <c r="I518" s="2" t="s">
        <v>965</v>
      </c>
      <c r="J518" s="2" t="s">
        <v>30</v>
      </c>
      <c r="K518" s="2" t="s">
        <v>30</v>
      </c>
      <c r="L518" s="2" t="s">
        <v>324</v>
      </c>
      <c r="M518" s="2" t="s">
        <v>41</v>
      </c>
      <c r="N518" s="2" t="s">
        <v>443</v>
      </c>
      <c r="O518" s="2" t="s">
        <v>134</v>
      </c>
      <c r="P518" s="2" t="s">
        <v>1842</v>
      </c>
      <c r="Q518" s="2" t="s">
        <v>406</v>
      </c>
      <c r="R518" s="2" t="s">
        <v>406</v>
      </c>
      <c r="S518" s="2" t="s">
        <v>34</v>
      </c>
      <c r="T518" s="151">
        <v>3.0840000000000001</v>
      </c>
      <c r="U518" s="2" t="s">
        <v>2104</v>
      </c>
      <c r="V518" s="162">
        <v>8.1500000000000003E-2</v>
      </c>
      <c r="W518" s="164">
        <v>6.1679999999999999E-2</v>
      </c>
      <c r="X518" s="4" t="s">
        <v>409</v>
      </c>
      <c r="Y518" s="4" t="s">
        <v>134</v>
      </c>
      <c r="Z518" s="151">
        <v>31000</v>
      </c>
      <c r="AA518" s="158">
        <v>1</v>
      </c>
      <c r="AB518" s="175">
        <v>106.44</v>
      </c>
      <c r="AD518" s="151">
        <v>32.996000000000002</v>
      </c>
      <c r="AG518" s="2" t="s">
        <v>36</v>
      </c>
      <c r="AH518" s="164">
        <v>1.4999999999999999E-4</v>
      </c>
      <c r="AI518" s="164">
        <v>4.1153593859768797E-3</v>
      </c>
      <c r="AJ518" s="164">
        <v>8.9861414554743397E-4</v>
      </c>
    </row>
    <row r="519" spans="1:36">
      <c r="A519" s="2">
        <v>337</v>
      </c>
      <c r="B519" s="2">
        <v>9964</v>
      </c>
      <c r="C519" s="2" t="s">
        <v>2105</v>
      </c>
      <c r="D519" s="2" t="s">
        <v>2106</v>
      </c>
      <c r="E519" s="4" t="s">
        <v>1303</v>
      </c>
      <c r="F519" s="2" t="s">
        <v>2107</v>
      </c>
      <c r="G519" s="2" t="s">
        <v>2108</v>
      </c>
      <c r="H519" s="2" t="s">
        <v>318</v>
      </c>
      <c r="I519" s="2" t="s">
        <v>965</v>
      </c>
      <c r="J519" s="2" t="s">
        <v>30</v>
      </c>
      <c r="K519" s="2" t="s">
        <v>80</v>
      </c>
      <c r="L519" s="2" t="s">
        <v>324</v>
      </c>
      <c r="M519" s="2" t="s">
        <v>41</v>
      </c>
      <c r="N519" s="2" t="s">
        <v>461</v>
      </c>
      <c r="O519" s="2" t="s">
        <v>134</v>
      </c>
      <c r="P519" s="2" t="s">
        <v>1848</v>
      </c>
      <c r="Q519" s="2" t="s">
        <v>410</v>
      </c>
      <c r="R519" s="2" t="s">
        <v>403</v>
      </c>
      <c r="S519" s="2" t="s">
        <v>34</v>
      </c>
      <c r="T519" s="151">
        <v>0.65600000000000003</v>
      </c>
      <c r="U519" s="2" t="s">
        <v>2109</v>
      </c>
      <c r="V519" s="162">
        <v>3.95E-2</v>
      </c>
      <c r="W519" s="164">
        <v>5.8720000000000001E-2</v>
      </c>
      <c r="X519" s="4" t="s">
        <v>409</v>
      </c>
      <c r="Y519" s="4" t="s">
        <v>134</v>
      </c>
      <c r="Z519" s="151">
        <v>16000</v>
      </c>
      <c r="AA519" s="158">
        <v>1</v>
      </c>
      <c r="AB519" s="175">
        <v>100.13</v>
      </c>
      <c r="AD519" s="151">
        <v>16.021000000000001</v>
      </c>
      <c r="AG519" s="2" t="s">
        <v>36</v>
      </c>
      <c r="AH519" s="164">
        <v>5.1E-5</v>
      </c>
      <c r="AI519" s="164">
        <v>1.9981376650440199E-3</v>
      </c>
      <c r="AJ519" s="164">
        <v>4.3630570313689702E-4</v>
      </c>
    </row>
    <row r="520" spans="1:36">
      <c r="A520" s="2">
        <v>337</v>
      </c>
      <c r="B520" s="2">
        <v>9964</v>
      </c>
      <c r="C520" s="2" t="s">
        <v>1592</v>
      </c>
      <c r="D520" s="2" t="s">
        <v>1593</v>
      </c>
      <c r="E520" s="4" t="s">
        <v>1303</v>
      </c>
      <c r="F520" s="2" t="s">
        <v>2113</v>
      </c>
      <c r="G520" s="2" t="s">
        <v>2114</v>
      </c>
      <c r="H520" s="2" t="s">
        <v>318</v>
      </c>
      <c r="I520" s="2" t="s">
        <v>753</v>
      </c>
      <c r="J520" s="2" t="s">
        <v>30</v>
      </c>
      <c r="K520" s="2" t="s">
        <v>30</v>
      </c>
      <c r="L520" s="2" t="s">
        <v>324</v>
      </c>
      <c r="M520" s="2" t="s">
        <v>41</v>
      </c>
      <c r="N520" s="2" t="s">
        <v>460</v>
      </c>
      <c r="O520" s="2" t="s">
        <v>134</v>
      </c>
      <c r="P520" s="2" t="s">
        <v>1834</v>
      </c>
      <c r="Q520" s="2" t="s">
        <v>410</v>
      </c>
      <c r="R520" s="2" t="s">
        <v>403</v>
      </c>
      <c r="S520" s="2" t="s">
        <v>34</v>
      </c>
      <c r="T520" s="151">
        <v>2.9889999999999999</v>
      </c>
      <c r="U520" s="2" t="s">
        <v>2022</v>
      </c>
      <c r="V520" s="162">
        <v>2.81E-2</v>
      </c>
      <c r="W520" s="164">
        <v>2.8590000000000001E-2</v>
      </c>
      <c r="X520" s="4" t="s">
        <v>409</v>
      </c>
      <c r="Y520" s="4" t="s">
        <v>134</v>
      </c>
      <c r="Z520" s="151">
        <v>93500</v>
      </c>
      <c r="AA520" s="158">
        <v>1</v>
      </c>
      <c r="AB520" s="175">
        <v>117.66</v>
      </c>
      <c r="AD520" s="151">
        <v>110.012</v>
      </c>
      <c r="AG520" s="2" t="s">
        <v>36</v>
      </c>
      <c r="AH520" s="164">
        <v>6.7999999999999999E-5</v>
      </c>
      <c r="AI520" s="164">
        <v>1.3720870407257399E-2</v>
      </c>
      <c r="AJ520" s="164">
        <v>2.9960368173915599E-3</v>
      </c>
    </row>
    <row r="521" spans="1:36">
      <c r="A521" s="2">
        <v>337</v>
      </c>
      <c r="B521" s="2">
        <v>9964</v>
      </c>
      <c r="C521" s="2" t="s">
        <v>1592</v>
      </c>
      <c r="D521" s="2" t="s">
        <v>1593</v>
      </c>
      <c r="E521" s="4" t="s">
        <v>1303</v>
      </c>
      <c r="F521" s="2" t="s">
        <v>2427</v>
      </c>
      <c r="G521" s="2" t="s">
        <v>2428</v>
      </c>
      <c r="H521" s="2" t="s">
        <v>318</v>
      </c>
      <c r="I521" s="2" t="s">
        <v>753</v>
      </c>
      <c r="J521" s="2" t="s">
        <v>30</v>
      </c>
      <c r="K521" s="2" t="s">
        <v>30</v>
      </c>
      <c r="L521" s="2" t="s">
        <v>324</v>
      </c>
      <c r="M521" s="2" t="s">
        <v>41</v>
      </c>
      <c r="N521" s="2" t="s">
        <v>460</v>
      </c>
      <c r="O521" s="2" t="s">
        <v>134</v>
      </c>
      <c r="P521" s="2" t="s">
        <v>1834</v>
      </c>
      <c r="Q521" s="2" t="s">
        <v>410</v>
      </c>
      <c r="R521" s="2" t="s">
        <v>403</v>
      </c>
      <c r="S521" s="2" t="s">
        <v>34</v>
      </c>
      <c r="T521" s="151">
        <v>1.6830000000000001</v>
      </c>
      <c r="U521" s="2" t="s">
        <v>1843</v>
      </c>
      <c r="V521" s="162">
        <v>3.6999999999999998E-2</v>
      </c>
      <c r="W521" s="164">
        <v>2.8479999999999998E-2</v>
      </c>
      <c r="X521" s="4" t="s">
        <v>409</v>
      </c>
      <c r="Y521" s="4" t="s">
        <v>134</v>
      </c>
      <c r="Z521" s="151">
        <v>37665.019999999997</v>
      </c>
      <c r="AA521" s="158">
        <v>1</v>
      </c>
      <c r="AB521" s="175">
        <v>118.43</v>
      </c>
      <c r="AD521" s="151">
        <v>44.606999999999999</v>
      </c>
      <c r="AG521" s="2" t="s">
        <v>36</v>
      </c>
      <c r="AH521" s="164">
        <v>1.25E-4</v>
      </c>
      <c r="AI521" s="164">
        <v>5.5634109274588202E-3</v>
      </c>
      <c r="AJ521" s="164">
        <v>1.21480514531562E-3</v>
      </c>
    </row>
    <row r="522" spans="1:36">
      <c r="A522" s="2">
        <v>337</v>
      </c>
      <c r="B522" s="2">
        <v>9964</v>
      </c>
      <c r="C522" s="2" t="s">
        <v>2119</v>
      </c>
      <c r="D522" s="2" t="s">
        <v>2120</v>
      </c>
      <c r="E522" s="4" t="s">
        <v>1303</v>
      </c>
      <c r="F522" s="2" t="s">
        <v>2121</v>
      </c>
      <c r="G522" s="2" t="s">
        <v>2122</v>
      </c>
      <c r="H522" s="2" t="s">
        <v>318</v>
      </c>
      <c r="I522" s="2" t="s">
        <v>753</v>
      </c>
      <c r="J522" s="2" t="s">
        <v>30</v>
      </c>
      <c r="K522" s="2" t="s">
        <v>30</v>
      </c>
      <c r="L522" s="2" t="s">
        <v>324</v>
      </c>
      <c r="M522" s="2" t="s">
        <v>41</v>
      </c>
      <c r="N522" s="2" t="s">
        <v>460</v>
      </c>
      <c r="O522" s="2" t="s">
        <v>134</v>
      </c>
      <c r="P522" s="2" t="s">
        <v>1848</v>
      </c>
      <c r="Q522" s="2" t="s">
        <v>410</v>
      </c>
      <c r="R522" s="2" t="s">
        <v>403</v>
      </c>
      <c r="S522" s="2" t="s">
        <v>34</v>
      </c>
      <c r="T522" s="151">
        <v>1.3859999999999999</v>
      </c>
      <c r="U522" s="2" t="s">
        <v>2123</v>
      </c>
      <c r="V522" s="162">
        <v>2.0500000000000001E-2</v>
      </c>
      <c r="W522" s="164">
        <v>3.1309999999999998E-2</v>
      </c>
      <c r="X522" s="4" t="s">
        <v>409</v>
      </c>
      <c r="Y522" s="4" t="s">
        <v>134</v>
      </c>
      <c r="Z522" s="151">
        <v>49211.519999999997</v>
      </c>
      <c r="AA522" s="158">
        <v>1</v>
      </c>
      <c r="AB522" s="175">
        <v>115.58</v>
      </c>
      <c r="AD522" s="151">
        <v>56.878999999999998</v>
      </c>
      <c r="AG522" s="2" t="s">
        <v>36</v>
      </c>
      <c r="AH522" s="164">
        <v>6.4999999999999994E-5</v>
      </c>
      <c r="AI522" s="164">
        <v>7.0939917162463903E-3</v>
      </c>
      <c r="AJ522" s="164">
        <v>1.54901691607721E-3</v>
      </c>
    </row>
    <row r="523" spans="1:36">
      <c r="A523" s="2">
        <v>337</v>
      </c>
      <c r="B523" s="2">
        <v>9964</v>
      </c>
      <c r="C523" s="2" t="s">
        <v>2119</v>
      </c>
      <c r="D523" s="2" t="s">
        <v>2120</v>
      </c>
      <c r="E523" s="4" t="s">
        <v>1303</v>
      </c>
      <c r="F523" s="2" t="s">
        <v>2127</v>
      </c>
      <c r="G523" s="2" t="s">
        <v>2128</v>
      </c>
      <c r="H523" s="2" t="s">
        <v>318</v>
      </c>
      <c r="I523" s="2" t="s">
        <v>753</v>
      </c>
      <c r="J523" s="2" t="s">
        <v>30</v>
      </c>
      <c r="K523" s="2" t="s">
        <v>30</v>
      </c>
      <c r="L523" s="2" t="s">
        <v>324</v>
      </c>
      <c r="M523" s="2" t="s">
        <v>41</v>
      </c>
      <c r="N523" s="2" t="s">
        <v>460</v>
      </c>
      <c r="O523" s="2" t="s">
        <v>134</v>
      </c>
      <c r="P523" s="2" t="s">
        <v>1848</v>
      </c>
      <c r="Q523" s="2" t="s">
        <v>410</v>
      </c>
      <c r="R523" s="2" t="s">
        <v>403</v>
      </c>
      <c r="S523" s="2" t="s">
        <v>34</v>
      </c>
      <c r="T523" s="151">
        <v>5.3570000000000002</v>
      </c>
      <c r="U523" s="2" t="s">
        <v>2129</v>
      </c>
      <c r="V523" s="162">
        <v>9.7000000000000003E-3</v>
      </c>
      <c r="W523" s="164">
        <v>3.3239999999999999E-2</v>
      </c>
      <c r="X523" s="4" t="s">
        <v>409</v>
      </c>
      <c r="Y523" s="4" t="s">
        <v>134</v>
      </c>
      <c r="Z523" s="151">
        <v>108001.24</v>
      </c>
      <c r="AA523" s="158">
        <v>1</v>
      </c>
      <c r="AB523" s="175">
        <v>100.61</v>
      </c>
      <c r="AD523" s="151">
        <v>108.66</v>
      </c>
      <c r="AG523" s="2" t="s">
        <v>36</v>
      </c>
      <c r="AH523" s="164">
        <v>1.7899999999999999E-4</v>
      </c>
      <c r="AI523" s="164">
        <v>1.3552240445115301E-2</v>
      </c>
      <c r="AJ523" s="164">
        <v>2.9592154234058098E-3</v>
      </c>
    </row>
    <row r="524" spans="1:36">
      <c r="A524" s="2">
        <v>337</v>
      </c>
      <c r="B524" s="2">
        <v>9964</v>
      </c>
      <c r="C524" s="2" t="s">
        <v>2130</v>
      </c>
      <c r="D524" s="2" t="s">
        <v>2131</v>
      </c>
      <c r="E524" s="4" t="s">
        <v>1303</v>
      </c>
      <c r="F524" s="2" t="s">
        <v>2135</v>
      </c>
      <c r="G524" s="2" t="s">
        <v>2136</v>
      </c>
      <c r="H524" s="2" t="s">
        <v>318</v>
      </c>
      <c r="I524" s="2" t="s">
        <v>753</v>
      </c>
      <c r="J524" s="2" t="s">
        <v>30</v>
      </c>
      <c r="K524" s="2" t="s">
        <v>30</v>
      </c>
      <c r="L524" s="2" t="s">
        <v>324</v>
      </c>
      <c r="M524" s="2" t="s">
        <v>41</v>
      </c>
      <c r="N524" s="2" t="s">
        <v>444</v>
      </c>
      <c r="O524" s="2" t="s">
        <v>134</v>
      </c>
      <c r="P524" s="2" t="s">
        <v>1176</v>
      </c>
      <c r="Q524" s="2" t="s">
        <v>410</v>
      </c>
      <c r="R524" s="2" t="s">
        <v>403</v>
      </c>
      <c r="S524" s="2" t="s">
        <v>34</v>
      </c>
      <c r="T524" s="151">
        <v>3.5550000000000002</v>
      </c>
      <c r="U524" s="2" t="s">
        <v>2137</v>
      </c>
      <c r="V524" s="162">
        <v>1E-3</v>
      </c>
      <c r="W524" s="164">
        <v>2.5600000000000001E-2</v>
      </c>
      <c r="X524" s="4" t="s">
        <v>409</v>
      </c>
      <c r="Y524" s="4" t="s">
        <v>134</v>
      </c>
      <c r="Z524" s="151">
        <v>63000</v>
      </c>
      <c r="AA524" s="158">
        <v>1</v>
      </c>
      <c r="AB524" s="175">
        <v>103.56</v>
      </c>
      <c r="AD524" s="151">
        <v>65.242999999999995</v>
      </c>
      <c r="AG524" s="2" t="s">
        <v>36</v>
      </c>
      <c r="AH524" s="164">
        <v>1.9000000000000001E-5</v>
      </c>
      <c r="AI524" s="164">
        <v>8.1371776723343295E-3</v>
      </c>
      <c r="AJ524" s="164">
        <v>1.7768030141203899E-3</v>
      </c>
    </row>
    <row r="525" spans="1:36">
      <c r="A525" s="2">
        <v>337</v>
      </c>
      <c r="B525" s="2">
        <v>9964</v>
      </c>
      <c r="C525" s="2" t="s">
        <v>2130</v>
      </c>
      <c r="D525" s="2" t="s">
        <v>2131</v>
      </c>
      <c r="E525" s="4" t="s">
        <v>1303</v>
      </c>
      <c r="F525" s="2" t="s">
        <v>2144</v>
      </c>
      <c r="G525" s="2" t="s">
        <v>2145</v>
      </c>
      <c r="H525" s="2" t="s">
        <v>318</v>
      </c>
      <c r="I525" s="2" t="s">
        <v>753</v>
      </c>
      <c r="J525" s="2" t="s">
        <v>30</v>
      </c>
      <c r="K525" s="2" t="s">
        <v>30</v>
      </c>
      <c r="L525" s="2" t="s">
        <v>324</v>
      </c>
      <c r="M525" s="2" t="s">
        <v>41</v>
      </c>
      <c r="N525" s="2" t="s">
        <v>444</v>
      </c>
      <c r="O525" s="2" t="s">
        <v>134</v>
      </c>
      <c r="P525" s="2" t="s">
        <v>1176</v>
      </c>
      <c r="Q525" s="2" t="s">
        <v>410</v>
      </c>
      <c r="R525" s="2" t="s">
        <v>403</v>
      </c>
      <c r="S525" s="2" t="s">
        <v>34</v>
      </c>
      <c r="T525" s="151">
        <v>5.22</v>
      </c>
      <c r="U525" s="2" t="s">
        <v>2146</v>
      </c>
      <c r="V525" s="162">
        <v>2E-3</v>
      </c>
      <c r="W525" s="164">
        <v>2.606E-2</v>
      </c>
      <c r="X525" s="4" t="s">
        <v>409</v>
      </c>
      <c r="Y525" s="4" t="s">
        <v>134</v>
      </c>
      <c r="Z525" s="151">
        <v>70000</v>
      </c>
      <c r="AA525" s="158">
        <v>1</v>
      </c>
      <c r="AB525" s="175">
        <v>102.35</v>
      </c>
      <c r="AD525" s="151">
        <v>71.644999999999996</v>
      </c>
      <c r="AG525" s="2" t="s">
        <v>36</v>
      </c>
      <c r="AH525" s="164">
        <v>2.0000000000000002E-5</v>
      </c>
      <c r="AI525" s="164">
        <v>8.9356694429790409E-3</v>
      </c>
      <c r="AJ525" s="164">
        <v>1.95115862511504E-3</v>
      </c>
    </row>
    <row r="526" spans="1:36">
      <c r="A526" s="2">
        <v>337</v>
      </c>
      <c r="B526" s="2">
        <v>9964</v>
      </c>
      <c r="C526" s="2" t="s">
        <v>2130</v>
      </c>
      <c r="D526" s="2" t="s">
        <v>2131</v>
      </c>
      <c r="E526" s="4" t="s">
        <v>1303</v>
      </c>
      <c r="F526" s="2" t="s">
        <v>2488</v>
      </c>
      <c r="G526" s="2" t="s">
        <v>2489</v>
      </c>
      <c r="H526" s="2" t="s">
        <v>318</v>
      </c>
      <c r="I526" s="2" t="s">
        <v>753</v>
      </c>
      <c r="J526" s="2" t="s">
        <v>30</v>
      </c>
      <c r="K526" s="2" t="s">
        <v>30</v>
      </c>
      <c r="L526" s="2" t="s">
        <v>324</v>
      </c>
      <c r="M526" s="2" t="s">
        <v>41</v>
      </c>
      <c r="N526" s="2" t="s">
        <v>444</v>
      </c>
      <c r="O526" s="2" t="s">
        <v>134</v>
      </c>
      <c r="P526" s="2" t="s">
        <v>1826</v>
      </c>
      <c r="Q526" s="2" t="s">
        <v>410</v>
      </c>
      <c r="R526" s="2" t="s">
        <v>403</v>
      </c>
      <c r="S526" s="2" t="s">
        <v>34</v>
      </c>
      <c r="T526" s="151">
        <v>3.9239999999999999</v>
      </c>
      <c r="U526" s="2" t="s">
        <v>2490</v>
      </c>
      <c r="V526" s="162">
        <v>3.3599999999999998E-2</v>
      </c>
      <c r="W526" s="164">
        <v>3.0030000000000001E-2</v>
      </c>
      <c r="X526" s="4" t="s">
        <v>409</v>
      </c>
      <c r="Y526" s="4" t="s">
        <v>134</v>
      </c>
      <c r="Z526" s="151">
        <v>20000</v>
      </c>
      <c r="AA526" s="158">
        <v>1</v>
      </c>
      <c r="AB526" s="175">
        <v>107.83</v>
      </c>
      <c r="AD526" s="151">
        <v>21.565999999999999</v>
      </c>
      <c r="AG526" s="2" t="s">
        <v>36</v>
      </c>
      <c r="AH526" s="164">
        <v>1.7E-5</v>
      </c>
      <c r="AI526" s="164">
        <v>2.6897431391902601E-3</v>
      </c>
      <c r="AJ526" s="164">
        <v>5.8732203097537801E-4</v>
      </c>
    </row>
    <row r="527" spans="1:36">
      <c r="A527" s="2">
        <v>337</v>
      </c>
      <c r="B527" s="2">
        <v>9964</v>
      </c>
      <c r="C527" s="2" t="s">
        <v>2149</v>
      </c>
      <c r="D527" s="2" t="s">
        <v>2150</v>
      </c>
      <c r="E527" s="4" t="s">
        <v>1303</v>
      </c>
      <c r="F527" s="2" t="s">
        <v>2151</v>
      </c>
      <c r="G527" s="2" t="s">
        <v>2152</v>
      </c>
      <c r="H527" s="2" t="s">
        <v>318</v>
      </c>
      <c r="I527" s="2" t="s">
        <v>753</v>
      </c>
      <c r="J527" s="2" t="s">
        <v>30</v>
      </c>
      <c r="K527" s="2" t="s">
        <v>30</v>
      </c>
      <c r="L527" s="2" t="s">
        <v>324</v>
      </c>
      <c r="M527" s="2" t="s">
        <v>41</v>
      </c>
      <c r="N527" s="2" t="s">
        <v>439</v>
      </c>
      <c r="O527" s="2" t="s">
        <v>134</v>
      </c>
      <c r="P527" s="2" t="s">
        <v>2057</v>
      </c>
      <c r="Q527" s="2" t="s">
        <v>412</v>
      </c>
      <c r="R527" s="2" t="s">
        <v>403</v>
      </c>
      <c r="S527" s="2" t="s">
        <v>34</v>
      </c>
      <c r="T527" s="151">
        <v>3.0270000000000001</v>
      </c>
      <c r="U527" s="2" t="s">
        <v>2153</v>
      </c>
      <c r="V527" s="162">
        <v>0.01</v>
      </c>
      <c r="W527" s="164">
        <v>3.3369999999999997E-2</v>
      </c>
      <c r="X527" s="4" t="s">
        <v>409</v>
      </c>
      <c r="Y527" s="4" t="s">
        <v>134</v>
      </c>
      <c r="Z527" s="151">
        <v>72240</v>
      </c>
      <c r="AA527" s="158">
        <v>1</v>
      </c>
      <c r="AB527" s="175">
        <v>105.29</v>
      </c>
      <c r="AD527" s="151">
        <v>76.061000000000007</v>
      </c>
      <c r="AG527" s="2" t="s">
        <v>36</v>
      </c>
      <c r="AH527" s="164">
        <v>4.0000000000000003E-5</v>
      </c>
      <c r="AI527" s="164">
        <v>9.4865012993854796E-3</v>
      </c>
      <c r="AJ527" s="164">
        <v>2.0714361638572601E-3</v>
      </c>
    </row>
    <row r="528" spans="1:36">
      <c r="A528" s="2">
        <v>337</v>
      </c>
      <c r="B528" s="2">
        <v>9964</v>
      </c>
      <c r="C528" s="2" t="s">
        <v>2149</v>
      </c>
      <c r="D528" s="2" t="s">
        <v>2150</v>
      </c>
      <c r="E528" s="4" t="s">
        <v>1303</v>
      </c>
      <c r="F528" s="2" t="s">
        <v>2154</v>
      </c>
      <c r="G528" s="2" t="s">
        <v>2155</v>
      </c>
      <c r="H528" s="2" t="s">
        <v>318</v>
      </c>
      <c r="I528" s="2" t="s">
        <v>753</v>
      </c>
      <c r="J528" s="2" t="s">
        <v>30</v>
      </c>
      <c r="K528" s="2" t="s">
        <v>30</v>
      </c>
      <c r="L528" s="2" t="s">
        <v>324</v>
      </c>
      <c r="M528" s="2" t="s">
        <v>41</v>
      </c>
      <c r="N528" s="2" t="s">
        <v>439</v>
      </c>
      <c r="O528" s="2" t="s">
        <v>134</v>
      </c>
      <c r="P528" s="2" t="s">
        <v>2057</v>
      </c>
      <c r="Q528" s="2" t="s">
        <v>412</v>
      </c>
      <c r="R528" s="2" t="s">
        <v>403</v>
      </c>
      <c r="S528" s="2" t="s">
        <v>34</v>
      </c>
      <c r="T528" s="151">
        <v>1.3089999999999999</v>
      </c>
      <c r="U528" s="2" t="s">
        <v>53</v>
      </c>
      <c r="V528" s="162">
        <v>3.5400000000000001E-2</v>
      </c>
      <c r="W528" s="164">
        <v>3.0630000000000001E-2</v>
      </c>
      <c r="X528" s="4" t="s">
        <v>409</v>
      </c>
      <c r="Y528" s="4" t="s">
        <v>134</v>
      </c>
      <c r="Z528" s="151">
        <v>50400</v>
      </c>
      <c r="AA528" s="158">
        <v>1</v>
      </c>
      <c r="AB528" s="175">
        <v>107.99</v>
      </c>
      <c r="AD528" s="151">
        <v>54.427</v>
      </c>
      <c r="AG528" s="2" t="s">
        <v>36</v>
      </c>
      <c r="AH528" s="164">
        <v>5.0000000000000002E-5</v>
      </c>
      <c r="AI528" s="164">
        <v>6.7882102497905297E-3</v>
      </c>
      <c r="AJ528" s="164">
        <v>1.48224764383825E-3</v>
      </c>
    </row>
    <row r="529" spans="1:36">
      <c r="A529" s="2">
        <v>337</v>
      </c>
      <c r="B529" s="2">
        <v>9964</v>
      </c>
      <c r="C529" s="2" t="s">
        <v>2149</v>
      </c>
      <c r="D529" s="2" t="s">
        <v>2150</v>
      </c>
      <c r="E529" s="4" t="s">
        <v>1303</v>
      </c>
      <c r="F529" s="2" t="s">
        <v>2156</v>
      </c>
      <c r="G529" s="2" t="s">
        <v>2157</v>
      </c>
      <c r="H529" s="2" t="s">
        <v>318</v>
      </c>
      <c r="I529" s="2" t="s">
        <v>753</v>
      </c>
      <c r="J529" s="2" t="s">
        <v>30</v>
      </c>
      <c r="K529" s="2" t="s">
        <v>30</v>
      </c>
      <c r="L529" s="2" t="s">
        <v>324</v>
      </c>
      <c r="M529" s="2" t="s">
        <v>41</v>
      </c>
      <c r="N529" s="2" t="s">
        <v>439</v>
      </c>
      <c r="O529" s="2" t="s">
        <v>134</v>
      </c>
      <c r="P529" s="2" t="s">
        <v>2057</v>
      </c>
      <c r="Q529" s="2" t="s">
        <v>412</v>
      </c>
      <c r="R529" s="2" t="s">
        <v>403</v>
      </c>
      <c r="S529" s="2" t="s">
        <v>34</v>
      </c>
      <c r="T529" s="151">
        <v>0.432</v>
      </c>
      <c r="U529" s="2" t="s">
        <v>2158</v>
      </c>
      <c r="V529" s="162">
        <v>0.01</v>
      </c>
      <c r="W529" s="164">
        <v>2.8709999999999999E-2</v>
      </c>
      <c r="X529" s="4" t="s">
        <v>409</v>
      </c>
      <c r="Y529" s="4" t="s">
        <v>134</v>
      </c>
      <c r="Z529" s="151">
        <v>25256.400000000001</v>
      </c>
      <c r="AA529" s="158">
        <v>1</v>
      </c>
      <c r="AB529" s="175">
        <v>113.7</v>
      </c>
      <c r="AD529" s="151">
        <v>28.716999999999999</v>
      </c>
      <c r="AG529" s="2" t="s">
        <v>36</v>
      </c>
      <c r="AH529" s="164">
        <v>1.4899999999999999E-4</v>
      </c>
      <c r="AI529" s="164">
        <v>3.5815673254972302E-3</v>
      </c>
      <c r="AJ529" s="164">
        <v>7.8205735151325498E-4</v>
      </c>
    </row>
    <row r="530" spans="1:36">
      <c r="A530" s="2">
        <v>337</v>
      </c>
      <c r="B530" s="2">
        <v>9964</v>
      </c>
      <c r="C530" s="2" t="s">
        <v>1604</v>
      </c>
      <c r="D530" s="2" t="s">
        <v>1605</v>
      </c>
      <c r="E530" s="4" t="s">
        <v>1303</v>
      </c>
      <c r="F530" s="2" t="s">
        <v>2159</v>
      </c>
      <c r="G530" s="2" t="s">
        <v>2160</v>
      </c>
      <c r="H530" s="2" t="s">
        <v>318</v>
      </c>
      <c r="I530" s="2" t="s">
        <v>753</v>
      </c>
      <c r="J530" s="2" t="s">
        <v>30</v>
      </c>
      <c r="K530" s="2" t="s">
        <v>30</v>
      </c>
      <c r="L530" s="2" t="s">
        <v>324</v>
      </c>
      <c r="M530" s="2" t="s">
        <v>41</v>
      </c>
      <c r="N530" s="2" t="s">
        <v>460</v>
      </c>
      <c r="O530" s="2" t="s">
        <v>134</v>
      </c>
      <c r="P530" s="2" t="s">
        <v>1834</v>
      </c>
      <c r="Q530" s="2" t="s">
        <v>410</v>
      </c>
      <c r="R530" s="2" t="s">
        <v>403</v>
      </c>
      <c r="S530" s="2" t="s">
        <v>34</v>
      </c>
      <c r="T530" s="151">
        <v>3.9249999999999998</v>
      </c>
      <c r="U530" s="2" t="s">
        <v>1863</v>
      </c>
      <c r="V530" s="162">
        <v>1.43E-2</v>
      </c>
      <c r="W530" s="164">
        <v>2.8070000000000001E-2</v>
      </c>
      <c r="X530" s="4" t="s">
        <v>409</v>
      </c>
      <c r="Y530" s="4" t="s">
        <v>134</v>
      </c>
      <c r="Z530" s="151">
        <v>63602.16</v>
      </c>
      <c r="AA530" s="158">
        <v>1</v>
      </c>
      <c r="AB530" s="175">
        <v>110</v>
      </c>
      <c r="AD530" s="151">
        <v>69.962000000000003</v>
      </c>
      <c r="AG530" s="2" t="s">
        <v>36</v>
      </c>
      <c r="AH530" s="164">
        <v>4.0000000000000003E-5</v>
      </c>
      <c r="AI530" s="164">
        <v>8.7258101107043108E-3</v>
      </c>
      <c r="AJ530" s="164">
        <v>1.9053345434565099E-3</v>
      </c>
    </row>
    <row r="531" spans="1:36">
      <c r="A531" s="2">
        <v>337</v>
      </c>
      <c r="B531" s="2">
        <v>9964</v>
      </c>
      <c r="C531" s="2" t="s">
        <v>1604</v>
      </c>
      <c r="D531" s="2" t="s">
        <v>1605</v>
      </c>
      <c r="E531" s="4" t="s">
        <v>1303</v>
      </c>
      <c r="F531" s="2" t="s">
        <v>2161</v>
      </c>
      <c r="G531" s="2" t="s">
        <v>2162</v>
      </c>
      <c r="H531" s="2" t="s">
        <v>318</v>
      </c>
      <c r="I531" s="2" t="s">
        <v>753</v>
      </c>
      <c r="J531" s="2" t="s">
        <v>30</v>
      </c>
      <c r="K531" s="2" t="s">
        <v>30</v>
      </c>
      <c r="L531" s="2" t="s">
        <v>324</v>
      </c>
      <c r="M531" s="2" t="s">
        <v>41</v>
      </c>
      <c r="N531" s="2" t="s">
        <v>460</v>
      </c>
      <c r="O531" s="2" t="s">
        <v>134</v>
      </c>
      <c r="P531" s="2" t="s">
        <v>1834</v>
      </c>
      <c r="Q531" s="2" t="s">
        <v>410</v>
      </c>
      <c r="R531" s="2" t="s">
        <v>403</v>
      </c>
      <c r="S531" s="2" t="s">
        <v>34</v>
      </c>
      <c r="T531" s="151">
        <v>5.726</v>
      </c>
      <c r="U531" s="2" t="s">
        <v>2163</v>
      </c>
      <c r="V531" s="162">
        <v>3.61E-2</v>
      </c>
      <c r="W531" s="164">
        <v>3.0759999999999999E-2</v>
      </c>
      <c r="X531" s="4" t="s">
        <v>409</v>
      </c>
      <c r="Y531" s="4" t="s">
        <v>134</v>
      </c>
      <c r="Z531" s="151">
        <v>69821.429999999993</v>
      </c>
      <c r="AA531" s="158">
        <v>1</v>
      </c>
      <c r="AB531" s="175">
        <v>110.37</v>
      </c>
      <c r="AD531" s="151">
        <v>77.061999999999998</v>
      </c>
      <c r="AG531" s="2" t="s">
        <v>36</v>
      </c>
      <c r="AH531" s="164">
        <v>4.3999999999999999E-5</v>
      </c>
      <c r="AI531" s="164">
        <v>9.6112746859685905E-3</v>
      </c>
      <c r="AJ531" s="164">
        <v>2.0986812036351901E-3</v>
      </c>
    </row>
    <row r="532" spans="1:36">
      <c r="A532" s="2">
        <v>337</v>
      </c>
      <c r="B532" s="2">
        <v>9964</v>
      </c>
      <c r="C532" s="2" t="s">
        <v>1604</v>
      </c>
      <c r="D532" s="2" t="s">
        <v>1605</v>
      </c>
      <c r="E532" s="4" t="s">
        <v>1303</v>
      </c>
      <c r="F532" s="2" t="s">
        <v>2507</v>
      </c>
      <c r="G532" s="2" t="s">
        <v>2508</v>
      </c>
      <c r="H532" s="2" t="s">
        <v>318</v>
      </c>
      <c r="I532" s="2" t="s">
        <v>753</v>
      </c>
      <c r="J532" s="2" t="s">
        <v>30</v>
      </c>
      <c r="K532" s="2" t="s">
        <v>30</v>
      </c>
      <c r="L532" s="2" t="s">
        <v>324</v>
      </c>
      <c r="M532" s="2" t="s">
        <v>41</v>
      </c>
      <c r="N532" s="2" t="s">
        <v>460</v>
      </c>
      <c r="O532" s="2" t="s">
        <v>134</v>
      </c>
      <c r="P532" s="2" t="s">
        <v>1834</v>
      </c>
      <c r="Q532" s="2" t="s">
        <v>410</v>
      </c>
      <c r="R532" s="2" t="s">
        <v>403</v>
      </c>
      <c r="S532" s="2" t="s">
        <v>34</v>
      </c>
      <c r="T532" s="151">
        <v>0.27400000000000002</v>
      </c>
      <c r="U532" s="2" t="s">
        <v>2431</v>
      </c>
      <c r="V532" s="162">
        <v>1.7600000000000001E-2</v>
      </c>
      <c r="W532" s="164">
        <v>2.298E-2</v>
      </c>
      <c r="X532" s="4" t="s">
        <v>409</v>
      </c>
      <c r="Y532" s="4" t="s">
        <v>134</v>
      </c>
      <c r="Z532" s="151">
        <v>62748.09</v>
      </c>
      <c r="AA532" s="158">
        <v>1</v>
      </c>
      <c r="AB532" s="175">
        <v>117.72</v>
      </c>
      <c r="AD532" s="151">
        <v>73.867000000000004</v>
      </c>
      <c r="AG532" s="2" t="s">
        <v>36</v>
      </c>
      <c r="AH532" s="164">
        <v>2.33E-4</v>
      </c>
      <c r="AI532" s="164">
        <v>9.2128069699270194E-3</v>
      </c>
      <c r="AJ532" s="164">
        <v>2.0116733162076502E-3</v>
      </c>
    </row>
    <row r="533" spans="1:36">
      <c r="A533" s="2">
        <v>337</v>
      </c>
      <c r="B533" s="2">
        <v>9964</v>
      </c>
      <c r="C533" s="2" t="s">
        <v>1604</v>
      </c>
      <c r="D533" s="2" t="s">
        <v>1605</v>
      </c>
      <c r="E533" s="4" t="s">
        <v>1303</v>
      </c>
      <c r="F533" s="2" t="s">
        <v>2429</v>
      </c>
      <c r="G533" s="2" t="s">
        <v>2430</v>
      </c>
      <c r="H533" s="2" t="s">
        <v>318</v>
      </c>
      <c r="I533" s="2" t="s">
        <v>753</v>
      </c>
      <c r="J533" s="2" t="s">
        <v>30</v>
      </c>
      <c r="K533" s="2" t="s">
        <v>30</v>
      </c>
      <c r="L533" s="2" t="s">
        <v>324</v>
      </c>
      <c r="M533" s="2" t="s">
        <v>41</v>
      </c>
      <c r="N533" s="2" t="s">
        <v>460</v>
      </c>
      <c r="O533" s="2" t="s">
        <v>134</v>
      </c>
      <c r="P533" s="2" t="s">
        <v>1834</v>
      </c>
      <c r="Q533" s="2" t="s">
        <v>410</v>
      </c>
      <c r="R533" s="2" t="s">
        <v>403</v>
      </c>
      <c r="S533" s="2" t="s">
        <v>34</v>
      </c>
      <c r="T533" s="151">
        <v>0.27400000000000002</v>
      </c>
      <c r="U533" s="2" t="s">
        <v>2431</v>
      </c>
      <c r="V533" s="162">
        <v>2.3E-2</v>
      </c>
      <c r="W533" s="164">
        <v>2.1250000000000002E-2</v>
      </c>
      <c r="X533" s="4" t="s">
        <v>409</v>
      </c>
      <c r="Y533" s="4" t="s">
        <v>134</v>
      </c>
      <c r="Z533" s="151">
        <v>75621.66</v>
      </c>
      <c r="AA533" s="158">
        <v>1</v>
      </c>
      <c r="AB533" s="175">
        <v>118.09</v>
      </c>
      <c r="AD533" s="151">
        <v>89.302000000000007</v>
      </c>
      <c r="AG533" s="2" t="s">
        <v>36</v>
      </c>
      <c r="AH533" s="164">
        <v>9.5000000000000005E-5</v>
      </c>
      <c r="AI533" s="164">
        <v>1.11378287640208E-2</v>
      </c>
      <c r="AJ533" s="164">
        <v>2.4320137172317499E-3</v>
      </c>
    </row>
    <row r="534" spans="1:36">
      <c r="A534" s="2">
        <v>337</v>
      </c>
      <c r="B534" s="2">
        <v>9964</v>
      </c>
      <c r="C534" s="2" t="s">
        <v>1604</v>
      </c>
      <c r="D534" s="2" t="s">
        <v>1605</v>
      </c>
      <c r="E534" s="4" t="s">
        <v>1303</v>
      </c>
      <c r="F534" s="2" t="s">
        <v>2167</v>
      </c>
      <c r="G534" s="2" t="s">
        <v>2168</v>
      </c>
      <c r="H534" s="2" t="s">
        <v>318</v>
      </c>
      <c r="I534" s="2" t="s">
        <v>753</v>
      </c>
      <c r="J534" s="2" t="s">
        <v>30</v>
      </c>
      <c r="K534" s="2" t="s">
        <v>30</v>
      </c>
      <c r="L534" s="2" t="s">
        <v>324</v>
      </c>
      <c r="M534" s="2" t="s">
        <v>41</v>
      </c>
      <c r="N534" s="2" t="s">
        <v>460</v>
      </c>
      <c r="O534" s="2" t="s">
        <v>134</v>
      </c>
      <c r="P534" s="2" t="s">
        <v>1834</v>
      </c>
      <c r="Q534" s="2" t="s">
        <v>410</v>
      </c>
      <c r="R534" s="2" t="s">
        <v>403</v>
      </c>
      <c r="S534" s="2" t="s">
        <v>34</v>
      </c>
      <c r="T534" s="151">
        <v>4.8760000000000003</v>
      </c>
      <c r="U534" s="2" t="s">
        <v>2146</v>
      </c>
      <c r="V534" s="162">
        <v>2.5000000000000001E-3</v>
      </c>
      <c r="W534" s="164">
        <v>2.7699999999999999E-2</v>
      </c>
      <c r="X534" s="4" t="s">
        <v>409</v>
      </c>
      <c r="Y534" s="4" t="s">
        <v>134</v>
      </c>
      <c r="Z534" s="151">
        <v>52200</v>
      </c>
      <c r="AA534" s="158">
        <v>1</v>
      </c>
      <c r="AB534" s="175">
        <v>100.5</v>
      </c>
      <c r="AD534" s="151">
        <v>52.460999999999999</v>
      </c>
      <c r="AG534" s="2" t="s">
        <v>36</v>
      </c>
      <c r="AH534" s="164">
        <v>3.8999999999999999E-5</v>
      </c>
      <c r="AI534" s="164">
        <v>6.5430128361800999E-3</v>
      </c>
      <c r="AJ534" s="164">
        <v>1.4287072738105901E-3</v>
      </c>
    </row>
    <row r="535" spans="1:36">
      <c r="A535" s="2">
        <v>337</v>
      </c>
      <c r="B535" s="2">
        <v>9964</v>
      </c>
      <c r="C535" s="2" t="s">
        <v>2169</v>
      </c>
      <c r="D535" s="2" t="s">
        <v>2170</v>
      </c>
      <c r="E535" s="4" t="s">
        <v>1303</v>
      </c>
      <c r="F535" s="2" t="s">
        <v>2171</v>
      </c>
      <c r="G535" s="2" t="s">
        <v>2172</v>
      </c>
      <c r="H535" s="2" t="s">
        <v>318</v>
      </c>
      <c r="I535" s="2" t="s">
        <v>965</v>
      </c>
      <c r="J535" s="2" t="s">
        <v>30</v>
      </c>
      <c r="K535" s="2" t="s">
        <v>30</v>
      </c>
      <c r="L535" s="2" t="s">
        <v>324</v>
      </c>
      <c r="M535" s="209" t="s">
        <v>41</v>
      </c>
      <c r="N535" s="2" t="s">
        <v>441</v>
      </c>
      <c r="O535" s="2" t="s">
        <v>134</v>
      </c>
      <c r="P535" s="2" t="s">
        <v>2173</v>
      </c>
      <c r="Q535" s="2" t="s">
        <v>412</v>
      </c>
      <c r="R535" s="2" t="s">
        <v>403</v>
      </c>
      <c r="S535" s="2" t="s">
        <v>34</v>
      </c>
      <c r="T535" s="151">
        <v>6.3310000000000004</v>
      </c>
      <c r="U535" s="2" t="s">
        <v>2174</v>
      </c>
      <c r="V535" s="162">
        <v>5.0200000000000002E-2</v>
      </c>
      <c r="W535" s="164">
        <v>5.2510000000000001E-2</v>
      </c>
      <c r="X535" s="4" t="s">
        <v>409</v>
      </c>
      <c r="Y535" s="4" t="s">
        <v>134</v>
      </c>
      <c r="Z535" s="151">
        <v>55000</v>
      </c>
      <c r="AA535" s="158">
        <v>1</v>
      </c>
      <c r="AB535" s="175">
        <v>99.08</v>
      </c>
      <c r="AD535" s="151">
        <v>54.494</v>
      </c>
      <c r="AG535" s="2" t="s">
        <v>36</v>
      </c>
      <c r="AH535" s="164">
        <v>1.3799999999999999E-4</v>
      </c>
      <c r="AI535" s="164">
        <v>6.79657157688185E-3</v>
      </c>
      <c r="AJ535" s="164">
        <v>1.4840733912627399E-3</v>
      </c>
    </row>
    <row r="536" spans="1:36">
      <c r="A536" s="2">
        <v>337</v>
      </c>
      <c r="B536" s="2">
        <v>9964</v>
      </c>
      <c r="C536" s="2" t="s">
        <v>1612</v>
      </c>
      <c r="D536" s="2" t="s">
        <v>1613</v>
      </c>
      <c r="E536" s="4" t="s">
        <v>1303</v>
      </c>
      <c r="F536" s="2" t="s">
        <v>2175</v>
      </c>
      <c r="G536" s="2" t="s">
        <v>2176</v>
      </c>
      <c r="H536" s="2" t="s">
        <v>318</v>
      </c>
      <c r="I536" s="2" t="s">
        <v>965</v>
      </c>
      <c r="J536" s="2" t="s">
        <v>30</v>
      </c>
      <c r="K536" s="2" t="s">
        <v>30</v>
      </c>
      <c r="L536" s="2" t="s">
        <v>324</v>
      </c>
      <c r="M536" s="2" t="s">
        <v>41</v>
      </c>
      <c r="N536" s="2" t="s">
        <v>439</v>
      </c>
      <c r="O536" s="2" t="s">
        <v>134</v>
      </c>
      <c r="P536" s="2" t="s">
        <v>1909</v>
      </c>
      <c r="Q536" s="2" t="s">
        <v>412</v>
      </c>
      <c r="R536" s="2" t="s">
        <v>403</v>
      </c>
      <c r="S536" s="2" t="s">
        <v>34</v>
      </c>
      <c r="T536" s="151">
        <v>0.98399999999999999</v>
      </c>
      <c r="U536" s="2" t="s">
        <v>2177</v>
      </c>
      <c r="V536" s="162">
        <v>0.114</v>
      </c>
      <c r="W536" s="164">
        <v>5.747E-2</v>
      </c>
      <c r="X536" s="4" t="s">
        <v>409</v>
      </c>
      <c r="Y536" s="4" t="s">
        <v>134</v>
      </c>
      <c r="Z536" s="151">
        <v>40200</v>
      </c>
      <c r="AA536" s="158">
        <v>1</v>
      </c>
      <c r="AB536" s="175">
        <v>101.2</v>
      </c>
      <c r="AD536" s="151">
        <v>40.682000000000002</v>
      </c>
      <c r="AG536" s="2" t="s">
        <v>36</v>
      </c>
      <c r="AH536" s="164">
        <v>1.66E-4</v>
      </c>
      <c r="AI536" s="164">
        <v>5.07396857487683E-3</v>
      </c>
      <c r="AJ536" s="164">
        <v>1.10793238398186E-3</v>
      </c>
    </row>
    <row r="537" spans="1:36">
      <c r="A537" s="2">
        <v>337</v>
      </c>
      <c r="B537" s="2">
        <v>9964</v>
      </c>
      <c r="C537" s="2" t="s">
        <v>1612</v>
      </c>
      <c r="D537" s="2" t="s">
        <v>1613</v>
      </c>
      <c r="E537" s="4" t="s">
        <v>1303</v>
      </c>
      <c r="F537" s="2" t="s">
        <v>2178</v>
      </c>
      <c r="G537" s="2" t="s">
        <v>2179</v>
      </c>
      <c r="H537" s="2" t="s">
        <v>318</v>
      </c>
      <c r="I537" s="2" t="s">
        <v>965</v>
      </c>
      <c r="J537" s="2" t="s">
        <v>30</v>
      </c>
      <c r="K537" s="2" t="s">
        <v>30</v>
      </c>
      <c r="L537" s="2" t="s">
        <v>324</v>
      </c>
      <c r="M537" s="2" t="s">
        <v>31</v>
      </c>
      <c r="N537" s="2" t="s">
        <v>439</v>
      </c>
      <c r="O537" s="2" t="s">
        <v>134</v>
      </c>
      <c r="P537" s="2" t="s">
        <v>1909</v>
      </c>
      <c r="Q537" s="2" t="s">
        <v>412</v>
      </c>
      <c r="R537" s="2" t="s">
        <v>403</v>
      </c>
      <c r="S537" s="2" t="s">
        <v>34</v>
      </c>
      <c r="T537" s="151">
        <v>3.2839999999999998</v>
      </c>
      <c r="U537" s="2" t="s">
        <v>2180</v>
      </c>
      <c r="V537" s="162">
        <v>6.4000000000000001E-2</v>
      </c>
      <c r="W537" s="164">
        <v>6.4170000000000005E-2</v>
      </c>
      <c r="X537" s="4" t="s">
        <v>409</v>
      </c>
      <c r="Y537" s="4" t="s">
        <v>134</v>
      </c>
      <c r="Z537" s="151">
        <v>34000</v>
      </c>
      <c r="AA537" s="158">
        <v>1</v>
      </c>
      <c r="AB537" s="175">
        <v>101.3</v>
      </c>
      <c r="AD537" s="151">
        <v>34.442</v>
      </c>
      <c r="AG537" s="2" t="s">
        <v>36</v>
      </c>
      <c r="AH537" s="164">
        <v>1.7000000000000001E-4</v>
      </c>
      <c r="AI537" s="164">
        <v>4.2956567374566801E-3</v>
      </c>
      <c r="AJ537" s="164">
        <v>9.3798318607316901E-4</v>
      </c>
    </row>
    <row r="538" spans="1:36">
      <c r="A538" s="2">
        <v>337</v>
      </c>
      <c r="B538" s="2">
        <v>9964</v>
      </c>
      <c r="C538" s="2" t="s">
        <v>2181</v>
      </c>
      <c r="D538" s="2" t="s">
        <v>2182</v>
      </c>
      <c r="E538" s="4" t="s">
        <v>1303</v>
      </c>
      <c r="F538" s="2" t="s">
        <v>2183</v>
      </c>
      <c r="G538" s="2" t="s">
        <v>2184</v>
      </c>
      <c r="H538" s="2" t="s">
        <v>318</v>
      </c>
      <c r="I538" s="2" t="s">
        <v>753</v>
      </c>
      <c r="J538" s="2" t="s">
        <v>30</v>
      </c>
      <c r="K538" s="2" t="s">
        <v>30</v>
      </c>
      <c r="L538" s="2" t="s">
        <v>324</v>
      </c>
      <c r="M538" s="2" t="s">
        <v>41</v>
      </c>
      <c r="N538" s="2" t="s">
        <v>443</v>
      </c>
      <c r="O538" s="2" t="s">
        <v>134</v>
      </c>
      <c r="P538" s="2" t="s">
        <v>2185</v>
      </c>
      <c r="Q538" s="2" t="s">
        <v>412</v>
      </c>
      <c r="R538" s="2" t="s">
        <v>403</v>
      </c>
      <c r="S538" s="2" t="s">
        <v>34</v>
      </c>
      <c r="T538" s="151">
        <v>3.2440000000000002</v>
      </c>
      <c r="U538" s="2" t="s">
        <v>2186</v>
      </c>
      <c r="V538" s="162">
        <v>2.07E-2</v>
      </c>
      <c r="W538" s="164">
        <v>4.1939999999999998E-2</v>
      </c>
      <c r="X538" s="4" t="s">
        <v>409</v>
      </c>
      <c r="Y538" s="4" t="s">
        <v>134</v>
      </c>
      <c r="Z538" s="151">
        <v>92445.6</v>
      </c>
      <c r="AA538" s="158">
        <v>1</v>
      </c>
      <c r="AB538" s="175">
        <v>105.96</v>
      </c>
      <c r="AD538" s="151">
        <v>97.954999999999998</v>
      </c>
      <c r="AG538" s="2" t="s">
        <v>36</v>
      </c>
      <c r="AH538" s="164">
        <v>1.94E-4</v>
      </c>
      <c r="AI538" s="164">
        <v>1.22171358379805E-2</v>
      </c>
      <c r="AJ538" s="164">
        <v>2.66768708450908E-3</v>
      </c>
    </row>
    <row r="539" spans="1:36">
      <c r="A539" s="2">
        <v>337</v>
      </c>
      <c r="B539" s="2">
        <v>9964</v>
      </c>
      <c r="C539" s="2" t="s">
        <v>2432</v>
      </c>
      <c r="D539" s="2" t="s">
        <v>2433</v>
      </c>
      <c r="E539" s="4" t="s">
        <v>1303</v>
      </c>
      <c r="F539" s="2" t="s">
        <v>2434</v>
      </c>
      <c r="G539" s="2" t="s">
        <v>2435</v>
      </c>
      <c r="H539" s="2" t="s">
        <v>318</v>
      </c>
      <c r="I539" s="2" t="s">
        <v>753</v>
      </c>
      <c r="J539" s="2" t="s">
        <v>30</v>
      </c>
      <c r="K539" s="2" t="s">
        <v>30</v>
      </c>
      <c r="L539" s="2" t="s">
        <v>324</v>
      </c>
      <c r="M539" s="2" t="s">
        <v>41</v>
      </c>
      <c r="N539" s="2" t="s">
        <v>474</v>
      </c>
      <c r="O539" s="2" t="s">
        <v>134</v>
      </c>
      <c r="P539" s="2" t="s">
        <v>1176</v>
      </c>
      <c r="Q539" s="2" t="s">
        <v>410</v>
      </c>
      <c r="R539" s="2" t="s">
        <v>403</v>
      </c>
      <c r="S539" s="2" t="s">
        <v>34</v>
      </c>
      <c r="T539" s="151">
        <v>11.712999999999999</v>
      </c>
      <c r="U539" s="2" t="s">
        <v>2436</v>
      </c>
      <c r="V539" s="162">
        <v>2.07E-2</v>
      </c>
      <c r="W539" s="164">
        <v>2.9860000000000001E-2</v>
      </c>
      <c r="X539" s="4" t="s">
        <v>409</v>
      </c>
      <c r="Y539" s="4" t="s">
        <v>134</v>
      </c>
      <c r="Z539" s="151">
        <v>57813.1</v>
      </c>
      <c r="AA539" s="158">
        <v>1</v>
      </c>
      <c r="AB539" s="175">
        <v>102.91</v>
      </c>
      <c r="AD539" s="151">
        <v>59.494999999999997</v>
      </c>
      <c r="AG539" s="2" t="s">
        <v>36</v>
      </c>
      <c r="AH539" s="164">
        <v>1.1E-5</v>
      </c>
      <c r="AI539" s="164">
        <v>7.4203611519316299E-3</v>
      </c>
      <c r="AJ539" s="164">
        <v>1.62028169858453E-3</v>
      </c>
    </row>
    <row r="540" spans="1:36">
      <c r="A540" s="2">
        <v>337</v>
      </c>
      <c r="B540" s="2">
        <v>9964</v>
      </c>
      <c r="C540" s="2" t="s">
        <v>1616</v>
      </c>
      <c r="D540" s="2" t="s">
        <v>1617</v>
      </c>
      <c r="E540" s="4" t="s">
        <v>309</v>
      </c>
      <c r="F540" s="2" t="s">
        <v>2187</v>
      </c>
      <c r="G540" s="2" t="s">
        <v>2188</v>
      </c>
      <c r="H540" s="2" t="s">
        <v>318</v>
      </c>
      <c r="I540" s="2" t="s">
        <v>965</v>
      </c>
      <c r="J540" s="2" t="s">
        <v>30</v>
      </c>
      <c r="K540" s="2" t="s">
        <v>30</v>
      </c>
      <c r="L540" s="2" t="s">
        <v>324</v>
      </c>
      <c r="M540" s="2" t="s">
        <v>41</v>
      </c>
      <c r="N540" s="2" t="s">
        <v>450</v>
      </c>
      <c r="O540" s="2" t="s">
        <v>134</v>
      </c>
      <c r="P540" s="2" t="s">
        <v>1830</v>
      </c>
      <c r="Q540" s="2" t="s">
        <v>410</v>
      </c>
      <c r="R540" s="2" t="s">
        <v>403</v>
      </c>
      <c r="S540" s="2" t="s">
        <v>34</v>
      </c>
      <c r="T540" s="151">
        <v>1.958</v>
      </c>
      <c r="U540" s="2" t="s">
        <v>2189</v>
      </c>
      <c r="V540" s="162">
        <v>5.2499999999999998E-2</v>
      </c>
      <c r="W540" s="164">
        <v>5.4800000000000001E-2</v>
      </c>
      <c r="X540" s="4" t="s">
        <v>409</v>
      </c>
      <c r="Y540" s="4" t="s">
        <v>134</v>
      </c>
      <c r="Z540" s="151">
        <v>82000</v>
      </c>
      <c r="AA540" s="158">
        <v>1</v>
      </c>
      <c r="AB540" s="175">
        <v>100.79</v>
      </c>
      <c r="AD540" s="151">
        <v>82.647999999999996</v>
      </c>
      <c r="AG540" s="2" t="s">
        <v>36</v>
      </c>
      <c r="AH540" s="164">
        <v>2.4800000000000001E-4</v>
      </c>
      <c r="AI540" s="164">
        <v>1.0307954790836E-2</v>
      </c>
      <c r="AJ540" s="164">
        <v>2.25080560844138E-3</v>
      </c>
    </row>
    <row r="541" spans="1:36">
      <c r="A541" s="2">
        <v>337</v>
      </c>
      <c r="B541" s="2">
        <v>9964</v>
      </c>
      <c r="C541" s="2" t="s">
        <v>1616</v>
      </c>
      <c r="D541" s="2" t="s">
        <v>1617</v>
      </c>
      <c r="E541" s="4" t="s">
        <v>309</v>
      </c>
      <c r="F541" s="2" t="s">
        <v>2190</v>
      </c>
      <c r="G541" s="2" t="s">
        <v>2191</v>
      </c>
      <c r="H541" s="2" t="s">
        <v>318</v>
      </c>
      <c r="I541" s="2" t="s">
        <v>965</v>
      </c>
      <c r="J541" s="2" t="s">
        <v>30</v>
      </c>
      <c r="K541" s="2" t="s">
        <v>80</v>
      </c>
      <c r="L541" s="2" t="s">
        <v>324</v>
      </c>
      <c r="M541" s="2" t="s">
        <v>41</v>
      </c>
      <c r="N541" s="2" t="s">
        <v>450</v>
      </c>
      <c r="O541" s="2" t="s">
        <v>134</v>
      </c>
      <c r="P541" s="2" t="s">
        <v>1830</v>
      </c>
      <c r="Q541" s="2" t="s">
        <v>410</v>
      </c>
      <c r="R541" s="2" t="s">
        <v>403</v>
      </c>
      <c r="S541" s="2" t="s">
        <v>34</v>
      </c>
      <c r="T541" s="151">
        <v>2.7229999999999999</v>
      </c>
      <c r="U541" s="2" t="s">
        <v>2192</v>
      </c>
      <c r="V541" s="162">
        <v>6.5000000000000002E-2</v>
      </c>
      <c r="W541" s="164">
        <v>5.7889999999999997E-2</v>
      </c>
      <c r="X541" s="4" t="s">
        <v>409</v>
      </c>
      <c r="Y541" s="4" t="s">
        <v>134</v>
      </c>
      <c r="Z541" s="151">
        <v>67000</v>
      </c>
      <c r="AA541" s="158">
        <v>1</v>
      </c>
      <c r="AB541" s="175">
        <v>103.75</v>
      </c>
      <c r="AD541" s="151">
        <v>69.513000000000005</v>
      </c>
      <c r="AG541" s="2" t="s">
        <v>36</v>
      </c>
      <c r="AH541" s="164">
        <v>1.34E-4</v>
      </c>
      <c r="AI541" s="164">
        <v>8.6697009163944506E-3</v>
      </c>
      <c r="AJ541" s="164">
        <v>1.89308275425095E-3</v>
      </c>
    </row>
    <row r="542" spans="1:36">
      <c r="A542" s="2">
        <v>337</v>
      </c>
      <c r="B542" s="2">
        <v>9964</v>
      </c>
      <c r="C542" s="2" t="s">
        <v>1616</v>
      </c>
      <c r="D542" s="2" t="s">
        <v>1617</v>
      </c>
      <c r="E542" s="4" t="s">
        <v>309</v>
      </c>
      <c r="F542" s="2" t="s">
        <v>2193</v>
      </c>
      <c r="G542" s="2" t="s">
        <v>2194</v>
      </c>
      <c r="H542" s="2" t="s">
        <v>318</v>
      </c>
      <c r="I542" s="2" t="s">
        <v>965</v>
      </c>
      <c r="J542" s="2" t="s">
        <v>30</v>
      </c>
      <c r="K542" s="2" t="s">
        <v>30</v>
      </c>
      <c r="L542" s="2" t="s">
        <v>324</v>
      </c>
      <c r="M542" s="2" t="s">
        <v>31</v>
      </c>
      <c r="N542" s="2" t="s">
        <v>450</v>
      </c>
      <c r="O542" s="2" t="s">
        <v>134</v>
      </c>
      <c r="P542" s="2" t="s">
        <v>1830</v>
      </c>
      <c r="Q542" s="2" t="s">
        <v>410</v>
      </c>
      <c r="R542" s="2" t="s">
        <v>403</v>
      </c>
      <c r="S542" s="2" t="s">
        <v>34</v>
      </c>
      <c r="T542" s="151">
        <v>3.3740000000000001</v>
      </c>
      <c r="U542" s="2" t="s">
        <v>1857</v>
      </c>
      <c r="V542" s="162">
        <v>6.7000000000000004E-2</v>
      </c>
      <c r="W542" s="164">
        <v>5.6849999999999998E-2</v>
      </c>
      <c r="X542" s="4" t="s">
        <v>409</v>
      </c>
      <c r="Y542" s="4" t="s">
        <v>134</v>
      </c>
      <c r="Z542" s="151">
        <v>55000</v>
      </c>
      <c r="AA542" s="158">
        <v>1</v>
      </c>
      <c r="AB542" s="175">
        <v>103.63</v>
      </c>
      <c r="AD542" s="151">
        <v>56.996000000000002</v>
      </c>
      <c r="AG542" s="2" t="s">
        <v>36</v>
      </c>
      <c r="AH542" s="164">
        <v>6.0000000000000002E-5</v>
      </c>
      <c r="AI542" s="164">
        <v>7.1086870459453498E-3</v>
      </c>
      <c r="AJ542" s="164">
        <v>1.5522257321009E-3</v>
      </c>
    </row>
    <row r="543" spans="1:36">
      <c r="A543" s="2">
        <v>337</v>
      </c>
      <c r="B543" s="2">
        <v>9964</v>
      </c>
      <c r="C543" s="2" t="s">
        <v>1624</v>
      </c>
      <c r="D543" s="2" t="s">
        <v>1625</v>
      </c>
      <c r="E543" s="4" t="s">
        <v>1303</v>
      </c>
      <c r="F543" s="2" t="s">
        <v>2195</v>
      </c>
      <c r="G543" s="2" t="s">
        <v>2196</v>
      </c>
      <c r="H543" s="2" t="s">
        <v>318</v>
      </c>
      <c r="I543" s="2" t="s">
        <v>753</v>
      </c>
      <c r="J543" s="2" t="s">
        <v>30</v>
      </c>
      <c r="K543" s="2" t="s">
        <v>30</v>
      </c>
      <c r="L543" s="2" t="s">
        <v>324</v>
      </c>
      <c r="M543" s="2" t="s">
        <v>41</v>
      </c>
      <c r="N543" s="2" t="s">
        <v>437</v>
      </c>
      <c r="O543" s="2" t="s">
        <v>134</v>
      </c>
      <c r="P543" s="2" t="s">
        <v>1909</v>
      </c>
      <c r="Q543" s="2" t="s">
        <v>412</v>
      </c>
      <c r="R543" s="2" t="s">
        <v>403</v>
      </c>
      <c r="S543" s="2" t="s">
        <v>34</v>
      </c>
      <c r="T543" s="151">
        <v>2.21</v>
      </c>
      <c r="U543" s="2" t="s">
        <v>2025</v>
      </c>
      <c r="V543" s="162">
        <v>1.4800000000000001E-2</v>
      </c>
      <c r="W543" s="164">
        <v>3.1119999999999998E-2</v>
      </c>
      <c r="X543" s="4" t="s">
        <v>409</v>
      </c>
      <c r="Y543" s="4" t="s">
        <v>134</v>
      </c>
      <c r="Z543" s="151">
        <v>64800</v>
      </c>
      <c r="AA543" s="158">
        <v>1</v>
      </c>
      <c r="AB543" s="175">
        <v>109.88</v>
      </c>
      <c r="AD543" s="151">
        <v>71.201999999999998</v>
      </c>
      <c r="AG543" s="2" t="s">
        <v>36</v>
      </c>
      <c r="AH543" s="164">
        <v>2.04E-4</v>
      </c>
      <c r="AI543" s="164">
        <v>8.8804477666223694E-3</v>
      </c>
      <c r="AJ543" s="164">
        <v>1.93910063093741E-3</v>
      </c>
    </row>
    <row r="544" spans="1:36">
      <c r="A544" s="2">
        <v>337</v>
      </c>
      <c r="B544" s="2">
        <v>9964</v>
      </c>
      <c r="C544" s="2" t="s">
        <v>1636</v>
      </c>
      <c r="D544" s="2" t="s">
        <v>1637</v>
      </c>
      <c r="E544" s="4" t="s">
        <v>1303</v>
      </c>
      <c r="F544" s="2" t="s">
        <v>2199</v>
      </c>
      <c r="G544" s="2" t="s">
        <v>2200</v>
      </c>
      <c r="H544" s="2" t="s">
        <v>318</v>
      </c>
      <c r="I544" s="2" t="s">
        <v>753</v>
      </c>
      <c r="J544" s="2" t="s">
        <v>30</v>
      </c>
      <c r="K544" s="2" t="s">
        <v>30</v>
      </c>
      <c r="L544" s="2" t="s">
        <v>324</v>
      </c>
      <c r="M544" s="2" t="s">
        <v>41</v>
      </c>
      <c r="N544" s="2" t="s">
        <v>460</v>
      </c>
      <c r="O544" s="2" t="s">
        <v>134</v>
      </c>
      <c r="P544" s="2" t="s">
        <v>1862</v>
      </c>
      <c r="Q544" s="2" t="s">
        <v>410</v>
      </c>
      <c r="R544" s="2" t="s">
        <v>403</v>
      </c>
      <c r="S544" s="2" t="s">
        <v>34</v>
      </c>
      <c r="T544" s="151">
        <v>3.6859999999999999</v>
      </c>
      <c r="U544" s="2" t="s">
        <v>1863</v>
      </c>
      <c r="V544" s="162">
        <v>3.6200000000000003E-2</v>
      </c>
      <c r="W544" s="164">
        <v>3.5290000000000002E-2</v>
      </c>
      <c r="X544" s="4" t="s">
        <v>409</v>
      </c>
      <c r="Y544" s="4" t="s">
        <v>134</v>
      </c>
      <c r="Z544" s="151">
        <v>28200</v>
      </c>
      <c r="AA544" s="158">
        <v>1</v>
      </c>
      <c r="AB544" s="175">
        <v>107.99</v>
      </c>
      <c r="AD544" s="151">
        <v>30.452999999999999</v>
      </c>
      <c r="AG544" s="2" t="s">
        <v>36</v>
      </c>
      <c r="AH544" s="164">
        <v>1.5E-5</v>
      </c>
      <c r="AI544" s="164">
        <v>3.79816525881137E-3</v>
      </c>
      <c r="AJ544" s="164">
        <v>8.29352848338067E-4</v>
      </c>
    </row>
    <row r="545" spans="1:36">
      <c r="A545" s="2">
        <v>337</v>
      </c>
      <c r="B545" s="2">
        <v>9964</v>
      </c>
      <c r="C545" s="2" t="s">
        <v>1636</v>
      </c>
      <c r="D545" s="2" t="s">
        <v>1637</v>
      </c>
      <c r="E545" s="4" t="s">
        <v>1303</v>
      </c>
      <c r="F545" s="2" t="s">
        <v>2357</v>
      </c>
      <c r="G545" s="2" t="s">
        <v>2358</v>
      </c>
      <c r="H545" s="2" t="s">
        <v>318</v>
      </c>
      <c r="I545" s="2" t="s">
        <v>753</v>
      </c>
      <c r="J545" s="2" t="s">
        <v>30</v>
      </c>
      <c r="K545" s="2" t="s">
        <v>30</v>
      </c>
      <c r="L545" s="2" t="s">
        <v>324</v>
      </c>
      <c r="M545" s="2" t="s">
        <v>41</v>
      </c>
      <c r="N545" s="2" t="s">
        <v>460</v>
      </c>
      <c r="O545" s="2" t="s">
        <v>134</v>
      </c>
      <c r="P545" s="2" t="s">
        <v>1862</v>
      </c>
      <c r="Q545" s="2" t="s">
        <v>410</v>
      </c>
      <c r="R545" s="2" t="s">
        <v>403</v>
      </c>
      <c r="S545" s="2" t="s">
        <v>34</v>
      </c>
      <c r="T545" s="151">
        <v>0.73899999999999999</v>
      </c>
      <c r="U545" s="2" t="s">
        <v>2314</v>
      </c>
      <c r="V545" s="162">
        <v>4.9500000000000002E-2</v>
      </c>
      <c r="W545" s="164">
        <v>3.2739999999999998E-2</v>
      </c>
      <c r="X545" s="4" t="s">
        <v>409</v>
      </c>
      <c r="Y545" s="4" t="s">
        <v>134</v>
      </c>
      <c r="Z545" s="151">
        <v>15000.02</v>
      </c>
      <c r="AA545" s="158">
        <v>1</v>
      </c>
      <c r="AB545" s="175">
        <v>143.07</v>
      </c>
      <c r="AD545" s="151">
        <v>21.460999999999999</v>
      </c>
      <c r="AG545" s="2" t="s">
        <v>36</v>
      </c>
      <c r="AH545" s="164">
        <v>6.7999999999999999E-5</v>
      </c>
      <c r="AI545" s="164">
        <v>2.6765885932904898E-3</v>
      </c>
      <c r="AJ545" s="164">
        <v>5.8444965461280202E-4</v>
      </c>
    </row>
    <row r="546" spans="1:36">
      <c r="A546" s="2">
        <v>337</v>
      </c>
      <c r="B546" s="2">
        <v>9964</v>
      </c>
      <c r="C546" s="2" t="s">
        <v>2201</v>
      </c>
      <c r="D546" s="2" t="s">
        <v>2202</v>
      </c>
      <c r="E546" s="4" t="s">
        <v>310</v>
      </c>
      <c r="F546" s="2" t="s">
        <v>2203</v>
      </c>
      <c r="G546" s="2" t="s">
        <v>2204</v>
      </c>
      <c r="H546" s="2" t="s">
        <v>318</v>
      </c>
      <c r="I546" s="2" t="s">
        <v>965</v>
      </c>
      <c r="J546" s="2" t="s">
        <v>30</v>
      </c>
      <c r="K546" s="2" t="s">
        <v>80</v>
      </c>
      <c r="L546" s="2" t="s">
        <v>324</v>
      </c>
      <c r="M546" s="2" t="s">
        <v>41</v>
      </c>
      <c r="N546" s="2" t="s">
        <v>461</v>
      </c>
      <c r="O546" s="2" t="s">
        <v>134</v>
      </c>
      <c r="P546" s="2" t="s">
        <v>1826</v>
      </c>
      <c r="Q546" s="2" t="s">
        <v>410</v>
      </c>
      <c r="R546" s="2" t="s">
        <v>403</v>
      </c>
      <c r="S546" s="2" t="s">
        <v>34</v>
      </c>
      <c r="T546" s="151">
        <v>3.2810000000000001</v>
      </c>
      <c r="U546" s="2" t="s">
        <v>2205</v>
      </c>
      <c r="V546" s="162">
        <v>4.4999999999999998E-2</v>
      </c>
      <c r="W546" s="164">
        <v>6.0130000000000003E-2</v>
      </c>
      <c r="X546" s="4" t="s">
        <v>409</v>
      </c>
      <c r="Y546" s="4" t="s">
        <v>134</v>
      </c>
      <c r="Z546" s="151">
        <v>65032.65</v>
      </c>
      <c r="AA546" s="158">
        <v>1</v>
      </c>
      <c r="AB546" s="175">
        <v>97.47</v>
      </c>
      <c r="AD546" s="151">
        <v>63.387</v>
      </c>
      <c r="AG546" s="2" t="s">
        <v>36</v>
      </c>
      <c r="AH546" s="164">
        <v>7.4999999999999993E-5</v>
      </c>
      <c r="AI546" s="164">
        <v>7.9057599795785694E-3</v>
      </c>
      <c r="AJ546" s="164">
        <v>1.7262715312688899E-3</v>
      </c>
    </row>
    <row r="547" spans="1:36">
      <c r="A547" s="2">
        <v>337</v>
      </c>
      <c r="B547" s="2">
        <v>9964</v>
      </c>
      <c r="C547" s="2" t="s">
        <v>2201</v>
      </c>
      <c r="D547" s="2" t="s">
        <v>2202</v>
      </c>
      <c r="E547" s="4" t="s">
        <v>310</v>
      </c>
      <c r="F547" s="2" t="s">
        <v>2206</v>
      </c>
      <c r="G547" s="2" t="s">
        <v>2207</v>
      </c>
      <c r="H547" s="2" t="s">
        <v>318</v>
      </c>
      <c r="I547" s="2" t="s">
        <v>965</v>
      </c>
      <c r="J547" s="2" t="s">
        <v>30</v>
      </c>
      <c r="K547" s="2" t="s">
        <v>30</v>
      </c>
      <c r="L547" s="2" t="s">
        <v>324</v>
      </c>
      <c r="M547" s="2" t="s">
        <v>41</v>
      </c>
      <c r="N547" s="2" t="s">
        <v>461</v>
      </c>
      <c r="O547" s="2" t="s">
        <v>134</v>
      </c>
      <c r="P547" s="2" t="s">
        <v>1834</v>
      </c>
      <c r="Q547" s="2" t="s">
        <v>410</v>
      </c>
      <c r="R547" s="2" t="s">
        <v>403</v>
      </c>
      <c r="S547" s="2" t="s">
        <v>34</v>
      </c>
      <c r="T547" s="151">
        <v>2.0169999999999999</v>
      </c>
      <c r="U547" s="2" t="s">
        <v>1910</v>
      </c>
      <c r="V547" s="162">
        <v>6.3500000000000001E-2</v>
      </c>
      <c r="W547" s="164">
        <v>5.7439999999999998E-2</v>
      </c>
      <c r="X547" s="4" t="s">
        <v>409</v>
      </c>
      <c r="Y547" s="4" t="s">
        <v>134</v>
      </c>
      <c r="Z547" s="151">
        <v>31000</v>
      </c>
      <c r="AA547" s="158">
        <v>1</v>
      </c>
      <c r="AB547" s="175">
        <v>102.97</v>
      </c>
      <c r="AD547" s="151">
        <v>31.920999999999999</v>
      </c>
      <c r="AG547" s="2" t="s">
        <v>36</v>
      </c>
      <c r="AH547" s="164">
        <v>7.6000000000000004E-5</v>
      </c>
      <c r="AI547" s="164">
        <v>3.9811965048293799E-3</v>
      </c>
      <c r="AJ547" s="164">
        <v>8.6931885162551002E-4</v>
      </c>
    </row>
    <row r="548" spans="1:36">
      <c r="A548" s="2">
        <v>337</v>
      </c>
      <c r="B548" s="2">
        <v>9964</v>
      </c>
      <c r="C548" s="2" t="s">
        <v>2201</v>
      </c>
      <c r="D548" s="2" t="s">
        <v>2202</v>
      </c>
      <c r="E548" s="4" t="s">
        <v>310</v>
      </c>
      <c r="F548" s="2" t="s">
        <v>2208</v>
      </c>
      <c r="G548" s="2" t="s">
        <v>2209</v>
      </c>
      <c r="H548" s="2" t="s">
        <v>318</v>
      </c>
      <c r="I548" s="2" t="s">
        <v>965</v>
      </c>
      <c r="J548" s="2" t="s">
        <v>30</v>
      </c>
      <c r="K548" s="2" t="s">
        <v>30</v>
      </c>
      <c r="L548" s="2" t="s">
        <v>324</v>
      </c>
      <c r="M548" s="2" t="s">
        <v>31</v>
      </c>
      <c r="N548" s="2" t="s">
        <v>461</v>
      </c>
      <c r="O548" s="2" t="s">
        <v>134</v>
      </c>
      <c r="P548" s="2" t="s">
        <v>1834</v>
      </c>
      <c r="Q548" s="2" t="s">
        <v>410</v>
      </c>
      <c r="R548" s="2" t="s">
        <v>403</v>
      </c>
      <c r="S548" s="2" t="s">
        <v>34</v>
      </c>
      <c r="T548" s="151">
        <v>3.5379999999999998</v>
      </c>
      <c r="U548" s="2" t="s">
        <v>2210</v>
      </c>
      <c r="V548" s="162">
        <v>6.25E-2</v>
      </c>
      <c r="W548" s="164">
        <v>5.7919999999999999E-2</v>
      </c>
      <c r="X548" s="4" t="s">
        <v>409</v>
      </c>
      <c r="Y548" s="4" t="s">
        <v>134</v>
      </c>
      <c r="Z548" s="151">
        <v>32000</v>
      </c>
      <c r="AA548" s="158">
        <v>1</v>
      </c>
      <c r="AB548" s="175">
        <v>104.79</v>
      </c>
      <c r="AD548" s="151">
        <v>33.533000000000001</v>
      </c>
      <c r="AG548" s="2" t="s">
        <v>36</v>
      </c>
      <c r="AH548" s="164">
        <v>5.8E-5</v>
      </c>
      <c r="AI548" s="164">
        <v>4.1822599804247004E-3</v>
      </c>
      <c r="AJ548" s="164">
        <v>9.1322230363957799E-4</v>
      </c>
    </row>
    <row r="549" spans="1:36">
      <c r="A549" s="2">
        <v>337</v>
      </c>
      <c r="B549" s="2">
        <v>9964</v>
      </c>
      <c r="C549" s="2" t="s">
        <v>1643</v>
      </c>
      <c r="D549" s="2" t="s">
        <v>1644</v>
      </c>
      <c r="E549" s="4" t="s">
        <v>1303</v>
      </c>
      <c r="F549" s="2" t="s">
        <v>2211</v>
      </c>
      <c r="G549" s="2" t="s">
        <v>2212</v>
      </c>
      <c r="H549" s="2" t="s">
        <v>318</v>
      </c>
      <c r="I549" s="2" t="s">
        <v>753</v>
      </c>
      <c r="J549" s="2" t="s">
        <v>30</v>
      </c>
      <c r="K549" s="2" t="s">
        <v>30</v>
      </c>
      <c r="L549" s="2" t="s">
        <v>324</v>
      </c>
      <c r="M549" s="2" t="s">
        <v>41</v>
      </c>
      <c r="N549" s="2" t="s">
        <v>437</v>
      </c>
      <c r="O549" s="2" t="s">
        <v>134</v>
      </c>
      <c r="P549" s="2" t="s">
        <v>1842</v>
      </c>
      <c r="Q549" s="2" t="s">
        <v>406</v>
      </c>
      <c r="R549" s="2" t="s">
        <v>406</v>
      </c>
      <c r="S549" s="2" t="s">
        <v>34</v>
      </c>
      <c r="T549" s="151">
        <v>2.0219999999999998</v>
      </c>
      <c r="U549" s="2" t="s">
        <v>2025</v>
      </c>
      <c r="V549" s="162">
        <v>2.3E-2</v>
      </c>
      <c r="W549" s="164">
        <v>3.4250000000000003E-2</v>
      </c>
      <c r="X549" s="4" t="s">
        <v>409</v>
      </c>
      <c r="Y549" s="4" t="s">
        <v>134</v>
      </c>
      <c r="Z549" s="151">
        <v>0.25</v>
      </c>
      <c r="AA549" s="158">
        <v>1</v>
      </c>
      <c r="AB549" s="175">
        <v>110.71</v>
      </c>
      <c r="AD549" s="151">
        <v>0</v>
      </c>
      <c r="AG549" s="2" t="s">
        <v>36</v>
      </c>
      <c r="AH549" s="164">
        <v>0</v>
      </c>
      <c r="AI549" s="164">
        <v>3.4519783796224802E-8</v>
      </c>
      <c r="AJ549" s="164">
        <v>7.5376080461471807E-9</v>
      </c>
    </row>
    <row r="550" spans="1:36">
      <c r="A550" s="2">
        <v>337</v>
      </c>
      <c r="B550" s="2">
        <v>9964</v>
      </c>
      <c r="C550" s="2" t="s">
        <v>2217</v>
      </c>
      <c r="D550" s="2" t="s">
        <v>2218</v>
      </c>
      <c r="E550" s="4" t="s">
        <v>33</v>
      </c>
      <c r="F550" s="2" t="s">
        <v>2219</v>
      </c>
      <c r="G550" s="2" t="s">
        <v>2220</v>
      </c>
      <c r="H550" s="2" t="s">
        <v>318</v>
      </c>
      <c r="I550" s="2" t="s">
        <v>754</v>
      </c>
      <c r="J550" s="2" t="s">
        <v>30</v>
      </c>
      <c r="K550" s="2" t="s">
        <v>80</v>
      </c>
      <c r="L550" s="2" t="s">
        <v>324</v>
      </c>
      <c r="M550" s="2" t="s">
        <v>41</v>
      </c>
      <c r="N550" s="2" t="s">
        <v>439</v>
      </c>
      <c r="O550" s="2" t="s">
        <v>134</v>
      </c>
      <c r="P550" s="2" t="s">
        <v>2057</v>
      </c>
      <c r="Q550" s="2" t="s">
        <v>412</v>
      </c>
      <c r="R550" s="2" t="s">
        <v>403</v>
      </c>
      <c r="S550" s="2" t="s">
        <v>34</v>
      </c>
      <c r="T550" s="151">
        <v>1.345</v>
      </c>
      <c r="U550" s="2" t="s">
        <v>2221</v>
      </c>
      <c r="V550" s="162">
        <v>7.9135999999999998E-2</v>
      </c>
      <c r="W550" s="164">
        <v>6.2979999999999994E-2</v>
      </c>
      <c r="X550" s="4" t="s">
        <v>409</v>
      </c>
      <c r="Y550" s="4" t="s">
        <v>134</v>
      </c>
      <c r="Z550" s="151">
        <v>46000</v>
      </c>
      <c r="AA550" s="158">
        <v>1</v>
      </c>
      <c r="AB550" s="175">
        <v>105.12</v>
      </c>
      <c r="AD550" s="151">
        <v>48.354999999999997</v>
      </c>
      <c r="AG550" s="2" t="s">
        <v>36</v>
      </c>
      <c r="AH550" s="164">
        <v>1.0900000000000001E-4</v>
      </c>
      <c r="AI550" s="164">
        <v>6.0309314404234796E-3</v>
      </c>
      <c r="AJ550" s="164">
        <v>1.31689113754153E-3</v>
      </c>
    </row>
    <row r="551" spans="1:36">
      <c r="A551" s="2">
        <v>337</v>
      </c>
      <c r="B551" s="2">
        <v>9964</v>
      </c>
      <c r="C551" s="2" t="s">
        <v>2222</v>
      </c>
      <c r="D551" s="2" t="s">
        <v>2223</v>
      </c>
      <c r="E551" s="4" t="s">
        <v>310</v>
      </c>
      <c r="F551" s="2" t="s">
        <v>2224</v>
      </c>
      <c r="G551" s="2" t="s">
        <v>2225</v>
      </c>
      <c r="H551" s="2" t="s">
        <v>318</v>
      </c>
      <c r="I551" s="2" t="s">
        <v>965</v>
      </c>
      <c r="J551" s="2" t="s">
        <v>30</v>
      </c>
      <c r="K551" s="2" t="s">
        <v>80</v>
      </c>
      <c r="L551" s="2" t="s">
        <v>324</v>
      </c>
      <c r="M551" s="2" t="s">
        <v>31</v>
      </c>
      <c r="N551" s="2" t="s">
        <v>461</v>
      </c>
      <c r="O551" s="2" t="s">
        <v>134</v>
      </c>
      <c r="P551" s="2" t="s">
        <v>1834</v>
      </c>
      <c r="Q551" s="2" t="s">
        <v>410</v>
      </c>
      <c r="R551" s="2" t="s">
        <v>403</v>
      </c>
      <c r="S551" s="2" t="s">
        <v>34</v>
      </c>
      <c r="T551" s="151">
        <v>4.016</v>
      </c>
      <c r="U551" s="2" t="s">
        <v>2226</v>
      </c>
      <c r="V551" s="162">
        <v>6.7400000000000002E-2</v>
      </c>
      <c r="W551" s="164">
        <v>6.0229999999999999E-2</v>
      </c>
      <c r="X551" s="4" t="s">
        <v>409</v>
      </c>
      <c r="Y551" s="4" t="s">
        <v>134</v>
      </c>
      <c r="Z551" s="151">
        <v>67000</v>
      </c>
      <c r="AA551" s="158">
        <v>1</v>
      </c>
      <c r="AB551" s="175">
        <v>106.73</v>
      </c>
      <c r="AD551" s="151">
        <v>71.509</v>
      </c>
      <c r="AG551" s="2" t="s">
        <v>36</v>
      </c>
      <c r="AH551" s="164">
        <v>2.3499999999999999E-4</v>
      </c>
      <c r="AI551" s="164">
        <v>8.9187197957279994E-3</v>
      </c>
      <c r="AJ551" s="164">
        <v>1.94745756492726E-3</v>
      </c>
    </row>
    <row r="552" spans="1:36">
      <c r="A552" s="2">
        <v>337</v>
      </c>
      <c r="B552" s="2">
        <v>9964</v>
      </c>
      <c r="C552" s="2" t="s">
        <v>1655</v>
      </c>
      <c r="D552" s="2" t="s">
        <v>1656</v>
      </c>
      <c r="E552" s="4" t="s">
        <v>1303</v>
      </c>
      <c r="F552" s="2" t="s">
        <v>2231</v>
      </c>
      <c r="G552" s="2" t="s">
        <v>2232</v>
      </c>
      <c r="H552" s="2" t="s">
        <v>318</v>
      </c>
      <c r="I552" s="2" t="s">
        <v>753</v>
      </c>
      <c r="J552" s="2" t="s">
        <v>30</v>
      </c>
      <c r="K552" s="2" t="s">
        <v>30</v>
      </c>
      <c r="L552" s="2" t="s">
        <v>324</v>
      </c>
      <c r="M552" s="2" t="s">
        <v>41</v>
      </c>
      <c r="N552" s="2" t="s">
        <v>460</v>
      </c>
      <c r="O552" s="2" t="s">
        <v>134</v>
      </c>
      <c r="P552" s="2" t="s">
        <v>82</v>
      </c>
      <c r="Q552" s="2" t="s">
        <v>410</v>
      </c>
      <c r="R552" s="2" t="s">
        <v>403</v>
      </c>
      <c r="S552" s="2" t="s">
        <v>34</v>
      </c>
      <c r="T552" s="151">
        <v>2.6619999999999999</v>
      </c>
      <c r="U552" s="2" t="s">
        <v>2233</v>
      </c>
      <c r="V552" s="162">
        <v>1.34E-2</v>
      </c>
      <c r="W552" s="164">
        <v>2.8070000000000001E-2</v>
      </c>
      <c r="X552" s="4" t="s">
        <v>409</v>
      </c>
      <c r="Y552" s="4" t="s">
        <v>134</v>
      </c>
      <c r="Z552" s="151">
        <v>82500</v>
      </c>
      <c r="AA552" s="158">
        <v>1</v>
      </c>
      <c r="AB552" s="175">
        <v>113.01</v>
      </c>
      <c r="AD552" s="151">
        <v>93.233000000000004</v>
      </c>
      <c r="AG552" s="2" t="s">
        <v>36</v>
      </c>
      <c r="AH552" s="164">
        <v>3.4E-5</v>
      </c>
      <c r="AI552" s="164">
        <v>1.1628187634791299E-2</v>
      </c>
      <c r="AJ552" s="164">
        <v>2.53908660597399E-3</v>
      </c>
    </row>
    <row r="553" spans="1:36">
      <c r="A553" s="2">
        <v>337</v>
      </c>
      <c r="B553" s="2">
        <v>9964</v>
      </c>
      <c r="C553" s="2" t="s">
        <v>1655</v>
      </c>
      <c r="D553" s="2" t="s">
        <v>1656</v>
      </c>
      <c r="E553" s="4" t="s">
        <v>1303</v>
      </c>
      <c r="F553" s="2" t="s">
        <v>2234</v>
      </c>
      <c r="G553" s="2" t="s">
        <v>2235</v>
      </c>
      <c r="H553" s="2" t="s">
        <v>318</v>
      </c>
      <c r="I553" s="2" t="s">
        <v>753</v>
      </c>
      <c r="J553" s="2" t="s">
        <v>30</v>
      </c>
      <c r="K553" s="2" t="s">
        <v>30</v>
      </c>
      <c r="L553" s="2" t="s">
        <v>324</v>
      </c>
      <c r="M553" s="2" t="s">
        <v>41</v>
      </c>
      <c r="N553" s="2" t="s">
        <v>460</v>
      </c>
      <c r="O553" s="2" t="s">
        <v>134</v>
      </c>
      <c r="P553" s="2" t="s">
        <v>2236</v>
      </c>
      <c r="Q553" s="2" t="s">
        <v>412</v>
      </c>
      <c r="R553" s="2" t="s">
        <v>403</v>
      </c>
      <c r="S553" s="2" t="s">
        <v>34</v>
      </c>
      <c r="T553" s="151">
        <v>2.0680000000000001</v>
      </c>
      <c r="U553" s="2" t="s">
        <v>1843</v>
      </c>
      <c r="V553" s="162">
        <v>1.77E-2</v>
      </c>
      <c r="W553" s="164">
        <v>2.751E-2</v>
      </c>
      <c r="X553" s="4" t="s">
        <v>409</v>
      </c>
      <c r="Y553" s="4" t="s">
        <v>134</v>
      </c>
      <c r="Z553" s="151">
        <v>81713.13</v>
      </c>
      <c r="AA553" s="158">
        <v>1</v>
      </c>
      <c r="AB553" s="175">
        <v>113.81</v>
      </c>
      <c r="AD553" s="151">
        <v>92.998000000000005</v>
      </c>
      <c r="AG553" s="2" t="s">
        <v>36</v>
      </c>
      <c r="AH553" s="164">
        <v>3.1000000000000001E-5</v>
      </c>
      <c r="AI553" s="164">
        <v>1.15988111463711E-2</v>
      </c>
      <c r="AJ553" s="164">
        <v>2.5326720682471398E-3</v>
      </c>
    </row>
    <row r="554" spans="1:36">
      <c r="A554" s="2">
        <v>337</v>
      </c>
      <c r="B554" s="2">
        <v>9964</v>
      </c>
      <c r="C554" s="2" t="s">
        <v>1655</v>
      </c>
      <c r="D554" s="2" t="s">
        <v>1656</v>
      </c>
      <c r="E554" s="4" t="s">
        <v>1303</v>
      </c>
      <c r="F554" s="2" t="s">
        <v>2237</v>
      </c>
      <c r="G554" s="2" t="s">
        <v>2238</v>
      </c>
      <c r="H554" s="2" t="s">
        <v>318</v>
      </c>
      <c r="I554" s="2" t="s">
        <v>753</v>
      </c>
      <c r="J554" s="2" t="s">
        <v>30</v>
      </c>
      <c r="K554" s="2" t="s">
        <v>30</v>
      </c>
      <c r="L554" s="2" t="s">
        <v>324</v>
      </c>
      <c r="M554" s="2" t="s">
        <v>41</v>
      </c>
      <c r="N554" s="2" t="s">
        <v>460</v>
      </c>
      <c r="O554" s="2" t="s">
        <v>134</v>
      </c>
      <c r="P554" s="2" t="s">
        <v>82</v>
      </c>
      <c r="Q554" s="2" t="s">
        <v>410</v>
      </c>
      <c r="R554" s="2" t="s">
        <v>403</v>
      </c>
      <c r="S554" s="2" t="s">
        <v>34</v>
      </c>
      <c r="T554" s="151">
        <v>6.4729999999999999</v>
      </c>
      <c r="U554" s="2" t="s">
        <v>2239</v>
      </c>
      <c r="V554" s="162">
        <v>8.9999999999999993E-3</v>
      </c>
      <c r="W554" s="164">
        <v>3.0720000000000001E-2</v>
      </c>
      <c r="X554" s="4" t="s">
        <v>409</v>
      </c>
      <c r="Y554" s="4" t="s">
        <v>134</v>
      </c>
      <c r="Z554" s="151">
        <v>89320</v>
      </c>
      <c r="AA554" s="158">
        <v>1</v>
      </c>
      <c r="AB554" s="175">
        <v>99.26</v>
      </c>
      <c r="AD554" s="151">
        <v>88.659000000000006</v>
      </c>
      <c r="AG554" s="2" t="s">
        <v>36</v>
      </c>
      <c r="AH554" s="164">
        <v>3.1999999999999999E-5</v>
      </c>
      <c r="AI554" s="164">
        <v>1.10576844592993E-2</v>
      </c>
      <c r="AJ554" s="164">
        <v>2.4145137131851499E-3</v>
      </c>
    </row>
    <row r="555" spans="1:36">
      <c r="A555" s="2">
        <v>337</v>
      </c>
      <c r="B555" s="2">
        <v>9964</v>
      </c>
      <c r="C555" s="2" t="s">
        <v>1655</v>
      </c>
      <c r="D555" s="2" t="s">
        <v>1656</v>
      </c>
      <c r="E555" s="4" t="s">
        <v>1303</v>
      </c>
      <c r="F555" s="2" t="s">
        <v>2443</v>
      </c>
      <c r="G555" s="2" t="s">
        <v>2444</v>
      </c>
      <c r="H555" s="2" t="s">
        <v>318</v>
      </c>
      <c r="I555" s="2" t="s">
        <v>753</v>
      </c>
      <c r="J555" s="2" t="s">
        <v>30</v>
      </c>
      <c r="K555" s="2" t="s">
        <v>30</v>
      </c>
      <c r="L555" s="2" t="s">
        <v>324</v>
      </c>
      <c r="M555" s="2" t="s">
        <v>31</v>
      </c>
      <c r="N555" s="2" t="s">
        <v>460</v>
      </c>
      <c r="O555" s="2" t="s">
        <v>134</v>
      </c>
      <c r="P555" s="2" t="s">
        <v>2236</v>
      </c>
      <c r="Q555" s="2" t="s">
        <v>412</v>
      </c>
      <c r="R555" s="2" t="s">
        <v>403</v>
      </c>
      <c r="S555" s="2" t="s">
        <v>34</v>
      </c>
      <c r="T555" s="151">
        <v>11.904</v>
      </c>
      <c r="U555" s="2" t="s">
        <v>2445</v>
      </c>
      <c r="V555" s="162">
        <v>3.6700000000000003E-2</v>
      </c>
      <c r="W555" s="164">
        <v>3.4259999999999999E-2</v>
      </c>
      <c r="X555" s="4" t="s">
        <v>409</v>
      </c>
      <c r="Y555" s="4" t="s">
        <v>134</v>
      </c>
      <c r="Z555" s="151">
        <v>35000</v>
      </c>
      <c r="AA555" s="158">
        <v>1</v>
      </c>
      <c r="AB555" s="175">
        <v>105.88</v>
      </c>
      <c r="AD555" s="151">
        <v>37.058</v>
      </c>
      <c r="AG555" s="2" t="s">
        <v>36</v>
      </c>
      <c r="AH555" s="164">
        <v>1.1E-5</v>
      </c>
      <c r="AI555" s="164">
        <v>4.6219280929292702E-3</v>
      </c>
      <c r="AJ555" s="164">
        <v>1.0092265521601401E-3</v>
      </c>
    </row>
    <row r="556" spans="1:36">
      <c r="A556" s="2">
        <v>337</v>
      </c>
      <c r="B556" s="2">
        <v>9964</v>
      </c>
      <c r="C556" s="2" t="s">
        <v>1655</v>
      </c>
      <c r="D556" s="2" t="s">
        <v>1656</v>
      </c>
      <c r="E556" s="4" t="s">
        <v>1303</v>
      </c>
      <c r="F556" s="2" t="s">
        <v>2243</v>
      </c>
      <c r="G556" s="2" t="s">
        <v>2244</v>
      </c>
      <c r="H556" s="2" t="s">
        <v>318</v>
      </c>
      <c r="I556" s="2" t="s">
        <v>753</v>
      </c>
      <c r="J556" s="2" t="s">
        <v>30</v>
      </c>
      <c r="K556" s="2" t="s">
        <v>30</v>
      </c>
      <c r="L556" s="2" t="s">
        <v>324</v>
      </c>
      <c r="M556" s="2" t="s">
        <v>41</v>
      </c>
      <c r="N556" s="2" t="s">
        <v>460</v>
      </c>
      <c r="O556" s="2" t="s">
        <v>134</v>
      </c>
      <c r="P556" s="2" t="s">
        <v>82</v>
      </c>
      <c r="Q556" s="2" t="s">
        <v>410</v>
      </c>
      <c r="R556" s="2" t="s">
        <v>403</v>
      </c>
      <c r="S556" s="2" t="s">
        <v>34</v>
      </c>
      <c r="T556" s="151">
        <v>3.0000000000000001E-3</v>
      </c>
      <c r="U556" s="2" t="s">
        <v>2037</v>
      </c>
      <c r="V556" s="162">
        <v>6.4999999999999997E-3</v>
      </c>
      <c r="W556" s="164">
        <v>0.25729000000000002</v>
      </c>
      <c r="X556" s="4" t="s">
        <v>409</v>
      </c>
      <c r="Y556" s="4" t="s">
        <v>134</v>
      </c>
      <c r="Z556" s="151">
        <v>25000</v>
      </c>
      <c r="AA556" s="158">
        <v>1</v>
      </c>
      <c r="AB556" s="175">
        <v>115.85</v>
      </c>
      <c r="AD556" s="151">
        <v>28.962</v>
      </c>
      <c r="AG556" s="2" t="s">
        <v>36</v>
      </c>
      <c r="AH556" s="164">
        <v>4.6E-5</v>
      </c>
      <c r="AI556" s="164">
        <v>3.6122454636371101E-3</v>
      </c>
      <c r="AJ556" s="164">
        <v>7.8875611249765198E-4</v>
      </c>
    </row>
    <row r="557" spans="1:36">
      <c r="A557" s="2">
        <v>337</v>
      </c>
      <c r="B557" s="2">
        <v>9964</v>
      </c>
      <c r="C557" s="2" t="s">
        <v>2245</v>
      </c>
      <c r="D557" s="2" t="s">
        <v>2246</v>
      </c>
      <c r="E557" s="4" t="s">
        <v>1303</v>
      </c>
      <c r="F557" s="2" t="s">
        <v>2247</v>
      </c>
      <c r="G557" s="2" t="s">
        <v>2248</v>
      </c>
      <c r="H557" s="2" t="s">
        <v>318</v>
      </c>
      <c r="I557" s="2" t="s">
        <v>965</v>
      </c>
      <c r="J557" s="2" t="s">
        <v>30</v>
      </c>
      <c r="K557" s="2" t="s">
        <v>30</v>
      </c>
      <c r="L557" s="2" t="s">
        <v>324</v>
      </c>
      <c r="M557" s="2" t="s">
        <v>41</v>
      </c>
      <c r="N557" s="2" t="s">
        <v>443</v>
      </c>
      <c r="O557" s="2" t="s">
        <v>134</v>
      </c>
      <c r="P557" s="2" t="s">
        <v>1909</v>
      </c>
      <c r="Q557" s="2" t="s">
        <v>412</v>
      </c>
      <c r="R557" s="2" t="s">
        <v>403</v>
      </c>
      <c r="S557" s="2" t="s">
        <v>34</v>
      </c>
      <c r="T557" s="151">
        <v>1.135</v>
      </c>
      <c r="U557" s="2" t="s">
        <v>42</v>
      </c>
      <c r="V557" s="162">
        <v>0.06</v>
      </c>
      <c r="W557" s="164">
        <v>5.5219999999999998E-2</v>
      </c>
      <c r="X557" s="4" t="s">
        <v>409</v>
      </c>
      <c r="Y557" s="4" t="s">
        <v>134</v>
      </c>
      <c r="Z557" s="151">
        <v>0.89</v>
      </c>
      <c r="AA557" s="158">
        <v>1</v>
      </c>
      <c r="AB557" s="175">
        <v>102.62</v>
      </c>
      <c r="AD557" s="151">
        <v>1E-3</v>
      </c>
      <c r="AG557" s="2" t="s">
        <v>36</v>
      </c>
      <c r="AH557" s="164">
        <v>0</v>
      </c>
      <c r="AI557" s="164">
        <v>1.13910360029628E-7</v>
      </c>
      <c r="AJ557" s="164">
        <v>2.4873030821031699E-8</v>
      </c>
    </row>
    <row r="558" spans="1:36">
      <c r="A558" s="2">
        <v>337</v>
      </c>
      <c r="B558" s="2">
        <v>9964</v>
      </c>
      <c r="C558" s="2" t="s">
        <v>1659</v>
      </c>
      <c r="D558" s="2" t="s">
        <v>1660</v>
      </c>
      <c r="E558" s="4" t="s">
        <v>1303</v>
      </c>
      <c r="F558" s="2" t="s">
        <v>2249</v>
      </c>
      <c r="G558" s="2" t="s">
        <v>2250</v>
      </c>
      <c r="H558" s="2" t="s">
        <v>318</v>
      </c>
      <c r="I558" s="2" t="s">
        <v>753</v>
      </c>
      <c r="J558" s="2" t="s">
        <v>30</v>
      </c>
      <c r="K558" s="2" t="s">
        <v>30</v>
      </c>
      <c r="L558" s="2" t="s">
        <v>324</v>
      </c>
      <c r="M558" s="2" t="s">
        <v>41</v>
      </c>
      <c r="N558" s="2" t="s">
        <v>444</v>
      </c>
      <c r="O558" s="2" t="s">
        <v>134</v>
      </c>
      <c r="P558" s="2" t="s">
        <v>1176</v>
      </c>
      <c r="Q558" s="2" t="s">
        <v>410</v>
      </c>
      <c r="R558" s="2" t="s">
        <v>403</v>
      </c>
      <c r="S558" s="2" t="s">
        <v>34</v>
      </c>
      <c r="T558" s="151">
        <v>3.5870000000000002</v>
      </c>
      <c r="U558" s="2" t="s">
        <v>2251</v>
      </c>
      <c r="V558" s="162">
        <v>1E-3</v>
      </c>
      <c r="W558" s="164">
        <v>2.5610000000000001E-2</v>
      </c>
      <c r="X558" s="4" t="s">
        <v>409</v>
      </c>
      <c r="Y558" s="4" t="s">
        <v>134</v>
      </c>
      <c r="Z558" s="151">
        <v>32703.3</v>
      </c>
      <c r="AA558" s="158">
        <v>1</v>
      </c>
      <c r="AB558" s="175">
        <v>103.24</v>
      </c>
      <c r="AD558" s="151">
        <v>33.762999999999998</v>
      </c>
      <c r="AG558" s="2" t="s">
        <v>36</v>
      </c>
      <c r="AH558" s="164">
        <v>3.3000000000000003E-5</v>
      </c>
      <c r="AI558" s="164">
        <v>4.21095675843116E-3</v>
      </c>
      <c r="AJ558" s="164">
        <v>9.1948842239851698E-4</v>
      </c>
    </row>
    <row r="559" spans="1:36">
      <c r="A559" s="2">
        <v>337</v>
      </c>
      <c r="B559" s="2">
        <v>9964</v>
      </c>
      <c r="C559" s="2" t="s">
        <v>1659</v>
      </c>
      <c r="D559" s="2" t="s">
        <v>1660</v>
      </c>
      <c r="E559" s="4" t="s">
        <v>1303</v>
      </c>
      <c r="F559" s="2" t="s">
        <v>2252</v>
      </c>
      <c r="G559" s="2" t="s">
        <v>2253</v>
      </c>
      <c r="H559" s="2" t="s">
        <v>318</v>
      </c>
      <c r="I559" s="2" t="s">
        <v>753</v>
      </c>
      <c r="J559" s="2" t="s">
        <v>30</v>
      </c>
      <c r="K559" s="2" t="s">
        <v>30</v>
      </c>
      <c r="L559" s="2" t="s">
        <v>324</v>
      </c>
      <c r="M559" s="2" t="s">
        <v>41</v>
      </c>
      <c r="N559" s="2" t="s">
        <v>444</v>
      </c>
      <c r="O559" s="2" t="s">
        <v>134</v>
      </c>
      <c r="P559" s="2" t="s">
        <v>1176</v>
      </c>
      <c r="Q559" s="2" t="s">
        <v>410</v>
      </c>
      <c r="R559" s="2" t="s">
        <v>403</v>
      </c>
      <c r="S559" s="2" t="s">
        <v>34</v>
      </c>
      <c r="T559" s="151">
        <v>3.9660000000000002</v>
      </c>
      <c r="U559" s="2" t="s">
        <v>2254</v>
      </c>
      <c r="V559" s="162">
        <v>1.3899999999999999E-2</v>
      </c>
      <c r="W559" s="164">
        <v>2.5260000000000001E-2</v>
      </c>
      <c r="X559" s="4" t="s">
        <v>409</v>
      </c>
      <c r="Y559" s="4" t="s">
        <v>134</v>
      </c>
      <c r="Z559" s="151">
        <v>50400</v>
      </c>
      <c r="AA559" s="158">
        <v>1</v>
      </c>
      <c r="AB559" s="175">
        <v>103.09</v>
      </c>
      <c r="AD559" s="151">
        <v>51.957000000000001</v>
      </c>
      <c r="AG559" s="2" t="s">
        <v>36</v>
      </c>
      <c r="AH559" s="164">
        <v>3.1000000000000001E-5</v>
      </c>
      <c r="AI559" s="164">
        <v>6.4801981169636596E-3</v>
      </c>
      <c r="AJ559" s="164">
        <v>1.4149912918166999E-3</v>
      </c>
    </row>
    <row r="560" spans="1:36">
      <c r="A560" s="2">
        <v>337</v>
      </c>
      <c r="B560" s="2">
        <v>9964</v>
      </c>
      <c r="C560" s="2" t="s">
        <v>1659</v>
      </c>
      <c r="D560" s="2" t="s">
        <v>1660</v>
      </c>
      <c r="E560" s="4" t="s">
        <v>1303</v>
      </c>
      <c r="F560" s="2" t="s">
        <v>2446</v>
      </c>
      <c r="G560" s="2" t="s">
        <v>2447</v>
      </c>
      <c r="H560" s="2" t="s">
        <v>318</v>
      </c>
      <c r="I560" s="2" t="s">
        <v>753</v>
      </c>
      <c r="J560" s="2" t="s">
        <v>30</v>
      </c>
      <c r="K560" s="2" t="s">
        <v>30</v>
      </c>
      <c r="L560" s="2" t="s">
        <v>324</v>
      </c>
      <c r="M560" s="2" t="s">
        <v>41</v>
      </c>
      <c r="N560" s="2" t="s">
        <v>444</v>
      </c>
      <c r="O560" s="2" t="s">
        <v>134</v>
      </c>
      <c r="P560" s="2" t="s">
        <v>1176</v>
      </c>
      <c r="Q560" s="2" t="s">
        <v>410</v>
      </c>
      <c r="R560" s="2" t="s">
        <v>403</v>
      </c>
      <c r="S560" s="2" t="s">
        <v>34</v>
      </c>
      <c r="T560" s="151">
        <v>1.54</v>
      </c>
      <c r="U560" s="2" t="s">
        <v>2448</v>
      </c>
      <c r="V560" s="162">
        <v>6.0000000000000001E-3</v>
      </c>
      <c r="W560" s="164">
        <v>2.4459999999999999E-2</v>
      </c>
      <c r="X560" s="4" t="s">
        <v>409</v>
      </c>
      <c r="Y560" s="4" t="s">
        <v>134</v>
      </c>
      <c r="Z560" s="151">
        <v>32000</v>
      </c>
      <c r="AA560" s="158">
        <v>1</v>
      </c>
      <c r="AB560" s="175">
        <v>113.98</v>
      </c>
      <c r="AD560" s="151">
        <v>36.473999999999997</v>
      </c>
      <c r="AG560" s="2" t="s">
        <v>36</v>
      </c>
      <c r="AH560" s="164">
        <v>3.6000000000000001E-5</v>
      </c>
      <c r="AI560" s="164">
        <v>4.5490408681057998E-3</v>
      </c>
      <c r="AJ560" s="164">
        <v>9.9331117634162704E-4</v>
      </c>
    </row>
    <row r="561" spans="1:36">
      <c r="A561" s="2">
        <v>337</v>
      </c>
      <c r="B561" s="2">
        <v>9964</v>
      </c>
      <c r="C561" s="2" t="s">
        <v>1659</v>
      </c>
      <c r="D561" s="2" t="s">
        <v>1660</v>
      </c>
      <c r="E561" s="4" t="s">
        <v>1303</v>
      </c>
      <c r="F561" s="2" t="s">
        <v>2255</v>
      </c>
      <c r="G561" s="2" t="s">
        <v>2256</v>
      </c>
      <c r="H561" s="2" t="s">
        <v>318</v>
      </c>
      <c r="I561" s="2" t="s">
        <v>753</v>
      </c>
      <c r="J561" s="2" t="s">
        <v>30</v>
      </c>
      <c r="K561" s="2" t="s">
        <v>30</v>
      </c>
      <c r="L561" s="2" t="s">
        <v>324</v>
      </c>
      <c r="M561" s="2" t="s">
        <v>41</v>
      </c>
      <c r="N561" s="2" t="s">
        <v>444</v>
      </c>
      <c r="O561" s="2" t="s">
        <v>134</v>
      </c>
      <c r="P561" s="2" t="s">
        <v>1176</v>
      </c>
      <c r="Q561" s="2" t="s">
        <v>410</v>
      </c>
      <c r="R561" s="2" t="s">
        <v>403</v>
      </c>
      <c r="S561" s="2" t="s">
        <v>34</v>
      </c>
      <c r="T561" s="151">
        <v>3.0529999999999999</v>
      </c>
      <c r="U561" s="2" t="s">
        <v>2257</v>
      </c>
      <c r="V561" s="162">
        <v>1.7500000000000002E-2</v>
      </c>
      <c r="W561" s="164">
        <v>2.554E-2</v>
      </c>
      <c r="X561" s="4" t="s">
        <v>409</v>
      </c>
      <c r="Y561" s="4" t="s">
        <v>134</v>
      </c>
      <c r="Z561" s="151">
        <v>8189.02</v>
      </c>
      <c r="AA561" s="158">
        <v>1</v>
      </c>
      <c r="AB561" s="175">
        <v>112.78</v>
      </c>
      <c r="AD561" s="151">
        <v>9.2360000000000007</v>
      </c>
      <c r="AG561" s="2" t="s">
        <v>36</v>
      </c>
      <c r="AH561" s="164">
        <v>3.9999999999999998E-6</v>
      </c>
      <c r="AI561" s="164">
        <v>1.15187467383456E-3</v>
      </c>
      <c r="AJ561" s="164">
        <v>2.5151895101376801E-4</v>
      </c>
    </row>
    <row r="562" spans="1:36">
      <c r="A562" s="2">
        <v>337</v>
      </c>
      <c r="B562" s="2">
        <v>9964</v>
      </c>
      <c r="C562" s="2" t="s">
        <v>1659</v>
      </c>
      <c r="D562" s="2" t="s">
        <v>1660</v>
      </c>
      <c r="E562" s="4" t="s">
        <v>1303</v>
      </c>
      <c r="F562" s="2" t="s">
        <v>2258</v>
      </c>
      <c r="G562" s="2" t="s">
        <v>2259</v>
      </c>
      <c r="H562" s="2" t="s">
        <v>318</v>
      </c>
      <c r="I562" s="2" t="s">
        <v>753</v>
      </c>
      <c r="J562" s="2" t="s">
        <v>30</v>
      </c>
      <c r="K562" s="2" t="s">
        <v>30</v>
      </c>
      <c r="L562" s="2" t="s">
        <v>324</v>
      </c>
      <c r="M562" s="2" t="s">
        <v>31</v>
      </c>
      <c r="N562" s="2" t="s">
        <v>444</v>
      </c>
      <c r="O562" s="2" t="s">
        <v>134</v>
      </c>
      <c r="P562" s="2" t="s">
        <v>1826</v>
      </c>
      <c r="Q562" s="2" t="s">
        <v>410</v>
      </c>
      <c r="R562" s="2" t="s">
        <v>403</v>
      </c>
      <c r="S562" s="2" t="s">
        <v>34</v>
      </c>
      <c r="T562" s="151">
        <v>6.8019999999999996</v>
      </c>
      <c r="U562" s="2" t="s">
        <v>2260</v>
      </c>
      <c r="V562" s="162">
        <v>3.4500000000000003E-2</v>
      </c>
      <c r="W562" s="164">
        <v>3.1910000000000001E-2</v>
      </c>
      <c r="X562" s="4" t="s">
        <v>409</v>
      </c>
      <c r="Y562" s="4" t="s">
        <v>134</v>
      </c>
      <c r="Z562" s="151">
        <v>70000</v>
      </c>
      <c r="AA562" s="158">
        <v>1</v>
      </c>
      <c r="AB562" s="175">
        <v>102.77</v>
      </c>
      <c r="AD562" s="151">
        <v>71.938999999999993</v>
      </c>
      <c r="AG562" s="2" t="s">
        <v>36</v>
      </c>
      <c r="AH562" s="164">
        <v>7.6000000000000004E-5</v>
      </c>
      <c r="AI562" s="164">
        <v>8.9723375540298606E-3</v>
      </c>
      <c r="AJ562" s="164">
        <v>1.9591653336890301E-3</v>
      </c>
    </row>
    <row r="563" spans="1:36">
      <c r="A563" s="2">
        <v>337</v>
      </c>
      <c r="B563" s="2">
        <v>9964</v>
      </c>
      <c r="C563" s="2" t="s">
        <v>1659</v>
      </c>
      <c r="D563" s="2" t="s">
        <v>1660</v>
      </c>
      <c r="E563" s="4" t="s">
        <v>1303</v>
      </c>
      <c r="F563" s="2" t="s">
        <v>2449</v>
      </c>
      <c r="G563" s="2" t="s">
        <v>2450</v>
      </c>
      <c r="H563" s="2" t="s">
        <v>318</v>
      </c>
      <c r="I563" s="2" t="s">
        <v>753</v>
      </c>
      <c r="J563" s="2" t="s">
        <v>30</v>
      </c>
      <c r="K563" s="2" t="s">
        <v>30</v>
      </c>
      <c r="L563" s="2" t="s">
        <v>324</v>
      </c>
      <c r="M563" s="2" t="s">
        <v>41</v>
      </c>
      <c r="N563" s="2" t="s">
        <v>444</v>
      </c>
      <c r="O563" s="2" t="s">
        <v>134</v>
      </c>
      <c r="P563" s="2" t="s">
        <v>1826</v>
      </c>
      <c r="Q563" s="2" t="s">
        <v>410</v>
      </c>
      <c r="R563" s="2" t="s">
        <v>403</v>
      </c>
      <c r="S563" s="2" t="s">
        <v>34</v>
      </c>
      <c r="T563" s="151">
        <v>2.9249999999999998</v>
      </c>
      <c r="U563" s="2" t="s">
        <v>2451</v>
      </c>
      <c r="V563" s="162">
        <v>8.3999999999999995E-3</v>
      </c>
      <c r="W563" s="164">
        <v>3.0499999999999999E-2</v>
      </c>
      <c r="X563" s="4" t="s">
        <v>409</v>
      </c>
      <c r="Y563" s="4" t="s">
        <v>134</v>
      </c>
      <c r="Z563" s="151">
        <v>50000</v>
      </c>
      <c r="AA563" s="158">
        <v>1</v>
      </c>
      <c r="AB563" s="175">
        <v>105.44</v>
      </c>
      <c r="AD563" s="151">
        <v>52.72</v>
      </c>
      <c r="AG563" s="2" t="s">
        <v>36</v>
      </c>
      <c r="AH563" s="164">
        <v>1.26E-4</v>
      </c>
      <c r="AI563" s="164">
        <v>6.5753156959153496E-3</v>
      </c>
      <c r="AJ563" s="164">
        <v>1.43576080279245E-3</v>
      </c>
    </row>
    <row r="564" spans="1:36">
      <c r="A564" s="2">
        <v>337</v>
      </c>
      <c r="B564" s="2">
        <v>9964</v>
      </c>
      <c r="C564" s="2" t="s">
        <v>1667</v>
      </c>
      <c r="D564" s="2" t="s">
        <v>1668</v>
      </c>
      <c r="E564" s="4" t="s">
        <v>1303</v>
      </c>
      <c r="F564" s="2" t="s">
        <v>2261</v>
      </c>
      <c r="G564" s="2" t="s">
        <v>2262</v>
      </c>
      <c r="H564" s="2" t="s">
        <v>318</v>
      </c>
      <c r="I564" s="2" t="s">
        <v>965</v>
      </c>
      <c r="J564" s="2" t="s">
        <v>30</v>
      </c>
      <c r="K564" s="2" t="s">
        <v>30</v>
      </c>
      <c r="L564" s="2" t="s">
        <v>324</v>
      </c>
      <c r="M564" s="2" t="s">
        <v>41</v>
      </c>
      <c r="N564" s="2" t="s">
        <v>473</v>
      </c>
      <c r="O564" s="2" t="s">
        <v>134</v>
      </c>
      <c r="P564" s="2" t="s">
        <v>1826</v>
      </c>
      <c r="Q564" s="2" t="s">
        <v>410</v>
      </c>
      <c r="R564" s="2" t="s">
        <v>403</v>
      </c>
      <c r="S564" s="2" t="s">
        <v>34</v>
      </c>
      <c r="T564" s="151">
        <v>1.1419999999999999</v>
      </c>
      <c r="U564" s="2" t="s">
        <v>2263</v>
      </c>
      <c r="V564" s="162">
        <v>2.29E-2</v>
      </c>
      <c r="W564" s="164">
        <v>4.8680000000000001E-2</v>
      </c>
      <c r="X564" s="4" t="s">
        <v>409</v>
      </c>
      <c r="Y564" s="4" t="s">
        <v>134</v>
      </c>
      <c r="Z564" s="151">
        <v>30000.01</v>
      </c>
      <c r="AA564" s="158">
        <v>1</v>
      </c>
      <c r="AB564" s="175">
        <v>97.94</v>
      </c>
      <c r="AD564" s="151">
        <v>29.382000000000001</v>
      </c>
      <c r="AG564" s="2" t="s">
        <v>36</v>
      </c>
      <c r="AH564" s="164">
        <v>9.1000000000000003E-5</v>
      </c>
      <c r="AI564" s="164">
        <v>3.6645673402129499E-3</v>
      </c>
      <c r="AJ564" s="164">
        <v>8.00180917478926E-4</v>
      </c>
    </row>
    <row r="565" spans="1:36">
      <c r="A565" s="2">
        <v>337</v>
      </c>
      <c r="B565" s="2">
        <v>9964</v>
      </c>
      <c r="C565" s="2" t="s">
        <v>2264</v>
      </c>
      <c r="D565" s="2" t="s">
        <v>2265</v>
      </c>
      <c r="E565" s="4" t="s">
        <v>1303</v>
      </c>
      <c r="F565" s="2" t="s">
        <v>2452</v>
      </c>
      <c r="G565" s="2" t="s">
        <v>2453</v>
      </c>
      <c r="H565" s="2" t="s">
        <v>318</v>
      </c>
      <c r="I565" s="2" t="s">
        <v>965</v>
      </c>
      <c r="J565" s="2" t="s">
        <v>30</v>
      </c>
      <c r="K565" s="2" t="s">
        <v>30</v>
      </c>
      <c r="L565" s="2" t="s">
        <v>324</v>
      </c>
      <c r="M565" s="2" t="s">
        <v>41</v>
      </c>
      <c r="N565" s="2" t="s">
        <v>441</v>
      </c>
      <c r="O565" s="2" t="s">
        <v>134</v>
      </c>
      <c r="P565" s="2" t="s">
        <v>1834</v>
      </c>
      <c r="Q565" s="2" t="s">
        <v>410</v>
      </c>
      <c r="R565" s="2" t="s">
        <v>403</v>
      </c>
      <c r="S565" s="2" t="s">
        <v>34</v>
      </c>
      <c r="T565" s="151">
        <v>3.843</v>
      </c>
      <c r="U565" s="2" t="s">
        <v>1974</v>
      </c>
      <c r="V565" s="162">
        <v>2.6200000000000001E-2</v>
      </c>
      <c r="W565" s="164">
        <v>4.8739999999999999E-2</v>
      </c>
      <c r="X565" s="4" t="s">
        <v>409</v>
      </c>
      <c r="Y565" s="4" t="s">
        <v>134</v>
      </c>
      <c r="Z565" s="151">
        <v>67114</v>
      </c>
      <c r="AA565" s="158">
        <v>1</v>
      </c>
      <c r="AB565" s="175">
        <v>93.04</v>
      </c>
      <c r="AD565" s="151">
        <v>62.442999999999998</v>
      </c>
      <c r="AG565" s="2" t="s">
        <v>36</v>
      </c>
      <c r="AH565" s="164">
        <v>5.1999999999999997E-5</v>
      </c>
      <c r="AI565" s="164">
        <v>7.7879657488166198E-3</v>
      </c>
      <c r="AJ565" s="164">
        <v>1.7005504332799101E-3</v>
      </c>
    </row>
    <row r="566" spans="1:36">
      <c r="A566" s="2">
        <v>337</v>
      </c>
      <c r="B566" s="2">
        <v>9964</v>
      </c>
      <c r="C566" s="2" t="s">
        <v>2264</v>
      </c>
      <c r="D566" s="2" t="s">
        <v>2265</v>
      </c>
      <c r="E566" s="4" t="s">
        <v>1303</v>
      </c>
      <c r="F566" s="2" t="s">
        <v>2266</v>
      </c>
      <c r="G566" s="2" t="s">
        <v>2267</v>
      </c>
      <c r="H566" s="2" t="s">
        <v>318</v>
      </c>
      <c r="I566" s="2" t="s">
        <v>753</v>
      </c>
      <c r="J566" s="2" t="s">
        <v>30</v>
      </c>
      <c r="K566" s="2" t="s">
        <v>30</v>
      </c>
      <c r="L566" s="2" t="s">
        <v>324</v>
      </c>
      <c r="M566" s="2" t="s">
        <v>41</v>
      </c>
      <c r="N566" s="2" t="s">
        <v>441</v>
      </c>
      <c r="O566" s="2" t="s">
        <v>134</v>
      </c>
      <c r="P566" s="2" t="s">
        <v>1826</v>
      </c>
      <c r="Q566" s="2" t="s">
        <v>410</v>
      </c>
      <c r="R566" s="2" t="s">
        <v>403</v>
      </c>
      <c r="S566" s="2" t="s">
        <v>34</v>
      </c>
      <c r="T566" s="151">
        <v>6.3789999999999996</v>
      </c>
      <c r="U566" s="2" t="s">
        <v>2268</v>
      </c>
      <c r="V566" s="162">
        <v>2.0899999999999998E-2</v>
      </c>
      <c r="W566" s="164">
        <v>3.2320000000000002E-2</v>
      </c>
      <c r="X566" s="4" t="s">
        <v>409</v>
      </c>
      <c r="Y566" s="4" t="s">
        <v>134</v>
      </c>
      <c r="Z566" s="151">
        <v>100000</v>
      </c>
      <c r="AA566" s="158">
        <v>1</v>
      </c>
      <c r="AB566" s="175">
        <v>106.44</v>
      </c>
      <c r="AD566" s="151">
        <v>106.44</v>
      </c>
      <c r="AG566" s="2" t="s">
        <v>36</v>
      </c>
      <c r="AH566" s="164">
        <v>6.4999999999999994E-5</v>
      </c>
      <c r="AI566" s="164">
        <v>1.32753528579899E-2</v>
      </c>
      <c r="AJ566" s="164">
        <v>2.8987553082175299E-3</v>
      </c>
    </row>
    <row r="567" spans="1:36">
      <c r="A567" s="2">
        <v>337</v>
      </c>
      <c r="B567" s="2">
        <v>9964</v>
      </c>
      <c r="C567" s="2" t="s">
        <v>2269</v>
      </c>
      <c r="D567" s="2" t="s">
        <v>2270</v>
      </c>
      <c r="E567" s="4" t="s">
        <v>310</v>
      </c>
      <c r="F567" s="2" t="s">
        <v>2271</v>
      </c>
      <c r="G567" s="2" t="s">
        <v>2272</v>
      </c>
      <c r="H567" s="2" t="s">
        <v>318</v>
      </c>
      <c r="I567" s="2" t="s">
        <v>965</v>
      </c>
      <c r="J567" s="2" t="s">
        <v>30</v>
      </c>
      <c r="K567" s="2" t="s">
        <v>80</v>
      </c>
      <c r="L567" s="2" t="s">
        <v>324</v>
      </c>
      <c r="M567" s="2" t="s">
        <v>41</v>
      </c>
      <c r="N567" s="2" t="s">
        <v>461</v>
      </c>
      <c r="O567" s="2" t="s">
        <v>134</v>
      </c>
      <c r="P567" s="2" t="s">
        <v>1862</v>
      </c>
      <c r="Q567" s="2" t="s">
        <v>410</v>
      </c>
      <c r="R567" s="2" t="s">
        <v>403</v>
      </c>
      <c r="S567" s="2" t="s">
        <v>34</v>
      </c>
      <c r="T567" s="151">
        <v>0.82699999999999996</v>
      </c>
      <c r="U567" s="2" t="s">
        <v>2158</v>
      </c>
      <c r="V567" s="162">
        <v>4.045E-2</v>
      </c>
      <c r="W567" s="164">
        <v>0.15790000000000001</v>
      </c>
      <c r="X567" s="4" t="s">
        <v>409</v>
      </c>
      <c r="Y567" s="4" t="s">
        <v>134</v>
      </c>
      <c r="Z567" s="151">
        <v>0.4</v>
      </c>
      <c r="AA567" s="158">
        <v>1</v>
      </c>
      <c r="AB567" s="175">
        <v>92.45</v>
      </c>
      <c r="AD567" s="151">
        <v>0</v>
      </c>
      <c r="AG567" s="2" t="s">
        <v>36</v>
      </c>
      <c r="AH567" s="164">
        <v>0</v>
      </c>
      <c r="AI567" s="164">
        <v>4.6121998185688502E-8</v>
      </c>
      <c r="AJ567" s="164">
        <v>1.00710232335479E-8</v>
      </c>
    </row>
    <row r="568" spans="1:36">
      <c r="A568" s="2">
        <v>337</v>
      </c>
      <c r="B568" s="2">
        <v>9964</v>
      </c>
      <c r="C568" s="2" t="s">
        <v>2273</v>
      </c>
      <c r="D568" s="2" t="s">
        <v>2274</v>
      </c>
      <c r="E568" s="4" t="s">
        <v>1303</v>
      </c>
      <c r="F568" s="2" t="s">
        <v>2275</v>
      </c>
      <c r="G568" s="2" t="s">
        <v>2276</v>
      </c>
      <c r="H568" s="2" t="s">
        <v>318</v>
      </c>
      <c r="I568" s="2" t="s">
        <v>965</v>
      </c>
      <c r="J568" s="2" t="s">
        <v>30</v>
      </c>
      <c r="K568" s="2" t="s">
        <v>30</v>
      </c>
      <c r="L568" s="2" t="s">
        <v>324</v>
      </c>
      <c r="M568" s="209" t="s">
        <v>41</v>
      </c>
      <c r="N568" s="2" t="s">
        <v>461</v>
      </c>
      <c r="O568" s="2" t="s">
        <v>134</v>
      </c>
      <c r="P568" s="2" t="s">
        <v>1814</v>
      </c>
      <c r="Q568" s="2" t="s">
        <v>412</v>
      </c>
      <c r="R568" s="2" t="s">
        <v>403</v>
      </c>
      <c r="S568" s="2" t="s">
        <v>34</v>
      </c>
      <c r="T568" s="151">
        <v>5.8659999999999997</v>
      </c>
      <c r="U568" s="2" t="s">
        <v>2277</v>
      </c>
      <c r="V568" s="162">
        <v>5.5899999999999998E-2</v>
      </c>
      <c r="W568" s="164">
        <v>5.8259999999999999E-2</v>
      </c>
      <c r="X568" s="4" t="s">
        <v>409</v>
      </c>
      <c r="Y568" s="4" t="s">
        <v>134</v>
      </c>
      <c r="Z568" s="151">
        <v>48000</v>
      </c>
      <c r="AA568" s="158">
        <v>1</v>
      </c>
      <c r="AB568" s="175">
        <v>99.28</v>
      </c>
      <c r="AD568" s="151">
        <v>47.654000000000003</v>
      </c>
      <c r="AG568" s="2" t="s">
        <v>36</v>
      </c>
      <c r="AH568" s="164">
        <v>2.1499999999999999E-4</v>
      </c>
      <c r="AI568" s="164">
        <v>5.9435266369390798E-3</v>
      </c>
      <c r="AJ568" s="164">
        <v>1.29780575873658E-3</v>
      </c>
    </row>
    <row r="569" spans="1:36">
      <c r="A569" s="2">
        <v>337</v>
      </c>
      <c r="B569" s="2">
        <v>9964</v>
      </c>
      <c r="C569" s="2" t="s">
        <v>1675</v>
      </c>
      <c r="D569" s="2" t="s">
        <v>1676</v>
      </c>
      <c r="E569" s="4" t="s">
        <v>1303</v>
      </c>
      <c r="F569" s="2" t="s">
        <v>2280</v>
      </c>
      <c r="G569" s="2" t="s">
        <v>2281</v>
      </c>
      <c r="H569" s="2" t="s">
        <v>318</v>
      </c>
      <c r="I569" s="2" t="s">
        <v>753</v>
      </c>
      <c r="J569" s="2" t="s">
        <v>30</v>
      </c>
      <c r="K569" s="2" t="s">
        <v>30</v>
      </c>
      <c r="L569" s="2" t="s">
        <v>324</v>
      </c>
      <c r="M569" s="2" t="s">
        <v>41</v>
      </c>
      <c r="N569" s="2" t="s">
        <v>457</v>
      </c>
      <c r="O569" s="2" t="s">
        <v>134</v>
      </c>
      <c r="P569" s="2" t="s">
        <v>1814</v>
      </c>
      <c r="Q569" s="2" t="s">
        <v>412</v>
      </c>
      <c r="R569" s="2" t="s">
        <v>403</v>
      </c>
      <c r="S569" s="2" t="s">
        <v>34</v>
      </c>
      <c r="T569" s="151">
        <v>3.323</v>
      </c>
      <c r="U569" s="2" t="s">
        <v>2282</v>
      </c>
      <c r="V569" s="162">
        <v>3.2500000000000001E-2</v>
      </c>
      <c r="W569" s="164">
        <v>3.288E-2</v>
      </c>
      <c r="X569" s="4" t="s">
        <v>409</v>
      </c>
      <c r="Y569" s="4" t="s">
        <v>134</v>
      </c>
      <c r="Z569" s="151">
        <v>47300</v>
      </c>
      <c r="AA569" s="158">
        <v>1</v>
      </c>
      <c r="AB569" s="175">
        <v>109.85</v>
      </c>
      <c r="AD569" s="151">
        <v>51.959000000000003</v>
      </c>
      <c r="AG569" s="2" t="s">
        <v>36</v>
      </c>
      <c r="AH569" s="164">
        <v>1.2E-4</v>
      </c>
      <c r="AI569" s="164">
        <v>6.4804088962414699E-3</v>
      </c>
      <c r="AJ569" s="164">
        <v>1.41503731677414E-3</v>
      </c>
    </row>
    <row r="570" spans="1:36">
      <c r="A570" s="2">
        <v>337</v>
      </c>
      <c r="B570" s="2">
        <v>9964</v>
      </c>
      <c r="C570" s="2" t="s">
        <v>2283</v>
      </c>
      <c r="D570" s="2" t="s">
        <v>2284</v>
      </c>
      <c r="E570" s="4" t="s">
        <v>1303</v>
      </c>
      <c r="F570" s="2" t="s">
        <v>2285</v>
      </c>
      <c r="G570" s="2" t="s">
        <v>2286</v>
      </c>
      <c r="H570" s="2" t="s">
        <v>318</v>
      </c>
      <c r="I570" s="2" t="s">
        <v>965</v>
      </c>
      <c r="J570" s="2" t="s">
        <v>30</v>
      </c>
      <c r="K570" s="2" t="s">
        <v>30</v>
      </c>
      <c r="L570" s="2" t="s">
        <v>324</v>
      </c>
      <c r="M570" s="2" t="s">
        <v>41</v>
      </c>
      <c r="N570" s="2" t="s">
        <v>443</v>
      </c>
      <c r="O570" s="2" t="s">
        <v>134</v>
      </c>
      <c r="P570" s="2" t="s">
        <v>2185</v>
      </c>
      <c r="Q570" s="2" t="s">
        <v>412</v>
      </c>
      <c r="R570" s="2" t="s">
        <v>403</v>
      </c>
      <c r="S570" s="2" t="s">
        <v>34</v>
      </c>
      <c r="T570" s="151">
        <v>1.68</v>
      </c>
      <c r="U570" s="2" t="s">
        <v>2025</v>
      </c>
      <c r="V570" s="162">
        <v>5.5500000000000001E-2</v>
      </c>
      <c r="W570" s="164">
        <v>5.833E-2</v>
      </c>
      <c r="X570" s="4" t="s">
        <v>409</v>
      </c>
      <c r="Y570" s="4" t="s">
        <v>134</v>
      </c>
      <c r="Z570" s="151">
        <v>52200</v>
      </c>
      <c r="AA570" s="158">
        <v>1</v>
      </c>
      <c r="AB570" s="175">
        <v>100.9</v>
      </c>
      <c r="AD570" s="151">
        <v>52.67</v>
      </c>
      <c r="AG570" s="2" t="s">
        <v>36</v>
      </c>
      <c r="AH570" s="164">
        <v>3.6200000000000002E-4</v>
      </c>
      <c r="AI570" s="164">
        <v>6.56905467831415E-3</v>
      </c>
      <c r="AJ570" s="164">
        <v>1.43439367092029E-3</v>
      </c>
    </row>
    <row r="571" spans="1:36">
      <c r="A571" s="2">
        <v>337</v>
      </c>
      <c r="B571" s="2">
        <v>9964</v>
      </c>
      <c r="C571" s="2" t="s">
        <v>2287</v>
      </c>
      <c r="D571" s="2" t="s">
        <v>2288</v>
      </c>
      <c r="E571" s="4" t="s">
        <v>1303</v>
      </c>
      <c r="F571" s="2" t="s">
        <v>2289</v>
      </c>
      <c r="G571" s="2" t="s">
        <v>2290</v>
      </c>
      <c r="H571" s="2" t="s">
        <v>318</v>
      </c>
      <c r="I571" s="2" t="s">
        <v>965</v>
      </c>
      <c r="J571" s="2" t="s">
        <v>30</v>
      </c>
      <c r="K571" s="2" t="s">
        <v>30</v>
      </c>
      <c r="L571" s="2" t="s">
        <v>324</v>
      </c>
      <c r="M571" s="2" t="s">
        <v>41</v>
      </c>
      <c r="N571" s="2" t="s">
        <v>443</v>
      </c>
      <c r="O571" s="2" t="s">
        <v>134</v>
      </c>
      <c r="P571" s="2" t="s">
        <v>1862</v>
      </c>
      <c r="Q571" s="2" t="s">
        <v>410</v>
      </c>
      <c r="R571" s="2" t="s">
        <v>403</v>
      </c>
      <c r="S571" s="2" t="s">
        <v>34</v>
      </c>
      <c r="T571" s="151">
        <v>2.4260000000000002</v>
      </c>
      <c r="U571" s="2" t="s">
        <v>2180</v>
      </c>
      <c r="V571" s="162">
        <v>5.3400000000000003E-2</v>
      </c>
      <c r="W571" s="164">
        <v>5.7290000000000001E-2</v>
      </c>
      <c r="X571" s="4" t="s">
        <v>409</v>
      </c>
      <c r="Y571" s="4" t="s">
        <v>134</v>
      </c>
      <c r="Z571" s="151">
        <v>67000</v>
      </c>
      <c r="AA571" s="158">
        <v>1</v>
      </c>
      <c r="AB571" s="175">
        <v>101.03</v>
      </c>
      <c r="AD571" s="151">
        <v>67.69</v>
      </c>
      <c r="AG571" s="2" t="s">
        <v>36</v>
      </c>
      <c r="AH571" s="164">
        <v>9.6000000000000002E-5</v>
      </c>
      <c r="AI571" s="164">
        <v>8.4424085164658408E-3</v>
      </c>
      <c r="AJ571" s="164">
        <v>1.84345205457324E-3</v>
      </c>
    </row>
    <row r="572" spans="1:36">
      <c r="A572" s="2">
        <v>337</v>
      </c>
      <c r="B572" s="2">
        <v>9964</v>
      </c>
      <c r="C572" s="2" t="s">
        <v>2291</v>
      </c>
      <c r="D572" s="2" t="s">
        <v>2292</v>
      </c>
      <c r="E572" s="4" t="s">
        <v>1303</v>
      </c>
      <c r="F572" s="2" t="s">
        <v>2293</v>
      </c>
      <c r="G572" s="2" t="s">
        <v>2294</v>
      </c>
      <c r="H572" s="2" t="s">
        <v>318</v>
      </c>
      <c r="I572" s="2" t="s">
        <v>965</v>
      </c>
      <c r="J572" s="2" t="s">
        <v>30</v>
      </c>
      <c r="K572" s="2" t="s">
        <v>30</v>
      </c>
      <c r="L572" s="2" t="s">
        <v>324</v>
      </c>
      <c r="M572" s="2" t="s">
        <v>41</v>
      </c>
      <c r="N572" s="2" t="s">
        <v>443</v>
      </c>
      <c r="O572" s="2" t="s">
        <v>134</v>
      </c>
      <c r="P572" s="2" t="s">
        <v>1909</v>
      </c>
      <c r="Q572" s="2" t="s">
        <v>412</v>
      </c>
      <c r="R572" s="2" t="s">
        <v>403</v>
      </c>
      <c r="S572" s="2" t="s">
        <v>34</v>
      </c>
      <c r="T572" s="151">
        <v>0.28499999999999998</v>
      </c>
      <c r="U572" s="2" t="s">
        <v>2295</v>
      </c>
      <c r="V572" s="162">
        <v>4.3499999999999997E-2</v>
      </c>
      <c r="W572" s="164">
        <v>7.0150000000000004E-2</v>
      </c>
      <c r="X572" s="4" t="s">
        <v>409</v>
      </c>
      <c r="Y572" s="4" t="s">
        <v>134</v>
      </c>
      <c r="Z572" s="151">
        <v>14500</v>
      </c>
      <c r="AA572" s="158">
        <v>1</v>
      </c>
      <c r="AB572" s="175">
        <v>100.22</v>
      </c>
      <c r="AD572" s="151">
        <v>14.532</v>
      </c>
      <c r="AG572" s="2" t="s">
        <v>36</v>
      </c>
      <c r="AH572" s="164">
        <v>6.0400000000000004E-4</v>
      </c>
      <c r="AI572" s="164">
        <v>1.81243987407952E-3</v>
      </c>
      <c r="AJ572" s="164">
        <v>3.9575744328716902E-4</v>
      </c>
    </row>
    <row r="573" spans="1:36">
      <c r="A573" s="2">
        <v>337</v>
      </c>
      <c r="B573" s="2">
        <v>9964</v>
      </c>
      <c r="C573" s="2" t="s">
        <v>2291</v>
      </c>
      <c r="D573" s="2" t="s">
        <v>2292</v>
      </c>
      <c r="E573" s="4" t="s">
        <v>1303</v>
      </c>
      <c r="F573" s="2" t="s">
        <v>2296</v>
      </c>
      <c r="G573" s="2" t="s">
        <v>2297</v>
      </c>
      <c r="H573" s="2" t="s">
        <v>318</v>
      </c>
      <c r="I573" s="2" t="s">
        <v>965</v>
      </c>
      <c r="J573" s="2" t="s">
        <v>30</v>
      </c>
      <c r="K573" s="2" t="s">
        <v>30</v>
      </c>
      <c r="L573" s="2" t="s">
        <v>324</v>
      </c>
      <c r="M573" s="2" t="s">
        <v>41</v>
      </c>
      <c r="N573" s="2" t="s">
        <v>443</v>
      </c>
      <c r="O573" s="2" t="s">
        <v>134</v>
      </c>
      <c r="P573" s="2" t="s">
        <v>1909</v>
      </c>
      <c r="Q573" s="2" t="s">
        <v>412</v>
      </c>
      <c r="R573" s="2" t="s">
        <v>403</v>
      </c>
      <c r="S573" s="2" t="s">
        <v>34</v>
      </c>
      <c r="T573" s="151">
        <v>0.28499999999999998</v>
      </c>
      <c r="U573" s="2" t="s">
        <v>2295</v>
      </c>
      <c r="V573" s="162">
        <v>0.06</v>
      </c>
      <c r="W573" s="164">
        <v>6.1990000000000003E-2</v>
      </c>
      <c r="X573" s="4" t="s">
        <v>409</v>
      </c>
      <c r="Y573" s="4" t="s">
        <v>134</v>
      </c>
      <c r="Z573" s="151">
        <v>3334</v>
      </c>
      <c r="AA573" s="158">
        <v>1</v>
      </c>
      <c r="AB573" s="175">
        <v>101.25</v>
      </c>
      <c r="AD573" s="151">
        <v>3.3759999999999999</v>
      </c>
      <c r="AG573" s="2" t="s">
        <v>36</v>
      </c>
      <c r="AH573" s="164">
        <v>1.2799999999999999E-4</v>
      </c>
      <c r="AI573" s="164">
        <v>4.2101913527710599E-4</v>
      </c>
      <c r="AJ573" s="164">
        <v>9.1932129134415604E-5</v>
      </c>
    </row>
    <row r="574" spans="1:36">
      <c r="A574" s="2">
        <v>337</v>
      </c>
      <c r="B574" s="2">
        <v>9964</v>
      </c>
      <c r="C574" s="2" t="s">
        <v>2298</v>
      </c>
      <c r="D574" s="2" t="s">
        <v>2299</v>
      </c>
      <c r="E574" s="4" t="s">
        <v>1303</v>
      </c>
      <c r="F574" s="2" t="s">
        <v>2300</v>
      </c>
      <c r="G574" s="2" t="s">
        <v>2301</v>
      </c>
      <c r="H574" s="2" t="s">
        <v>318</v>
      </c>
      <c r="I574" s="2" t="s">
        <v>965</v>
      </c>
      <c r="J574" s="2" t="s">
        <v>30</v>
      </c>
      <c r="K574" s="2" t="s">
        <v>30</v>
      </c>
      <c r="L574" s="2" t="s">
        <v>324</v>
      </c>
      <c r="M574" s="2" t="s">
        <v>41</v>
      </c>
      <c r="N574" s="2" t="s">
        <v>443</v>
      </c>
      <c r="O574" s="2" t="s">
        <v>134</v>
      </c>
      <c r="P574" s="2" t="s">
        <v>1842</v>
      </c>
      <c r="Q574" s="2" t="s">
        <v>406</v>
      </c>
      <c r="R574" s="2" t="s">
        <v>406</v>
      </c>
      <c r="S574" s="2" t="s">
        <v>34</v>
      </c>
      <c r="T574" s="151">
        <v>0.247</v>
      </c>
      <c r="U574" s="2" t="s">
        <v>1809</v>
      </c>
      <c r="V574" s="162">
        <v>4.4900000000000002E-2</v>
      </c>
      <c r="W574" s="164">
        <v>8.0570000000000003E-2</v>
      </c>
      <c r="X574" s="4" t="s">
        <v>409</v>
      </c>
      <c r="Y574" s="4" t="s">
        <v>134</v>
      </c>
      <c r="Z574" s="151">
        <v>21560</v>
      </c>
      <c r="AA574" s="158">
        <v>1</v>
      </c>
      <c r="AB574" s="175">
        <v>100.31</v>
      </c>
      <c r="AD574" s="151">
        <v>21.626999999999999</v>
      </c>
      <c r="AG574" s="2" t="s">
        <v>36</v>
      </c>
      <c r="AH574" s="164">
        <v>6.0999999999999997E-4</v>
      </c>
      <c r="AI574" s="164">
        <v>2.6973306943055201E-3</v>
      </c>
      <c r="AJ574" s="164">
        <v>5.88978820508737E-4</v>
      </c>
    </row>
    <row r="575" spans="1:36">
      <c r="A575" s="2">
        <v>337</v>
      </c>
      <c r="B575" s="2">
        <v>9964</v>
      </c>
      <c r="C575" s="2" t="s">
        <v>1687</v>
      </c>
      <c r="D575" s="2" t="s">
        <v>1688</v>
      </c>
      <c r="E575" s="4" t="s">
        <v>1303</v>
      </c>
      <c r="F575" s="2" t="s">
        <v>2302</v>
      </c>
      <c r="G575" s="2" t="s">
        <v>2303</v>
      </c>
      <c r="H575" s="2" t="s">
        <v>318</v>
      </c>
      <c r="I575" s="2" t="s">
        <v>753</v>
      </c>
      <c r="J575" s="2" t="s">
        <v>30</v>
      </c>
      <c r="K575" s="2" t="s">
        <v>30</v>
      </c>
      <c r="L575" s="2" t="s">
        <v>324</v>
      </c>
      <c r="M575" s="2" t="s">
        <v>41</v>
      </c>
      <c r="N575" s="2" t="s">
        <v>460</v>
      </c>
      <c r="O575" s="2" t="s">
        <v>134</v>
      </c>
      <c r="P575" s="2" t="s">
        <v>1834</v>
      </c>
      <c r="Q575" s="2" t="s">
        <v>410</v>
      </c>
      <c r="R575" s="2" t="s">
        <v>403</v>
      </c>
      <c r="S575" s="2" t="s">
        <v>34</v>
      </c>
      <c r="T575" s="151">
        <v>6.2430000000000003</v>
      </c>
      <c r="U575" s="2" t="s">
        <v>2304</v>
      </c>
      <c r="V575" s="162">
        <v>2.5000000000000001E-2</v>
      </c>
      <c r="W575" s="164">
        <v>3.1879999999999999E-2</v>
      </c>
      <c r="X575" s="4" t="s">
        <v>409</v>
      </c>
      <c r="Y575" s="4" t="s">
        <v>134</v>
      </c>
      <c r="Z575" s="151">
        <v>80300</v>
      </c>
      <c r="AA575" s="158">
        <v>1</v>
      </c>
      <c r="AB575" s="175">
        <v>111</v>
      </c>
      <c r="AD575" s="151">
        <v>89.132999999999996</v>
      </c>
      <c r="AG575" s="2" t="s">
        <v>36</v>
      </c>
      <c r="AH575" s="164">
        <v>7.7000000000000001E-5</v>
      </c>
      <c r="AI575" s="164">
        <v>1.1116798443171899E-2</v>
      </c>
      <c r="AJ575" s="164">
        <v>2.4274216167545402E-3</v>
      </c>
    </row>
    <row r="576" spans="1:36">
      <c r="A576" s="2">
        <v>337</v>
      </c>
      <c r="B576" s="2">
        <v>9964</v>
      </c>
      <c r="C576" s="2" t="s">
        <v>2305</v>
      </c>
      <c r="D576" s="2" t="s">
        <v>2306</v>
      </c>
      <c r="E576" s="4" t="s">
        <v>1303</v>
      </c>
      <c r="F576" s="2" t="s">
        <v>2307</v>
      </c>
      <c r="G576" s="2" t="s">
        <v>2308</v>
      </c>
      <c r="H576" s="2" t="s">
        <v>318</v>
      </c>
      <c r="I576" s="2" t="s">
        <v>965</v>
      </c>
      <c r="J576" s="2" t="s">
        <v>30</v>
      </c>
      <c r="K576" s="2" t="s">
        <v>30</v>
      </c>
      <c r="L576" s="2" t="s">
        <v>324</v>
      </c>
      <c r="M576" s="2" t="s">
        <v>31</v>
      </c>
      <c r="N576" s="2" t="s">
        <v>443</v>
      </c>
      <c r="O576" s="2" t="s">
        <v>134</v>
      </c>
      <c r="P576" s="2" t="s">
        <v>1814</v>
      </c>
      <c r="Q576" s="2" t="s">
        <v>412</v>
      </c>
      <c r="R576" s="2" t="s">
        <v>403</v>
      </c>
      <c r="S576" s="2" t="s">
        <v>34</v>
      </c>
      <c r="T576" s="151">
        <v>3.782</v>
      </c>
      <c r="U576" s="2" t="s">
        <v>102</v>
      </c>
      <c r="V576" s="162">
        <v>5.8200000000000002E-2</v>
      </c>
      <c r="W576" s="164">
        <v>5.3960000000000001E-2</v>
      </c>
      <c r="X576" s="4" t="s">
        <v>409</v>
      </c>
      <c r="Y576" s="4" t="s">
        <v>134</v>
      </c>
      <c r="Z576" s="151">
        <v>47000</v>
      </c>
      <c r="AA576" s="158">
        <v>1</v>
      </c>
      <c r="AB576" s="175">
        <v>105.12</v>
      </c>
      <c r="AD576" s="151">
        <v>49.405999999999999</v>
      </c>
      <c r="AG576" s="2" t="s">
        <v>36</v>
      </c>
      <c r="AH576" s="164">
        <v>2.6899999999999998E-4</v>
      </c>
      <c r="AI576" s="164">
        <v>6.1620386456500802E-3</v>
      </c>
      <c r="AJ576" s="164">
        <v>1.3455192057489501E-3</v>
      </c>
    </row>
    <row r="577" spans="1:36">
      <c r="A577" s="2">
        <v>337</v>
      </c>
      <c r="B577" s="2">
        <v>9964</v>
      </c>
      <c r="C577" s="2" t="s">
        <v>2309</v>
      </c>
      <c r="D577" s="2" t="s">
        <v>2310</v>
      </c>
      <c r="E577" s="4" t="s">
        <v>1303</v>
      </c>
      <c r="F577" s="2" t="s">
        <v>2311</v>
      </c>
      <c r="G577" s="2" t="s">
        <v>2312</v>
      </c>
      <c r="H577" s="2" t="s">
        <v>318</v>
      </c>
      <c r="I577" s="2" t="s">
        <v>965</v>
      </c>
      <c r="J577" s="2" t="s">
        <v>30</v>
      </c>
      <c r="K577" s="2" t="s">
        <v>30</v>
      </c>
      <c r="L577" s="2" t="s">
        <v>324</v>
      </c>
      <c r="M577" s="2" t="s">
        <v>41</v>
      </c>
      <c r="N577" s="2" t="s">
        <v>439</v>
      </c>
      <c r="O577" s="2" t="s">
        <v>134</v>
      </c>
      <c r="P577" s="2" t="s">
        <v>2313</v>
      </c>
      <c r="Q577" s="2" t="s">
        <v>412</v>
      </c>
      <c r="R577" s="2" t="s">
        <v>403</v>
      </c>
      <c r="S577" s="2" t="s">
        <v>34</v>
      </c>
      <c r="T577" s="151">
        <v>0.49199999999999999</v>
      </c>
      <c r="U577" s="2" t="s">
        <v>2314</v>
      </c>
      <c r="V577" s="162">
        <v>3.15E-2</v>
      </c>
      <c r="W577" s="164">
        <v>8.004E-2</v>
      </c>
      <c r="X577" s="4" t="s">
        <v>409</v>
      </c>
      <c r="Y577" s="4" t="s">
        <v>134</v>
      </c>
      <c r="Z577" s="151">
        <v>24500.54</v>
      </c>
      <c r="AA577" s="158">
        <v>1</v>
      </c>
      <c r="AB577" s="175">
        <v>98.54</v>
      </c>
      <c r="AD577" s="151">
        <v>24.143000000000001</v>
      </c>
      <c r="AG577" s="2" t="s">
        <v>36</v>
      </c>
      <c r="AH577" s="164">
        <v>2.8400000000000002E-4</v>
      </c>
      <c r="AI577" s="164">
        <v>3.011129418744E-3</v>
      </c>
      <c r="AJ577" s="164">
        <v>6.5749871055674198E-4</v>
      </c>
    </row>
    <row r="578" spans="1:36">
      <c r="A578" s="2">
        <v>337</v>
      </c>
      <c r="B578" s="2">
        <v>9964</v>
      </c>
      <c r="C578" s="2" t="s">
        <v>2318</v>
      </c>
      <c r="D578" s="2" t="s">
        <v>2319</v>
      </c>
      <c r="E578" s="4" t="s">
        <v>1303</v>
      </c>
      <c r="F578" s="2" t="s">
        <v>2320</v>
      </c>
      <c r="G578" s="2" t="s">
        <v>2321</v>
      </c>
      <c r="H578" s="2" t="s">
        <v>318</v>
      </c>
      <c r="I578" s="2" t="s">
        <v>965</v>
      </c>
      <c r="J578" s="2" t="s">
        <v>30</v>
      </c>
      <c r="K578" s="2" t="s">
        <v>30</v>
      </c>
      <c r="L578" s="2" t="s">
        <v>324</v>
      </c>
      <c r="M578" s="2" t="s">
        <v>41</v>
      </c>
      <c r="N578" s="2" t="s">
        <v>460</v>
      </c>
      <c r="O578" s="2" t="s">
        <v>134</v>
      </c>
      <c r="P578" s="2" t="s">
        <v>1909</v>
      </c>
      <c r="Q578" s="2" t="s">
        <v>412</v>
      </c>
      <c r="R578" s="2" t="s">
        <v>403</v>
      </c>
      <c r="S578" s="2" t="s">
        <v>34</v>
      </c>
      <c r="T578" s="151">
        <v>2.7869999999999999</v>
      </c>
      <c r="U578" s="2" t="s">
        <v>2322</v>
      </c>
      <c r="V578" s="162">
        <v>4.1000000000000002E-2</v>
      </c>
      <c r="W578" s="164">
        <v>5.6250000000000001E-2</v>
      </c>
      <c r="X578" s="4" t="s">
        <v>409</v>
      </c>
      <c r="Y578" s="4" t="s">
        <v>134</v>
      </c>
      <c r="Z578" s="151">
        <v>181190.47</v>
      </c>
      <c r="AA578" s="158">
        <v>1</v>
      </c>
      <c r="AB578" s="175">
        <v>97.74</v>
      </c>
      <c r="AD578" s="151">
        <v>177.096</v>
      </c>
      <c r="AG578" s="2" t="s">
        <v>36</v>
      </c>
      <c r="AH578" s="164">
        <v>3.97E-4</v>
      </c>
      <c r="AI578" s="164">
        <v>2.2087618564244401E-2</v>
      </c>
      <c r="AJ578" s="164">
        <v>4.8229679650625898E-3</v>
      </c>
    </row>
    <row r="579" spans="1:36">
      <c r="A579" s="2">
        <v>337</v>
      </c>
      <c r="B579" s="2">
        <v>9964</v>
      </c>
      <c r="C579" s="2" t="s">
        <v>2461</v>
      </c>
      <c r="D579" s="2" t="s">
        <v>2462</v>
      </c>
      <c r="E579" s="4" t="s">
        <v>1303</v>
      </c>
      <c r="F579" s="2" t="s">
        <v>2463</v>
      </c>
      <c r="G579" s="2" t="s">
        <v>2464</v>
      </c>
      <c r="H579" s="2" t="s">
        <v>318</v>
      </c>
      <c r="I579" s="2" t="s">
        <v>754</v>
      </c>
      <c r="J579" s="2" t="s">
        <v>30</v>
      </c>
      <c r="K579" s="2" t="s">
        <v>30</v>
      </c>
      <c r="L579" s="2" t="s">
        <v>324</v>
      </c>
      <c r="M579" s="2" t="s">
        <v>41</v>
      </c>
      <c r="N579" s="2" t="s">
        <v>450</v>
      </c>
      <c r="O579" s="2" t="s">
        <v>134</v>
      </c>
      <c r="P579" s="2" t="s">
        <v>2057</v>
      </c>
      <c r="Q579" s="2" t="s">
        <v>412</v>
      </c>
      <c r="R579" s="2" t="s">
        <v>403</v>
      </c>
      <c r="S579" s="2" t="s">
        <v>34</v>
      </c>
      <c r="T579" s="151">
        <v>2.6720000000000002</v>
      </c>
      <c r="U579" s="2" t="s">
        <v>2465</v>
      </c>
      <c r="V579" s="162">
        <v>4.6899999999999997E-2</v>
      </c>
      <c r="W579" s="164">
        <v>6.7659999999999998E-2</v>
      </c>
      <c r="X579" s="4" t="s">
        <v>409</v>
      </c>
      <c r="Y579" s="4" t="s">
        <v>134</v>
      </c>
      <c r="Z579" s="151">
        <v>56149.32</v>
      </c>
      <c r="AA579" s="158">
        <v>1</v>
      </c>
      <c r="AB579" s="175">
        <v>101</v>
      </c>
      <c r="AD579" s="151">
        <v>56.710999999999999</v>
      </c>
      <c r="AG579" s="2" t="s">
        <v>36</v>
      </c>
      <c r="AH579" s="164">
        <v>4.1999999999999998E-5</v>
      </c>
      <c r="AI579" s="164">
        <v>7.0730557693870098E-3</v>
      </c>
      <c r="AJ579" s="164">
        <v>1.54444542274364E-3</v>
      </c>
    </row>
    <row r="580" spans="1:36">
      <c r="A580" s="2">
        <v>337</v>
      </c>
      <c r="B580" s="2">
        <v>9964</v>
      </c>
      <c r="C580" s="2" t="s">
        <v>2327</v>
      </c>
      <c r="D580" s="2" t="s">
        <v>2328</v>
      </c>
      <c r="E580" s="4" t="s">
        <v>1303</v>
      </c>
      <c r="F580" s="2" t="s">
        <v>2329</v>
      </c>
      <c r="G580" s="2" t="s">
        <v>2330</v>
      </c>
      <c r="H580" s="2" t="s">
        <v>318</v>
      </c>
      <c r="I580" s="2" t="s">
        <v>753</v>
      </c>
      <c r="J580" s="2" t="s">
        <v>30</v>
      </c>
      <c r="K580" s="2" t="s">
        <v>30</v>
      </c>
      <c r="L580" s="2" t="s">
        <v>324</v>
      </c>
      <c r="M580" s="2" t="s">
        <v>41</v>
      </c>
      <c r="N580" s="2" t="s">
        <v>460</v>
      </c>
      <c r="O580" s="2" t="s">
        <v>134</v>
      </c>
      <c r="P580" s="2" t="s">
        <v>1842</v>
      </c>
      <c r="Q580" s="2" t="s">
        <v>406</v>
      </c>
      <c r="R580" s="2" t="s">
        <v>406</v>
      </c>
      <c r="S580" s="2" t="s">
        <v>34</v>
      </c>
      <c r="T580" s="151">
        <v>1.675</v>
      </c>
      <c r="U580" s="2" t="s">
        <v>2331</v>
      </c>
      <c r="V580" s="162">
        <v>3.5180000000000003E-2</v>
      </c>
      <c r="W580" s="164">
        <v>3.712E-2</v>
      </c>
      <c r="X580" s="4" t="s">
        <v>409</v>
      </c>
      <c r="Y580" s="4" t="s">
        <v>134</v>
      </c>
      <c r="Z580" s="151">
        <v>30000</v>
      </c>
      <c r="AA580" s="158">
        <v>1</v>
      </c>
      <c r="AB580" s="175">
        <v>108.75</v>
      </c>
      <c r="AD580" s="151">
        <v>32.625</v>
      </c>
      <c r="AG580" s="2" t="s">
        <v>36</v>
      </c>
      <c r="AH580" s="164">
        <v>4.3000000000000002E-5</v>
      </c>
      <c r="AI580" s="164">
        <v>4.0690378334453398E-3</v>
      </c>
      <c r="AJ580" s="164">
        <v>8.8849954838967303E-4</v>
      </c>
    </row>
    <row r="581" spans="1:36">
      <c r="A581" s="2">
        <v>337</v>
      </c>
      <c r="B581" s="2">
        <v>9964</v>
      </c>
      <c r="C581" s="2" t="s">
        <v>1474</v>
      </c>
      <c r="D581" s="2" t="s">
        <v>1475</v>
      </c>
      <c r="E581" s="4" t="s">
        <v>311</v>
      </c>
      <c r="F581" s="2" t="s">
        <v>2332</v>
      </c>
      <c r="G581" s="2" t="s">
        <v>2333</v>
      </c>
      <c r="H581" s="2" t="s">
        <v>318</v>
      </c>
      <c r="I581" s="2" t="s">
        <v>754</v>
      </c>
      <c r="J581" s="2" t="s">
        <v>79</v>
      </c>
      <c r="K581" s="2" t="s">
        <v>295</v>
      </c>
      <c r="L581" s="2" t="s">
        <v>324</v>
      </c>
      <c r="M581" s="2" t="s">
        <v>164</v>
      </c>
      <c r="N581" s="2" t="s">
        <v>450</v>
      </c>
      <c r="O581" s="2" t="s">
        <v>134</v>
      </c>
      <c r="P581" s="2" t="s">
        <v>1808</v>
      </c>
      <c r="Q581" s="2" t="s">
        <v>429</v>
      </c>
      <c r="R581" s="2" t="s">
        <v>403</v>
      </c>
      <c r="S581" s="2" t="s">
        <v>84</v>
      </c>
      <c r="T581" s="151">
        <v>2.81</v>
      </c>
      <c r="U581" s="2" t="s">
        <v>2334</v>
      </c>
      <c r="V581" s="162">
        <v>5.3749999999999999E-2</v>
      </c>
      <c r="W581" s="164">
        <v>7.1599999999999997E-2</v>
      </c>
      <c r="X581" s="4" t="s">
        <v>409</v>
      </c>
      <c r="Y581" s="4" t="s">
        <v>134</v>
      </c>
      <c r="Z581" s="151">
        <v>18263</v>
      </c>
      <c r="AA581" s="158">
        <v>3.718</v>
      </c>
      <c r="AB581" s="175">
        <v>95.662999999999997</v>
      </c>
      <c r="AD581" s="151">
        <v>64.956999999999994</v>
      </c>
      <c r="AG581" s="2" t="s">
        <v>36</v>
      </c>
      <c r="AH581" s="164">
        <v>2.9E-5</v>
      </c>
      <c r="AI581" s="164">
        <v>8.1015152600081002E-3</v>
      </c>
      <c r="AJ581" s="164">
        <v>1.76901590607586E-3</v>
      </c>
    </row>
    <row r="582" spans="1:36">
      <c r="A582" s="2">
        <v>337</v>
      </c>
      <c r="B582" s="2">
        <v>9964</v>
      </c>
      <c r="C582" s="2" t="s">
        <v>1474</v>
      </c>
      <c r="D582" s="2" t="s">
        <v>1475</v>
      </c>
      <c r="E582" s="4" t="s">
        <v>311</v>
      </c>
      <c r="F582" s="2" t="s">
        <v>2335</v>
      </c>
      <c r="G582" s="2" t="s">
        <v>2336</v>
      </c>
      <c r="H582" s="2" t="s">
        <v>318</v>
      </c>
      <c r="I582" s="2" t="s">
        <v>754</v>
      </c>
      <c r="J582" s="2" t="s">
        <v>79</v>
      </c>
      <c r="K582" s="2" t="s">
        <v>295</v>
      </c>
      <c r="L582" s="2" t="s">
        <v>324</v>
      </c>
      <c r="M582" s="2" t="s">
        <v>164</v>
      </c>
      <c r="N582" s="2" t="s">
        <v>450</v>
      </c>
      <c r="O582" s="2" t="s">
        <v>134</v>
      </c>
      <c r="P582" s="2" t="s">
        <v>1808</v>
      </c>
      <c r="Q582" s="2" t="s">
        <v>429</v>
      </c>
      <c r="R582" s="2" t="s">
        <v>403</v>
      </c>
      <c r="S582" s="2" t="s">
        <v>84</v>
      </c>
      <c r="T582" s="151">
        <v>5.0999999999999996</v>
      </c>
      <c r="U582" s="2" t="s">
        <v>2337</v>
      </c>
      <c r="V582" s="162">
        <v>5.8749999999999997E-2</v>
      </c>
      <c r="W582" s="164">
        <v>7.5800000000000006E-2</v>
      </c>
      <c r="X582" s="4" t="s">
        <v>409</v>
      </c>
      <c r="Y582" s="4" t="s">
        <v>134</v>
      </c>
      <c r="Z582" s="151">
        <v>9000</v>
      </c>
      <c r="AA582" s="158">
        <v>3.718</v>
      </c>
      <c r="AB582" s="175">
        <v>92.078999999999994</v>
      </c>
      <c r="AD582" s="151">
        <v>30.812000000000001</v>
      </c>
      <c r="AG582" s="2" t="s">
        <v>36</v>
      </c>
      <c r="AH582" s="164">
        <v>1.4E-5</v>
      </c>
      <c r="AI582" s="164">
        <v>3.8428648543235699E-3</v>
      </c>
      <c r="AJ582" s="164">
        <v>8.39113281160625E-4</v>
      </c>
    </row>
    <row r="583" spans="1:36">
      <c r="A583" s="2">
        <v>337</v>
      </c>
      <c r="B583" s="2">
        <v>9964</v>
      </c>
      <c r="C583" s="2" t="s">
        <v>1174</v>
      </c>
      <c r="D583" s="2" t="s">
        <v>1589</v>
      </c>
      <c r="E583" s="4" t="s">
        <v>1303</v>
      </c>
      <c r="F583" s="2" t="s">
        <v>2338</v>
      </c>
      <c r="G583" s="2" t="s">
        <v>2339</v>
      </c>
      <c r="H583" s="2" t="s">
        <v>318</v>
      </c>
      <c r="I583" s="2" t="s">
        <v>754</v>
      </c>
      <c r="J583" s="2" t="s">
        <v>79</v>
      </c>
      <c r="K583" s="2" t="s">
        <v>30</v>
      </c>
      <c r="L583" s="2" t="s">
        <v>324</v>
      </c>
      <c r="M583" s="2" t="s">
        <v>164</v>
      </c>
      <c r="N583" s="2" t="s">
        <v>533</v>
      </c>
      <c r="O583" s="2" t="s">
        <v>134</v>
      </c>
      <c r="P583" s="2" t="s">
        <v>2340</v>
      </c>
      <c r="Q583" s="2" t="s">
        <v>429</v>
      </c>
      <c r="R583" s="2" t="s">
        <v>403</v>
      </c>
      <c r="S583" s="2" t="s">
        <v>84</v>
      </c>
      <c r="T583" s="151">
        <v>5.09</v>
      </c>
      <c r="U583" s="2" t="s">
        <v>2341</v>
      </c>
      <c r="V583" s="162">
        <v>3.2750000000000001E-2</v>
      </c>
      <c r="W583" s="164">
        <v>5.7320000000000003E-2</v>
      </c>
      <c r="X583" s="4" t="s">
        <v>409</v>
      </c>
      <c r="Y583" s="4" t="s">
        <v>134</v>
      </c>
      <c r="Z583" s="151">
        <v>8000</v>
      </c>
      <c r="AA583" s="158">
        <v>3.718</v>
      </c>
      <c r="AB583" s="175">
        <v>98.22</v>
      </c>
      <c r="AD583" s="151">
        <v>29.215</v>
      </c>
      <c r="AG583" s="2" t="s">
        <v>36</v>
      </c>
      <c r="AH583" s="164">
        <v>1.1E-5</v>
      </c>
      <c r="AI583" s="164">
        <v>3.6436860670037998E-3</v>
      </c>
      <c r="AJ583" s="164">
        <v>7.9562136247463705E-4</v>
      </c>
    </row>
    <row r="584" spans="1:36">
      <c r="A584" s="2">
        <v>337</v>
      </c>
      <c r="B584" s="2">
        <v>9964</v>
      </c>
      <c r="C584" s="2" t="s">
        <v>1804</v>
      </c>
      <c r="D584" s="2" t="s">
        <v>1805</v>
      </c>
      <c r="E584" s="4" t="s">
        <v>1303</v>
      </c>
      <c r="F584" s="2" t="s">
        <v>2342</v>
      </c>
      <c r="G584" s="2" t="s">
        <v>2343</v>
      </c>
      <c r="H584" s="2" t="s">
        <v>318</v>
      </c>
      <c r="I584" s="2" t="s">
        <v>754</v>
      </c>
      <c r="J584" s="2" t="s">
        <v>79</v>
      </c>
      <c r="K584" s="2" t="s">
        <v>30</v>
      </c>
      <c r="L584" s="2" t="s">
        <v>324</v>
      </c>
      <c r="M584" s="2" t="s">
        <v>164</v>
      </c>
      <c r="N584" s="2" t="s">
        <v>483</v>
      </c>
      <c r="O584" s="2" t="s">
        <v>134</v>
      </c>
      <c r="P584" s="2" t="s">
        <v>1808</v>
      </c>
      <c r="Q584" s="2" t="s">
        <v>429</v>
      </c>
      <c r="R584" s="2" t="s">
        <v>403</v>
      </c>
      <c r="S584" s="2" t="s">
        <v>84</v>
      </c>
      <c r="T584" s="151">
        <v>2.085</v>
      </c>
      <c r="U584" s="2" t="s">
        <v>1910</v>
      </c>
      <c r="V584" s="162">
        <v>6.5000000000000002E-2</v>
      </c>
      <c r="W584" s="164">
        <v>7.2739999999999999E-2</v>
      </c>
      <c r="X584" s="4" t="s">
        <v>409</v>
      </c>
      <c r="Y584" s="4" t="s">
        <v>134</v>
      </c>
      <c r="Z584" s="151">
        <v>5000</v>
      </c>
      <c r="AA584" s="158">
        <v>3.718</v>
      </c>
      <c r="AB584" s="175">
        <v>100.452</v>
      </c>
      <c r="AD584" s="151">
        <v>18.673999999999999</v>
      </c>
      <c r="AG584" s="2" t="s">
        <v>36</v>
      </c>
      <c r="AH584" s="164">
        <v>7.9999999999999996E-6</v>
      </c>
      <c r="AI584" s="164">
        <v>2.3290543201650699E-3</v>
      </c>
      <c r="AJ584" s="164">
        <v>5.0856339909956401E-4</v>
      </c>
    </row>
    <row r="585" spans="1:36">
      <c r="A585" s="2">
        <v>337</v>
      </c>
      <c r="B585" s="2">
        <v>9964</v>
      </c>
      <c r="C585" s="2" t="s">
        <v>1596</v>
      </c>
      <c r="D585" s="2" t="s">
        <v>1597</v>
      </c>
      <c r="E585" s="4" t="s">
        <v>1303</v>
      </c>
      <c r="F585" s="2" t="s">
        <v>2344</v>
      </c>
      <c r="G585" s="2" t="s">
        <v>2345</v>
      </c>
      <c r="H585" s="2" t="s">
        <v>318</v>
      </c>
      <c r="I585" s="2" t="s">
        <v>754</v>
      </c>
      <c r="J585" s="2" t="s">
        <v>79</v>
      </c>
      <c r="K585" s="2" t="s">
        <v>30</v>
      </c>
      <c r="L585" s="2" t="s">
        <v>324</v>
      </c>
      <c r="M585" s="2" t="s">
        <v>164</v>
      </c>
      <c r="N585" s="2" t="s">
        <v>533</v>
      </c>
      <c r="O585" s="2" t="s">
        <v>134</v>
      </c>
      <c r="P585" s="2" t="s">
        <v>2340</v>
      </c>
      <c r="Q585" s="2" t="s">
        <v>429</v>
      </c>
      <c r="R585" s="2" t="s">
        <v>403</v>
      </c>
      <c r="S585" s="2" t="s">
        <v>84</v>
      </c>
      <c r="T585" s="151">
        <v>5.1630000000000003</v>
      </c>
      <c r="U585" s="2" t="s">
        <v>2346</v>
      </c>
      <c r="V585" s="162">
        <v>3.0769999999999999E-2</v>
      </c>
      <c r="W585" s="164">
        <v>6.2829999999999997E-2</v>
      </c>
      <c r="X585" s="4" t="s">
        <v>409</v>
      </c>
      <c r="Y585" s="4" t="s">
        <v>134</v>
      </c>
      <c r="Z585" s="151">
        <v>8000</v>
      </c>
      <c r="AA585" s="158">
        <v>3.718</v>
      </c>
      <c r="AB585" s="175">
        <v>98.525999999999996</v>
      </c>
      <c r="AD585" s="151">
        <v>29.305</v>
      </c>
      <c r="AG585" s="2" t="s">
        <v>36</v>
      </c>
      <c r="AH585" s="164">
        <v>1.2999999999999999E-5</v>
      </c>
      <c r="AI585" s="164">
        <v>3.6550229569283299E-3</v>
      </c>
      <c r="AJ585" s="164">
        <v>7.9809684242601402E-4</v>
      </c>
    </row>
    <row r="586" spans="1:36">
      <c r="A586" s="2">
        <v>337</v>
      </c>
      <c r="B586" s="2">
        <v>9964</v>
      </c>
      <c r="C586" s="2" t="s">
        <v>1569</v>
      </c>
      <c r="D586" s="2" t="s">
        <v>1570</v>
      </c>
      <c r="E586" s="4" t="s">
        <v>1303</v>
      </c>
      <c r="F586" s="2" t="s">
        <v>2347</v>
      </c>
      <c r="G586" s="2" t="s">
        <v>2348</v>
      </c>
      <c r="H586" s="2" t="s">
        <v>318</v>
      </c>
      <c r="I586" s="2" t="s">
        <v>754</v>
      </c>
      <c r="J586" s="2" t="s">
        <v>79</v>
      </c>
      <c r="K586" s="2" t="s">
        <v>80</v>
      </c>
      <c r="L586" s="2" t="s">
        <v>324</v>
      </c>
      <c r="M586" s="2" t="s">
        <v>164</v>
      </c>
      <c r="N586" s="2" t="s">
        <v>463</v>
      </c>
      <c r="O586" s="2" t="s">
        <v>134</v>
      </c>
      <c r="P586" s="2" t="s">
        <v>1808</v>
      </c>
      <c r="Q586" s="2" t="s">
        <v>429</v>
      </c>
      <c r="R586" s="2" t="s">
        <v>403</v>
      </c>
      <c r="S586" s="2" t="s">
        <v>1177</v>
      </c>
      <c r="T586" s="151">
        <v>4.3479999999999999</v>
      </c>
      <c r="U586" s="2" t="s">
        <v>2349</v>
      </c>
      <c r="V586" s="162">
        <v>4.3749999999999997E-2</v>
      </c>
      <c r="W586" s="164">
        <v>4.4729999999999999E-2</v>
      </c>
      <c r="X586" s="4" t="s">
        <v>409</v>
      </c>
      <c r="Y586" s="4" t="s">
        <v>134</v>
      </c>
      <c r="Z586" s="151">
        <v>35000</v>
      </c>
      <c r="AA586" s="158">
        <v>4.0218999999999996</v>
      </c>
      <c r="AB586" s="175">
        <v>101.59099999999999</v>
      </c>
      <c r="AD586" s="151">
        <v>143.006</v>
      </c>
      <c r="AG586" s="2" t="s">
        <v>36</v>
      </c>
      <c r="AH586" s="164">
        <v>2.3E-5</v>
      </c>
      <c r="AI586" s="164">
        <v>1.7835894726770399E-2</v>
      </c>
      <c r="AJ586" s="164">
        <v>3.8945777991066599E-3</v>
      </c>
    </row>
    <row r="587" spans="1:36">
      <c r="A587" s="2">
        <v>337</v>
      </c>
      <c r="B587" s="2">
        <v>9964</v>
      </c>
      <c r="C587" s="2" t="s">
        <v>1569</v>
      </c>
      <c r="D587" s="2" t="s">
        <v>1570</v>
      </c>
      <c r="E587" s="4" t="s">
        <v>1303</v>
      </c>
      <c r="F587" s="2" t="s">
        <v>2350</v>
      </c>
      <c r="G587" s="2" t="s">
        <v>2351</v>
      </c>
      <c r="H587" s="2" t="s">
        <v>318</v>
      </c>
      <c r="I587" s="2" t="s">
        <v>754</v>
      </c>
      <c r="J587" s="2" t="s">
        <v>79</v>
      </c>
      <c r="K587" s="2" t="s">
        <v>80</v>
      </c>
      <c r="L587" s="2" t="s">
        <v>324</v>
      </c>
      <c r="M587" s="2" t="s">
        <v>164</v>
      </c>
      <c r="N587" s="2" t="s">
        <v>463</v>
      </c>
      <c r="O587" s="2" t="s">
        <v>134</v>
      </c>
      <c r="P587" s="2" t="s">
        <v>1808</v>
      </c>
      <c r="Q587" s="2" t="s">
        <v>429</v>
      </c>
      <c r="R587" s="2" t="s">
        <v>403</v>
      </c>
      <c r="S587" s="2" t="s">
        <v>84</v>
      </c>
      <c r="T587" s="151">
        <v>3.6709999999999998</v>
      </c>
      <c r="U587" s="2" t="s">
        <v>2352</v>
      </c>
      <c r="V587" s="162">
        <v>5.1249999999999997E-2</v>
      </c>
      <c r="W587" s="164">
        <v>5.6770000000000001E-2</v>
      </c>
      <c r="X587" s="4" t="s">
        <v>409</v>
      </c>
      <c r="Y587" s="4" t="s">
        <v>134</v>
      </c>
      <c r="Z587" s="151">
        <v>31000</v>
      </c>
      <c r="AA587" s="158">
        <v>3.718</v>
      </c>
      <c r="AB587" s="175">
        <v>102.021</v>
      </c>
      <c r="AD587" s="151">
        <v>117.587</v>
      </c>
      <c r="AG587" s="2" t="s">
        <v>36</v>
      </c>
      <c r="AH587" s="164">
        <v>3.1000000000000001E-5</v>
      </c>
      <c r="AI587" s="164">
        <v>1.46656385063796E-2</v>
      </c>
      <c r="AJ587" s="164">
        <v>3.2023327683663701E-3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  <dataValidation type="list" allowBlank="1" showInputMessage="1" showErrorMessage="1" sqref="M129 M223 M264 M299 M367 M394 M425 M499 M535 M568" xr:uid="{80200F73-FF18-47F1-A68B-999DF6C6C3AA}">
      <formula1>INDIRECT(SUBSTITUTE(J129," ",""))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332"/>
  <sheetViews>
    <sheetView rightToLeft="1" zoomScale="70" zoomScaleNormal="70" workbookViewId="0">
      <selection activeCell="U335" sqref="U335"/>
    </sheetView>
  </sheetViews>
  <sheetFormatPr defaultColWidth="9" defaultRowHeight="14.25"/>
  <cols>
    <col min="1" max="2" width="11.625" style="4" customWidth="1"/>
    <col min="3" max="3" width="26.75" style="4" customWidth="1"/>
    <col min="4" max="6" width="11.625" style="4" customWidth="1"/>
    <col min="7" max="7" width="18" style="4" customWidth="1"/>
    <col min="8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8</v>
      </c>
      <c r="N1" s="19" t="s">
        <v>144</v>
      </c>
      <c r="O1" s="19" t="s">
        <v>120</v>
      </c>
      <c r="P1" s="19" t="s">
        <v>11</v>
      </c>
      <c r="Q1" s="19" t="s">
        <v>17</v>
      </c>
      <c r="R1" s="157" t="s">
        <v>18</v>
      </c>
      <c r="S1" s="168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>
        <v>337</v>
      </c>
      <c r="B2" s="18">
        <v>1477</v>
      </c>
      <c r="C2" s="18" t="s">
        <v>1430</v>
      </c>
      <c r="D2" s="18" t="s">
        <v>1431</v>
      </c>
      <c r="E2" s="18" t="s">
        <v>1303</v>
      </c>
      <c r="F2" s="18" t="s">
        <v>1432</v>
      </c>
      <c r="G2" s="18" t="s">
        <v>1433</v>
      </c>
      <c r="H2" s="18" t="s">
        <v>318</v>
      </c>
      <c r="I2" s="18" t="s">
        <v>930</v>
      </c>
      <c r="J2" s="18" t="s">
        <v>30</v>
      </c>
      <c r="K2" s="18" t="s">
        <v>30</v>
      </c>
      <c r="L2" s="20" t="s">
        <v>324</v>
      </c>
      <c r="M2" s="18" t="s">
        <v>41</v>
      </c>
      <c r="N2" s="20" t="s">
        <v>436</v>
      </c>
      <c r="O2" s="20" t="s">
        <v>134</v>
      </c>
      <c r="P2" s="18" t="s">
        <v>34</v>
      </c>
      <c r="Q2" s="154">
        <v>933</v>
      </c>
      <c r="R2" s="176">
        <v>1</v>
      </c>
      <c r="S2" s="177">
        <v>3240</v>
      </c>
      <c r="T2" s="20"/>
      <c r="U2" s="154">
        <v>30.228999999999999</v>
      </c>
      <c r="V2" s="178">
        <v>3.9999999999999998E-6</v>
      </c>
      <c r="W2" s="178">
        <v>6.2425201312867702E-3</v>
      </c>
      <c r="X2" s="178">
        <v>1.9105398919237199E-3</v>
      </c>
    </row>
    <row r="3" spans="1:24">
      <c r="A3" s="18">
        <v>337</v>
      </c>
      <c r="B3" s="18">
        <v>1477</v>
      </c>
      <c r="C3" s="18" t="s">
        <v>1434</v>
      </c>
      <c r="D3" s="18" t="s">
        <v>1435</v>
      </c>
      <c r="E3" s="18" t="s">
        <v>311</v>
      </c>
      <c r="F3" s="18" t="s">
        <v>1436</v>
      </c>
      <c r="G3" s="18" t="s">
        <v>1437</v>
      </c>
      <c r="H3" s="18" t="s">
        <v>318</v>
      </c>
      <c r="I3" s="18" t="s">
        <v>930</v>
      </c>
      <c r="J3" s="18" t="s">
        <v>30</v>
      </c>
      <c r="K3" s="18" t="s">
        <v>80</v>
      </c>
      <c r="L3" s="20" t="s">
        <v>324</v>
      </c>
      <c r="M3" s="18" t="s">
        <v>41</v>
      </c>
      <c r="N3" s="20" t="s">
        <v>437</v>
      </c>
      <c r="O3" s="20" t="s">
        <v>134</v>
      </c>
      <c r="P3" s="18" t="s">
        <v>34</v>
      </c>
      <c r="Q3" s="154">
        <v>425</v>
      </c>
      <c r="R3" s="176">
        <v>1</v>
      </c>
      <c r="S3" s="177">
        <v>26100</v>
      </c>
      <c r="T3" s="20"/>
      <c r="U3" s="154">
        <v>110.925</v>
      </c>
      <c r="V3" s="178">
        <v>7.9999999999999996E-6</v>
      </c>
      <c r="W3" s="178">
        <v>2.29067109140495E-2</v>
      </c>
      <c r="X3" s="178">
        <v>7.0106598094438104E-3</v>
      </c>
    </row>
    <row r="4" spans="1:24">
      <c r="A4" s="18">
        <v>337</v>
      </c>
      <c r="B4" s="18">
        <v>1477</v>
      </c>
      <c r="C4" s="18" t="s">
        <v>1438</v>
      </c>
      <c r="D4" s="18" t="s">
        <v>1439</v>
      </c>
      <c r="E4" s="18" t="s">
        <v>1303</v>
      </c>
      <c r="F4" s="18" t="s">
        <v>1440</v>
      </c>
      <c r="G4" s="18" t="s">
        <v>1441</v>
      </c>
      <c r="H4" s="18" t="s">
        <v>318</v>
      </c>
      <c r="I4" s="18" t="s">
        <v>930</v>
      </c>
      <c r="J4" s="18" t="s">
        <v>30</v>
      </c>
      <c r="K4" s="18" t="s">
        <v>30</v>
      </c>
      <c r="L4" s="20" t="s">
        <v>324</v>
      </c>
      <c r="M4" s="18" t="s">
        <v>41</v>
      </c>
      <c r="N4" s="20" t="s">
        <v>443</v>
      </c>
      <c r="O4" s="20" t="s">
        <v>134</v>
      </c>
      <c r="P4" s="18" t="s">
        <v>34</v>
      </c>
      <c r="Q4" s="154">
        <v>366</v>
      </c>
      <c r="R4" s="176">
        <v>1</v>
      </c>
      <c r="S4" s="177">
        <v>1588</v>
      </c>
      <c r="T4" s="153">
        <v>6.9000000000000006E-2</v>
      </c>
      <c r="U4" s="154">
        <v>5.8810000000000002</v>
      </c>
      <c r="V4" s="178">
        <v>1.9999999999999999E-6</v>
      </c>
      <c r="W4" s="178">
        <v>1.2145502610242001E-3</v>
      </c>
      <c r="X4" s="178">
        <v>3.7171633821464099E-4</v>
      </c>
    </row>
    <row r="5" spans="1:24">
      <c r="A5" s="18">
        <v>337</v>
      </c>
      <c r="B5" s="18">
        <v>1477</v>
      </c>
      <c r="C5" s="18" t="s">
        <v>1442</v>
      </c>
      <c r="D5" s="18" t="s">
        <v>1443</v>
      </c>
      <c r="E5" s="18" t="s">
        <v>1303</v>
      </c>
      <c r="F5" s="18" t="s">
        <v>1444</v>
      </c>
      <c r="G5" s="18" t="s">
        <v>1445</v>
      </c>
      <c r="H5" s="18" t="s">
        <v>318</v>
      </c>
      <c r="I5" s="18" t="s">
        <v>930</v>
      </c>
      <c r="J5" s="18" t="s">
        <v>30</v>
      </c>
      <c r="K5" s="18" t="s">
        <v>30</v>
      </c>
      <c r="L5" s="20" t="s">
        <v>324</v>
      </c>
      <c r="M5" s="18" t="s">
        <v>41</v>
      </c>
      <c r="N5" s="20" t="s">
        <v>452</v>
      </c>
      <c r="O5" s="20" t="s">
        <v>134</v>
      </c>
      <c r="P5" s="18" t="s">
        <v>34</v>
      </c>
      <c r="Q5" s="154">
        <v>6841</v>
      </c>
      <c r="R5" s="176">
        <v>1</v>
      </c>
      <c r="S5" s="177">
        <v>2089</v>
      </c>
      <c r="T5" s="20"/>
      <c r="U5" s="154">
        <v>142.90799999999999</v>
      </c>
      <c r="V5" s="178">
        <v>5.0000000000000004E-6</v>
      </c>
      <c r="W5" s="178">
        <v>2.95115029758245E-2</v>
      </c>
      <c r="X5" s="178">
        <v>9.0320739893739298E-3</v>
      </c>
    </row>
    <row r="6" spans="1:24">
      <c r="A6" s="18">
        <v>337</v>
      </c>
      <c r="B6" s="18">
        <v>1477</v>
      </c>
      <c r="C6" s="18" t="s">
        <v>1446</v>
      </c>
      <c r="D6" s="18" t="s">
        <v>1447</v>
      </c>
      <c r="E6" s="18" t="s">
        <v>1303</v>
      </c>
      <c r="F6" s="18" t="s">
        <v>1448</v>
      </c>
      <c r="G6" s="18" t="s">
        <v>1449</v>
      </c>
      <c r="H6" s="18" t="s">
        <v>318</v>
      </c>
      <c r="I6" s="18" t="s">
        <v>930</v>
      </c>
      <c r="J6" s="18" t="s">
        <v>30</v>
      </c>
      <c r="K6" s="18" t="s">
        <v>30</v>
      </c>
      <c r="L6" s="20" t="s">
        <v>324</v>
      </c>
      <c r="M6" s="18" t="s">
        <v>41</v>
      </c>
      <c r="N6" s="20" t="s">
        <v>459</v>
      </c>
      <c r="O6" s="20" t="s">
        <v>134</v>
      </c>
      <c r="P6" s="18" t="s">
        <v>34</v>
      </c>
      <c r="Q6" s="154">
        <v>1000</v>
      </c>
      <c r="R6" s="176">
        <v>1</v>
      </c>
      <c r="S6" s="177">
        <v>1524</v>
      </c>
      <c r="T6" s="20"/>
      <c r="U6" s="154">
        <v>15.24</v>
      </c>
      <c r="V6" s="178">
        <v>6.9999999999999999E-6</v>
      </c>
      <c r="W6" s="178">
        <v>3.14715595519598E-3</v>
      </c>
      <c r="X6" s="178">
        <v>9.6319545184515398E-4</v>
      </c>
    </row>
    <row r="7" spans="1:24">
      <c r="A7" s="18">
        <v>337</v>
      </c>
      <c r="B7" s="18">
        <v>1477</v>
      </c>
      <c r="C7" s="18" t="s">
        <v>1450</v>
      </c>
      <c r="D7" s="18" t="s">
        <v>1451</v>
      </c>
      <c r="E7" s="18" t="s">
        <v>1303</v>
      </c>
      <c r="F7" s="18" t="s">
        <v>1452</v>
      </c>
      <c r="G7" s="18" t="s">
        <v>1453</v>
      </c>
      <c r="H7" s="18" t="s">
        <v>318</v>
      </c>
      <c r="I7" s="18" t="s">
        <v>930</v>
      </c>
      <c r="J7" s="18" t="s">
        <v>30</v>
      </c>
      <c r="K7" s="18" t="s">
        <v>30</v>
      </c>
      <c r="L7" s="20" t="s">
        <v>324</v>
      </c>
      <c r="M7" s="18" t="s">
        <v>41</v>
      </c>
      <c r="N7" s="20" t="s">
        <v>457</v>
      </c>
      <c r="O7" s="20" t="s">
        <v>134</v>
      </c>
      <c r="P7" s="18" t="s">
        <v>34</v>
      </c>
      <c r="Q7" s="154">
        <v>113</v>
      </c>
      <c r="R7" s="176">
        <v>1</v>
      </c>
      <c r="S7" s="177">
        <v>8691</v>
      </c>
      <c r="T7" s="20"/>
      <c r="U7" s="154">
        <v>9.8209999999999997</v>
      </c>
      <c r="V7" s="178">
        <v>6.0000000000000002E-6</v>
      </c>
      <c r="W7" s="178">
        <v>2.02806322962384E-3</v>
      </c>
      <c r="X7" s="178">
        <v>6.2069414628244403E-4</v>
      </c>
    </row>
    <row r="8" spans="1:24">
      <c r="A8" s="18">
        <v>337</v>
      </c>
      <c r="B8" s="18">
        <v>1477</v>
      </c>
      <c r="C8" s="18" t="s">
        <v>1454</v>
      </c>
      <c r="D8" s="18" t="s">
        <v>1455</v>
      </c>
      <c r="E8" s="18" t="s">
        <v>1303</v>
      </c>
      <c r="F8" s="18" t="s">
        <v>1456</v>
      </c>
      <c r="G8" s="18" t="s">
        <v>1457</v>
      </c>
      <c r="H8" s="18" t="s">
        <v>318</v>
      </c>
      <c r="I8" s="18" t="s">
        <v>930</v>
      </c>
      <c r="J8" s="18" t="s">
        <v>30</v>
      </c>
      <c r="K8" s="18" t="s">
        <v>30</v>
      </c>
      <c r="L8" s="20" t="s">
        <v>324</v>
      </c>
      <c r="M8" s="18" t="s">
        <v>41</v>
      </c>
      <c r="N8" s="20" t="s">
        <v>442</v>
      </c>
      <c r="O8" s="20" t="s">
        <v>134</v>
      </c>
      <c r="P8" s="18" t="s">
        <v>34</v>
      </c>
      <c r="Q8" s="154">
        <v>194</v>
      </c>
      <c r="R8" s="176">
        <v>1</v>
      </c>
      <c r="S8" s="177">
        <v>142500</v>
      </c>
      <c r="T8" s="20"/>
      <c r="U8" s="154">
        <v>276.45</v>
      </c>
      <c r="V8" s="178">
        <v>3.9999999999999998E-6</v>
      </c>
      <c r="W8" s="178">
        <v>5.7088665604588501E-2</v>
      </c>
      <c r="X8" s="178">
        <v>1.7472137969986399E-2</v>
      </c>
    </row>
    <row r="9" spans="1:24">
      <c r="A9" s="18">
        <v>337</v>
      </c>
      <c r="B9" s="18">
        <v>1477</v>
      </c>
      <c r="C9" s="18" t="s">
        <v>1458</v>
      </c>
      <c r="D9" s="18" t="s">
        <v>1459</v>
      </c>
      <c r="E9" s="18" t="s">
        <v>1303</v>
      </c>
      <c r="F9" s="18" t="s">
        <v>1460</v>
      </c>
      <c r="G9" s="18" t="s">
        <v>1461</v>
      </c>
      <c r="H9" s="18" t="s">
        <v>318</v>
      </c>
      <c r="I9" s="18" t="s">
        <v>930</v>
      </c>
      <c r="J9" s="18" t="s">
        <v>30</v>
      </c>
      <c r="K9" s="18" t="s">
        <v>30</v>
      </c>
      <c r="L9" s="20" t="s">
        <v>324</v>
      </c>
      <c r="M9" s="18" t="s">
        <v>41</v>
      </c>
      <c r="N9" s="20" t="s">
        <v>460</v>
      </c>
      <c r="O9" s="20" t="s">
        <v>134</v>
      </c>
      <c r="P9" s="18" t="s">
        <v>34</v>
      </c>
      <c r="Q9" s="154">
        <v>1419</v>
      </c>
      <c r="R9" s="176">
        <v>1</v>
      </c>
      <c r="S9" s="177">
        <v>2900</v>
      </c>
      <c r="T9" s="153">
        <v>0.34100000000000003</v>
      </c>
      <c r="U9" s="154">
        <v>41.491999999999997</v>
      </c>
      <c r="V9" s="178">
        <v>6.9999999999999999E-6</v>
      </c>
      <c r="W9" s="178">
        <v>8.5682683821765998E-3</v>
      </c>
      <c r="X9" s="178">
        <v>2.6223413308372901E-3</v>
      </c>
    </row>
    <row r="10" spans="1:24">
      <c r="A10" s="18">
        <v>337</v>
      </c>
      <c r="B10" s="18">
        <v>1477</v>
      </c>
      <c r="C10" s="18" t="s">
        <v>1462</v>
      </c>
      <c r="D10" s="18" t="s">
        <v>1463</v>
      </c>
      <c r="E10" s="18" t="s">
        <v>1303</v>
      </c>
      <c r="F10" s="18" t="s">
        <v>1464</v>
      </c>
      <c r="G10" s="18" t="s">
        <v>1465</v>
      </c>
      <c r="H10" s="18" t="s">
        <v>318</v>
      </c>
      <c r="I10" s="18" t="s">
        <v>930</v>
      </c>
      <c r="J10" s="18" t="s">
        <v>30</v>
      </c>
      <c r="K10" s="18" t="s">
        <v>30</v>
      </c>
      <c r="L10" s="20" t="s">
        <v>324</v>
      </c>
      <c r="M10" s="18" t="s">
        <v>41</v>
      </c>
      <c r="N10" s="20" t="s">
        <v>461</v>
      </c>
      <c r="O10" s="20" t="s">
        <v>134</v>
      </c>
      <c r="P10" s="18" t="s">
        <v>34</v>
      </c>
      <c r="Q10" s="154">
        <v>830</v>
      </c>
      <c r="R10" s="176">
        <v>1</v>
      </c>
      <c r="S10" s="177">
        <v>4241</v>
      </c>
      <c r="T10" s="20"/>
      <c r="U10" s="154">
        <v>35.200000000000003</v>
      </c>
      <c r="V10" s="178">
        <v>1.2999999999999999E-5</v>
      </c>
      <c r="W10" s="178">
        <v>7.2690835806880003E-3</v>
      </c>
      <c r="X10" s="178">
        <v>2.2247223663769702E-3</v>
      </c>
    </row>
    <row r="11" spans="1:24">
      <c r="A11" s="18">
        <v>337</v>
      </c>
      <c r="B11" s="18">
        <v>1477</v>
      </c>
      <c r="C11" s="18" t="s">
        <v>1466</v>
      </c>
      <c r="D11" s="18" t="s">
        <v>1467</v>
      </c>
      <c r="E11" s="18" t="s">
        <v>1303</v>
      </c>
      <c r="F11" s="18" t="s">
        <v>1468</v>
      </c>
      <c r="G11" s="18" t="s">
        <v>1469</v>
      </c>
      <c r="H11" s="18" t="s">
        <v>318</v>
      </c>
      <c r="I11" s="18" t="s">
        <v>930</v>
      </c>
      <c r="J11" s="18" t="s">
        <v>30</v>
      </c>
      <c r="K11" s="18" t="s">
        <v>30</v>
      </c>
      <c r="L11" s="20" t="s">
        <v>324</v>
      </c>
      <c r="M11" s="18" t="s">
        <v>41</v>
      </c>
      <c r="N11" s="20" t="s">
        <v>460</v>
      </c>
      <c r="O11" s="20" t="s">
        <v>134</v>
      </c>
      <c r="P11" s="18" t="s">
        <v>34</v>
      </c>
      <c r="Q11" s="154">
        <v>1801</v>
      </c>
      <c r="R11" s="176">
        <v>1</v>
      </c>
      <c r="S11" s="177">
        <v>1796</v>
      </c>
      <c r="T11" s="20"/>
      <c r="U11" s="154">
        <v>32.345999999999997</v>
      </c>
      <c r="V11" s="178">
        <v>3.9999999999999998E-6</v>
      </c>
      <c r="W11" s="178">
        <v>6.6796443989849703E-3</v>
      </c>
      <c r="X11" s="178">
        <v>2.0443229368481198E-3</v>
      </c>
    </row>
    <row r="12" spans="1:24">
      <c r="A12" s="18">
        <v>337</v>
      </c>
      <c r="B12" s="18">
        <v>1477</v>
      </c>
      <c r="C12" s="18" t="s">
        <v>1470</v>
      </c>
      <c r="D12" s="18" t="s">
        <v>1471</v>
      </c>
      <c r="E12" s="18" t="s">
        <v>1303</v>
      </c>
      <c r="F12" s="18" t="s">
        <v>1472</v>
      </c>
      <c r="G12" s="18" t="s">
        <v>1473</v>
      </c>
      <c r="H12" s="18" t="s">
        <v>318</v>
      </c>
      <c r="I12" s="18" t="s">
        <v>930</v>
      </c>
      <c r="J12" s="18" t="s">
        <v>30</v>
      </c>
      <c r="K12" s="18" t="s">
        <v>80</v>
      </c>
      <c r="L12" s="20" t="s">
        <v>324</v>
      </c>
      <c r="M12" s="18" t="s">
        <v>41</v>
      </c>
      <c r="N12" s="20" t="s">
        <v>437</v>
      </c>
      <c r="O12" s="20" t="s">
        <v>134</v>
      </c>
      <c r="P12" s="18" t="s">
        <v>34</v>
      </c>
      <c r="Q12" s="154">
        <v>754.3</v>
      </c>
      <c r="R12" s="176">
        <v>1</v>
      </c>
      <c r="S12" s="177">
        <v>5941</v>
      </c>
      <c r="T12" s="20"/>
      <c r="U12" s="154">
        <v>44.813000000000002</v>
      </c>
      <c r="V12" s="178">
        <v>6.0000000000000002E-6</v>
      </c>
      <c r="W12" s="178">
        <v>9.2541590141356402E-3</v>
      </c>
      <c r="X12" s="178">
        <v>2.83225998328774E-3</v>
      </c>
    </row>
    <row r="13" spans="1:24">
      <c r="A13" s="18">
        <v>337</v>
      </c>
      <c r="B13" s="18">
        <v>1477</v>
      </c>
      <c r="C13" s="18" t="s">
        <v>1474</v>
      </c>
      <c r="D13" s="18" t="s">
        <v>1475</v>
      </c>
      <c r="E13" s="18" t="s">
        <v>311</v>
      </c>
      <c r="F13" s="18" t="s">
        <v>1476</v>
      </c>
      <c r="G13" s="18" t="s">
        <v>1477</v>
      </c>
      <c r="H13" s="18" t="s">
        <v>318</v>
      </c>
      <c r="I13" s="18" t="s">
        <v>930</v>
      </c>
      <c r="J13" s="18" t="s">
        <v>30</v>
      </c>
      <c r="K13" s="18" t="s">
        <v>232</v>
      </c>
      <c r="L13" s="20" t="s">
        <v>324</v>
      </c>
      <c r="M13" s="18" t="s">
        <v>41</v>
      </c>
      <c r="N13" s="20" t="s">
        <v>450</v>
      </c>
      <c r="O13" s="20" t="s">
        <v>134</v>
      </c>
      <c r="P13" s="18" t="s">
        <v>34</v>
      </c>
      <c r="Q13" s="154">
        <v>2500</v>
      </c>
      <c r="R13" s="176">
        <v>1</v>
      </c>
      <c r="S13" s="177">
        <v>4205</v>
      </c>
      <c r="T13" s="153">
        <v>2.7879999999999998</v>
      </c>
      <c r="U13" s="154">
        <v>107.913</v>
      </c>
      <c r="V13" s="178">
        <v>1.4E-5</v>
      </c>
      <c r="W13" s="178">
        <v>2.22848172028242E-2</v>
      </c>
      <c r="X13" s="178">
        <v>6.8203275848223097E-3</v>
      </c>
    </row>
    <row r="14" spans="1:24">
      <c r="A14" s="18">
        <v>337</v>
      </c>
      <c r="B14" s="18">
        <v>1477</v>
      </c>
      <c r="C14" s="18" t="s">
        <v>1478</v>
      </c>
      <c r="D14" s="18" t="s">
        <v>1479</v>
      </c>
      <c r="E14" s="18" t="s">
        <v>1303</v>
      </c>
      <c r="F14" s="18" t="s">
        <v>1480</v>
      </c>
      <c r="G14" s="18" t="s">
        <v>1481</v>
      </c>
      <c r="H14" s="18" t="s">
        <v>318</v>
      </c>
      <c r="I14" s="18" t="s">
        <v>930</v>
      </c>
      <c r="J14" s="18" t="s">
        <v>30</v>
      </c>
      <c r="K14" s="18" t="s">
        <v>30</v>
      </c>
      <c r="L14" s="20" t="s">
        <v>324</v>
      </c>
      <c r="M14" s="18" t="s">
        <v>41</v>
      </c>
      <c r="N14" s="20" t="s">
        <v>437</v>
      </c>
      <c r="O14" s="20" t="s">
        <v>134</v>
      </c>
      <c r="P14" s="18" t="s">
        <v>34</v>
      </c>
      <c r="Q14" s="154">
        <v>1846</v>
      </c>
      <c r="R14" s="176">
        <v>1</v>
      </c>
      <c r="S14" s="177">
        <v>1013</v>
      </c>
      <c r="T14" s="153">
        <v>0.185</v>
      </c>
      <c r="U14" s="154">
        <v>18.885000000000002</v>
      </c>
      <c r="V14" s="178">
        <v>3.0000000000000001E-6</v>
      </c>
      <c r="W14" s="178">
        <v>3.8997846724655402E-3</v>
      </c>
      <c r="X14" s="178">
        <v>1.19353947283504E-3</v>
      </c>
    </row>
    <row r="15" spans="1:24">
      <c r="A15" s="18">
        <v>337</v>
      </c>
      <c r="B15" s="18">
        <v>1477</v>
      </c>
      <c r="C15" s="18" t="s">
        <v>1482</v>
      </c>
      <c r="D15" s="18" t="s">
        <v>1483</v>
      </c>
      <c r="E15" s="18" t="s">
        <v>1303</v>
      </c>
      <c r="F15" s="18" t="s">
        <v>1484</v>
      </c>
      <c r="G15" s="18" t="s">
        <v>1485</v>
      </c>
      <c r="H15" s="18" t="s">
        <v>318</v>
      </c>
      <c r="I15" s="18" t="s">
        <v>930</v>
      </c>
      <c r="J15" s="18" t="s">
        <v>30</v>
      </c>
      <c r="K15" s="18" t="s">
        <v>30</v>
      </c>
      <c r="L15" s="20" t="s">
        <v>324</v>
      </c>
      <c r="M15" s="18" t="s">
        <v>41</v>
      </c>
      <c r="N15" s="20" t="s">
        <v>443</v>
      </c>
      <c r="O15" s="20" t="s">
        <v>134</v>
      </c>
      <c r="P15" s="18" t="s">
        <v>34</v>
      </c>
      <c r="Q15" s="154">
        <v>43</v>
      </c>
      <c r="R15" s="176">
        <v>1</v>
      </c>
      <c r="S15" s="177">
        <v>22350</v>
      </c>
      <c r="T15" s="20"/>
      <c r="U15" s="154">
        <v>9.6110000000000007</v>
      </c>
      <c r="V15" s="178">
        <v>3.0000000000000001E-6</v>
      </c>
      <c r="W15" s="178">
        <v>1.9846287603287999E-3</v>
      </c>
      <c r="X15" s="178">
        <v>6.0740091141455702E-4</v>
      </c>
    </row>
    <row r="16" spans="1:24">
      <c r="A16" s="18">
        <v>337</v>
      </c>
      <c r="B16" s="18">
        <v>1477</v>
      </c>
      <c r="C16" s="18" t="s">
        <v>1486</v>
      </c>
      <c r="D16" s="18" t="s">
        <v>1487</v>
      </c>
      <c r="E16" s="18" t="s">
        <v>310</v>
      </c>
      <c r="F16" s="18" t="s">
        <v>1486</v>
      </c>
      <c r="G16" s="18" t="s">
        <v>1488</v>
      </c>
      <c r="H16" s="18" t="s">
        <v>318</v>
      </c>
      <c r="I16" s="18" t="s">
        <v>930</v>
      </c>
      <c r="J16" s="18" t="s">
        <v>30</v>
      </c>
      <c r="K16" s="18" t="s">
        <v>237</v>
      </c>
      <c r="L16" s="20" t="s">
        <v>324</v>
      </c>
      <c r="M16" s="18" t="s">
        <v>41</v>
      </c>
      <c r="N16" s="20" t="s">
        <v>461</v>
      </c>
      <c r="O16" s="20" t="s">
        <v>134</v>
      </c>
      <c r="P16" s="18" t="s">
        <v>34</v>
      </c>
      <c r="Q16" s="154">
        <v>112</v>
      </c>
      <c r="R16" s="176">
        <v>1</v>
      </c>
      <c r="S16" s="177">
        <v>9985</v>
      </c>
      <c r="T16" s="20"/>
      <c r="U16" s="154">
        <v>11.183</v>
      </c>
      <c r="V16" s="178">
        <v>5.0000000000000004E-6</v>
      </c>
      <c r="W16" s="178">
        <v>2.3094012124768798E-3</v>
      </c>
      <c r="X16" s="178">
        <v>7.06798384322489E-4</v>
      </c>
    </row>
    <row r="17" spans="1:24">
      <c r="A17" s="18">
        <v>337</v>
      </c>
      <c r="B17" s="18">
        <v>1477</v>
      </c>
      <c r="C17" s="18" t="s">
        <v>1489</v>
      </c>
      <c r="D17" s="18" t="s">
        <v>1490</v>
      </c>
      <c r="E17" s="18" t="s">
        <v>1303</v>
      </c>
      <c r="F17" s="18" t="s">
        <v>1491</v>
      </c>
      <c r="G17" s="18" t="s">
        <v>1492</v>
      </c>
      <c r="H17" s="18" t="s">
        <v>318</v>
      </c>
      <c r="I17" s="18" t="s">
        <v>930</v>
      </c>
      <c r="J17" s="18" t="s">
        <v>30</v>
      </c>
      <c r="K17" s="18" t="s">
        <v>30</v>
      </c>
      <c r="L17" s="20" t="s">
        <v>324</v>
      </c>
      <c r="M17" s="18" t="s">
        <v>41</v>
      </c>
      <c r="N17" s="20" t="s">
        <v>443</v>
      </c>
      <c r="O17" s="20" t="s">
        <v>134</v>
      </c>
      <c r="P17" s="18" t="s">
        <v>34</v>
      </c>
      <c r="Q17" s="154">
        <v>1600</v>
      </c>
      <c r="R17" s="176">
        <v>1</v>
      </c>
      <c r="S17" s="177">
        <v>5080</v>
      </c>
      <c r="T17" s="20"/>
      <c r="U17" s="154">
        <v>81.28</v>
      </c>
      <c r="V17" s="178">
        <v>1.4E-5</v>
      </c>
      <c r="W17" s="178">
        <v>1.6784831761045199E-2</v>
      </c>
      <c r="X17" s="178">
        <v>5.1370424098408198E-3</v>
      </c>
    </row>
    <row r="18" spans="1:24">
      <c r="A18" s="18">
        <v>337</v>
      </c>
      <c r="B18" s="18">
        <v>1477</v>
      </c>
      <c r="C18" s="18" t="s">
        <v>1493</v>
      </c>
      <c r="D18" s="18" t="s">
        <v>1494</v>
      </c>
      <c r="E18" s="18" t="s">
        <v>1303</v>
      </c>
      <c r="F18" s="18" t="s">
        <v>1495</v>
      </c>
      <c r="G18" s="18" t="s">
        <v>1496</v>
      </c>
      <c r="H18" s="18" t="s">
        <v>318</v>
      </c>
      <c r="I18" s="18" t="s">
        <v>930</v>
      </c>
      <c r="J18" s="18" t="s">
        <v>30</v>
      </c>
      <c r="K18" s="18" t="s">
        <v>30</v>
      </c>
      <c r="L18" s="20" t="s">
        <v>324</v>
      </c>
      <c r="M18" s="18" t="s">
        <v>41</v>
      </c>
      <c r="N18" s="20" t="s">
        <v>481</v>
      </c>
      <c r="O18" s="20" t="s">
        <v>134</v>
      </c>
      <c r="P18" s="18" t="s">
        <v>34</v>
      </c>
      <c r="Q18" s="154">
        <v>25108</v>
      </c>
      <c r="R18" s="176">
        <v>1</v>
      </c>
      <c r="S18" s="177">
        <v>546.6</v>
      </c>
      <c r="T18" s="20"/>
      <c r="U18" s="154">
        <v>137.24</v>
      </c>
      <c r="V18" s="178">
        <v>9.0000000000000002E-6</v>
      </c>
      <c r="W18" s="178">
        <v>2.8340991834530802E-2</v>
      </c>
      <c r="X18" s="178">
        <v>8.6738359409013893E-3</v>
      </c>
    </row>
    <row r="19" spans="1:24">
      <c r="A19" s="18">
        <v>337</v>
      </c>
      <c r="B19" s="18">
        <v>1477</v>
      </c>
      <c r="C19" s="18" t="s">
        <v>1497</v>
      </c>
      <c r="D19" s="18" t="s">
        <v>1498</v>
      </c>
      <c r="E19" s="18" t="s">
        <v>1303</v>
      </c>
      <c r="F19" s="18" t="s">
        <v>1499</v>
      </c>
      <c r="G19" s="18" t="s">
        <v>1500</v>
      </c>
      <c r="H19" s="18" t="s">
        <v>318</v>
      </c>
      <c r="I19" s="18" t="s">
        <v>930</v>
      </c>
      <c r="J19" s="18" t="s">
        <v>30</v>
      </c>
      <c r="K19" s="18" t="s">
        <v>30</v>
      </c>
      <c r="L19" s="20" t="s">
        <v>324</v>
      </c>
      <c r="M19" s="18" t="s">
        <v>41</v>
      </c>
      <c r="N19" s="20" t="s">
        <v>460</v>
      </c>
      <c r="O19" s="20" t="s">
        <v>134</v>
      </c>
      <c r="P19" s="18" t="s">
        <v>34</v>
      </c>
      <c r="Q19" s="154">
        <v>307</v>
      </c>
      <c r="R19" s="176">
        <v>1</v>
      </c>
      <c r="S19" s="177">
        <v>51410</v>
      </c>
      <c r="T19" s="20"/>
      <c r="U19" s="154">
        <v>157.82900000000001</v>
      </c>
      <c r="V19" s="178">
        <v>1.2E-5</v>
      </c>
      <c r="W19" s="178">
        <v>3.2592620282535401E-2</v>
      </c>
      <c r="X19" s="178">
        <v>9.9750581371806594E-3</v>
      </c>
    </row>
    <row r="20" spans="1:24">
      <c r="A20" s="4">
        <v>337</v>
      </c>
      <c r="B20" s="4">
        <v>1477</v>
      </c>
      <c r="C20" s="4" t="s">
        <v>1501</v>
      </c>
      <c r="D20" s="4" t="s">
        <v>1502</v>
      </c>
      <c r="E20" s="18" t="s">
        <v>1303</v>
      </c>
      <c r="F20" s="4" t="s">
        <v>1503</v>
      </c>
      <c r="G20" s="4" t="s">
        <v>1504</v>
      </c>
      <c r="H20" s="18" t="s">
        <v>318</v>
      </c>
      <c r="I20" s="4" t="s">
        <v>930</v>
      </c>
      <c r="J20" s="4" t="s">
        <v>30</v>
      </c>
      <c r="K20" s="18" t="s">
        <v>30</v>
      </c>
      <c r="L20" s="20" t="s">
        <v>324</v>
      </c>
      <c r="M20" s="18" t="s">
        <v>41</v>
      </c>
      <c r="N20" s="20" t="s">
        <v>444</v>
      </c>
      <c r="O20" s="4" t="s">
        <v>134</v>
      </c>
      <c r="P20" s="4" t="s">
        <v>34</v>
      </c>
      <c r="Q20" s="152">
        <v>545</v>
      </c>
      <c r="R20" s="167">
        <v>1</v>
      </c>
      <c r="S20" s="169">
        <v>18720</v>
      </c>
      <c r="U20" s="152">
        <v>102.024</v>
      </c>
      <c r="V20" s="166">
        <v>5.0000000000000004E-6</v>
      </c>
      <c r="W20" s="166">
        <v>2.10685983709262E-2</v>
      </c>
      <c r="X20" s="166">
        <v>6.4481005760531496E-3</v>
      </c>
    </row>
    <row r="21" spans="1:24">
      <c r="A21" s="4">
        <v>337</v>
      </c>
      <c r="B21" s="4">
        <v>1477</v>
      </c>
      <c r="C21" s="4" t="s">
        <v>1505</v>
      </c>
      <c r="D21" s="4" t="s">
        <v>1506</v>
      </c>
      <c r="E21" s="4" t="s">
        <v>1303</v>
      </c>
      <c r="F21" s="4" t="s">
        <v>1507</v>
      </c>
      <c r="G21" s="4" t="s">
        <v>1508</v>
      </c>
      <c r="H21" s="4" t="s">
        <v>318</v>
      </c>
      <c r="I21" s="4" t="s">
        <v>930</v>
      </c>
      <c r="J21" s="4" t="s">
        <v>30</v>
      </c>
      <c r="K21" s="4" t="s">
        <v>30</v>
      </c>
      <c r="L21" s="2" t="s">
        <v>324</v>
      </c>
      <c r="M21" s="4" t="s">
        <v>41</v>
      </c>
      <c r="N21" s="20" t="s">
        <v>460</v>
      </c>
      <c r="O21" s="4" t="s">
        <v>134</v>
      </c>
      <c r="P21" s="4" t="s">
        <v>34</v>
      </c>
      <c r="Q21" s="152">
        <v>542</v>
      </c>
      <c r="R21" s="167">
        <v>1</v>
      </c>
      <c r="S21" s="169">
        <v>1373</v>
      </c>
      <c r="U21" s="152">
        <v>7.4420000000000002</v>
      </c>
      <c r="V21" s="166">
        <v>7.9999999999999996E-6</v>
      </c>
      <c r="W21" s="166">
        <v>1.53674964472072E-3</v>
      </c>
      <c r="X21" s="166">
        <v>4.7032631667834698E-4</v>
      </c>
    </row>
    <row r="22" spans="1:24">
      <c r="A22" s="4">
        <v>337</v>
      </c>
      <c r="B22" s="4">
        <v>1477</v>
      </c>
      <c r="C22" s="4" t="s">
        <v>1509</v>
      </c>
      <c r="D22" s="4" t="s">
        <v>1510</v>
      </c>
      <c r="E22" s="4" t="s">
        <v>1303</v>
      </c>
      <c r="F22" s="4" t="s">
        <v>1511</v>
      </c>
      <c r="G22" s="4" t="s">
        <v>1512</v>
      </c>
      <c r="H22" s="4" t="s">
        <v>318</v>
      </c>
      <c r="I22" s="4" t="s">
        <v>930</v>
      </c>
      <c r="J22" s="4" t="s">
        <v>30</v>
      </c>
      <c r="K22" s="4" t="s">
        <v>30</v>
      </c>
      <c r="L22" s="2" t="s">
        <v>324</v>
      </c>
      <c r="M22" s="4" t="s">
        <v>41</v>
      </c>
      <c r="N22" s="4" t="s">
        <v>459</v>
      </c>
      <c r="O22" s="4" t="s">
        <v>134</v>
      </c>
      <c r="P22" s="4" t="s">
        <v>34</v>
      </c>
      <c r="Q22" s="152">
        <v>206</v>
      </c>
      <c r="R22" s="167">
        <v>1</v>
      </c>
      <c r="S22" s="169">
        <v>47350</v>
      </c>
      <c r="U22" s="152">
        <v>97.540999999999997</v>
      </c>
      <c r="V22" s="166">
        <v>2.3E-5</v>
      </c>
      <c r="W22" s="166">
        <v>2.0142830644735599E-2</v>
      </c>
      <c r="X22" s="166">
        <v>6.1647669008154998E-3</v>
      </c>
    </row>
    <row r="23" spans="1:24">
      <c r="A23" s="4">
        <v>337</v>
      </c>
      <c r="B23" s="4">
        <v>1477</v>
      </c>
      <c r="C23" s="4" t="s">
        <v>1513</v>
      </c>
      <c r="D23" s="4" t="s">
        <v>1514</v>
      </c>
      <c r="E23" s="4" t="s">
        <v>1303</v>
      </c>
      <c r="F23" s="4" t="s">
        <v>1515</v>
      </c>
      <c r="G23" s="4" t="s">
        <v>1516</v>
      </c>
      <c r="H23" s="4" t="s">
        <v>318</v>
      </c>
      <c r="I23" s="4" t="s">
        <v>930</v>
      </c>
      <c r="J23" s="4" t="s">
        <v>30</v>
      </c>
      <c r="K23" s="4" t="s">
        <v>30</v>
      </c>
      <c r="L23" s="2" t="s">
        <v>324</v>
      </c>
      <c r="M23" s="2" t="s">
        <v>41</v>
      </c>
      <c r="N23" s="4" t="s">
        <v>460</v>
      </c>
      <c r="O23" s="4" t="s">
        <v>134</v>
      </c>
      <c r="P23" s="4" t="s">
        <v>34</v>
      </c>
      <c r="Q23" s="152">
        <v>348</v>
      </c>
      <c r="R23" s="167">
        <v>1</v>
      </c>
      <c r="S23" s="169">
        <v>2850</v>
      </c>
      <c r="U23" s="152">
        <v>9.9179999999999993</v>
      </c>
      <c r="V23" s="166">
        <v>1.9999999999999999E-6</v>
      </c>
      <c r="W23" s="166">
        <v>2.04812944643266E-3</v>
      </c>
      <c r="X23" s="166">
        <v>6.2683546531497596E-4</v>
      </c>
    </row>
    <row r="24" spans="1:24">
      <c r="A24" s="4">
        <v>337</v>
      </c>
      <c r="B24" s="4">
        <v>1477</v>
      </c>
      <c r="C24" s="4" t="s">
        <v>1517</v>
      </c>
      <c r="D24" s="4" t="s">
        <v>1518</v>
      </c>
      <c r="E24" s="4" t="s">
        <v>1303</v>
      </c>
      <c r="F24" s="4" t="s">
        <v>1519</v>
      </c>
      <c r="G24" s="4" t="s">
        <v>1520</v>
      </c>
      <c r="H24" s="4" t="s">
        <v>318</v>
      </c>
      <c r="I24" s="4" t="s">
        <v>930</v>
      </c>
      <c r="J24" s="4" t="s">
        <v>30</v>
      </c>
      <c r="K24" s="4" t="s">
        <v>30</v>
      </c>
      <c r="L24" s="2" t="s">
        <v>324</v>
      </c>
      <c r="M24" s="2" t="s">
        <v>41</v>
      </c>
      <c r="N24" s="4" t="s">
        <v>437</v>
      </c>
      <c r="O24" s="4" t="s">
        <v>134</v>
      </c>
      <c r="P24" s="4" t="s">
        <v>34</v>
      </c>
      <c r="Q24" s="152">
        <v>1391</v>
      </c>
      <c r="R24" s="167">
        <v>1</v>
      </c>
      <c r="S24" s="169">
        <v>1156</v>
      </c>
      <c r="U24" s="152">
        <v>16.079999999999998</v>
      </c>
      <c r="V24" s="166">
        <v>7.9999999999999996E-6</v>
      </c>
      <c r="W24" s="166">
        <v>3.3206129838131999E-3</v>
      </c>
      <c r="X24" s="166">
        <v>1.0162824368669301E-3</v>
      </c>
    </row>
    <row r="25" spans="1:24">
      <c r="A25" s="4">
        <v>337</v>
      </c>
      <c r="B25" s="4">
        <v>1477</v>
      </c>
      <c r="C25" s="4" t="s">
        <v>1521</v>
      </c>
      <c r="D25" s="4" t="s">
        <v>1522</v>
      </c>
      <c r="E25" s="4" t="s">
        <v>1303</v>
      </c>
      <c r="F25" s="4" t="s">
        <v>1523</v>
      </c>
      <c r="G25" s="4" t="s">
        <v>1524</v>
      </c>
      <c r="H25" s="4" t="s">
        <v>318</v>
      </c>
      <c r="I25" s="4" t="s">
        <v>930</v>
      </c>
      <c r="J25" s="4" t="s">
        <v>30</v>
      </c>
      <c r="K25" s="4" t="s">
        <v>30</v>
      </c>
      <c r="L25" s="2" t="s">
        <v>324</v>
      </c>
      <c r="M25" s="2" t="s">
        <v>41</v>
      </c>
      <c r="N25" s="4" t="s">
        <v>444</v>
      </c>
      <c r="O25" s="4" t="s">
        <v>134</v>
      </c>
      <c r="P25" s="4" t="s">
        <v>34</v>
      </c>
      <c r="Q25" s="152">
        <v>4067</v>
      </c>
      <c r="R25" s="167">
        <v>1</v>
      </c>
      <c r="S25" s="169">
        <v>2572</v>
      </c>
      <c r="T25" s="151">
        <v>1.04</v>
      </c>
      <c r="U25" s="152">
        <v>105.643</v>
      </c>
      <c r="V25" s="166">
        <v>3.0000000000000001E-6</v>
      </c>
      <c r="W25" s="166">
        <v>2.1815901290814899E-2</v>
      </c>
      <c r="X25" s="166">
        <v>6.67681462258745E-3</v>
      </c>
    </row>
    <row r="26" spans="1:24">
      <c r="A26" s="4">
        <v>337</v>
      </c>
      <c r="B26" s="4">
        <v>1477</v>
      </c>
      <c r="C26" s="4" t="s">
        <v>1525</v>
      </c>
      <c r="D26" s="4" t="s">
        <v>1526</v>
      </c>
      <c r="E26" s="4" t="s">
        <v>1303</v>
      </c>
      <c r="F26" s="4" t="s">
        <v>1527</v>
      </c>
      <c r="G26" s="4" t="s">
        <v>1528</v>
      </c>
      <c r="H26" s="4" t="s">
        <v>318</v>
      </c>
      <c r="I26" s="4" t="s">
        <v>930</v>
      </c>
      <c r="J26" s="4" t="s">
        <v>30</v>
      </c>
      <c r="K26" s="4" t="s">
        <v>30</v>
      </c>
      <c r="L26" s="2" t="s">
        <v>324</v>
      </c>
      <c r="M26" s="2" t="s">
        <v>41</v>
      </c>
      <c r="N26" s="4" t="s">
        <v>458</v>
      </c>
      <c r="O26" s="4" t="s">
        <v>134</v>
      </c>
      <c r="P26" s="4" t="s">
        <v>34</v>
      </c>
      <c r="Q26" s="152">
        <v>378</v>
      </c>
      <c r="R26" s="167">
        <v>1</v>
      </c>
      <c r="S26" s="169">
        <v>4274</v>
      </c>
      <c r="U26" s="152">
        <v>16.155999999999999</v>
      </c>
      <c r="V26" s="166">
        <v>1.4E-5</v>
      </c>
      <c r="W26" s="166">
        <v>3.3362579008188202E-3</v>
      </c>
      <c r="X26" s="166">
        <v>1.0210706053335799E-3</v>
      </c>
    </row>
    <row r="27" spans="1:24">
      <c r="A27" s="4">
        <v>337</v>
      </c>
      <c r="B27" s="4">
        <v>1477</v>
      </c>
      <c r="C27" s="4" t="s">
        <v>1529</v>
      </c>
      <c r="D27" s="4" t="s">
        <v>1530</v>
      </c>
      <c r="E27" s="4" t="s">
        <v>1303</v>
      </c>
      <c r="F27" s="4" t="s">
        <v>1531</v>
      </c>
      <c r="G27" s="4" t="s">
        <v>1532</v>
      </c>
      <c r="H27" s="4" t="s">
        <v>318</v>
      </c>
      <c r="I27" s="4" t="s">
        <v>930</v>
      </c>
      <c r="J27" s="4" t="s">
        <v>30</v>
      </c>
      <c r="K27" s="4" t="s">
        <v>30</v>
      </c>
      <c r="L27" s="2" t="s">
        <v>324</v>
      </c>
      <c r="M27" s="2" t="s">
        <v>41</v>
      </c>
      <c r="N27" s="4" t="s">
        <v>472</v>
      </c>
      <c r="O27" s="4" t="s">
        <v>134</v>
      </c>
      <c r="P27" s="4" t="s">
        <v>34</v>
      </c>
      <c r="Q27" s="152">
        <v>519</v>
      </c>
      <c r="R27" s="167">
        <v>1</v>
      </c>
      <c r="S27" s="169">
        <v>7251</v>
      </c>
      <c r="U27" s="152">
        <v>37.633000000000003</v>
      </c>
      <c r="V27" s="166">
        <v>2.0999999999999999E-5</v>
      </c>
      <c r="W27" s="166">
        <v>7.7713874306787603E-3</v>
      </c>
      <c r="X27" s="166">
        <v>2.3784537958463701E-3</v>
      </c>
    </row>
    <row r="28" spans="1:24">
      <c r="A28" s="4">
        <v>337</v>
      </c>
      <c r="B28" s="4">
        <v>1477</v>
      </c>
      <c r="C28" s="4" t="s">
        <v>1533</v>
      </c>
      <c r="D28" s="4" t="s">
        <v>1534</v>
      </c>
      <c r="E28" s="4" t="s">
        <v>1303</v>
      </c>
      <c r="F28" s="4" t="s">
        <v>1535</v>
      </c>
      <c r="G28" s="4" t="s">
        <v>1536</v>
      </c>
      <c r="H28" s="4" t="s">
        <v>318</v>
      </c>
      <c r="I28" s="4" t="s">
        <v>930</v>
      </c>
      <c r="J28" s="4" t="s">
        <v>30</v>
      </c>
      <c r="K28" s="4" t="s">
        <v>30</v>
      </c>
      <c r="L28" s="2" t="s">
        <v>324</v>
      </c>
      <c r="M28" s="2" t="s">
        <v>41</v>
      </c>
      <c r="N28" s="4" t="s">
        <v>474</v>
      </c>
      <c r="O28" s="4" t="s">
        <v>134</v>
      </c>
      <c r="P28" s="4" t="s">
        <v>34</v>
      </c>
      <c r="Q28" s="152">
        <v>15</v>
      </c>
      <c r="R28" s="167">
        <v>1</v>
      </c>
      <c r="S28" s="169">
        <v>37430</v>
      </c>
      <c r="U28" s="152">
        <v>5.6139999999999999</v>
      </c>
      <c r="V28" s="166">
        <v>1.9999999999999999E-6</v>
      </c>
      <c r="W28" s="166">
        <v>1.15942960042309E-3</v>
      </c>
      <c r="X28" s="166">
        <v>3.5484651341106401E-4</v>
      </c>
    </row>
    <row r="29" spans="1:24">
      <c r="A29" s="4">
        <v>337</v>
      </c>
      <c r="B29" s="4">
        <v>1477</v>
      </c>
      <c r="C29" s="4" t="s">
        <v>1537</v>
      </c>
      <c r="D29" s="4" t="s">
        <v>1538</v>
      </c>
      <c r="E29" s="4" t="s">
        <v>1303</v>
      </c>
      <c r="F29" s="4" t="s">
        <v>1539</v>
      </c>
      <c r="G29" s="4" t="s">
        <v>1540</v>
      </c>
      <c r="H29" s="4" t="s">
        <v>318</v>
      </c>
      <c r="I29" s="4" t="s">
        <v>930</v>
      </c>
      <c r="J29" s="4" t="s">
        <v>30</v>
      </c>
      <c r="K29" s="4" t="s">
        <v>30</v>
      </c>
      <c r="L29" s="2" t="s">
        <v>324</v>
      </c>
      <c r="M29" s="2" t="s">
        <v>41</v>
      </c>
      <c r="N29" s="4" t="s">
        <v>474</v>
      </c>
      <c r="O29" s="4" t="s">
        <v>134</v>
      </c>
      <c r="P29" s="4" t="s">
        <v>34</v>
      </c>
      <c r="Q29" s="152">
        <v>10000</v>
      </c>
      <c r="R29" s="167">
        <v>1</v>
      </c>
      <c r="S29" s="169">
        <v>638.4</v>
      </c>
      <c r="U29" s="152">
        <v>63.84</v>
      </c>
      <c r="V29" s="166">
        <v>1.0900000000000001E-4</v>
      </c>
      <c r="W29" s="166">
        <v>1.3183361954049301E-2</v>
      </c>
      <c r="X29" s="166">
        <v>4.0348029951308801E-3</v>
      </c>
    </row>
    <row r="30" spans="1:24">
      <c r="A30" s="4">
        <v>337</v>
      </c>
      <c r="B30" s="4">
        <v>1477</v>
      </c>
      <c r="C30" s="4" t="s">
        <v>1541</v>
      </c>
      <c r="D30" s="4" t="s">
        <v>1542</v>
      </c>
      <c r="E30" s="4" t="s">
        <v>1303</v>
      </c>
      <c r="F30" s="4" t="s">
        <v>1543</v>
      </c>
      <c r="G30" s="4" t="s">
        <v>1544</v>
      </c>
      <c r="H30" s="4" t="s">
        <v>318</v>
      </c>
      <c r="I30" s="4" t="s">
        <v>930</v>
      </c>
      <c r="J30" s="4" t="s">
        <v>30</v>
      </c>
      <c r="K30" s="4" t="s">
        <v>30</v>
      </c>
      <c r="L30" s="2" t="s">
        <v>324</v>
      </c>
      <c r="M30" s="2" t="s">
        <v>41</v>
      </c>
      <c r="N30" s="4" t="s">
        <v>443</v>
      </c>
      <c r="O30" s="4" t="s">
        <v>134</v>
      </c>
      <c r="P30" s="4" t="s">
        <v>34</v>
      </c>
      <c r="Q30" s="152">
        <v>5000</v>
      </c>
      <c r="R30" s="167">
        <v>1</v>
      </c>
      <c r="S30" s="169">
        <v>665.7</v>
      </c>
      <c r="U30" s="152">
        <v>33.284999999999997</v>
      </c>
      <c r="V30" s="166">
        <v>5.8E-5</v>
      </c>
      <c r="W30" s="166">
        <v>6.87356207143689E-3</v>
      </c>
      <c r="X30" s="166">
        <v>2.1036719563429099E-3</v>
      </c>
    </row>
    <row r="31" spans="1:24">
      <c r="A31" s="4">
        <v>337</v>
      </c>
      <c r="B31" s="4">
        <v>1477</v>
      </c>
      <c r="C31" s="4" t="s">
        <v>1545</v>
      </c>
      <c r="D31" s="4" t="s">
        <v>1546</v>
      </c>
      <c r="E31" s="4" t="s">
        <v>1303</v>
      </c>
      <c r="F31" s="4" t="s">
        <v>1547</v>
      </c>
      <c r="G31" s="4" t="s">
        <v>1548</v>
      </c>
      <c r="H31" s="4" t="s">
        <v>318</v>
      </c>
      <c r="I31" s="4" t="s">
        <v>930</v>
      </c>
      <c r="J31" s="4" t="s">
        <v>30</v>
      </c>
      <c r="K31" s="4" t="s">
        <v>30</v>
      </c>
      <c r="L31" s="2" t="s">
        <v>324</v>
      </c>
      <c r="M31" s="2" t="s">
        <v>41</v>
      </c>
      <c r="N31" s="4" t="s">
        <v>441</v>
      </c>
      <c r="O31" s="4" t="s">
        <v>134</v>
      </c>
      <c r="P31" s="4" t="s">
        <v>34</v>
      </c>
      <c r="Q31" s="152">
        <v>2057</v>
      </c>
      <c r="R31" s="167">
        <v>1</v>
      </c>
      <c r="S31" s="169">
        <v>6881</v>
      </c>
      <c r="U31" s="152">
        <v>141.542</v>
      </c>
      <c r="V31" s="166">
        <v>7.9999999999999996E-6</v>
      </c>
      <c r="W31" s="166">
        <v>2.9229349293101201E-2</v>
      </c>
      <c r="X31" s="166">
        <v>8.9457201042187403E-3</v>
      </c>
    </row>
    <row r="32" spans="1:24">
      <c r="A32" s="4">
        <v>337</v>
      </c>
      <c r="B32" s="4">
        <v>1477</v>
      </c>
      <c r="C32" s="4" t="s">
        <v>1549</v>
      </c>
      <c r="D32" s="4" t="s">
        <v>1550</v>
      </c>
      <c r="E32" s="4" t="s">
        <v>1303</v>
      </c>
      <c r="F32" s="4" t="s">
        <v>1551</v>
      </c>
      <c r="G32" s="4" t="s">
        <v>1552</v>
      </c>
      <c r="H32" s="4" t="s">
        <v>318</v>
      </c>
      <c r="I32" s="4" t="s">
        <v>930</v>
      </c>
      <c r="J32" s="4" t="s">
        <v>30</v>
      </c>
      <c r="K32" s="4" t="s">
        <v>30</v>
      </c>
      <c r="L32" s="2" t="s">
        <v>324</v>
      </c>
      <c r="M32" s="2" t="s">
        <v>41</v>
      </c>
      <c r="N32" s="4" t="s">
        <v>473</v>
      </c>
      <c r="O32" s="4" t="s">
        <v>134</v>
      </c>
      <c r="P32" s="4" t="s">
        <v>34</v>
      </c>
      <c r="Q32" s="152">
        <v>794</v>
      </c>
      <c r="R32" s="167">
        <v>1</v>
      </c>
      <c r="S32" s="169">
        <v>6861</v>
      </c>
      <c r="T32" s="151">
        <v>0.495</v>
      </c>
      <c r="U32" s="152">
        <v>54.970999999999997</v>
      </c>
      <c r="V32" s="166">
        <v>1.1E-5</v>
      </c>
      <c r="W32" s="166">
        <v>1.1351867937721499E-2</v>
      </c>
      <c r="X32" s="166">
        <v>3.4742693794719498E-3</v>
      </c>
    </row>
    <row r="33" spans="1:24">
      <c r="A33" s="4">
        <v>337</v>
      </c>
      <c r="B33" s="4">
        <v>1477</v>
      </c>
      <c r="C33" s="4" t="s">
        <v>1553</v>
      </c>
      <c r="D33" s="4" t="s">
        <v>1554</v>
      </c>
      <c r="E33" s="4" t="s">
        <v>1303</v>
      </c>
      <c r="F33" s="4" t="s">
        <v>1555</v>
      </c>
      <c r="G33" s="4" t="s">
        <v>1556</v>
      </c>
      <c r="H33" s="4" t="s">
        <v>318</v>
      </c>
      <c r="I33" s="4" t="s">
        <v>930</v>
      </c>
      <c r="J33" s="4" t="s">
        <v>30</v>
      </c>
      <c r="K33" s="4" t="s">
        <v>30</v>
      </c>
      <c r="L33" s="2" t="s">
        <v>324</v>
      </c>
      <c r="M33" s="2" t="s">
        <v>41</v>
      </c>
      <c r="N33" s="4" t="s">
        <v>443</v>
      </c>
      <c r="O33" s="4" t="s">
        <v>134</v>
      </c>
      <c r="P33" s="4" t="s">
        <v>34</v>
      </c>
      <c r="Q33" s="152">
        <v>1589</v>
      </c>
      <c r="R33" s="167">
        <v>1</v>
      </c>
      <c r="S33" s="169">
        <v>1708</v>
      </c>
      <c r="U33" s="152">
        <v>27.14</v>
      </c>
      <c r="V33" s="166">
        <v>2.5999999999999998E-5</v>
      </c>
      <c r="W33" s="166">
        <v>5.6046056615966901E-3</v>
      </c>
      <c r="X33" s="166">
        <v>1.7153044715571999E-3</v>
      </c>
    </row>
    <row r="34" spans="1:24">
      <c r="A34" s="4">
        <v>337</v>
      </c>
      <c r="B34" s="4">
        <v>1477</v>
      </c>
      <c r="C34" s="4" t="s">
        <v>1557</v>
      </c>
      <c r="D34" s="4" t="s">
        <v>1558</v>
      </c>
      <c r="E34" s="4" t="s">
        <v>1303</v>
      </c>
      <c r="F34" s="4" t="s">
        <v>1559</v>
      </c>
      <c r="G34" s="4" t="s">
        <v>1560</v>
      </c>
      <c r="H34" s="4" t="s">
        <v>318</v>
      </c>
      <c r="I34" s="4" t="s">
        <v>930</v>
      </c>
      <c r="J34" s="4" t="s">
        <v>30</v>
      </c>
      <c r="K34" s="4" t="s">
        <v>30</v>
      </c>
      <c r="L34" s="2" t="s">
        <v>324</v>
      </c>
      <c r="M34" s="2" t="s">
        <v>41</v>
      </c>
      <c r="N34" s="4" t="s">
        <v>473</v>
      </c>
      <c r="O34" s="4" t="s">
        <v>134</v>
      </c>
      <c r="P34" s="4" t="s">
        <v>34</v>
      </c>
      <c r="Q34" s="152">
        <v>87</v>
      </c>
      <c r="R34" s="167">
        <v>1</v>
      </c>
      <c r="S34" s="169">
        <v>22740</v>
      </c>
      <c r="U34" s="152">
        <v>19.783999999999999</v>
      </c>
      <c r="V34" s="166">
        <v>3.9999999999999998E-6</v>
      </c>
      <c r="W34" s="166">
        <v>4.0854792641998802E-3</v>
      </c>
      <c r="X34" s="166">
        <v>1.25037179660198E-3</v>
      </c>
    </row>
    <row r="35" spans="1:24">
      <c r="A35" s="4">
        <v>337</v>
      </c>
      <c r="B35" s="4">
        <v>1477</v>
      </c>
      <c r="C35" s="4" t="s">
        <v>1561</v>
      </c>
      <c r="D35" s="4" t="s">
        <v>1562</v>
      </c>
      <c r="E35" s="4" t="s">
        <v>1303</v>
      </c>
      <c r="F35" s="4" t="s">
        <v>1563</v>
      </c>
      <c r="G35" s="4" t="s">
        <v>1564</v>
      </c>
      <c r="H35" s="4" t="s">
        <v>318</v>
      </c>
      <c r="I35" s="4" t="s">
        <v>930</v>
      </c>
      <c r="J35" s="4" t="s">
        <v>30</v>
      </c>
      <c r="K35" s="4" t="s">
        <v>30</v>
      </c>
      <c r="L35" s="2" t="s">
        <v>324</v>
      </c>
      <c r="M35" s="2" t="s">
        <v>41</v>
      </c>
      <c r="N35" s="4" t="s">
        <v>459</v>
      </c>
      <c r="O35" s="4" t="s">
        <v>134</v>
      </c>
      <c r="P35" s="4" t="s">
        <v>34</v>
      </c>
      <c r="Q35" s="152">
        <v>462</v>
      </c>
      <c r="R35" s="167">
        <v>1</v>
      </c>
      <c r="S35" s="169">
        <v>1352</v>
      </c>
      <c r="U35" s="152">
        <v>6.2460000000000004</v>
      </c>
      <c r="V35" s="166">
        <v>1.2999999999999999E-5</v>
      </c>
      <c r="W35" s="166">
        <v>1.2898878880304001E-3</v>
      </c>
      <c r="X35" s="166">
        <v>3.9477361936570001E-4</v>
      </c>
    </row>
    <row r="36" spans="1:24">
      <c r="A36" s="4">
        <v>337</v>
      </c>
      <c r="B36" s="4">
        <v>1477</v>
      </c>
      <c r="C36" s="4" t="s">
        <v>1565</v>
      </c>
      <c r="D36" s="4" t="s">
        <v>1566</v>
      </c>
      <c r="E36" s="4" t="s">
        <v>1303</v>
      </c>
      <c r="F36" s="4" t="s">
        <v>1567</v>
      </c>
      <c r="G36" s="4" t="s">
        <v>1568</v>
      </c>
      <c r="H36" s="4" t="s">
        <v>318</v>
      </c>
      <c r="I36" s="4" t="s">
        <v>930</v>
      </c>
      <c r="J36" s="4" t="s">
        <v>30</v>
      </c>
      <c r="K36" s="4" t="s">
        <v>295</v>
      </c>
      <c r="L36" s="2" t="s">
        <v>324</v>
      </c>
      <c r="M36" s="2" t="s">
        <v>41</v>
      </c>
      <c r="N36" s="4" t="s">
        <v>454</v>
      </c>
      <c r="O36" s="4" t="s">
        <v>134</v>
      </c>
      <c r="P36" s="4" t="s">
        <v>34</v>
      </c>
      <c r="Q36" s="152">
        <v>292</v>
      </c>
      <c r="R36" s="167">
        <v>1</v>
      </c>
      <c r="S36" s="169">
        <v>13000</v>
      </c>
      <c r="U36" s="152">
        <v>37.96</v>
      </c>
      <c r="V36" s="166">
        <v>3.0000000000000001E-6</v>
      </c>
      <c r="W36" s="166">
        <v>7.8389790065117697E-3</v>
      </c>
      <c r="X36" s="166">
        <v>2.39914037743058E-3</v>
      </c>
    </row>
    <row r="37" spans="1:24">
      <c r="A37" s="4">
        <v>337</v>
      </c>
      <c r="B37" s="4">
        <v>1477</v>
      </c>
      <c r="C37" s="4" t="s">
        <v>1569</v>
      </c>
      <c r="D37" s="4" t="s">
        <v>1570</v>
      </c>
      <c r="E37" s="4" t="s">
        <v>1303</v>
      </c>
      <c r="F37" s="4" t="s">
        <v>1571</v>
      </c>
      <c r="G37" s="4" t="s">
        <v>1572</v>
      </c>
      <c r="H37" s="4" t="s">
        <v>318</v>
      </c>
      <c r="I37" s="4" t="s">
        <v>930</v>
      </c>
      <c r="J37" s="4" t="s">
        <v>30</v>
      </c>
      <c r="K37" s="4" t="s">
        <v>80</v>
      </c>
      <c r="L37" s="2" t="s">
        <v>324</v>
      </c>
      <c r="M37" s="2" t="s">
        <v>41</v>
      </c>
      <c r="N37" s="4" t="s">
        <v>463</v>
      </c>
      <c r="O37" s="4" t="s">
        <v>134</v>
      </c>
      <c r="P37" s="4" t="s">
        <v>34</v>
      </c>
      <c r="Q37" s="152">
        <v>559</v>
      </c>
      <c r="R37" s="167">
        <v>1</v>
      </c>
      <c r="S37" s="169">
        <v>5587</v>
      </c>
      <c r="U37" s="152">
        <v>31.231000000000002</v>
      </c>
      <c r="V37" s="166">
        <v>0</v>
      </c>
      <c r="W37" s="166">
        <v>6.4494662859705303E-3</v>
      </c>
      <c r="X37" s="166">
        <v>1.9738763130626698E-3</v>
      </c>
    </row>
    <row r="38" spans="1:24">
      <c r="A38" s="4">
        <v>337</v>
      </c>
      <c r="B38" s="4">
        <v>1477</v>
      </c>
      <c r="C38" s="4" t="s">
        <v>1573</v>
      </c>
      <c r="D38" s="4" t="s">
        <v>1574</v>
      </c>
      <c r="E38" s="4" t="s">
        <v>1303</v>
      </c>
      <c r="F38" s="4" t="s">
        <v>1575</v>
      </c>
      <c r="G38" s="4" t="s">
        <v>1576</v>
      </c>
      <c r="H38" s="4" t="s">
        <v>318</v>
      </c>
      <c r="I38" s="4" t="s">
        <v>930</v>
      </c>
      <c r="J38" s="4" t="s">
        <v>30</v>
      </c>
      <c r="K38" s="4" t="s">
        <v>30</v>
      </c>
      <c r="L38" s="2" t="s">
        <v>324</v>
      </c>
      <c r="M38" s="2" t="s">
        <v>41</v>
      </c>
      <c r="N38" s="4" t="s">
        <v>472</v>
      </c>
      <c r="O38" s="4" t="s">
        <v>134</v>
      </c>
      <c r="P38" s="4" t="s">
        <v>34</v>
      </c>
      <c r="Q38" s="152">
        <v>4200</v>
      </c>
      <c r="R38" s="167">
        <v>1</v>
      </c>
      <c r="S38" s="169">
        <v>692.7</v>
      </c>
      <c r="U38" s="152">
        <v>29.093</v>
      </c>
      <c r="V38" s="166">
        <v>3.8999999999999999E-5</v>
      </c>
      <c r="W38" s="166">
        <v>6.0079702799802296E-3</v>
      </c>
      <c r="X38" s="166">
        <v>1.83875528600471E-3</v>
      </c>
    </row>
    <row r="39" spans="1:24">
      <c r="A39" s="4">
        <v>337</v>
      </c>
      <c r="B39" s="4">
        <v>1477</v>
      </c>
      <c r="C39" s="4" t="s">
        <v>1577</v>
      </c>
      <c r="D39" s="4" t="s">
        <v>1578</v>
      </c>
      <c r="E39" s="4" t="s">
        <v>309</v>
      </c>
      <c r="F39" s="4" t="s">
        <v>1579</v>
      </c>
      <c r="G39" s="4" t="s">
        <v>1580</v>
      </c>
      <c r="H39" s="4" t="s">
        <v>318</v>
      </c>
      <c r="I39" s="4" t="s">
        <v>930</v>
      </c>
      <c r="J39" s="4" t="s">
        <v>30</v>
      </c>
      <c r="K39" s="4" t="s">
        <v>30</v>
      </c>
      <c r="L39" s="2" t="s">
        <v>324</v>
      </c>
      <c r="M39" s="2" t="s">
        <v>41</v>
      </c>
      <c r="N39" s="4" t="s">
        <v>450</v>
      </c>
      <c r="O39" s="4" t="s">
        <v>134</v>
      </c>
      <c r="P39" s="4" t="s">
        <v>34</v>
      </c>
      <c r="Q39" s="152">
        <v>6100</v>
      </c>
      <c r="R39" s="167">
        <v>1</v>
      </c>
      <c r="S39" s="169">
        <v>203</v>
      </c>
      <c r="U39" s="152">
        <v>12.382999999999999</v>
      </c>
      <c r="V39" s="166">
        <v>1.9999999999999999E-6</v>
      </c>
      <c r="W39" s="166">
        <v>2.5571674667448701E-3</v>
      </c>
      <c r="X39" s="166">
        <v>7.8262790552483799E-4</v>
      </c>
    </row>
    <row r="40" spans="1:24">
      <c r="A40" s="4">
        <v>337</v>
      </c>
      <c r="B40" s="4">
        <v>1477</v>
      </c>
      <c r="C40" s="4" t="s">
        <v>1581</v>
      </c>
      <c r="D40" s="4" t="s">
        <v>1582</v>
      </c>
      <c r="E40" s="4" t="s">
        <v>1303</v>
      </c>
      <c r="F40" s="4" t="s">
        <v>1583</v>
      </c>
      <c r="G40" s="4" t="s">
        <v>1584</v>
      </c>
      <c r="H40" s="4" t="s">
        <v>318</v>
      </c>
      <c r="I40" s="4" t="s">
        <v>930</v>
      </c>
      <c r="J40" s="4" t="s">
        <v>30</v>
      </c>
      <c r="K40" s="4" t="s">
        <v>30</v>
      </c>
      <c r="L40" s="2" t="s">
        <v>324</v>
      </c>
      <c r="M40" s="2" t="s">
        <v>41</v>
      </c>
      <c r="N40" s="4" t="s">
        <v>457</v>
      </c>
      <c r="O40" s="4" t="s">
        <v>134</v>
      </c>
      <c r="P40" s="4" t="s">
        <v>34</v>
      </c>
      <c r="Q40" s="152">
        <v>65</v>
      </c>
      <c r="R40" s="167">
        <v>1</v>
      </c>
      <c r="S40" s="169">
        <v>7795</v>
      </c>
      <c r="U40" s="152">
        <v>5.0670000000000002</v>
      </c>
      <c r="V40" s="166">
        <v>9.9999999999999995E-7</v>
      </c>
      <c r="W40" s="166">
        <v>1.0463157766397099E-3</v>
      </c>
      <c r="X40" s="166">
        <v>3.20227726747797E-4</v>
      </c>
    </row>
    <row r="41" spans="1:24">
      <c r="A41" s="4">
        <v>337</v>
      </c>
      <c r="B41" s="4">
        <v>1477</v>
      </c>
      <c r="C41" s="4" t="s">
        <v>1585</v>
      </c>
      <c r="D41" s="4" t="s">
        <v>1586</v>
      </c>
      <c r="E41" s="4" t="s">
        <v>1303</v>
      </c>
      <c r="F41" s="4" t="s">
        <v>1587</v>
      </c>
      <c r="G41" s="4" t="s">
        <v>1588</v>
      </c>
      <c r="H41" s="4" t="s">
        <v>318</v>
      </c>
      <c r="I41" s="4" t="s">
        <v>930</v>
      </c>
      <c r="J41" s="4" t="s">
        <v>30</v>
      </c>
      <c r="K41" s="4" t="s">
        <v>30</v>
      </c>
      <c r="L41" s="2" t="s">
        <v>324</v>
      </c>
      <c r="M41" s="2" t="s">
        <v>41</v>
      </c>
      <c r="N41" s="4" t="s">
        <v>441</v>
      </c>
      <c r="O41" s="4" t="s">
        <v>134</v>
      </c>
      <c r="P41" s="4" t="s">
        <v>34</v>
      </c>
      <c r="Q41" s="152">
        <v>1750</v>
      </c>
      <c r="R41" s="167">
        <v>1</v>
      </c>
      <c r="S41" s="169">
        <v>9094</v>
      </c>
      <c r="U41" s="152">
        <v>159.14500000000001</v>
      </c>
      <c r="V41" s="166">
        <v>2.1999999999999999E-5</v>
      </c>
      <c r="W41" s="166">
        <v>3.2864444520319197E-2</v>
      </c>
      <c r="X41" s="166">
        <v>1.00582506682347E-2</v>
      </c>
    </row>
    <row r="42" spans="1:24">
      <c r="A42" s="4">
        <v>337</v>
      </c>
      <c r="B42" s="4">
        <v>1477</v>
      </c>
      <c r="C42" s="4" t="s">
        <v>1174</v>
      </c>
      <c r="D42" s="4" t="s">
        <v>1589</v>
      </c>
      <c r="E42" s="4" t="s">
        <v>1303</v>
      </c>
      <c r="F42" s="4" t="s">
        <v>1590</v>
      </c>
      <c r="G42" s="4" t="s">
        <v>1591</v>
      </c>
      <c r="H42" s="4" t="s">
        <v>318</v>
      </c>
      <c r="I42" s="4" t="s">
        <v>930</v>
      </c>
      <c r="J42" s="4" t="s">
        <v>30</v>
      </c>
      <c r="K42" s="4" t="s">
        <v>30</v>
      </c>
      <c r="L42" s="2" t="s">
        <v>324</v>
      </c>
      <c r="M42" s="2" t="s">
        <v>41</v>
      </c>
      <c r="N42" s="4" t="s">
        <v>444</v>
      </c>
      <c r="O42" s="4" t="s">
        <v>134</v>
      </c>
      <c r="P42" s="4" t="s">
        <v>34</v>
      </c>
      <c r="Q42" s="152">
        <v>2542</v>
      </c>
      <c r="R42" s="167">
        <v>1</v>
      </c>
      <c r="S42" s="169">
        <v>4982</v>
      </c>
      <c r="U42" s="152">
        <v>126.642</v>
      </c>
      <c r="V42" s="166">
        <v>1.9999999999999999E-6</v>
      </c>
      <c r="W42" s="166">
        <v>2.61524612353379E-2</v>
      </c>
      <c r="X42" s="166">
        <v>8.0040303293026794E-3</v>
      </c>
    </row>
    <row r="43" spans="1:24">
      <c r="A43" s="4">
        <v>337</v>
      </c>
      <c r="B43" s="4">
        <v>1477</v>
      </c>
      <c r="C43" s="4" t="s">
        <v>1592</v>
      </c>
      <c r="D43" s="4" t="s">
        <v>1593</v>
      </c>
      <c r="E43" s="4" t="s">
        <v>1303</v>
      </c>
      <c r="F43" s="4" t="s">
        <v>1594</v>
      </c>
      <c r="G43" s="4" t="s">
        <v>1595</v>
      </c>
      <c r="H43" s="4" t="s">
        <v>318</v>
      </c>
      <c r="I43" s="4" t="s">
        <v>930</v>
      </c>
      <c r="J43" s="4" t="s">
        <v>30</v>
      </c>
      <c r="K43" s="4" t="s">
        <v>30</v>
      </c>
      <c r="L43" s="2" t="s">
        <v>324</v>
      </c>
      <c r="M43" s="2" t="s">
        <v>41</v>
      </c>
      <c r="N43" s="4" t="s">
        <v>460</v>
      </c>
      <c r="O43" s="4" t="s">
        <v>134</v>
      </c>
      <c r="P43" s="4" t="s">
        <v>34</v>
      </c>
      <c r="Q43" s="152">
        <v>5129</v>
      </c>
      <c r="R43" s="167">
        <v>1</v>
      </c>
      <c r="S43" s="169">
        <v>992.1</v>
      </c>
      <c r="T43" s="151">
        <v>0.48699999999999999</v>
      </c>
      <c r="U43" s="152">
        <v>51.372</v>
      </c>
      <c r="V43" s="166">
        <v>6.9999999999999999E-6</v>
      </c>
      <c r="W43" s="166">
        <v>1.0608606139544599E-2</v>
      </c>
      <c r="X43" s="166">
        <v>3.24679212898733E-3</v>
      </c>
    </row>
    <row r="44" spans="1:24">
      <c r="A44" s="4">
        <v>337</v>
      </c>
      <c r="B44" s="4">
        <v>1477</v>
      </c>
      <c r="C44" s="4" t="s">
        <v>1596</v>
      </c>
      <c r="D44" s="4" t="s">
        <v>1597</v>
      </c>
      <c r="E44" s="4" t="s">
        <v>1303</v>
      </c>
      <c r="F44" s="4" t="s">
        <v>1598</v>
      </c>
      <c r="G44" s="4" t="s">
        <v>1599</v>
      </c>
      <c r="H44" s="4" t="s">
        <v>318</v>
      </c>
      <c r="I44" s="4" t="s">
        <v>930</v>
      </c>
      <c r="J44" s="4" t="s">
        <v>30</v>
      </c>
      <c r="K44" s="4" t="s">
        <v>30</v>
      </c>
      <c r="L44" s="2" t="s">
        <v>324</v>
      </c>
      <c r="M44" s="2" t="s">
        <v>41</v>
      </c>
      <c r="N44" s="4" t="s">
        <v>444</v>
      </c>
      <c r="O44" s="4" t="s">
        <v>134</v>
      </c>
      <c r="P44" s="4" t="s">
        <v>34</v>
      </c>
      <c r="Q44" s="152">
        <v>499</v>
      </c>
      <c r="R44" s="167">
        <v>1</v>
      </c>
      <c r="S44" s="169">
        <v>16650</v>
      </c>
      <c r="U44" s="152">
        <v>83.084000000000003</v>
      </c>
      <c r="V44" s="166">
        <v>1.9999999999999999E-6</v>
      </c>
      <c r="W44" s="166">
        <v>1.7157265866372999E-2</v>
      </c>
      <c r="X44" s="166">
        <v>5.2510268584892899E-3</v>
      </c>
    </row>
    <row r="45" spans="1:24">
      <c r="A45" s="4">
        <v>337</v>
      </c>
      <c r="B45" s="4">
        <v>1477</v>
      </c>
      <c r="C45" s="4" t="s">
        <v>1600</v>
      </c>
      <c r="D45" s="4" t="s">
        <v>1601</v>
      </c>
      <c r="E45" s="4" t="s">
        <v>1303</v>
      </c>
      <c r="F45" s="4" t="s">
        <v>1602</v>
      </c>
      <c r="G45" s="4" t="s">
        <v>1603</v>
      </c>
      <c r="H45" s="4" t="s">
        <v>318</v>
      </c>
      <c r="I45" s="4" t="s">
        <v>930</v>
      </c>
      <c r="J45" s="4" t="s">
        <v>30</v>
      </c>
      <c r="K45" s="4" t="s">
        <v>30</v>
      </c>
      <c r="L45" s="2" t="s">
        <v>324</v>
      </c>
      <c r="M45" s="2" t="s">
        <v>41</v>
      </c>
      <c r="N45" s="4" t="s">
        <v>473</v>
      </c>
      <c r="O45" s="4" t="s">
        <v>134</v>
      </c>
      <c r="P45" s="4" t="s">
        <v>34</v>
      </c>
      <c r="Q45" s="152">
        <v>235</v>
      </c>
      <c r="R45" s="167">
        <v>1</v>
      </c>
      <c r="S45" s="169">
        <v>8638</v>
      </c>
      <c r="T45" s="151">
        <v>0.193</v>
      </c>
      <c r="U45" s="152">
        <v>20.492000000000001</v>
      </c>
      <c r="V45" s="166">
        <v>3.9999999999999998E-6</v>
      </c>
      <c r="W45" s="166">
        <v>4.2317270232202098E-3</v>
      </c>
      <c r="X45" s="166">
        <v>1.29513131228418E-3</v>
      </c>
    </row>
    <row r="46" spans="1:24">
      <c r="A46" s="4">
        <v>337</v>
      </c>
      <c r="B46" s="4">
        <v>1477</v>
      </c>
      <c r="C46" s="4" t="s">
        <v>1604</v>
      </c>
      <c r="D46" s="4" t="s">
        <v>1605</v>
      </c>
      <c r="E46" s="4" t="s">
        <v>1303</v>
      </c>
      <c r="F46" s="4" t="s">
        <v>1606</v>
      </c>
      <c r="G46" s="4" t="s">
        <v>1607</v>
      </c>
      <c r="H46" s="4" t="s">
        <v>318</v>
      </c>
      <c r="I46" s="4" t="s">
        <v>930</v>
      </c>
      <c r="J46" s="4" t="s">
        <v>30</v>
      </c>
      <c r="K46" s="4" t="s">
        <v>30</v>
      </c>
      <c r="L46" s="2" t="s">
        <v>324</v>
      </c>
      <c r="M46" s="2" t="s">
        <v>41</v>
      </c>
      <c r="N46" s="4" t="s">
        <v>460</v>
      </c>
      <c r="O46" s="4" t="s">
        <v>134</v>
      </c>
      <c r="P46" s="4" t="s">
        <v>34</v>
      </c>
      <c r="Q46" s="152">
        <v>245</v>
      </c>
      <c r="R46" s="167">
        <v>1</v>
      </c>
      <c r="S46" s="169">
        <v>28940</v>
      </c>
      <c r="T46" s="151">
        <v>0.46300000000000002</v>
      </c>
      <c r="U46" s="152">
        <v>71.366</v>
      </c>
      <c r="V46" s="166">
        <v>5.0000000000000004E-6</v>
      </c>
      <c r="W46" s="166">
        <v>1.47376088772532E-2</v>
      </c>
      <c r="X46" s="166">
        <v>4.5104844004335599E-3</v>
      </c>
    </row>
    <row r="47" spans="1:24">
      <c r="A47" s="4">
        <v>337</v>
      </c>
      <c r="B47" s="4">
        <v>1477</v>
      </c>
      <c r="C47" s="4" t="s">
        <v>1608</v>
      </c>
      <c r="D47" s="4" t="s">
        <v>1609</v>
      </c>
      <c r="E47" s="4" t="s">
        <v>1303</v>
      </c>
      <c r="F47" s="4" t="s">
        <v>1610</v>
      </c>
      <c r="G47" s="4" t="s">
        <v>1611</v>
      </c>
      <c r="H47" s="4" t="s">
        <v>318</v>
      </c>
      <c r="I47" s="4" t="s">
        <v>930</v>
      </c>
      <c r="J47" s="4" t="s">
        <v>30</v>
      </c>
      <c r="K47" s="4" t="s">
        <v>30</v>
      </c>
      <c r="L47" s="2" t="s">
        <v>324</v>
      </c>
      <c r="M47" s="2" t="s">
        <v>41</v>
      </c>
      <c r="N47" s="4" t="s">
        <v>441</v>
      </c>
      <c r="O47" s="4" t="s">
        <v>134</v>
      </c>
      <c r="P47" s="4" t="s">
        <v>34</v>
      </c>
      <c r="Q47" s="152">
        <v>242</v>
      </c>
      <c r="R47" s="167">
        <v>1</v>
      </c>
      <c r="S47" s="169">
        <v>18600</v>
      </c>
      <c r="T47" s="151">
        <v>0.58199999999999996</v>
      </c>
      <c r="U47" s="152">
        <v>45.594000000000001</v>
      </c>
      <c r="V47" s="166">
        <v>3.9999999999999998E-6</v>
      </c>
      <c r="W47" s="166">
        <v>9.4154935036427599E-3</v>
      </c>
      <c r="X47" s="166">
        <v>2.88163683296767E-3</v>
      </c>
    </row>
    <row r="48" spans="1:24">
      <c r="A48" s="4">
        <v>337</v>
      </c>
      <c r="B48" s="4">
        <v>1477</v>
      </c>
      <c r="C48" s="4" t="s">
        <v>1612</v>
      </c>
      <c r="D48" s="4" t="s">
        <v>1613</v>
      </c>
      <c r="E48" s="4" t="s">
        <v>1303</v>
      </c>
      <c r="F48" s="4" t="s">
        <v>1614</v>
      </c>
      <c r="G48" s="4" t="s">
        <v>1615</v>
      </c>
      <c r="H48" s="4" t="s">
        <v>318</v>
      </c>
      <c r="I48" s="4" t="s">
        <v>930</v>
      </c>
      <c r="J48" s="4" t="s">
        <v>30</v>
      </c>
      <c r="K48" s="4" t="s">
        <v>30</v>
      </c>
      <c r="L48" s="2" t="s">
        <v>324</v>
      </c>
      <c r="M48" s="2" t="s">
        <v>41</v>
      </c>
      <c r="N48" s="4" t="s">
        <v>439</v>
      </c>
      <c r="O48" s="4" t="s">
        <v>134</v>
      </c>
      <c r="P48" s="4" t="s">
        <v>34</v>
      </c>
      <c r="Q48" s="152">
        <v>3856</v>
      </c>
      <c r="R48" s="167">
        <v>1</v>
      </c>
      <c r="S48" s="169">
        <v>1700</v>
      </c>
      <c r="U48" s="152">
        <v>65.552000000000007</v>
      </c>
      <c r="V48" s="166">
        <v>6.3999999999999997E-5</v>
      </c>
      <c r="W48" s="166">
        <v>1.3536900733268201E-2</v>
      </c>
      <c r="X48" s="166">
        <v>4.1430044789602001E-3</v>
      </c>
    </row>
    <row r="49" spans="1:24">
      <c r="A49" s="4">
        <v>337</v>
      </c>
      <c r="B49" s="4">
        <v>1477</v>
      </c>
      <c r="C49" s="4" t="s">
        <v>1616</v>
      </c>
      <c r="D49" s="4" t="s">
        <v>1617</v>
      </c>
      <c r="E49" s="4" t="s">
        <v>309</v>
      </c>
      <c r="F49" s="4" t="s">
        <v>1618</v>
      </c>
      <c r="G49" s="4" t="s">
        <v>1619</v>
      </c>
      <c r="H49" s="4" t="s">
        <v>318</v>
      </c>
      <c r="I49" s="4" t="s">
        <v>930</v>
      </c>
      <c r="J49" s="4" t="s">
        <v>30</v>
      </c>
      <c r="K49" s="4" t="s">
        <v>80</v>
      </c>
      <c r="L49" s="2" t="s">
        <v>324</v>
      </c>
      <c r="M49" s="2" t="s">
        <v>41</v>
      </c>
      <c r="N49" s="4" t="s">
        <v>450</v>
      </c>
      <c r="O49" s="4" t="s">
        <v>134</v>
      </c>
      <c r="P49" s="4" t="s">
        <v>34</v>
      </c>
      <c r="Q49" s="152">
        <v>1398</v>
      </c>
      <c r="R49" s="167">
        <v>1</v>
      </c>
      <c r="S49" s="169">
        <v>8700</v>
      </c>
      <c r="U49" s="152">
        <v>121.626</v>
      </c>
      <c r="V49" s="166">
        <v>1.4E-5</v>
      </c>
      <c r="W49" s="166">
        <v>2.5116534790463701E-2</v>
      </c>
      <c r="X49" s="166">
        <v>7.6869822851783898E-3</v>
      </c>
    </row>
    <row r="50" spans="1:24">
      <c r="A50" s="4">
        <v>337</v>
      </c>
      <c r="B50" s="4">
        <v>1477</v>
      </c>
      <c r="C50" s="4" t="s">
        <v>1620</v>
      </c>
      <c r="D50" s="4" t="s">
        <v>1621</v>
      </c>
      <c r="E50" s="4" t="s">
        <v>1303</v>
      </c>
      <c r="F50" s="4" t="s">
        <v>1622</v>
      </c>
      <c r="G50" s="4" t="s">
        <v>1623</v>
      </c>
      <c r="H50" s="4" t="s">
        <v>318</v>
      </c>
      <c r="I50" s="4" t="s">
        <v>930</v>
      </c>
      <c r="J50" s="4" t="s">
        <v>30</v>
      </c>
      <c r="K50" s="4" t="s">
        <v>295</v>
      </c>
      <c r="L50" s="2" t="s">
        <v>324</v>
      </c>
      <c r="M50" s="2" t="s">
        <v>41</v>
      </c>
      <c r="N50" s="4" t="s">
        <v>454</v>
      </c>
      <c r="O50" s="4" t="s">
        <v>134</v>
      </c>
      <c r="P50" s="4" t="s">
        <v>34</v>
      </c>
      <c r="Q50" s="152">
        <v>176</v>
      </c>
      <c r="R50" s="167">
        <v>1</v>
      </c>
      <c r="S50" s="169">
        <v>68020</v>
      </c>
      <c r="U50" s="152">
        <v>119.715</v>
      </c>
      <c r="V50" s="166">
        <v>6.0000000000000002E-6</v>
      </c>
      <c r="W50" s="166">
        <v>2.4721942559545799E-2</v>
      </c>
      <c r="X50" s="166">
        <v>7.5662162832501904E-3</v>
      </c>
    </row>
    <row r="51" spans="1:24">
      <c r="A51" s="4">
        <v>337</v>
      </c>
      <c r="B51" s="4">
        <v>1477</v>
      </c>
      <c r="C51" s="4" t="s">
        <v>1624</v>
      </c>
      <c r="D51" s="4" t="s">
        <v>1625</v>
      </c>
      <c r="E51" s="4" t="s">
        <v>1303</v>
      </c>
      <c r="F51" s="4" t="s">
        <v>1626</v>
      </c>
      <c r="G51" s="4" t="s">
        <v>1627</v>
      </c>
      <c r="H51" s="4" t="s">
        <v>318</v>
      </c>
      <c r="I51" s="4" t="s">
        <v>930</v>
      </c>
      <c r="J51" s="4" t="s">
        <v>30</v>
      </c>
      <c r="K51" s="4" t="s">
        <v>30</v>
      </c>
      <c r="L51" s="2" t="s">
        <v>324</v>
      </c>
      <c r="M51" s="2" t="s">
        <v>41</v>
      </c>
      <c r="N51" s="4" t="s">
        <v>437</v>
      </c>
      <c r="O51" s="4" t="s">
        <v>134</v>
      </c>
      <c r="P51" s="4" t="s">
        <v>34</v>
      </c>
      <c r="Q51" s="152">
        <v>958</v>
      </c>
      <c r="R51" s="167">
        <v>1</v>
      </c>
      <c r="S51" s="169">
        <v>8514</v>
      </c>
      <c r="U51" s="152">
        <v>81.563999999999993</v>
      </c>
      <c r="V51" s="166">
        <v>2.6999999999999999E-5</v>
      </c>
      <c r="W51" s="166">
        <v>1.6843504329942201E-2</v>
      </c>
      <c r="X51" s="166">
        <v>5.1549993056267899E-3</v>
      </c>
    </row>
    <row r="52" spans="1:24">
      <c r="A52" s="4">
        <v>337</v>
      </c>
      <c r="B52" s="4">
        <v>1477</v>
      </c>
      <c r="C52" s="4" t="s">
        <v>1628</v>
      </c>
      <c r="D52" s="4" t="s">
        <v>1629</v>
      </c>
      <c r="E52" s="4" t="s">
        <v>309</v>
      </c>
      <c r="F52" s="4" t="s">
        <v>1630</v>
      </c>
      <c r="G52" s="4" t="s">
        <v>1631</v>
      </c>
      <c r="H52" s="4" t="s">
        <v>318</v>
      </c>
      <c r="I52" s="4" t="s">
        <v>930</v>
      </c>
      <c r="J52" s="4" t="s">
        <v>30</v>
      </c>
      <c r="K52" s="4" t="s">
        <v>30</v>
      </c>
      <c r="L52" s="2" t="s">
        <v>324</v>
      </c>
      <c r="M52" s="2" t="s">
        <v>41</v>
      </c>
      <c r="N52" s="4" t="s">
        <v>450</v>
      </c>
      <c r="O52" s="4" t="s">
        <v>134</v>
      </c>
      <c r="P52" s="4" t="s">
        <v>34</v>
      </c>
      <c r="Q52" s="152">
        <v>8064</v>
      </c>
      <c r="R52" s="167">
        <v>1</v>
      </c>
      <c r="S52" s="169">
        <v>1249</v>
      </c>
      <c r="T52" s="151">
        <v>2.198</v>
      </c>
      <c r="U52" s="152">
        <v>102.917</v>
      </c>
      <c r="V52" s="166">
        <v>6.9999999999999999E-6</v>
      </c>
      <c r="W52" s="166">
        <v>2.1253043599567999E-2</v>
      </c>
      <c r="X52" s="166">
        <v>6.5045505289222103E-3</v>
      </c>
    </row>
    <row r="53" spans="1:24">
      <c r="A53" s="4">
        <v>337</v>
      </c>
      <c r="B53" s="4">
        <v>1477</v>
      </c>
      <c r="C53" s="4" t="s">
        <v>1632</v>
      </c>
      <c r="D53" s="4" t="s">
        <v>1633</v>
      </c>
      <c r="E53" s="4" t="s">
        <v>1303</v>
      </c>
      <c r="F53" s="4" t="s">
        <v>1634</v>
      </c>
      <c r="G53" s="4" t="s">
        <v>1635</v>
      </c>
      <c r="H53" s="4" t="s">
        <v>318</v>
      </c>
      <c r="I53" s="4" t="s">
        <v>930</v>
      </c>
      <c r="J53" s="4" t="s">
        <v>30</v>
      </c>
      <c r="K53" s="4" t="s">
        <v>80</v>
      </c>
      <c r="L53" s="2" t="s">
        <v>324</v>
      </c>
      <c r="M53" s="2" t="s">
        <v>41</v>
      </c>
      <c r="N53" s="4" t="s">
        <v>477</v>
      </c>
      <c r="O53" s="4" t="s">
        <v>134</v>
      </c>
      <c r="P53" s="4" t="s">
        <v>34</v>
      </c>
      <c r="Q53" s="152">
        <v>42</v>
      </c>
      <c r="R53" s="167">
        <v>1</v>
      </c>
      <c r="S53" s="169">
        <v>56600</v>
      </c>
      <c r="U53" s="152">
        <v>23.771999999999998</v>
      </c>
      <c r="V53" s="166">
        <v>9.9999999999999995E-7</v>
      </c>
      <c r="W53" s="166">
        <v>4.90906767499467E-3</v>
      </c>
      <c r="X53" s="166">
        <v>1.50243322055531E-3</v>
      </c>
    </row>
    <row r="54" spans="1:24">
      <c r="A54" s="4">
        <v>337</v>
      </c>
      <c r="B54" s="4">
        <v>1477</v>
      </c>
      <c r="C54" s="4" t="s">
        <v>1636</v>
      </c>
      <c r="D54" s="4" t="s">
        <v>1637</v>
      </c>
      <c r="E54" s="4" t="s">
        <v>1303</v>
      </c>
      <c r="F54" s="4" t="s">
        <v>1638</v>
      </c>
      <c r="G54" s="4" t="s">
        <v>1639</v>
      </c>
      <c r="H54" s="4" t="s">
        <v>318</v>
      </c>
      <c r="I54" s="4" t="s">
        <v>930</v>
      </c>
      <c r="J54" s="4" t="s">
        <v>30</v>
      </c>
      <c r="K54" s="4" t="s">
        <v>30</v>
      </c>
      <c r="L54" s="2" t="s">
        <v>324</v>
      </c>
      <c r="M54" s="2" t="s">
        <v>41</v>
      </c>
      <c r="N54" s="4" t="s">
        <v>460</v>
      </c>
      <c r="O54" s="4" t="s">
        <v>134</v>
      </c>
      <c r="P54" s="4" t="s">
        <v>34</v>
      </c>
      <c r="Q54" s="152">
        <v>137</v>
      </c>
      <c r="R54" s="167">
        <v>1</v>
      </c>
      <c r="S54" s="169">
        <v>21700</v>
      </c>
      <c r="U54" s="152">
        <v>29.728999999999999</v>
      </c>
      <c r="V54" s="166">
        <v>1.9000000000000001E-5</v>
      </c>
      <c r="W54" s="166">
        <v>6.1392256818911597E-3</v>
      </c>
      <c r="X54" s="166">
        <v>1.8789263509123701E-3</v>
      </c>
    </row>
    <row r="55" spans="1:24">
      <c r="A55" s="4">
        <v>337</v>
      </c>
      <c r="B55" s="4">
        <v>1477</v>
      </c>
      <c r="C55" s="4" t="s">
        <v>1640</v>
      </c>
      <c r="D55" s="4" t="s">
        <v>1641</v>
      </c>
      <c r="E55" s="4" t="s">
        <v>1303</v>
      </c>
      <c r="F55" s="4" t="s">
        <v>1640</v>
      </c>
      <c r="G55" s="4" t="s">
        <v>1642</v>
      </c>
      <c r="H55" s="4" t="s">
        <v>318</v>
      </c>
      <c r="I55" s="4" t="s">
        <v>930</v>
      </c>
      <c r="J55" s="4" t="s">
        <v>30</v>
      </c>
      <c r="K55" s="4" t="s">
        <v>30</v>
      </c>
      <c r="L55" s="2" t="s">
        <v>324</v>
      </c>
      <c r="M55" s="2" t="s">
        <v>41</v>
      </c>
      <c r="N55" s="4" t="s">
        <v>435</v>
      </c>
      <c r="O55" s="4" t="s">
        <v>134</v>
      </c>
      <c r="P55" s="4" t="s">
        <v>34</v>
      </c>
      <c r="Q55" s="152">
        <v>915</v>
      </c>
      <c r="R55" s="167">
        <v>1</v>
      </c>
      <c r="S55" s="169">
        <v>8478</v>
      </c>
      <c r="U55" s="152">
        <v>77.573999999999998</v>
      </c>
      <c r="V55" s="166">
        <v>1.1E-5</v>
      </c>
      <c r="W55" s="166">
        <v>1.60194574751697E-2</v>
      </c>
      <c r="X55" s="166">
        <v>4.9027975736745701E-3</v>
      </c>
    </row>
    <row r="56" spans="1:24">
      <c r="A56" s="4">
        <v>337</v>
      </c>
      <c r="B56" s="4">
        <v>1477</v>
      </c>
      <c r="C56" s="4" t="s">
        <v>1643</v>
      </c>
      <c r="D56" s="4" t="s">
        <v>1644</v>
      </c>
      <c r="E56" s="4" t="s">
        <v>1303</v>
      </c>
      <c r="F56" s="4" t="s">
        <v>1645</v>
      </c>
      <c r="G56" s="4" t="s">
        <v>1646</v>
      </c>
      <c r="H56" s="4" t="s">
        <v>318</v>
      </c>
      <c r="I56" s="4" t="s">
        <v>930</v>
      </c>
      <c r="J56" s="4" t="s">
        <v>30</v>
      </c>
      <c r="K56" s="4" t="s">
        <v>30</v>
      </c>
      <c r="L56" s="2" t="s">
        <v>324</v>
      </c>
      <c r="M56" s="2" t="s">
        <v>41</v>
      </c>
      <c r="N56" s="4" t="s">
        <v>437</v>
      </c>
      <c r="O56" s="4" t="s">
        <v>134</v>
      </c>
      <c r="P56" s="4" t="s">
        <v>34</v>
      </c>
      <c r="Q56" s="152">
        <v>191</v>
      </c>
      <c r="R56" s="167">
        <v>1</v>
      </c>
      <c r="S56" s="169">
        <v>3261</v>
      </c>
      <c r="U56" s="152">
        <v>6.2290000000000001</v>
      </c>
      <c r="V56" s="166">
        <v>1.2E-5</v>
      </c>
      <c r="W56" s="166">
        <v>1.2862265313974899E-3</v>
      </c>
      <c r="X56" s="166">
        <v>3.9365305142861299E-4</v>
      </c>
    </row>
    <row r="57" spans="1:24">
      <c r="A57" s="4">
        <v>337</v>
      </c>
      <c r="B57" s="4">
        <v>1477</v>
      </c>
      <c r="C57" s="4" t="s">
        <v>1647</v>
      </c>
      <c r="D57" s="4" t="s">
        <v>1648</v>
      </c>
      <c r="E57" s="4" t="s">
        <v>1303</v>
      </c>
      <c r="F57" s="4" t="s">
        <v>1649</v>
      </c>
      <c r="G57" s="4" t="s">
        <v>1650</v>
      </c>
      <c r="H57" s="4" t="s">
        <v>318</v>
      </c>
      <c r="I57" s="4" t="s">
        <v>930</v>
      </c>
      <c r="J57" s="4" t="s">
        <v>30</v>
      </c>
      <c r="K57" s="4" t="s">
        <v>30</v>
      </c>
      <c r="L57" s="2" t="s">
        <v>324</v>
      </c>
      <c r="M57" s="2" t="s">
        <v>41</v>
      </c>
      <c r="N57" s="4" t="s">
        <v>460</v>
      </c>
      <c r="O57" s="4" t="s">
        <v>134</v>
      </c>
      <c r="P57" s="4" t="s">
        <v>34</v>
      </c>
      <c r="Q57" s="152">
        <v>1229</v>
      </c>
      <c r="R57" s="167">
        <v>1</v>
      </c>
      <c r="S57" s="169">
        <v>835</v>
      </c>
      <c r="U57" s="152">
        <v>10.262</v>
      </c>
      <c r="V57" s="166">
        <v>6.0000000000000002E-6</v>
      </c>
      <c r="W57" s="166">
        <v>2.1191985882949098E-3</v>
      </c>
      <c r="X57" s="166">
        <v>6.4858636523312005E-4</v>
      </c>
    </row>
    <row r="58" spans="1:24">
      <c r="A58" s="4">
        <v>337</v>
      </c>
      <c r="B58" s="4">
        <v>1477</v>
      </c>
      <c r="C58" s="4" t="s">
        <v>1651</v>
      </c>
      <c r="D58" s="4" t="s">
        <v>1652</v>
      </c>
      <c r="E58" s="4" t="s">
        <v>1303</v>
      </c>
      <c r="F58" s="4" t="s">
        <v>1653</v>
      </c>
      <c r="G58" s="4" t="s">
        <v>1654</v>
      </c>
      <c r="H58" s="4" t="s">
        <v>318</v>
      </c>
      <c r="I58" s="4" t="s">
        <v>930</v>
      </c>
      <c r="J58" s="4" t="s">
        <v>30</v>
      </c>
      <c r="K58" s="4" t="s">
        <v>295</v>
      </c>
      <c r="L58" s="2" t="s">
        <v>324</v>
      </c>
      <c r="M58" s="2" t="s">
        <v>41</v>
      </c>
      <c r="N58" s="4" t="s">
        <v>458</v>
      </c>
      <c r="O58" s="4" t="s">
        <v>134</v>
      </c>
      <c r="P58" s="4" t="s">
        <v>34</v>
      </c>
      <c r="Q58" s="152">
        <v>143</v>
      </c>
      <c r="R58" s="167">
        <v>1</v>
      </c>
      <c r="S58" s="169">
        <v>12410</v>
      </c>
      <c r="U58" s="152">
        <v>17.745999999999999</v>
      </c>
      <c r="V58" s="166">
        <v>1.2E-5</v>
      </c>
      <c r="W58" s="166">
        <v>3.6647226855442499E-3</v>
      </c>
      <c r="X58" s="166">
        <v>1.1215981264487999E-3</v>
      </c>
    </row>
    <row r="59" spans="1:24">
      <c r="A59" s="4">
        <v>337</v>
      </c>
      <c r="B59" s="4">
        <v>1477</v>
      </c>
      <c r="C59" s="4" t="s">
        <v>1655</v>
      </c>
      <c r="D59" s="4" t="s">
        <v>1656</v>
      </c>
      <c r="E59" s="4" t="s">
        <v>1303</v>
      </c>
      <c r="F59" s="4" t="s">
        <v>1657</v>
      </c>
      <c r="G59" s="4" t="s">
        <v>1658</v>
      </c>
      <c r="H59" s="4" t="s">
        <v>318</v>
      </c>
      <c r="I59" s="4" t="s">
        <v>930</v>
      </c>
      <c r="J59" s="4" t="s">
        <v>30</v>
      </c>
      <c r="K59" s="4" t="s">
        <v>30</v>
      </c>
      <c r="L59" s="2" t="s">
        <v>324</v>
      </c>
      <c r="M59" s="2" t="s">
        <v>41</v>
      </c>
      <c r="N59" s="4" t="s">
        <v>460</v>
      </c>
      <c r="O59" s="4" t="s">
        <v>134</v>
      </c>
      <c r="P59" s="4" t="s">
        <v>34</v>
      </c>
      <c r="Q59" s="152">
        <v>426</v>
      </c>
      <c r="R59" s="167">
        <v>1</v>
      </c>
      <c r="S59" s="169">
        <v>24920</v>
      </c>
      <c r="U59" s="152">
        <v>106.15900000000001</v>
      </c>
      <c r="V59" s="166">
        <v>3.9999999999999998E-6</v>
      </c>
      <c r="W59" s="166">
        <v>2.1922543207273E-2</v>
      </c>
      <c r="X59" s="166">
        <v>6.7094526647979002E-3</v>
      </c>
    </row>
    <row r="60" spans="1:24">
      <c r="A60" s="4">
        <v>337</v>
      </c>
      <c r="B60" s="4">
        <v>1477</v>
      </c>
      <c r="C60" s="4" t="s">
        <v>1659</v>
      </c>
      <c r="D60" s="4" t="s">
        <v>1660</v>
      </c>
      <c r="E60" s="4" t="s">
        <v>1303</v>
      </c>
      <c r="F60" s="4" t="s">
        <v>1661</v>
      </c>
      <c r="G60" s="4" t="s">
        <v>1662</v>
      </c>
      <c r="H60" s="4" t="s">
        <v>318</v>
      </c>
      <c r="I60" s="4" t="s">
        <v>930</v>
      </c>
      <c r="J60" s="4" t="s">
        <v>30</v>
      </c>
      <c r="K60" s="4" t="s">
        <v>30</v>
      </c>
      <c r="L60" s="2" t="s">
        <v>324</v>
      </c>
      <c r="M60" s="2" t="s">
        <v>41</v>
      </c>
      <c r="N60" s="4" t="s">
        <v>444</v>
      </c>
      <c r="O60" s="4" t="s">
        <v>134</v>
      </c>
      <c r="P60" s="4" t="s">
        <v>34</v>
      </c>
      <c r="Q60" s="152">
        <v>4809</v>
      </c>
      <c r="R60" s="167">
        <v>1</v>
      </c>
      <c r="S60" s="169">
        <v>5008</v>
      </c>
      <c r="U60" s="152">
        <v>240.83500000000001</v>
      </c>
      <c r="V60" s="166">
        <v>3.9999999999999998E-6</v>
      </c>
      <c r="W60" s="166">
        <v>4.9733886041073302E-2</v>
      </c>
      <c r="X60" s="166">
        <v>1.52211881201051E-2</v>
      </c>
    </row>
    <row r="61" spans="1:24">
      <c r="A61" s="4">
        <v>337</v>
      </c>
      <c r="B61" s="4">
        <v>1477</v>
      </c>
      <c r="C61" s="4" t="s">
        <v>1663</v>
      </c>
      <c r="D61" s="4" t="s">
        <v>1664</v>
      </c>
      <c r="E61" s="4" t="s">
        <v>1303</v>
      </c>
      <c r="F61" s="4" t="s">
        <v>1665</v>
      </c>
      <c r="G61" s="4" t="s">
        <v>1666</v>
      </c>
      <c r="H61" s="4" t="s">
        <v>318</v>
      </c>
      <c r="I61" s="4" t="s">
        <v>930</v>
      </c>
      <c r="J61" s="4" t="s">
        <v>30</v>
      </c>
      <c r="K61" s="4" t="s">
        <v>30</v>
      </c>
      <c r="L61" s="2" t="s">
        <v>324</v>
      </c>
      <c r="M61" s="2" t="s">
        <v>41</v>
      </c>
      <c r="N61" s="4" t="s">
        <v>472</v>
      </c>
      <c r="O61" s="4" t="s">
        <v>134</v>
      </c>
      <c r="P61" s="4" t="s">
        <v>34</v>
      </c>
      <c r="Q61" s="152">
        <v>199</v>
      </c>
      <c r="R61" s="167">
        <v>1</v>
      </c>
      <c r="S61" s="169">
        <v>30240</v>
      </c>
      <c r="U61" s="152">
        <v>60.177999999999997</v>
      </c>
      <c r="V61" s="166">
        <v>1.4E-5</v>
      </c>
      <c r="W61" s="166">
        <v>1.2427053294580199E-2</v>
      </c>
      <c r="X61" s="166">
        <v>3.8033327180417901E-3</v>
      </c>
    </row>
    <row r="62" spans="1:24">
      <c r="A62" s="4">
        <v>337</v>
      </c>
      <c r="B62" s="4">
        <v>1477</v>
      </c>
      <c r="C62" s="4" t="s">
        <v>1667</v>
      </c>
      <c r="D62" s="4" t="s">
        <v>1668</v>
      </c>
      <c r="E62" s="4" t="s">
        <v>1303</v>
      </c>
      <c r="F62" s="4" t="s">
        <v>1669</v>
      </c>
      <c r="G62" s="4" t="s">
        <v>1670</v>
      </c>
      <c r="H62" s="4" t="s">
        <v>318</v>
      </c>
      <c r="I62" s="4" t="s">
        <v>930</v>
      </c>
      <c r="J62" s="4" t="s">
        <v>30</v>
      </c>
      <c r="K62" s="4" t="s">
        <v>30</v>
      </c>
      <c r="L62" s="2" t="s">
        <v>324</v>
      </c>
      <c r="M62" s="2" t="s">
        <v>41</v>
      </c>
      <c r="N62" s="4" t="s">
        <v>473</v>
      </c>
      <c r="O62" s="4" t="s">
        <v>134</v>
      </c>
      <c r="P62" s="4" t="s">
        <v>34</v>
      </c>
      <c r="Q62" s="152">
        <v>133</v>
      </c>
      <c r="R62" s="167">
        <v>1</v>
      </c>
      <c r="S62" s="169">
        <v>32170</v>
      </c>
      <c r="U62" s="152">
        <v>42.786000000000001</v>
      </c>
      <c r="V62" s="166">
        <v>7.9999999999999996E-6</v>
      </c>
      <c r="W62" s="166">
        <v>8.8355990429534598E-3</v>
      </c>
      <c r="X62" s="166">
        <v>2.7041585906950102E-3</v>
      </c>
    </row>
    <row r="63" spans="1:24">
      <c r="A63" s="4">
        <v>337</v>
      </c>
      <c r="B63" s="4">
        <v>1477</v>
      </c>
      <c r="C63" s="4" t="s">
        <v>1671</v>
      </c>
      <c r="D63" s="4" t="s">
        <v>1672</v>
      </c>
      <c r="E63" s="4" t="s">
        <v>1303</v>
      </c>
      <c r="F63" s="4" t="s">
        <v>1673</v>
      </c>
      <c r="G63" s="4" t="s">
        <v>1674</v>
      </c>
      <c r="H63" s="4" t="s">
        <v>318</v>
      </c>
      <c r="I63" s="4" t="s">
        <v>930</v>
      </c>
      <c r="J63" s="4" t="s">
        <v>30</v>
      </c>
      <c r="K63" s="4" t="s">
        <v>30</v>
      </c>
      <c r="L63" s="2" t="s">
        <v>324</v>
      </c>
      <c r="M63" s="2" t="s">
        <v>41</v>
      </c>
      <c r="N63" s="4" t="s">
        <v>436</v>
      </c>
      <c r="O63" s="4" t="s">
        <v>134</v>
      </c>
      <c r="P63" s="4" t="s">
        <v>34</v>
      </c>
      <c r="Q63" s="152">
        <v>258</v>
      </c>
      <c r="R63" s="167">
        <v>1</v>
      </c>
      <c r="S63" s="169">
        <v>5339</v>
      </c>
      <c r="U63" s="152">
        <v>13.775</v>
      </c>
      <c r="V63" s="166">
        <v>2.0999999999999999E-5</v>
      </c>
      <c r="W63" s="166">
        <v>2.8445457587638898E-3</v>
      </c>
      <c r="X63" s="166">
        <v>8.7058079625297201E-4</v>
      </c>
    </row>
    <row r="64" spans="1:24">
      <c r="A64" s="4">
        <v>337</v>
      </c>
      <c r="B64" s="4">
        <v>1477</v>
      </c>
      <c r="C64" s="4" t="s">
        <v>1675</v>
      </c>
      <c r="D64" s="4" t="s">
        <v>1676</v>
      </c>
      <c r="E64" s="4" t="s">
        <v>1303</v>
      </c>
      <c r="F64" s="4" t="s">
        <v>1677</v>
      </c>
      <c r="G64" s="4" t="s">
        <v>1678</v>
      </c>
      <c r="H64" s="4" t="s">
        <v>318</v>
      </c>
      <c r="I64" s="4" t="s">
        <v>930</v>
      </c>
      <c r="J64" s="4" t="s">
        <v>30</v>
      </c>
      <c r="K64" s="4" t="s">
        <v>30</v>
      </c>
      <c r="L64" s="2" t="s">
        <v>324</v>
      </c>
      <c r="M64" s="2" t="s">
        <v>41</v>
      </c>
      <c r="N64" s="4" t="s">
        <v>457</v>
      </c>
      <c r="O64" s="4" t="s">
        <v>134</v>
      </c>
      <c r="P64" s="4" t="s">
        <v>34</v>
      </c>
      <c r="Q64" s="152">
        <v>147</v>
      </c>
      <c r="R64" s="167">
        <v>1</v>
      </c>
      <c r="S64" s="169">
        <v>48410</v>
      </c>
      <c r="U64" s="152">
        <v>71.162999999999997</v>
      </c>
      <c r="V64" s="166">
        <v>9.0000000000000002E-6</v>
      </c>
      <c r="W64" s="166">
        <v>1.46955456097654E-2</v>
      </c>
      <c r="X64" s="166">
        <v>4.49761082552632E-3</v>
      </c>
    </row>
    <row r="65" spans="1:24">
      <c r="A65" s="4">
        <v>337</v>
      </c>
      <c r="B65" s="4">
        <v>1477</v>
      </c>
      <c r="C65" s="4" t="s">
        <v>1679</v>
      </c>
      <c r="D65" s="4" t="s">
        <v>1680</v>
      </c>
      <c r="E65" s="4" t="s">
        <v>1303</v>
      </c>
      <c r="F65" s="4" t="s">
        <v>1681</v>
      </c>
      <c r="G65" s="4" t="s">
        <v>1682</v>
      </c>
      <c r="H65" s="4" t="s">
        <v>318</v>
      </c>
      <c r="I65" s="4" t="s">
        <v>930</v>
      </c>
      <c r="J65" s="4" t="s">
        <v>30</v>
      </c>
      <c r="K65" s="4" t="s">
        <v>295</v>
      </c>
      <c r="L65" s="2" t="s">
        <v>324</v>
      </c>
      <c r="M65" s="2" t="s">
        <v>41</v>
      </c>
      <c r="N65" s="4" t="s">
        <v>454</v>
      </c>
      <c r="O65" s="4" t="s">
        <v>134</v>
      </c>
      <c r="P65" s="4" t="s">
        <v>34</v>
      </c>
      <c r="Q65" s="152">
        <v>334</v>
      </c>
      <c r="R65" s="167">
        <v>1</v>
      </c>
      <c r="S65" s="169">
        <v>21310</v>
      </c>
      <c r="U65" s="152">
        <v>71.174999999999997</v>
      </c>
      <c r="V65" s="166">
        <v>6.9999999999999999E-6</v>
      </c>
      <c r="W65" s="166">
        <v>1.46981682397281E-2</v>
      </c>
      <c r="X65" s="166">
        <v>4.4984134884028604E-3</v>
      </c>
    </row>
    <row r="66" spans="1:24">
      <c r="A66" s="4">
        <v>337</v>
      </c>
      <c r="B66" s="4">
        <v>1477</v>
      </c>
      <c r="C66" s="4" t="s">
        <v>1683</v>
      </c>
      <c r="D66" s="4" t="s">
        <v>1684</v>
      </c>
      <c r="E66" s="4" t="s">
        <v>1303</v>
      </c>
      <c r="F66" s="4" t="s">
        <v>1685</v>
      </c>
      <c r="G66" s="4" t="s">
        <v>1686</v>
      </c>
      <c r="H66" s="4" t="s">
        <v>318</v>
      </c>
      <c r="I66" s="4" t="s">
        <v>930</v>
      </c>
      <c r="J66" s="4" t="s">
        <v>30</v>
      </c>
      <c r="K66" s="4" t="s">
        <v>30</v>
      </c>
      <c r="L66" s="2" t="s">
        <v>324</v>
      </c>
      <c r="M66" s="2" t="s">
        <v>41</v>
      </c>
      <c r="N66" s="4" t="s">
        <v>458</v>
      </c>
      <c r="O66" s="4" t="s">
        <v>134</v>
      </c>
      <c r="P66" s="4" t="s">
        <v>34</v>
      </c>
      <c r="Q66" s="152">
        <v>1053</v>
      </c>
      <c r="R66" s="167">
        <v>1</v>
      </c>
      <c r="S66" s="169">
        <v>2865</v>
      </c>
      <c r="U66" s="152">
        <v>30.167999999999999</v>
      </c>
      <c r="V66" s="166">
        <v>1.2E-5</v>
      </c>
      <c r="W66" s="166">
        <v>6.2299748737881999E-3</v>
      </c>
      <c r="X66" s="166">
        <v>1.9067003824946201E-3</v>
      </c>
    </row>
    <row r="67" spans="1:24">
      <c r="A67" s="4">
        <v>337</v>
      </c>
      <c r="B67" s="4">
        <v>1477</v>
      </c>
      <c r="C67" s="4" t="s">
        <v>1687</v>
      </c>
      <c r="D67" s="4" t="s">
        <v>1688</v>
      </c>
      <c r="E67" s="4" t="s">
        <v>1303</v>
      </c>
      <c r="F67" s="4" t="s">
        <v>1689</v>
      </c>
      <c r="G67" s="4" t="s">
        <v>1690</v>
      </c>
      <c r="H67" s="4" t="s">
        <v>318</v>
      </c>
      <c r="I67" s="4" t="s">
        <v>930</v>
      </c>
      <c r="J67" s="4" t="s">
        <v>30</v>
      </c>
      <c r="K67" s="4" t="s">
        <v>30</v>
      </c>
      <c r="L67" s="2" t="s">
        <v>324</v>
      </c>
      <c r="M67" s="2" t="s">
        <v>41</v>
      </c>
      <c r="N67" s="4" t="s">
        <v>460</v>
      </c>
      <c r="O67" s="4" t="s">
        <v>134</v>
      </c>
      <c r="P67" s="4" t="s">
        <v>34</v>
      </c>
      <c r="Q67" s="152">
        <v>1995</v>
      </c>
      <c r="R67" s="167">
        <v>1</v>
      </c>
      <c r="S67" s="169">
        <v>1783</v>
      </c>
      <c r="U67" s="152">
        <v>35.570999999999998</v>
      </c>
      <c r="V67" s="166">
        <v>1.0000000000000001E-5</v>
      </c>
      <c r="W67" s="166">
        <v>7.3456044887718498E-3</v>
      </c>
      <c r="X67" s="166">
        <v>2.24814179384949E-3</v>
      </c>
    </row>
    <row r="68" spans="1:24">
      <c r="A68" s="4">
        <v>337</v>
      </c>
      <c r="B68" s="4">
        <v>1477</v>
      </c>
      <c r="C68" s="4" t="s">
        <v>1691</v>
      </c>
      <c r="D68" s="4" t="s">
        <v>1692</v>
      </c>
      <c r="E68" s="4" t="s">
        <v>1303</v>
      </c>
      <c r="F68" s="4" t="s">
        <v>1693</v>
      </c>
      <c r="G68" s="4" t="s">
        <v>1694</v>
      </c>
      <c r="H68" s="4" t="s">
        <v>318</v>
      </c>
      <c r="I68" s="4" t="s">
        <v>930</v>
      </c>
      <c r="J68" s="4" t="s">
        <v>30</v>
      </c>
      <c r="K68" s="4" t="s">
        <v>30</v>
      </c>
      <c r="L68" s="2" t="s">
        <v>324</v>
      </c>
      <c r="M68" s="2" t="s">
        <v>41</v>
      </c>
      <c r="N68" s="4" t="s">
        <v>472</v>
      </c>
      <c r="O68" s="4" t="s">
        <v>134</v>
      </c>
      <c r="P68" s="4" t="s">
        <v>34</v>
      </c>
      <c r="Q68" s="152">
        <v>59</v>
      </c>
      <c r="R68" s="167">
        <v>1</v>
      </c>
      <c r="S68" s="169">
        <v>8050</v>
      </c>
      <c r="U68" s="152">
        <v>4.75</v>
      </c>
      <c r="V68" s="166">
        <v>9.9999999999999995E-7</v>
      </c>
      <c r="W68" s="166">
        <v>9.8080165414719898E-4</v>
      </c>
      <c r="X68" s="166">
        <v>3.0017695528468201E-4</v>
      </c>
    </row>
    <row r="69" spans="1:24">
      <c r="A69" s="4">
        <v>337</v>
      </c>
      <c r="B69" s="4">
        <v>1477</v>
      </c>
      <c r="C69" s="4" t="s">
        <v>1695</v>
      </c>
      <c r="D69" s="4" t="s">
        <v>1696</v>
      </c>
      <c r="E69" s="4" t="s">
        <v>1303</v>
      </c>
      <c r="F69" s="4" t="s">
        <v>1697</v>
      </c>
      <c r="G69" s="4" t="s">
        <v>1698</v>
      </c>
      <c r="H69" s="4" t="s">
        <v>318</v>
      </c>
      <c r="I69" s="4" t="s">
        <v>930</v>
      </c>
      <c r="J69" s="4" t="s">
        <v>30</v>
      </c>
      <c r="K69" s="4" t="s">
        <v>30</v>
      </c>
      <c r="L69" s="2" t="s">
        <v>324</v>
      </c>
      <c r="M69" s="2" t="s">
        <v>41</v>
      </c>
      <c r="N69" s="4" t="s">
        <v>472</v>
      </c>
      <c r="O69" s="4" t="s">
        <v>134</v>
      </c>
      <c r="P69" s="4" t="s">
        <v>34</v>
      </c>
      <c r="Q69" s="152">
        <v>39</v>
      </c>
      <c r="R69" s="167">
        <v>1</v>
      </c>
      <c r="S69" s="169">
        <v>26660</v>
      </c>
      <c r="U69" s="152">
        <v>10.397</v>
      </c>
      <c r="V69" s="166">
        <v>3.0000000000000001E-6</v>
      </c>
      <c r="W69" s="166">
        <v>2.1471285648657899E-3</v>
      </c>
      <c r="X69" s="166">
        <v>6.5713440885923897E-4</v>
      </c>
    </row>
    <row r="70" spans="1:24">
      <c r="A70" s="4">
        <v>337</v>
      </c>
      <c r="B70" s="4">
        <v>1477</v>
      </c>
      <c r="C70" s="4" t="s">
        <v>1699</v>
      </c>
      <c r="D70" s="4" t="s">
        <v>1700</v>
      </c>
      <c r="E70" s="4" t="s">
        <v>309</v>
      </c>
      <c r="F70" s="4" t="s">
        <v>1701</v>
      </c>
      <c r="G70" s="4" t="s">
        <v>1702</v>
      </c>
      <c r="H70" s="4" t="s">
        <v>318</v>
      </c>
      <c r="I70" s="4" t="s">
        <v>930</v>
      </c>
      <c r="J70" s="4" t="s">
        <v>30</v>
      </c>
      <c r="K70" s="4" t="s">
        <v>30</v>
      </c>
      <c r="L70" s="2" t="s">
        <v>324</v>
      </c>
      <c r="M70" s="2" t="s">
        <v>41</v>
      </c>
      <c r="N70" s="4" t="s">
        <v>450</v>
      </c>
      <c r="O70" s="4" t="s">
        <v>134</v>
      </c>
      <c r="P70" s="4" t="s">
        <v>34</v>
      </c>
      <c r="Q70" s="152">
        <v>13447</v>
      </c>
      <c r="R70" s="167">
        <v>1</v>
      </c>
      <c r="S70" s="169">
        <v>370.8</v>
      </c>
      <c r="T70" s="151">
        <v>1.7729999999999999</v>
      </c>
      <c r="U70" s="152">
        <v>51.634999999999998</v>
      </c>
      <c r="V70" s="166">
        <v>1.2E-5</v>
      </c>
      <c r="W70" s="166">
        <v>1.06628733096232E-2</v>
      </c>
      <c r="X70" s="166">
        <v>3.2634007407461299E-3</v>
      </c>
    </row>
    <row r="71" spans="1:24">
      <c r="A71" s="4">
        <v>337</v>
      </c>
      <c r="B71" s="4">
        <v>1477</v>
      </c>
      <c r="C71" s="4" t="s">
        <v>1703</v>
      </c>
      <c r="D71" s="4" t="s">
        <v>1704</v>
      </c>
      <c r="E71" s="4" t="s">
        <v>1303</v>
      </c>
      <c r="F71" s="4" t="s">
        <v>1705</v>
      </c>
      <c r="G71" s="4" t="s">
        <v>1706</v>
      </c>
      <c r="H71" s="4" t="s">
        <v>318</v>
      </c>
      <c r="I71" s="4" t="s">
        <v>930</v>
      </c>
      <c r="J71" s="4" t="s">
        <v>30</v>
      </c>
      <c r="K71" s="4" t="s">
        <v>30</v>
      </c>
      <c r="L71" s="2" t="s">
        <v>324</v>
      </c>
      <c r="M71" s="2" t="s">
        <v>41</v>
      </c>
      <c r="N71" s="4" t="s">
        <v>472</v>
      </c>
      <c r="O71" s="4" t="s">
        <v>134</v>
      </c>
      <c r="P71" s="4" t="s">
        <v>34</v>
      </c>
      <c r="Q71" s="152">
        <v>2056</v>
      </c>
      <c r="R71" s="167">
        <v>1</v>
      </c>
      <c r="S71" s="169">
        <v>3511</v>
      </c>
      <c r="U71" s="152">
        <v>72.186000000000007</v>
      </c>
      <c r="V71" s="166">
        <v>6.9999999999999999E-6</v>
      </c>
      <c r="W71" s="166">
        <v>1.49068965437487E-2</v>
      </c>
      <c r="X71" s="166">
        <v>4.5622953410870502E-3</v>
      </c>
    </row>
    <row r="72" spans="1:24">
      <c r="A72" s="4">
        <v>337</v>
      </c>
      <c r="B72" s="4">
        <v>1477</v>
      </c>
      <c r="C72" s="4" t="s">
        <v>1707</v>
      </c>
      <c r="D72" s="4" t="s">
        <v>1708</v>
      </c>
      <c r="E72" s="4" t="s">
        <v>1303</v>
      </c>
      <c r="F72" s="4" t="s">
        <v>1709</v>
      </c>
      <c r="G72" s="4" t="s">
        <v>1710</v>
      </c>
      <c r="H72" s="4" t="s">
        <v>318</v>
      </c>
      <c r="I72" s="4" t="s">
        <v>930</v>
      </c>
      <c r="J72" s="4" t="s">
        <v>30</v>
      </c>
      <c r="K72" s="4" t="s">
        <v>295</v>
      </c>
      <c r="L72" s="2" t="s">
        <v>324</v>
      </c>
      <c r="M72" s="2" t="s">
        <v>41</v>
      </c>
      <c r="N72" s="4" t="s">
        <v>451</v>
      </c>
      <c r="O72" s="4" t="s">
        <v>134</v>
      </c>
      <c r="P72" s="4" t="s">
        <v>34</v>
      </c>
      <c r="Q72" s="152">
        <v>570</v>
      </c>
      <c r="R72" s="167">
        <v>1</v>
      </c>
      <c r="S72" s="169">
        <v>10080</v>
      </c>
      <c r="U72" s="152">
        <v>57.456000000000003</v>
      </c>
      <c r="V72" s="166">
        <v>5.1E-5</v>
      </c>
      <c r="W72" s="166">
        <v>1.18650257586444E-2</v>
      </c>
      <c r="X72" s="166">
        <v>3.6313226956177901E-3</v>
      </c>
    </row>
    <row r="73" spans="1:24">
      <c r="A73" s="4">
        <v>337</v>
      </c>
      <c r="B73" s="4">
        <v>1477</v>
      </c>
      <c r="C73" s="4" t="s">
        <v>1711</v>
      </c>
      <c r="D73" s="4" t="s">
        <v>1712</v>
      </c>
      <c r="E73" s="4" t="s">
        <v>1303</v>
      </c>
      <c r="F73" s="4" t="s">
        <v>1713</v>
      </c>
      <c r="G73" s="4" t="s">
        <v>1714</v>
      </c>
      <c r="H73" s="4" t="s">
        <v>318</v>
      </c>
      <c r="I73" s="4" t="s">
        <v>930</v>
      </c>
      <c r="J73" s="4" t="s">
        <v>30</v>
      </c>
      <c r="K73" s="4" t="s">
        <v>30</v>
      </c>
      <c r="L73" s="2" t="s">
        <v>324</v>
      </c>
      <c r="M73" s="2" t="s">
        <v>41</v>
      </c>
      <c r="N73" s="4" t="s">
        <v>458</v>
      </c>
      <c r="O73" s="4" t="s">
        <v>134</v>
      </c>
      <c r="P73" s="4" t="s">
        <v>34</v>
      </c>
      <c r="Q73" s="152">
        <v>17</v>
      </c>
      <c r="R73" s="167">
        <v>1</v>
      </c>
      <c r="S73" s="169">
        <v>19000</v>
      </c>
      <c r="U73" s="152">
        <v>3.23</v>
      </c>
      <c r="V73" s="166">
        <v>1.9999999999999999E-6</v>
      </c>
      <c r="W73" s="166">
        <v>6.6701533696082802E-4</v>
      </c>
      <c r="X73" s="166">
        <v>2.0414181820602699E-4</v>
      </c>
    </row>
    <row r="74" spans="1:24">
      <c r="A74" s="4">
        <v>337</v>
      </c>
      <c r="B74" s="4">
        <v>1477</v>
      </c>
      <c r="C74" s="4" t="s">
        <v>1715</v>
      </c>
      <c r="D74" s="4" t="s">
        <v>1716</v>
      </c>
      <c r="E74" s="4" t="s">
        <v>311</v>
      </c>
      <c r="F74" s="4" t="s">
        <v>1717</v>
      </c>
      <c r="G74" s="4" t="s">
        <v>1718</v>
      </c>
      <c r="H74" s="4" t="s">
        <v>318</v>
      </c>
      <c r="I74" s="4" t="s">
        <v>930</v>
      </c>
      <c r="J74" s="4" t="s">
        <v>79</v>
      </c>
      <c r="K74" s="4" t="s">
        <v>80</v>
      </c>
      <c r="L74" s="2" t="s">
        <v>324</v>
      </c>
      <c r="M74" s="2" t="s">
        <v>343</v>
      </c>
      <c r="N74" s="4" t="s">
        <v>512</v>
      </c>
      <c r="O74" s="4" t="s">
        <v>134</v>
      </c>
      <c r="P74" s="4" t="s">
        <v>84</v>
      </c>
      <c r="Q74" s="152">
        <v>29</v>
      </c>
      <c r="R74" s="167">
        <v>3.718</v>
      </c>
      <c r="S74" s="169">
        <v>19026</v>
      </c>
      <c r="U74" s="152">
        <v>20.513999999999999</v>
      </c>
      <c r="V74" s="166">
        <v>0</v>
      </c>
      <c r="W74" s="166">
        <v>4.23631429626385E-3</v>
      </c>
      <c r="X74" s="166">
        <v>1.2965352594018001E-3</v>
      </c>
    </row>
    <row r="75" spans="1:24">
      <c r="A75" s="4">
        <v>337</v>
      </c>
      <c r="B75" s="4">
        <v>1477</v>
      </c>
      <c r="C75" s="4" t="s">
        <v>1719</v>
      </c>
      <c r="D75" s="4" t="s">
        <v>1720</v>
      </c>
      <c r="E75" s="4" t="s">
        <v>311</v>
      </c>
      <c r="F75" s="4" t="s">
        <v>1721</v>
      </c>
      <c r="G75" s="4" t="s">
        <v>1722</v>
      </c>
      <c r="H75" s="4" t="s">
        <v>318</v>
      </c>
      <c r="I75" s="4" t="s">
        <v>930</v>
      </c>
      <c r="J75" s="4" t="s">
        <v>79</v>
      </c>
      <c r="K75" s="4" t="s">
        <v>267</v>
      </c>
      <c r="L75" s="2" t="s">
        <v>324</v>
      </c>
      <c r="M75" s="2" t="s">
        <v>341</v>
      </c>
      <c r="N75" s="4" t="s">
        <v>512</v>
      </c>
      <c r="O75" s="4" t="s">
        <v>134</v>
      </c>
      <c r="P75" s="4" t="s">
        <v>84</v>
      </c>
      <c r="Q75" s="152">
        <v>72</v>
      </c>
      <c r="R75" s="167">
        <v>3.718</v>
      </c>
      <c r="S75" s="169">
        <v>13223</v>
      </c>
      <c r="U75" s="152">
        <v>35.396999999999998</v>
      </c>
      <c r="V75" s="166">
        <v>0</v>
      </c>
      <c r="W75" s="166">
        <v>7.3097946614682904E-3</v>
      </c>
      <c r="X75" s="166">
        <v>2.2371821009454199E-3</v>
      </c>
    </row>
    <row r="76" spans="1:24">
      <c r="A76" s="4">
        <v>337</v>
      </c>
      <c r="B76" s="4">
        <v>1477</v>
      </c>
      <c r="C76" s="4" t="s">
        <v>1723</v>
      </c>
      <c r="D76" s="4" t="s">
        <v>1724</v>
      </c>
      <c r="E76" s="4" t="s">
        <v>311</v>
      </c>
      <c r="F76" s="4" t="s">
        <v>1725</v>
      </c>
      <c r="G76" s="4" t="s">
        <v>1726</v>
      </c>
      <c r="H76" s="4" t="s">
        <v>318</v>
      </c>
      <c r="I76" s="4" t="s">
        <v>930</v>
      </c>
      <c r="J76" s="4" t="s">
        <v>79</v>
      </c>
      <c r="K76" s="4" t="s">
        <v>80</v>
      </c>
      <c r="L76" s="2" t="s">
        <v>324</v>
      </c>
      <c r="M76" s="2" t="s">
        <v>341</v>
      </c>
      <c r="N76" s="4" t="s">
        <v>533</v>
      </c>
      <c r="O76" s="4" t="s">
        <v>134</v>
      </c>
      <c r="P76" s="4" t="s">
        <v>84</v>
      </c>
      <c r="Q76" s="152">
        <v>66</v>
      </c>
      <c r="R76" s="167">
        <v>3.718</v>
      </c>
      <c r="S76" s="169">
        <v>4173</v>
      </c>
      <c r="U76" s="152">
        <v>10.24</v>
      </c>
      <c r="V76" s="166">
        <v>0</v>
      </c>
      <c r="W76" s="166">
        <v>2.11463299015213E-3</v>
      </c>
      <c r="X76" s="166">
        <v>6.4718905177656204E-4</v>
      </c>
    </row>
    <row r="77" spans="1:24">
      <c r="A77" s="4">
        <v>337</v>
      </c>
      <c r="B77" s="4">
        <v>1477</v>
      </c>
      <c r="C77" s="4" t="s">
        <v>1727</v>
      </c>
      <c r="D77" s="4" t="s">
        <v>1728</v>
      </c>
      <c r="E77" s="4" t="s">
        <v>311</v>
      </c>
      <c r="F77" s="4" t="s">
        <v>1729</v>
      </c>
      <c r="G77" s="4" t="s">
        <v>1730</v>
      </c>
      <c r="H77" s="4" t="s">
        <v>318</v>
      </c>
      <c r="I77" s="4" t="s">
        <v>930</v>
      </c>
      <c r="J77" s="4" t="s">
        <v>79</v>
      </c>
      <c r="K77" s="4" t="s">
        <v>80</v>
      </c>
      <c r="L77" s="2" t="s">
        <v>324</v>
      </c>
      <c r="M77" s="2" t="s">
        <v>341</v>
      </c>
      <c r="N77" s="4" t="s">
        <v>1731</v>
      </c>
      <c r="O77" s="4" t="s">
        <v>134</v>
      </c>
      <c r="P77" s="4" t="s">
        <v>84</v>
      </c>
      <c r="Q77" s="152">
        <v>27</v>
      </c>
      <c r="R77" s="167">
        <v>3.718</v>
      </c>
      <c r="S77" s="169">
        <v>46935</v>
      </c>
      <c r="U77" s="152">
        <v>47.116</v>
      </c>
      <c r="V77" s="166">
        <v>0</v>
      </c>
      <c r="W77" s="166">
        <v>9.7297855753993301E-3</v>
      </c>
      <c r="X77" s="166">
        <v>2.9778267575779E-3</v>
      </c>
    </row>
    <row r="78" spans="1:24">
      <c r="A78" s="4">
        <v>337</v>
      </c>
      <c r="B78" s="4">
        <v>1477</v>
      </c>
      <c r="C78" s="4" t="s">
        <v>1732</v>
      </c>
      <c r="D78" s="4" t="s">
        <v>1733</v>
      </c>
      <c r="E78" s="4" t="s">
        <v>311</v>
      </c>
      <c r="F78" s="4" t="s">
        <v>1734</v>
      </c>
      <c r="G78" s="4" t="s">
        <v>1735</v>
      </c>
      <c r="H78" s="4" t="s">
        <v>318</v>
      </c>
      <c r="I78" s="4" t="s">
        <v>930</v>
      </c>
      <c r="J78" s="4" t="s">
        <v>79</v>
      </c>
      <c r="K78" s="4" t="s">
        <v>80</v>
      </c>
      <c r="L78" s="2" t="s">
        <v>324</v>
      </c>
      <c r="M78" s="2" t="s">
        <v>341</v>
      </c>
      <c r="N78" s="4" t="s">
        <v>531</v>
      </c>
      <c r="O78" s="4" t="s">
        <v>134</v>
      </c>
      <c r="P78" s="4" t="s">
        <v>84</v>
      </c>
      <c r="Q78" s="152">
        <v>15</v>
      </c>
      <c r="R78" s="167">
        <v>3.718</v>
      </c>
      <c r="S78" s="169">
        <v>82591</v>
      </c>
      <c r="U78" s="152">
        <v>46.061</v>
      </c>
      <c r="V78" s="166">
        <v>0</v>
      </c>
      <c r="W78" s="166">
        <v>9.5118866571713406E-3</v>
      </c>
      <c r="X78" s="166">
        <v>2.9111382140207601E-3</v>
      </c>
    </row>
    <row r="79" spans="1:24">
      <c r="A79" s="4">
        <v>337</v>
      </c>
      <c r="B79" s="4">
        <v>1477</v>
      </c>
      <c r="C79" s="4" t="s">
        <v>1736</v>
      </c>
      <c r="D79" s="4" t="s">
        <v>1737</v>
      </c>
      <c r="E79" s="4" t="s">
        <v>311</v>
      </c>
      <c r="F79" s="4" t="s">
        <v>1738</v>
      </c>
      <c r="G79" s="4" t="s">
        <v>1739</v>
      </c>
      <c r="H79" s="4" t="s">
        <v>318</v>
      </c>
      <c r="I79" s="4" t="s">
        <v>930</v>
      </c>
      <c r="J79" s="4" t="s">
        <v>79</v>
      </c>
      <c r="K79" s="4" t="s">
        <v>80</v>
      </c>
      <c r="L79" s="2" t="s">
        <v>324</v>
      </c>
      <c r="M79" s="2" t="s">
        <v>343</v>
      </c>
      <c r="N79" s="4" t="s">
        <v>546</v>
      </c>
      <c r="O79" s="4" t="s">
        <v>134</v>
      </c>
      <c r="P79" s="4" t="s">
        <v>84</v>
      </c>
      <c r="Q79" s="152">
        <v>35</v>
      </c>
      <c r="R79" s="167">
        <v>3.718</v>
      </c>
      <c r="S79" s="169">
        <v>57636</v>
      </c>
      <c r="U79" s="152">
        <v>75.001999999999995</v>
      </c>
      <c r="V79" s="166">
        <v>0</v>
      </c>
      <c r="W79" s="166">
        <v>1.54883288155251E-2</v>
      </c>
      <c r="X79" s="166">
        <v>4.7402442345336497E-3</v>
      </c>
    </row>
    <row r="80" spans="1:24">
      <c r="A80" s="4">
        <v>337</v>
      </c>
      <c r="B80" s="4">
        <v>1477</v>
      </c>
      <c r="C80" s="4" t="s">
        <v>1740</v>
      </c>
      <c r="D80" s="4" t="s">
        <v>1741</v>
      </c>
      <c r="E80" s="4" t="s">
        <v>311</v>
      </c>
      <c r="F80" s="4" t="s">
        <v>1742</v>
      </c>
      <c r="G80" s="4" t="s">
        <v>1743</v>
      </c>
      <c r="H80" s="4" t="s">
        <v>318</v>
      </c>
      <c r="I80" s="4" t="s">
        <v>930</v>
      </c>
      <c r="J80" s="4" t="s">
        <v>79</v>
      </c>
      <c r="K80" s="4" t="s">
        <v>80</v>
      </c>
      <c r="L80" s="2" t="s">
        <v>324</v>
      </c>
      <c r="M80" s="2" t="s">
        <v>343</v>
      </c>
      <c r="N80" s="4" t="s">
        <v>1744</v>
      </c>
      <c r="O80" s="4" t="s">
        <v>134</v>
      </c>
      <c r="P80" s="4" t="s">
        <v>84</v>
      </c>
      <c r="Q80" s="152">
        <v>451</v>
      </c>
      <c r="R80" s="167">
        <v>3.718</v>
      </c>
      <c r="S80" s="169">
        <v>2271</v>
      </c>
      <c r="U80" s="152">
        <v>38.081000000000003</v>
      </c>
      <c r="V80" s="166">
        <v>0</v>
      </c>
      <c r="W80" s="166">
        <v>7.8638706105142106E-3</v>
      </c>
      <c r="X80" s="166">
        <v>2.40675851904974E-3</v>
      </c>
    </row>
    <row r="81" spans="1:24">
      <c r="A81" s="4">
        <v>337</v>
      </c>
      <c r="B81" s="4">
        <v>1477</v>
      </c>
      <c r="C81" s="4" t="s">
        <v>1745</v>
      </c>
      <c r="D81" s="4" t="s">
        <v>1746</v>
      </c>
      <c r="E81" s="4" t="s">
        <v>311</v>
      </c>
      <c r="F81" s="4" t="s">
        <v>1747</v>
      </c>
      <c r="G81" s="4" t="s">
        <v>1748</v>
      </c>
      <c r="H81" s="4" t="s">
        <v>318</v>
      </c>
      <c r="I81" s="4" t="s">
        <v>930</v>
      </c>
      <c r="J81" s="4" t="s">
        <v>79</v>
      </c>
      <c r="K81" s="4" t="s">
        <v>80</v>
      </c>
      <c r="L81" s="2" t="s">
        <v>324</v>
      </c>
      <c r="M81" s="2" t="s">
        <v>341</v>
      </c>
      <c r="N81" s="4" t="s">
        <v>533</v>
      </c>
      <c r="O81" s="4" t="s">
        <v>134</v>
      </c>
      <c r="P81" s="4" t="s">
        <v>84</v>
      </c>
      <c r="Q81" s="152">
        <v>14</v>
      </c>
      <c r="R81" s="167">
        <v>3.718</v>
      </c>
      <c r="S81" s="169">
        <v>24530</v>
      </c>
      <c r="U81" s="152">
        <v>12.768000000000001</v>
      </c>
      <c r="V81" s="166">
        <v>0</v>
      </c>
      <c r="W81" s="166">
        <v>2.6367458244488202E-3</v>
      </c>
      <c r="X81" s="166">
        <v>8.0698307358671902E-4</v>
      </c>
    </row>
    <row r="82" spans="1:24">
      <c r="A82" s="4">
        <v>337</v>
      </c>
      <c r="B82" s="4">
        <v>1477</v>
      </c>
      <c r="C82" s="4" t="s">
        <v>1749</v>
      </c>
      <c r="D82" s="4" t="s">
        <v>1750</v>
      </c>
      <c r="E82" s="4" t="s">
        <v>311</v>
      </c>
      <c r="F82" s="4" t="s">
        <v>1751</v>
      </c>
      <c r="G82" s="4" t="s">
        <v>1752</v>
      </c>
      <c r="H82" s="4" t="s">
        <v>318</v>
      </c>
      <c r="I82" s="4" t="s">
        <v>930</v>
      </c>
      <c r="J82" s="4" t="s">
        <v>79</v>
      </c>
      <c r="K82" s="4" t="s">
        <v>80</v>
      </c>
      <c r="L82" s="2" t="s">
        <v>324</v>
      </c>
      <c r="M82" s="2" t="s">
        <v>343</v>
      </c>
      <c r="N82" s="4" t="s">
        <v>522</v>
      </c>
      <c r="O82" s="4" t="s">
        <v>134</v>
      </c>
      <c r="P82" s="4" t="s">
        <v>84</v>
      </c>
      <c r="Q82" s="152">
        <v>60</v>
      </c>
      <c r="R82" s="167">
        <v>3.718</v>
      </c>
      <c r="S82" s="169">
        <v>6785</v>
      </c>
      <c r="T82" s="151">
        <v>2.1000000000000001E-2</v>
      </c>
      <c r="U82" s="152">
        <v>15.214</v>
      </c>
      <c r="V82" s="166">
        <v>0</v>
      </c>
      <c r="W82" s="166">
        <v>3.1418565906210301E-3</v>
      </c>
      <c r="X82" s="166">
        <v>9.6157356722013801E-4</v>
      </c>
    </row>
    <row r="83" spans="1:24">
      <c r="A83" s="4">
        <v>337</v>
      </c>
      <c r="B83" s="4">
        <v>1477</v>
      </c>
      <c r="C83" s="4" t="s">
        <v>1753</v>
      </c>
      <c r="D83" s="4" t="s">
        <v>1754</v>
      </c>
      <c r="E83" s="4" t="s">
        <v>311</v>
      </c>
      <c r="F83" s="4" t="s">
        <v>1755</v>
      </c>
      <c r="G83" s="4" t="s">
        <v>1756</v>
      </c>
      <c r="H83" s="4" t="s">
        <v>318</v>
      </c>
      <c r="I83" s="4" t="s">
        <v>930</v>
      </c>
      <c r="J83" s="4" t="s">
        <v>79</v>
      </c>
      <c r="K83" s="4" t="s">
        <v>80</v>
      </c>
      <c r="L83" s="2" t="s">
        <v>324</v>
      </c>
      <c r="M83" s="2" t="s">
        <v>1334</v>
      </c>
      <c r="N83" s="4" t="s">
        <v>1757</v>
      </c>
      <c r="O83" s="4" t="s">
        <v>134</v>
      </c>
      <c r="P83" s="4" t="s">
        <v>84</v>
      </c>
      <c r="Q83" s="152">
        <v>107</v>
      </c>
      <c r="R83" s="167">
        <v>3.718</v>
      </c>
      <c r="S83" s="169">
        <v>7089</v>
      </c>
      <c r="U83" s="152">
        <v>28.202000000000002</v>
      </c>
      <c r="V83" s="166">
        <v>0</v>
      </c>
      <c r="W83" s="166">
        <v>5.8238668481695602E-3</v>
      </c>
      <c r="X83" s="166">
        <v>1.78240994096505E-3</v>
      </c>
    </row>
    <row r="84" spans="1:24">
      <c r="A84" s="4">
        <v>337</v>
      </c>
      <c r="B84" s="4">
        <v>1477</v>
      </c>
      <c r="C84" s="4" t="s">
        <v>1632</v>
      </c>
      <c r="D84" s="4" t="s">
        <v>1633</v>
      </c>
      <c r="E84" s="4" t="s">
        <v>1303</v>
      </c>
      <c r="F84" s="4" t="s">
        <v>1758</v>
      </c>
      <c r="G84" s="4" t="s">
        <v>1759</v>
      </c>
      <c r="H84" s="4" t="s">
        <v>318</v>
      </c>
      <c r="I84" s="4" t="s">
        <v>930</v>
      </c>
      <c r="J84" s="4" t="s">
        <v>79</v>
      </c>
      <c r="K84" s="4" t="s">
        <v>30</v>
      </c>
      <c r="L84" s="2" t="s">
        <v>324</v>
      </c>
      <c r="M84" s="2" t="s">
        <v>343</v>
      </c>
      <c r="N84" s="4" t="s">
        <v>547</v>
      </c>
      <c r="O84" s="4" t="s">
        <v>134</v>
      </c>
      <c r="P84" s="4" t="s">
        <v>84</v>
      </c>
      <c r="Q84" s="152">
        <v>18</v>
      </c>
      <c r="R84" s="167">
        <v>3.718</v>
      </c>
      <c r="S84" s="169">
        <v>15417</v>
      </c>
      <c r="U84" s="152">
        <v>10.318</v>
      </c>
      <c r="V84" s="166">
        <v>0</v>
      </c>
      <c r="W84" s="166">
        <v>2.1306644539033602E-3</v>
      </c>
      <c r="X84" s="166">
        <v>6.5209552390296495E-4</v>
      </c>
    </row>
    <row r="85" spans="1:24">
      <c r="A85" s="4">
        <v>337</v>
      </c>
      <c r="B85" s="4">
        <v>1477</v>
      </c>
      <c r="C85" s="4" t="s">
        <v>1760</v>
      </c>
      <c r="D85" s="4" t="s">
        <v>1761</v>
      </c>
      <c r="E85" s="4" t="s">
        <v>311</v>
      </c>
      <c r="F85" s="4" t="s">
        <v>1762</v>
      </c>
      <c r="G85" s="4" t="s">
        <v>1763</v>
      </c>
      <c r="H85" s="4" t="s">
        <v>318</v>
      </c>
      <c r="I85" s="4" t="s">
        <v>930</v>
      </c>
      <c r="J85" s="4" t="s">
        <v>79</v>
      </c>
      <c r="K85" s="4" t="s">
        <v>80</v>
      </c>
      <c r="L85" s="2" t="s">
        <v>324</v>
      </c>
      <c r="M85" s="2" t="s">
        <v>343</v>
      </c>
      <c r="N85" s="4" t="s">
        <v>545</v>
      </c>
      <c r="O85" s="4" t="s">
        <v>134</v>
      </c>
      <c r="P85" s="4" t="s">
        <v>84</v>
      </c>
      <c r="Q85" s="152">
        <v>225</v>
      </c>
      <c r="R85" s="167">
        <v>3.718</v>
      </c>
      <c r="S85" s="169">
        <v>10838</v>
      </c>
      <c r="U85" s="152">
        <v>90.665000000000006</v>
      </c>
      <c r="V85" s="166">
        <v>0</v>
      </c>
      <c r="W85" s="166">
        <v>1.8722953031884201E-2</v>
      </c>
      <c r="X85" s="166">
        <v>5.7302095803823099E-3</v>
      </c>
    </row>
    <row r="86" spans="1:24">
      <c r="A86" s="4">
        <v>337</v>
      </c>
      <c r="B86" s="4">
        <v>1477</v>
      </c>
      <c r="C86" s="4" t="s">
        <v>1434</v>
      </c>
      <c r="D86" s="4" t="s">
        <v>1435</v>
      </c>
      <c r="E86" s="4" t="s">
        <v>311</v>
      </c>
      <c r="F86" s="4" t="s">
        <v>1764</v>
      </c>
      <c r="G86" s="4" t="s">
        <v>1437</v>
      </c>
      <c r="H86" s="4" t="s">
        <v>318</v>
      </c>
      <c r="I86" s="4" t="s">
        <v>930</v>
      </c>
      <c r="J86" s="4" t="s">
        <v>79</v>
      </c>
      <c r="K86" s="4" t="s">
        <v>80</v>
      </c>
      <c r="L86" s="2" t="s">
        <v>324</v>
      </c>
      <c r="M86" s="2" t="s">
        <v>341</v>
      </c>
      <c r="N86" s="4" t="s">
        <v>554</v>
      </c>
      <c r="O86" s="4" t="s">
        <v>134</v>
      </c>
      <c r="P86" s="4" t="s">
        <v>84</v>
      </c>
      <c r="Q86" s="152">
        <v>23</v>
      </c>
      <c r="R86" s="167">
        <v>3.718</v>
      </c>
      <c r="S86" s="169">
        <v>7077</v>
      </c>
      <c r="U86" s="152">
        <v>6.0519999999999996</v>
      </c>
      <c r="V86" s="166">
        <v>0</v>
      </c>
      <c r="W86" s="166">
        <v>1.24974012751546E-3</v>
      </c>
      <c r="X86" s="166">
        <v>3.82486290462943E-4</v>
      </c>
    </row>
    <row r="87" spans="1:24">
      <c r="A87" s="4">
        <v>337</v>
      </c>
      <c r="B87" s="4">
        <v>1477</v>
      </c>
      <c r="C87" s="4" t="s">
        <v>1765</v>
      </c>
      <c r="D87" s="4" t="s">
        <v>1766</v>
      </c>
      <c r="E87" s="4" t="s">
        <v>311</v>
      </c>
      <c r="F87" s="4" t="s">
        <v>1767</v>
      </c>
      <c r="G87" s="4" t="s">
        <v>1768</v>
      </c>
      <c r="H87" s="4" t="s">
        <v>318</v>
      </c>
      <c r="I87" s="4" t="s">
        <v>930</v>
      </c>
      <c r="J87" s="4" t="s">
        <v>79</v>
      </c>
      <c r="K87" s="4" t="s">
        <v>80</v>
      </c>
      <c r="L87" s="2" t="s">
        <v>324</v>
      </c>
      <c r="M87" s="2" t="s">
        <v>343</v>
      </c>
      <c r="N87" s="4" t="s">
        <v>541</v>
      </c>
      <c r="O87" s="4" t="s">
        <v>134</v>
      </c>
      <c r="P87" s="4" t="s">
        <v>84</v>
      </c>
      <c r="Q87" s="152">
        <v>56</v>
      </c>
      <c r="R87" s="167">
        <v>3.718</v>
      </c>
      <c r="S87" s="169">
        <v>17064</v>
      </c>
      <c r="U87" s="152">
        <v>35.529000000000003</v>
      </c>
      <c r="V87" s="166">
        <v>0</v>
      </c>
      <c r="W87" s="166">
        <v>7.3368823071169303E-3</v>
      </c>
      <c r="X87" s="166">
        <v>2.2454723469521E-3</v>
      </c>
    </row>
    <row r="88" spans="1:24">
      <c r="A88" s="4">
        <v>337</v>
      </c>
      <c r="B88" s="4">
        <v>1477</v>
      </c>
      <c r="C88" s="4" t="s">
        <v>1769</v>
      </c>
      <c r="D88" s="4" t="s">
        <v>1770</v>
      </c>
      <c r="E88" s="4" t="s">
        <v>311</v>
      </c>
      <c r="F88" s="4" t="s">
        <v>1771</v>
      </c>
      <c r="G88" s="4" t="s">
        <v>1772</v>
      </c>
      <c r="H88" s="4" t="s">
        <v>318</v>
      </c>
      <c r="I88" s="4" t="s">
        <v>930</v>
      </c>
      <c r="J88" s="4" t="s">
        <v>79</v>
      </c>
      <c r="K88" s="4" t="s">
        <v>232</v>
      </c>
      <c r="L88" s="2" t="s">
        <v>324</v>
      </c>
      <c r="M88" s="2" t="s">
        <v>377</v>
      </c>
      <c r="N88" s="4" t="s">
        <v>514</v>
      </c>
      <c r="O88" s="4" t="s">
        <v>134</v>
      </c>
      <c r="P88" s="4" t="s">
        <v>1180</v>
      </c>
      <c r="Q88" s="152">
        <v>310</v>
      </c>
      <c r="R88" s="167">
        <v>4.8108000000000004</v>
      </c>
      <c r="S88" s="169">
        <v>1195</v>
      </c>
      <c r="U88" s="152">
        <v>17.821999999999999</v>
      </c>
      <c r="V88" s="166">
        <v>6.9999999999999999E-6</v>
      </c>
      <c r="W88" s="166">
        <v>3.6802743856077401E-3</v>
      </c>
      <c r="X88" s="166">
        <v>1.12635776562234E-3</v>
      </c>
    </row>
    <row r="89" spans="1:24">
      <c r="A89" s="4">
        <v>337</v>
      </c>
      <c r="B89" s="4">
        <v>1477</v>
      </c>
      <c r="C89" s="4" t="s">
        <v>1773</v>
      </c>
      <c r="D89" s="4" t="s">
        <v>1774</v>
      </c>
      <c r="E89" s="4" t="s">
        <v>311</v>
      </c>
      <c r="F89" s="4" t="s">
        <v>1775</v>
      </c>
      <c r="G89" s="4" t="s">
        <v>1776</v>
      </c>
      <c r="H89" s="4" t="s">
        <v>318</v>
      </c>
      <c r="I89" s="4" t="s">
        <v>930</v>
      </c>
      <c r="J89" s="4" t="s">
        <v>79</v>
      </c>
      <c r="K89" s="4" t="s">
        <v>80</v>
      </c>
      <c r="L89" s="2" t="s">
        <v>324</v>
      </c>
      <c r="M89" s="2" t="s">
        <v>343</v>
      </c>
      <c r="N89" s="4" t="s">
        <v>541</v>
      </c>
      <c r="O89" s="4" t="s">
        <v>134</v>
      </c>
      <c r="P89" s="4" t="s">
        <v>84</v>
      </c>
      <c r="Q89" s="152">
        <v>76</v>
      </c>
      <c r="R89" s="167">
        <v>3.718</v>
      </c>
      <c r="S89" s="169">
        <v>26836</v>
      </c>
      <c r="U89" s="152">
        <v>75.83</v>
      </c>
      <c r="V89" s="166">
        <v>0</v>
      </c>
      <c r="W89" s="166">
        <v>1.56593618071546E-2</v>
      </c>
      <c r="X89" s="166">
        <v>4.7925893365871599E-3</v>
      </c>
    </row>
    <row r="90" spans="1:24">
      <c r="A90" s="4">
        <v>337</v>
      </c>
      <c r="B90" s="4">
        <v>1477</v>
      </c>
      <c r="C90" s="4" t="s">
        <v>1777</v>
      </c>
      <c r="D90" s="4" t="s">
        <v>1778</v>
      </c>
      <c r="E90" s="4" t="s">
        <v>311</v>
      </c>
      <c r="F90" s="4" t="s">
        <v>1779</v>
      </c>
      <c r="G90" s="4" t="s">
        <v>1780</v>
      </c>
      <c r="H90" s="4" t="s">
        <v>318</v>
      </c>
      <c r="I90" s="4" t="s">
        <v>930</v>
      </c>
      <c r="J90" s="4" t="s">
        <v>79</v>
      </c>
      <c r="K90" s="4" t="s">
        <v>267</v>
      </c>
      <c r="L90" s="2" t="s">
        <v>324</v>
      </c>
      <c r="M90" s="2" t="s">
        <v>341</v>
      </c>
      <c r="N90" s="4" t="s">
        <v>545</v>
      </c>
      <c r="O90" s="4" t="s">
        <v>134</v>
      </c>
      <c r="P90" s="4" t="s">
        <v>84</v>
      </c>
      <c r="Q90" s="152">
        <v>100</v>
      </c>
      <c r="R90" s="167">
        <v>3.718</v>
      </c>
      <c r="S90" s="169">
        <v>16600</v>
      </c>
      <c r="T90" s="151">
        <v>6.8000000000000005E-2</v>
      </c>
      <c r="U90" s="152">
        <v>61.972000000000001</v>
      </c>
      <c r="V90" s="166">
        <v>0</v>
      </c>
      <c r="W90" s="166">
        <v>1.27976371034934E-2</v>
      </c>
      <c r="X90" s="166">
        <v>3.9167508785506004E-3</v>
      </c>
    </row>
    <row r="91" spans="1:24">
      <c r="A91" s="4">
        <v>337</v>
      </c>
      <c r="B91" s="4">
        <v>9962</v>
      </c>
      <c r="C91" s="4" t="s">
        <v>1430</v>
      </c>
      <c r="D91" s="4" t="s">
        <v>1431</v>
      </c>
      <c r="E91" s="4" t="s">
        <v>1303</v>
      </c>
      <c r="F91" s="4" t="s">
        <v>1432</v>
      </c>
      <c r="G91" s="4" t="s">
        <v>1433</v>
      </c>
      <c r="H91" s="4" t="s">
        <v>318</v>
      </c>
      <c r="I91" s="4" t="s">
        <v>930</v>
      </c>
      <c r="J91" s="4" t="s">
        <v>30</v>
      </c>
      <c r="K91" s="4" t="s">
        <v>30</v>
      </c>
      <c r="L91" s="2" t="s">
        <v>324</v>
      </c>
      <c r="M91" s="2" t="s">
        <v>41</v>
      </c>
      <c r="N91" s="4" t="s">
        <v>436</v>
      </c>
      <c r="O91" s="4" t="s">
        <v>134</v>
      </c>
      <c r="P91" s="4" t="s">
        <v>34</v>
      </c>
      <c r="Q91" s="152">
        <v>1537</v>
      </c>
      <c r="R91" s="167">
        <v>1</v>
      </c>
      <c r="S91" s="169">
        <v>3240</v>
      </c>
      <c r="U91" s="152">
        <v>49.798999999999999</v>
      </c>
      <c r="V91" s="166">
        <v>6.0000000000000002E-6</v>
      </c>
      <c r="W91" s="166">
        <v>7.2393769291248296E-3</v>
      </c>
      <c r="X91" s="166">
        <v>1.30101673403507E-3</v>
      </c>
    </row>
    <row r="92" spans="1:24">
      <c r="A92" s="4">
        <v>337</v>
      </c>
      <c r="B92" s="4">
        <v>9962</v>
      </c>
      <c r="C92" s="4" t="s">
        <v>1434</v>
      </c>
      <c r="D92" s="4" t="s">
        <v>1435</v>
      </c>
      <c r="E92" s="4" t="s">
        <v>311</v>
      </c>
      <c r="F92" s="4" t="s">
        <v>1436</v>
      </c>
      <c r="G92" s="4" t="s">
        <v>1437</v>
      </c>
      <c r="H92" s="4" t="s">
        <v>318</v>
      </c>
      <c r="I92" s="4" t="s">
        <v>930</v>
      </c>
      <c r="J92" s="4" t="s">
        <v>30</v>
      </c>
      <c r="K92" s="4" t="s">
        <v>80</v>
      </c>
      <c r="L92" s="2" t="s">
        <v>324</v>
      </c>
      <c r="M92" s="2" t="s">
        <v>41</v>
      </c>
      <c r="N92" s="4" t="s">
        <v>437</v>
      </c>
      <c r="O92" s="4" t="s">
        <v>134</v>
      </c>
      <c r="P92" s="4" t="s">
        <v>34</v>
      </c>
      <c r="Q92" s="152">
        <v>530</v>
      </c>
      <c r="R92" s="167">
        <v>1</v>
      </c>
      <c r="S92" s="169">
        <v>26100</v>
      </c>
      <c r="U92" s="152">
        <v>138.33000000000001</v>
      </c>
      <c r="V92" s="166">
        <v>9.0000000000000002E-6</v>
      </c>
      <c r="W92" s="166">
        <v>2.0109380358680099E-2</v>
      </c>
      <c r="X92" s="166">
        <v>3.6139353723196499E-3</v>
      </c>
    </row>
    <row r="93" spans="1:24">
      <c r="A93" s="4">
        <v>337</v>
      </c>
      <c r="B93" s="4">
        <v>9962</v>
      </c>
      <c r="C93" s="4" t="s">
        <v>1442</v>
      </c>
      <c r="D93" s="4" t="s">
        <v>1443</v>
      </c>
      <c r="E93" s="4" t="s">
        <v>1303</v>
      </c>
      <c r="F93" s="4" t="s">
        <v>1444</v>
      </c>
      <c r="G93" s="4" t="s">
        <v>1445</v>
      </c>
      <c r="H93" s="4" t="s">
        <v>318</v>
      </c>
      <c r="I93" s="4" t="s">
        <v>930</v>
      </c>
      <c r="J93" s="4" t="s">
        <v>30</v>
      </c>
      <c r="K93" s="4" t="s">
        <v>30</v>
      </c>
      <c r="L93" s="2" t="s">
        <v>324</v>
      </c>
      <c r="M93" s="2" t="s">
        <v>41</v>
      </c>
      <c r="N93" s="4" t="s">
        <v>452</v>
      </c>
      <c r="O93" s="4" t="s">
        <v>134</v>
      </c>
      <c r="P93" s="4" t="s">
        <v>34</v>
      </c>
      <c r="Q93" s="152">
        <v>9731</v>
      </c>
      <c r="R93" s="167">
        <v>1</v>
      </c>
      <c r="S93" s="169">
        <v>2089</v>
      </c>
      <c r="U93" s="152">
        <v>203.28100000000001</v>
      </c>
      <c r="V93" s="166">
        <v>6.9999999999999999E-6</v>
      </c>
      <c r="W93" s="166">
        <v>2.95514111461498E-2</v>
      </c>
      <c r="X93" s="166">
        <v>5.3107996436565401E-3</v>
      </c>
    </row>
    <row r="94" spans="1:24">
      <c r="A94" s="4">
        <v>337</v>
      </c>
      <c r="B94" s="4">
        <v>9962</v>
      </c>
      <c r="C94" s="4" t="s">
        <v>1446</v>
      </c>
      <c r="D94" s="4" t="s">
        <v>1447</v>
      </c>
      <c r="E94" s="4" t="s">
        <v>1303</v>
      </c>
      <c r="F94" s="4" t="s">
        <v>1448</v>
      </c>
      <c r="G94" s="4" t="s">
        <v>1449</v>
      </c>
      <c r="H94" s="4" t="s">
        <v>318</v>
      </c>
      <c r="I94" s="4" t="s">
        <v>930</v>
      </c>
      <c r="J94" s="4" t="s">
        <v>30</v>
      </c>
      <c r="K94" s="4" t="s">
        <v>30</v>
      </c>
      <c r="L94" s="2" t="s">
        <v>324</v>
      </c>
      <c r="M94" s="2" t="s">
        <v>41</v>
      </c>
      <c r="N94" s="4" t="s">
        <v>459</v>
      </c>
      <c r="O94" s="4" t="s">
        <v>134</v>
      </c>
      <c r="P94" s="4" t="s">
        <v>34</v>
      </c>
      <c r="Q94" s="152">
        <v>2000</v>
      </c>
      <c r="R94" s="167">
        <v>1</v>
      </c>
      <c r="S94" s="169">
        <v>1524</v>
      </c>
      <c r="U94" s="152">
        <v>30.48</v>
      </c>
      <c r="V94" s="166">
        <v>1.2999999999999999E-5</v>
      </c>
      <c r="W94" s="166">
        <v>4.4309543362435399E-3</v>
      </c>
      <c r="X94" s="166">
        <v>7.9630412888240395E-4</v>
      </c>
    </row>
    <row r="95" spans="1:24">
      <c r="A95" s="4">
        <v>337</v>
      </c>
      <c r="B95" s="4">
        <v>9962</v>
      </c>
      <c r="C95" s="4" t="s">
        <v>1454</v>
      </c>
      <c r="D95" s="4" t="s">
        <v>1455</v>
      </c>
      <c r="E95" s="4" t="s">
        <v>1303</v>
      </c>
      <c r="F95" s="4" t="s">
        <v>1456</v>
      </c>
      <c r="G95" s="4" t="s">
        <v>1457</v>
      </c>
      <c r="H95" s="4" t="s">
        <v>318</v>
      </c>
      <c r="I95" s="4" t="s">
        <v>930</v>
      </c>
      <c r="J95" s="4" t="s">
        <v>30</v>
      </c>
      <c r="K95" s="4" t="s">
        <v>30</v>
      </c>
      <c r="L95" s="2" t="s">
        <v>324</v>
      </c>
      <c r="M95" s="2" t="s">
        <v>41</v>
      </c>
      <c r="N95" s="4" t="s">
        <v>442</v>
      </c>
      <c r="O95" s="4" t="s">
        <v>134</v>
      </c>
      <c r="P95" s="4" t="s">
        <v>34</v>
      </c>
      <c r="Q95" s="152">
        <v>224</v>
      </c>
      <c r="R95" s="167">
        <v>1</v>
      </c>
      <c r="S95" s="169">
        <v>142500</v>
      </c>
      <c r="U95" s="152">
        <v>319.2</v>
      </c>
      <c r="V95" s="166">
        <v>5.0000000000000004E-6</v>
      </c>
      <c r="W95" s="166">
        <v>4.6402907615778803E-2</v>
      </c>
      <c r="X95" s="166">
        <v>8.3392479638866E-3</v>
      </c>
    </row>
    <row r="96" spans="1:24">
      <c r="A96" s="4">
        <v>337</v>
      </c>
      <c r="B96" s="4">
        <v>9962</v>
      </c>
      <c r="C96" s="4" t="s">
        <v>1458</v>
      </c>
      <c r="D96" s="4" t="s">
        <v>1459</v>
      </c>
      <c r="E96" s="4" t="s">
        <v>1303</v>
      </c>
      <c r="F96" s="4" t="s">
        <v>1460</v>
      </c>
      <c r="G96" s="4" t="s">
        <v>1461</v>
      </c>
      <c r="H96" s="4" t="s">
        <v>318</v>
      </c>
      <c r="I96" s="4" t="s">
        <v>930</v>
      </c>
      <c r="J96" s="4" t="s">
        <v>30</v>
      </c>
      <c r="K96" s="4" t="s">
        <v>30</v>
      </c>
      <c r="L96" s="2" t="s">
        <v>324</v>
      </c>
      <c r="M96" s="2" t="s">
        <v>41</v>
      </c>
      <c r="N96" s="4" t="s">
        <v>460</v>
      </c>
      <c r="O96" s="4" t="s">
        <v>134</v>
      </c>
      <c r="P96" s="4" t="s">
        <v>34</v>
      </c>
      <c r="Q96" s="152">
        <v>1836</v>
      </c>
      <c r="R96" s="167">
        <v>1</v>
      </c>
      <c r="S96" s="169">
        <v>2900</v>
      </c>
      <c r="T96" s="151">
        <v>0.441</v>
      </c>
      <c r="U96" s="152">
        <v>53.685000000000002</v>
      </c>
      <c r="V96" s="166">
        <v>9.0000000000000002E-6</v>
      </c>
      <c r="W96" s="166">
        <v>7.8042712728895501E-3</v>
      </c>
      <c r="X96" s="166">
        <v>1.4025361053007E-3</v>
      </c>
    </row>
    <row r="97" spans="1:24">
      <c r="A97" s="4">
        <v>337</v>
      </c>
      <c r="B97" s="4">
        <v>9962</v>
      </c>
      <c r="C97" s="4" t="s">
        <v>1462</v>
      </c>
      <c r="D97" s="4" t="s">
        <v>1463</v>
      </c>
      <c r="E97" s="4" t="s">
        <v>1303</v>
      </c>
      <c r="F97" s="4" t="s">
        <v>1464</v>
      </c>
      <c r="G97" s="4" t="s">
        <v>1465</v>
      </c>
      <c r="H97" s="4" t="s">
        <v>318</v>
      </c>
      <c r="I97" s="4" t="s">
        <v>930</v>
      </c>
      <c r="J97" s="4" t="s">
        <v>30</v>
      </c>
      <c r="K97" s="4" t="s">
        <v>30</v>
      </c>
      <c r="L97" s="2" t="s">
        <v>324</v>
      </c>
      <c r="M97" s="2" t="s">
        <v>41</v>
      </c>
      <c r="N97" s="4" t="s">
        <v>461</v>
      </c>
      <c r="O97" s="4" t="s">
        <v>134</v>
      </c>
      <c r="P97" s="4" t="s">
        <v>34</v>
      </c>
      <c r="Q97" s="152">
        <v>1314</v>
      </c>
      <c r="R97" s="167">
        <v>1</v>
      </c>
      <c r="S97" s="169">
        <v>4241</v>
      </c>
      <c r="U97" s="152">
        <v>55.726999999999997</v>
      </c>
      <c r="V97" s="166">
        <v>2.0000000000000002E-5</v>
      </c>
      <c r="W97" s="166">
        <v>8.1011364910668106E-3</v>
      </c>
      <c r="X97" s="166">
        <v>1.45588691440801E-3</v>
      </c>
    </row>
    <row r="98" spans="1:24">
      <c r="A98" s="4">
        <v>337</v>
      </c>
      <c r="B98" s="4">
        <v>9962</v>
      </c>
      <c r="C98" s="4" t="s">
        <v>1466</v>
      </c>
      <c r="D98" s="4" t="s">
        <v>1467</v>
      </c>
      <c r="E98" s="4" t="s">
        <v>1303</v>
      </c>
      <c r="F98" s="4" t="s">
        <v>1468</v>
      </c>
      <c r="G98" s="4" t="s">
        <v>1469</v>
      </c>
      <c r="H98" s="4" t="s">
        <v>318</v>
      </c>
      <c r="I98" s="4" t="s">
        <v>930</v>
      </c>
      <c r="J98" s="4" t="s">
        <v>30</v>
      </c>
      <c r="K98" s="4" t="s">
        <v>30</v>
      </c>
      <c r="L98" s="2" t="s">
        <v>324</v>
      </c>
      <c r="M98" s="2" t="s">
        <v>41</v>
      </c>
      <c r="N98" s="4" t="s">
        <v>460</v>
      </c>
      <c r="O98" s="4" t="s">
        <v>134</v>
      </c>
      <c r="P98" s="4" t="s">
        <v>34</v>
      </c>
      <c r="Q98" s="152">
        <v>3221</v>
      </c>
      <c r="R98" s="167">
        <v>1</v>
      </c>
      <c r="S98" s="169">
        <v>1796</v>
      </c>
      <c r="U98" s="152">
        <v>57.848999999999997</v>
      </c>
      <c r="V98" s="166">
        <v>6.9999999999999999E-6</v>
      </c>
      <c r="W98" s="166">
        <v>8.4096780298571708E-3</v>
      </c>
      <c r="X98" s="166">
        <v>1.5113361207473399E-3</v>
      </c>
    </row>
    <row r="99" spans="1:24">
      <c r="A99" s="4">
        <v>337</v>
      </c>
      <c r="B99" s="4">
        <v>9962</v>
      </c>
      <c r="C99" s="4" t="s">
        <v>1470</v>
      </c>
      <c r="D99" s="4" t="s">
        <v>1471</v>
      </c>
      <c r="E99" s="4" t="s">
        <v>1303</v>
      </c>
      <c r="F99" s="4" t="s">
        <v>1472</v>
      </c>
      <c r="G99" s="4" t="s">
        <v>1473</v>
      </c>
      <c r="H99" s="4" t="s">
        <v>318</v>
      </c>
      <c r="I99" s="4" t="s">
        <v>930</v>
      </c>
      <c r="J99" s="4" t="s">
        <v>30</v>
      </c>
      <c r="K99" s="4" t="s">
        <v>80</v>
      </c>
      <c r="L99" s="2" t="s">
        <v>324</v>
      </c>
      <c r="M99" s="2" t="s">
        <v>41</v>
      </c>
      <c r="N99" s="4" t="s">
        <v>437</v>
      </c>
      <c r="O99" s="4" t="s">
        <v>134</v>
      </c>
      <c r="P99" s="4" t="s">
        <v>34</v>
      </c>
      <c r="Q99" s="152">
        <v>1287.7</v>
      </c>
      <c r="R99" s="167">
        <v>1</v>
      </c>
      <c r="S99" s="169">
        <v>5941</v>
      </c>
      <c r="U99" s="152">
        <v>76.501999999999995</v>
      </c>
      <c r="V99" s="166">
        <v>1.1E-5</v>
      </c>
      <c r="W99" s="166">
        <v>1.1121325701659E-2</v>
      </c>
      <c r="X99" s="166">
        <v>1.9986569264410399E-3</v>
      </c>
    </row>
    <row r="100" spans="1:24">
      <c r="A100" s="4">
        <v>337</v>
      </c>
      <c r="B100" s="4">
        <v>9962</v>
      </c>
      <c r="C100" s="4" t="s">
        <v>1474</v>
      </c>
      <c r="D100" s="4" t="s">
        <v>1475</v>
      </c>
      <c r="E100" s="4" t="s">
        <v>311</v>
      </c>
      <c r="F100" s="4" t="s">
        <v>1476</v>
      </c>
      <c r="G100" s="4" t="s">
        <v>1477</v>
      </c>
      <c r="H100" s="4" t="s">
        <v>318</v>
      </c>
      <c r="I100" s="4" t="s">
        <v>930</v>
      </c>
      <c r="J100" s="4" t="s">
        <v>30</v>
      </c>
      <c r="K100" s="4" t="s">
        <v>232</v>
      </c>
      <c r="L100" s="2" t="s">
        <v>324</v>
      </c>
      <c r="M100" s="2" t="s">
        <v>41</v>
      </c>
      <c r="N100" s="4" t="s">
        <v>450</v>
      </c>
      <c r="O100" s="4" t="s">
        <v>134</v>
      </c>
      <c r="P100" s="4" t="s">
        <v>34</v>
      </c>
      <c r="Q100" s="152">
        <v>2020</v>
      </c>
      <c r="R100" s="167">
        <v>1</v>
      </c>
      <c r="S100" s="169">
        <v>4205</v>
      </c>
      <c r="T100" s="151">
        <v>2.2530000000000001</v>
      </c>
      <c r="U100" s="152">
        <v>87.194000000000003</v>
      </c>
      <c r="V100" s="166">
        <v>1.1E-5</v>
      </c>
      <c r="W100" s="166">
        <v>1.26756269992614E-2</v>
      </c>
      <c r="X100" s="166">
        <v>2.2779864899809201E-3</v>
      </c>
    </row>
    <row r="101" spans="1:24">
      <c r="A101" s="4">
        <v>337</v>
      </c>
      <c r="B101" s="4">
        <v>9962</v>
      </c>
      <c r="C101" s="4" t="s">
        <v>1478</v>
      </c>
      <c r="D101" s="4" t="s">
        <v>1479</v>
      </c>
      <c r="E101" s="4" t="s">
        <v>1303</v>
      </c>
      <c r="F101" s="4" t="s">
        <v>1480</v>
      </c>
      <c r="G101" s="4" t="s">
        <v>1481</v>
      </c>
      <c r="H101" s="4" t="s">
        <v>318</v>
      </c>
      <c r="I101" s="4" t="s">
        <v>930</v>
      </c>
      <c r="J101" s="4" t="s">
        <v>30</v>
      </c>
      <c r="K101" s="4" t="s">
        <v>30</v>
      </c>
      <c r="L101" s="2" t="s">
        <v>324</v>
      </c>
      <c r="M101" s="2" t="s">
        <v>41</v>
      </c>
      <c r="N101" s="4" t="s">
        <v>437</v>
      </c>
      <c r="O101" s="4" t="s">
        <v>134</v>
      </c>
      <c r="P101" s="4" t="s">
        <v>34</v>
      </c>
      <c r="Q101" s="152">
        <v>4150</v>
      </c>
      <c r="R101" s="167">
        <v>1</v>
      </c>
      <c r="S101" s="169">
        <v>1013</v>
      </c>
      <c r="T101" s="151">
        <v>0.41499999999999998</v>
      </c>
      <c r="U101" s="152">
        <v>42.454999999999998</v>
      </c>
      <c r="V101" s="166">
        <v>7.9999999999999996E-6</v>
      </c>
      <c r="W101" s="166">
        <v>6.1717175481644203E-3</v>
      </c>
      <c r="X101" s="166">
        <v>1.10914349211411E-3</v>
      </c>
    </row>
    <row r="102" spans="1:24">
      <c r="A102" s="4">
        <v>337</v>
      </c>
      <c r="B102" s="4">
        <v>9962</v>
      </c>
      <c r="C102" s="4" t="s">
        <v>1482</v>
      </c>
      <c r="D102" s="4" t="s">
        <v>1483</v>
      </c>
      <c r="E102" s="4" t="s">
        <v>1303</v>
      </c>
      <c r="F102" s="4" t="s">
        <v>1484</v>
      </c>
      <c r="G102" s="4" t="s">
        <v>1485</v>
      </c>
      <c r="H102" s="4" t="s">
        <v>318</v>
      </c>
      <c r="I102" s="4" t="s">
        <v>930</v>
      </c>
      <c r="J102" s="4" t="s">
        <v>30</v>
      </c>
      <c r="K102" s="4" t="s">
        <v>30</v>
      </c>
      <c r="L102" s="2" t="s">
        <v>324</v>
      </c>
      <c r="M102" s="2" t="s">
        <v>41</v>
      </c>
      <c r="N102" s="4" t="s">
        <v>443</v>
      </c>
      <c r="O102" s="4" t="s">
        <v>134</v>
      </c>
      <c r="P102" s="4" t="s">
        <v>34</v>
      </c>
      <c r="Q102" s="152">
        <v>66</v>
      </c>
      <c r="R102" s="167">
        <v>1</v>
      </c>
      <c r="S102" s="169">
        <v>22350</v>
      </c>
      <c r="U102" s="152">
        <v>14.750999999999999</v>
      </c>
      <c r="V102" s="166">
        <v>5.0000000000000004E-6</v>
      </c>
      <c r="W102" s="166">
        <v>2.1443900070186499E-3</v>
      </c>
      <c r="X102" s="166">
        <v>3.85376712767203E-4</v>
      </c>
    </row>
    <row r="103" spans="1:24">
      <c r="A103" s="4">
        <v>337</v>
      </c>
      <c r="B103" s="4">
        <v>9962</v>
      </c>
      <c r="C103" s="4" t="s">
        <v>1489</v>
      </c>
      <c r="D103" s="4" t="s">
        <v>1490</v>
      </c>
      <c r="E103" s="4" t="s">
        <v>1303</v>
      </c>
      <c r="F103" s="4" t="s">
        <v>1491</v>
      </c>
      <c r="G103" s="4" t="s">
        <v>1492</v>
      </c>
      <c r="H103" s="4" t="s">
        <v>318</v>
      </c>
      <c r="I103" s="4" t="s">
        <v>930</v>
      </c>
      <c r="J103" s="4" t="s">
        <v>30</v>
      </c>
      <c r="K103" s="4" t="s">
        <v>30</v>
      </c>
      <c r="L103" s="2" t="s">
        <v>324</v>
      </c>
      <c r="M103" s="2" t="s">
        <v>41</v>
      </c>
      <c r="N103" s="4" t="s">
        <v>443</v>
      </c>
      <c r="O103" s="4" t="s">
        <v>134</v>
      </c>
      <c r="P103" s="4" t="s">
        <v>34</v>
      </c>
      <c r="Q103" s="152">
        <v>800</v>
      </c>
      <c r="R103" s="167">
        <v>1</v>
      </c>
      <c r="S103" s="169">
        <v>5080</v>
      </c>
      <c r="U103" s="152">
        <v>40.64</v>
      </c>
      <c r="V103" s="166">
        <v>6.9999999999999999E-6</v>
      </c>
      <c r="W103" s="166">
        <v>5.9079391149913897E-3</v>
      </c>
      <c r="X103" s="166">
        <v>1.06173883850987E-3</v>
      </c>
    </row>
    <row r="104" spans="1:24">
      <c r="A104" s="4">
        <v>337</v>
      </c>
      <c r="B104" s="4">
        <v>9962</v>
      </c>
      <c r="C104" s="4" t="s">
        <v>1493</v>
      </c>
      <c r="D104" s="4" t="s">
        <v>1494</v>
      </c>
      <c r="E104" s="4" t="s">
        <v>1303</v>
      </c>
      <c r="F104" s="4" t="s">
        <v>1495</v>
      </c>
      <c r="G104" s="4" t="s">
        <v>1496</v>
      </c>
      <c r="H104" s="4" t="s">
        <v>318</v>
      </c>
      <c r="I104" s="4" t="s">
        <v>930</v>
      </c>
      <c r="J104" s="4" t="s">
        <v>30</v>
      </c>
      <c r="K104" s="4" t="s">
        <v>30</v>
      </c>
      <c r="L104" s="2" t="s">
        <v>324</v>
      </c>
      <c r="M104" s="2" t="s">
        <v>41</v>
      </c>
      <c r="N104" s="4" t="s">
        <v>481</v>
      </c>
      <c r="O104" s="4" t="s">
        <v>134</v>
      </c>
      <c r="P104" s="4" t="s">
        <v>34</v>
      </c>
      <c r="Q104" s="152">
        <v>12834</v>
      </c>
      <c r="R104" s="167">
        <v>1</v>
      </c>
      <c r="S104" s="169">
        <v>546.6</v>
      </c>
      <c r="U104" s="152">
        <v>70.150999999999996</v>
      </c>
      <c r="V104" s="166">
        <v>5.0000000000000004E-6</v>
      </c>
      <c r="W104" s="166">
        <v>1.01979757290708E-2</v>
      </c>
      <c r="X104" s="166">
        <v>1.83271809255117E-3</v>
      </c>
    </row>
    <row r="105" spans="1:24">
      <c r="A105" s="4">
        <v>337</v>
      </c>
      <c r="B105" s="4">
        <v>9962</v>
      </c>
      <c r="C105" s="4" t="s">
        <v>1497</v>
      </c>
      <c r="D105" s="4" t="s">
        <v>1498</v>
      </c>
      <c r="E105" s="4" t="s">
        <v>1303</v>
      </c>
      <c r="F105" s="4" t="s">
        <v>1499</v>
      </c>
      <c r="G105" s="4" t="s">
        <v>1500</v>
      </c>
      <c r="H105" s="4" t="s">
        <v>318</v>
      </c>
      <c r="I105" s="4" t="s">
        <v>930</v>
      </c>
      <c r="J105" s="4" t="s">
        <v>30</v>
      </c>
      <c r="K105" s="4" t="s">
        <v>30</v>
      </c>
      <c r="L105" s="2" t="s">
        <v>324</v>
      </c>
      <c r="M105" s="2" t="s">
        <v>41</v>
      </c>
      <c r="N105" s="4" t="s">
        <v>460</v>
      </c>
      <c r="O105" s="4" t="s">
        <v>134</v>
      </c>
      <c r="P105" s="4" t="s">
        <v>34</v>
      </c>
      <c r="Q105" s="152">
        <v>395</v>
      </c>
      <c r="R105" s="167">
        <v>1</v>
      </c>
      <c r="S105" s="169">
        <v>51410</v>
      </c>
      <c r="U105" s="152">
        <v>203.07</v>
      </c>
      <c r="V105" s="166">
        <v>1.5999999999999999E-5</v>
      </c>
      <c r="W105" s="166">
        <v>2.9520724461411001E-2</v>
      </c>
      <c r="X105" s="166">
        <v>5.3052848195566096E-3</v>
      </c>
    </row>
    <row r="106" spans="1:24">
      <c r="A106" s="4">
        <v>337</v>
      </c>
      <c r="B106" s="4">
        <v>9962</v>
      </c>
      <c r="C106" s="4" t="s">
        <v>1501</v>
      </c>
      <c r="D106" s="4" t="s">
        <v>1502</v>
      </c>
      <c r="E106" s="4" t="s">
        <v>1303</v>
      </c>
      <c r="F106" s="4" t="s">
        <v>1503</v>
      </c>
      <c r="G106" s="4" t="s">
        <v>1504</v>
      </c>
      <c r="H106" s="4" t="s">
        <v>318</v>
      </c>
      <c r="I106" s="4" t="s">
        <v>930</v>
      </c>
      <c r="J106" s="4" t="s">
        <v>30</v>
      </c>
      <c r="K106" s="4" t="s">
        <v>30</v>
      </c>
      <c r="L106" s="2" t="s">
        <v>324</v>
      </c>
      <c r="M106" s="2" t="s">
        <v>41</v>
      </c>
      <c r="N106" s="4" t="s">
        <v>444</v>
      </c>
      <c r="O106" s="4" t="s">
        <v>134</v>
      </c>
      <c r="P106" s="4" t="s">
        <v>34</v>
      </c>
      <c r="Q106" s="152">
        <v>661</v>
      </c>
      <c r="R106" s="167">
        <v>1</v>
      </c>
      <c r="S106" s="169">
        <v>18720</v>
      </c>
      <c r="U106" s="152">
        <v>123.739</v>
      </c>
      <c r="V106" s="166">
        <v>6.9999999999999999E-6</v>
      </c>
      <c r="W106" s="166">
        <v>1.7988279028979901E-2</v>
      </c>
      <c r="X106" s="166">
        <v>3.23274395881252E-3</v>
      </c>
    </row>
    <row r="107" spans="1:24">
      <c r="A107" s="4">
        <v>337</v>
      </c>
      <c r="B107" s="4">
        <v>9962</v>
      </c>
      <c r="C107" s="4" t="s">
        <v>1505</v>
      </c>
      <c r="D107" s="4" t="s">
        <v>1506</v>
      </c>
      <c r="E107" s="4" t="s">
        <v>1303</v>
      </c>
      <c r="F107" s="4" t="s">
        <v>1507</v>
      </c>
      <c r="G107" s="4" t="s">
        <v>1508</v>
      </c>
      <c r="H107" s="4" t="s">
        <v>318</v>
      </c>
      <c r="I107" s="4" t="s">
        <v>930</v>
      </c>
      <c r="J107" s="4" t="s">
        <v>30</v>
      </c>
      <c r="K107" s="4" t="s">
        <v>30</v>
      </c>
      <c r="L107" s="2" t="s">
        <v>324</v>
      </c>
      <c r="M107" s="2" t="s">
        <v>41</v>
      </c>
      <c r="N107" s="4" t="s">
        <v>460</v>
      </c>
      <c r="O107" s="4" t="s">
        <v>134</v>
      </c>
      <c r="P107" s="4" t="s">
        <v>34</v>
      </c>
      <c r="Q107" s="152">
        <v>1499</v>
      </c>
      <c r="R107" s="167">
        <v>1</v>
      </c>
      <c r="S107" s="169">
        <v>1373</v>
      </c>
      <c r="U107" s="152">
        <v>20.581</v>
      </c>
      <c r="V107" s="166">
        <v>2.0999999999999999E-5</v>
      </c>
      <c r="W107" s="166">
        <v>2.9919510351672902E-3</v>
      </c>
      <c r="X107" s="166">
        <v>5.37695219115602E-4</v>
      </c>
    </row>
    <row r="108" spans="1:24">
      <c r="A108" s="4">
        <v>337</v>
      </c>
      <c r="B108" s="4">
        <v>9962</v>
      </c>
      <c r="C108" s="4" t="s">
        <v>1509</v>
      </c>
      <c r="D108" s="4" t="s">
        <v>1510</v>
      </c>
      <c r="E108" s="4" t="s">
        <v>1303</v>
      </c>
      <c r="F108" s="4" t="s">
        <v>1511</v>
      </c>
      <c r="G108" s="4" t="s">
        <v>1512</v>
      </c>
      <c r="H108" s="4" t="s">
        <v>318</v>
      </c>
      <c r="I108" s="4" t="s">
        <v>930</v>
      </c>
      <c r="J108" s="4" t="s">
        <v>30</v>
      </c>
      <c r="K108" s="4" t="s">
        <v>30</v>
      </c>
      <c r="L108" s="2" t="s">
        <v>324</v>
      </c>
      <c r="M108" s="2" t="s">
        <v>41</v>
      </c>
      <c r="N108" s="4" t="s">
        <v>459</v>
      </c>
      <c r="O108" s="4" t="s">
        <v>134</v>
      </c>
      <c r="P108" s="4" t="s">
        <v>34</v>
      </c>
      <c r="Q108" s="152">
        <v>315</v>
      </c>
      <c r="R108" s="167">
        <v>1</v>
      </c>
      <c r="S108" s="169">
        <v>47350</v>
      </c>
      <c r="U108" s="152">
        <v>149.15299999999999</v>
      </c>
      <c r="V108" s="166">
        <v>3.4999999999999997E-5</v>
      </c>
      <c r="W108" s="166">
        <v>2.16826744303335E-2</v>
      </c>
      <c r="X108" s="166">
        <v>3.8966782015463501E-3</v>
      </c>
    </row>
    <row r="109" spans="1:24">
      <c r="A109" s="4">
        <v>337</v>
      </c>
      <c r="B109" s="4">
        <v>9962</v>
      </c>
      <c r="C109" s="4" t="s">
        <v>1513</v>
      </c>
      <c r="D109" s="4" t="s">
        <v>1514</v>
      </c>
      <c r="E109" s="4" t="s">
        <v>1303</v>
      </c>
      <c r="F109" s="4" t="s">
        <v>1515</v>
      </c>
      <c r="G109" s="4" t="s">
        <v>1516</v>
      </c>
      <c r="H109" s="4" t="s">
        <v>318</v>
      </c>
      <c r="I109" s="4" t="s">
        <v>930</v>
      </c>
      <c r="J109" s="4" t="s">
        <v>30</v>
      </c>
      <c r="K109" s="4" t="s">
        <v>30</v>
      </c>
      <c r="L109" s="2" t="s">
        <v>324</v>
      </c>
      <c r="M109" s="2" t="s">
        <v>41</v>
      </c>
      <c r="N109" s="4" t="s">
        <v>460</v>
      </c>
      <c r="O109" s="4" t="s">
        <v>134</v>
      </c>
      <c r="P109" s="4" t="s">
        <v>34</v>
      </c>
      <c r="Q109" s="152">
        <v>1101</v>
      </c>
      <c r="R109" s="167">
        <v>1</v>
      </c>
      <c r="S109" s="169">
        <v>2850</v>
      </c>
      <c r="U109" s="152">
        <v>31.378</v>
      </c>
      <c r="V109" s="166">
        <v>5.0000000000000004E-6</v>
      </c>
      <c r="W109" s="166">
        <v>4.5615715433011102E-3</v>
      </c>
      <c r="X109" s="166">
        <v>8.1977785787849496E-4</v>
      </c>
    </row>
    <row r="110" spans="1:24">
      <c r="A110" s="4">
        <v>337</v>
      </c>
      <c r="B110" s="4">
        <v>9962</v>
      </c>
      <c r="C110" s="4" t="s">
        <v>1517</v>
      </c>
      <c r="D110" s="4" t="s">
        <v>1518</v>
      </c>
      <c r="E110" s="4" t="s">
        <v>1303</v>
      </c>
      <c r="F110" s="4" t="s">
        <v>1519</v>
      </c>
      <c r="G110" s="4" t="s">
        <v>1520</v>
      </c>
      <c r="H110" s="4" t="s">
        <v>318</v>
      </c>
      <c r="I110" s="4" t="s">
        <v>930</v>
      </c>
      <c r="J110" s="4" t="s">
        <v>30</v>
      </c>
      <c r="K110" s="4" t="s">
        <v>30</v>
      </c>
      <c r="L110" s="2" t="s">
        <v>324</v>
      </c>
      <c r="M110" s="2" t="s">
        <v>41</v>
      </c>
      <c r="N110" s="4" t="s">
        <v>437</v>
      </c>
      <c r="O110" s="4" t="s">
        <v>134</v>
      </c>
      <c r="P110" s="4" t="s">
        <v>34</v>
      </c>
      <c r="Q110" s="152">
        <v>2221</v>
      </c>
      <c r="R110" s="167">
        <v>1</v>
      </c>
      <c r="S110" s="169">
        <v>1156</v>
      </c>
      <c r="U110" s="152">
        <v>25.675000000000001</v>
      </c>
      <c r="V110" s="166">
        <v>1.2E-5</v>
      </c>
      <c r="W110" s="166">
        <v>3.73240449980355E-3</v>
      </c>
      <c r="X110" s="166">
        <v>6.7076500643257196E-4</v>
      </c>
    </row>
    <row r="111" spans="1:24">
      <c r="A111" s="4">
        <v>337</v>
      </c>
      <c r="B111" s="4">
        <v>9962</v>
      </c>
      <c r="C111" s="4" t="s">
        <v>1521</v>
      </c>
      <c r="D111" s="4" t="s">
        <v>1522</v>
      </c>
      <c r="E111" s="4" t="s">
        <v>1303</v>
      </c>
      <c r="F111" s="4" t="s">
        <v>1523</v>
      </c>
      <c r="G111" s="4" t="s">
        <v>1524</v>
      </c>
      <c r="H111" s="4" t="s">
        <v>318</v>
      </c>
      <c r="I111" s="4" t="s">
        <v>930</v>
      </c>
      <c r="J111" s="4" t="s">
        <v>30</v>
      </c>
      <c r="K111" s="4" t="s">
        <v>30</v>
      </c>
      <c r="L111" s="2" t="s">
        <v>324</v>
      </c>
      <c r="M111" s="2" t="s">
        <v>41</v>
      </c>
      <c r="N111" s="4" t="s">
        <v>444</v>
      </c>
      <c r="O111" s="4" t="s">
        <v>134</v>
      </c>
      <c r="P111" s="4" t="s">
        <v>34</v>
      </c>
      <c r="Q111" s="152">
        <v>6526</v>
      </c>
      <c r="R111" s="167">
        <v>1</v>
      </c>
      <c r="S111" s="169">
        <v>2572</v>
      </c>
      <c r="T111" s="151">
        <v>1.6679999999999999</v>
      </c>
      <c r="U111" s="152">
        <v>169.517</v>
      </c>
      <c r="V111" s="166">
        <v>5.0000000000000004E-6</v>
      </c>
      <c r="W111" s="166">
        <v>2.4643085444083699E-2</v>
      </c>
      <c r="X111" s="166">
        <v>4.4287052400910102E-3</v>
      </c>
    </row>
    <row r="112" spans="1:24">
      <c r="A112" s="4">
        <v>337</v>
      </c>
      <c r="B112" s="4">
        <v>9962</v>
      </c>
      <c r="C112" s="4" t="s">
        <v>1525</v>
      </c>
      <c r="D112" s="4" t="s">
        <v>1526</v>
      </c>
      <c r="E112" s="4" t="s">
        <v>1303</v>
      </c>
      <c r="F112" s="4" t="s">
        <v>1527</v>
      </c>
      <c r="G112" s="4" t="s">
        <v>1528</v>
      </c>
      <c r="H112" s="4" t="s">
        <v>318</v>
      </c>
      <c r="I112" s="4" t="s">
        <v>930</v>
      </c>
      <c r="J112" s="4" t="s">
        <v>30</v>
      </c>
      <c r="K112" s="4" t="s">
        <v>30</v>
      </c>
      <c r="L112" s="2" t="s">
        <v>324</v>
      </c>
      <c r="M112" s="2" t="s">
        <v>41</v>
      </c>
      <c r="N112" s="4" t="s">
        <v>458</v>
      </c>
      <c r="O112" s="4" t="s">
        <v>134</v>
      </c>
      <c r="P112" s="4" t="s">
        <v>34</v>
      </c>
      <c r="Q112" s="152">
        <v>1100</v>
      </c>
      <c r="R112" s="167">
        <v>1</v>
      </c>
      <c r="S112" s="169">
        <v>4274</v>
      </c>
      <c r="U112" s="152">
        <v>47.014000000000003</v>
      </c>
      <c r="V112" s="166">
        <v>4.0000000000000003E-5</v>
      </c>
      <c r="W112" s="166">
        <v>6.8345435421310304E-3</v>
      </c>
      <c r="X112" s="166">
        <v>1.2282625431521399E-3</v>
      </c>
    </row>
    <row r="113" spans="1:24">
      <c r="A113" s="4">
        <v>337</v>
      </c>
      <c r="B113" s="4">
        <v>9962</v>
      </c>
      <c r="C113" s="4" t="s">
        <v>1529</v>
      </c>
      <c r="D113" s="4" t="s">
        <v>1530</v>
      </c>
      <c r="E113" s="4" t="s">
        <v>1303</v>
      </c>
      <c r="F113" s="4" t="s">
        <v>1531</v>
      </c>
      <c r="G113" s="4" t="s">
        <v>1532</v>
      </c>
      <c r="H113" s="4" t="s">
        <v>318</v>
      </c>
      <c r="I113" s="4" t="s">
        <v>930</v>
      </c>
      <c r="J113" s="4" t="s">
        <v>30</v>
      </c>
      <c r="K113" s="4" t="s">
        <v>30</v>
      </c>
      <c r="L113" s="2" t="s">
        <v>324</v>
      </c>
      <c r="M113" s="2" t="s">
        <v>41</v>
      </c>
      <c r="N113" s="4" t="s">
        <v>472</v>
      </c>
      <c r="O113" s="4" t="s">
        <v>134</v>
      </c>
      <c r="P113" s="4" t="s">
        <v>34</v>
      </c>
      <c r="Q113" s="152">
        <v>324</v>
      </c>
      <c r="R113" s="167">
        <v>1</v>
      </c>
      <c r="S113" s="169">
        <v>7251</v>
      </c>
      <c r="U113" s="152">
        <v>23.492999999999999</v>
      </c>
      <c r="V113" s="166">
        <v>1.2999999999999999E-5</v>
      </c>
      <c r="W113" s="166">
        <v>3.4152714452234298E-3</v>
      </c>
      <c r="X113" s="166">
        <v>6.1377178519767895E-4</v>
      </c>
    </row>
    <row r="114" spans="1:24">
      <c r="A114" s="4">
        <v>337</v>
      </c>
      <c r="B114" s="4">
        <v>9962</v>
      </c>
      <c r="C114" s="4" t="s">
        <v>1533</v>
      </c>
      <c r="D114" s="4" t="s">
        <v>1534</v>
      </c>
      <c r="E114" s="4" t="s">
        <v>1303</v>
      </c>
      <c r="F114" s="4" t="s">
        <v>1535</v>
      </c>
      <c r="G114" s="4" t="s">
        <v>1536</v>
      </c>
      <c r="H114" s="4" t="s">
        <v>318</v>
      </c>
      <c r="I114" s="4" t="s">
        <v>930</v>
      </c>
      <c r="J114" s="4" t="s">
        <v>30</v>
      </c>
      <c r="K114" s="4" t="s">
        <v>30</v>
      </c>
      <c r="L114" s="2" t="s">
        <v>324</v>
      </c>
      <c r="M114" s="2" t="s">
        <v>41</v>
      </c>
      <c r="N114" s="4" t="s">
        <v>474</v>
      </c>
      <c r="O114" s="4" t="s">
        <v>134</v>
      </c>
      <c r="P114" s="4" t="s">
        <v>34</v>
      </c>
      <c r="Q114" s="152">
        <v>47</v>
      </c>
      <c r="R114" s="167">
        <v>1</v>
      </c>
      <c r="S114" s="169">
        <v>37430</v>
      </c>
      <c r="U114" s="152">
        <v>17.591999999999999</v>
      </c>
      <c r="V114" s="166">
        <v>7.9999999999999996E-6</v>
      </c>
      <c r="W114" s="166">
        <v>2.5574078667529501E-3</v>
      </c>
      <c r="X114" s="166">
        <v>4.5960176724777401E-4</v>
      </c>
    </row>
    <row r="115" spans="1:24">
      <c r="A115" s="4">
        <v>337</v>
      </c>
      <c r="B115" s="4">
        <v>9962</v>
      </c>
      <c r="C115" s="4" t="s">
        <v>1537</v>
      </c>
      <c r="D115" s="4" t="s">
        <v>1538</v>
      </c>
      <c r="E115" s="4" t="s">
        <v>1303</v>
      </c>
      <c r="F115" s="4" t="s">
        <v>1539</v>
      </c>
      <c r="G115" s="4" t="s">
        <v>1540</v>
      </c>
      <c r="H115" s="4" t="s">
        <v>318</v>
      </c>
      <c r="I115" s="4" t="s">
        <v>930</v>
      </c>
      <c r="J115" s="4" t="s">
        <v>30</v>
      </c>
      <c r="K115" s="4" t="s">
        <v>30</v>
      </c>
      <c r="L115" s="2" t="s">
        <v>324</v>
      </c>
      <c r="M115" s="2" t="s">
        <v>41</v>
      </c>
      <c r="N115" s="4" t="s">
        <v>474</v>
      </c>
      <c r="O115" s="4" t="s">
        <v>134</v>
      </c>
      <c r="P115" s="4" t="s">
        <v>34</v>
      </c>
      <c r="Q115" s="152">
        <v>12000</v>
      </c>
      <c r="R115" s="167">
        <v>1</v>
      </c>
      <c r="S115" s="169">
        <v>638.4</v>
      </c>
      <c r="U115" s="152">
        <v>76.608000000000004</v>
      </c>
      <c r="V115" s="166">
        <v>1.3100000000000001E-4</v>
      </c>
      <c r="W115" s="166">
        <v>1.1136697827786901E-2</v>
      </c>
      <c r="X115" s="166">
        <v>2.0014195113327799E-3</v>
      </c>
    </row>
    <row r="116" spans="1:24">
      <c r="A116" s="4">
        <v>337</v>
      </c>
      <c r="B116" s="4">
        <v>9962</v>
      </c>
      <c r="C116" s="4" t="s">
        <v>1541</v>
      </c>
      <c r="D116" s="4" t="s">
        <v>1542</v>
      </c>
      <c r="E116" s="4" t="s">
        <v>1303</v>
      </c>
      <c r="F116" s="4" t="s">
        <v>1543</v>
      </c>
      <c r="G116" s="4" t="s">
        <v>1544</v>
      </c>
      <c r="H116" s="4" t="s">
        <v>318</v>
      </c>
      <c r="I116" s="4" t="s">
        <v>930</v>
      </c>
      <c r="J116" s="4" t="s">
        <v>30</v>
      </c>
      <c r="K116" s="4" t="s">
        <v>30</v>
      </c>
      <c r="L116" s="2" t="s">
        <v>324</v>
      </c>
      <c r="M116" s="2" t="s">
        <v>41</v>
      </c>
      <c r="N116" s="4" t="s">
        <v>443</v>
      </c>
      <c r="O116" s="4" t="s">
        <v>134</v>
      </c>
      <c r="P116" s="4" t="s">
        <v>34</v>
      </c>
      <c r="Q116" s="152">
        <v>7000</v>
      </c>
      <c r="R116" s="167">
        <v>1</v>
      </c>
      <c r="S116" s="169">
        <v>665.7</v>
      </c>
      <c r="U116" s="152">
        <v>46.598999999999997</v>
      </c>
      <c r="V116" s="166">
        <v>8.1000000000000004E-5</v>
      </c>
      <c r="W116" s="166">
        <v>6.7742139473298199E-3</v>
      </c>
      <c r="X116" s="166">
        <v>1.21742047578055E-3</v>
      </c>
    </row>
    <row r="117" spans="1:24">
      <c r="A117" s="4">
        <v>337</v>
      </c>
      <c r="B117" s="4">
        <v>9962</v>
      </c>
      <c r="C117" s="4" t="s">
        <v>1545</v>
      </c>
      <c r="D117" s="4" t="s">
        <v>1546</v>
      </c>
      <c r="E117" s="4" t="s">
        <v>1303</v>
      </c>
      <c r="F117" s="4" t="s">
        <v>1547</v>
      </c>
      <c r="G117" s="4" t="s">
        <v>1548</v>
      </c>
      <c r="H117" s="4" t="s">
        <v>318</v>
      </c>
      <c r="I117" s="4" t="s">
        <v>930</v>
      </c>
      <c r="J117" s="4" t="s">
        <v>30</v>
      </c>
      <c r="K117" s="4" t="s">
        <v>30</v>
      </c>
      <c r="L117" s="2" t="s">
        <v>324</v>
      </c>
      <c r="M117" s="2" t="s">
        <v>41</v>
      </c>
      <c r="N117" s="4" t="s">
        <v>441</v>
      </c>
      <c r="O117" s="4" t="s">
        <v>134</v>
      </c>
      <c r="P117" s="4" t="s">
        <v>34</v>
      </c>
      <c r="Q117" s="152">
        <v>3120</v>
      </c>
      <c r="R117" s="167">
        <v>1</v>
      </c>
      <c r="S117" s="169">
        <v>6881</v>
      </c>
      <c r="U117" s="152">
        <v>214.68700000000001</v>
      </c>
      <c r="V117" s="166">
        <v>1.2E-5</v>
      </c>
      <c r="W117" s="166">
        <v>3.1209618759054598E-2</v>
      </c>
      <c r="X117" s="166">
        <v>5.6088026173950999E-3</v>
      </c>
    </row>
    <row r="118" spans="1:24">
      <c r="A118" s="4">
        <v>337</v>
      </c>
      <c r="B118" s="4">
        <v>9962</v>
      </c>
      <c r="C118" s="4" t="s">
        <v>1549</v>
      </c>
      <c r="D118" s="4" t="s">
        <v>1550</v>
      </c>
      <c r="E118" s="4" t="s">
        <v>1303</v>
      </c>
      <c r="F118" s="4" t="s">
        <v>1551</v>
      </c>
      <c r="G118" s="4" t="s">
        <v>1552</v>
      </c>
      <c r="H118" s="4" t="s">
        <v>318</v>
      </c>
      <c r="I118" s="4" t="s">
        <v>930</v>
      </c>
      <c r="J118" s="4" t="s">
        <v>30</v>
      </c>
      <c r="K118" s="4" t="s">
        <v>30</v>
      </c>
      <c r="L118" s="2" t="s">
        <v>324</v>
      </c>
      <c r="M118" s="2" t="s">
        <v>41</v>
      </c>
      <c r="N118" s="4" t="s">
        <v>473</v>
      </c>
      <c r="O118" s="4" t="s">
        <v>134</v>
      </c>
      <c r="P118" s="4" t="s">
        <v>34</v>
      </c>
      <c r="Q118" s="152">
        <v>485</v>
      </c>
      <c r="R118" s="167">
        <v>1</v>
      </c>
      <c r="S118" s="169">
        <v>6861</v>
      </c>
      <c r="T118" s="151">
        <v>0.30199999999999999</v>
      </c>
      <c r="U118" s="152">
        <v>33.578000000000003</v>
      </c>
      <c r="V118" s="166">
        <v>6.9999999999999999E-6</v>
      </c>
      <c r="W118" s="166">
        <v>4.8813242106482604E-3</v>
      </c>
      <c r="X118" s="166">
        <v>8.7724185996648698E-4</v>
      </c>
    </row>
    <row r="119" spans="1:24">
      <c r="A119" s="4">
        <v>337</v>
      </c>
      <c r="B119" s="4">
        <v>9962</v>
      </c>
      <c r="C119" s="4" t="s">
        <v>1781</v>
      </c>
      <c r="D119" s="4" t="s">
        <v>1782</v>
      </c>
      <c r="E119" s="4" t="s">
        <v>1303</v>
      </c>
      <c r="F119" s="4" t="s">
        <v>1783</v>
      </c>
      <c r="G119" s="4" t="s">
        <v>1784</v>
      </c>
      <c r="H119" s="4" t="s">
        <v>318</v>
      </c>
      <c r="I119" s="4" t="s">
        <v>930</v>
      </c>
      <c r="J119" s="4" t="s">
        <v>30</v>
      </c>
      <c r="K119" s="4" t="s">
        <v>30</v>
      </c>
      <c r="L119" s="2" t="s">
        <v>324</v>
      </c>
      <c r="M119" s="2" t="s">
        <v>41</v>
      </c>
      <c r="N119" s="4" t="s">
        <v>447</v>
      </c>
      <c r="O119" s="4" t="s">
        <v>134</v>
      </c>
      <c r="P119" s="4" t="s">
        <v>34</v>
      </c>
      <c r="Q119" s="152">
        <v>82</v>
      </c>
      <c r="R119" s="167">
        <v>1</v>
      </c>
      <c r="S119" s="169">
        <v>99210</v>
      </c>
      <c r="U119" s="152">
        <v>81.352000000000004</v>
      </c>
      <c r="V119" s="166">
        <v>1.1E-5</v>
      </c>
      <c r="W119" s="166">
        <v>1.1826374125753001E-2</v>
      </c>
      <c r="X119" s="166">
        <v>2.1253639354877701E-3</v>
      </c>
    </row>
    <row r="120" spans="1:24">
      <c r="A120" s="4">
        <v>337</v>
      </c>
      <c r="B120" s="4">
        <v>9962</v>
      </c>
      <c r="C120" s="4" t="s">
        <v>1553</v>
      </c>
      <c r="D120" s="4" t="s">
        <v>1554</v>
      </c>
      <c r="E120" s="4" t="s">
        <v>1303</v>
      </c>
      <c r="F120" s="4" t="s">
        <v>1555</v>
      </c>
      <c r="G120" s="4" t="s">
        <v>1556</v>
      </c>
      <c r="H120" s="4" t="s">
        <v>318</v>
      </c>
      <c r="I120" s="4" t="s">
        <v>930</v>
      </c>
      <c r="J120" s="4" t="s">
        <v>30</v>
      </c>
      <c r="K120" s="4" t="s">
        <v>30</v>
      </c>
      <c r="L120" s="2" t="s">
        <v>324</v>
      </c>
      <c r="M120" s="2" t="s">
        <v>41</v>
      </c>
      <c r="N120" s="4" t="s">
        <v>443</v>
      </c>
      <c r="O120" s="4" t="s">
        <v>134</v>
      </c>
      <c r="P120" s="4" t="s">
        <v>34</v>
      </c>
      <c r="Q120" s="152">
        <v>2503</v>
      </c>
      <c r="R120" s="167">
        <v>1</v>
      </c>
      <c r="S120" s="169">
        <v>1708</v>
      </c>
      <c r="U120" s="152">
        <v>42.750999999999998</v>
      </c>
      <c r="V120" s="166">
        <v>4.0000000000000003E-5</v>
      </c>
      <c r="W120" s="166">
        <v>6.2148553890350499E-3</v>
      </c>
      <c r="X120" s="166">
        <v>1.11689596216675E-3</v>
      </c>
    </row>
    <row r="121" spans="1:24">
      <c r="A121" s="4">
        <v>337</v>
      </c>
      <c r="B121" s="4">
        <v>9962</v>
      </c>
      <c r="C121" s="4" t="s">
        <v>1557</v>
      </c>
      <c r="D121" s="4" t="s">
        <v>1558</v>
      </c>
      <c r="E121" s="4" t="s">
        <v>1303</v>
      </c>
      <c r="F121" s="4" t="s">
        <v>1559</v>
      </c>
      <c r="G121" s="4" t="s">
        <v>1560</v>
      </c>
      <c r="H121" s="4" t="s">
        <v>318</v>
      </c>
      <c r="I121" s="4" t="s">
        <v>930</v>
      </c>
      <c r="J121" s="4" t="s">
        <v>30</v>
      </c>
      <c r="K121" s="4" t="s">
        <v>30</v>
      </c>
      <c r="L121" s="2" t="s">
        <v>324</v>
      </c>
      <c r="M121" s="2" t="s">
        <v>41</v>
      </c>
      <c r="N121" s="4" t="s">
        <v>473</v>
      </c>
      <c r="O121" s="4" t="s">
        <v>134</v>
      </c>
      <c r="P121" s="4" t="s">
        <v>34</v>
      </c>
      <c r="Q121" s="152">
        <v>144</v>
      </c>
      <c r="R121" s="167">
        <v>1</v>
      </c>
      <c r="S121" s="169">
        <v>22740</v>
      </c>
      <c r="U121" s="152">
        <v>32.746000000000002</v>
      </c>
      <c r="V121" s="166">
        <v>6.0000000000000002E-6</v>
      </c>
      <c r="W121" s="166">
        <v>4.7603103121029002E-3</v>
      </c>
      <c r="X121" s="166">
        <v>8.55493979092246E-4</v>
      </c>
    </row>
    <row r="122" spans="1:24">
      <c r="A122" s="4">
        <v>337</v>
      </c>
      <c r="B122" s="4">
        <v>9962</v>
      </c>
      <c r="C122" s="4" t="s">
        <v>1561</v>
      </c>
      <c r="D122" s="4" t="s">
        <v>1562</v>
      </c>
      <c r="E122" s="4" t="s">
        <v>1303</v>
      </c>
      <c r="F122" s="4" t="s">
        <v>1563</v>
      </c>
      <c r="G122" s="4" t="s">
        <v>1564</v>
      </c>
      <c r="H122" s="4" t="s">
        <v>318</v>
      </c>
      <c r="I122" s="4" t="s">
        <v>930</v>
      </c>
      <c r="J122" s="4" t="s">
        <v>30</v>
      </c>
      <c r="K122" s="4" t="s">
        <v>30</v>
      </c>
      <c r="L122" s="2" t="s">
        <v>324</v>
      </c>
      <c r="M122" s="2" t="s">
        <v>41</v>
      </c>
      <c r="N122" s="4" t="s">
        <v>459</v>
      </c>
      <c r="O122" s="4" t="s">
        <v>134</v>
      </c>
      <c r="P122" s="4" t="s">
        <v>34</v>
      </c>
      <c r="Q122" s="152">
        <v>1370</v>
      </c>
      <c r="R122" s="167">
        <v>1</v>
      </c>
      <c r="S122" s="169">
        <v>1352</v>
      </c>
      <c r="U122" s="152">
        <v>18.521999999999998</v>
      </c>
      <c r="V122" s="166">
        <v>3.6999999999999998E-5</v>
      </c>
      <c r="W122" s="166">
        <v>2.6926479198699899E-3</v>
      </c>
      <c r="X122" s="166">
        <v>4.83906285984628E-4</v>
      </c>
    </row>
    <row r="123" spans="1:24">
      <c r="A123" s="4">
        <v>337</v>
      </c>
      <c r="B123" s="4">
        <v>9962</v>
      </c>
      <c r="C123" s="4" t="s">
        <v>1565</v>
      </c>
      <c r="D123" s="4" t="s">
        <v>1566</v>
      </c>
      <c r="E123" s="4" t="s">
        <v>1303</v>
      </c>
      <c r="F123" s="4" t="s">
        <v>1567</v>
      </c>
      <c r="G123" s="4" t="s">
        <v>1568</v>
      </c>
      <c r="H123" s="4" t="s">
        <v>318</v>
      </c>
      <c r="I123" s="4" t="s">
        <v>930</v>
      </c>
      <c r="J123" s="4" t="s">
        <v>30</v>
      </c>
      <c r="K123" s="4" t="s">
        <v>295</v>
      </c>
      <c r="L123" s="2" t="s">
        <v>324</v>
      </c>
      <c r="M123" s="2" t="s">
        <v>41</v>
      </c>
      <c r="N123" s="4" t="s">
        <v>454</v>
      </c>
      <c r="O123" s="4" t="s">
        <v>134</v>
      </c>
      <c r="P123" s="4" t="s">
        <v>34</v>
      </c>
      <c r="Q123" s="152">
        <v>500</v>
      </c>
      <c r="R123" s="167">
        <v>1</v>
      </c>
      <c r="S123" s="169">
        <v>13000</v>
      </c>
      <c r="U123" s="152">
        <v>65</v>
      </c>
      <c r="V123" s="166">
        <v>3.9999999999999998E-6</v>
      </c>
      <c r="W123" s="166">
        <v>9.4492136435639796E-3</v>
      </c>
      <c r="X123" s="166">
        <v>1.6981551304906901E-3</v>
      </c>
    </row>
    <row r="124" spans="1:24">
      <c r="A124" s="4">
        <v>337</v>
      </c>
      <c r="B124" s="4">
        <v>9962</v>
      </c>
      <c r="C124" s="4" t="s">
        <v>1569</v>
      </c>
      <c r="D124" s="4" t="s">
        <v>1570</v>
      </c>
      <c r="E124" s="4" t="s">
        <v>1303</v>
      </c>
      <c r="F124" s="4" t="s">
        <v>1571</v>
      </c>
      <c r="G124" s="4" t="s">
        <v>1572</v>
      </c>
      <c r="H124" s="4" t="s">
        <v>318</v>
      </c>
      <c r="I124" s="4" t="s">
        <v>930</v>
      </c>
      <c r="J124" s="4" t="s">
        <v>30</v>
      </c>
      <c r="K124" s="4" t="s">
        <v>80</v>
      </c>
      <c r="L124" s="2" t="s">
        <v>324</v>
      </c>
      <c r="M124" s="2" t="s">
        <v>41</v>
      </c>
      <c r="N124" s="4" t="s">
        <v>463</v>
      </c>
      <c r="O124" s="4" t="s">
        <v>134</v>
      </c>
      <c r="P124" s="4" t="s">
        <v>34</v>
      </c>
      <c r="Q124" s="152">
        <v>3003</v>
      </c>
      <c r="R124" s="167">
        <v>1</v>
      </c>
      <c r="S124" s="169">
        <v>5587</v>
      </c>
      <c r="U124" s="152">
        <v>167.77799999999999</v>
      </c>
      <c r="V124" s="166">
        <v>1.9999999999999999E-6</v>
      </c>
      <c r="W124" s="166">
        <v>2.4390253561485501E-2</v>
      </c>
      <c r="X124" s="166">
        <v>4.3832678338917904E-3</v>
      </c>
    </row>
    <row r="125" spans="1:24">
      <c r="A125" s="4">
        <v>337</v>
      </c>
      <c r="B125" s="4">
        <v>9962</v>
      </c>
      <c r="C125" s="4" t="s">
        <v>1573</v>
      </c>
      <c r="D125" s="4" t="s">
        <v>1574</v>
      </c>
      <c r="E125" s="4" t="s">
        <v>1303</v>
      </c>
      <c r="F125" s="4" t="s">
        <v>1575</v>
      </c>
      <c r="G125" s="4" t="s">
        <v>1576</v>
      </c>
      <c r="H125" s="4" t="s">
        <v>318</v>
      </c>
      <c r="I125" s="4" t="s">
        <v>930</v>
      </c>
      <c r="J125" s="4" t="s">
        <v>30</v>
      </c>
      <c r="K125" s="4" t="s">
        <v>30</v>
      </c>
      <c r="L125" s="2" t="s">
        <v>324</v>
      </c>
      <c r="M125" s="2" t="s">
        <v>41</v>
      </c>
      <c r="N125" s="4" t="s">
        <v>472</v>
      </c>
      <c r="O125" s="4" t="s">
        <v>134</v>
      </c>
      <c r="P125" s="4" t="s">
        <v>34</v>
      </c>
      <c r="Q125" s="152">
        <v>4467</v>
      </c>
      <c r="R125" s="167">
        <v>1</v>
      </c>
      <c r="S125" s="169">
        <v>692.7</v>
      </c>
      <c r="U125" s="152">
        <v>30.943000000000001</v>
      </c>
      <c r="V125" s="166">
        <v>4.1E-5</v>
      </c>
      <c r="W125" s="166">
        <v>4.4982485829901404E-3</v>
      </c>
      <c r="X125" s="166">
        <v>8.0839784108702498E-4</v>
      </c>
    </row>
    <row r="126" spans="1:24">
      <c r="A126" s="4">
        <v>337</v>
      </c>
      <c r="B126" s="4">
        <v>9962</v>
      </c>
      <c r="C126" s="4" t="s">
        <v>1577</v>
      </c>
      <c r="D126" s="4" t="s">
        <v>1578</v>
      </c>
      <c r="E126" s="4" t="s">
        <v>309</v>
      </c>
      <c r="F126" s="4" t="s">
        <v>1579</v>
      </c>
      <c r="G126" s="4" t="s">
        <v>1580</v>
      </c>
      <c r="H126" s="4" t="s">
        <v>318</v>
      </c>
      <c r="I126" s="4" t="s">
        <v>930</v>
      </c>
      <c r="J126" s="4" t="s">
        <v>30</v>
      </c>
      <c r="K126" s="4" t="s">
        <v>30</v>
      </c>
      <c r="L126" s="2" t="s">
        <v>324</v>
      </c>
      <c r="M126" s="2" t="s">
        <v>41</v>
      </c>
      <c r="N126" s="4" t="s">
        <v>450</v>
      </c>
      <c r="O126" s="4" t="s">
        <v>134</v>
      </c>
      <c r="P126" s="4" t="s">
        <v>34</v>
      </c>
      <c r="Q126" s="152">
        <v>40000</v>
      </c>
      <c r="R126" s="167">
        <v>1</v>
      </c>
      <c r="S126" s="169">
        <v>203</v>
      </c>
      <c r="U126" s="152">
        <v>81.2</v>
      </c>
      <c r="V126" s="166">
        <v>1.5E-5</v>
      </c>
      <c r="W126" s="166">
        <v>1.18042484285753E-2</v>
      </c>
      <c r="X126" s="166">
        <v>2.1213876399360601E-3</v>
      </c>
    </row>
    <row r="127" spans="1:24">
      <c r="A127" s="4">
        <v>337</v>
      </c>
      <c r="B127" s="4">
        <v>9962</v>
      </c>
      <c r="C127" s="4" t="s">
        <v>1585</v>
      </c>
      <c r="D127" s="4" t="s">
        <v>1586</v>
      </c>
      <c r="E127" s="4" t="s">
        <v>1303</v>
      </c>
      <c r="F127" s="4" t="s">
        <v>1587</v>
      </c>
      <c r="G127" s="4" t="s">
        <v>1588</v>
      </c>
      <c r="H127" s="4" t="s">
        <v>318</v>
      </c>
      <c r="I127" s="4" t="s">
        <v>930</v>
      </c>
      <c r="J127" s="4" t="s">
        <v>30</v>
      </c>
      <c r="K127" s="4" t="s">
        <v>30</v>
      </c>
      <c r="L127" s="2" t="s">
        <v>324</v>
      </c>
      <c r="M127" s="2" t="s">
        <v>41</v>
      </c>
      <c r="N127" s="4" t="s">
        <v>441</v>
      </c>
      <c r="O127" s="4" t="s">
        <v>134</v>
      </c>
      <c r="P127" s="4" t="s">
        <v>34</v>
      </c>
      <c r="Q127" s="152">
        <v>2059</v>
      </c>
      <c r="R127" s="167">
        <v>1</v>
      </c>
      <c r="S127" s="169">
        <v>9094</v>
      </c>
      <c r="U127" s="152">
        <v>187.245</v>
      </c>
      <c r="V127" s="166">
        <v>2.5999999999999998E-5</v>
      </c>
      <c r="W127" s="166">
        <v>2.72203439281141E-2</v>
      </c>
      <c r="X127" s="166">
        <v>4.8918744393859903E-3</v>
      </c>
    </row>
    <row r="128" spans="1:24">
      <c r="A128" s="4">
        <v>337</v>
      </c>
      <c r="B128" s="4">
        <v>9962</v>
      </c>
      <c r="C128" s="4" t="s">
        <v>1174</v>
      </c>
      <c r="D128" s="4" t="s">
        <v>1589</v>
      </c>
      <c r="E128" s="4" t="s">
        <v>1303</v>
      </c>
      <c r="F128" s="4" t="s">
        <v>1590</v>
      </c>
      <c r="G128" s="4" t="s">
        <v>1591</v>
      </c>
      <c r="H128" s="4" t="s">
        <v>318</v>
      </c>
      <c r="I128" s="4" t="s">
        <v>930</v>
      </c>
      <c r="J128" s="4" t="s">
        <v>30</v>
      </c>
      <c r="K128" s="4" t="s">
        <v>30</v>
      </c>
      <c r="L128" s="2" t="s">
        <v>324</v>
      </c>
      <c r="M128" s="2" t="s">
        <v>41</v>
      </c>
      <c r="N128" s="4" t="s">
        <v>444</v>
      </c>
      <c r="O128" s="4" t="s">
        <v>134</v>
      </c>
      <c r="P128" s="4" t="s">
        <v>34</v>
      </c>
      <c r="Q128" s="152">
        <v>7841</v>
      </c>
      <c r="R128" s="167">
        <v>1</v>
      </c>
      <c r="S128" s="169">
        <v>4982</v>
      </c>
      <c r="U128" s="152">
        <v>390.63900000000001</v>
      </c>
      <c r="V128" s="166">
        <v>5.0000000000000004E-6</v>
      </c>
      <c r="W128" s="166">
        <v>5.6788119658569301E-2</v>
      </c>
      <c r="X128" s="166">
        <v>1.0205615026473901E-2</v>
      </c>
    </row>
    <row r="129" spans="1:24">
      <c r="A129" s="4">
        <v>337</v>
      </c>
      <c r="B129" s="4">
        <v>9962</v>
      </c>
      <c r="C129" s="4" t="s">
        <v>1592</v>
      </c>
      <c r="D129" s="4" t="s">
        <v>1593</v>
      </c>
      <c r="E129" s="4" t="s">
        <v>1303</v>
      </c>
      <c r="F129" s="4" t="s">
        <v>1594</v>
      </c>
      <c r="G129" s="4" t="s">
        <v>1595</v>
      </c>
      <c r="H129" s="4" t="s">
        <v>318</v>
      </c>
      <c r="I129" s="4" t="s">
        <v>930</v>
      </c>
      <c r="J129" s="4" t="s">
        <v>30</v>
      </c>
      <c r="K129" s="4" t="s">
        <v>30</v>
      </c>
      <c r="L129" s="2" t="s">
        <v>324</v>
      </c>
      <c r="M129" s="2" t="s">
        <v>41</v>
      </c>
      <c r="N129" s="4" t="s">
        <v>460</v>
      </c>
      <c r="O129" s="4" t="s">
        <v>134</v>
      </c>
      <c r="P129" s="4" t="s">
        <v>34</v>
      </c>
      <c r="Q129" s="152">
        <v>7409</v>
      </c>
      <c r="R129" s="167">
        <v>1</v>
      </c>
      <c r="S129" s="169">
        <v>992.1</v>
      </c>
      <c r="T129" s="151">
        <v>0.70399999999999996</v>
      </c>
      <c r="U129" s="152">
        <v>74.207999999999998</v>
      </c>
      <c r="V129" s="166">
        <v>1.0000000000000001E-5</v>
      </c>
      <c r="W129" s="166">
        <v>1.0787832714694001E-2</v>
      </c>
      <c r="X129" s="166">
        <v>1.9387235977896E-3</v>
      </c>
    </row>
    <row r="130" spans="1:24">
      <c r="A130" s="4">
        <v>337</v>
      </c>
      <c r="B130" s="4">
        <v>9962</v>
      </c>
      <c r="C130" s="4" t="s">
        <v>1596</v>
      </c>
      <c r="D130" s="4" t="s">
        <v>1597</v>
      </c>
      <c r="E130" s="4" t="s">
        <v>1303</v>
      </c>
      <c r="F130" s="4" t="s">
        <v>1598</v>
      </c>
      <c r="G130" s="4" t="s">
        <v>1599</v>
      </c>
      <c r="H130" s="4" t="s">
        <v>318</v>
      </c>
      <c r="I130" s="4" t="s">
        <v>930</v>
      </c>
      <c r="J130" s="4" t="s">
        <v>30</v>
      </c>
      <c r="K130" s="4" t="s">
        <v>30</v>
      </c>
      <c r="L130" s="2" t="s">
        <v>324</v>
      </c>
      <c r="M130" s="2" t="s">
        <v>41</v>
      </c>
      <c r="N130" s="4" t="s">
        <v>444</v>
      </c>
      <c r="O130" s="4" t="s">
        <v>134</v>
      </c>
      <c r="P130" s="4" t="s">
        <v>34</v>
      </c>
      <c r="Q130" s="152">
        <v>893</v>
      </c>
      <c r="R130" s="167">
        <v>1</v>
      </c>
      <c r="S130" s="169">
        <v>16650</v>
      </c>
      <c r="U130" s="152">
        <v>148.685</v>
      </c>
      <c r="V130" s="166">
        <v>3.0000000000000001E-6</v>
      </c>
      <c r="W130" s="166">
        <v>2.1614640092099801E-2</v>
      </c>
      <c r="X130" s="166">
        <v>3.8844514846068201E-3</v>
      </c>
    </row>
    <row r="131" spans="1:24">
      <c r="A131" s="4">
        <v>337</v>
      </c>
      <c r="B131" s="4">
        <v>9962</v>
      </c>
      <c r="C131" s="4" t="s">
        <v>1600</v>
      </c>
      <c r="D131" s="4" t="s">
        <v>1601</v>
      </c>
      <c r="E131" s="4" t="s">
        <v>1303</v>
      </c>
      <c r="F131" s="4" t="s">
        <v>1602</v>
      </c>
      <c r="G131" s="4" t="s">
        <v>1603</v>
      </c>
      <c r="H131" s="4" t="s">
        <v>318</v>
      </c>
      <c r="I131" s="4" t="s">
        <v>930</v>
      </c>
      <c r="J131" s="4" t="s">
        <v>30</v>
      </c>
      <c r="K131" s="4" t="s">
        <v>30</v>
      </c>
      <c r="L131" s="2" t="s">
        <v>324</v>
      </c>
      <c r="M131" s="2" t="s">
        <v>41</v>
      </c>
      <c r="N131" s="4" t="s">
        <v>473</v>
      </c>
      <c r="O131" s="4" t="s">
        <v>134</v>
      </c>
      <c r="P131" s="4" t="s">
        <v>34</v>
      </c>
      <c r="Q131" s="152">
        <v>387</v>
      </c>
      <c r="R131" s="167">
        <v>1</v>
      </c>
      <c r="S131" s="169">
        <v>8638</v>
      </c>
      <c r="T131" s="151">
        <v>0.317</v>
      </c>
      <c r="U131" s="152">
        <v>33.746000000000002</v>
      </c>
      <c r="V131" s="166">
        <v>6.0000000000000002E-6</v>
      </c>
      <c r="W131" s="166">
        <v>4.9057991277102701E-3</v>
      </c>
      <c r="X131" s="166">
        <v>8.8164034300909297E-4</v>
      </c>
    </row>
    <row r="132" spans="1:24">
      <c r="A132" s="4">
        <v>337</v>
      </c>
      <c r="B132" s="4">
        <v>9962</v>
      </c>
      <c r="C132" s="4" t="s">
        <v>1604</v>
      </c>
      <c r="D132" s="4" t="s">
        <v>1605</v>
      </c>
      <c r="E132" s="4" t="s">
        <v>1303</v>
      </c>
      <c r="F132" s="4" t="s">
        <v>1606</v>
      </c>
      <c r="G132" s="4" t="s">
        <v>1607</v>
      </c>
      <c r="H132" s="4" t="s">
        <v>318</v>
      </c>
      <c r="I132" s="4" t="s">
        <v>930</v>
      </c>
      <c r="J132" s="4" t="s">
        <v>30</v>
      </c>
      <c r="K132" s="4" t="s">
        <v>30</v>
      </c>
      <c r="L132" s="2" t="s">
        <v>324</v>
      </c>
      <c r="M132" s="2" t="s">
        <v>41</v>
      </c>
      <c r="N132" s="4" t="s">
        <v>460</v>
      </c>
      <c r="O132" s="4" t="s">
        <v>134</v>
      </c>
      <c r="P132" s="4" t="s">
        <v>34</v>
      </c>
      <c r="Q132" s="152">
        <v>233</v>
      </c>
      <c r="R132" s="167">
        <v>1</v>
      </c>
      <c r="S132" s="169">
        <v>28940</v>
      </c>
      <c r="T132" s="151">
        <v>0.441</v>
      </c>
      <c r="U132" s="152">
        <v>67.870999999999995</v>
      </c>
      <c r="V132" s="166">
        <v>5.0000000000000004E-6</v>
      </c>
      <c r="W132" s="166">
        <v>9.8665636043225608E-3</v>
      </c>
      <c r="X132" s="166">
        <v>1.7731587237849299E-3</v>
      </c>
    </row>
    <row r="133" spans="1:24">
      <c r="A133" s="4">
        <v>337</v>
      </c>
      <c r="B133" s="4">
        <v>9962</v>
      </c>
      <c r="C133" s="4" t="s">
        <v>1608</v>
      </c>
      <c r="D133" s="4" t="s">
        <v>1609</v>
      </c>
      <c r="E133" s="4" t="s">
        <v>1303</v>
      </c>
      <c r="F133" s="4" t="s">
        <v>1610</v>
      </c>
      <c r="G133" s="4" t="s">
        <v>1611</v>
      </c>
      <c r="H133" s="4" t="s">
        <v>318</v>
      </c>
      <c r="I133" s="4" t="s">
        <v>930</v>
      </c>
      <c r="J133" s="4" t="s">
        <v>30</v>
      </c>
      <c r="K133" s="4" t="s">
        <v>30</v>
      </c>
      <c r="L133" s="2" t="s">
        <v>324</v>
      </c>
      <c r="M133" s="2" t="s">
        <v>41</v>
      </c>
      <c r="N133" s="4" t="s">
        <v>441</v>
      </c>
      <c r="O133" s="4" t="s">
        <v>134</v>
      </c>
      <c r="P133" s="4" t="s">
        <v>34</v>
      </c>
      <c r="Q133" s="152">
        <v>317</v>
      </c>
      <c r="R133" s="167">
        <v>1</v>
      </c>
      <c r="S133" s="169">
        <v>18600</v>
      </c>
      <c r="T133" s="151">
        <v>0.76300000000000001</v>
      </c>
      <c r="U133" s="152">
        <v>59.725000000000001</v>
      </c>
      <c r="V133" s="166">
        <v>5.0000000000000004E-6</v>
      </c>
      <c r="W133" s="166">
        <v>8.6823241866033907E-3</v>
      </c>
      <c r="X133" s="166">
        <v>1.56033442762788E-3</v>
      </c>
    </row>
    <row r="134" spans="1:24">
      <c r="A134" s="4">
        <v>337</v>
      </c>
      <c r="B134" s="4">
        <v>9962</v>
      </c>
      <c r="C134" s="4" t="s">
        <v>1616</v>
      </c>
      <c r="D134" s="4" t="s">
        <v>1617</v>
      </c>
      <c r="E134" s="4" t="s">
        <v>309</v>
      </c>
      <c r="F134" s="4" t="s">
        <v>1618</v>
      </c>
      <c r="G134" s="4" t="s">
        <v>1619</v>
      </c>
      <c r="H134" s="4" t="s">
        <v>318</v>
      </c>
      <c r="I134" s="4" t="s">
        <v>930</v>
      </c>
      <c r="J134" s="4" t="s">
        <v>30</v>
      </c>
      <c r="K134" s="4" t="s">
        <v>80</v>
      </c>
      <c r="L134" s="2" t="s">
        <v>324</v>
      </c>
      <c r="M134" s="2" t="s">
        <v>41</v>
      </c>
      <c r="N134" s="4" t="s">
        <v>450</v>
      </c>
      <c r="O134" s="4" t="s">
        <v>134</v>
      </c>
      <c r="P134" s="4" t="s">
        <v>34</v>
      </c>
      <c r="Q134" s="152">
        <v>1996</v>
      </c>
      <c r="R134" s="167">
        <v>1</v>
      </c>
      <c r="S134" s="169">
        <v>8700</v>
      </c>
      <c r="U134" s="152">
        <v>173.65199999999999</v>
      </c>
      <c r="V134" s="166">
        <v>2.0000000000000002E-5</v>
      </c>
      <c r="W134" s="166">
        <v>2.5244228425110399E-2</v>
      </c>
      <c r="X134" s="166">
        <v>4.53673899569184E-3</v>
      </c>
    </row>
    <row r="135" spans="1:24">
      <c r="A135" s="4">
        <v>337</v>
      </c>
      <c r="B135" s="4">
        <v>9962</v>
      </c>
      <c r="C135" s="4" t="s">
        <v>1620</v>
      </c>
      <c r="D135" s="4" t="s">
        <v>1621</v>
      </c>
      <c r="E135" s="4" t="s">
        <v>1303</v>
      </c>
      <c r="F135" s="4" t="s">
        <v>1622</v>
      </c>
      <c r="G135" s="4" t="s">
        <v>1623</v>
      </c>
      <c r="H135" s="4" t="s">
        <v>318</v>
      </c>
      <c r="I135" s="4" t="s">
        <v>930</v>
      </c>
      <c r="J135" s="4" t="s">
        <v>30</v>
      </c>
      <c r="K135" s="4" t="s">
        <v>295</v>
      </c>
      <c r="L135" s="2" t="s">
        <v>324</v>
      </c>
      <c r="M135" s="2" t="s">
        <v>41</v>
      </c>
      <c r="N135" s="4" t="s">
        <v>454</v>
      </c>
      <c r="O135" s="4" t="s">
        <v>134</v>
      </c>
      <c r="P135" s="4" t="s">
        <v>34</v>
      </c>
      <c r="Q135" s="152">
        <v>261</v>
      </c>
      <c r="R135" s="167">
        <v>1</v>
      </c>
      <c r="S135" s="169">
        <v>68020</v>
      </c>
      <c r="U135" s="152">
        <v>177.53200000000001</v>
      </c>
      <c r="V135" s="166">
        <v>9.0000000000000002E-6</v>
      </c>
      <c r="W135" s="166">
        <v>2.5808302867875801E-2</v>
      </c>
      <c r="X135" s="166">
        <v>4.63811101934307E-3</v>
      </c>
    </row>
    <row r="136" spans="1:24">
      <c r="A136" s="4">
        <v>337</v>
      </c>
      <c r="B136" s="4">
        <v>9962</v>
      </c>
      <c r="C136" s="4" t="s">
        <v>1624</v>
      </c>
      <c r="D136" s="4" t="s">
        <v>1625</v>
      </c>
      <c r="E136" s="4" t="s">
        <v>1303</v>
      </c>
      <c r="F136" s="4" t="s">
        <v>1626</v>
      </c>
      <c r="G136" s="4" t="s">
        <v>1627</v>
      </c>
      <c r="H136" s="4" t="s">
        <v>318</v>
      </c>
      <c r="I136" s="4" t="s">
        <v>930</v>
      </c>
      <c r="J136" s="4" t="s">
        <v>30</v>
      </c>
      <c r="K136" s="4" t="s">
        <v>30</v>
      </c>
      <c r="L136" s="2" t="s">
        <v>324</v>
      </c>
      <c r="M136" s="2" t="s">
        <v>41</v>
      </c>
      <c r="N136" s="4" t="s">
        <v>437</v>
      </c>
      <c r="O136" s="4" t="s">
        <v>134</v>
      </c>
      <c r="P136" s="4" t="s">
        <v>34</v>
      </c>
      <c r="Q136" s="152">
        <v>1035</v>
      </c>
      <c r="R136" s="167">
        <v>1</v>
      </c>
      <c r="S136" s="169">
        <v>8514</v>
      </c>
      <c r="U136" s="152">
        <v>88.12</v>
      </c>
      <c r="V136" s="166">
        <v>2.9E-5</v>
      </c>
      <c r="W136" s="166">
        <v>1.28102117130691E-2</v>
      </c>
      <c r="X136" s="166">
        <v>2.3021732351281E-3</v>
      </c>
    </row>
    <row r="137" spans="1:24">
      <c r="A137" s="4">
        <v>337</v>
      </c>
      <c r="B137" s="4">
        <v>9962</v>
      </c>
      <c r="C137" s="4" t="s">
        <v>1628</v>
      </c>
      <c r="D137" s="4" t="s">
        <v>1629</v>
      </c>
      <c r="E137" s="4" t="s">
        <v>309</v>
      </c>
      <c r="F137" s="4" t="s">
        <v>1630</v>
      </c>
      <c r="G137" s="4" t="s">
        <v>1631</v>
      </c>
      <c r="H137" s="4" t="s">
        <v>318</v>
      </c>
      <c r="I137" s="4" t="s">
        <v>930</v>
      </c>
      <c r="J137" s="4" t="s">
        <v>30</v>
      </c>
      <c r="K137" s="4" t="s">
        <v>30</v>
      </c>
      <c r="L137" s="2" t="s">
        <v>324</v>
      </c>
      <c r="M137" s="2" t="s">
        <v>41</v>
      </c>
      <c r="N137" s="4" t="s">
        <v>450</v>
      </c>
      <c r="O137" s="4" t="s">
        <v>134</v>
      </c>
      <c r="P137" s="4" t="s">
        <v>34</v>
      </c>
      <c r="Q137" s="152">
        <v>13756</v>
      </c>
      <c r="R137" s="167">
        <v>1</v>
      </c>
      <c r="S137" s="169">
        <v>1249</v>
      </c>
      <c r="T137" s="151">
        <v>3.2050000000000001</v>
      </c>
      <c r="U137" s="152">
        <v>175.017</v>
      </c>
      <c r="V137" s="166">
        <v>1.2E-5</v>
      </c>
      <c r="W137" s="166">
        <v>2.5442727329258098E-2</v>
      </c>
      <c r="X137" s="166">
        <v>4.5724120098907398E-3</v>
      </c>
    </row>
    <row r="138" spans="1:24">
      <c r="A138" s="4">
        <v>337</v>
      </c>
      <c r="B138" s="4">
        <v>9962</v>
      </c>
      <c r="C138" s="4" t="s">
        <v>1632</v>
      </c>
      <c r="D138" s="4" t="s">
        <v>1633</v>
      </c>
      <c r="E138" s="4" t="s">
        <v>1303</v>
      </c>
      <c r="F138" s="4" t="s">
        <v>1634</v>
      </c>
      <c r="G138" s="4" t="s">
        <v>1635</v>
      </c>
      <c r="H138" s="4" t="s">
        <v>318</v>
      </c>
      <c r="I138" s="4" t="s">
        <v>930</v>
      </c>
      <c r="J138" s="4" t="s">
        <v>30</v>
      </c>
      <c r="K138" s="4" t="s">
        <v>80</v>
      </c>
      <c r="L138" s="2" t="s">
        <v>324</v>
      </c>
      <c r="M138" s="2" t="s">
        <v>41</v>
      </c>
      <c r="N138" s="4" t="s">
        <v>477</v>
      </c>
      <c r="O138" s="4" t="s">
        <v>134</v>
      </c>
      <c r="P138" s="4" t="s">
        <v>34</v>
      </c>
      <c r="Q138" s="152">
        <v>138</v>
      </c>
      <c r="R138" s="167">
        <v>1</v>
      </c>
      <c r="S138" s="169">
        <v>56600</v>
      </c>
      <c r="U138" s="152">
        <v>78.108000000000004</v>
      </c>
      <c r="V138" s="166">
        <v>1.9999999999999999E-6</v>
      </c>
      <c r="W138" s="166">
        <v>1.13547566041769E-2</v>
      </c>
      <c r="X138" s="166">
        <v>2.0406077066517998E-3</v>
      </c>
    </row>
    <row r="139" spans="1:24">
      <c r="A139" s="4">
        <v>337</v>
      </c>
      <c r="B139" s="4">
        <v>9962</v>
      </c>
      <c r="C139" s="4" t="s">
        <v>1636</v>
      </c>
      <c r="D139" s="4" t="s">
        <v>1637</v>
      </c>
      <c r="E139" s="4" t="s">
        <v>1303</v>
      </c>
      <c r="F139" s="4" t="s">
        <v>1638</v>
      </c>
      <c r="G139" s="4" t="s">
        <v>1639</v>
      </c>
      <c r="H139" s="4" t="s">
        <v>318</v>
      </c>
      <c r="I139" s="4" t="s">
        <v>930</v>
      </c>
      <c r="J139" s="4" t="s">
        <v>30</v>
      </c>
      <c r="K139" s="4" t="s">
        <v>30</v>
      </c>
      <c r="L139" s="2" t="s">
        <v>324</v>
      </c>
      <c r="M139" s="2" t="s">
        <v>41</v>
      </c>
      <c r="N139" s="4" t="s">
        <v>460</v>
      </c>
      <c r="O139" s="4" t="s">
        <v>134</v>
      </c>
      <c r="P139" s="4" t="s">
        <v>34</v>
      </c>
      <c r="Q139" s="152">
        <v>178</v>
      </c>
      <c r="R139" s="167">
        <v>1</v>
      </c>
      <c r="S139" s="169">
        <v>21700</v>
      </c>
      <c r="U139" s="152">
        <v>38.625999999999998</v>
      </c>
      <c r="V139" s="166">
        <v>2.4000000000000001E-5</v>
      </c>
      <c r="W139" s="166">
        <v>5.6151588645584997E-3</v>
      </c>
      <c r="X139" s="166">
        <v>1.0091221549282099E-3</v>
      </c>
    </row>
    <row r="140" spans="1:24">
      <c r="A140" s="4">
        <v>337</v>
      </c>
      <c r="B140" s="4">
        <v>9962</v>
      </c>
      <c r="C140" s="4" t="s">
        <v>1640</v>
      </c>
      <c r="D140" s="4" t="s">
        <v>1641</v>
      </c>
      <c r="E140" s="4" t="s">
        <v>1303</v>
      </c>
      <c r="F140" s="4" t="s">
        <v>1640</v>
      </c>
      <c r="G140" s="4" t="s">
        <v>1642</v>
      </c>
      <c r="H140" s="4" t="s">
        <v>318</v>
      </c>
      <c r="I140" s="4" t="s">
        <v>930</v>
      </c>
      <c r="J140" s="4" t="s">
        <v>30</v>
      </c>
      <c r="K140" s="4" t="s">
        <v>30</v>
      </c>
      <c r="L140" s="2" t="s">
        <v>324</v>
      </c>
      <c r="M140" s="2" t="s">
        <v>41</v>
      </c>
      <c r="N140" s="4" t="s">
        <v>435</v>
      </c>
      <c r="O140" s="4" t="s">
        <v>134</v>
      </c>
      <c r="P140" s="4" t="s">
        <v>34</v>
      </c>
      <c r="Q140" s="152">
        <v>1563</v>
      </c>
      <c r="R140" s="167">
        <v>1</v>
      </c>
      <c r="S140" s="169">
        <v>8478</v>
      </c>
      <c r="U140" s="152">
        <v>132.511</v>
      </c>
      <c r="V140" s="166">
        <v>1.9000000000000001E-5</v>
      </c>
      <c r="W140" s="166">
        <v>1.9263478030957199E-2</v>
      </c>
      <c r="X140" s="166">
        <v>3.4619149575103102E-3</v>
      </c>
    </row>
    <row r="141" spans="1:24">
      <c r="A141" s="4">
        <v>337</v>
      </c>
      <c r="B141" s="4">
        <v>9962</v>
      </c>
      <c r="C141" s="4" t="s">
        <v>1643</v>
      </c>
      <c r="D141" s="4" t="s">
        <v>1644</v>
      </c>
      <c r="E141" s="4" t="s">
        <v>1303</v>
      </c>
      <c r="F141" s="4" t="s">
        <v>1645</v>
      </c>
      <c r="G141" s="4" t="s">
        <v>1646</v>
      </c>
      <c r="H141" s="4" t="s">
        <v>318</v>
      </c>
      <c r="I141" s="4" t="s">
        <v>930</v>
      </c>
      <c r="J141" s="4" t="s">
        <v>30</v>
      </c>
      <c r="K141" s="4" t="s">
        <v>30</v>
      </c>
      <c r="L141" s="2" t="s">
        <v>324</v>
      </c>
      <c r="M141" s="2" t="s">
        <v>41</v>
      </c>
      <c r="N141" s="4" t="s">
        <v>437</v>
      </c>
      <c r="O141" s="4" t="s">
        <v>134</v>
      </c>
      <c r="P141" s="4" t="s">
        <v>34</v>
      </c>
      <c r="Q141" s="152">
        <v>790</v>
      </c>
      <c r="R141" s="167">
        <v>1</v>
      </c>
      <c r="S141" s="169">
        <v>3261</v>
      </c>
      <c r="U141" s="152">
        <v>25.762</v>
      </c>
      <c r="V141" s="166">
        <v>4.8000000000000001E-5</v>
      </c>
      <c r="W141" s="166">
        <v>3.7450722609866302E-3</v>
      </c>
      <c r="X141" s="166">
        <v>6.7304157932597205E-4</v>
      </c>
    </row>
    <row r="142" spans="1:24">
      <c r="A142" s="4">
        <v>337</v>
      </c>
      <c r="B142" s="4">
        <v>9962</v>
      </c>
      <c r="C142" s="4" t="s">
        <v>1647</v>
      </c>
      <c r="D142" s="4" t="s">
        <v>1648</v>
      </c>
      <c r="E142" s="4" t="s">
        <v>1303</v>
      </c>
      <c r="F142" s="4" t="s">
        <v>1649</v>
      </c>
      <c r="G142" s="4" t="s">
        <v>1650</v>
      </c>
      <c r="H142" s="4" t="s">
        <v>318</v>
      </c>
      <c r="I142" s="4" t="s">
        <v>930</v>
      </c>
      <c r="J142" s="4" t="s">
        <v>30</v>
      </c>
      <c r="K142" s="4" t="s">
        <v>30</v>
      </c>
      <c r="L142" s="2" t="s">
        <v>324</v>
      </c>
      <c r="M142" s="2" t="s">
        <v>41</v>
      </c>
      <c r="N142" s="4" t="s">
        <v>460</v>
      </c>
      <c r="O142" s="4" t="s">
        <v>134</v>
      </c>
      <c r="P142" s="4" t="s">
        <v>34</v>
      </c>
      <c r="Q142" s="152">
        <v>2235</v>
      </c>
      <c r="R142" s="167">
        <v>1</v>
      </c>
      <c r="S142" s="169">
        <v>835</v>
      </c>
      <c r="U142" s="152">
        <v>18.661999999999999</v>
      </c>
      <c r="V142" s="166">
        <v>1.0000000000000001E-5</v>
      </c>
      <c r="W142" s="166">
        <v>2.7129782664554098E-3</v>
      </c>
      <c r="X142" s="166">
        <v>4.8755993206153699E-4</v>
      </c>
    </row>
    <row r="143" spans="1:24">
      <c r="A143" s="4">
        <v>337</v>
      </c>
      <c r="B143" s="4">
        <v>9962</v>
      </c>
      <c r="C143" s="4" t="s">
        <v>1651</v>
      </c>
      <c r="D143" s="4" t="s">
        <v>1652</v>
      </c>
      <c r="E143" s="4" t="s">
        <v>1303</v>
      </c>
      <c r="F143" s="4" t="s">
        <v>1653</v>
      </c>
      <c r="G143" s="4" t="s">
        <v>1654</v>
      </c>
      <c r="H143" s="4" t="s">
        <v>318</v>
      </c>
      <c r="I143" s="4" t="s">
        <v>930</v>
      </c>
      <c r="J143" s="4" t="s">
        <v>30</v>
      </c>
      <c r="K143" s="4" t="s">
        <v>295</v>
      </c>
      <c r="L143" s="2" t="s">
        <v>324</v>
      </c>
      <c r="M143" s="2" t="s">
        <v>41</v>
      </c>
      <c r="N143" s="4" t="s">
        <v>458</v>
      </c>
      <c r="O143" s="4" t="s">
        <v>134</v>
      </c>
      <c r="P143" s="4" t="s">
        <v>34</v>
      </c>
      <c r="Q143" s="152">
        <v>152</v>
      </c>
      <c r="R143" s="167">
        <v>1</v>
      </c>
      <c r="S143" s="169">
        <v>12410</v>
      </c>
      <c r="U143" s="152">
        <v>18.863</v>
      </c>
      <c r="V143" s="166">
        <v>1.2E-5</v>
      </c>
      <c r="W143" s="166">
        <v>2.7421908738657899E-3</v>
      </c>
      <c r="X143" s="166">
        <v>4.9280984396110801E-4</v>
      </c>
    </row>
    <row r="144" spans="1:24">
      <c r="A144" s="4">
        <v>337</v>
      </c>
      <c r="B144" s="4">
        <v>9962</v>
      </c>
      <c r="C144" s="4" t="s">
        <v>1655</v>
      </c>
      <c r="D144" s="4" t="s">
        <v>1656</v>
      </c>
      <c r="E144" s="4" t="s">
        <v>1303</v>
      </c>
      <c r="F144" s="4" t="s">
        <v>1657</v>
      </c>
      <c r="G144" s="4" t="s">
        <v>1658</v>
      </c>
      <c r="H144" s="4" t="s">
        <v>318</v>
      </c>
      <c r="I144" s="4" t="s">
        <v>930</v>
      </c>
      <c r="J144" s="4" t="s">
        <v>30</v>
      </c>
      <c r="K144" s="4" t="s">
        <v>30</v>
      </c>
      <c r="L144" s="2" t="s">
        <v>324</v>
      </c>
      <c r="M144" s="2" t="s">
        <v>41</v>
      </c>
      <c r="N144" s="4" t="s">
        <v>460</v>
      </c>
      <c r="O144" s="4" t="s">
        <v>134</v>
      </c>
      <c r="P144" s="4" t="s">
        <v>34</v>
      </c>
      <c r="Q144" s="152">
        <v>785</v>
      </c>
      <c r="R144" s="167">
        <v>1</v>
      </c>
      <c r="S144" s="169">
        <v>24920</v>
      </c>
      <c r="U144" s="152">
        <v>195.62200000000001</v>
      </c>
      <c r="V144" s="166">
        <v>6.0000000000000002E-6</v>
      </c>
      <c r="W144" s="166">
        <v>2.8438062636635002E-2</v>
      </c>
      <c r="X144" s="166">
        <v>5.1107154297976897E-3</v>
      </c>
    </row>
    <row r="145" spans="1:24">
      <c r="A145" s="4">
        <v>337</v>
      </c>
      <c r="B145" s="4">
        <v>9962</v>
      </c>
      <c r="C145" s="4" t="s">
        <v>1659</v>
      </c>
      <c r="D145" s="4" t="s">
        <v>1660</v>
      </c>
      <c r="E145" s="4" t="s">
        <v>1303</v>
      </c>
      <c r="F145" s="4" t="s">
        <v>1661</v>
      </c>
      <c r="G145" s="4" t="s">
        <v>1662</v>
      </c>
      <c r="H145" s="4" t="s">
        <v>318</v>
      </c>
      <c r="I145" s="4" t="s">
        <v>930</v>
      </c>
      <c r="J145" s="4" t="s">
        <v>30</v>
      </c>
      <c r="K145" s="4" t="s">
        <v>30</v>
      </c>
      <c r="L145" s="2" t="s">
        <v>324</v>
      </c>
      <c r="M145" s="2" t="s">
        <v>41</v>
      </c>
      <c r="N145" s="4" t="s">
        <v>444</v>
      </c>
      <c r="O145" s="4" t="s">
        <v>134</v>
      </c>
      <c r="P145" s="4" t="s">
        <v>34</v>
      </c>
      <c r="Q145" s="152">
        <v>6403</v>
      </c>
      <c r="R145" s="167">
        <v>1</v>
      </c>
      <c r="S145" s="169">
        <v>5008</v>
      </c>
      <c r="U145" s="152">
        <v>320.66199999999998</v>
      </c>
      <c r="V145" s="166">
        <v>5.0000000000000004E-6</v>
      </c>
      <c r="W145" s="166">
        <v>4.66154771259044E-2</v>
      </c>
      <c r="X145" s="166">
        <v>8.3774496617021205E-3</v>
      </c>
    </row>
    <row r="146" spans="1:24">
      <c r="A146" s="4">
        <v>337</v>
      </c>
      <c r="B146" s="4">
        <v>9962</v>
      </c>
      <c r="C146" s="4" t="s">
        <v>1663</v>
      </c>
      <c r="D146" s="4" t="s">
        <v>1664</v>
      </c>
      <c r="E146" s="4" t="s">
        <v>1303</v>
      </c>
      <c r="F146" s="4" t="s">
        <v>1665</v>
      </c>
      <c r="G146" s="4" t="s">
        <v>1666</v>
      </c>
      <c r="H146" s="4" t="s">
        <v>318</v>
      </c>
      <c r="I146" s="4" t="s">
        <v>930</v>
      </c>
      <c r="J146" s="4" t="s">
        <v>30</v>
      </c>
      <c r="K146" s="4" t="s">
        <v>30</v>
      </c>
      <c r="L146" s="2" t="s">
        <v>324</v>
      </c>
      <c r="M146" s="2" t="s">
        <v>41</v>
      </c>
      <c r="N146" s="4" t="s">
        <v>472</v>
      </c>
      <c r="O146" s="4" t="s">
        <v>134</v>
      </c>
      <c r="P146" s="4" t="s">
        <v>34</v>
      </c>
      <c r="Q146" s="152">
        <v>262</v>
      </c>
      <c r="R146" s="167">
        <v>1</v>
      </c>
      <c r="S146" s="169">
        <v>30240</v>
      </c>
      <c r="U146" s="152">
        <v>79.228999999999999</v>
      </c>
      <c r="V146" s="166">
        <v>1.9000000000000001E-5</v>
      </c>
      <c r="W146" s="166">
        <v>1.1517690121895401E-2</v>
      </c>
      <c r="X146" s="166">
        <v>2.0698891261941698E-3</v>
      </c>
    </row>
    <row r="147" spans="1:24">
      <c r="A147" s="4">
        <v>337</v>
      </c>
      <c r="B147" s="4">
        <v>9962</v>
      </c>
      <c r="C147" s="4" t="s">
        <v>1667</v>
      </c>
      <c r="D147" s="4" t="s">
        <v>1668</v>
      </c>
      <c r="E147" s="4" t="s">
        <v>1303</v>
      </c>
      <c r="F147" s="4" t="s">
        <v>1669</v>
      </c>
      <c r="G147" s="4" t="s">
        <v>1670</v>
      </c>
      <c r="H147" s="4" t="s">
        <v>318</v>
      </c>
      <c r="I147" s="4" t="s">
        <v>930</v>
      </c>
      <c r="J147" s="4" t="s">
        <v>30</v>
      </c>
      <c r="K147" s="4" t="s">
        <v>30</v>
      </c>
      <c r="L147" s="2" t="s">
        <v>324</v>
      </c>
      <c r="M147" s="2" t="s">
        <v>41</v>
      </c>
      <c r="N147" s="4" t="s">
        <v>473</v>
      </c>
      <c r="O147" s="4" t="s">
        <v>134</v>
      </c>
      <c r="P147" s="4" t="s">
        <v>34</v>
      </c>
      <c r="Q147" s="152">
        <v>90</v>
      </c>
      <c r="R147" s="167">
        <v>1</v>
      </c>
      <c r="S147" s="169">
        <v>32170</v>
      </c>
      <c r="U147" s="152">
        <v>28.952999999999999</v>
      </c>
      <c r="V147" s="166">
        <v>6.0000000000000002E-6</v>
      </c>
      <c r="W147" s="166">
        <v>4.2089705018785797E-3</v>
      </c>
      <c r="X147" s="166">
        <v>7.5641054604764601E-4</v>
      </c>
    </row>
    <row r="148" spans="1:24">
      <c r="A148" s="4">
        <v>337</v>
      </c>
      <c r="B148" s="4">
        <v>9962</v>
      </c>
      <c r="C148" s="4" t="s">
        <v>1671</v>
      </c>
      <c r="D148" s="4" t="s">
        <v>1672</v>
      </c>
      <c r="E148" s="4" t="s">
        <v>1303</v>
      </c>
      <c r="F148" s="4" t="s">
        <v>1673</v>
      </c>
      <c r="G148" s="4" t="s">
        <v>1674</v>
      </c>
      <c r="H148" s="4" t="s">
        <v>318</v>
      </c>
      <c r="I148" s="4" t="s">
        <v>930</v>
      </c>
      <c r="J148" s="4" t="s">
        <v>30</v>
      </c>
      <c r="K148" s="4" t="s">
        <v>30</v>
      </c>
      <c r="L148" s="2" t="s">
        <v>324</v>
      </c>
      <c r="M148" s="2" t="s">
        <v>41</v>
      </c>
      <c r="N148" s="4" t="s">
        <v>436</v>
      </c>
      <c r="O148" s="4" t="s">
        <v>134</v>
      </c>
      <c r="P148" s="4" t="s">
        <v>34</v>
      </c>
      <c r="Q148" s="152">
        <v>552</v>
      </c>
      <c r="R148" s="167">
        <v>1</v>
      </c>
      <c r="S148" s="169">
        <v>5339</v>
      </c>
      <c r="U148" s="152">
        <v>29.471</v>
      </c>
      <c r="V148" s="166">
        <v>4.3999999999999999E-5</v>
      </c>
      <c r="W148" s="166">
        <v>4.28431417029684E-3</v>
      </c>
      <c r="X148" s="166">
        <v>7.6995085129427199E-4</v>
      </c>
    </row>
    <row r="149" spans="1:24">
      <c r="A149" s="4">
        <v>337</v>
      </c>
      <c r="B149" s="4">
        <v>9962</v>
      </c>
      <c r="C149" s="4" t="s">
        <v>1675</v>
      </c>
      <c r="D149" s="4" t="s">
        <v>1676</v>
      </c>
      <c r="E149" s="4" t="s">
        <v>1303</v>
      </c>
      <c r="F149" s="4" t="s">
        <v>1677</v>
      </c>
      <c r="G149" s="4" t="s">
        <v>1678</v>
      </c>
      <c r="H149" s="4" t="s">
        <v>318</v>
      </c>
      <c r="I149" s="4" t="s">
        <v>930</v>
      </c>
      <c r="J149" s="4" t="s">
        <v>30</v>
      </c>
      <c r="K149" s="4" t="s">
        <v>30</v>
      </c>
      <c r="L149" s="2" t="s">
        <v>324</v>
      </c>
      <c r="M149" s="2" t="s">
        <v>41</v>
      </c>
      <c r="N149" s="4" t="s">
        <v>457</v>
      </c>
      <c r="O149" s="4" t="s">
        <v>134</v>
      </c>
      <c r="P149" s="4" t="s">
        <v>34</v>
      </c>
      <c r="Q149" s="152">
        <v>81</v>
      </c>
      <c r="R149" s="167">
        <v>1</v>
      </c>
      <c r="S149" s="169">
        <v>48410</v>
      </c>
      <c r="U149" s="152">
        <v>39.212000000000003</v>
      </c>
      <c r="V149" s="166">
        <v>5.0000000000000004E-6</v>
      </c>
      <c r="W149" s="166">
        <v>5.7003616971199296E-3</v>
      </c>
      <c r="X149" s="166">
        <v>1.02443428911252E-3</v>
      </c>
    </row>
    <row r="150" spans="1:24">
      <c r="A150" s="4">
        <v>337</v>
      </c>
      <c r="B150" s="4">
        <v>9962</v>
      </c>
      <c r="C150" s="4" t="s">
        <v>1679</v>
      </c>
      <c r="D150" s="4" t="s">
        <v>1680</v>
      </c>
      <c r="E150" s="4" t="s">
        <v>1303</v>
      </c>
      <c r="F150" s="4" t="s">
        <v>1681</v>
      </c>
      <c r="G150" s="4" t="s">
        <v>1682</v>
      </c>
      <c r="H150" s="4" t="s">
        <v>318</v>
      </c>
      <c r="I150" s="4" t="s">
        <v>930</v>
      </c>
      <c r="J150" s="4" t="s">
        <v>30</v>
      </c>
      <c r="K150" s="4" t="s">
        <v>295</v>
      </c>
      <c r="L150" s="2" t="s">
        <v>324</v>
      </c>
      <c r="M150" s="2" t="s">
        <v>41</v>
      </c>
      <c r="N150" s="4" t="s">
        <v>454</v>
      </c>
      <c r="O150" s="4" t="s">
        <v>134</v>
      </c>
      <c r="P150" s="4" t="s">
        <v>34</v>
      </c>
      <c r="Q150" s="152">
        <v>435</v>
      </c>
      <c r="R150" s="167">
        <v>1</v>
      </c>
      <c r="S150" s="169">
        <v>21310</v>
      </c>
      <c r="U150" s="152">
        <v>92.697999999999993</v>
      </c>
      <c r="V150" s="166">
        <v>9.0000000000000002E-6</v>
      </c>
      <c r="W150" s="166">
        <v>1.3475814322121801E-2</v>
      </c>
      <c r="X150" s="166">
        <v>2.4217912825198699E-3</v>
      </c>
    </row>
    <row r="151" spans="1:24">
      <c r="A151" s="4">
        <v>337</v>
      </c>
      <c r="B151" s="4">
        <v>9962</v>
      </c>
      <c r="C151" s="4" t="s">
        <v>1683</v>
      </c>
      <c r="D151" s="4" t="s">
        <v>1684</v>
      </c>
      <c r="E151" s="4" t="s">
        <v>1303</v>
      </c>
      <c r="F151" s="4" t="s">
        <v>1685</v>
      </c>
      <c r="G151" s="4" t="s">
        <v>1686</v>
      </c>
      <c r="H151" s="4" t="s">
        <v>318</v>
      </c>
      <c r="I151" s="4" t="s">
        <v>930</v>
      </c>
      <c r="J151" s="4" t="s">
        <v>30</v>
      </c>
      <c r="K151" s="4" t="s">
        <v>30</v>
      </c>
      <c r="L151" s="2" t="s">
        <v>324</v>
      </c>
      <c r="M151" s="2" t="s">
        <v>41</v>
      </c>
      <c r="N151" s="4" t="s">
        <v>458</v>
      </c>
      <c r="O151" s="4" t="s">
        <v>134</v>
      </c>
      <c r="P151" s="4" t="s">
        <v>34</v>
      </c>
      <c r="Q151" s="152">
        <v>1650</v>
      </c>
      <c r="R151" s="167">
        <v>1</v>
      </c>
      <c r="S151" s="169">
        <v>2865</v>
      </c>
      <c r="U151" s="152">
        <v>47.273000000000003</v>
      </c>
      <c r="V151" s="166">
        <v>1.8E-5</v>
      </c>
      <c r="W151" s="166">
        <v>6.8721223379288997E-3</v>
      </c>
      <c r="X151" s="166">
        <v>1.2350159754787901E-3</v>
      </c>
    </row>
    <row r="152" spans="1:24">
      <c r="A152" s="4">
        <v>337</v>
      </c>
      <c r="B152" s="4">
        <v>9962</v>
      </c>
      <c r="C152" s="4" t="s">
        <v>1687</v>
      </c>
      <c r="D152" s="4" t="s">
        <v>1688</v>
      </c>
      <c r="E152" s="4" t="s">
        <v>1303</v>
      </c>
      <c r="F152" s="4" t="s">
        <v>1689</v>
      </c>
      <c r="G152" s="4" t="s">
        <v>1690</v>
      </c>
      <c r="H152" s="4" t="s">
        <v>318</v>
      </c>
      <c r="I152" s="4" t="s">
        <v>930</v>
      </c>
      <c r="J152" s="4" t="s">
        <v>30</v>
      </c>
      <c r="K152" s="4" t="s">
        <v>30</v>
      </c>
      <c r="L152" s="2" t="s">
        <v>324</v>
      </c>
      <c r="M152" s="2" t="s">
        <v>41</v>
      </c>
      <c r="N152" s="4" t="s">
        <v>460</v>
      </c>
      <c r="O152" s="4" t="s">
        <v>134</v>
      </c>
      <c r="P152" s="4" t="s">
        <v>34</v>
      </c>
      <c r="Q152" s="152">
        <v>4598</v>
      </c>
      <c r="R152" s="167">
        <v>1</v>
      </c>
      <c r="S152" s="169">
        <v>1783</v>
      </c>
      <c r="U152" s="152">
        <v>81.981999999999999</v>
      </c>
      <c r="V152" s="166">
        <v>2.4000000000000001E-5</v>
      </c>
      <c r="W152" s="166">
        <v>1.1917979163989199E-2</v>
      </c>
      <c r="X152" s="166">
        <v>2.1418266350866498E-3</v>
      </c>
    </row>
    <row r="153" spans="1:24">
      <c r="A153" s="4">
        <v>337</v>
      </c>
      <c r="B153" s="4">
        <v>9962</v>
      </c>
      <c r="C153" s="4" t="s">
        <v>1691</v>
      </c>
      <c r="D153" s="4" t="s">
        <v>1692</v>
      </c>
      <c r="E153" s="4" t="s">
        <v>1303</v>
      </c>
      <c r="F153" s="4" t="s">
        <v>1693</v>
      </c>
      <c r="G153" s="4" t="s">
        <v>1694</v>
      </c>
      <c r="H153" s="4" t="s">
        <v>318</v>
      </c>
      <c r="I153" s="4" t="s">
        <v>930</v>
      </c>
      <c r="J153" s="4" t="s">
        <v>30</v>
      </c>
      <c r="K153" s="4" t="s">
        <v>30</v>
      </c>
      <c r="L153" s="2" t="s">
        <v>324</v>
      </c>
      <c r="M153" s="2" t="s">
        <v>41</v>
      </c>
      <c r="N153" s="4" t="s">
        <v>472</v>
      </c>
      <c r="O153" s="4" t="s">
        <v>134</v>
      </c>
      <c r="P153" s="4" t="s">
        <v>34</v>
      </c>
      <c r="Q153" s="152">
        <v>164</v>
      </c>
      <c r="R153" s="167">
        <v>1</v>
      </c>
      <c r="S153" s="169">
        <v>8050</v>
      </c>
      <c r="U153" s="152">
        <v>13.202</v>
      </c>
      <c r="V153" s="166">
        <v>3.0000000000000001E-6</v>
      </c>
      <c r="W153" s="166">
        <v>1.91920797726664E-3</v>
      </c>
      <c r="X153" s="166">
        <v>3.4490836973443198E-4</v>
      </c>
    </row>
    <row r="154" spans="1:24">
      <c r="A154" s="4">
        <v>337</v>
      </c>
      <c r="B154" s="4">
        <v>9962</v>
      </c>
      <c r="C154" s="4" t="s">
        <v>1695</v>
      </c>
      <c r="D154" s="4" t="s">
        <v>1696</v>
      </c>
      <c r="E154" s="4" t="s">
        <v>1303</v>
      </c>
      <c r="F154" s="4" t="s">
        <v>1697</v>
      </c>
      <c r="G154" s="4" t="s">
        <v>1698</v>
      </c>
      <c r="H154" s="4" t="s">
        <v>318</v>
      </c>
      <c r="I154" s="4" t="s">
        <v>930</v>
      </c>
      <c r="J154" s="4" t="s">
        <v>30</v>
      </c>
      <c r="K154" s="4" t="s">
        <v>30</v>
      </c>
      <c r="L154" s="2" t="s">
        <v>324</v>
      </c>
      <c r="M154" s="2" t="s">
        <v>41</v>
      </c>
      <c r="N154" s="4" t="s">
        <v>472</v>
      </c>
      <c r="O154" s="4" t="s">
        <v>134</v>
      </c>
      <c r="P154" s="4" t="s">
        <v>34</v>
      </c>
      <c r="Q154" s="152">
        <v>56</v>
      </c>
      <c r="R154" s="167">
        <v>1</v>
      </c>
      <c r="S154" s="169">
        <v>26660</v>
      </c>
      <c r="U154" s="152">
        <v>14.93</v>
      </c>
      <c r="V154" s="166">
        <v>3.9999999999999998E-6</v>
      </c>
      <c r="W154" s="166">
        <v>2.1703535386608098E-3</v>
      </c>
      <c r="X154" s="166">
        <v>3.9004272055652E-4</v>
      </c>
    </row>
    <row r="155" spans="1:24">
      <c r="A155" s="4">
        <v>337</v>
      </c>
      <c r="B155" s="4">
        <v>9962</v>
      </c>
      <c r="C155" s="4" t="s">
        <v>1699</v>
      </c>
      <c r="D155" s="4" t="s">
        <v>1700</v>
      </c>
      <c r="E155" s="4" t="s">
        <v>309</v>
      </c>
      <c r="F155" s="4" t="s">
        <v>1701</v>
      </c>
      <c r="G155" s="4" t="s">
        <v>1702</v>
      </c>
      <c r="H155" s="4" t="s">
        <v>318</v>
      </c>
      <c r="I155" s="4" t="s">
        <v>930</v>
      </c>
      <c r="J155" s="4" t="s">
        <v>30</v>
      </c>
      <c r="K155" s="4" t="s">
        <v>30</v>
      </c>
      <c r="L155" s="2" t="s">
        <v>324</v>
      </c>
      <c r="M155" s="2" t="s">
        <v>41</v>
      </c>
      <c r="N155" s="4" t="s">
        <v>450</v>
      </c>
      <c r="O155" s="4" t="s">
        <v>134</v>
      </c>
      <c r="P155" s="4" t="s">
        <v>34</v>
      </c>
      <c r="Q155" s="152">
        <v>6695</v>
      </c>
      <c r="R155" s="167">
        <v>1</v>
      </c>
      <c r="S155" s="169">
        <v>370.8</v>
      </c>
      <c r="T155" s="151">
        <v>0.88300000000000001</v>
      </c>
      <c r="U155" s="152">
        <v>25.707999999999998</v>
      </c>
      <c r="V155" s="166">
        <v>6.0000000000000002E-6</v>
      </c>
      <c r="W155" s="166">
        <v>3.7372206913114199E-3</v>
      </c>
      <c r="X155" s="166">
        <v>6.7163054303985201E-4</v>
      </c>
    </row>
    <row r="156" spans="1:24">
      <c r="A156" s="4">
        <v>337</v>
      </c>
      <c r="B156" s="4">
        <v>9962</v>
      </c>
      <c r="C156" s="4" t="s">
        <v>1703</v>
      </c>
      <c r="D156" s="4" t="s">
        <v>1704</v>
      </c>
      <c r="E156" s="4" t="s">
        <v>1303</v>
      </c>
      <c r="F156" s="4" t="s">
        <v>1705</v>
      </c>
      <c r="G156" s="4" t="s">
        <v>1706</v>
      </c>
      <c r="H156" s="4" t="s">
        <v>318</v>
      </c>
      <c r="I156" s="4" t="s">
        <v>930</v>
      </c>
      <c r="J156" s="4" t="s">
        <v>30</v>
      </c>
      <c r="K156" s="4" t="s">
        <v>30</v>
      </c>
      <c r="L156" s="2" t="s">
        <v>324</v>
      </c>
      <c r="M156" s="2" t="s">
        <v>41</v>
      </c>
      <c r="N156" s="4" t="s">
        <v>472</v>
      </c>
      <c r="O156" s="4" t="s">
        <v>134</v>
      </c>
      <c r="P156" s="4" t="s">
        <v>34</v>
      </c>
      <c r="Q156" s="152">
        <v>3271</v>
      </c>
      <c r="R156" s="167">
        <v>1</v>
      </c>
      <c r="S156" s="169">
        <v>3511</v>
      </c>
      <c r="U156" s="152">
        <v>114.845</v>
      </c>
      <c r="V156" s="166">
        <v>1.2E-5</v>
      </c>
      <c r="W156" s="166">
        <v>1.6695279162223301E-2</v>
      </c>
      <c r="X156" s="166">
        <v>3.0003738971035201E-3</v>
      </c>
    </row>
    <row r="157" spans="1:24">
      <c r="A157" s="4">
        <v>337</v>
      </c>
      <c r="B157" s="4">
        <v>9962</v>
      </c>
      <c r="C157" s="4" t="s">
        <v>1707</v>
      </c>
      <c r="D157" s="4" t="s">
        <v>1708</v>
      </c>
      <c r="E157" s="4" t="s">
        <v>1303</v>
      </c>
      <c r="F157" s="4" t="s">
        <v>1709</v>
      </c>
      <c r="G157" s="4" t="s">
        <v>1710</v>
      </c>
      <c r="H157" s="4" t="s">
        <v>318</v>
      </c>
      <c r="I157" s="4" t="s">
        <v>930</v>
      </c>
      <c r="J157" s="4" t="s">
        <v>30</v>
      </c>
      <c r="K157" s="4" t="s">
        <v>295</v>
      </c>
      <c r="L157" s="2" t="s">
        <v>324</v>
      </c>
      <c r="M157" s="2" t="s">
        <v>41</v>
      </c>
      <c r="N157" s="4" t="s">
        <v>451</v>
      </c>
      <c r="O157" s="4" t="s">
        <v>134</v>
      </c>
      <c r="P157" s="4" t="s">
        <v>34</v>
      </c>
      <c r="Q157" s="152">
        <v>730</v>
      </c>
      <c r="R157" s="167">
        <v>1</v>
      </c>
      <c r="S157" s="169">
        <v>10080</v>
      </c>
      <c r="U157" s="152">
        <v>73.584000000000003</v>
      </c>
      <c r="V157" s="166">
        <v>6.4999999999999994E-5</v>
      </c>
      <c r="W157" s="166">
        <v>1.06970913345848E-2</v>
      </c>
      <c r="X157" s="166">
        <v>1.9224161095696499E-3</v>
      </c>
    </row>
    <row r="158" spans="1:24">
      <c r="A158" s="4">
        <v>337</v>
      </c>
      <c r="B158" s="4">
        <v>9962</v>
      </c>
      <c r="C158" s="4" t="s">
        <v>1711</v>
      </c>
      <c r="D158" s="4" t="s">
        <v>1712</v>
      </c>
      <c r="E158" s="4" t="s">
        <v>1303</v>
      </c>
      <c r="F158" s="4" t="s">
        <v>1713</v>
      </c>
      <c r="G158" s="4" t="s">
        <v>1714</v>
      </c>
      <c r="H158" s="4" t="s">
        <v>318</v>
      </c>
      <c r="I158" s="4" t="s">
        <v>930</v>
      </c>
      <c r="J158" s="4" t="s">
        <v>30</v>
      </c>
      <c r="K158" s="4" t="s">
        <v>30</v>
      </c>
      <c r="L158" s="2" t="s">
        <v>324</v>
      </c>
      <c r="M158" s="2" t="s">
        <v>41</v>
      </c>
      <c r="N158" s="4" t="s">
        <v>458</v>
      </c>
      <c r="O158" s="4" t="s">
        <v>134</v>
      </c>
      <c r="P158" s="4" t="s">
        <v>34</v>
      </c>
      <c r="Q158" s="152">
        <v>21</v>
      </c>
      <c r="R158" s="167">
        <v>1</v>
      </c>
      <c r="S158" s="169">
        <v>19000</v>
      </c>
      <c r="U158" s="152">
        <v>3.99</v>
      </c>
      <c r="V158" s="166">
        <v>1.9999999999999999E-6</v>
      </c>
      <c r="W158" s="166">
        <v>5.8003634519723497E-4</v>
      </c>
      <c r="X158" s="166">
        <v>1.04240599548582E-4</v>
      </c>
    </row>
    <row r="159" spans="1:24">
      <c r="A159" s="4">
        <v>337</v>
      </c>
      <c r="B159" s="4">
        <v>9962</v>
      </c>
      <c r="C159" s="4" t="s">
        <v>1719</v>
      </c>
      <c r="D159" s="4" t="s">
        <v>1720</v>
      </c>
      <c r="E159" s="4" t="s">
        <v>311</v>
      </c>
      <c r="F159" s="4" t="s">
        <v>1721</v>
      </c>
      <c r="G159" s="4" t="s">
        <v>1722</v>
      </c>
      <c r="H159" s="4" t="s">
        <v>318</v>
      </c>
      <c r="I159" s="4" t="s">
        <v>930</v>
      </c>
      <c r="J159" s="4" t="s">
        <v>79</v>
      </c>
      <c r="K159" s="4" t="s">
        <v>267</v>
      </c>
      <c r="L159" s="2" t="s">
        <v>324</v>
      </c>
      <c r="M159" s="2" t="s">
        <v>341</v>
      </c>
      <c r="N159" s="4" t="s">
        <v>512</v>
      </c>
      <c r="O159" s="4" t="s">
        <v>134</v>
      </c>
      <c r="P159" s="4" t="s">
        <v>84</v>
      </c>
      <c r="Q159" s="152">
        <v>68</v>
      </c>
      <c r="R159" s="167">
        <v>3.718</v>
      </c>
      <c r="S159" s="169">
        <v>13223</v>
      </c>
      <c r="U159" s="152">
        <v>33.430999999999997</v>
      </c>
      <c r="V159" s="166">
        <v>0</v>
      </c>
      <c r="W159" s="166">
        <v>4.8599366453361001E-3</v>
      </c>
      <c r="X159" s="166">
        <v>8.7339821697844904E-4</v>
      </c>
    </row>
    <row r="160" spans="1:24">
      <c r="A160" s="4">
        <v>337</v>
      </c>
      <c r="B160" s="4">
        <v>9962</v>
      </c>
      <c r="C160" s="4" t="s">
        <v>1723</v>
      </c>
      <c r="D160" s="4" t="s">
        <v>1724</v>
      </c>
      <c r="E160" s="4" t="s">
        <v>311</v>
      </c>
      <c r="F160" s="4" t="s">
        <v>1725</v>
      </c>
      <c r="G160" s="4" t="s">
        <v>1726</v>
      </c>
      <c r="H160" s="4" t="s">
        <v>318</v>
      </c>
      <c r="I160" s="4" t="s">
        <v>930</v>
      </c>
      <c r="J160" s="4" t="s">
        <v>79</v>
      </c>
      <c r="K160" s="4" t="s">
        <v>80</v>
      </c>
      <c r="L160" s="2" t="s">
        <v>324</v>
      </c>
      <c r="M160" s="2" t="s">
        <v>341</v>
      </c>
      <c r="N160" s="4" t="s">
        <v>533</v>
      </c>
      <c r="O160" s="4" t="s">
        <v>134</v>
      </c>
      <c r="P160" s="4" t="s">
        <v>84</v>
      </c>
      <c r="Q160" s="152">
        <v>206</v>
      </c>
      <c r="R160" s="167">
        <v>3.718</v>
      </c>
      <c r="S160" s="169">
        <v>4173</v>
      </c>
      <c r="U160" s="152">
        <v>31.960999999999999</v>
      </c>
      <c r="V160" s="166">
        <v>0</v>
      </c>
      <c r="W160" s="166">
        <v>4.6463005835681E-3</v>
      </c>
      <c r="X160" s="166">
        <v>8.3500484499704096E-4</v>
      </c>
    </row>
    <row r="161" spans="1:24">
      <c r="A161" s="4">
        <v>337</v>
      </c>
      <c r="B161" s="4">
        <v>9962</v>
      </c>
      <c r="C161" s="4" t="s">
        <v>1727</v>
      </c>
      <c r="D161" s="4" t="s">
        <v>1728</v>
      </c>
      <c r="E161" s="4" t="s">
        <v>311</v>
      </c>
      <c r="F161" s="4" t="s">
        <v>1729</v>
      </c>
      <c r="G161" s="4" t="s">
        <v>1730</v>
      </c>
      <c r="H161" s="4" t="s">
        <v>318</v>
      </c>
      <c r="I161" s="4" t="s">
        <v>930</v>
      </c>
      <c r="J161" s="4" t="s">
        <v>79</v>
      </c>
      <c r="K161" s="4" t="s">
        <v>80</v>
      </c>
      <c r="L161" s="2" t="s">
        <v>324</v>
      </c>
      <c r="M161" s="2" t="s">
        <v>341</v>
      </c>
      <c r="N161" s="4" t="s">
        <v>1731</v>
      </c>
      <c r="O161" s="4" t="s">
        <v>134</v>
      </c>
      <c r="P161" s="4" t="s">
        <v>84</v>
      </c>
      <c r="Q161" s="152">
        <v>34</v>
      </c>
      <c r="R161" s="167">
        <v>3.718</v>
      </c>
      <c r="S161" s="169">
        <v>46935</v>
      </c>
      <c r="U161" s="152">
        <v>59.331000000000003</v>
      </c>
      <c r="V161" s="166">
        <v>0</v>
      </c>
      <c r="W161" s="166">
        <v>8.6251654862304194E-3</v>
      </c>
      <c r="X161" s="166">
        <v>1.5500622140922401E-3</v>
      </c>
    </row>
    <row r="162" spans="1:24">
      <c r="A162" s="4">
        <v>337</v>
      </c>
      <c r="B162" s="4">
        <v>9962</v>
      </c>
      <c r="C162" s="4" t="s">
        <v>1732</v>
      </c>
      <c r="D162" s="4" t="s">
        <v>1733</v>
      </c>
      <c r="E162" s="4" t="s">
        <v>311</v>
      </c>
      <c r="F162" s="4" t="s">
        <v>1734</v>
      </c>
      <c r="G162" s="4" t="s">
        <v>1735</v>
      </c>
      <c r="H162" s="4" t="s">
        <v>318</v>
      </c>
      <c r="I162" s="4" t="s">
        <v>930</v>
      </c>
      <c r="J162" s="4" t="s">
        <v>79</v>
      </c>
      <c r="K162" s="4" t="s">
        <v>80</v>
      </c>
      <c r="L162" s="2" t="s">
        <v>324</v>
      </c>
      <c r="M162" s="2" t="s">
        <v>341</v>
      </c>
      <c r="N162" s="4" t="s">
        <v>531</v>
      </c>
      <c r="O162" s="4" t="s">
        <v>134</v>
      </c>
      <c r="P162" s="4" t="s">
        <v>84</v>
      </c>
      <c r="Q162" s="152">
        <v>17</v>
      </c>
      <c r="R162" s="167">
        <v>3.718</v>
      </c>
      <c r="S162" s="169">
        <v>82591</v>
      </c>
      <c r="U162" s="152">
        <v>52.201999999999998</v>
      </c>
      <c r="V162" s="166">
        <v>0</v>
      </c>
      <c r="W162" s="166">
        <v>7.5888041192421103E-3</v>
      </c>
      <c r="X162" s="166">
        <v>1.3638136606380399E-3</v>
      </c>
    </row>
    <row r="163" spans="1:24">
      <c r="A163" s="4">
        <v>337</v>
      </c>
      <c r="B163" s="4">
        <v>9962</v>
      </c>
      <c r="C163" s="4" t="s">
        <v>1736</v>
      </c>
      <c r="D163" s="4" t="s">
        <v>1737</v>
      </c>
      <c r="E163" s="4" t="s">
        <v>311</v>
      </c>
      <c r="F163" s="4" t="s">
        <v>1738</v>
      </c>
      <c r="G163" s="4" t="s">
        <v>1739</v>
      </c>
      <c r="H163" s="4" t="s">
        <v>318</v>
      </c>
      <c r="I163" s="4" t="s">
        <v>930</v>
      </c>
      <c r="J163" s="4" t="s">
        <v>79</v>
      </c>
      <c r="K163" s="4" t="s">
        <v>80</v>
      </c>
      <c r="L163" s="2" t="s">
        <v>324</v>
      </c>
      <c r="M163" s="2" t="s">
        <v>343</v>
      </c>
      <c r="N163" s="4" t="s">
        <v>546</v>
      </c>
      <c r="O163" s="4" t="s">
        <v>134</v>
      </c>
      <c r="P163" s="4" t="s">
        <v>84</v>
      </c>
      <c r="Q163" s="152">
        <v>50</v>
      </c>
      <c r="R163" s="167">
        <v>3.718</v>
      </c>
      <c r="S163" s="169">
        <v>57636</v>
      </c>
      <c r="U163" s="152">
        <v>107.145</v>
      </c>
      <c r="V163" s="166">
        <v>0</v>
      </c>
      <c r="W163" s="166">
        <v>1.5575985498229E-2</v>
      </c>
      <c r="X163" s="166">
        <v>2.7992212562875001E-3</v>
      </c>
    </row>
    <row r="164" spans="1:24">
      <c r="A164" s="4">
        <v>337</v>
      </c>
      <c r="B164" s="4">
        <v>9962</v>
      </c>
      <c r="C164" s="4" t="s">
        <v>1740</v>
      </c>
      <c r="D164" s="4" t="s">
        <v>1741</v>
      </c>
      <c r="E164" s="4" t="s">
        <v>311</v>
      </c>
      <c r="F164" s="4" t="s">
        <v>1742</v>
      </c>
      <c r="G164" s="4" t="s">
        <v>1743</v>
      </c>
      <c r="H164" s="4" t="s">
        <v>318</v>
      </c>
      <c r="I164" s="4" t="s">
        <v>930</v>
      </c>
      <c r="J164" s="4" t="s">
        <v>79</v>
      </c>
      <c r="K164" s="4" t="s">
        <v>80</v>
      </c>
      <c r="L164" s="2" t="s">
        <v>324</v>
      </c>
      <c r="M164" s="2" t="s">
        <v>343</v>
      </c>
      <c r="N164" s="4" t="s">
        <v>1744</v>
      </c>
      <c r="O164" s="4" t="s">
        <v>134</v>
      </c>
      <c r="P164" s="4" t="s">
        <v>84</v>
      </c>
      <c r="Q164" s="152">
        <v>534</v>
      </c>
      <c r="R164" s="167">
        <v>3.718</v>
      </c>
      <c r="S164" s="169">
        <v>2271</v>
      </c>
      <c r="U164" s="152">
        <v>45.088999999999999</v>
      </c>
      <c r="V164" s="166">
        <v>0</v>
      </c>
      <c r="W164" s="166">
        <v>6.5546587818374798E-3</v>
      </c>
      <c r="X164" s="166">
        <v>1.1779633585250299E-3</v>
      </c>
    </row>
    <row r="165" spans="1:24">
      <c r="A165" s="4">
        <v>337</v>
      </c>
      <c r="B165" s="4">
        <v>9962</v>
      </c>
      <c r="C165" s="4" t="s">
        <v>1745</v>
      </c>
      <c r="D165" s="4" t="s">
        <v>1746</v>
      </c>
      <c r="E165" s="4" t="s">
        <v>311</v>
      </c>
      <c r="F165" s="4" t="s">
        <v>1747</v>
      </c>
      <c r="G165" s="4" t="s">
        <v>1748</v>
      </c>
      <c r="H165" s="4" t="s">
        <v>318</v>
      </c>
      <c r="I165" s="4" t="s">
        <v>930</v>
      </c>
      <c r="J165" s="4" t="s">
        <v>79</v>
      </c>
      <c r="K165" s="4" t="s">
        <v>80</v>
      </c>
      <c r="L165" s="2" t="s">
        <v>324</v>
      </c>
      <c r="M165" s="2" t="s">
        <v>341</v>
      </c>
      <c r="N165" s="4" t="s">
        <v>533</v>
      </c>
      <c r="O165" s="4" t="s">
        <v>134</v>
      </c>
      <c r="P165" s="4" t="s">
        <v>84</v>
      </c>
      <c r="Q165" s="152">
        <v>44</v>
      </c>
      <c r="R165" s="167">
        <v>3.718</v>
      </c>
      <c r="S165" s="169">
        <v>24530</v>
      </c>
      <c r="U165" s="152">
        <v>40.128999999999998</v>
      </c>
      <c r="V165" s="166">
        <v>0</v>
      </c>
      <c r="W165" s="166">
        <v>5.83367085430929E-3</v>
      </c>
      <c r="X165" s="166">
        <v>1.04839179899237E-3</v>
      </c>
    </row>
    <row r="166" spans="1:24">
      <c r="A166" s="4">
        <v>337</v>
      </c>
      <c r="B166" s="4">
        <v>9962</v>
      </c>
      <c r="C166" s="4" t="s">
        <v>1753</v>
      </c>
      <c r="D166" s="4" t="s">
        <v>1754</v>
      </c>
      <c r="E166" s="4" t="s">
        <v>311</v>
      </c>
      <c r="F166" s="4" t="s">
        <v>1755</v>
      </c>
      <c r="G166" s="4" t="s">
        <v>1756</v>
      </c>
      <c r="H166" s="4" t="s">
        <v>318</v>
      </c>
      <c r="I166" s="4" t="s">
        <v>930</v>
      </c>
      <c r="J166" s="4" t="s">
        <v>79</v>
      </c>
      <c r="K166" s="4" t="s">
        <v>80</v>
      </c>
      <c r="L166" s="2" t="s">
        <v>324</v>
      </c>
      <c r="M166" s="2" t="s">
        <v>1334</v>
      </c>
      <c r="N166" s="4" t="s">
        <v>1757</v>
      </c>
      <c r="O166" s="4" t="s">
        <v>134</v>
      </c>
      <c r="P166" s="4" t="s">
        <v>84</v>
      </c>
      <c r="Q166" s="152">
        <v>161</v>
      </c>
      <c r="R166" s="167">
        <v>3.718</v>
      </c>
      <c r="S166" s="169">
        <v>7089</v>
      </c>
      <c r="U166" s="152">
        <v>42.435000000000002</v>
      </c>
      <c r="V166" s="166">
        <v>0</v>
      </c>
      <c r="W166" s="166">
        <v>6.1688264115164803E-3</v>
      </c>
      <c r="X166" s="166">
        <v>1.1086239146427101E-3</v>
      </c>
    </row>
    <row r="167" spans="1:24">
      <c r="A167" s="4">
        <v>337</v>
      </c>
      <c r="B167" s="4">
        <v>9962</v>
      </c>
      <c r="C167" s="4" t="s">
        <v>1632</v>
      </c>
      <c r="D167" s="4" t="s">
        <v>1633</v>
      </c>
      <c r="E167" s="4" t="s">
        <v>1303</v>
      </c>
      <c r="F167" s="4" t="s">
        <v>1758</v>
      </c>
      <c r="G167" s="4" t="s">
        <v>1759</v>
      </c>
      <c r="H167" s="4" t="s">
        <v>318</v>
      </c>
      <c r="I167" s="4" t="s">
        <v>930</v>
      </c>
      <c r="J167" s="4" t="s">
        <v>79</v>
      </c>
      <c r="K167" s="4" t="s">
        <v>30</v>
      </c>
      <c r="L167" s="2" t="s">
        <v>324</v>
      </c>
      <c r="M167" s="2" t="s">
        <v>343</v>
      </c>
      <c r="N167" s="4" t="s">
        <v>547</v>
      </c>
      <c r="O167" s="4" t="s">
        <v>134</v>
      </c>
      <c r="P167" s="4" t="s">
        <v>84</v>
      </c>
      <c r="Q167" s="152">
        <v>53</v>
      </c>
      <c r="R167" s="167">
        <v>3.718</v>
      </c>
      <c r="S167" s="169">
        <v>15417</v>
      </c>
      <c r="U167" s="152">
        <v>30.38</v>
      </c>
      <c r="V167" s="166">
        <v>9.9999999999999995E-7</v>
      </c>
      <c r="W167" s="166">
        <v>4.4163902167355098E-3</v>
      </c>
      <c r="X167" s="166">
        <v>7.9368675401963096E-4</v>
      </c>
    </row>
    <row r="168" spans="1:24">
      <c r="A168" s="4">
        <v>337</v>
      </c>
      <c r="B168" s="4">
        <v>9962</v>
      </c>
      <c r="C168" s="4" t="s">
        <v>1760</v>
      </c>
      <c r="D168" s="4" t="s">
        <v>1761</v>
      </c>
      <c r="E168" s="4" t="s">
        <v>311</v>
      </c>
      <c r="F168" s="4" t="s">
        <v>1762</v>
      </c>
      <c r="G168" s="4" t="s">
        <v>1763</v>
      </c>
      <c r="H168" s="4" t="s">
        <v>318</v>
      </c>
      <c r="I168" s="4" t="s">
        <v>930</v>
      </c>
      <c r="J168" s="4" t="s">
        <v>79</v>
      </c>
      <c r="K168" s="4" t="s">
        <v>80</v>
      </c>
      <c r="L168" s="2" t="s">
        <v>324</v>
      </c>
      <c r="M168" s="2" t="s">
        <v>343</v>
      </c>
      <c r="N168" s="4" t="s">
        <v>545</v>
      </c>
      <c r="O168" s="4" t="s">
        <v>134</v>
      </c>
      <c r="P168" s="4" t="s">
        <v>84</v>
      </c>
      <c r="Q168" s="152">
        <v>323</v>
      </c>
      <c r="R168" s="167">
        <v>3.718</v>
      </c>
      <c r="S168" s="169">
        <v>10838</v>
      </c>
      <c r="U168" s="152">
        <v>130.155</v>
      </c>
      <c r="V168" s="166">
        <v>0</v>
      </c>
      <c r="W168" s="166">
        <v>1.8920968650852701E-2</v>
      </c>
      <c r="X168" s="166">
        <v>3.4003612575935101E-3</v>
      </c>
    </row>
    <row r="169" spans="1:24">
      <c r="A169" s="4">
        <v>337</v>
      </c>
      <c r="B169" s="4">
        <v>9962</v>
      </c>
      <c r="C169" s="4" t="s">
        <v>1434</v>
      </c>
      <c r="D169" s="4" t="s">
        <v>1435</v>
      </c>
      <c r="E169" s="4" t="s">
        <v>311</v>
      </c>
      <c r="F169" s="4" t="s">
        <v>1764</v>
      </c>
      <c r="G169" s="4" t="s">
        <v>1437</v>
      </c>
      <c r="H169" s="4" t="s">
        <v>318</v>
      </c>
      <c r="I169" s="4" t="s">
        <v>930</v>
      </c>
      <c r="J169" s="4" t="s">
        <v>79</v>
      </c>
      <c r="K169" s="4" t="s">
        <v>80</v>
      </c>
      <c r="L169" s="2" t="s">
        <v>324</v>
      </c>
      <c r="M169" s="2" t="s">
        <v>341</v>
      </c>
      <c r="N169" s="4" t="s">
        <v>554</v>
      </c>
      <c r="O169" s="4" t="s">
        <v>134</v>
      </c>
      <c r="P169" s="4" t="s">
        <v>84</v>
      </c>
      <c r="Q169" s="152">
        <v>70</v>
      </c>
      <c r="R169" s="167">
        <v>3.718</v>
      </c>
      <c r="S169" s="169">
        <v>7077</v>
      </c>
      <c r="U169" s="152">
        <v>18.419</v>
      </c>
      <c r="V169" s="166">
        <v>9.9999999999999995E-7</v>
      </c>
      <c r="W169" s="166">
        <v>2.6775582816183099E-3</v>
      </c>
      <c r="X169" s="166">
        <v>4.8119446809364398E-4</v>
      </c>
    </row>
    <row r="170" spans="1:24">
      <c r="A170" s="4">
        <v>337</v>
      </c>
      <c r="B170" s="4">
        <v>9962</v>
      </c>
      <c r="C170" s="4" t="s">
        <v>1765</v>
      </c>
      <c r="D170" s="4" t="s">
        <v>1766</v>
      </c>
      <c r="E170" s="4" t="s">
        <v>311</v>
      </c>
      <c r="F170" s="4" t="s">
        <v>1767</v>
      </c>
      <c r="G170" s="4" t="s">
        <v>1768</v>
      </c>
      <c r="H170" s="4" t="s">
        <v>318</v>
      </c>
      <c r="I170" s="4" t="s">
        <v>930</v>
      </c>
      <c r="J170" s="4" t="s">
        <v>79</v>
      </c>
      <c r="K170" s="4" t="s">
        <v>80</v>
      </c>
      <c r="L170" s="2" t="s">
        <v>324</v>
      </c>
      <c r="M170" s="2" t="s">
        <v>343</v>
      </c>
      <c r="N170" s="4" t="s">
        <v>541</v>
      </c>
      <c r="O170" s="4" t="s">
        <v>134</v>
      </c>
      <c r="P170" s="4" t="s">
        <v>84</v>
      </c>
      <c r="Q170" s="152">
        <v>88</v>
      </c>
      <c r="R170" s="167">
        <v>3.718</v>
      </c>
      <c r="S170" s="169">
        <v>17064</v>
      </c>
      <c r="U170" s="152">
        <v>55.831000000000003</v>
      </c>
      <c r="V170" s="166">
        <v>0</v>
      </c>
      <c r="W170" s="166">
        <v>8.1162461849110194E-3</v>
      </c>
      <c r="X170" s="166">
        <v>1.45860233656795E-3</v>
      </c>
    </row>
    <row r="171" spans="1:24">
      <c r="A171" s="4">
        <v>337</v>
      </c>
      <c r="B171" s="4">
        <v>9962</v>
      </c>
      <c r="C171" s="4" t="s">
        <v>1769</v>
      </c>
      <c r="D171" s="4" t="s">
        <v>1770</v>
      </c>
      <c r="E171" s="4" t="s">
        <v>311</v>
      </c>
      <c r="F171" s="4" t="s">
        <v>1771</v>
      </c>
      <c r="G171" s="4" t="s">
        <v>1772</v>
      </c>
      <c r="H171" s="4" t="s">
        <v>318</v>
      </c>
      <c r="I171" s="4" t="s">
        <v>930</v>
      </c>
      <c r="J171" s="4" t="s">
        <v>79</v>
      </c>
      <c r="K171" s="4" t="s">
        <v>232</v>
      </c>
      <c r="L171" s="2" t="s">
        <v>324</v>
      </c>
      <c r="M171" s="2" t="s">
        <v>377</v>
      </c>
      <c r="N171" s="4" t="s">
        <v>514</v>
      </c>
      <c r="O171" s="4" t="s">
        <v>134</v>
      </c>
      <c r="P171" s="4" t="s">
        <v>1180</v>
      </c>
      <c r="Q171" s="152">
        <v>700</v>
      </c>
      <c r="R171" s="167">
        <v>4.8108000000000004</v>
      </c>
      <c r="S171" s="169">
        <v>1195</v>
      </c>
      <c r="U171" s="152">
        <v>40.241999999999997</v>
      </c>
      <c r="V171" s="166">
        <v>1.5999999999999999E-5</v>
      </c>
      <c r="W171" s="166">
        <v>5.8501305703902804E-3</v>
      </c>
      <c r="X171" s="166">
        <v>1.0513498389270899E-3</v>
      </c>
    </row>
    <row r="172" spans="1:24">
      <c r="A172" s="4">
        <v>337</v>
      </c>
      <c r="B172" s="4">
        <v>9962</v>
      </c>
      <c r="C172" s="4" t="s">
        <v>1773</v>
      </c>
      <c r="D172" s="4" t="s">
        <v>1774</v>
      </c>
      <c r="E172" s="4" t="s">
        <v>311</v>
      </c>
      <c r="F172" s="4" t="s">
        <v>1775</v>
      </c>
      <c r="G172" s="4" t="s">
        <v>1776</v>
      </c>
      <c r="H172" s="4" t="s">
        <v>318</v>
      </c>
      <c r="I172" s="4" t="s">
        <v>930</v>
      </c>
      <c r="J172" s="4" t="s">
        <v>79</v>
      </c>
      <c r="K172" s="4" t="s">
        <v>80</v>
      </c>
      <c r="L172" s="2" t="s">
        <v>324</v>
      </c>
      <c r="M172" s="2" t="s">
        <v>343</v>
      </c>
      <c r="N172" s="4" t="s">
        <v>541</v>
      </c>
      <c r="O172" s="4" t="s">
        <v>134</v>
      </c>
      <c r="P172" s="4" t="s">
        <v>84</v>
      </c>
      <c r="Q172" s="152">
        <v>75</v>
      </c>
      <c r="R172" s="167">
        <v>3.718</v>
      </c>
      <c r="S172" s="169">
        <v>26836</v>
      </c>
      <c r="U172" s="152">
        <v>74.831999999999994</v>
      </c>
      <c r="V172" s="166">
        <v>0</v>
      </c>
      <c r="W172" s="166">
        <v>1.0878543275829501E-2</v>
      </c>
      <c r="X172" s="166">
        <v>1.9550255474112899E-3</v>
      </c>
    </row>
    <row r="173" spans="1:24">
      <c r="A173" s="4">
        <v>337</v>
      </c>
      <c r="B173" s="4">
        <v>9962</v>
      </c>
      <c r="C173" s="4" t="s">
        <v>1777</v>
      </c>
      <c r="D173" s="4" t="s">
        <v>1778</v>
      </c>
      <c r="E173" s="4" t="s">
        <v>311</v>
      </c>
      <c r="F173" s="4" t="s">
        <v>1779</v>
      </c>
      <c r="G173" s="4" t="s">
        <v>1780</v>
      </c>
      <c r="H173" s="4" t="s">
        <v>318</v>
      </c>
      <c r="I173" s="4" t="s">
        <v>930</v>
      </c>
      <c r="J173" s="4" t="s">
        <v>79</v>
      </c>
      <c r="K173" s="4" t="s">
        <v>267</v>
      </c>
      <c r="L173" s="2" t="s">
        <v>324</v>
      </c>
      <c r="M173" s="2" t="s">
        <v>341</v>
      </c>
      <c r="N173" s="4" t="s">
        <v>545</v>
      </c>
      <c r="O173" s="4" t="s">
        <v>134</v>
      </c>
      <c r="P173" s="4" t="s">
        <v>84</v>
      </c>
      <c r="Q173" s="152">
        <v>200</v>
      </c>
      <c r="R173" s="167">
        <v>3.718</v>
      </c>
      <c r="S173" s="169">
        <v>16600</v>
      </c>
      <c r="T173" s="151">
        <v>0.13600000000000001</v>
      </c>
      <c r="U173" s="152">
        <v>123.944</v>
      </c>
      <c r="V173" s="166">
        <v>0</v>
      </c>
      <c r="W173" s="166">
        <v>1.8018093478613099E-2</v>
      </c>
      <c r="X173" s="166">
        <v>3.2381020301311702E-3</v>
      </c>
    </row>
    <row r="174" spans="1:24">
      <c r="A174" s="4">
        <v>337</v>
      </c>
      <c r="B174" s="4">
        <v>9963</v>
      </c>
      <c r="C174" s="4" t="s">
        <v>1430</v>
      </c>
      <c r="D174" s="4" t="s">
        <v>1431</v>
      </c>
      <c r="E174" s="4" t="s">
        <v>1303</v>
      </c>
      <c r="F174" s="4" t="s">
        <v>1432</v>
      </c>
      <c r="G174" s="4" t="s">
        <v>1433</v>
      </c>
      <c r="H174" s="4" t="s">
        <v>318</v>
      </c>
      <c r="I174" s="4" t="s">
        <v>930</v>
      </c>
      <c r="J174" s="4" t="s">
        <v>30</v>
      </c>
      <c r="K174" s="4" t="s">
        <v>30</v>
      </c>
      <c r="L174" s="2" t="s">
        <v>324</v>
      </c>
      <c r="M174" s="2" t="s">
        <v>41</v>
      </c>
      <c r="N174" s="4" t="s">
        <v>436</v>
      </c>
      <c r="O174" s="4" t="s">
        <v>134</v>
      </c>
      <c r="P174" s="4" t="s">
        <v>34</v>
      </c>
      <c r="Q174" s="152">
        <v>41063</v>
      </c>
      <c r="R174" s="167">
        <v>1</v>
      </c>
      <c r="S174" s="169">
        <v>3240</v>
      </c>
      <c r="U174" s="152">
        <v>1330.441</v>
      </c>
      <c r="V174" s="166">
        <v>1.6100000000000001E-4</v>
      </c>
      <c r="W174" s="166">
        <v>7.3832328806721697E-3</v>
      </c>
      <c r="X174" s="166">
        <v>1.23759056142887E-3</v>
      </c>
    </row>
    <row r="175" spans="1:24">
      <c r="A175" s="4">
        <v>337</v>
      </c>
      <c r="B175" s="4">
        <v>9963</v>
      </c>
      <c r="C175" s="4" t="s">
        <v>1434</v>
      </c>
      <c r="D175" s="4" t="s">
        <v>1435</v>
      </c>
      <c r="E175" s="4" t="s">
        <v>311</v>
      </c>
      <c r="F175" s="4" t="s">
        <v>1436</v>
      </c>
      <c r="G175" s="4" t="s">
        <v>1437</v>
      </c>
      <c r="H175" s="4" t="s">
        <v>318</v>
      </c>
      <c r="I175" s="4" t="s">
        <v>930</v>
      </c>
      <c r="J175" s="4" t="s">
        <v>30</v>
      </c>
      <c r="K175" s="4" t="s">
        <v>80</v>
      </c>
      <c r="L175" s="2" t="s">
        <v>324</v>
      </c>
      <c r="M175" s="2" t="s">
        <v>41</v>
      </c>
      <c r="N175" s="4" t="s">
        <v>437</v>
      </c>
      <c r="O175" s="4" t="s">
        <v>134</v>
      </c>
      <c r="P175" s="4" t="s">
        <v>34</v>
      </c>
      <c r="Q175" s="152">
        <v>14377</v>
      </c>
      <c r="R175" s="167">
        <v>1</v>
      </c>
      <c r="S175" s="169">
        <v>26100</v>
      </c>
      <c r="U175" s="152">
        <v>3752.3969999999999</v>
      </c>
      <c r="V175" s="166">
        <v>2.5500000000000002E-4</v>
      </c>
      <c r="W175" s="166">
        <v>2.0823784554879699E-2</v>
      </c>
      <c r="X175" s="166">
        <v>3.49051961855511E-3</v>
      </c>
    </row>
    <row r="176" spans="1:24">
      <c r="A176" s="4">
        <v>337</v>
      </c>
      <c r="B176" s="4">
        <v>9963</v>
      </c>
      <c r="C176" s="4" t="s">
        <v>1438</v>
      </c>
      <c r="D176" s="4" t="s">
        <v>1439</v>
      </c>
      <c r="E176" s="4" t="s">
        <v>1303</v>
      </c>
      <c r="F176" s="4" t="s">
        <v>1440</v>
      </c>
      <c r="G176" s="4" t="s">
        <v>1441</v>
      </c>
      <c r="H176" s="4" t="s">
        <v>318</v>
      </c>
      <c r="I176" s="4" t="s">
        <v>930</v>
      </c>
      <c r="J176" s="4" t="s">
        <v>30</v>
      </c>
      <c r="K176" s="4" t="s">
        <v>30</v>
      </c>
      <c r="L176" s="2" t="s">
        <v>324</v>
      </c>
      <c r="M176" s="2" t="s">
        <v>41</v>
      </c>
      <c r="N176" s="4" t="s">
        <v>443</v>
      </c>
      <c r="O176" s="4" t="s">
        <v>134</v>
      </c>
      <c r="P176" s="4" t="s">
        <v>34</v>
      </c>
      <c r="Q176" s="152">
        <v>16982</v>
      </c>
      <c r="R176" s="167">
        <v>1</v>
      </c>
      <c r="S176" s="169">
        <v>1588</v>
      </c>
      <c r="T176" s="151">
        <v>3.2170000000000001</v>
      </c>
      <c r="U176" s="152">
        <v>272.89100000000002</v>
      </c>
      <c r="V176" s="166">
        <v>8.0000000000000007E-5</v>
      </c>
      <c r="W176" s="166">
        <v>1.51440023204584E-3</v>
      </c>
      <c r="X176" s="166">
        <v>2.5384644690159002E-4</v>
      </c>
    </row>
    <row r="177" spans="1:24">
      <c r="A177" s="4">
        <v>337</v>
      </c>
      <c r="B177" s="4">
        <v>9963</v>
      </c>
      <c r="C177" s="4" t="s">
        <v>1442</v>
      </c>
      <c r="D177" s="4" t="s">
        <v>1443</v>
      </c>
      <c r="E177" s="4" t="s">
        <v>1303</v>
      </c>
      <c r="F177" s="4" t="s">
        <v>1444</v>
      </c>
      <c r="G177" s="4" t="s">
        <v>1445</v>
      </c>
      <c r="H177" s="4" t="s">
        <v>318</v>
      </c>
      <c r="I177" s="4" t="s">
        <v>930</v>
      </c>
      <c r="J177" s="4" t="s">
        <v>30</v>
      </c>
      <c r="K177" s="4" t="s">
        <v>30</v>
      </c>
      <c r="L177" s="2" t="s">
        <v>324</v>
      </c>
      <c r="M177" s="2" t="s">
        <v>41</v>
      </c>
      <c r="N177" s="4" t="s">
        <v>452</v>
      </c>
      <c r="O177" s="4" t="s">
        <v>134</v>
      </c>
      <c r="P177" s="4" t="s">
        <v>34</v>
      </c>
      <c r="Q177" s="152">
        <v>284299</v>
      </c>
      <c r="R177" s="167">
        <v>1</v>
      </c>
      <c r="S177" s="169">
        <v>2089</v>
      </c>
      <c r="U177" s="152">
        <v>5939.0060000000003</v>
      </c>
      <c r="V177" s="166">
        <v>2.1599999999999999E-4</v>
      </c>
      <c r="W177" s="166">
        <v>3.29582887164536E-2</v>
      </c>
      <c r="X177" s="166">
        <v>5.5245266803255798E-3</v>
      </c>
    </row>
    <row r="178" spans="1:24">
      <c r="A178" s="4">
        <v>337</v>
      </c>
      <c r="B178" s="4">
        <v>9963</v>
      </c>
      <c r="C178" s="4" t="s">
        <v>1446</v>
      </c>
      <c r="D178" s="4" t="s">
        <v>1447</v>
      </c>
      <c r="E178" s="4" t="s">
        <v>1303</v>
      </c>
      <c r="F178" s="4" t="s">
        <v>1448</v>
      </c>
      <c r="G178" s="4" t="s">
        <v>1449</v>
      </c>
      <c r="H178" s="4" t="s">
        <v>318</v>
      </c>
      <c r="I178" s="4" t="s">
        <v>930</v>
      </c>
      <c r="J178" s="4" t="s">
        <v>30</v>
      </c>
      <c r="K178" s="4" t="s">
        <v>30</v>
      </c>
      <c r="L178" s="2" t="s">
        <v>324</v>
      </c>
      <c r="M178" s="2" t="s">
        <v>41</v>
      </c>
      <c r="N178" s="4" t="s">
        <v>459</v>
      </c>
      <c r="O178" s="4" t="s">
        <v>134</v>
      </c>
      <c r="P178" s="4" t="s">
        <v>34</v>
      </c>
      <c r="Q178" s="152">
        <v>84000</v>
      </c>
      <c r="R178" s="167">
        <v>1</v>
      </c>
      <c r="S178" s="169">
        <v>1524</v>
      </c>
      <c r="U178" s="152">
        <v>1280.1600000000001</v>
      </c>
      <c r="V178" s="166">
        <v>5.6599999999999999E-4</v>
      </c>
      <c r="W178" s="166">
        <v>7.1041992720319302E-3</v>
      </c>
      <c r="X178" s="166">
        <v>1.19081845414798E-3</v>
      </c>
    </row>
    <row r="179" spans="1:24">
      <c r="A179" s="4">
        <v>337</v>
      </c>
      <c r="B179" s="4">
        <v>9963</v>
      </c>
      <c r="C179" s="4" t="s">
        <v>1454</v>
      </c>
      <c r="D179" s="4" t="s">
        <v>1455</v>
      </c>
      <c r="E179" s="4" t="s">
        <v>1303</v>
      </c>
      <c r="F179" s="4" t="s">
        <v>1456</v>
      </c>
      <c r="G179" s="4" t="s">
        <v>1457</v>
      </c>
      <c r="H179" s="4" t="s">
        <v>318</v>
      </c>
      <c r="I179" s="4" t="s">
        <v>930</v>
      </c>
      <c r="J179" s="4" t="s">
        <v>30</v>
      </c>
      <c r="K179" s="4" t="s">
        <v>30</v>
      </c>
      <c r="L179" s="2" t="s">
        <v>324</v>
      </c>
      <c r="M179" s="2" t="s">
        <v>41</v>
      </c>
      <c r="N179" s="4" t="s">
        <v>442</v>
      </c>
      <c r="O179" s="4" t="s">
        <v>134</v>
      </c>
      <c r="P179" s="4" t="s">
        <v>34</v>
      </c>
      <c r="Q179" s="152">
        <v>5303</v>
      </c>
      <c r="R179" s="167">
        <v>1</v>
      </c>
      <c r="S179" s="169">
        <v>142500</v>
      </c>
      <c r="U179" s="152">
        <v>7556.7749999999996</v>
      </c>
      <c r="V179" s="166">
        <v>1.1900000000000001E-4</v>
      </c>
      <c r="W179" s="166">
        <v>4.1936035693904701E-2</v>
      </c>
      <c r="X179" s="166">
        <v>7.0293925164386399E-3</v>
      </c>
    </row>
    <row r="180" spans="1:24">
      <c r="A180" s="4">
        <v>337</v>
      </c>
      <c r="B180" s="4">
        <v>9963</v>
      </c>
      <c r="C180" s="4" t="s">
        <v>1458</v>
      </c>
      <c r="D180" s="4" t="s">
        <v>1459</v>
      </c>
      <c r="E180" s="4" t="s">
        <v>1303</v>
      </c>
      <c r="F180" s="4" t="s">
        <v>1460</v>
      </c>
      <c r="G180" s="4" t="s">
        <v>1461</v>
      </c>
      <c r="H180" s="4" t="s">
        <v>318</v>
      </c>
      <c r="I180" s="4" t="s">
        <v>930</v>
      </c>
      <c r="J180" s="4" t="s">
        <v>30</v>
      </c>
      <c r="K180" s="4" t="s">
        <v>30</v>
      </c>
      <c r="L180" s="2" t="s">
        <v>324</v>
      </c>
      <c r="M180" s="2" t="s">
        <v>41</v>
      </c>
      <c r="N180" s="4" t="s">
        <v>460</v>
      </c>
      <c r="O180" s="4" t="s">
        <v>134</v>
      </c>
      <c r="P180" s="4" t="s">
        <v>34</v>
      </c>
      <c r="Q180" s="152">
        <v>46914</v>
      </c>
      <c r="R180" s="167">
        <v>1</v>
      </c>
      <c r="S180" s="169">
        <v>2900</v>
      </c>
      <c r="T180" s="151">
        <v>11.259</v>
      </c>
      <c r="U180" s="152">
        <v>1371.7650000000001</v>
      </c>
      <c r="V180" s="166">
        <v>2.1800000000000001E-4</v>
      </c>
      <c r="W180" s="166">
        <v>7.6125597362131396E-3</v>
      </c>
      <c r="X180" s="166">
        <v>1.27603073479014E-3</v>
      </c>
    </row>
    <row r="181" spans="1:24">
      <c r="A181" s="4">
        <v>337</v>
      </c>
      <c r="B181" s="4">
        <v>9963</v>
      </c>
      <c r="C181" s="4" t="s">
        <v>1462</v>
      </c>
      <c r="D181" s="4" t="s">
        <v>1463</v>
      </c>
      <c r="E181" s="4" t="s">
        <v>1303</v>
      </c>
      <c r="F181" s="4" t="s">
        <v>1464</v>
      </c>
      <c r="G181" s="4" t="s">
        <v>1465</v>
      </c>
      <c r="H181" s="4" t="s">
        <v>318</v>
      </c>
      <c r="I181" s="4" t="s">
        <v>930</v>
      </c>
      <c r="J181" s="4" t="s">
        <v>30</v>
      </c>
      <c r="K181" s="4" t="s">
        <v>30</v>
      </c>
      <c r="L181" s="2" t="s">
        <v>324</v>
      </c>
      <c r="M181" s="2" t="s">
        <v>41</v>
      </c>
      <c r="N181" s="4" t="s">
        <v>461</v>
      </c>
      <c r="O181" s="4" t="s">
        <v>134</v>
      </c>
      <c r="P181" s="4" t="s">
        <v>34</v>
      </c>
      <c r="Q181" s="152">
        <v>30041</v>
      </c>
      <c r="R181" s="167">
        <v>1</v>
      </c>
      <c r="S181" s="169">
        <v>4241</v>
      </c>
      <c r="U181" s="152">
        <v>1274.039</v>
      </c>
      <c r="V181" s="166">
        <v>4.6099999999999998E-4</v>
      </c>
      <c r="W181" s="166">
        <v>7.0702299607411801E-3</v>
      </c>
      <c r="X181" s="166">
        <v>1.1851244580745599E-3</v>
      </c>
    </row>
    <row r="182" spans="1:24">
      <c r="A182" s="4">
        <v>337</v>
      </c>
      <c r="B182" s="4">
        <v>9963</v>
      </c>
      <c r="C182" s="4" t="s">
        <v>1466</v>
      </c>
      <c r="D182" s="4" t="s">
        <v>1467</v>
      </c>
      <c r="E182" s="4" t="s">
        <v>1303</v>
      </c>
      <c r="F182" s="4" t="s">
        <v>1468</v>
      </c>
      <c r="G182" s="4" t="s">
        <v>1469</v>
      </c>
      <c r="H182" s="4" t="s">
        <v>318</v>
      </c>
      <c r="I182" s="4" t="s">
        <v>930</v>
      </c>
      <c r="J182" s="4" t="s">
        <v>30</v>
      </c>
      <c r="K182" s="4" t="s">
        <v>30</v>
      </c>
      <c r="L182" s="2" t="s">
        <v>324</v>
      </c>
      <c r="M182" s="2" t="s">
        <v>41</v>
      </c>
      <c r="N182" s="4" t="s">
        <v>460</v>
      </c>
      <c r="O182" s="4" t="s">
        <v>134</v>
      </c>
      <c r="P182" s="4" t="s">
        <v>34</v>
      </c>
      <c r="Q182" s="152">
        <v>90888</v>
      </c>
      <c r="R182" s="167">
        <v>1</v>
      </c>
      <c r="S182" s="169">
        <v>1796</v>
      </c>
      <c r="U182" s="152">
        <v>1632.348</v>
      </c>
      <c r="V182" s="166">
        <v>1.93E-4</v>
      </c>
      <c r="W182" s="166">
        <v>9.0586558581102605E-3</v>
      </c>
      <c r="X182" s="166">
        <v>1.5184279258720801E-3</v>
      </c>
    </row>
    <row r="183" spans="1:24">
      <c r="A183" s="4">
        <v>337</v>
      </c>
      <c r="B183" s="4">
        <v>9963</v>
      </c>
      <c r="C183" s="4" t="s">
        <v>1470</v>
      </c>
      <c r="D183" s="4" t="s">
        <v>1471</v>
      </c>
      <c r="E183" s="4" t="s">
        <v>1303</v>
      </c>
      <c r="F183" s="4" t="s">
        <v>1472</v>
      </c>
      <c r="G183" s="4" t="s">
        <v>1473</v>
      </c>
      <c r="H183" s="4" t="s">
        <v>318</v>
      </c>
      <c r="I183" s="4" t="s">
        <v>930</v>
      </c>
      <c r="J183" s="4" t="s">
        <v>30</v>
      </c>
      <c r="K183" s="4" t="s">
        <v>80</v>
      </c>
      <c r="L183" s="2" t="s">
        <v>324</v>
      </c>
      <c r="M183" s="2" t="s">
        <v>41</v>
      </c>
      <c r="N183" s="4" t="s">
        <v>437</v>
      </c>
      <c r="O183" s="4" t="s">
        <v>134</v>
      </c>
      <c r="P183" s="4" t="s">
        <v>34</v>
      </c>
      <c r="Q183" s="152">
        <v>35318.6</v>
      </c>
      <c r="R183" s="167">
        <v>1</v>
      </c>
      <c r="S183" s="169">
        <v>5941</v>
      </c>
      <c r="U183" s="152">
        <v>2098.2779999999998</v>
      </c>
      <c r="V183" s="166">
        <v>2.9700000000000001E-4</v>
      </c>
      <c r="W183" s="166">
        <v>1.16443141676273E-2</v>
      </c>
      <c r="X183" s="166">
        <v>1.95184054750499E-3</v>
      </c>
    </row>
    <row r="184" spans="1:24">
      <c r="A184" s="4">
        <v>337</v>
      </c>
      <c r="B184" s="4">
        <v>9963</v>
      </c>
      <c r="C184" s="4" t="s">
        <v>1474</v>
      </c>
      <c r="D184" s="4" t="s">
        <v>1475</v>
      </c>
      <c r="E184" s="4" t="s">
        <v>311</v>
      </c>
      <c r="F184" s="4" t="s">
        <v>1476</v>
      </c>
      <c r="G184" s="4" t="s">
        <v>1477</v>
      </c>
      <c r="H184" s="4" t="s">
        <v>318</v>
      </c>
      <c r="I184" s="4" t="s">
        <v>930</v>
      </c>
      <c r="J184" s="4" t="s">
        <v>30</v>
      </c>
      <c r="K184" s="4" t="s">
        <v>232</v>
      </c>
      <c r="L184" s="2" t="s">
        <v>324</v>
      </c>
      <c r="M184" s="2" t="s">
        <v>41</v>
      </c>
      <c r="N184" s="4" t="s">
        <v>450</v>
      </c>
      <c r="O184" s="4" t="s">
        <v>134</v>
      </c>
      <c r="P184" s="4" t="s">
        <v>34</v>
      </c>
      <c r="Q184" s="152">
        <v>47473</v>
      </c>
      <c r="R184" s="167">
        <v>1</v>
      </c>
      <c r="S184" s="169">
        <v>4205</v>
      </c>
      <c r="T184" s="151">
        <v>52.951000000000001</v>
      </c>
      <c r="U184" s="152">
        <v>2049.1909999999998</v>
      </c>
      <c r="V184" s="166">
        <v>2.5900000000000001E-4</v>
      </c>
      <c r="W184" s="166">
        <v>1.1371907772011299E-2</v>
      </c>
      <c r="X184" s="166">
        <v>1.9061793053992799E-3</v>
      </c>
    </row>
    <row r="185" spans="1:24">
      <c r="A185" s="4">
        <v>337</v>
      </c>
      <c r="B185" s="4">
        <v>9963</v>
      </c>
      <c r="C185" s="4" t="s">
        <v>1478</v>
      </c>
      <c r="D185" s="4" t="s">
        <v>1479</v>
      </c>
      <c r="E185" s="4" t="s">
        <v>1303</v>
      </c>
      <c r="F185" s="4" t="s">
        <v>1480</v>
      </c>
      <c r="G185" s="4" t="s">
        <v>1481</v>
      </c>
      <c r="H185" s="4" t="s">
        <v>318</v>
      </c>
      <c r="I185" s="4" t="s">
        <v>930</v>
      </c>
      <c r="J185" s="4" t="s">
        <v>30</v>
      </c>
      <c r="K185" s="4" t="s">
        <v>30</v>
      </c>
      <c r="L185" s="2" t="s">
        <v>324</v>
      </c>
      <c r="M185" s="2" t="s">
        <v>41</v>
      </c>
      <c r="N185" s="4" t="s">
        <v>437</v>
      </c>
      <c r="O185" s="4" t="s">
        <v>134</v>
      </c>
      <c r="P185" s="4" t="s">
        <v>34</v>
      </c>
      <c r="Q185" s="152">
        <v>135160</v>
      </c>
      <c r="R185" s="167">
        <v>1</v>
      </c>
      <c r="S185" s="169">
        <v>1013</v>
      </c>
      <c r="T185" s="151">
        <v>13.516</v>
      </c>
      <c r="U185" s="152">
        <v>1382.6869999999999</v>
      </c>
      <c r="V185" s="166">
        <v>2.4600000000000002E-4</v>
      </c>
      <c r="W185" s="166">
        <v>7.6731678524623098E-3</v>
      </c>
      <c r="X185" s="166">
        <v>1.2861899744928899E-3</v>
      </c>
    </row>
    <row r="186" spans="1:24">
      <c r="A186" s="4">
        <v>337</v>
      </c>
      <c r="B186" s="4">
        <v>9963</v>
      </c>
      <c r="C186" s="4" t="s">
        <v>1482</v>
      </c>
      <c r="D186" s="4" t="s">
        <v>1483</v>
      </c>
      <c r="E186" s="4" t="s">
        <v>1303</v>
      </c>
      <c r="F186" s="4" t="s">
        <v>1484</v>
      </c>
      <c r="G186" s="4" t="s">
        <v>1485</v>
      </c>
      <c r="H186" s="4" t="s">
        <v>318</v>
      </c>
      <c r="I186" s="4" t="s">
        <v>930</v>
      </c>
      <c r="J186" s="4" t="s">
        <v>30</v>
      </c>
      <c r="K186" s="4" t="s">
        <v>30</v>
      </c>
      <c r="L186" s="2" t="s">
        <v>324</v>
      </c>
      <c r="M186" s="2" t="s">
        <v>41</v>
      </c>
      <c r="N186" s="4" t="s">
        <v>443</v>
      </c>
      <c r="O186" s="4" t="s">
        <v>134</v>
      </c>
      <c r="P186" s="4" t="s">
        <v>34</v>
      </c>
      <c r="Q186" s="152">
        <v>2246</v>
      </c>
      <c r="R186" s="167">
        <v>1</v>
      </c>
      <c r="S186" s="169">
        <v>22350</v>
      </c>
      <c r="U186" s="152">
        <v>501.98099999999999</v>
      </c>
      <c r="V186" s="166">
        <v>1.7699999999999999E-4</v>
      </c>
      <c r="W186" s="166">
        <v>2.78572448348164E-3</v>
      </c>
      <c r="X186" s="166">
        <v>4.6694806776626001E-4</v>
      </c>
    </row>
    <row r="187" spans="1:24">
      <c r="A187" s="4">
        <v>337</v>
      </c>
      <c r="B187" s="4">
        <v>9963</v>
      </c>
      <c r="C187" s="4" t="s">
        <v>1489</v>
      </c>
      <c r="D187" s="4" t="s">
        <v>1490</v>
      </c>
      <c r="E187" s="4" t="s">
        <v>1303</v>
      </c>
      <c r="F187" s="4" t="s">
        <v>1491</v>
      </c>
      <c r="G187" s="4" t="s">
        <v>1492</v>
      </c>
      <c r="H187" s="4" t="s">
        <v>318</v>
      </c>
      <c r="I187" s="4" t="s">
        <v>930</v>
      </c>
      <c r="J187" s="4" t="s">
        <v>30</v>
      </c>
      <c r="K187" s="4" t="s">
        <v>30</v>
      </c>
      <c r="L187" s="2" t="s">
        <v>324</v>
      </c>
      <c r="M187" s="2" t="s">
        <v>41</v>
      </c>
      <c r="N187" s="4" t="s">
        <v>443</v>
      </c>
      <c r="O187" s="4" t="s">
        <v>134</v>
      </c>
      <c r="P187" s="4" t="s">
        <v>34</v>
      </c>
      <c r="Q187" s="152">
        <v>21000</v>
      </c>
      <c r="R187" s="167">
        <v>1</v>
      </c>
      <c r="S187" s="169">
        <v>5080</v>
      </c>
      <c r="U187" s="152">
        <v>1066.8</v>
      </c>
      <c r="V187" s="166">
        <v>1.8799999999999999E-4</v>
      </c>
      <c r="W187" s="166">
        <v>5.9201660600266097E-3</v>
      </c>
      <c r="X187" s="166">
        <v>9.9234871178998101E-4</v>
      </c>
    </row>
    <row r="188" spans="1:24">
      <c r="A188" s="4">
        <v>337</v>
      </c>
      <c r="B188" s="4">
        <v>9963</v>
      </c>
      <c r="C188" s="4" t="s">
        <v>1493</v>
      </c>
      <c r="D188" s="4" t="s">
        <v>1494</v>
      </c>
      <c r="E188" s="4" t="s">
        <v>1303</v>
      </c>
      <c r="F188" s="4" t="s">
        <v>1495</v>
      </c>
      <c r="G188" s="4" t="s">
        <v>1496</v>
      </c>
      <c r="H188" s="4" t="s">
        <v>318</v>
      </c>
      <c r="I188" s="4" t="s">
        <v>930</v>
      </c>
      <c r="J188" s="4" t="s">
        <v>30</v>
      </c>
      <c r="K188" s="4" t="s">
        <v>30</v>
      </c>
      <c r="L188" s="2" t="s">
        <v>324</v>
      </c>
      <c r="M188" s="2" t="s">
        <v>41</v>
      </c>
      <c r="N188" s="4" t="s">
        <v>481</v>
      </c>
      <c r="O188" s="4" t="s">
        <v>134</v>
      </c>
      <c r="P188" s="4" t="s">
        <v>34</v>
      </c>
      <c r="Q188" s="152">
        <v>528414.24</v>
      </c>
      <c r="R188" s="167">
        <v>1</v>
      </c>
      <c r="S188" s="169">
        <v>546.6</v>
      </c>
      <c r="U188" s="152">
        <v>2888.3119999999999</v>
      </c>
      <c r="V188" s="166">
        <v>1.9100000000000001E-4</v>
      </c>
      <c r="W188" s="166">
        <v>1.6028578992669198E-2</v>
      </c>
      <c r="X188" s="166">
        <v>2.6867387762308402E-3</v>
      </c>
    </row>
    <row r="189" spans="1:24">
      <c r="A189" s="4">
        <v>337</v>
      </c>
      <c r="B189" s="4">
        <v>9963</v>
      </c>
      <c r="C189" s="4" t="s">
        <v>1497</v>
      </c>
      <c r="D189" s="4" t="s">
        <v>1498</v>
      </c>
      <c r="E189" s="4" t="s">
        <v>1303</v>
      </c>
      <c r="F189" s="4" t="s">
        <v>1499</v>
      </c>
      <c r="G189" s="4" t="s">
        <v>1500</v>
      </c>
      <c r="H189" s="4" t="s">
        <v>318</v>
      </c>
      <c r="I189" s="4" t="s">
        <v>930</v>
      </c>
      <c r="J189" s="4" t="s">
        <v>30</v>
      </c>
      <c r="K189" s="4" t="s">
        <v>30</v>
      </c>
      <c r="L189" s="2" t="s">
        <v>324</v>
      </c>
      <c r="M189" s="2" t="s">
        <v>41</v>
      </c>
      <c r="N189" s="4" t="s">
        <v>460</v>
      </c>
      <c r="O189" s="4" t="s">
        <v>134</v>
      </c>
      <c r="P189" s="4" t="s">
        <v>34</v>
      </c>
      <c r="Q189" s="152">
        <v>9647</v>
      </c>
      <c r="R189" s="167">
        <v>1</v>
      </c>
      <c r="S189" s="169">
        <v>51410</v>
      </c>
      <c r="U189" s="152">
        <v>4959.5230000000001</v>
      </c>
      <c r="V189" s="166">
        <v>3.88E-4</v>
      </c>
      <c r="W189" s="166">
        <v>2.7522682754472699E-2</v>
      </c>
      <c r="X189" s="166">
        <v>4.6134007896870702E-3</v>
      </c>
    </row>
    <row r="190" spans="1:24">
      <c r="A190" s="4">
        <v>337</v>
      </c>
      <c r="B190" s="4">
        <v>9963</v>
      </c>
      <c r="C190" s="4" t="s">
        <v>1501</v>
      </c>
      <c r="D190" s="4" t="s">
        <v>1502</v>
      </c>
      <c r="E190" s="4" t="s">
        <v>1303</v>
      </c>
      <c r="F190" s="4" t="s">
        <v>1503</v>
      </c>
      <c r="G190" s="4" t="s">
        <v>1504</v>
      </c>
      <c r="H190" s="4" t="s">
        <v>318</v>
      </c>
      <c r="I190" s="4" t="s">
        <v>930</v>
      </c>
      <c r="J190" s="4" t="s">
        <v>30</v>
      </c>
      <c r="K190" s="4" t="s">
        <v>30</v>
      </c>
      <c r="L190" s="2" t="s">
        <v>324</v>
      </c>
      <c r="M190" s="2" t="s">
        <v>41</v>
      </c>
      <c r="N190" s="4" t="s">
        <v>444</v>
      </c>
      <c r="O190" s="4" t="s">
        <v>134</v>
      </c>
      <c r="P190" s="4" t="s">
        <v>34</v>
      </c>
      <c r="Q190" s="152">
        <v>19925</v>
      </c>
      <c r="R190" s="167">
        <v>1</v>
      </c>
      <c r="S190" s="169">
        <v>18720</v>
      </c>
      <c r="U190" s="152">
        <v>3729.96</v>
      </c>
      <c r="V190" s="166">
        <v>1.9900000000000001E-4</v>
      </c>
      <c r="W190" s="166">
        <v>2.06992712760188E-2</v>
      </c>
      <c r="X190" s="166">
        <v>3.4696484824035998E-3</v>
      </c>
    </row>
    <row r="191" spans="1:24">
      <c r="A191" s="4">
        <v>337</v>
      </c>
      <c r="B191" s="4">
        <v>9963</v>
      </c>
      <c r="C191" s="4" t="s">
        <v>1505</v>
      </c>
      <c r="D191" s="4" t="s">
        <v>1506</v>
      </c>
      <c r="E191" s="4" t="s">
        <v>1303</v>
      </c>
      <c r="F191" s="4" t="s">
        <v>1507</v>
      </c>
      <c r="G191" s="4" t="s">
        <v>1508</v>
      </c>
      <c r="H191" s="4" t="s">
        <v>318</v>
      </c>
      <c r="I191" s="4" t="s">
        <v>930</v>
      </c>
      <c r="J191" s="4" t="s">
        <v>30</v>
      </c>
      <c r="K191" s="4" t="s">
        <v>30</v>
      </c>
      <c r="L191" s="2" t="s">
        <v>324</v>
      </c>
      <c r="M191" s="2" t="s">
        <v>41</v>
      </c>
      <c r="N191" s="4" t="s">
        <v>460</v>
      </c>
      <c r="O191" s="4" t="s">
        <v>134</v>
      </c>
      <c r="P191" s="4" t="s">
        <v>34</v>
      </c>
      <c r="Q191" s="152">
        <v>69139</v>
      </c>
      <c r="R191" s="167">
        <v>1</v>
      </c>
      <c r="S191" s="169">
        <v>1373</v>
      </c>
      <c r="U191" s="152">
        <v>949.27800000000002</v>
      </c>
      <c r="V191" s="166">
        <v>9.8900000000000008E-4</v>
      </c>
      <c r="W191" s="166">
        <v>5.2679847952830797E-3</v>
      </c>
      <c r="X191" s="166">
        <v>8.8302893404055497E-4</v>
      </c>
    </row>
    <row r="192" spans="1:24">
      <c r="A192" s="4">
        <v>337</v>
      </c>
      <c r="B192" s="4">
        <v>9963</v>
      </c>
      <c r="C192" s="4" t="s">
        <v>1509</v>
      </c>
      <c r="D192" s="4" t="s">
        <v>1510</v>
      </c>
      <c r="E192" s="4" t="s">
        <v>1303</v>
      </c>
      <c r="F192" s="4" t="s">
        <v>1511</v>
      </c>
      <c r="G192" s="4" t="s">
        <v>1512</v>
      </c>
      <c r="H192" s="4" t="s">
        <v>318</v>
      </c>
      <c r="I192" s="4" t="s">
        <v>930</v>
      </c>
      <c r="J192" s="4" t="s">
        <v>30</v>
      </c>
      <c r="K192" s="4" t="s">
        <v>30</v>
      </c>
      <c r="L192" s="2" t="s">
        <v>324</v>
      </c>
      <c r="M192" s="2" t="s">
        <v>41</v>
      </c>
      <c r="N192" s="4" t="s">
        <v>459</v>
      </c>
      <c r="O192" s="4" t="s">
        <v>134</v>
      </c>
      <c r="P192" s="4" t="s">
        <v>34</v>
      </c>
      <c r="Q192" s="152">
        <v>14655</v>
      </c>
      <c r="R192" s="167">
        <v>1</v>
      </c>
      <c r="S192" s="169">
        <v>47350</v>
      </c>
      <c r="U192" s="152">
        <v>6939.1419999999998</v>
      </c>
      <c r="V192" s="166">
        <v>1.6130000000000001E-3</v>
      </c>
      <c r="W192" s="166">
        <v>3.8508507606100702E-2</v>
      </c>
      <c r="X192" s="166">
        <v>6.4548641927278903E-3</v>
      </c>
    </row>
    <row r="193" spans="1:24">
      <c r="A193" s="4">
        <v>337</v>
      </c>
      <c r="B193" s="4">
        <v>9963</v>
      </c>
      <c r="C193" s="4" t="s">
        <v>1513</v>
      </c>
      <c r="D193" s="4" t="s">
        <v>1514</v>
      </c>
      <c r="E193" s="4" t="s">
        <v>1303</v>
      </c>
      <c r="F193" s="4" t="s">
        <v>1515</v>
      </c>
      <c r="G193" s="4" t="s">
        <v>1516</v>
      </c>
      <c r="H193" s="4" t="s">
        <v>318</v>
      </c>
      <c r="I193" s="4" t="s">
        <v>930</v>
      </c>
      <c r="J193" s="4" t="s">
        <v>30</v>
      </c>
      <c r="K193" s="4" t="s">
        <v>30</v>
      </c>
      <c r="L193" s="2" t="s">
        <v>324</v>
      </c>
      <c r="M193" s="2" t="s">
        <v>41</v>
      </c>
      <c r="N193" s="4" t="s">
        <v>460</v>
      </c>
      <c r="O193" s="4" t="s">
        <v>134</v>
      </c>
      <c r="P193" s="4" t="s">
        <v>34</v>
      </c>
      <c r="Q193" s="152">
        <v>42807</v>
      </c>
      <c r="R193" s="167">
        <v>1</v>
      </c>
      <c r="S193" s="169">
        <v>2850</v>
      </c>
      <c r="U193" s="152">
        <v>1219.999</v>
      </c>
      <c r="V193" s="166">
        <v>1.94E-4</v>
      </c>
      <c r="W193" s="166">
        <v>6.77034086346966E-3</v>
      </c>
      <c r="X193" s="166">
        <v>1.13485651688172E-3</v>
      </c>
    </row>
    <row r="194" spans="1:24">
      <c r="A194" s="4">
        <v>337</v>
      </c>
      <c r="B194" s="4">
        <v>9963</v>
      </c>
      <c r="C194" s="4" t="s">
        <v>1517</v>
      </c>
      <c r="D194" s="4" t="s">
        <v>1518</v>
      </c>
      <c r="E194" s="4" t="s">
        <v>1303</v>
      </c>
      <c r="F194" s="4" t="s">
        <v>1519</v>
      </c>
      <c r="G194" s="4" t="s">
        <v>1520</v>
      </c>
      <c r="H194" s="4" t="s">
        <v>318</v>
      </c>
      <c r="I194" s="4" t="s">
        <v>930</v>
      </c>
      <c r="J194" s="4" t="s">
        <v>30</v>
      </c>
      <c r="K194" s="4" t="s">
        <v>30</v>
      </c>
      <c r="L194" s="2" t="s">
        <v>324</v>
      </c>
      <c r="M194" s="2" t="s">
        <v>41</v>
      </c>
      <c r="N194" s="4" t="s">
        <v>437</v>
      </c>
      <c r="O194" s="4" t="s">
        <v>134</v>
      </c>
      <c r="P194" s="4" t="s">
        <v>34</v>
      </c>
      <c r="Q194" s="152">
        <v>71301</v>
      </c>
      <c r="R194" s="167">
        <v>1</v>
      </c>
      <c r="S194" s="169">
        <v>1156</v>
      </c>
      <c r="U194" s="152">
        <v>824.24</v>
      </c>
      <c r="V194" s="166">
        <v>4.0000000000000002E-4</v>
      </c>
      <c r="W194" s="166">
        <v>4.5740861159010698E-3</v>
      </c>
      <c r="X194" s="166">
        <v>7.6671640942289204E-4</v>
      </c>
    </row>
    <row r="195" spans="1:24">
      <c r="A195" s="4">
        <v>337</v>
      </c>
      <c r="B195" s="4">
        <v>9963</v>
      </c>
      <c r="C195" s="4" t="s">
        <v>1521</v>
      </c>
      <c r="D195" s="4" t="s">
        <v>1522</v>
      </c>
      <c r="E195" s="4" t="s">
        <v>1303</v>
      </c>
      <c r="F195" s="4" t="s">
        <v>1523</v>
      </c>
      <c r="G195" s="4" t="s">
        <v>1524</v>
      </c>
      <c r="H195" s="4" t="s">
        <v>318</v>
      </c>
      <c r="I195" s="4" t="s">
        <v>930</v>
      </c>
      <c r="J195" s="4" t="s">
        <v>30</v>
      </c>
      <c r="K195" s="4" t="s">
        <v>30</v>
      </c>
      <c r="L195" s="2" t="s">
        <v>324</v>
      </c>
      <c r="M195" s="2" t="s">
        <v>41</v>
      </c>
      <c r="N195" s="4" t="s">
        <v>444</v>
      </c>
      <c r="O195" s="4" t="s">
        <v>134</v>
      </c>
      <c r="P195" s="4" t="s">
        <v>34</v>
      </c>
      <c r="Q195" s="152">
        <v>162489.24</v>
      </c>
      <c r="R195" s="167">
        <v>1</v>
      </c>
      <c r="S195" s="169">
        <v>2572</v>
      </c>
      <c r="T195" s="151">
        <v>41.533000000000001</v>
      </c>
      <c r="U195" s="152">
        <v>4220.7569999999996</v>
      </c>
      <c r="V195" s="166">
        <v>1.3100000000000001E-4</v>
      </c>
      <c r="W195" s="166">
        <v>2.3422928316768E-2</v>
      </c>
      <c r="X195" s="166">
        <v>3.9261926955794398E-3</v>
      </c>
    </row>
    <row r="196" spans="1:24">
      <c r="A196" s="4">
        <v>337</v>
      </c>
      <c r="B196" s="4">
        <v>9963</v>
      </c>
      <c r="C196" s="4" t="s">
        <v>1529</v>
      </c>
      <c r="D196" s="4" t="s">
        <v>1530</v>
      </c>
      <c r="E196" s="4" t="s">
        <v>1303</v>
      </c>
      <c r="F196" s="4" t="s">
        <v>1531</v>
      </c>
      <c r="G196" s="4" t="s">
        <v>1532</v>
      </c>
      <c r="H196" s="4" t="s">
        <v>318</v>
      </c>
      <c r="I196" s="4" t="s">
        <v>930</v>
      </c>
      <c r="J196" s="4" t="s">
        <v>30</v>
      </c>
      <c r="K196" s="4" t="s">
        <v>30</v>
      </c>
      <c r="L196" s="2" t="s">
        <v>324</v>
      </c>
      <c r="M196" s="2" t="s">
        <v>41</v>
      </c>
      <c r="N196" s="4" t="s">
        <v>472</v>
      </c>
      <c r="O196" s="4" t="s">
        <v>134</v>
      </c>
      <c r="P196" s="4" t="s">
        <v>34</v>
      </c>
      <c r="Q196" s="152">
        <v>19400</v>
      </c>
      <c r="R196" s="167">
        <v>1</v>
      </c>
      <c r="S196" s="169">
        <v>7251</v>
      </c>
      <c r="U196" s="152">
        <v>1406.694</v>
      </c>
      <c r="V196" s="166">
        <v>7.7499999999999997E-4</v>
      </c>
      <c r="W196" s="166">
        <v>7.8063948965533102E-3</v>
      </c>
      <c r="X196" s="166">
        <v>1.3085217273928499E-3</v>
      </c>
    </row>
    <row r="197" spans="1:24">
      <c r="A197" s="4">
        <v>337</v>
      </c>
      <c r="B197" s="4">
        <v>9963</v>
      </c>
      <c r="C197" s="4" t="s">
        <v>1785</v>
      </c>
      <c r="D197" s="4" t="s">
        <v>1786</v>
      </c>
      <c r="E197" s="4" t="s">
        <v>1303</v>
      </c>
      <c r="F197" s="4" t="s">
        <v>1787</v>
      </c>
      <c r="G197" s="4" t="s">
        <v>1788</v>
      </c>
      <c r="H197" s="4" t="s">
        <v>318</v>
      </c>
      <c r="I197" s="4" t="s">
        <v>930</v>
      </c>
      <c r="J197" s="4" t="s">
        <v>30</v>
      </c>
      <c r="K197" s="4" t="s">
        <v>30</v>
      </c>
      <c r="L197" s="2" t="s">
        <v>324</v>
      </c>
      <c r="M197" s="2" t="s">
        <v>41</v>
      </c>
      <c r="N197" s="4" t="s">
        <v>443</v>
      </c>
      <c r="O197" s="4" t="s">
        <v>134</v>
      </c>
      <c r="P197" s="4" t="s">
        <v>34</v>
      </c>
      <c r="Q197" s="152">
        <v>2855</v>
      </c>
      <c r="R197" s="167">
        <v>1</v>
      </c>
      <c r="S197" s="169">
        <v>30010</v>
      </c>
      <c r="U197" s="152">
        <v>856.78499999999997</v>
      </c>
      <c r="V197" s="166">
        <v>1.37E-4</v>
      </c>
      <c r="W197" s="166">
        <v>4.75469857313735E-3</v>
      </c>
      <c r="X197" s="166">
        <v>7.9699098913135996E-4</v>
      </c>
    </row>
    <row r="198" spans="1:24">
      <c r="A198" s="4">
        <v>337</v>
      </c>
      <c r="B198" s="4">
        <v>9963</v>
      </c>
      <c r="C198" s="4" t="s">
        <v>1533</v>
      </c>
      <c r="D198" s="4" t="s">
        <v>1534</v>
      </c>
      <c r="E198" s="4" t="s">
        <v>1303</v>
      </c>
      <c r="F198" s="4" t="s">
        <v>1535</v>
      </c>
      <c r="G198" s="4" t="s">
        <v>1536</v>
      </c>
      <c r="H198" s="4" t="s">
        <v>318</v>
      </c>
      <c r="I198" s="4" t="s">
        <v>930</v>
      </c>
      <c r="J198" s="4" t="s">
        <v>30</v>
      </c>
      <c r="K198" s="4" t="s">
        <v>30</v>
      </c>
      <c r="L198" s="2" t="s">
        <v>324</v>
      </c>
      <c r="M198" s="2" t="s">
        <v>41</v>
      </c>
      <c r="N198" s="4" t="s">
        <v>474</v>
      </c>
      <c r="O198" s="4" t="s">
        <v>134</v>
      </c>
      <c r="P198" s="4" t="s">
        <v>34</v>
      </c>
      <c r="Q198" s="152">
        <v>1582</v>
      </c>
      <c r="R198" s="167">
        <v>1</v>
      </c>
      <c r="S198" s="169">
        <v>37430</v>
      </c>
      <c r="U198" s="152">
        <v>592.14300000000003</v>
      </c>
      <c r="V198" s="166">
        <v>2.5500000000000002E-4</v>
      </c>
      <c r="W198" s="166">
        <v>3.2860728564078701E-3</v>
      </c>
      <c r="X198" s="166">
        <v>5.5081734749341002E-4</v>
      </c>
    </row>
    <row r="199" spans="1:24">
      <c r="A199" s="4">
        <v>337</v>
      </c>
      <c r="B199" s="4">
        <v>9963</v>
      </c>
      <c r="C199" s="4" t="s">
        <v>1537</v>
      </c>
      <c r="D199" s="4" t="s">
        <v>1538</v>
      </c>
      <c r="E199" s="4" t="s">
        <v>1303</v>
      </c>
      <c r="F199" s="4" t="s">
        <v>1539</v>
      </c>
      <c r="G199" s="4" t="s">
        <v>1540</v>
      </c>
      <c r="H199" s="4" t="s">
        <v>318</v>
      </c>
      <c r="I199" s="4" t="s">
        <v>930</v>
      </c>
      <c r="J199" s="4" t="s">
        <v>30</v>
      </c>
      <c r="K199" s="4" t="s">
        <v>30</v>
      </c>
      <c r="L199" s="2" t="s">
        <v>324</v>
      </c>
      <c r="M199" s="2" t="s">
        <v>41</v>
      </c>
      <c r="N199" s="4" t="s">
        <v>474</v>
      </c>
      <c r="O199" s="4" t="s">
        <v>134</v>
      </c>
      <c r="P199" s="4" t="s">
        <v>34</v>
      </c>
      <c r="Q199" s="152">
        <v>300000</v>
      </c>
      <c r="R199" s="167">
        <v>1</v>
      </c>
      <c r="S199" s="169">
        <v>638.4</v>
      </c>
      <c r="U199" s="152">
        <v>1915.2</v>
      </c>
      <c r="V199" s="166">
        <v>3.2680000000000001E-3</v>
      </c>
      <c r="W199" s="166">
        <v>1.06283296195753E-2</v>
      </c>
      <c r="X199" s="166">
        <v>1.7815394195914601E-3</v>
      </c>
    </row>
    <row r="200" spans="1:24">
      <c r="A200" s="4">
        <v>337</v>
      </c>
      <c r="B200" s="4">
        <v>9963</v>
      </c>
      <c r="C200" s="4" t="s">
        <v>1541</v>
      </c>
      <c r="D200" s="4" t="s">
        <v>1542</v>
      </c>
      <c r="E200" s="4" t="s">
        <v>1303</v>
      </c>
      <c r="F200" s="4" t="s">
        <v>1543</v>
      </c>
      <c r="G200" s="4" t="s">
        <v>1544</v>
      </c>
      <c r="H200" s="4" t="s">
        <v>318</v>
      </c>
      <c r="I200" s="4" t="s">
        <v>930</v>
      </c>
      <c r="J200" s="4" t="s">
        <v>30</v>
      </c>
      <c r="K200" s="4" t="s">
        <v>30</v>
      </c>
      <c r="L200" s="2" t="s">
        <v>324</v>
      </c>
      <c r="M200" s="2" t="s">
        <v>41</v>
      </c>
      <c r="N200" s="4" t="s">
        <v>443</v>
      </c>
      <c r="O200" s="4" t="s">
        <v>134</v>
      </c>
      <c r="P200" s="4" t="s">
        <v>34</v>
      </c>
      <c r="Q200" s="152">
        <v>186000</v>
      </c>
      <c r="R200" s="167">
        <v>1</v>
      </c>
      <c r="S200" s="169">
        <v>665.7</v>
      </c>
      <c r="U200" s="152">
        <v>1238.202</v>
      </c>
      <c r="V200" s="166">
        <v>2.1459999999999999E-3</v>
      </c>
      <c r="W200" s="166">
        <v>6.8713549454978099E-3</v>
      </c>
      <c r="X200" s="166">
        <v>1.15178867607403E-3</v>
      </c>
    </row>
    <row r="201" spans="1:24">
      <c r="A201" s="4">
        <v>337</v>
      </c>
      <c r="B201" s="4">
        <v>9963</v>
      </c>
      <c r="C201" s="4" t="s">
        <v>1545</v>
      </c>
      <c r="D201" s="4" t="s">
        <v>1546</v>
      </c>
      <c r="E201" s="4" t="s">
        <v>1303</v>
      </c>
      <c r="F201" s="4" t="s">
        <v>1547</v>
      </c>
      <c r="G201" s="4" t="s">
        <v>1548</v>
      </c>
      <c r="H201" s="4" t="s">
        <v>318</v>
      </c>
      <c r="I201" s="4" t="s">
        <v>930</v>
      </c>
      <c r="J201" s="4" t="s">
        <v>30</v>
      </c>
      <c r="K201" s="4" t="s">
        <v>30</v>
      </c>
      <c r="L201" s="2" t="s">
        <v>324</v>
      </c>
      <c r="M201" s="2" t="s">
        <v>41</v>
      </c>
      <c r="N201" s="4" t="s">
        <v>441</v>
      </c>
      <c r="O201" s="4" t="s">
        <v>134</v>
      </c>
      <c r="P201" s="4" t="s">
        <v>34</v>
      </c>
      <c r="Q201" s="152">
        <v>72979</v>
      </c>
      <c r="R201" s="167">
        <v>1</v>
      </c>
      <c r="S201" s="169">
        <v>6881</v>
      </c>
      <c r="U201" s="152">
        <v>5021.6850000000004</v>
      </c>
      <c r="V201" s="166">
        <v>2.7799999999999998E-4</v>
      </c>
      <c r="W201" s="166">
        <v>2.7867650020568999E-2</v>
      </c>
      <c r="X201" s="166">
        <v>4.6712248133123201E-3</v>
      </c>
    </row>
    <row r="202" spans="1:24">
      <c r="A202" s="4">
        <v>337</v>
      </c>
      <c r="B202" s="4">
        <v>9963</v>
      </c>
      <c r="C202" s="4" t="s">
        <v>1789</v>
      </c>
      <c r="D202" s="4" t="s">
        <v>1790</v>
      </c>
      <c r="E202" s="4" t="s">
        <v>1303</v>
      </c>
      <c r="F202" s="4" t="s">
        <v>1791</v>
      </c>
      <c r="G202" s="4" t="s">
        <v>1792</v>
      </c>
      <c r="H202" s="4" t="s">
        <v>318</v>
      </c>
      <c r="I202" s="4" t="s">
        <v>930</v>
      </c>
      <c r="J202" s="4" t="s">
        <v>30</v>
      </c>
      <c r="K202" s="4" t="s">
        <v>30</v>
      </c>
      <c r="L202" s="2" t="s">
        <v>324</v>
      </c>
      <c r="M202" s="2" t="s">
        <v>41</v>
      </c>
      <c r="N202" s="4" t="s">
        <v>441</v>
      </c>
      <c r="O202" s="4" t="s">
        <v>134</v>
      </c>
      <c r="P202" s="4" t="s">
        <v>34</v>
      </c>
      <c r="Q202" s="152">
        <v>20682</v>
      </c>
      <c r="R202" s="167">
        <v>1</v>
      </c>
      <c r="S202" s="169">
        <v>5909</v>
      </c>
      <c r="U202" s="152">
        <v>1222.0989999999999</v>
      </c>
      <c r="V202" s="166">
        <v>9.2E-5</v>
      </c>
      <c r="W202" s="166">
        <v>6.7819940677311197E-3</v>
      </c>
      <c r="X202" s="166">
        <v>1.1368098476024901E-3</v>
      </c>
    </row>
    <row r="203" spans="1:24">
      <c r="A203" s="4">
        <v>337</v>
      </c>
      <c r="B203" s="4">
        <v>9963</v>
      </c>
      <c r="C203" s="4" t="s">
        <v>1549</v>
      </c>
      <c r="D203" s="4" t="s">
        <v>1550</v>
      </c>
      <c r="E203" s="4" t="s">
        <v>1303</v>
      </c>
      <c r="F203" s="4" t="s">
        <v>1551</v>
      </c>
      <c r="G203" s="4" t="s">
        <v>1552</v>
      </c>
      <c r="H203" s="4" t="s">
        <v>318</v>
      </c>
      <c r="I203" s="4" t="s">
        <v>930</v>
      </c>
      <c r="J203" s="4" t="s">
        <v>30</v>
      </c>
      <c r="K203" s="4" t="s">
        <v>30</v>
      </c>
      <c r="L203" s="2" t="s">
        <v>324</v>
      </c>
      <c r="M203" s="2" t="s">
        <v>41</v>
      </c>
      <c r="N203" s="4" t="s">
        <v>473</v>
      </c>
      <c r="O203" s="4" t="s">
        <v>134</v>
      </c>
      <c r="P203" s="4" t="s">
        <v>34</v>
      </c>
      <c r="Q203" s="152">
        <v>20440</v>
      </c>
      <c r="R203" s="167">
        <v>1</v>
      </c>
      <c r="S203" s="169">
        <v>6861</v>
      </c>
      <c r="T203" s="151">
        <v>12.734999999999999</v>
      </c>
      <c r="U203" s="152">
        <v>1415.124</v>
      </c>
      <c r="V203" s="166">
        <v>2.8400000000000002E-4</v>
      </c>
      <c r="W203" s="166">
        <v>7.8531757513084707E-3</v>
      </c>
      <c r="X203" s="166">
        <v>1.31636321705413E-3</v>
      </c>
    </row>
    <row r="204" spans="1:24">
      <c r="A204" s="4">
        <v>337</v>
      </c>
      <c r="B204" s="4">
        <v>9963</v>
      </c>
      <c r="C204" s="4" t="s">
        <v>1781</v>
      </c>
      <c r="D204" s="4" t="s">
        <v>1782</v>
      </c>
      <c r="E204" s="4" t="s">
        <v>1303</v>
      </c>
      <c r="F204" s="4" t="s">
        <v>1783</v>
      </c>
      <c r="G204" s="4" t="s">
        <v>1784</v>
      </c>
      <c r="H204" s="4" t="s">
        <v>318</v>
      </c>
      <c r="I204" s="4" t="s">
        <v>930</v>
      </c>
      <c r="J204" s="4" t="s">
        <v>30</v>
      </c>
      <c r="K204" s="4" t="s">
        <v>30</v>
      </c>
      <c r="L204" s="2" t="s">
        <v>324</v>
      </c>
      <c r="M204" s="2" t="s">
        <v>41</v>
      </c>
      <c r="N204" s="4" t="s">
        <v>447</v>
      </c>
      <c r="O204" s="4" t="s">
        <v>134</v>
      </c>
      <c r="P204" s="4" t="s">
        <v>34</v>
      </c>
      <c r="Q204" s="152">
        <v>1150</v>
      </c>
      <c r="R204" s="167">
        <v>1</v>
      </c>
      <c r="S204" s="169">
        <v>99210</v>
      </c>
      <c r="U204" s="152">
        <v>1140.915</v>
      </c>
      <c r="V204" s="166">
        <v>1.4899999999999999E-4</v>
      </c>
      <c r="W204" s="166">
        <v>6.3314644360473E-3</v>
      </c>
      <c r="X204" s="166">
        <v>1.0612912734456899E-3</v>
      </c>
    </row>
    <row r="205" spans="1:24">
      <c r="A205" s="4">
        <v>337</v>
      </c>
      <c r="B205" s="4">
        <v>9963</v>
      </c>
      <c r="C205" s="4" t="s">
        <v>1557</v>
      </c>
      <c r="D205" s="4" t="s">
        <v>1558</v>
      </c>
      <c r="E205" s="4" t="s">
        <v>1303</v>
      </c>
      <c r="F205" s="4" t="s">
        <v>1559</v>
      </c>
      <c r="G205" s="4" t="s">
        <v>1560</v>
      </c>
      <c r="H205" s="4" t="s">
        <v>318</v>
      </c>
      <c r="I205" s="4" t="s">
        <v>930</v>
      </c>
      <c r="J205" s="4" t="s">
        <v>30</v>
      </c>
      <c r="K205" s="4" t="s">
        <v>30</v>
      </c>
      <c r="L205" s="2" t="s">
        <v>324</v>
      </c>
      <c r="M205" s="2" t="s">
        <v>41</v>
      </c>
      <c r="N205" s="4" t="s">
        <v>473</v>
      </c>
      <c r="O205" s="4" t="s">
        <v>134</v>
      </c>
      <c r="P205" s="4" t="s">
        <v>34</v>
      </c>
      <c r="Q205" s="152">
        <v>5222</v>
      </c>
      <c r="R205" s="167">
        <v>1</v>
      </c>
      <c r="S205" s="169">
        <v>22740</v>
      </c>
      <c r="U205" s="152">
        <v>1187.4829999999999</v>
      </c>
      <c r="V205" s="166">
        <v>2.2800000000000001E-4</v>
      </c>
      <c r="W205" s="166">
        <v>6.5898906725022199E-3</v>
      </c>
      <c r="X205" s="166">
        <v>1.1046091365324001E-3</v>
      </c>
    </row>
    <row r="206" spans="1:24">
      <c r="A206" s="4">
        <v>337</v>
      </c>
      <c r="B206" s="4">
        <v>9963</v>
      </c>
      <c r="C206" s="4" t="s">
        <v>1561</v>
      </c>
      <c r="D206" s="4" t="s">
        <v>1562</v>
      </c>
      <c r="E206" s="4" t="s">
        <v>1303</v>
      </c>
      <c r="F206" s="4" t="s">
        <v>1563</v>
      </c>
      <c r="G206" s="4" t="s">
        <v>1564</v>
      </c>
      <c r="H206" s="4" t="s">
        <v>318</v>
      </c>
      <c r="I206" s="4" t="s">
        <v>930</v>
      </c>
      <c r="J206" s="4" t="s">
        <v>30</v>
      </c>
      <c r="K206" s="4" t="s">
        <v>30</v>
      </c>
      <c r="L206" s="2" t="s">
        <v>324</v>
      </c>
      <c r="M206" s="2" t="s">
        <v>41</v>
      </c>
      <c r="N206" s="4" t="s">
        <v>459</v>
      </c>
      <c r="O206" s="4" t="s">
        <v>134</v>
      </c>
      <c r="P206" s="4" t="s">
        <v>34</v>
      </c>
      <c r="Q206" s="152">
        <v>44598</v>
      </c>
      <c r="R206" s="167">
        <v>1</v>
      </c>
      <c r="S206" s="169">
        <v>1352</v>
      </c>
      <c r="U206" s="152">
        <v>602.96500000000003</v>
      </c>
      <c r="V206" s="166">
        <v>1.212E-3</v>
      </c>
      <c r="W206" s="166">
        <v>3.3461311319622198E-3</v>
      </c>
      <c r="X206" s="166">
        <v>5.6088442192585102E-4</v>
      </c>
    </row>
    <row r="207" spans="1:24">
      <c r="A207" s="4">
        <v>337</v>
      </c>
      <c r="B207" s="4">
        <v>9963</v>
      </c>
      <c r="C207" s="4" t="s">
        <v>1793</v>
      </c>
      <c r="D207" s="4" t="s">
        <v>1794</v>
      </c>
      <c r="E207" s="4" t="s">
        <v>1303</v>
      </c>
      <c r="F207" s="4" t="s">
        <v>1795</v>
      </c>
      <c r="G207" s="4" t="s">
        <v>1796</v>
      </c>
      <c r="H207" s="4" t="s">
        <v>318</v>
      </c>
      <c r="I207" s="4" t="s">
        <v>930</v>
      </c>
      <c r="J207" s="4" t="s">
        <v>30</v>
      </c>
      <c r="K207" s="4" t="s">
        <v>30</v>
      </c>
      <c r="L207" s="2" t="s">
        <v>324</v>
      </c>
      <c r="M207" s="2" t="s">
        <v>41</v>
      </c>
      <c r="N207" s="4" t="s">
        <v>164</v>
      </c>
      <c r="O207" s="4" t="s">
        <v>134</v>
      </c>
      <c r="P207" s="4" t="s">
        <v>34</v>
      </c>
      <c r="Q207" s="152">
        <v>6497.5</v>
      </c>
      <c r="R207" s="167">
        <v>1</v>
      </c>
      <c r="S207" s="169">
        <v>0</v>
      </c>
      <c r="U207" s="152">
        <v>0</v>
      </c>
      <c r="V207" s="166">
        <v>5.4100000000000003E-4</v>
      </c>
      <c r="W207" s="166">
        <v>3.6057629335416999E-11</v>
      </c>
      <c r="X207" s="166">
        <v>6.0440436397219794E-12</v>
      </c>
    </row>
    <row r="208" spans="1:24">
      <c r="A208" s="4">
        <v>337</v>
      </c>
      <c r="B208" s="4">
        <v>9963</v>
      </c>
      <c r="C208" s="4" t="s">
        <v>1565</v>
      </c>
      <c r="D208" s="4" t="s">
        <v>1566</v>
      </c>
      <c r="E208" s="4" t="s">
        <v>1303</v>
      </c>
      <c r="F208" s="4" t="s">
        <v>1567</v>
      </c>
      <c r="G208" s="4" t="s">
        <v>1568</v>
      </c>
      <c r="H208" s="4" t="s">
        <v>318</v>
      </c>
      <c r="I208" s="4" t="s">
        <v>930</v>
      </c>
      <c r="J208" s="4" t="s">
        <v>30</v>
      </c>
      <c r="K208" s="4" t="s">
        <v>295</v>
      </c>
      <c r="L208" s="2" t="s">
        <v>324</v>
      </c>
      <c r="M208" s="2" t="s">
        <v>41</v>
      </c>
      <c r="N208" s="4" t="s">
        <v>454</v>
      </c>
      <c r="O208" s="4" t="s">
        <v>134</v>
      </c>
      <c r="P208" s="4" t="s">
        <v>34</v>
      </c>
      <c r="Q208" s="152">
        <v>14959</v>
      </c>
      <c r="R208" s="167">
        <v>1</v>
      </c>
      <c r="S208" s="169">
        <v>13000</v>
      </c>
      <c r="U208" s="152">
        <v>1944.67</v>
      </c>
      <c r="V208" s="166">
        <v>1.34E-4</v>
      </c>
      <c r="W208" s="166">
        <v>1.07918722646719E-2</v>
      </c>
      <c r="X208" s="166">
        <v>1.80895272718094E-3</v>
      </c>
    </row>
    <row r="209" spans="1:24">
      <c r="A209" s="4">
        <v>337</v>
      </c>
      <c r="B209" s="4">
        <v>9963</v>
      </c>
      <c r="C209" s="4" t="s">
        <v>1569</v>
      </c>
      <c r="D209" s="4" t="s">
        <v>1570</v>
      </c>
      <c r="E209" s="4" t="s">
        <v>1303</v>
      </c>
      <c r="F209" s="4" t="s">
        <v>1571</v>
      </c>
      <c r="G209" s="4" t="s">
        <v>1572</v>
      </c>
      <c r="H209" s="4" t="s">
        <v>318</v>
      </c>
      <c r="I209" s="4" t="s">
        <v>930</v>
      </c>
      <c r="J209" s="4" t="s">
        <v>30</v>
      </c>
      <c r="K209" s="4" t="s">
        <v>80</v>
      </c>
      <c r="L209" s="2" t="s">
        <v>324</v>
      </c>
      <c r="M209" s="2" t="s">
        <v>41</v>
      </c>
      <c r="N209" s="4" t="s">
        <v>463</v>
      </c>
      <c r="O209" s="4" t="s">
        <v>134</v>
      </c>
      <c r="P209" s="4" t="s">
        <v>34</v>
      </c>
      <c r="Q209" s="152">
        <v>71979</v>
      </c>
      <c r="R209" s="167">
        <v>1</v>
      </c>
      <c r="S209" s="169">
        <v>5587</v>
      </c>
      <c r="U209" s="152">
        <v>4021.4670000000001</v>
      </c>
      <c r="V209" s="166">
        <v>5.7000000000000003E-5</v>
      </c>
      <c r="W209" s="166">
        <v>2.2316976796468099E-2</v>
      </c>
      <c r="X209" s="166">
        <v>3.7408111445648398E-3</v>
      </c>
    </row>
    <row r="210" spans="1:24">
      <c r="A210" s="4">
        <v>337</v>
      </c>
      <c r="B210" s="4">
        <v>9963</v>
      </c>
      <c r="C210" s="4" t="s">
        <v>1573</v>
      </c>
      <c r="D210" s="4" t="s">
        <v>1574</v>
      </c>
      <c r="E210" s="4" t="s">
        <v>1303</v>
      </c>
      <c r="F210" s="4" t="s">
        <v>1575</v>
      </c>
      <c r="G210" s="4" t="s">
        <v>1576</v>
      </c>
      <c r="H210" s="4" t="s">
        <v>318</v>
      </c>
      <c r="I210" s="4" t="s">
        <v>930</v>
      </c>
      <c r="J210" s="4" t="s">
        <v>30</v>
      </c>
      <c r="K210" s="4" t="s">
        <v>30</v>
      </c>
      <c r="L210" s="2" t="s">
        <v>324</v>
      </c>
      <c r="M210" s="2" t="s">
        <v>41</v>
      </c>
      <c r="N210" s="4" t="s">
        <v>472</v>
      </c>
      <c r="O210" s="4" t="s">
        <v>134</v>
      </c>
      <c r="P210" s="4" t="s">
        <v>34</v>
      </c>
      <c r="Q210" s="152">
        <v>174505</v>
      </c>
      <c r="R210" s="167">
        <v>1</v>
      </c>
      <c r="S210" s="169">
        <v>692.7</v>
      </c>
      <c r="U210" s="152">
        <v>1208.796</v>
      </c>
      <c r="V210" s="166">
        <v>1.604E-3</v>
      </c>
      <c r="W210" s="166">
        <v>6.7081682151465503E-3</v>
      </c>
      <c r="X210" s="166">
        <v>1.12443502754402E-3</v>
      </c>
    </row>
    <row r="211" spans="1:24">
      <c r="A211" s="4">
        <v>337</v>
      </c>
      <c r="B211" s="4">
        <v>9963</v>
      </c>
      <c r="C211" s="4" t="s">
        <v>1577</v>
      </c>
      <c r="D211" s="4" t="s">
        <v>1578</v>
      </c>
      <c r="E211" s="4" t="s">
        <v>309</v>
      </c>
      <c r="F211" s="4" t="s">
        <v>1579</v>
      </c>
      <c r="G211" s="4" t="s">
        <v>1580</v>
      </c>
      <c r="H211" s="4" t="s">
        <v>318</v>
      </c>
      <c r="I211" s="4" t="s">
        <v>930</v>
      </c>
      <c r="J211" s="4" t="s">
        <v>30</v>
      </c>
      <c r="K211" s="4" t="s">
        <v>30</v>
      </c>
      <c r="L211" s="2" t="s">
        <v>324</v>
      </c>
      <c r="M211" s="2" t="s">
        <v>41</v>
      </c>
      <c r="N211" s="4" t="s">
        <v>450</v>
      </c>
      <c r="O211" s="4" t="s">
        <v>134</v>
      </c>
      <c r="P211" s="4" t="s">
        <v>34</v>
      </c>
      <c r="Q211" s="152">
        <v>775519</v>
      </c>
      <c r="R211" s="167">
        <v>1</v>
      </c>
      <c r="S211" s="169">
        <v>203</v>
      </c>
      <c r="U211" s="152">
        <v>1574.3040000000001</v>
      </c>
      <c r="V211" s="166">
        <v>2.9799999999999998E-4</v>
      </c>
      <c r="W211" s="166">
        <v>8.7365378358574396E-3</v>
      </c>
      <c r="X211" s="166">
        <v>1.4644339329357599E-3</v>
      </c>
    </row>
    <row r="212" spans="1:24">
      <c r="A212" s="4">
        <v>337</v>
      </c>
      <c r="B212" s="4">
        <v>9963</v>
      </c>
      <c r="C212" s="4" t="s">
        <v>1581</v>
      </c>
      <c r="D212" s="4" t="s">
        <v>1582</v>
      </c>
      <c r="E212" s="4" t="s">
        <v>1303</v>
      </c>
      <c r="F212" s="4" t="s">
        <v>1583</v>
      </c>
      <c r="G212" s="4" t="s">
        <v>1584</v>
      </c>
      <c r="H212" s="4" t="s">
        <v>318</v>
      </c>
      <c r="I212" s="4" t="s">
        <v>930</v>
      </c>
      <c r="J212" s="4" t="s">
        <v>30</v>
      </c>
      <c r="K212" s="4" t="s">
        <v>30</v>
      </c>
      <c r="L212" s="2" t="s">
        <v>324</v>
      </c>
      <c r="M212" s="2" t="s">
        <v>41</v>
      </c>
      <c r="N212" s="4" t="s">
        <v>457</v>
      </c>
      <c r="O212" s="4" t="s">
        <v>134</v>
      </c>
      <c r="P212" s="4" t="s">
        <v>34</v>
      </c>
      <c r="Q212" s="152">
        <v>1870</v>
      </c>
      <c r="R212" s="167">
        <v>1</v>
      </c>
      <c r="S212" s="169">
        <v>7795</v>
      </c>
      <c r="U212" s="152">
        <v>145.767</v>
      </c>
      <c r="V212" s="166">
        <v>3.1000000000000001E-5</v>
      </c>
      <c r="W212" s="166">
        <v>8.0892565240801297E-4</v>
      </c>
      <c r="X212" s="166">
        <v>1.3559354939738901E-4</v>
      </c>
    </row>
    <row r="213" spans="1:24">
      <c r="A213" s="4">
        <v>337</v>
      </c>
      <c r="B213" s="4">
        <v>9963</v>
      </c>
      <c r="C213" s="4" t="s">
        <v>1585</v>
      </c>
      <c r="D213" s="4" t="s">
        <v>1586</v>
      </c>
      <c r="E213" s="4" t="s">
        <v>1303</v>
      </c>
      <c r="F213" s="4" t="s">
        <v>1587</v>
      </c>
      <c r="G213" s="4" t="s">
        <v>1588</v>
      </c>
      <c r="H213" s="4" t="s">
        <v>318</v>
      </c>
      <c r="I213" s="4" t="s">
        <v>930</v>
      </c>
      <c r="J213" s="4" t="s">
        <v>30</v>
      </c>
      <c r="K213" s="4" t="s">
        <v>30</v>
      </c>
      <c r="L213" s="2" t="s">
        <v>324</v>
      </c>
      <c r="M213" s="2" t="s">
        <v>41</v>
      </c>
      <c r="N213" s="4" t="s">
        <v>441</v>
      </c>
      <c r="O213" s="4" t="s">
        <v>134</v>
      </c>
      <c r="P213" s="4" t="s">
        <v>34</v>
      </c>
      <c r="Q213" s="152">
        <v>1133</v>
      </c>
      <c r="R213" s="167">
        <v>1</v>
      </c>
      <c r="S213" s="169">
        <v>9094</v>
      </c>
      <c r="U213" s="152">
        <v>103.035</v>
      </c>
      <c r="V213" s="166">
        <v>1.4E-5</v>
      </c>
      <c r="W213" s="166">
        <v>5.71788928007276E-4</v>
      </c>
      <c r="X213" s="166">
        <v>9.5844271996864403E-5</v>
      </c>
    </row>
    <row r="214" spans="1:24">
      <c r="A214" s="4">
        <v>337</v>
      </c>
      <c r="B214" s="4">
        <v>9963</v>
      </c>
      <c r="C214" s="4" t="s">
        <v>1174</v>
      </c>
      <c r="D214" s="4" t="s">
        <v>1589</v>
      </c>
      <c r="E214" s="4" t="s">
        <v>1303</v>
      </c>
      <c r="F214" s="4" t="s">
        <v>1590</v>
      </c>
      <c r="G214" s="4" t="s">
        <v>1591</v>
      </c>
      <c r="H214" s="4" t="s">
        <v>318</v>
      </c>
      <c r="I214" s="4" t="s">
        <v>930</v>
      </c>
      <c r="J214" s="4" t="s">
        <v>30</v>
      </c>
      <c r="K214" s="4" t="s">
        <v>30</v>
      </c>
      <c r="L214" s="2" t="s">
        <v>324</v>
      </c>
      <c r="M214" s="2" t="s">
        <v>41</v>
      </c>
      <c r="N214" s="4" t="s">
        <v>444</v>
      </c>
      <c r="O214" s="4" t="s">
        <v>134</v>
      </c>
      <c r="P214" s="4" t="s">
        <v>34</v>
      </c>
      <c r="Q214" s="152">
        <v>209337.11</v>
      </c>
      <c r="R214" s="167">
        <v>1</v>
      </c>
      <c r="S214" s="169">
        <v>4982</v>
      </c>
      <c r="U214" s="152">
        <v>10429.174999999999</v>
      </c>
      <c r="V214" s="166">
        <v>1.2999999999999999E-4</v>
      </c>
      <c r="W214" s="166">
        <v>5.7876309340675003E-2</v>
      </c>
      <c r="X214" s="166">
        <v>9.7013293943175594E-3</v>
      </c>
    </row>
    <row r="215" spans="1:24">
      <c r="A215" s="4">
        <v>337</v>
      </c>
      <c r="B215" s="4">
        <v>9963</v>
      </c>
      <c r="C215" s="4" t="s">
        <v>1592</v>
      </c>
      <c r="D215" s="4" t="s">
        <v>1593</v>
      </c>
      <c r="E215" s="4" t="s">
        <v>1303</v>
      </c>
      <c r="F215" s="4" t="s">
        <v>1594</v>
      </c>
      <c r="G215" s="4" t="s">
        <v>1595</v>
      </c>
      <c r="H215" s="4" t="s">
        <v>318</v>
      </c>
      <c r="I215" s="4" t="s">
        <v>930</v>
      </c>
      <c r="J215" s="4" t="s">
        <v>30</v>
      </c>
      <c r="K215" s="4" t="s">
        <v>30</v>
      </c>
      <c r="L215" s="2" t="s">
        <v>324</v>
      </c>
      <c r="M215" s="2" t="s">
        <v>41</v>
      </c>
      <c r="N215" s="4" t="s">
        <v>460</v>
      </c>
      <c r="O215" s="4" t="s">
        <v>134</v>
      </c>
      <c r="P215" s="4" t="s">
        <v>34</v>
      </c>
      <c r="Q215" s="152">
        <v>101430.85</v>
      </c>
      <c r="R215" s="167">
        <v>1</v>
      </c>
      <c r="S215" s="169">
        <v>992.1</v>
      </c>
      <c r="T215" s="151">
        <v>9.6310000000000002</v>
      </c>
      <c r="U215" s="152">
        <v>1015.927</v>
      </c>
      <c r="V215" s="166">
        <v>1.3799999999999999E-4</v>
      </c>
      <c r="W215" s="166">
        <v>5.63784640877453E-3</v>
      </c>
      <c r="X215" s="166">
        <v>9.4502579223124496E-4</v>
      </c>
    </row>
    <row r="216" spans="1:24">
      <c r="A216" s="4">
        <v>337</v>
      </c>
      <c r="B216" s="4">
        <v>9963</v>
      </c>
      <c r="C216" s="4" t="s">
        <v>1596</v>
      </c>
      <c r="D216" s="4" t="s">
        <v>1597</v>
      </c>
      <c r="E216" s="4" t="s">
        <v>1303</v>
      </c>
      <c r="F216" s="4" t="s">
        <v>1598</v>
      </c>
      <c r="G216" s="4" t="s">
        <v>1599</v>
      </c>
      <c r="H216" s="4" t="s">
        <v>318</v>
      </c>
      <c r="I216" s="4" t="s">
        <v>930</v>
      </c>
      <c r="J216" s="4" t="s">
        <v>30</v>
      </c>
      <c r="K216" s="4" t="s">
        <v>30</v>
      </c>
      <c r="L216" s="2" t="s">
        <v>324</v>
      </c>
      <c r="M216" s="2" t="s">
        <v>41</v>
      </c>
      <c r="N216" s="4" t="s">
        <v>444</v>
      </c>
      <c r="O216" s="4" t="s">
        <v>134</v>
      </c>
      <c r="P216" s="4" t="s">
        <v>34</v>
      </c>
      <c r="Q216" s="152">
        <v>35798.65</v>
      </c>
      <c r="R216" s="167">
        <v>1</v>
      </c>
      <c r="S216" s="169">
        <v>16650</v>
      </c>
      <c r="U216" s="152">
        <v>5960.4750000000004</v>
      </c>
      <c r="V216" s="166">
        <v>1.3799999999999999E-4</v>
      </c>
      <c r="W216" s="166">
        <v>3.3077430754287998E-2</v>
      </c>
      <c r="X216" s="166">
        <v>5.5444974795508502E-3</v>
      </c>
    </row>
    <row r="217" spans="1:24">
      <c r="A217" s="4">
        <v>337</v>
      </c>
      <c r="B217" s="4">
        <v>9963</v>
      </c>
      <c r="C217" s="4" t="s">
        <v>1600</v>
      </c>
      <c r="D217" s="4" t="s">
        <v>1601</v>
      </c>
      <c r="E217" s="4" t="s">
        <v>1303</v>
      </c>
      <c r="F217" s="4" t="s">
        <v>1602</v>
      </c>
      <c r="G217" s="4" t="s">
        <v>1603</v>
      </c>
      <c r="H217" s="4" t="s">
        <v>318</v>
      </c>
      <c r="I217" s="4" t="s">
        <v>930</v>
      </c>
      <c r="J217" s="4" t="s">
        <v>30</v>
      </c>
      <c r="K217" s="4" t="s">
        <v>30</v>
      </c>
      <c r="L217" s="2" t="s">
        <v>324</v>
      </c>
      <c r="M217" s="2" t="s">
        <v>41</v>
      </c>
      <c r="N217" s="4" t="s">
        <v>473</v>
      </c>
      <c r="O217" s="4" t="s">
        <v>134</v>
      </c>
      <c r="P217" s="4" t="s">
        <v>34</v>
      </c>
      <c r="Q217" s="152">
        <v>14040</v>
      </c>
      <c r="R217" s="167">
        <v>1</v>
      </c>
      <c r="S217" s="169">
        <v>8638</v>
      </c>
      <c r="T217" s="151">
        <v>11.513</v>
      </c>
      <c r="U217" s="152">
        <v>1224.288</v>
      </c>
      <c r="V217" s="166">
        <v>2.1800000000000001E-4</v>
      </c>
      <c r="W217" s="166">
        <v>6.7941397312503296E-3</v>
      </c>
      <c r="X217" s="166">
        <v>1.1388457252155301E-3</v>
      </c>
    </row>
    <row r="218" spans="1:24">
      <c r="A218" s="4">
        <v>337</v>
      </c>
      <c r="B218" s="4">
        <v>9963</v>
      </c>
      <c r="C218" s="4" t="s">
        <v>1604</v>
      </c>
      <c r="D218" s="4" t="s">
        <v>1605</v>
      </c>
      <c r="E218" s="4" t="s">
        <v>1303</v>
      </c>
      <c r="F218" s="4" t="s">
        <v>1606</v>
      </c>
      <c r="G218" s="4" t="s">
        <v>1607</v>
      </c>
      <c r="H218" s="4" t="s">
        <v>318</v>
      </c>
      <c r="I218" s="4" t="s">
        <v>930</v>
      </c>
      <c r="J218" s="4" t="s">
        <v>30</v>
      </c>
      <c r="K218" s="4" t="s">
        <v>30</v>
      </c>
      <c r="L218" s="2" t="s">
        <v>324</v>
      </c>
      <c r="M218" s="2" t="s">
        <v>41</v>
      </c>
      <c r="N218" s="4" t="s">
        <v>460</v>
      </c>
      <c r="O218" s="4" t="s">
        <v>134</v>
      </c>
      <c r="P218" s="4" t="s">
        <v>34</v>
      </c>
      <c r="Q218" s="152">
        <v>4544</v>
      </c>
      <c r="R218" s="167">
        <v>1</v>
      </c>
      <c r="S218" s="169">
        <v>28940</v>
      </c>
      <c r="T218" s="151">
        <v>8.5950000000000006</v>
      </c>
      <c r="U218" s="152">
        <v>1323.6279999999999</v>
      </c>
      <c r="V218" s="166">
        <v>9.5000000000000005E-5</v>
      </c>
      <c r="W218" s="166">
        <v>7.3454238966246402E-3</v>
      </c>
      <c r="X218" s="166">
        <v>1.23125295261296E-3</v>
      </c>
    </row>
    <row r="219" spans="1:24">
      <c r="A219" s="4">
        <v>337</v>
      </c>
      <c r="B219" s="4">
        <v>9963</v>
      </c>
      <c r="C219" s="4" t="s">
        <v>1608</v>
      </c>
      <c r="D219" s="4" t="s">
        <v>1609</v>
      </c>
      <c r="E219" s="4" t="s">
        <v>1303</v>
      </c>
      <c r="F219" s="4" t="s">
        <v>1610</v>
      </c>
      <c r="G219" s="4" t="s">
        <v>1611</v>
      </c>
      <c r="H219" s="4" t="s">
        <v>318</v>
      </c>
      <c r="I219" s="4" t="s">
        <v>930</v>
      </c>
      <c r="J219" s="4" t="s">
        <v>30</v>
      </c>
      <c r="K219" s="4" t="s">
        <v>30</v>
      </c>
      <c r="L219" s="2" t="s">
        <v>324</v>
      </c>
      <c r="M219" s="2" t="s">
        <v>41</v>
      </c>
      <c r="N219" s="4" t="s">
        <v>441</v>
      </c>
      <c r="O219" s="4" t="s">
        <v>134</v>
      </c>
      <c r="P219" s="4" t="s">
        <v>34</v>
      </c>
      <c r="Q219" s="152">
        <v>10858</v>
      </c>
      <c r="R219" s="167">
        <v>1</v>
      </c>
      <c r="S219" s="169">
        <v>18600</v>
      </c>
      <c r="T219" s="151">
        <v>26.123000000000001</v>
      </c>
      <c r="U219" s="152">
        <v>2045.711</v>
      </c>
      <c r="V219" s="166">
        <v>1.7200000000000001E-4</v>
      </c>
      <c r="W219" s="166">
        <v>1.13525950660025E-2</v>
      </c>
      <c r="X219" s="166">
        <v>1.9029420754407399E-3</v>
      </c>
    </row>
    <row r="220" spans="1:24">
      <c r="A220" s="4">
        <v>337</v>
      </c>
      <c r="B220" s="4">
        <v>9963</v>
      </c>
      <c r="C220" s="4" t="s">
        <v>1616</v>
      </c>
      <c r="D220" s="4" t="s">
        <v>1617</v>
      </c>
      <c r="E220" s="4" t="s">
        <v>309</v>
      </c>
      <c r="F220" s="4" t="s">
        <v>1618</v>
      </c>
      <c r="G220" s="4" t="s">
        <v>1619</v>
      </c>
      <c r="H220" s="4" t="s">
        <v>318</v>
      </c>
      <c r="I220" s="4" t="s">
        <v>930</v>
      </c>
      <c r="J220" s="4" t="s">
        <v>30</v>
      </c>
      <c r="K220" s="4" t="s">
        <v>80</v>
      </c>
      <c r="L220" s="2" t="s">
        <v>324</v>
      </c>
      <c r="M220" s="2" t="s">
        <v>41</v>
      </c>
      <c r="N220" s="4" t="s">
        <v>450</v>
      </c>
      <c r="O220" s="4" t="s">
        <v>134</v>
      </c>
      <c r="P220" s="4" t="s">
        <v>34</v>
      </c>
      <c r="Q220" s="152">
        <v>50063</v>
      </c>
      <c r="R220" s="167">
        <v>1</v>
      </c>
      <c r="S220" s="169">
        <v>8700</v>
      </c>
      <c r="U220" s="152">
        <v>4355.4809999999998</v>
      </c>
      <c r="V220" s="166">
        <v>4.9100000000000001E-4</v>
      </c>
      <c r="W220" s="166">
        <v>2.4170576294798199E-2</v>
      </c>
      <c r="X220" s="166">
        <v>4.0515147727556598E-3</v>
      </c>
    </row>
    <row r="221" spans="1:24">
      <c r="A221" s="4">
        <v>337</v>
      </c>
      <c r="B221" s="4">
        <v>9963</v>
      </c>
      <c r="C221" s="4" t="s">
        <v>1620</v>
      </c>
      <c r="D221" s="4" t="s">
        <v>1621</v>
      </c>
      <c r="E221" s="4" t="s">
        <v>1303</v>
      </c>
      <c r="F221" s="4" t="s">
        <v>1622</v>
      </c>
      <c r="G221" s="4" t="s">
        <v>1623</v>
      </c>
      <c r="H221" s="4" t="s">
        <v>318</v>
      </c>
      <c r="I221" s="4" t="s">
        <v>930</v>
      </c>
      <c r="J221" s="4" t="s">
        <v>30</v>
      </c>
      <c r="K221" s="4" t="s">
        <v>295</v>
      </c>
      <c r="L221" s="2" t="s">
        <v>324</v>
      </c>
      <c r="M221" s="2" t="s">
        <v>41</v>
      </c>
      <c r="N221" s="4" t="s">
        <v>454</v>
      </c>
      <c r="O221" s="4" t="s">
        <v>134</v>
      </c>
      <c r="P221" s="4" t="s">
        <v>34</v>
      </c>
      <c r="Q221" s="152">
        <v>4496</v>
      </c>
      <c r="R221" s="167">
        <v>1</v>
      </c>
      <c r="S221" s="169">
        <v>68020</v>
      </c>
      <c r="U221" s="152">
        <v>3058.1790000000001</v>
      </c>
      <c r="V221" s="166">
        <v>1.54E-4</v>
      </c>
      <c r="W221" s="166">
        <v>1.697124925508E-2</v>
      </c>
      <c r="X221" s="166">
        <v>2.8447508338422501E-3</v>
      </c>
    </row>
    <row r="222" spans="1:24">
      <c r="A222" s="4">
        <v>337</v>
      </c>
      <c r="B222" s="4">
        <v>9963</v>
      </c>
      <c r="C222" s="4" t="s">
        <v>1624</v>
      </c>
      <c r="D222" s="4" t="s">
        <v>1625</v>
      </c>
      <c r="E222" s="4" t="s">
        <v>1303</v>
      </c>
      <c r="F222" s="4" t="s">
        <v>1626</v>
      </c>
      <c r="G222" s="4" t="s">
        <v>1627</v>
      </c>
      <c r="H222" s="4" t="s">
        <v>318</v>
      </c>
      <c r="I222" s="4" t="s">
        <v>930</v>
      </c>
      <c r="J222" s="4" t="s">
        <v>30</v>
      </c>
      <c r="K222" s="4" t="s">
        <v>30</v>
      </c>
      <c r="L222" s="2" t="s">
        <v>324</v>
      </c>
      <c r="M222" s="2" t="s">
        <v>41</v>
      </c>
      <c r="N222" s="4" t="s">
        <v>437</v>
      </c>
      <c r="O222" s="4" t="s">
        <v>134</v>
      </c>
      <c r="P222" s="4" t="s">
        <v>34</v>
      </c>
      <c r="Q222" s="152">
        <v>22600</v>
      </c>
      <c r="R222" s="167">
        <v>1</v>
      </c>
      <c r="S222" s="169">
        <v>8514</v>
      </c>
      <c r="U222" s="152">
        <v>1924.164</v>
      </c>
      <c r="V222" s="166">
        <v>6.3599999999999996E-4</v>
      </c>
      <c r="W222" s="166">
        <v>1.06780749969301E-2</v>
      </c>
      <c r="X222" s="166">
        <v>1.7898778277771401E-3</v>
      </c>
    </row>
    <row r="223" spans="1:24">
      <c r="A223" s="4">
        <v>337</v>
      </c>
      <c r="B223" s="4">
        <v>9963</v>
      </c>
      <c r="C223" s="4" t="s">
        <v>1628</v>
      </c>
      <c r="D223" s="4" t="s">
        <v>1629</v>
      </c>
      <c r="E223" s="4" t="s">
        <v>309</v>
      </c>
      <c r="F223" s="4" t="s">
        <v>1630</v>
      </c>
      <c r="G223" s="4" t="s">
        <v>1631</v>
      </c>
      <c r="H223" s="4" t="s">
        <v>318</v>
      </c>
      <c r="I223" s="4" t="s">
        <v>930</v>
      </c>
      <c r="J223" s="4" t="s">
        <v>30</v>
      </c>
      <c r="K223" s="4" t="s">
        <v>30</v>
      </c>
      <c r="L223" s="2" t="s">
        <v>324</v>
      </c>
      <c r="M223" s="2" t="s">
        <v>41</v>
      </c>
      <c r="N223" s="4" t="s">
        <v>450</v>
      </c>
      <c r="O223" s="4" t="s">
        <v>134</v>
      </c>
      <c r="P223" s="4" t="s">
        <v>34</v>
      </c>
      <c r="Q223" s="152">
        <v>291899</v>
      </c>
      <c r="R223" s="167">
        <v>1</v>
      </c>
      <c r="S223" s="169">
        <v>1249</v>
      </c>
      <c r="T223" s="151">
        <v>74.225999999999999</v>
      </c>
      <c r="U223" s="152">
        <v>3720.0439999999999</v>
      </c>
      <c r="V223" s="166">
        <v>2.4899999999999998E-4</v>
      </c>
      <c r="W223" s="166">
        <v>2.0644243032819899E-2</v>
      </c>
      <c r="X223" s="166">
        <v>3.46042455089614E-3</v>
      </c>
    </row>
    <row r="224" spans="1:24">
      <c r="A224" s="4">
        <v>337</v>
      </c>
      <c r="B224" s="4">
        <v>9963</v>
      </c>
      <c r="C224" s="4" t="s">
        <v>1632</v>
      </c>
      <c r="D224" s="4" t="s">
        <v>1633</v>
      </c>
      <c r="E224" s="4" t="s">
        <v>1303</v>
      </c>
      <c r="F224" s="4" t="s">
        <v>1634</v>
      </c>
      <c r="G224" s="4" t="s">
        <v>1635</v>
      </c>
      <c r="H224" s="4" t="s">
        <v>318</v>
      </c>
      <c r="I224" s="4" t="s">
        <v>930</v>
      </c>
      <c r="J224" s="4" t="s">
        <v>30</v>
      </c>
      <c r="K224" s="4" t="s">
        <v>80</v>
      </c>
      <c r="L224" s="2" t="s">
        <v>324</v>
      </c>
      <c r="M224" s="2" t="s">
        <v>41</v>
      </c>
      <c r="N224" s="4" t="s">
        <v>477</v>
      </c>
      <c r="O224" s="4" t="s">
        <v>134</v>
      </c>
      <c r="P224" s="4" t="s">
        <v>34</v>
      </c>
      <c r="Q224" s="152">
        <v>1336</v>
      </c>
      <c r="R224" s="167">
        <v>1</v>
      </c>
      <c r="S224" s="169">
        <v>56600</v>
      </c>
      <c r="U224" s="152">
        <v>756.17600000000004</v>
      </c>
      <c r="V224" s="166">
        <v>1.8E-5</v>
      </c>
      <c r="W224" s="166">
        <v>4.1963699761967399E-3</v>
      </c>
      <c r="X224" s="166">
        <v>7.0340296164838798E-4</v>
      </c>
    </row>
    <row r="225" spans="1:24">
      <c r="A225" s="4">
        <v>337</v>
      </c>
      <c r="B225" s="4">
        <v>9963</v>
      </c>
      <c r="C225" s="4" t="s">
        <v>1636</v>
      </c>
      <c r="D225" s="4" t="s">
        <v>1637</v>
      </c>
      <c r="E225" s="4" t="s">
        <v>1303</v>
      </c>
      <c r="F225" s="4" t="s">
        <v>1638</v>
      </c>
      <c r="G225" s="4" t="s">
        <v>1639</v>
      </c>
      <c r="H225" s="4" t="s">
        <v>318</v>
      </c>
      <c r="I225" s="4" t="s">
        <v>930</v>
      </c>
      <c r="J225" s="4" t="s">
        <v>30</v>
      </c>
      <c r="K225" s="4" t="s">
        <v>30</v>
      </c>
      <c r="L225" s="2" t="s">
        <v>324</v>
      </c>
      <c r="M225" s="2" t="s">
        <v>41</v>
      </c>
      <c r="N225" s="4" t="s">
        <v>460</v>
      </c>
      <c r="O225" s="4" t="s">
        <v>134</v>
      </c>
      <c r="P225" s="4" t="s">
        <v>34</v>
      </c>
      <c r="Q225" s="152">
        <v>3776</v>
      </c>
      <c r="R225" s="167">
        <v>1</v>
      </c>
      <c r="S225" s="169">
        <v>21700</v>
      </c>
      <c r="U225" s="152">
        <v>819.39200000000005</v>
      </c>
      <c r="V225" s="166">
        <v>5.1099999999999995E-4</v>
      </c>
      <c r="W225" s="166">
        <v>4.5471847658954999E-3</v>
      </c>
      <c r="X225" s="166">
        <v>7.6220715752813701E-4</v>
      </c>
    </row>
    <row r="226" spans="1:24">
      <c r="A226" s="4">
        <v>337</v>
      </c>
      <c r="B226" s="4">
        <v>9963</v>
      </c>
      <c r="C226" s="4" t="s">
        <v>1640</v>
      </c>
      <c r="D226" s="4" t="s">
        <v>1641</v>
      </c>
      <c r="E226" s="4" t="s">
        <v>1303</v>
      </c>
      <c r="F226" s="4" t="s">
        <v>1640</v>
      </c>
      <c r="G226" s="4" t="s">
        <v>1642</v>
      </c>
      <c r="H226" s="4" t="s">
        <v>318</v>
      </c>
      <c r="I226" s="4" t="s">
        <v>930</v>
      </c>
      <c r="J226" s="4" t="s">
        <v>30</v>
      </c>
      <c r="K226" s="4" t="s">
        <v>30</v>
      </c>
      <c r="L226" s="2" t="s">
        <v>324</v>
      </c>
      <c r="M226" s="2" t="s">
        <v>41</v>
      </c>
      <c r="N226" s="4" t="s">
        <v>435</v>
      </c>
      <c r="O226" s="4" t="s">
        <v>134</v>
      </c>
      <c r="P226" s="4" t="s">
        <v>34</v>
      </c>
      <c r="Q226" s="152">
        <v>67985</v>
      </c>
      <c r="R226" s="167">
        <v>1</v>
      </c>
      <c r="S226" s="169">
        <v>8478</v>
      </c>
      <c r="U226" s="152">
        <v>5763.768</v>
      </c>
      <c r="V226" s="166">
        <v>8.4500000000000005E-4</v>
      </c>
      <c r="W226" s="166">
        <v>3.1985813149153802E-2</v>
      </c>
      <c r="X226" s="166">
        <v>5.3615186047627798E-3</v>
      </c>
    </row>
    <row r="227" spans="1:24">
      <c r="A227" s="4">
        <v>337</v>
      </c>
      <c r="B227" s="4">
        <v>9963</v>
      </c>
      <c r="C227" s="4" t="s">
        <v>1643</v>
      </c>
      <c r="D227" s="4" t="s">
        <v>1644</v>
      </c>
      <c r="E227" s="4" t="s">
        <v>1303</v>
      </c>
      <c r="F227" s="4" t="s">
        <v>1645</v>
      </c>
      <c r="G227" s="4" t="s">
        <v>1646</v>
      </c>
      <c r="H227" s="4" t="s">
        <v>318</v>
      </c>
      <c r="I227" s="4" t="s">
        <v>930</v>
      </c>
      <c r="J227" s="4" t="s">
        <v>30</v>
      </c>
      <c r="K227" s="4" t="s">
        <v>30</v>
      </c>
      <c r="L227" s="2" t="s">
        <v>324</v>
      </c>
      <c r="M227" s="2" t="s">
        <v>41</v>
      </c>
      <c r="N227" s="4" t="s">
        <v>437</v>
      </c>
      <c r="O227" s="4" t="s">
        <v>134</v>
      </c>
      <c r="P227" s="4" t="s">
        <v>34</v>
      </c>
      <c r="Q227" s="152">
        <v>31933</v>
      </c>
      <c r="R227" s="167">
        <v>1</v>
      </c>
      <c r="S227" s="169">
        <v>3261</v>
      </c>
      <c r="U227" s="152">
        <v>1041.335</v>
      </c>
      <c r="V227" s="166">
        <v>1.9300000000000001E-3</v>
      </c>
      <c r="W227" s="166">
        <v>5.7788497316642196E-3</v>
      </c>
      <c r="X227" s="166">
        <v>9.6866101874498798E-4</v>
      </c>
    </row>
    <row r="228" spans="1:24">
      <c r="A228" s="4">
        <v>337</v>
      </c>
      <c r="B228" s="4">
        <v>9963</v>
      </c>
      <c r="C228" s="4" t="s">
        <v>1647</v>
      </c>
      <c r="D228" s="4" t="s">
        <v>1648</v>
      </c>
      <c r="E228" s="4" t="s">
        <v>1303</v>
      </c>
      <c r="F228" s="4" t="s">
        <v>1649</v>
      </c>
      <c r="G228" s="4" t="s">
        <v>1650</v>
      </c>
      <c r="H228" s="4" t="s">
        <v>318</v>
      </c>
      <c r="I228" s="4" t="s">
        <v>930</v>
      </c>
      <c r="J228" s="4" t="s">
        <v>30</v>
      </c>
      <c r="K228" s="4" t="s">
        <v>30</v>
      </c>
      <c r="L228" s="2" t="s">
        <v>324</v>
      </c>
      <c r="M228" s="2" t="s">
        <v>41</v>
      </c>
      <c r="N228" s="4" t="s">
        <v>460</v>
      </c>
      <c r="O228" s="4" t="s">
        <v>134</v>
      </c>
      <c r="P228" s="4" t="s">
        <v>34</v>
      </c>
      <c r="Q228" s="152">
        <v>72811</v>
      </c>
      <c r="R228" s="167">
        <v>1</v>
      </c>
      <c r="S228" s="169">
        <v>835</v>
      </c>
      <c r="U228" s="152">
        <v>607.97199999999998</v>
      </c>
      <c r="V228" s="166">
        <v>3.2600000000000001E-4</v>
      </c>
      <c r="W228" s="166">
        <v>3.3739166777480198E-3</v>
      </c>
      <c r="X228" s="166">
        <v>5.6554188428203196E-4</v>
      </c>
    </row>
    <row r="229" spans="1:24">
      <c r="A229" s="4">
        <v>337</v>
      </c>
      <c r="B229" s="4">
        <v>9963</v>
      </c>
      <c r="C229" s="4" t="s">
        <v>1651</v>
      </c>
      <c r="D229" s="4" t="s">
        <v>1652</v>
      </c>
      <c r="E229" s="4" t="s">
        <v>1303</v>
      </c>
      <c r="F229" s="4" t="s">
        <v>1653</v>
      </c>
      <c r="G229" s="4" t="s">
        <v>1654</v>
      </c>
      <c r="H229" s="4" t="s">
        <v>318</v>
      </c>
      <c r="I229" s="4" t="s">
        <v>930</v>
      </c>
      <c r="J229" s="4" t="s">
        <v>30</v>
      </c>
      <c r="K229" s="4" t="s">
        <v>295</v>
      </c>
      <c r="L229" s="2" t="s">
        <v>324</v>
      </c>
      <c r="M229" s="2" t="s">
        <v>41</v>
      </c>
      <c r="N229" s="4" t="s">
        <v>458</v>
      </c>
      <c r="O229" s="4" t="s">
        <v>134</v>
      </c>
      <c r="P229" s="4" t="s">
        <v>34</v>
      </c>
      <c r="Q229" s="152">
        <v>4176</v>
      </c>
      <c r="R229" s="167">
        <v>1</v>
      </c>
      <c r="S229" s="169">
        <v>12410</v>
      </c>
      <c r="U229" s="152">
        <v>518.24199999999996</v>
      </c>
      <c r="V229" s="166">
        <v>3.4099999999999999E-4</v>
      </c>
      <c r="W229" s="166">
        <v>2.8759620652548598E-3</v>
      </c>
      <c r="X229" s="166">
        <v>4.8207385091486598E-4</v>
      </c>
    </row>
    <row r="230" spans="1:24">
      <c r="A230" s="4">
        <v>337</v>
      </c>
      <c r="B230" s="4">
        <v>9963</v>
      </c>
      <c r="C230" s="4" t="s">
        <v>1655</v>
      </c>
      <c r="D230" s="4" t="s">
        <v>1656</v>
      </c>
      <c r="E230" s="4" t="s">
        <v>1303</v>
      </c>
      <c r="F230" s="4" t="s">
        <v>1657</v>
      </c>
      <c r="G230" s="4" t="s">
        <v>1658</v>
      </c>
      <c r="H230" s="4" t="s">
        <v>318</v>
      </c>
      <c r="I230" s="4" t="s">
        <v>930</v>
      </c>
      <c r="J230" s="4" t="s">
        <v>30</v>
      </c>
      <c r="K230" s="4" t="s">
        <v>30</v>
      </c>
      <c r="L230" s="2" t="s">
        <v>324</v>
      </c>
      <c r="M230" s="2" t="s">
        <v>41</v>
      </c>
      <c r="N230" s="4" t="s">
        <v>460</v>
      </c>
      <c r="O230" s="4" t="s">
        <v>134</v>
      </c>
      <c r="P230" s="4" t="s">
        <v>34</v>
      </c>
      <c r="Q230" s="152">
        <v>16734</v>
      </c>
      <c r="R230" s="167">
        <v>1</v>
      </c>
      <c r="S230" s="169">
        <v>24920</v>
      </c>
      <c r="U230" s="152">
        <v>4170.1130000000003</v>
      </c>
      <c r="V230" s="166">
        <v>1.3799999999999999E-4</v>
      </c>
      <c r="W230" s="166">
        <v>2.3141882513163198E-2</v>
      </c>
      <c r="X230" s="166">
        <v>3.8790833006176499E-3</v>
      </c>
    </row>
    <row r="231" spans="1:24">
      <c r="A231" s="4">
        <v>337</v>
      </c>
      <c r="B231" s="4">
        <v>9963</v>
      </c>
      <c r="C231" s="4" t="s">
        <v>1659</v>
      </c>
      <c r="D231" s="4" t="s">
        <v>1660</v>
      </c>
      <c r="E231" s="4" t="s">
        <v>1303</v>
      </c>
      <c r="F231" s="4" t="s">
        <v>1661</v>
      </c>
      <c r="G231" s="4" t="s">
        <v>1662</v>
      </c>
      <c r="H231" s="4" t="s">
        <v>318</v>
      </c>
      <c r="I231" s="4" t="s">
        <v>930</v>
      </c>
      <c r="J231" s="4" t="s">
        <v>30</v>
      </c>
      <c r="K231" s="4" t="s">
        <v>30</v>
      </c>
      <c r="L231" s="2" t="s">
        <v>324</v>
      </c>
      <c r="M231" s="2" t="s">
        <v>41</v>
      </c>
      <c r="N231" s="4" t="s">
        <v>444</v>
      </c>
      <c r="O231" s="4" t="s">
        <v>134</v>
      </c>
      <c r="P231" s="4" t="s">
        <v>34</v>
      </c>
      <c r="Q231" s="152">
        <v>105917</v>
      </c>
      <c r="R231" s="167">
        <v>1</v>
      </c>
      <c r="S231" s="169">
        <v>5008</v>
      </c>
      <c r="U231" s="152">
        <v>5304.3230000000003</v>
      </c>
      <c r="V231" s="166">
        <v>7.8999999999999996E-5</v>
      </c>
      <c r="W231" s="166">
        <v>2.94361409142091E-2</v>
      </c>
      <c r="X231" s="166">
        <v>4.9341380326335801E-3</v>
      </c>
    </row>
    <row r="232" spans="1:24">
      <c r="A232" s="4">
        <v>337</v>
      </c>
      <c r="B232" s="4">
        <v>9963</v>
      </c>
      <c r="C232" s="4" t="s">
        <v>1663</v>
      </c>
      <c r="D232" s="4" t="s">
        <v>1664</v>
      </c>
      <c r="E232" s="4" t="s">
        <v>1303</v>
      </c>
      <c r="F232" s="4" t="s">
        <v>1665</v>
      </c>
      <c r="G232" s="4" t="s">
        <v>1666</v>
      </c>
      <c r="H232" s="4" t="s">
        <v>318</v>
      </c>
      <c r="I232" s="4" t="s">
        <v>930</v>
      </c>
      <c r="J232" s="4" t="s">
        <v>30</v>
      </c>
      <c r="K232" s="4" t="s">
        <v>30</v>
      </c>
      <c r="L232" s="2" t="s">
        <v>324</v>
      </c>
      <c r="M232" s="2" t="s">
        <v>41</v>
      </c>
      <c r="N232" s="4" t="s">
        <v>472</v>
      </c>
      <c r="O232" s="4" t="s">
        <v>134</v>
      </c>
      <c r="P232" s="4" t="s">
        <v>34</v>
      </c>
      <c r="Q232" s="152">
        <v>8497</v>
      </c>
      <c r="R232" s="167">
        <v>1</v>
      </c>
      <c r="S232" s="169">
        <v>30240</v>
      </c>
      <c r="U232" s="152">
        <v>2569.4929999999999</v>
      </c>
      <c r="V232" s="166">
        <v>6.1399999999999996E-4</v>
      </c>
      <c r="W232" s="166">
        <v>1.4259302649083899E-2</v>
      </c>
      <c r="X232" s="166">
        <v>2.3901695444634701E-3</v>
      </c>
    </row>
    <row r="233" spans="1:24">
      <c r="A233" s="4">
        <v>337</v>
      </c>
      <c r="B233" s="4">
        <v>9963</v>
      </c>
      <c r="C233" s="4" t="s">
        <v>1667</v>
      </c>
      <c r="D233" s="4" t="s">
        <v>1668</v>
      </c>
      <c r="E233" s="4" t="s">
        <v>1303</v>
      </c>
      <c r="F233" s="4" t="s">
        <v>1669</v>
      </c>
      <c r="G233" s="4" t="s">
        <v>1670</v>
      </c>
      <c r="H233" s="4" t="s">
        <v>318</v>
      </c>
      <c r="I233" s="4" t="s">
        <v>930</v>
      </c>
      <c r="J233" s="4" t="s">
        <v>30</v>
      </c>
      <c r="K233" s="4" t="s">
        <v>30</v>
      </c>
      <c r="L233" s="2" t="s">
        <v>324</v>
      </c>
      <c r="M233" s="2" t="s">
        <v>41</v>
      </c>
      <c r="N233" s="4" t="s">
        <v>473</v>
      </c>
      <c r="O233" s="4" t="s">
        <v>134</v>
      </c>
      <c r="P233" s="4" t="s">
        <v>34</v>
      </c>
      <c r="Q233" s="152">
        <v>5172</v>
      </c>
      <c r="R233" s="167">
        <v>1</v>
      </c>
      <c r="S233" s="169">
        <v>32170</v>
      </c>
      <c r="U233" s="152">
        <v>1663.8320000000001</v>
      </c>
      <c r="V233" s="166">
        <v>3.2499999999999999E-4</v>
      </c>
      <c r="W233" s="166">
        <v>9.2333746757148599E-3</v>
      </c>
      <c r="X233" s="166">
        <v>1.5477146032756199E-3</v>
      </c>
    </row>
    <row r="234" spans="1:24">
      <c r="A234" s="4">
        <v>337</v>
      </c>
      <c r="B234" s="4">
        <v>9963</v>
      </c>
      <c r="C234" s="4" t="s">
        <v>1671</v>
      </c>
      <c r="D234" s="4" t="s">
        <v>1672</v>
      </c>
      <c r="E234" s="4" t="s">
        <v>1303</v>
      </c>
      <c r="F234" s="4" t="s">
        <v>1673</v>
      </c>
      <c r="G234" s="4" t="s">
        <v>1674</v>
      </c>
      <c r="H234" s="4" t="s">
        <v>318</v>
      </c>
      <c r="I234" s="4" t="s">
        <v>930</v>
      </c>
      <c r="J234" s="4" t="s">
        <v>30</v>
      </c>
      <c r="K234" s="4" t="s">
        <v>30</v>
      </c>
      <c r="L234" s="2" t="s">
        <v>324</v>
      </c>
      <c r="M234" s="2" t="s">
        <v>41</v>
      </c>
      <c r="N234" s="4" t="s">
        <v>436</v>
      </c>
      <c r="O234" s="4" t="s">
        <v>134</v>
      </c>
      <c r="P234" s="4" t="s">
        <v>34</v>
      </c>
      <c r="Q234" s="152">
        <v>19650</v>
      </c>
      <c r="R234" s="167">
        <v>1</v>
      </c>
      <c r="S234" s="169">
        <v>5339</v>
      </c>
      <c r="U234" s="152">
        <v>1049.1130000000001</v>
      </c>
      <c r="V234" s="166">
        <v>1.573E-3</v>
      </c>
      <c r="W234" s="166">
        <v>5.8220155003896896E-3</v>
      </c>
      <c r="X234" s="166">
        <v>9.7589654128841196E-4</v>
      </c>
    </row>
    <row r="235" spans="1:24">
      <c r="A235" s="4">
        <v>337</v>
      </c>
      <c r="B235" s="4">
        <v>9963</v>
      </c>
      <c r="C235" s="4" t="s">
        <v>1675</v>
      </c>
      <c r="D235" s="4" t="s">
        <v>1676</v>
      </c>
      <c r="E235" s="4" t="s">
        <v>1303</v>
      </c>
      <c r="F235" s="4" t="s">
        <v>1677</v>
      </c>
      <c r="G235" s="4" t="s">
        <v>1678</v>
      </c>
      <c r="H235" s="4" t="s">
        <v>318</v>
      </c>
      <c r="I235" s="4" t="s">
        <v>930</v>
      </c>
      <c r="J235" s="4" t="s">
        <v>30</v>
      </c>
      <c r="K235" s="4" t="s">
        <v>30</v>
      </c>
      <c r="L235" s="2" t="s">
        <v>324</v>
      </c>
      <c r="M235" s="2" t="s">
        <v>41</v>
      </c>
      <c r="N235" s="4" t="s">
        <v>457</v>
      </c>
      <c r="O235" s="4" t="s">
        <v>134</v>
      </c>
      <c r="P235" s="4" t="s">
        <v>34</v>
      </c>
      <c r="Q235" s="152">
        <v>3825</v>
      </c>
      <c r="R235" s="167">
        <v>1</v>
      </c>
      <c r="S235" s="169">
        <v>48410</v>
      </c>
      <c r="U235" s="152">
        <v>1851.682</v>
      </c>
      <c r="V235" s="166">
        <v>2.32E-4</v>
      </c>
      <c r="W235" s="166">
        <v>1.0275841667084E-2</v>
      </c>
      <c r="X235" s="166">
        <v>1.7224547652034601E-3</v>
      </c>
    </row>
    <row r="236" spans="1:24">
      <c r="A236" s="4">
        <v>337</v>
      </c>
      <c r="B236" s="4">
        <v>9963</v>
      </c>
      <c r="C236" s="4" t="s">
        <v>1679</v>
      </c>
      <c r="D236" s="4" t="s">
        <v>1680</v>
      </c>
      <c r="E236" s="4" t="s">
        <v>1303</v>
      </c>
      <c r="F236" s="4" t="s">
        <v>1681</v>
      </c>
      <c r="G236" s="4" t="s">
        <v>1682</v>
      </c>
      <c r="H236" s="4" t="s">
        <v>318</v>
      </c>
      <c r="I236" s="4" t="s">
        <v>930</v>
      </c>
      <c r="J236" s="4" t="s">
        <v>30</v>
      </c>
      <c r="K236" s="4" t="s">
        <v>295</v>
      </c>
      <c r="L236" s="2" t="s">
        <v>324</v>
      </c>
      <c r="M236" s="2" t="s">
        <v>41</v>
      </c>
      <c r="N236" s="4" t="s">
        <v>454</v>
      </c>
      <c r="O236" s="4" t="s">
        <v>134</v>
      </c>
      <c r="P236" s="4" t="s">
        <v>34</v>
      </c>
      <c r="Q236" s="152">
        <v>11462</v>
      </c>
      <c r="R236" s="167">
        <v>1</v>
      </c>
      <c r="S236" s="169">
        <v>21310</v>
      </c>
      <c r="U236" s="152">
        <v>2442.5520000000001</v>
      </c>
      <c r="V236" s="166">
        <v>2.41E-4</v>
      </c>
      <c r="W236" s="166">
        <v>1.35548506133139E-2</v>
      </c>
      <c r="X236" s="166">
        <v>2.27208804757198E-3</v>
      </c>
    </row>
    <row r="237" spans="1:24">
      <c r="A237" s="4">
        <v>337</v>
      </c>
      <c r="B237" s="4">
        <v>9963</v>
      </c>
      <c r="C237" s="4" t="s">
        <v>1683</v>
      </c>
      <c r="D237" s="4" t="s">
        <v>1684</v>
      </c>
      <c r="E237" s="4" t="s">
        <v>1303</v>
      </c>
      <c r="F237" s="4" t="s">
        <v>1685</v>
      </c>
      <c r="G237" s="4" t="s">
        <v>1686</v>
      </c>
      <c r="H237" s="4" t="s">
        <v>318</v>
      </c>
      <c r="I237" s="4" t="s">
        <v>930</v>
      </c>
      <c r="J237" s="4" t="s">
        <v>30</v>
      </c>
      <c r="K237" s="4" t="s">
        <v>30</v>
      </c>
      <c r="L237" s="2" t="s">
        <v>324</v>
      </c>
      <c r="M237" s="2" t="s">
        <v>41</v>
      </c>
      <c r="N237" s="4" t="s">
        <v>458</v>
      </c>
      <c r="O237" s="4" t="s">
        <v>134</v>
      </c>
      <c r="P237" s="4" t="s">
        <v>34</v>
      </c>
      <c r="Q237" s="152">
        <v>13318</v>
      </c>
      <c r="R237" s="167">
        <v>1</v>
      </c>
      <c r="S237" s="169">
        <v>2865</v>
      </c>
      <c r="U237" s="152">
        <v>381.56099999999998</v>
      </c>
      <c r="V237" s="166">
        <v>1.47E-4</v>
      </c>
      <c r="W237" s="166">
        <v>2.1174566047806498E-3</v>
      </c>
      <c r="X237" s="166">
        <v>3.5493182331710103E-4</v>
      </c>
    </row>
    <row r="238" spans="1:24">
      <c r="A238" s="4">
        <v>337</v>
      </c>
      <c r="B238" s="4">
        <v>9963</v>
      </c>
      <c r="C238" s="4" t="s">
        <v>1687</v>
      </c>
      <c r="D238" s="4" t="s">
        <v>1688</v>
      </c>
      <c r="E238" s="4" t="s">
        <v>1303</v>
      </c>
      <c r="F238" s="4" t="s">
        <v>1689</v>
      </c>
      <c r="G238" s="4" t="s">
        <v>1690</v>
      </c>
      <c r="H238" s="4" t="s">
        <v>318</v>
      </c>
      <c r="I238" s="4" t="s">
        <v>930</v>
      </c>
      <c r="J238" s="4" t="s">
        <v>30</v>
      </c>
      <c r="K238" s="4" t="s">
        <v>30</v>
      </c>
      <c r="L238" s="2" t="s">
        <v>324</v>
      </c>
      <c r="M238" s="2" t="s">
        <v>41</v>
      </c>
      <c r="N238" s="4" t="s">
        <v>460</v>
      </c>
      <c r="O238" s="4" t="s">
        <v>134</v>
      </c>
      <c r="P238" s="4" t="s">
        <v>34</v>
      </c>
      <c r="Q238" s="152">
        <v>51845</v>
      </c>
      <c r="R238" s="167">
        <v>1</v>
      </c>
      <c r="S238" s="169">
        <v>1783</v>
      </c>
      <c r="U238" s="152">
        <v>924.39599999999996</v>
      </c>
      <c r="V238" s="166">
        <v>2.6600000000000001E-4</v>
      </c>
      <c r="W238" s="166">
        <v>5.1299024159003302E-3</v>
      </c>
      <c r="X238" s="166">
        <v>8.5988332124658801E-4</v>
      </c>
    </row>
    <row r="239" spans="1:24">
      <c r="A239" s="4">
        <v>337</v>
      </c>
      <c r="B239" s="4">
        <v>9963</v>
      </c>
      <c r="C239" s="4" t="s">
        <v>1691</v>
      </c>
      <c r="D239" s="4" t="s">
        <v>1692</v>
      </c>
      <c r="E239" s="4" t="s">
        <v>1303</v>
      </c>
      <c r="F239" s="4" t="s">
        <v>1693</v>
      </c>
      <c r="G239" s="4" t="s">
        <v>1694</v>
      </c>
      <c r="H239" s="4" t="s">
        <v>318</v>
      </c>
      <c r="I239" s="4" t="s">
        <v>930</v>
      </c>
      <c r="J239" s="4" t="s">
        <v>30</v>
      </c>
      <c r="K239" s="4" t="s">
        <v>30</v>
      </c>
      <c r="L239" s="2" t="s">
        <v>324</v>
      </c>
      <c r="M239" s="2" t="s">
        <v>41</v>
      </c>
      <c r="N239" s="4" t="s">
        <v>472</v>
      </c>
      <c r="O239" s="4" t="s">
        <v>134</v>
      </c>
      <c r="P239" s="4" t="s">
        <v>34</v>
      </c>
      <c r="Q239" s="152">
        <v>7542</v>
      </c>
      <c r="R239" s="167">
        <v>1</v>
      </c>
      <c r="S239" s="169">
        <v>8050</v>
      </c>
      <c r="U239" s="152">
        <v>607.13099999999997</v>
      </c>
      <c r="V239" s="166">
        <v>1.56E-4</v>
      </c>
      <c r="W239" s="166">
        <v>3.3692504126265599E-3</v>
      </c>
      <c r="X239" s="166">
        <v>5.6475971666456999E-4</v>
      </c>
    </row>
    <row r="240" spans="1:24">
      <c r="A240" s="4">
        <v>337</v>
      </c>
      <c r="B240" s="4">
        <v>9963</v>
      </c>
      <c r="C240" s="4" t="s">
        <v>1695</v>
      </c>
      <c r="D240" s="4" t="s">
        <v>1696</v>
      </c>
      <c r="E240" s="4" t="s">
        <v>1303</v>
      </c>
      <c r="F240" s="4" t="s">
        <v>1697</v>
      </c>
      <c r="G240" s="4" t="s">
        <v>1698</v>
      </c>
      <c r="H240" s="4" t="s">
        <v>318</v>
      </c>
      <c r="I240" s="4" t="s">
        <v>930</v>
      </c>
      <c r="J240" s="4" t="s">
        <v>30</v>
      </c>
      <c r="K240" s="4" t="s">
        <v>30</v>
      </c>
      <c r="L240" s="2" t="s">
        <v>324</v>
      </c>
      <c r="M240" s="2" t="s">
        <v>41</v>
      </c>
      <c r="N240" s="4" t="s">
        <v>472</v>
      </c>
      <c r="O240" s="4" t="s">
        <v>134</v>
      </c>
      <c r="P240" s="4" t="s">
        <v>34</v>
      </c>
      <c r="Q240" s="152">
        <v>2006</v>
      </c>
      <c r="R240" s="167">
        <v>1</v>
      </c>
      <c r="S240" s="169">
        <v>26660</v>
      </c>
      <c r="U240" s="152">
        <v>534.79999999999995</v>
      </c>
      <c r="V240" s="166">
        <v>1.46E-4</v>
      </c>
      <c r="W240" s="166">
        <v>2.9678500570264402E-3</v>
      </c>
      <c r="X240" s="166">
        <v>4.9747627870809605E-4</v>
      </c>
    </row>
    <row r="241" spans="1:24">
      <c r="A241" s="4">
        <v>337</v>
      </c>
      <c r="B241" s="4">
        <v>9963</v>
      </c>
      <c r="C241" s="4" t="s">
        <v>1699</v>
      </c>
      <c r="D241" s="4" t="s">
        <v>1700</v>
      </c>
      <c r="E241" s="4" t="s">
        <v>309</v>
      </c>
      <c r="F241" s="4" t="s">
        <v>1701</v>
      </c>
      <c r="G241" s="4" t="s">
        <v>1702</v>
      </c>
      <c r="H241" s="4" t="s">
        <v>318</v>
      </c>
      <c r="I241" s="4" t="s">
        <v>930</v>
      </c>
      <c r="J241" s="4" t="s">
        <v>30</v>
      </c>
      <c r="K241" s="4" t="s">
        <v>30</v>
      </c>
      <c r="L241" s="2" t="s">
        <v>324</v>
      </c>
      <c r="M241" s="2" t="s">
        <v>41</v>
      </c>
      <c r="N241" s="4" t="s">
        <v>450</v>
      </c>
      <c r="O241" s="4" t="s">
        <v>134</v>
      </c>
      <c r="P241" s="4" t="s">
        <v>34</v>
      </c>
      <c r="Q241" s="152">
        <v>213192</v>
      </c>
      <c r="R241" s="167">
        <v>1</v>
      </c>
      <c r="S241" s="169">
        <v>370.8</v>
      </c>
      <c r="T241" s="151">
        <v>28.111999999999998</v>
      </c>
      <c r="U241" s="152">
        <v>818.62800000000004</v>
      </c>
      <c r="V241" s="166">
        <v>1.9000000000000001E-4</v>
      </c>
      <c r="W241" s="166">
        <v>4.54294290142984E-3</v>
      </c>
      <c r="X241" s="166">
        <v>7.6149612869965398E-4</v>
      </c>
    </row>
    <row r="242" spans="1:24">
      <c r="A242" s="4">
        <v>337</v>
      </c>
      <c r="B242" s="4">
        <v>9963</v>
      </c>
      <c r="C242" s="4" t="s">
        <v>1703</v>
      </c>
      <c r="D242" s="4" t="s">
        <v>1704</v>
      </c>
      <c r="E242" s="4" t="s">
        <v>1303</v>
      </c>
      <c r="F242" s="4" t="s">
        <v>1705</v>
      </c>
      <c r="G242" s="4" t="s">
        <v>1706</v>
      </c>
      <c r="H242" s="4" t="s">
        <v>318</v>
      </c>
      <c r="I242" s="4" t="s">
        <v>930</v>
      </c>
      <c r="J242" s="4" t="s">
        <v>30</v>
      </c>
      <c r="K242" s="4" t="s">
        <v>30</v>
      </c>
      <c r="L242" s="2" t="s">
        <v>324</v>
      </c>
      <c r="M242" s="2" t="s">
        <v>41</v>
      </c>
      <c r="N242" s="4" t="s">
        <v>472</v>
      </c>
      <c r="O242" s="4" t="s">
        <v>134</v>
      </c>
      <c r="P242" s="4" t="s">
        <v>34</v>
      </c>
      <c r="Q242" s="152">
        <v>45353</v>
      </c>
      <c r="R242" s="167">
        <v>1</v>
      </c>
      <c r="S242" s="169">
        <v>3511</v>
      </c>
      <c r="U242" s="152">
        <v>1592.3440000000001</v>
      </c>
      <c r="V242" s="166">
        <v>1.65E-4</v>
      </c>
      <c r="W242" s="166">
        <v>8.8366515731709595E-3</v>
      </c>
      <c r="X242" s="166">
        <v>1.48121517475368E-3</v>
      </c>
    </row>
    <row r="243" spans="1:24">
      <c r="A243" s="4">
        <v>337</v>
      </c>
      <c r="B243" s="4">
        <v>9963</v>
      </c>
      <c r="C243" s="4" t="s">
        <v>1707</v>
      </c>
      <c r="D243" s="4" t="s">
        <v>1708</v>
      </c>
      <c r="E243" s="4" t="s">
        <v>1303</v>
      </c>
      <c r="F243" s="4" t="s">
        <v>1709</v>
      </c>
      <c r="G243" s="4" t="s">
        <v>1710</v>
      </c>
      <c r="H243" s="4" t="s">
        <v>318</v>
      </c>
      <c r="I243" s="4" t="s">
        <v>930</v>
      </c>
      <c r="J243" s="4" t="s">
        <v>30</v>
      </c>
      <c r="K243" s="4" t="s">
        <v>295</v>
      </c>
      <c r="L243" s="2" t="s">
        <v>324</v>
      </c>
      <c r="M243" s="2" t="s">
        <v>41</v>
      </c>
      <c r="N243" s="4" t="s">
        <v>451</v>
      </c>
      <c r="O243" s="4" t="s">
        <v>134</v>
      </c>
      <c r="P243" s="4" t="s">
        <v>34</v>
      </c>
      <c r="Q243" s="152">
        <v>22000</v>
      </c>
      <c r="R243" s="167">
        <v>1</v>
      </c>
      <c r="S243" s="169">
        <v>10080</v>
      </c>
      <c r="U243" s="152">
        <v>2217.6</v>
      </c>
      <c r="V243" s="166">
        <v>1.9620000000000002E-3</v>
      </c>
      <c r="W243" s="166">
        <v>1.23064869279293E-2</v>
      </c>
      <c r="X243" s="166">
        <v>2.0628351174216898E-3</v>
      </c>
    </row>
    <row r="244" spans="1:24">
      <c r="A244" s="4">
        <v>337</v>
      </c>
      <c r="B244" s="4">
        <v>9963</v>
      </c>
      <c r="C244" s="4" t="s">
        <v>1711</v>
      </c>
      <c r="D244" s="4" t="s">
        <v>1712</v>
      </c>
      <c r="E244" s="4" t="s">
        <v>1303</v>
      </c>
      <c r="F244" s="4" t="s">
        <v>1713</v>
      </c>
      <c r="G244" s="4" t="s">
        <v>1714</v>
      </c>
      <c r="H244" s="4" t="s">
        <v>318</v>
      </c>
      <c r="I244" s="4" t="s">
        <v>930</v>
      </c>
      <c r="J244" s="4" t="s">
        <v>30</v>
      </c>
      <c r="K244" s="4" t="s">
        <v>30</v>
      </c>
      <c r="L244" s="2" t="s">
        <v>324</v>
      </c>
      <c r="M244" s="2" t="s">
        <v>41</v>
      </c>
      <c r="N244" s="4" t="s">
        <v>458</v>
      </c>
      <c r="O244" s="4" t="s">
        <v>134</v>
      </c>
      <c r="P244" s="4" t="s">
        <v>34</v>
      </c>
      <c r="Q244" s="152">
        <v>931</v>
      </c>
      <c r="R244" s="167">
        <v>1</v>
      </c>
      <c r="S244" s="169">
        <v>19000</v>
      </c>
      <c r="U244" s="152">
        <v>176.89</v>
      </c>
      <c r="V244" s="166">
        <v>1.08E-4</v>
      </c>
      <c r="W244" s="166">
        <v>9.8164433291911008E-4</v>
      </c>
      <c r="X244" s="166">
        <v>1.64544960281711E-4</v>
      </c>
    </row>
    <row r="245" spans="1:24">
      <c r="A245" s="4">
        <v>337</v>
      </c>
      <c r="B245" s="4">
        <v>9963</v>
      </c>
      <c r="C245" s="4" t="s">
        <v>1719</v>
      </c>
      <c r="D245" s="4" t="s">
        <v>1720</v>
      </c>
      <c r="E245" s="4" t="s">
        <v>311</v>
      </c>
      <c r="F245" s="4" t="s">
        <v>1721</v>
      </c>
      <c r="G245" s="4" t="s">
        <v>1722</v>
      </c>
      <c r="H245" s="4" t="s">
        <v>318</v>
      </c>
      <c r="I245" s="4" t="s">
        <v>930</v>
      </c>
      <c r="J245" s="4" t="s">
        <v>79</v>
      </c>
      <c r="K245" s="4" t="s">
        <v>267</v>
      </c>
      <c r="L245" s="2" t="s">
        <v>324</v>
      </c>
      <c r="M245" s="2" t="s">
        <v>341</v>
      </c>
      <c r="N245" s="4" t="s">
        <v>512</v>
      </c>
      <c r="O245" s="4" t="s">
        <v>134</v>
      </c>
      <c r="P245" s="4" t="s">
        <v>84</v>
      </c>
      <c r="Q245" s="152">
        <v>2053</v>
      </c>
      <c r="R245" s="167">
        <v>3.718</v>
      </c>
      <c r="S245" s="169">
        <v>13223</v>
      </c>
      <c r="U245" s="152">
        <v>1009.319</v>
      </c>
      <c r="V245" s="166">
        <v>9.9999999999999995E-7</v>
      </c>
      <c r="W245" s="166">
        <v>5.6011759388654202E-3</v>
      </c>
      <c r="X245" s="166">
        <v>9.3887902317002796E-4</v>
      </c>
    </row>
    <row r="246" spans="1:24">
      <c r="A246" s="4">
        <v>337</v>
      </c>
      <c r="B246" s="4">
        <v>9963</v>
      </c>
      <c r="C246" s="4" t="s">
        <v>1723</v>
      </c>
      <c r="D246" s="4" t="s">
        <v>1724</v>
      </c>
      <c r="E246" s="4" t="s">
        <v>311</v>
      </c>
      <c r="F246" s="4" t="s">
        <v>1725</v>
      </c>
      <c r="G246" s="4" t="s">
        <v>1726</v>
      </c>
      <c r="H246" s="4" t="s">
        <v>318</v>
      </c>
      <c r="I246" s="4" t="s">
        <v>930</v>
      </c>
      <c r="J246" s="4" t="s">
        <v>79</v>
      </c>
      <c r="K246" s="4" t="s">
        <v>80</v>
      </c>
      <c r="L246" s="2" t="s">
        <v>324</v>
      </c>
      <c r="M246" s="2" t="s">
        <v>341</v>
      </c>
      <c r="N246" s="4" t="s">
        <v>533</v>
      </c>
      <c r="O246" s="4" t="s">
        <v>134</v>
      </c>
      <c r="P246" s="4" t="s">
        <v>84</v>
      </c>
      <c r="Q246" s="152">
        <v>8774</v>
      </c>
      <c r="R246" s="167">
        <v>3.718</v>
      </c>
      <c r="S246" s="169">
        <v>4173</v>
      </c>
      <c r="U246" s="152">
        <v>1361.3050000000001</v>
      </c>
      <c r="V246" s="166">
        <v>9.9999999999999995E-7</v>
      </c>
      <c r="W246" s="166">
        <v>7.5545096797667698E-3</v>
      </c>
      <c r="X246" s="166">
        <v>1.2663002815984899E-3</v>
      </c>
    </row>
    <row r="247" spans="1:24">
      <c r="A247" s="4">
        <v>337</v>
      </c>
      <c r="B247" s="4">
        <v>9963</v>
      </c>
      <c r="C247" s="4" t="s">
        <v>1727</v>
      </c>
      <c r="D247" s="4" t="s">
        <v>1728</v>
      </c>
      <c r="E247" s="4" t="s">
        <v>311</v>
      </c>
      <c r="F247" s="4" t="s">
        <v>1729</v>
      </c>
      <c r="G247" s="4" t="s">
        <v>1730</v>
      </c>
      <c r="H247" s="4" t="s">
        <v>318</v>
      </c>
      <c r="I247" s="4" t="s">
        <v>930</v>
      </c>
      <c r="J247" s="4" t="s">
        <v>79</v>
      </c>
      <c r="K247" s="4" t="s">
        <v>80</v>
      </c>
      <c r="L247" s="2" t="s">
        <v>324</v>
      </c>
      <c r="M247" s="2" t="s">
        <v>341</v>
      </c>
      <c r="N247" s="4" t="s">
        <v>1731</v>
      </c>
      <c r="O247" s="4" t="s">
        <v>134</v>
      </c>
      <c r="P247" s="4" t="s">
        <v>84</v>
      </c>
      <c r="Q247" s="152">
        <v>957</v>
      </c>
      <c r="R247" s="167">
        <v>3.718</v>
      </c>
      <c r="S247" s="169">
        <v>46935</v>
      </c>
      <c r="U247" s="152">
        <v>1670.0060000000001</v>
      </c>
      <c r="V247" s="166">
        <v>1.9999999999999999E-6</v>
      </c>
      <c r="W247" s="166">
        <v>9.2676372655282595E-3</v>
      </c>
      <c r="X247" s="166">
        <v>1.5534577592140101E-3</v>
      </c>
    </row>
    <row r="248" spans="1:24">
      <c r="A248" s="4">
        <v>337</v>
      </c>
      <c r="B248" s="4">
        <v>9963</v>
      </c>
      <c r="C248" s="4" t="s">
        <v>1732</v>
      </c>
      <c r="D248" s="4" t="s">
        <v>1733</v>
      </c>
      <c r="E248" s="4" t="s">
        <v>311</v>
      </c>
      <c r="F248" s="4" t="s">
        <v>1734</v>
      </c>
      <c r="G248" s="4" t="s">
        <v>1735</v>
      </c>
      <c r="H248" s="4" t="s">
        <v>318</v>
      </c>
      <c r="I248" s="4" t="s">
        <v>930</v>
      </c>
      <c r="J248" s="4" t="s">
        <v>79</v>
      </c>
      <c r="K248" s="4" t="s">
        <v>80</v>
      </c>
      <c r="L248" s="2" t="s">
        <v>324</v>
      </c>
      <c r="M248" s="2" t="s">
        <v>341</v>
      </c>
      <c r="N248" s="4" t="s">
        <v>531</v>
      </c>
      <c r="O248" s="4" t="s">
        <v>134</v>
      </c>
      <c r="P248" s="4" t="s">
        <v>84</v>
      </c>
      <c r="Q248" s="152">
        <v>524</v>
      </c>
      <c r="R248" s="167">
        <v>3.718</v>
      </c>
      <c r="S248" s="169">
        <v>82591</v>
      </c>
      <c r="U248" s="152">
        <v>1609.0640000000001</v>
      </c>
      <c r="V248" s="166">
        <v>9.9999999999999995E-7</v>
      </c>
      <c r="W248" s="166">
        <v>8.9294411367542102E-3</v>
      </c>
      <c r="X248" s="166">
        <v>1.4967687256094799E-3</v>
      </c>
    </row>
    <row r="249" spans="1:24">
      <c r="A249" s="4">
        <v>337</v>
      </c>
      <c r="B249" s="4">
        <v>9963</v>
      </c>
      <c r="C249" s="4" t="s">
        <v>1736</v>
      </c>
      <c r="D249" s="4" t="s">
        <v>1737</v>
      </c>
      <c r="E249" s="4" t="s">
        <v>311</v>
      </c>
      <c r="F249" s="4" t="s">
        <v>1738</v>
      </c>
      <c r="G249" s="4" t="s">
        <v>1739</v>
      </c>
      <c r="H249" s="4" t="s">
        <v>318</v>
      </c>
      <c r="I249" s="4" t="s">
        <v>930</v>
      </c>
      <c r="J249" s="4" t="s">
        <v>79</v>
      </c>
      <c r="K249" s="4" t="s">
        <v>80</v>
      </c>
      <c r="L249" s="2" t="s">
        <v>324</v>
      </c>
      <c r="M249" s="2" t="s">
        <v>343</v>
      </c>
      <c r="N249" s="4" t="s">
        <v>546</v>
      </c>
      <c r="O249" s="4" t="s">
        <v>134</v>
      </c>
      <c r="P249" s="4" t="s">
        <v>84</v>
      </c>
      <c r="Q249" s="152">
        <v>1628</v>
      </c>
      <c r="R249" s="167">
        <v>3.718</v>
      </c>
      <c r="S249" s="169">
        <v>57636</v>
      </c>
      <c r="U249" s="152">
        <v>3488.652</v>
      </c>
      <c r="V249" s="166">
        <v>9.9999999999999995E-7</v>
      </c>
      <c r="W249" s="166">
        <v>1.9360140309605499E-2</v>
      </c>
      <c r="X249" s="166">
        <v>3.2451809799781098E-3</v>
      </c>
    </row>
    <row r="250" spans="1:24">
      <c r="A250" s="4">
        <v>337</v>
      </c>
      <c r="B250" s="4">
        <v>9963</v>
      </c>
      <c r="C250" s="4" t="s">
        <v>1740</v>
      </c>
      <c r="D250" s="4" t="s">
        <v>1741</v>
      </c>
      <c r="E250" s="4" t="s">
        <v>311</v>
      </c>
      <c r="F250" s="4" t="s">
        <v>1742</v>
      </c>
      <c r="G250" s="4" t="s">
        <v>1743</v>
      </c>
      <c r="H250" s="4" t="s">
        <v>318</v>
      </c>
      <c r="I250" s="4" t="s">
        <v>930</v>
      </c>
      <c r="J250" s="4" t="s">
        <v>79</v>
      </c>
      <c r="K250" s="4" t="s">
        <v>80</v>
      </c>
      <c r="L250" s="2" t="s">
        <v>324</v>
      </c>
      <c r="M250" s="2" t="s">
        <v>343</v>
      </c>
      <c r="N250" s="4" t="s">
        <v>1744</v>
      </c>
      <c r="O250" s="4" t="s">
        <v>134</v>
      </c>
      <c r="P250" s="4" t="s">
        <v>84</v>
      </c>
      <c r="Q250" s="152">
        <v>12595</v>
      </c>
      <c r="R250" s="167">
        <v>3.718</v>
      </c>
      <c r="S250" s="169">
        <v>2271</v>
      </c>
      <c r="U250" s="152">
        <v>1063.4690000000001</v>
      </c>
      <c r="V250" s="166">
        <v>3.0000000000000001E-6</v>
      </c>
      <c r="W250" s="166">
        <v>5.9016788548032998E-3</v>
      </c>
      <c r="X250" s="166">
        <v>9.8924985373398605E-4</v>
      </c>
    </row>
    <row r="251" spans="1:24">
      <c r="A251" s="4">
        <v>337</v>
      </c>
      <c r="B251" s="4">
        <v>9963</v>
      </c>
      <c r="C251" s="4" t="s">
        <v>1745</v>
      </c>
      <c r="D251" s="4" t="s">
        <v>1746</v>
      </c>
      <c r="E251" s="4" t="s">
        <v>311</v>
      </c>
      <c r="F251" s="4" t="s">
        <v>1747</v>
      </c>
      <c r="G251" s="4" t="s">
        <v>1748</v>
      </c>
      <c r="H251" s="4" t="s">
        <v>318</v>
      </c>
      <c r="I251" s="4" t="s">
        <v>930</v>
      </c>
      <c r="J251" s="4" t="s">
        <v>79</v>
      </c>
      <c r="K251" s="4" t="s">
        <v>80</v>
      </c>
      <c r="L251" s="2" t="s">
        <v>324</v>
      </c>
      <c r="M251" s="2" t="s">
        <v>341</v>
      </c>
      <c r="N251" s="4" t="s">
        <v>533</v>
      </c>
      <c r="O251" s="4" t="s">
        <v>134</v>
      </c>
      <c r="P251" s="4" t="s">
        <v>84</v>
      </c>
      <c r="Q251" s="152">
        <v>1867</v>
      </c>
      <c r="R251" s="167">
        <v>3.718</v>
      </c>
      <c r="S251" s="169">
        <v>24530</v>
      </c>
      <c r="U251" s="152">
        <v>1702.751</v>
      </c>
      <c r="V251" s="166">
        <v>0</v>
      </c>
      <c r="W251" s="166">
        <v>9.4493543082137307E-3</v>
      </c>
      <c r="X251" s="166">
        <v>1.58391749149024E-3</v>
      </c>
    </row>
    <row r="252" spans="1:24">
      <c r="A252" s="4">
        <v>337</v>
      </c>
      <c r="B252" s="4">
        <v>9963</v>
      </c>
      <c r="C252" s="4" t="s">
        <v>1753</v>
      </c>
      <c r="D252" s="4" t="s">
        <v>1754</v>
      </c>
      <c r="E252" s="4" t="s">
        <v>311</v>
      </c>
      <c r="F252" s="4" t="s">
        <v>1755</v>
      </c>
      <c r="G252" s="4" t="s">
        <v>1756</v>
      </c>
      <c r="H252" s="4" t="s">
        <v>318</v>
      </c>
      <c r="I252" s="4" t="s">
        <v>930</v>
      </c>
      <c r="J252" s="4" t="s">
        <v>79</v>
      </c>
      <c r="K252" s="4" t="s">
        <v>80</v>
      </c>
      <c r="L252" s="2" t="s">
        <v>324</v>
      </c>
      <c r="M252" s="2" t="s">
        <v>1334</v>
      </c>
      <c r="N252" s="4" t="s">
        <v>1757</v>
      </c>
      <c r="O252" s="4" t="s">
        <v>134</v>
      </c>
      <c r="P252" s="4" t="s">
        <v>84</v>
      </c>
      <c r="Q252" s="152">
        <v>4641</v>
      </c>
      <c r="R252" s="167">
        <v>3.718</v>
      </c>
      <c r="S252" s="169">
        <v>7089</v>
      </c>
      <c r="U252" s="152">
        <v>1223.2239999999999</v>
      </c>
      <c r="V252" s="166">
        <v>1.9999999999999999E-6</v>
      </c>
      <c r="W252" s="166">
        <v>6.78823411488076E-3</v>
      </c>
      <c r="X252" s="166">
        <v>1.1378558153486099E-3</v>
      </c>
    </row>
    <row r="253" spans="1:24">
      <c r="A253" s="4">
        <v>337</v>
      </c>
      <c r="B253" s="4">
        <v>9963</v>
      </c>
      <c r="C253" s="4" t="s">
        <v>1632</v>
      </c>
      <c r="D253" s="4" t="s">
        <v>1633</v>
      </c>
      <c r="E253" s="4" t="s">
        <v>1303</v>
      </c>
      <c r="F253" s="4" t="s">
        <v>1758</v>
      </c>
      <c r="G253" s="4" t="s">
        <v>1759</v>
      </c>
      <c r="H253" s="4" t="s">
        <v>318</v>
      </c>
      <c r="I253" s="4" t="s">
        <v>930</v>
      </c>
      <c r="J253" s="4" t="s">
        <v>79</v>
      </c>
      <c r="K253" s="4" t="s">
        <v>30</v>
      </c>
      <c r="L253" s="2" t="s">
        <v>324</v>
      </c>
      <c r="M253" s="2" t="s">
        <v>343</v>
      </c>
      <c r="N253" s="4" t="s">
        <v>547</v>
      </c>
      <c r="O253" s="4" t="s">
        <v>134</v>
      </c>
      <c r="P253" s="4" t="s">
        <v>84</v>
      </c>
      <c r="Q253" s="152">
        <v>2499</v>
      </c>
      <c r="R253" s="167">
        <v>3.718</v>
      </c>
      <c r="S253" s="169">
        <v>15417</v>
      </c>
      <c r="U253" s="152">
        <v>1432.4369999999999</v>
      </c>
      <c r="V253" s="166">
        <v>4.1999999999999998E-5</v>
      </c>
      <c r="W253" s="166">
        <v>7.9492543967774193E-3</v>
      </c>
      <c r="X253" s="166">
        <v>1.3324680896362299E-3</v>
      </c>
    </row>
    <row r="254" spans="1:24">
      <c r="A254" s="4">
        <v>337</v>
      </c>
      <c r="B254" s="4">
        <v>9963</v>
      </c>
      <c r="C254" s="4" t="s">
        <v>1760</v>
      </c>
      <c r="D254" s="4" t="s">
        <v>1761</v>
      </c>
      <c r="E254" s="4" t="s">
        <v>311</v>
      </c>
      <c r="F254" s="4" t="s">
        <v>1762</v>
      </c>
      <c r="G254" s="4" t="s">
        <v>1763</v>
      </c>
      <c r="H254" s="4" t="s">
        <v>318</v>
      </c>
      <c r="I254" s="4" t="s">
        <v>930</v>
      </c>
      <c r="J254" s="4" t="s">
        <v>79</v>
      </c>
      <c r="K254" s="4" t="s">
        <v>80</v>
      </c>
      <c r="L254" s="2" t="s">
        <v>324</v>
      </c>
      <c r="M254" s="2" t="s">
        <v>343</v>
      </c>
      <c r="N254" s="4" t="s">
        <v>545</v>
      </c>
      <c r="O254" s="4" t="s">
        <v>134</v>
      </c>
      <c r="P254" s="4" t="s">
        <v>84</v>
      </c>
      <c r="Q254" s="152">
        <v>6797</v>
      </c>
      <c r="R254" s="167">
        <v>3.718</v>
      </c>
      <c r="S254" s="169">
        <v>10838</v>
      </c>
      <c r="U254" s="152">
        <v>2738.8980000000001</v>
      </c>
      <c r="V254" s="166">
        <v>0</v>
      </c>
      <c r="W254" s="166">
        <v>1.51994083792434E-2</v>
      </c>
      <c r="X254" s="166">
        <v>2.5477517306405099E-3</v>
      </c>
    </row>
    <row r="255" spans="1:24">
      <c r="A255" s="4">
        <v>337</v>
      </c>
      <c r="B255" s="4">
        <v>9963</v>
      </c>
      <c r="C255" s="4" t="s">
        <v>1434</v>
      </c>
      <c r="D255" s="4" t="s">
        <v>1435</v>
      </c>
      <c r="E255" s="4" t="s">
        <v>311</v>
      </c>
      <c r="F255" s="4" t="s">
        <v>1764</v>
      </c>
      <c r="G255" s="4" t="s">
        <v>1437</v>
      </c>
      <c r="H255" s="4" t="s">
        <v>318</v>
      </c>
      <c r="I255" s="4" t="s">
        <v>930</v>
      </c>
      <c r="J255" s="4" t="s">
        <v>79</v>
      </c>
      <c r="K255" s="4" t="s">
        <v>80</v>
      </c>
      <c r="L255" s="2" t="s">
        <v>324</v>
      </c>
      <c r="M255" s="2" t="s">
        <v>341</v>
      </c>
      <c r="N255" s="4" t="s">
        <v>554</v>
      </c>
      <c r="O255" s="4" t="s">
        <v>134</v>
      </c>
      <c r="P255" s="4" t="s">
        <v>84</v>
      </c>
      <c r="Q255" s="152">
        <v>3123</v>
      </c>
      <c r="R255" s="167">
        <v>3.718</v>
      </c>
      <c r="S255" s="169">
        <v>7077</v>
      </c>
      <c r="U255" s="152">
        <v>821.73299999999995</v>
      </c>
      <c r="V255" s="166">
        <v>5.1E-5</v>
      </c>
      <c r="W255" s="166">
        <v>4.5601743459788699E-3</v>
      </c>
      <c r="X255" s="166">
        <v>7.64384493929131E-4</v>
      </c>
    </row>
    <row r="256" spans="1:24">
      <c r="A256" s="4">
        <v>337</v>
      </c>
      <c r="B256" s="4">
        <v>9963</v>
      </c>
      <c r="C256" s="4" t="s">
        <v>1765</v>
      </c>
      <c r="D256" s="4" t="s">
        <v>1766</v>
      </c>
      <c r="E256" s="4" t="s">
        <v>311</v>
      </c>
      <c r="F256" s="4" t="s">
        <v>1767</v>
      </c>
      <c r="G256" s="4" t="s">
        <v>1768</v>
      </c>
      <c r="H256" s="4" t="s">
        <v>318</v>
      </c>
      <c r="I256" s="4" t="s">
        <v>930</v>
      </c>
      <c r="J256" s="4" t="s">
        <v>79</v>
      </c>
      <c r="K256" s="4" t="s">
        <v>80</v>
      </c>
      <c r="L256" s="2" t="s">
        <v>324</v>
      </c>
      <c r="M256" s="2" t="s">
        <v>343</v>
      </c>
      <c r="N256" s="4" t="s">
        <v>541</v>
      </c>
      <c r="O256" s="4" t="s">
        <v>134</v>
      </c>
      <c r="P256" s="4" t="s">
        <v>84</v>
      </c>
      <c r="Q256" s="152">
        <v>3040</v>
      </c>
      <c r="R256" s="167">
        <v>3.718</v>
      </c>
      <c r="S256" s="169">
        <v>17064</v>
      </c>
      <c r="U256" s="152">
        <v>1928.6959999999999</v>
      </c>
      <c r="V256" s="166">
        <v>9.0000000000000002E-6</v>
      </c>
      <c r="W256" s="166">
        <v>1.07032259400717E-2</v>
      </c>
      <c r="X256" s="166">
        <v>1.7940936733756899E-3</v>
      </c>
    </row>
    <row r="257" spans="1:24">
      <c r="A257" s="4">
        <v>337</v>
      </c>
      <c r="B257" s="4">
        <v>9963</v>
      </c>
      <c r="C257" s="4" t="s">
        <v>1769</v>
      </c>
      <c r="D257" s="4" t="s">
        <v>1770</v>
      </c>
      <c r="E257" s="4" t="s">
        <v>311</v>
      </c>
      <c r="F257" s="4" t="s">
        <v>1771</v>
      </c>
      <c r="G257" s="4" t="s">
        <v>1772</v>
      </c>
      <c r="H257" s="4" t="s">
        <v>318</v>
      </c>
      <c r="I257" s="4" t="s">
        <v>930</v>
      </c>
      <c r="J257" s="4" t="s">
        <v>79</v>
      </c>
      <c r="K257" s="4" t="s">
        <v>232</v>
      </c>
      <c r="L257" s="2" t="s">
        <v>324</v>
      </c>
      <c r="M257" s="2" t="s">
        <v>377</v>
      </c>
      <c r="N257" s="4" t="s">
        <v>514</v>
      </c>
      <c r="O257" s="4" t="s">
        <v>134</v>
      </c>
      <c r="P257" s="4" t="s">
        <v>1180</v>
      </c>
      <c r="Q257" s="152">
        <v>26250</v>
      </c>
      <c r="R257" s="167">
        <v>4.8108000000000004</v>
      </c>
      <c r="S257" s="169">
        <v>1195</v>
      </c>
      <c r="U257" s="152">
        <v>1509.088</v>
      </c>
      <c r="V257" s="166">
        <v>5.9199999999999997E-4</v>
      </c>
      <c r="W257" s="166">
        <v>8.3746255372744403E-3</v>
      </c>
      <c r="X257" s="166">
        <v>1.4037695529777799E-3</v>
      </c>
    </row>
    <row r="258" spans="1:24">
      <c r="A258" s="4">
        <v>337</v>
      </c>
      <c r="B258" s="4">
        <v>9963</v>
      </c>
      <c r="C258" s="4" t="s">
        <v>1773</v>
      </c>
      <c r="D258" s="4" t="s">
        <v>1774</v>
      </c>
      <c r="E258" s="4" t="s">
        <v>311</v>
      </c>
      <c r="F258" s="4" t="s">
        <v>1775</v>
      </c>
      <c r="G258" s="4" t="s">
        <v>1776</v>
      </c>
      <c r="H258" s="4" t="s">
        <v>318</v>
      </c>
      <c r="I258" s="4" t="s">
        <v>930</v>
      </c>
      <c r="J258" s="4" t="s">
        <v>79</v>
      </c>
      <c r="K258" s="4" t="s">
        <v>80</v>
      </c>
      <c r="L258" s="2" t="s">
        <v>324</v>
      </c>
      <c r="M258" s="2" t="s">
        <v>343</v>
      </c>
      <c r="N258" s="4" t="s">
        <v>541</v>
      </c>
      <c r="O258" s="4" t="s">
        <v>134</v>
      </c>
      <c r="P258" s="4" t="s">
        <v>84</v>
      </c>
      <c r="Q258" s="152">
        <v>1599</v>
      </c>
      <c r="R258" s="167">
        <v>3.718</v>
      </c>
      <c r="S258" s="169">
        <v>26836</v>
      </c>
      <c r="U258" s="152">
        <v>1595.422</v>
      </c>
      <c r="V258" s="166">
        <v>1.9999999999999999E-6</v>
      </c>
      <c r="W258" s="166">
        <v>8.8537349011363897E-3</v>
      </c>
      <c r="X258" s="166">
        <v>1.48407871241929E-3</v>
      </c>
    </row>
    <row r="259" spans="1:24">
      <c r="A259" s="4">
        <v>337</v>
      </c>
      <c r="B259" s="4">
        <v>9963</v>
      </c>
      <c r="C259" s="4" t="s">
        <v>1797</v>
      </c>
      <c r="D259" s="4" t="s">
        <v>1798</v>
      </c>
      <c r="E259" s="4" t="s">
        <v>311</v>
      </c>
      <c r="F259" s="4" t="s">
        <v>1799</v>
      </c>
      <c r="G259" s="4" t="s">
        <v>1800</v>
      </c>
      <c r="H259" s="4" t="s">
        <v>318</v>
      </c>
      <c r="I259" s="4" t="s">
        <v>930</v>
      </c>
      <c r="J259" s="4" t="s">
        <v>79</v>
      </c>
      <c r="K259" s="4" t="s">
        <v>80</v>
      </c>
      <c r="L259" s="2" t="s">
        <v>324</v>
      </c>
      <c r="M259" s="2" t="s">
        <v>343</v>
      </c>
      <c r="N259" s="4" t="s">
        <v>514</v>
      </c>
      <c r="O259" s="4" t="s">
        <v>134</v>
      </c>
      <c r="P259" s="4" t="s">
        <v>84</v>
      </c>
      <c r="Q259" s="152">
        <v>118346</v>
      </c>
      <c r="R259" s="167">
        <v>3.718</v>
      </c>
      <c r="S259" s="169">
        <v>0.01</v>
      </c>
      <c r="U259" s="152">
        <v>4.3999999999999997E-2</v>
      </c>
      <c r="V259" s="166">
        <v>2.1800000000000001E-4</v>
      </c>
      <c r="W259" s="166">
        <v>2.4418211491407799E-7</v>
      </c>
      <c r="X259" s="166">
        <v>4.0930238226467797E-8</v>
      </c>
    </row>
    <row r="260" spans="1:24">
      <c r="A260" s="4">
        <v>337</v>
      </c>
      <c r="B260" s="4">
        <v>9963</v>
      </c>
      <c r="C260" s="4" t="s">
        <v>1801</v>
      </c>
      <c r="D260" s="4" t="s">
        <v>1802</v>
      </c>
      <c r="E260" s="4" t="s">
        <v>1303</v>
      </c>
      <c r="F260" s="4" t="s">
        <v>1801</v>
      </c>
      <c r="G260" s="4" t="s">
        <v>1803</v>
      </c>
      <c r="H260" s="4" t="s">
        <v>318</v>
      </c>
      <c r="I260" s="4" t="s">
        <v>930</v>
      </c>
      <c r="J260" s="4" t="s">
        <v>30</v>
      </c>
      <c r="K260" s="4" t="s">
        <v>30</v>
      </c>
      <c r="L260" s="2" t="s">
        <v>324</v>
      </c>
      <c r="M260" s="2" t="s">
        <v>393</v>
      </c>
      <c r="N260" s="4" t="s">
        <v>527</v>
      </c>
      <c r="O260" s="4" t="s">
        <v>134</v>
      </c>
      <c r="P260" s="4" t="s">
        <v>1181</v>
      </c>
      <c r="Q260" s="152">
        <v>35710</v>
      </c>
      <c r="R260" s="167">
        <v>4.2171000000000003</v>
      </c>
      <c r="S260" s="169">
        <v>200</v>
      </c>
      <c r="U260" s="152">
        <v>301.185</v>
      </c>
      <c r="V260" s="166">
        <v>2.1779999999999998E-3</v>
      </c>
      <c r="W260" s="166">
        <v>1.67141627697407E-3</v>
      </c>
      <c r="X260" s="166">
        <v>2.8016575422085003E-4</v>
      </c>
    </row>
    <row r="261" spans="1:24">
      <c r="A261" s="4">
        <v>337</v>
      </c>
      <c r="B261" s="4">
        <v>9963</v>
      </c>
      <c r="C261" s="4" t="s">
        <v>1777</v>
      </c>
      <c r="D261" s="4" t="s">
        <v>1778</v>
      </c>
      <c r="E261" s="4" t="s">
        <v>311</v>
      </c>
      <c r="F261" s="4" t="s">
        <v>1779</v>
      </c>
      <c r="G261" s="4" t="s">
        <v>1780</v>
      </c>
      <c r="H261" s="4" t="s">
        <v>318</v>
      </c>
      <c r="I261" s="4" t="s">
        <v>930</v>
      </c>
      <c r="J261" s="4" t="s">
        <v>79</v>
      </c>
      <c r="K261" s="4" t="s">
        <v>267</v>
      </c>
      <c r="L261" s="2" t="s">
        <v>324</v>
      </c>
      <c r="M261" s="2" t="s">
        <v>341</v>
      </c>
      <c r="N261" s="4" t="s">
        <v>545</v>
      </c>
      <c r="O261" s="4" t="s">
        <v>134</v>
      </c>
      <c r="P261" s="4" t="s">
        <v>84</v>
      </c>
      <c r="Q261" s="152">
        <v>4900</v>
      </c>
      <c r="R261" s="167">
        <v>3.718</v>
      </c>
      <c r="S261" s="169">
        <v>16600</v>
      </c>
      <c r="T261" s="151">
        <v>3.339</v>
      </c>
      <c r="U261" s="152">
        <v>3036.6350000000002</v>
      </c>
      <c r="V261" s="166">
        <v>9.9999999999999995E-7</v>
      </c>
      <c r="W261" s="166">
        <v>1.6851690868859098E-2</v>
      </c>
      <c r="X261" s="166">
        <v>2.82471024556364E-3</v>
      </c>
    </row>
    <row r="262" spans="1:24">
      <c r="A262" s="4">
        <v>337</v>
      </c>
      <c r="B262" s="4">
        <v>9964</v>
      </c>
      <c r="C262" s="4" t="s">
        <v>1430</v>
      </c>
      <c r="D262" s="4" t="s">
        <v>1431</v>
      </c>
      <c r="E262" s="4" t="s">
        <v>1303</v>
      </c>
      <c r="F262" s="4" t="s">
        <v>1432</v>
      </c>
      <c r="G262" s="4" t="s">
        <v>1433</v>
      </c>
      <c r="H262" s="4" t="s">
        <v>318</v>
      </c>
      <c r="I262" s="4" t="s">
        <v>930</v>
      </c>
      <c r="J262" s="4" t="s">
        <v>30</v>
      </c>
      <c r="K262" s="4" t="s">
        <v>30</v>
      </c>
      <c r="L262" s="2" t="s">
        <v>324</v>
      </c>
      <c r="M262" s="2" t="s">
        <v>41</v>
      </c>
      <c r="N262" s="4" t="s">
        <v>436</v>
      </c>
      <c r="O262" s="4" t="s">
        <v>134</v>
      </c>
      <c r="P262" s="4" t="s">
        <v>34</v>
      </c>
      <c r="Q262" s="152">
        <v>1658</v>
      </c>
      <c r="R262" s="167">
        <v>1</v>
      </c>
      <c r="S262" s="169">
        <v>3240</v>
      </c>
      <c r="U262" s="152">
        <v>53.719000000000001</v>
      </c>
      <c r="V262" s="166">
        <v>6.0000000000000002E-6</v>
      </c>
      <c r="W262" s="166">
        <v>1.3970293560885701E-2</v>
      </c>
      <c r="X262" s="166">
        <v>1.46297271846297E-3</v>
      </c>
    </row>
    <row r="263" spans="1:24">
      <c r="A263" s="4">
        <v>337</v>
      </c>
      <c r="B263" s="4">
        <v>9964</v>
      </c>
      <c r="C263" s="4" t="s">
        <v>1434</v>
      </c>
      <c r="D263" s="4" t="s">
        <v>1435</v>
      </c>
      <c r="E263" s="4" t="s">
        <v>311</v>
      </c>
      <c r="F263" s="4" t="s">
        <v>1436</v>
      </c>
      <c r="G263" s="4" t="s">
        <v>1437</v>
      </c>
      <c r="H263" s="4" t="s">
        <v>318</v>
      </c>
      <c r="I263" s="4" t="s">
        <v>930</v>
      </c>
      <c r="J263" s="4" t="s">
        <v>30</v>
      </c>
      <c r="K263" s="4" t="s">
        <v>80</v>
      </c>
      <c r="L263" s="2" t="s">
        <v>324</v>
      </c>
      <c r="M263" s="2" t="s">
        <v>41</v>
      </c>
      <c r="N263" s="4" t="s">
        <v>437</v>
      </c>
      <c r="O263" s="4" t="s">
        <v>134</v>
      </c>
      <c r="P263" s="4" t="s">
        <v>34</v>
      </c>
      <c r="Q263" s="152">
        <v>228</v>
      </c>
      <c r="R263" s="167">
        <v>1</v>
      </c>
      <c r="S263" s="169">
        <v>26100</v>
      </c>
      <c r="U263" s="152">
        <v>59.508000000000003</v>
      </c>
      <c r="V263" s="166">
        <v>3.9999999999999998E-6</v>
      </c>
      <c r="W263" s="166">
        <v>1.5475737338255E-2</v>
      </c>
      <c r="X263" s="166">
        <v>1.6206231762627601E-3</v>
      </c>
    </row>
    <row r="264" spans="1:24">
      <c r="A264" s="4">
        <v>337</v>
      </c>
      <c r="B264" s="4">
        <v>9964</v>
      </c>
      <c r="C264" s="4" t="s">
        <v>1438</v>
      </c>
      <c r="D264" s="4" t="s">
        <v>1439</v>
      </c>
      <c r="E264" s="4" t="s">
        <v>1303</v>
      </c>
      <c r="F264" s="4" t="s">
        <v>1440</v>
      </c>
      <c r="G264" s="4" t="s">
        <v>1441</v>
      </c>
      <c r="H264" s="4" t="s">
        <v>318</v>
      </c>
      <c r="I264" s="4" t="s">
        <v>930</v>
      </c>
      <c r="J264" s="4" t="s">
        <v>30</v>
      </c>
      <c r="K264" s="4" t="s">
        <v>30</v>
      </c>
      <c r="L264" s="2" t="s">
        <v>324</v>
      </c>
      <c r="M264" s="2" t="s">
        <v>41</v>
      </c>
      <c r="N264" s="4" t="s">
        <v>443</v>
      </c>
      <c r="O264" s="4" t="s">
        <v>134</v>
      </c>
      <c r="P264" s="4" t="s">
        <v>34</v>
      </c>
      <c r="Q264" s="152">
        <v>1275</v>
      </c>
      <c r="R264" s="167">
        <v>1</v>
      </c>
      <c r="S264" s="169">
        <v>1588</v>
      </c>
      <c r="T264" s="151">
        <v>0.24199999999999999</v>
      </c>
      <c r="U264" s="152">
        <v>20.489000000000001</v>
      </c>
      <c r="V264" s="166">
        <v>6.0000000000000002E-6</v>
      </c>
      <c r="W264" s="166">
        <v>5.3282822182177799E-3</v>
      </c>
      <c r="X264" s="166">
        <v>5.5797907807384698E-4</v>
      </c>
    </row>
    <row r="265" spans="1:24">
      <c r="A265" s="4">
        <v>337</v>
      </c>
      <c r="B265" s="4">
        <v>9964</v>
      </c>
      <c r="C265" s="4" t="s">
        <v>1442</v>
      </c>
      <c r="D265" s="4" t="s">
        <v>1443</v>
      </c>
      <c r="E265" s="4" t="s">
        <v>1303</v>
      </c>
      <c r="F265" s="4" t="s">
        <v>1444</v>
      </c>
      <c r="G265" s="4" t="s">
        <v>1445</v>
      </c>
      <c r="H265" s="4" t="s">
        <v>318</v>
      </c>
      <c r="I265" s="4" t="s">
        <v>930</v>
      </c>
      <c r="J265" s="4" t="s">
        <v>30</v>
      </c>
      <c r="K265" s="4" t="s">
        <v>30</v>
      </c>
      <c r="L265" s="2" t="s">
        <v>324</v>
      </c>
      <c r="M265" s="2" t="s">
        <v>41</v>
      </c>
      <c r="N265" s="4" t="s">
        <v>452</v>
      </c>
      <c r="O265" s="4" t="s">
        <v>134</v>
      </c>
      <c r="P265" s="4" t="s">
        <v>34</v>
      </c>
      <c r="Q265" s="152">
        <v>5242</v>
      </c>
      <c r="R265" s="167">
        <v>1</v>
      </c>
      <c r="S265" s="169">
        <v>2089</v>
      </c>
      <c r="U265" s="152">
        <v>109.505</v>
      </c>
      <c r="V265" s="166">
        <v>3.9999999999999998E-6</v>
      </c>
      <c r="W265" s="166">
        <v>2.8478128957548601E-2</v>
      </c>
      <c r="X265" s="166">
        <v>2.9822369555935501E-3</v>
      </c>
    </row>
    <row r="266" spans="1:24">
      <c r="A266" s="4">
        <v>337</v>
      </c>
      <c r="B266" s="4">
        <v>9964</v>
      </c>
      <c r="C266" s="4" t="s">
        <v>1446</v>
      </c>
      <c r="D266" s="4" t="s">
        <v>1447</v>
      </c>
      <c r="E266" s="4" t="s">
        <v>1303</v>
      </c>
      <c r="F266" s="4" t="s">
        <v>1448</v>
      </c>
      <c r="G266" s="4" t="s">
        <v>1449</v>
      </c>
      <c r="H266" s="4" t="s">
        <v>318</v>
      </c>
      <c r="I266" s="4" t="s">
        <v>930</v>
      </c>
      <c r="J266" s="4" t="s">
        <v>30</v>
      </c>
      <c r="K266" s="4" t="s">
        <v>30</v>
      </c>
      <c r="L266" s="2" t="s">
        <v>324</v>
      </c>
      <c r="M266" s="2" t="s">
        <v>41</v>
      </c>
      <c r="N266" s="4" t="s">
        <v>459</v>
      </c>
      <c r="O266" s="4" t="s">
        <v>134</v>
      </c>
      <c r="P266" s="4" t="s">
        <v>34</v>
      </c>
      <c r="Q266" s="152">
        <v>3000</v>
      </c>
      <c r="R266" s="167">
        <v>1</v>
      </c>
      <c r="S266" s="169">
        <v>1524</v>
      </c>
      <c r="U266" s="152">
        <v>45.72</v>
      </c>
      <c r="V266" s="166">
        <v>2.0000000000000002E-5</v>
      </c>
      <c r="W266" s="166">
        <v>1.18900099332025E-2</v>
      </c>
      <c r="X266" s="166">
        <v>1.24512488436401E-3</v>
      </c>
    </row>
    <row r="267" spans="1:24">
      <c r="A267" s="4">
        <v>337</v>
      </c>
      <c r="B267" s="4">
        <v>9964</v>
      </c>
      <c r="C267" s="4" t="s">
        <v>1454</v>
      </c>
      <c r="D267" s="4" t="s">
        <v>1455</v>
      </c>
      <c r="E267" s="4" t="s">
        <v>1303</v>
      </c>
      <c r="F267" s="4" t="s">
        <v>1456</v>
      </c>
      <c r="G267" s="4" t="s">
        <v>1457</v>
      </c>
      <c r="H267" s="4" t="s">
        <v>318</v>
      </c>
      <c r="I267" s="4" t="s">
        <v>930</v>
      </c>
      <c r="J267" s="4" t="s">
        <v>30</v>
      </c>
      <c r="K267" s="4" t="s">
        <v>30</v>
      </c>
      <c r="L267" s="2" t="s">
        <v>324</v>
      </c>
      <c r="M267" s="2" t="s">
        <v>41</v>
      </c>
      <c r="N267" s="4" t="s">
        <v>442</v>
      </c>
      <c r="O267" s="4" t="s">
        <v>134</v>
      </c>
      <c r="P267" s="4" t="s">
        <v>34</v>
      </c>
      <c r="Q267" s="152">
        <v>89</v>
      </c>
      <c r="R267" s="167">
        <v>1</v>
      </c>
      <c r="S267" s="169">
        <v>142500</v>
      </c>
      <c r="U267" s="152">
        <v>126.825</v>
      </c>
      <c r="V267" s="166">
        <v>1.9999999999999999E-6</v>
      </c>
      <c r="W267" s="166">
        <v>3.2982294614575997E-2</v>
      </c>
      <c r="X267" s="166">
        <v>3.45391433638376E-3</v>
      </c>
    </row>
    <row r="268" spans="1:24">
      <c r="A268" s="4">
        <v>337</v>
      </c>
      <c r="B268" s="4">
        <v>9964</v>
      </c>
      <c r="C268" s="4" t="s">
        <v>1458</v>
      </c>
      <c r="D268" s="4" t="s">
        <v>1459</v>
      </c>
      <c r="E268" s="4" t="s">
        <v>1303</v>
      </c>
      <c r="F268" s="4" t="s">
        <v>1460</v>
      </c>
      <c r="G268" s="4" t="s">
        <v>1461</v>
      </c>
      <c r="H268" s="4" t="s">
        <v>318</v>
      </c>
      <c r="I268" s="4" t="s">
        <v>930</v>
      </c>
      <c r="J268" s="4" t="s">
        <v>30</v>
      </c>
      <c r="K268" s="4" t="s">
        <v>30</v>
      </c>
      <c r="L268" s="2" t="s">
        <v>324</v>
      </c>
      <c r="M268" s="2" t="s">
        <v>41</v>
      </c>
      <c r="N268" s="4" t="s">
        <v>460</v>
      </c>
      <c r="O268" s="4" t="s">
        <v>134</v>
      </c>
      <c r="P268" s="4" t="s">
        <v>34</v>
      </c>
      <c r="Q268" s="152">
        <v>992</v>
      </c>
      <c r="R268" s="167">
        <v>1</v>
      </c>
      <c r="S268" s="169">
        <v>2900</v>
      </c>
      <c r="T268" s="151">
        <v>0.23799999999999999</v>
      </c>
      <c r="U268" s="152">
        <v>29.006</v>
      </c>
      <c r="V268" s="166">
        <v>5.0000000000000004E-6</v>
      </c>
      <c r="W268" s="166">
        <v>7.5433635022586999E-3</v>
      </c>
      <c r="X268" s="166">
        <v>7.8994295725838299E-4</v>
      </c>
    </row>
    <row r="269" spans="1:24">
      <c r="A269" s="4">
        <v>337</v>
      </c>
      <c r="B269" s="4">
        <v>9964</v>
      </c>
      <c r="C269" s="4" t="s">
        <v>1466</v>
      </c>
      <c r="D269" s="4" t="s">
        <v>1467</v>
      </c>
      <c r="E269" s="4" t="s">
        <v>1303</v>
      </c>
      <c r="F269" s="4" t="s">
        <v>1468</v>
      </c>
      <c r="G269" s="4" t="s">
        <v>1469</v>
      </c>
      <c r="H269" s="4" t="s">
        <v>318</v>
      </c>
      <c r="I269" s="4" t="s">
        <v>930</v>
      </c>
      <c r="J269" s="4" t="s">
        <v>30</v>
      </c>
      <c r="K269" s="4" t="s">
        <v>30</v>
      </c>
      <c r="L269" s="2" t="s">
        <v>324</v>
      </c>
      <c r="M269" s="2" t="s">
        <v>41</v>
      </c>
      <c r="N269" s="4" t="s">
        <v>460</v>
      </c>
      <c r="O269" s="4" t="s">
        <v>134</v>
      </c>
      <c r="P269" s="4" t="s">
        <v>34</v>
      </c>
      <c r="Q269" s="152">
        <v>684</v>
      </c>
      <c r="R269" s="167">
        <v>1</v>
      </c>
      <c r="S269" s="169">
        <v>1796</v>
      </c>
      <c r="U269" s="152">
        <v>12.285</v>
      </c>
      <c r="V269" s="166">
        <v>9.9999999999999995E-7</v>
      </c>
      <c r="W269" s="166">
        <v>3.1947614091386101E-3</v>
      </c>
      <c r="X269" s="166">
        <v>3.3455623270895699E-4</v>
      </c>
    </row>
    <row r="270" spans="1:24">
      <c r="A270" s="4">
        <v>337</v>
      </c>
      <c r="B270" s="4">
        <v>9964</v>
      </c>
      <c r="C270" s="4" t="s">
        <v>1470</v>
      </c>
      <c r="D270" s="4" t="s">
        <v>1471</v>
      </c>
      <c r="E270" s="4" t="s">
        <v>1303</v>
      </c>
      <c r="F270" s="4" t="s">
        <v>1472</v>
      </c>
      <c r="G270" s="4" t="s">
        <v>1473</v>
      </c>
      <c r="H270" s="4" t="s">
        <v>318</v>
      </c>
      <c r="I270" s="4" t="s">
        <v>930</v>
      </c>
      <c r="J270" s="4" t="s">
        <v>30</v>
      </c>
      <c r="K270" s="4" t="s">
        <v>80</v>
      </c>
      <c r="L270" s="2" t="s">
        <v>324</v>
      </c>
      <c r="M270" s="2" t="s">
        <v>41</v>
      </c>
      <c r="N270" s="4" t="s">
        <v>437</v>
      </c>
      <c r="O270" s="4" t="s">
        <v>134</v>
      </c>
      <c r="P270" s="4" t="s">
        <v>34</v>
      </c>
      <c r="Q270" s="152">
        <v>623.20000000000005</v>
      </c>
      <c r="R270" s="167">
        <v>1</v>
      </c>
      <c r="S270" s="169">
        <v>5941</v>
      </c>
      <c r="U270" s="152">
        <v>37.024000000000001</v>
      </c>
      <c r="V270" s="166">
        <v>5.0000000000000004E-6</v>
      </c>
      <c r="W270" s="166">
        <v>9.6285966196410794E-3</v>
      </c>
      <c r="X270" s="166">
        <v>1.00830910318585E-3</v>
      </c>
    </row>
    <row r="271" spans="1:24">
      <c r="A271" s="4">
        <v>337</v>
      </c>
      <c r="B271" s="4">
        <v>9964</v>
      </c>
      <c r="C271" s="4" t="s">
        <v>1474</v>
      </c>
      <c r="D271" s="4" t="s">
        <v>1475</v>
      </c>
      <c r="E271" s="4" t="s">
        <v>311</v>
      </c>
      <c r="F271" s="4" t="s">
        <v>1476</v>
      </c>
      <c r="G271" s="4" t="s">
        <v>1477</v>
      </c>
      <c r="H271" s="4" t="s">
        <v>318</v>
      </c>
      <c r="I271" s="4" t="s">
        <v>930</v>
      </c>
      <c r="J271" s="4" t="s">
        <v>30</v>
      </c>
      <c r="K271" s="4" t="s">
        <v>232</v>
      </c>
      <c r="L271" s="2" t="s">
        <v>324</v>
      </c>
      <c r="M271" s="2" t="s">
        <v>41</v>
      </c>
      <c r="N271" s="4" t="s">
        <v>450</v>
      </c>
      <c r="O271" s="4" t="s">
        <v>134</v>
      </c>
      <c r="P271" s="4" t="s">
        <v>34</v>
      </c>
      <c r="Q271" s="152">
        <v>1870</v>
      </c>
      <c r="R271" s="167">
        <v>1</v>
      </c>
      <c r="S271" s="169">
        <v>4205</v>
      </c>
      <c r="T271" s="151">
        <v>2.0859999999999999</v>
      </c>
      <c r="U271" s="152">
        <v>80.718999999999994</v>
      </c>
      <c r="V271" s="166">
        <v>1.0000000000000001E-5</v>
      </c>
      <c r="W271" s="166">
        <v>2.09919784562803E-2</v>
      </c>
      <c r="X271" s="166">
        <v>2.19828535844694E-3</v>
      </c>
    </row>
    <row r="272" spans="1:24">
      <c r="A272" s="4">
        <v>337</v>
      </c>
      <c r="B272" s="4">
        <v>9964</v>
      </c>
      <c r="C272" s="4" t="s">
        <v>1478</v>
      </c>
      <c r="D272" s="4" t="s">
        <v>1479</v>
      </c>
      <c r="E272" s="4" t="s">
        <v>1303</v>
      </c>
      <c r="F272" s="4" t="s">
        <v>1480</v>
      </c>
      <c r="G272" s="4" t="s">
        <v>1481</v>
      </c>
      <c r="H272" s="4" t="s">
        <v>318</v>
      </c>
      <c r="I272" s="4" t="s">
        <v>930</v>
      </c>
      <c r="J272" s="4" t="s">
        <v>30</v>
      </c>
      <c r="K272" s="4" t="s">
        <v>30</v>
      </c>
      <c r="L272" s="2" t="s">
        <v>324</v>
      </c>
      <c r="M272" s="2" t="s">
        <v>41</v>
      </c>
      <c r="N272" s="4" t="s">
        <v>437</v>
      </c>
      <c r="O272" s="4" t="s">
        <v>134</v>
      </c>
      <c r="P272" s="4" t="s">
        <v>34</v>
      </c>
      <c r="Q272" s="152">
        <v>4150</v>
      </c>
      <c r="R272" s="167">
        <v>1</v>
      </c>
      <c r="S272" s="169">
        <v>1013</v>
      </c>
      <c r="T272" s="151">
        <v>0.41499999999999998</v>
      </c>
      <c r="U272" s="152">
        <v>42.454999999999998</v>
      </c>
      <c r="V272" s="166">
        <v>7.9999999999999996E-6</v>
      </c>
      <c r="W272" s="166">
        <v>1.1040779236858001E-2</v>
      </c>
      <c r="X272" s="166">
        <v>1.15619322841715E-3</v>
      </c>
    </row>
    <row r="273" spans="1:24">
      <c r="A273" s="4">
        <v>337</v>
      </c>
      <c r="B273" s="4">
        <v>9964</v>
      </c>
      <c r="C273" s="4" t="s">
        <v>1482</v>
      </c>
      <c r="D273" s="4" t="s">
        <v>1483</v>
      </c>
      <c r="E273" s="4" t="s">
        <v>1303</v>
      </c>
      <c r="F273" s="4" t="s">
        <v>1484</v>
      </c>
      <c r="G273" s="4" t="s">
        <v>1485</v>
      </c>
      <c r="H273" s="4" t="s">
        <v>318</v>
      </c>
      <c r="I273" s="4" t="s">
        <v>930</v>
      </c>
      <c r="J273" s="4" t="s">
        <v>30</v>
      </c>
      <c r="K273" s="4" t="s">
        <v>30</v>
      </c>
      <c r="L273" s="2" t="s">
        <v>324</v>
      </c>
      <c r="M273" s="2" t="s">
        <v>41</v>
      </c>
      <c r="N273" s="4" t="s">
        <v>443</v>
      </c>
      <c r="O273" s="4" t="s">
        <v>134</v>
      </c>
      <c r="P273" s="4" t="s">
        <v>34</v>
      </c>
      <c r="Q273" s="152">
        <v>2</v>
      </c>
      <c r="R273" s="167">
        <v>1</v>
      </c>
      <c r="S273" s="169">
        <v>22350</v>
      </c>
      <c r="U273" s="152">
        <v>0.44700000000000001</v>
      </c>
      <c r="V273" s="166">
        <v>0</v>
      </c>
      <c r="W273" s="166">
        <v>1.16247472444041E-4</v>
      </c>
      <c r="X273" s="166">
        <v>1.21734650767872E-5</v>
      </c>
    </row>
    <row r="274" spans="1:24">
      <c r="A274" s="4">
        <v>337</v>
      </c>
      <c r="B274" s="4">
        <v>9964</v>
      </c>
      <c r="C274" s="4" t="s">
        <v>1489</v>
      </c>
      <c r="D274" s="4" t="s">
        <v>1490</v>
      </c>
      <c r="E274" s="4" t="s">
        <v>1303</v>
      </c>
      <c r="F274" s="4" t="s">
        <v>1491</v>
      </c>
      <c r="G274" s="4" t="s">
        <v>1492</v>
      </c>
      <c r="H274" s="4" t="s">
        <v>318</v>
      </c>
      <c r="I274" s="4" t="s">
        <v>930</v>
      </c>
      <c r="J274" s="4" t="s">
        <v>30</v>
      </c>
      <c r="K274" s="4" t="s">
        <v>30</v>
      </c>
      <c r="L274" s="2" t="s">
        <v>324</v>
      </c>
      <c r="M274" s="2" t="s">
        <v>41</v>
      </c>
      <c r="N274" s="4" t="s">
        <v>443</v>
      </c>
      <c r="O274" s="4" t="s">
        <v>134</v>
      </c>
      <c r="P274" s="4" t="s">
        <v>34</v>
      </c>
      <c r="Q274" s="152">
        <v>700</v>
      </c>
      <c r="R274" s="167">
        <v>1</v>
      </c>
      <c r="S274" s="169">
        <v>5080</v>
      </c>
      <c r="U274" s="152">
        <v>35.56</v>
      </c>
      <c r="V274" s="166">
        <v>6.0000000000000002E-6</v>
      </c>
      <c r="W274" s="166">
        <v>9.2477855036019792E-3</v>
      </c>
      <c r="X274" s="166">
        <v>9.68430465616453E-4</v>
      </c>
    </row>
    <row r="275" spans="1:24">
      <c r="A275" s="4">
        <v>337</v>
      </c>
      <c r="B275" s="4">
        <v>9964</v>
      </c>
      <c r="C275" s="4" t="s">
        <v>1493</v>
      </c>
      <c r="D275" s="4" t="s">
        <v>1494</v>
      </c>
      <c r="E275" s="4" t="s">
        <v>1303</v>
      </c>
      <c r="F275" s="4" t="s">
        <v>1495</v>
      </c>
      <c r="G275" s="4" t="s">
        <v>1496</v>
      </c>
      <c r="H275" s="4" t="s">
        <v>318</v>
      </c>
      <c r="I275" s="4" t="s">
        <v>930</v>
      </c>
      <c r="J275" s="4" t="s">
        <v>30</v>
      </c>
      <c r="K275" s="4" t="s">
        <v>30</v>
      </c>
      <c r="L275" s="2" t="s">
        <v>324</v>
      </c>
      <c r="M275" s="2" t="s">
        <v>41</v>
      </c>
      <c r="N275" s="4" t="s">
        <v>481</v>
      </c>
      <c r="O275" s="4" t="s">
        <v>134</v>
      </c>
      <c r="P275" s="4" t="s">
        <v>34</v>
      </c>
      <c r="Q275" s="152">
        <v>15293</v>
      </c>
      <c r="R275" s="167">
        <v>1</v>
      </c>
      <c r="S275" s="169">
        <v>546.6</v>
      </c>
      <c r="U275" s="152">
        <v>83.591999999999999</v>
      </c>
      <c r="V275" s="166">
        <v>6.0000000000000002E-6</v>
      </c>
      <c r="W275" s="166">
        <v>2.1738937383020102E-2</v>
      </c>
      <c r="X275" s="166">
        <v>2.2765070884965002E-3</v>
      </c>
    </row>
    <row r="276" spans="1:24">
      <c r="A276" s="4">
        <v>337</v>
      </c>
      <c r="B276" s="4">
        <v>9964</v>
      </c>
      <c r="C276" s="4" t="s">
        <v>1497</v>
      </c>
      <c r="D276" s="4" t="s">
        <v>1498</v>
      </c>
      <c r="E276" s="4" t="s">
        <v>1303</v>
      </c>
      <c r="F276" s="4" t="s">
        <v>1499</v>
      </c>
      <c r="G276" s="4" t="s">
        <v>1500</v>
      </c>
      <c r="H276" s="4" t="s">
        <v>318</v>
      </c>
      <c r="I276" s="4" t="s">
        <v>930</v>
      </c>
      <c r="J276" s="4" t="s">
        <v>30</v>
      </c>
      <c r="K276" s="4" t="s">
        <v>30</v>
      </c>
      <c r="L276" s="2" t="s">
        <v>324</v>
      </c>
      <c r="M276" s="2" t="s">
        <v>41</v>
      </c>
      <c r="N276" s="4" t="s">
        <v>460</v>
      </c>
      <c r="O276" s="4" t="s">
        <v>134</v>
      </c>
      <c r="P276" s="4" t="s">
        <v>34</v>
      </c>
      <c r="Q276" s="152">
        <v>179</v>
      </c>
      <c r="R276" s="167">
        <v>1</v>
      </c>
      <c r="S276" s="169">
        <v>51410</v>
      </c>
      <c r="U276" s="152">
        <v>92.024000000000001</v>
      </c>
      <c r="V276" s="166">
        <v>6.9999999999999999E-6</v>
      </c>
      <c r="W276" s="166">
        <v>2.3931869752669199E-2</v>
      </c>
      <c r="X276" s="166">
        <v>2.5061515276952199E-3</v>
      </c>
    </row>
    <row r="277" spans="1:24">
      <c r="A277" s="4">
        <v>337</v>
      </c>
      <c r="B277" s="4">
        <v>9964</v>
      </c>
      <c r="C277" s="4" t="s">
        <v>1501</v>
      </c>
      <c r="D277" s="4" t="s">
        <v>1502</v>
      </c>
      <c r="E277" s="4" t="s">
        <v>1303</v>
      </c>
      <c r="F277" s="4" t="s">
        <v>1503</v>
      </c>
      <c r="G277" s="4" t="s">
        <v>1504</v>
      </c>
      <c r="H277" s="4" t="s">
        <v>318</v>
      </c>
      <c r="I277" s="4" t="s">
        <v>930</v>
      </c>
      <c r="J277" s="4" t="s">
        <v>30</v>
      </c>
      <c r="K277" s="4" t="s">
        <v>30</v>
      </c>
      <c r="L277" s="2" t="s">
        <v>324</v>
      </c>
      <c r="M277" s="2" t="s">
        <v>41</v>
      </c>
      <c r="N277" s="4" t="s">
        <v>444</v>
      </c>
      <c r="O277" s="4" t="s">
        <v>134</v>
      </c>
      <c r="P277" s="4" t="s">
        <v>34</v>
      </c>
      <c r="Q277" s="152">
        <v>365</v>
      </c>
      <c r="R277" s="167">
        <v>1</v>
      </c>
      <c r="S277" s="169">
        <v>18720</v>
      </c>
      <c r="U277" s="152">
        <v>68.328000000000003</v>
      </c>
      <c r="V277" s="166">
        <v>3.9999999999999998E-6</v>
      </c>
      <c r="W277" s="166">
        <v>1.7769479411983001E-2</v>
      </c>
      <c r="X277" s="166">
        <v>1.86082443348259E-3</v>
      </c>
    </row>
    <row r="278" spans="1:24">
      <c r="A278" s="4">
        <v>337</v>
      </c>
      <c r="B278" s="4">
        <v>9964</v>
      </c>
      <c r="C278" s="4" t="s">
        <v>1505</v>
      </c>
      <c r="D278" s="4" t="s">
        <v>1506</v>
      </c>
      <c r="E278" s="4" t="s">
        <v>1303</v>
      </c>
      <c r="F278" s="4" t="s">
        <v>1507</v>
      </c>
      <c r="G278" s="4" t="s">
        <v>1508</v>
      </c>
      <c r="H278" s="4" t="s">
        <v>318</v>
      </c>
      <c r="I278" s="4" t="s">
        <v>930</v>
      </c>
      <c r="J278" s="4" t="s">
        <v>30</v>
      </c>
      <c r="K278" s="4" t="s">
        <v>30</v>
      </c>
      <c r="L278" s="2" t="s">
        <v>324</v>
      </c>
      <c r="M278" s="2" t="s">
        <v>41</v>
      </c>
      <c r="N278" s="4" t="s">
        <v>460</v>
      </c>
      <c r="O278" s="4" t="s">
        <v>134</v>
      </c>
      <c r="P278" s="4" t="s">
        <v>34</v>
      </c>
      <c r="Q278" s="152">
        <v>2185</v>
      </c>
      <c r="R278" s="167">
        <v>1</v>
      </c>
      <c r="S278" s="169">
        <v>1373</v>
      </c>
      <c r="U278" s="152">
        <v>30</v>
      </c>
      <c r="V278" s="166">
        <v>3.1000000000000001E-5</v>
      </c>
      <c r="W278" s="166">
        <v>7.8018567912636304E-3</v>
      </c>
      <c r="X278" s="166">
        <v>8.1701244066414199E-4</v>
      </c>
    </row>
    <row r="279" spans="1:24">
      <c r="A279" s="4">
        <v>337</v>
      </c>
      <c r="B279" s="4">
        <v>9964</v>
      </c>
      <c r="C279" s="4" t="s">
        <v>1509</v>
      </c>
      <c r="D279" s="4" t="s">
        <v>1510</v>
      </c>
      <c r="E279" s="4" t="s">
        <v>1303</v>
      </c>
      <c r="F279" s="4" t="s">
        <v>1511</v>
      </c>
      <c r="G279" s="4" t="s">
        <v>1512</v>
      </c>
      <c r="H279" s="4" t="s">
        <v>318</v>
      </c>
      <c r="I279" s="4" t="s">
        <v>930</v>
      </c>
      <c r="J279" s="4" t="s">
        <v>30</v>
      </c>
      <c r="K279" s="4" t="s">
        <v>30</v>
      </c>
      <c r="L279" s="2" t="s">
        <v>324</v>
      </c>
      <c r="M279" s="2" t="s">
        <v>41</v>
      </c>
      <c r="N279" s="4" t="s">
        <v>459</v>
      </c>
      <c r="O279" s="4" t="s">
        <v>134</v>
      </c>
      <c r="P279" s="4" t="s">
        <v>34</v>
      </c>
      <c r="Q279" s="152">
        <v>205</v>
      </c>
      <c r="R279" s="167">
        <v>1</v>
      </c>
      <c r="S279" s="169">
        <v>47350</v>
      </c>
      <c r="U279" s="152">
        <v>97.066999999999993</v>
      </c>
      <c r="V279" s="166">
        <v>2.3E-5</v>
      </c>
      <c r="W279" s="166">
        <v>2.5243515730339901E-2</v>
      </c>
      <c r="X279" s="166">
        <v>2.6435074302931698E-3</v>
      </c>
    </row>
    <row r="280" spans="1:24">
      <c r="A280" s="4">
        <v>337</v>
      </c>
      <c r="B280" s="4">
        <v>9964</v>
      </c>
      <c r="C280" s="4" t="s">
        <v>1521</v>
      </c>
      <c r="D280" s="4" t="s">
        <v>1522</v>
      </c>
      <c r="E280" s="4" t="s">
        <v>1303</v>
      </c>
      <c r="F280" s="4" t="s">
        <v>1523</v>
      </c>
      <c r="G280" s="4" t="s">
        <v>1524</v>
      </c>
      <c r="H280" s="4" t="s">
        <v>318</v>
      </c>
      <c r="I280" s="4" t="s">
        <v>930</v>
      </c>
      <c r="J280" s="4" t="s">
        <v>30</v>
      </c>
      <c r="K280" s="4" t="s">
        <v>30</v>
      </c>
      <c r="L280" s="2" t="s">
        <v>324</v>
      </c>
      <c r="M280" s="2" t="s">
        <v>41</v>
      </c>
      <c r="N280" s="4" t="s">
        <v>444</v>
      </c>
      <c r="O280" s="4" t="s">
        <v>134</v>
      </c>
      <c r="P280" s="4" t="s">
        <v>34</v>
      </c>
      <c r="Q280" s="152">
        <v>2833</v>
      </c>
      <c r="R280" s="167">
        <v>1</v>
      </c>
      <c r="S280" s="169">
        <v>2572</v>
      </c>
      <c r="T280" s="151">
        <v>0.72399999999999998</v>
      </c>
      <c r="U280" s="152">
        <v>73.588999999999999</v>
      </c>
      <c r="V280" s="166">
        <v>1.9999999999999999E-6</v>
      </c>
      <c r="W280" s="166">
        <v>1.9137634144211501E-2</v>
      </c>
      <c r="X280" s="166">
        <v>2.0040979473255902E-3</v>
      </c>
    </row>
    <row r="281" spans="1:24">
      <c r="A281" s="4">
        <v>337</v>
      </c>
      <c r="B281" s="4">
        <v>9964</v>
      </c>
      <c r="C281" s="4" t="s">
        <v>1529</v>
      </c>
      <c r="D281" s="4" t="s">
        <v>1530</v>
      </c>
      <c r="E281" s="4" t="s">
        <v>1303</v>
      </c>
      <c r="F281" s="4" t="s">
        <v>1531</v>
      </c>
      <c r="G281" s="4" t="s">
        <v>1532</v>
      </c>
      <c r="H281" s="4" t="s">
        <v>318</v>
      </c>
      <c r="I281" s="4" t="s">
        <v>930</v>
      </c>
      <c r="J281" s="4" t="s">
        <v>30</v>
      </c>
      <c r="K281" s="4" t="s">
        <v>30</v>
      </c>
      <c r="L281" s="2" t="s">
        <v>324</v>
      </c>
      <c r="M281" s="2" t="s">
        <v>41</v>
      </c>
      <c r="N281" s="4" t="s">
        <v>472</v>
      </c>
      <c r="O281" s="4" t="s">
        <v>134</v>
      </c>
      <c r="P281" s="4" t="s">
        <v>34</v>
      </c>
      <c r="Q281" s="152">
        <v>324</v>
      </c>
      <c r="R281" s="167">
        <v>1</v>
      </c>
      <c r="S281" s="169">
        <v>7251</v>
      </c>
      <c r="U281" s="152">
        <v>23.492999999999999</v>
      </c>
      <c r="V281" s="166">
        <v>1.2999999999999999E-5</v>
      </c>
      <c r="W281" s="166">
        <v>6.1096862852823997E-3</v>
      </c>
      <c r="X281" s="166">
        <v>6.3980791203709401E-4</v>
      </c>
    </row>
    <row r="282" spans="1:24">
      <c r="A282" s="4">
        <v>337</v>
      </c>
      <c r="B282" s="4">
        <v>9964</v>
      </c>
      <c r="C282" s="4" t="s">
        <v>1537</v>
      </c>
      <c r="D282" s="4" t="s">
        <v>1538</v>
      </c>
      <c r="E282" s="4" t="s">
        <v>1303</v>
      </c>
      <c r="F282" s="4" t="s">
        <v>1539</v>
      </c>
      <c r="G282" s="4" t="s">
        <v>1540</v>
      </c>
      <c r="H282" s="4" t="s">
        <v>318</v>
      </c>
      <c r="I282" s="4" t="s">
        <v>930</v>
      </c>
      <c r="J282" s="4" t="s">
        <v>30</v>
      </c>
      <c r="K282" s="4" t="s">
        <v>30</v>
      </c>
      <c r="L282" s="2" t="s">
        <v>324</v>
      </c>
      <c r="M282" s="2" t="s">
        <v>41</v>
      </c>
      <c r="N282" s="4" t="s">
        <v>474</v>
      </c>
      <c r="O282" s="4" t="s">
        <v>134</v>
      </c>
      <c r="P282" s="4" t="s">
        <v>34</v>
      </c>
      <c r="Q282" s="152">
        <v>10000</v>
      </c>
      <c r="R282" s="167">
        <v>1</v>
      </c>
      <c r="S282" s="169">
        <v>638.4</v>
      </c>
      <c r="U282" s="152">
        <v>63.84</v>
      </c>
      <c r="V282" s="166">
        <v>1.0900000000000001E-4</v>
      </c>
      <c r="W282" s="166">
        <v>1.6602323581269701E-2</v>
      </c>
      <c r="X282" s="166">
        <v>1.7385995760673301E-3</v>
      </c>
    </row>
    <row r="283" spans="1:24">
      <c r="A283" s="4">
        <v>337</v>
      </c>
      <c r="B283" s="4">
        <v>9964</v>
      </c>
      <c r="C283" s="4" t="s">
        <v>1541</v>
      </c>
      <c r="D283" s="4" t="s">
        <v>1542</v>
      </c>
      <c r="E283" s="4" t="s">
        <v>1303</v>
      </c>
      <c r="F283" s="4" t="s">
        <v>1543</v>
      </c>
      <c r="G283" s="4" t="s">
        <v>1544</v>
      </c>
      <c r="H283" s="4" t="s">
        <v>318</v>
      </c>
      <c r="I283" s="4" t="s">
        <v>930</v>
      </c>
      <c r="J283" s="4" t="s">
        <v>30</v>
      </c>
      <c r="K283" s="4" t="s">
        <v>30</v>
      </c>
      <c r="L283" s="2" t="s">
        <v>324</v>
      </c>
      <c r="M283" s="2" t="s">
        <v>41</v>
      </c>
      <c r="N283" s="4" t="s">
        <v>443</v>
      </c>
      <c r="O283" s="4" t="s">
        <v>134</v>
      </c>
      <c r="P283" s="4" t="s">
        <v>34</v>
      </c>
      <c r="Q283" s="152">
        <v>5000</v>
      </c>
      <c r="R283" s="167">
        <v>1</v>
      </c>
      <c r="S283" s="169">
        <v>665.7</v>
      </c>
      <c r="U283" s="152">
        <v>33.284999999999997</v>
      </c>
      <c r="V283" s="166">
        <v>5.8E-5</v>
      </c>
      <c r="W283" s="166">
        <v>8.6561456829975202E-3</v>
      </c>
      <c r="X283" s="166">
        <v>9.06473792127212E-4</v>
      </c>
    </row>
    <row r="284" spans="1:24">
      <c r="A284" s="4">
        <v>337</v>
      </c>
      <c r="B284" s="4">
        <v>9964</v>
      </c>
      <c r="C284" s="4" t="s">
        <v>1545</v>
      </c>
      <c r="D284" s="4" t="s">
        <v>1546</v>
      </c>
      <c r="E284" s="4" t="s">
        <v>1303</v>
      </c>
      <c r="F284" s="4" t="s">
        <v>1547</v>
      </c>
      <c r="G284" s="4" t="s">
        <v>1548</v>
      </c>
      <c r="H284" s="4" t="s">
        <v>318</v>
      </c>
      <c r="I284" s="4" t="s">
        <v>930</v>
      </c>
      <c r="J284" s="4" t="s">
        <v>30</v>
      </c>
      <c r="K284" s="4" t="s">
        <v>30</v>
      </c>
      <c r="L284" s="2" t="s">
        <v>324</v>
      </c>
      <c r="M284" s="2" t="s">
        <v>41</v>
      </c>
      <c r="N284" s="4" t="s">
        <v>441</v>
      </c>
      <c r="O284" s="4" t="s">
        <v>134</v>
      </c>
      <c r="P284" s="4" t="s">
        <v>34</v>
      </c>
      <c r="Q284" s="152">
        <v>1615</v>
      </c>
      <c r="R284" s="167">
        <v>1</v>
      </c>
      <c r="S284" s="169">
        <v>6881</v>
      </c>
      <c r="U284" s="152">
        <v>111.128</v>
      </c>
      <c r="V284" s="166">
        <v>6.0000000000000002E-6</v>
      </c>
      <c r="W284" s="166">
        <v>2.8900148892354E-2</v>
      </c>
      <c r="X284" s="166">
        <v>3.0264309912147098E-3</v>
      </c>
    </row>
    <row r="285" spans="1:24">
      <c r="A285" s="4">
        <v>337</v>
      </c>
      <c r="B285" s="4">
        <v>9964</v>
      </c>
      <c r="C285" s="4" t="s">
        <v>1549</v>
      </c>
      <c r="D285" s="4" t="s">
        <v>1550</v>
      </c>
      <c r="E285" s="4" t="s">
        <v>1303</v>
      </c>
      <c r="F285" s="4" t="s">
        <v>1551</v>
      </c>
      <c r="G285" s="4" t="s">
        <v>1552</v>
      </c>
      <c r="H285" s="4" t="s">
        <v>318</v>
      </c>
      <c r="I285" s="4" t="s">
        <v>930</v>
      </c>
      <c r="J285" s="4" t="s">
        <v>30</v>
      </c>
      <c r="K285" s="4" t="s">
        <v>30</v>
      </c>
      <c r="L285" s="2" t="s">
        <v>324</v>
      </c>
      <c r="M285" s="2" t="s">
        <v>41</v>
      </c>
      <c r="N285" s="4" t="s">
        <v>473</v>
      </c>
      <c r="O285" s="4" t="s">
        <v>134</v>
      </c>
      <c r="P285" s="4" t="s">
        <v>34</v>
      </c>
      <c r="Q285" s="152">
        <v>627</v>
      </c>
      <c r="R285" s="167">
        <v>1</v>
      </c>
      <c r="S285" s="169">
        <v>6861</v>
      </c>
      <c r="T285" s="151">
        <v>0.39100000000000001</v>
      </c>
      <c r="U285" s="152">
        <v>43.408999999999999</v>
      </c>
      <c r="V285" s="166">
        <v>9.0000000000000002E-6</v>
      </c>
      <c r="W285" s="166">
        <v>1.1289041708042E-2</v>
      </c>
      <c r="X285" s="166">
        <v>1.1821913379613401E-3</v>
      </c>
    </row>
    <row r="286" spans="1:24">
      <c r="A286" s="4">
        <v>337</v>
      </c>
      <c r="B286" s="4">
        <v>9964</v>
      </c>
      <c r="C286" s="4" t="s">
        <v>1781</v>
      </c>
      <c r="D286" s="4" t="s">
        <v>1782</v>
      </c>
      <c r="E286" s="4" t="s">
        <v>1303</v>
      </c>
      <c r="F286" s="4" t="s">
        <v>1783</v>
      </c>
      <c r="G286" s="4" t="s">
        <v>1784</v>
      </c>
      <c r="H286" s="4" t="s">
        <v>318</v>
      </c>
      <c r="I286" s="4" t="s">
        <v>930</v>
      </c>
      <c r="J286" s="4" t="s">
        <v>30</v>
      </c>
      <c r="K286" s="4" t="s">
        <v>30</v>
      </c>
      <c r="L286" s="2" t="s">
        <v>324</v>
      </c>
      <c r="M286" s="2" t="s">
        <v>41</v>
      </c>
      <c r="N286" s="4" t="s">
        <v>447</v>
      </c>
      <c r="O286" s="4" t="s">
        <v>134</v>
      </c>
      <c r="P286" s="4" t="s">
        <v>34</v>
      </c>
      <c r="Q286" s="152">
        <v>41</v>
      </c>
      <c r="R286" s="167">
        <v>1</v>
      </c>
      <c r="S286" s="169">
        <v>99210</v>
      </c>
      <c r="U286" s="152">
        <v>40.676000000000002</v>
      </c>
      <c r="V286" s="166">
        <v>5.0000000000000004E-6</v>
      </c>
      <c r="W286" s="166">
        <v>1.05782859370941E-2</v>
      </c>
      <c r="X286" s="166">
        <v>1.1077608116552701E-3</v>
      </c>
    </row>
    <row r="287" spans="1:24">
      <c r="A287" s="4">
        <v>337</v>
      </c>
      <c r="B287" s="4">
        <v>9964</v>
      </c>
      <c r="C287" s="4" t="s">
        <v>1553</v>
      </c>
      <c r="D287" s="4" t="s">
        <v>1554</v>
      </c>
      <c r="E287" s="4" t="s">
        <v>1303</v>
      </c>
      <c r="F287" s="4" t="s">
        <v>1555</v>
      </c>
      <c r="G287" s="4" t="s">
        <v>1556</v>
      </c>
      <c r="H287" s="4" t="s">
        <v>318</v>
      </c>
      <c r="I287" s="4" t="s">
        <v>930</v>
      </c>
      <c r="J287" s="4" t="s">
        <v>30</v>
      </c>
      <c r="K287" s="4" t="s">
        <v>30</v>
      </c>
      <c r="L287" s="2" t="s">
        <v>324</v>
      </c>
      <c r="M287" s="2" t="s">
        <v>41</v>
      </c>
      <c r="N287" s="4" t="s">
        <v>443</v>
      </c>
      <c r="O287" s="4" t="s">
        <v>134</v>
      </c>
      <c r="P287" s="4" t="s">
        <v>34</v>
      </c>
      <c r="Q287" s="152">
        <v>672</v>
      </c>
      <c r="R287" s="167">
        <v>1</v>
      </c>
      <c r="S287" s="169">
        <v>1708</v>
      </c>
      <c r="U287" s="152">
        <v>11.478</v>
      </c>
      <c r="V287" s="166">
        <v>1.1E-5</v>
      </c>
      <c r="W287" s="166">
        <v>2.9849230186114401E-3</v>
      </c>
      <c r="X287" s="166">
        <v>3.1258190272873701E-4</v>
      </c>
    </row>
    <row r="288" spans="1:24">
      <c r="A288" s="4">
        <v>337</v>
      </c>
      <c r="B288" s="4">
        <v>9964</v>
      </c>
      <c r="C288" s="4" t="s">
        <v>1557</v>
      </c>
      <c r="D288" s="4" t="s">
        <v>1558</v>
      </c>
      <c r="E288" s="4" t="s">
        <v>1303</v>
      </c>
      <c r="F288" s="4" t="s">
        <v>1559</v>
      </c>
      <c r="G288" s="4" t="s">
        <v>1560</v>
      </c>
      <c r="H288" s="4" t="s">
        <v>318</v>
      </c>
      <c r="I288" s="4" t="s">
        <v>930</v>
      </c>
      <c r="J288" s="4" t="s">
        <v>30</v>
      </c>
      <c r="K288" s="4" t="s">
        <v>30</v>
      </c>
      <c r="L288" s="2" t="s">
        <v>324</v>
      </c>
      <c r="M288" s="2" t="s">
        <v>41</v>
      </c>
      <c r="N288" s="4" t="s">
        <v>473</v>
      </c>
      <c r="O288" s="4" t="s">
        <v>134</v>
      </c>
      <c r="P288" s="4" t="s">
        <v>34</v>
      </c>
      <c r="Q288" s="152">
        <v>98</v>
      </c>
      <c r="R288" s="167">
        <v>1</v>
      </c>
      <c r="S288" s="169">
        <v>22740</v>
      </c>
      <c r="U288" s="152">
        <v>22.285</v>
      </c>
      <c r="V288" s="166">
        <v>3.9999999999999998E-6</v>
      </c>
      <c r="W288" s="166">
        <v>5.7955216396195402E-3</v>
      </c>
      <c r="X288" s="166">
        <v>6.0690850990876796E-4</v>
      </c>
    </row>
    <row r="289" spans="1:24">
      <c r="A289" s="4">
        <v>337</v>
      </c>
      <c r="B289" s="4">
        <v>9964</v>
      </c>
      <c r="C289" s="4" t="s">
        <v>1561</v>
      </c>
      <c r="D289" s="4" t="s">
        <v>1562</v>
      </c>
      <c r="E289" s="4" t="s">
        <v>1303</v>
      </c>
      <c r="F289" s="4" t="s">
        <v>1563</v>
      </c>
      <c r="G289" s="4" t="s">
        <v>1564</v>
      </c>
      <c r="H289" s="4" t="s">
        <v>318</v>
      </c>
      <c r="I289" s="4" t="s">
        <v>930</v>
      </c>
      <c r="J289" s="4" t="s">
        <v>30</v>
      </c>
      <c r="K289" s="4" t="s">
        <v>30</v>
      </c>
      <c r="L289" s="2" t="s">
        <v>324</v>
      </c>
      <c r="M289" s="2" t="s">
        <v>41</v>
      </c>
      <c r="N289" s="4" t="s">
        <v>459</v>
      </c>
      <c r="O289" s="4" t="s">
        <v>134</v>
      </c>
      <c r="P289" s="4" t="s">
        <v>34</v>
      </c>
      <c r="Q289" s="152">
        <v>1513</v>
      </c>
      <c r="R289" s="167">
        <v>1</v>
      </c>
      <c r="S289" s="169">
        <v>1352</v>
      </c>
      <c r="U289" s="152">
        <v>20.456</v>
      </c>
      <c r="V289" s="166">
        <v>4.1E-5</v>
      </c>
      <c r="W289" s="166">
        <v>5.3197548029572904E-3</v>
      </c>
      <c r="X289" s="166">
        <v>5.57086084964522E-4</v>
      </c>
    </row>
    <row r="290" spans="1:24">
      <c r="A290" s="4">
        <v>337</v>
      </c>
      <c r="B290" s="4">
        <v>9964</v>
      </c>
      <c r="C290" s="4" t="s">
        <v>1565</v>
      </c>
      <c r="D290" s="4" t="s">
        <v>1566</v>
      </c>
      <c r="E290" s="4" t="s">
        <v>1303</v>
      </c>
      <c r="F290" s="4" t="s">
        <v>1567</v>
      </c>
      <c r="G290" s="4" t="s">
        <v>1568</v>
      </c>
      <c r="H290" s="4" t="s">
        <v>318</v>
      </c>
      <c r="I290" s="4" t="s">
        <v>930</v>
      </c>
      <c r="J290" s="4" t="s">
        <v>30</v>
      </c>
      <c r="K290" s="4" t="s">
        <v>295</v>
      </c>
      <c r="L290" s="2" t="s">
        <v>324</v>
      </c>
      <c r="M290" s="2" t="s">
        <v>41</v>
      </c>
      <c r="N290" s="4" t="s">
        <v>454</v>
      </c>
      <c r="O290" s="4" t="s">
        <v>134</v>
      </c>
      <c r="P290" s="4" t="s">
        <v>34</v>
      </c>
      <c r="Q290" s="152">
        <v>207</v>
      </c>
      <c r="R290" s="167">
        <v>1</v>
      </c>
      <c r="S290" s="169">
        <v>13000</v>
      </c>
      <c r="U290" s="152">
        <v>26.91</v>
      </c>
      <c r="V290" s="166">
        <v>1.9999999999999999E-6</v>
      </c>
      <c r="W290" s="166">
        <v>6.9982538780070103E-3</v>
      </c>
      <c r="X290" s="166">
        <v>7.3285893784417197E-4</v>
      </c>
    </row>
    <row r="291" spans="1:24">
      <c r="A291" s="4">
        <v>337</v>
      </c>
      <c r="B291" s="4">
        <v>9964</v>
      </c>
      <c r="C291" s="4" t="s">
        <v>1569</v>
      </c>
      <c r="D291" s="4" t="s">
        <v>1570</v>
      </c>
      <c r="E291" s="4" t="s">
        <v>1303</v>
      </c>
      <c r="F291" s="4" t="s">
        <v>1571</v>
      </c>
      <c r="G291" s="4" t="s">
        <v>1572</v>
      </c>
      <c r="H291" s="4" t="s">
        <v>318</v>
      </c>
      <c r="I291" s="4" t="s">
        <v>930</v>
      </c>
      <c r="J291" s="4" t="s">
        <v>30</v>
      </c>
      <c r="K291" s="4" t="s">
        <v>80</v>
      </c>
      <c r="L291" s="2" t="s">
        <v>324</v>
      </c>
      <c r="M291" s="2" t="s">
        <v>41</v>
      </c>
      <c r="N291" s="4" t="s">
        <v>463</v>
      </c>
      <c r="O291" s="4" t="s">
        <v>134</v>
      </c>
      <c r="P291" s="4" t="s">
        <v>34</v>
      </c>
      <c r="Q291" s="152">
        <v>1279</v>
      </c>
      <c r="R291" s="167">
        <v>1</v>
      </c>
      <c r="S291" s="169">
        <v>5587</v>
      </c>
      <c r="U291" s="152">
        <v>71.457999999999998</v>
      </c>
      <c r="V291" s="166">
        <v>9.9999999999999995E-7</v>
      </c>
      <c r="W291" s="166">
        <v>1.8583401563956801E-2</v>
      </c>
      <c r="X291" s="166">
        <v>1.94605856962303E-3</v>
      </c>
    </row>
    <row r="292" spans="1:24">
      <c r="A292" s="4">
        <v>337</v>
      </c>
      <c r="B292" s="4">
        <v>9964</v>
      </c>
      <c r="C292" s="4" t="s">
        <v>1573</v>
      </c>
      <c r="D292" s="4" t="s">
        <v>1574</v>
      </c>
      <c r="E292" s="4" t="s">
        <v>1303</v>
      </c>
      <c r="F292" s="4" t="s">
        <v>1575</v>
      </c>
      <c r="G292" s="4" t="s">
        <v>1576</v>
      </c>
      <c r="H292" s="4" t="s">
        <v>318</v>
      </c>
      <c r="I292" s="4" t="s">
        <v>930</v>
      </c>
      <c r="J292" s="4" t="s">
        <v>30</v>
      </c>
      <c r="K292" s="4" t="s">
        <v>30</v>
      </c>
      <c r="L292" s="2" t="s">
        <v>324</v>
      </c>
      <c r="M292" s="2" t="s">
        <v>41</v>
      </c>
      <c r="N292" s="4" t="s">
        <v>472</v>
      </c>
      <c r="O292" s="4" t="s">
        <v>134</v>
      </c>
      <c r="P292" s="4" t="s">
        <v>34</v>
      </c>
      <c r="Q292" s="152">
        <v>5515</v>
      </c>
      <c r="R292" s="167">
        <v>1</v>
      </c>
      <c r="S292" s="169">
        <v>692.7</v>
      </c>
      <c r="U292" s="152">
        <v>38.201999999999998</v>
      </c>
      <c r="V292" s="166">
        <v>5.1E-5</v>
      </c>
      <c r="W292" s="166">
        <v>9.9349732047731201E-3</v>
      </c>
      <c r="X292" s="166">
        <v>1.0403929376214399E-3</v>
      </c>
    </row>
    <row r="293" spans="1:24">
      <c r="A293" s="4">
        <v>337</v>
      </c>
      <c r="B293" s="4">
        <v>9964</v>
      </c>
      <c r="C293" s="4" t="s">
        <v>1577</v>
      </c>
      <c r="D293" s="4" t="s">
        <v>1578</v>
      </c>
      <c r="E293" s="4" t="s">
        <v>309</v>
      </c>
      <c r="F293" s="4" t="s">
        <v>1579</v>
      </c>
      <c r="G293" s="4" t="s">
        <v>1580</v>
      </c>
      <c r="H293" s="4" t="s">
        <v>318</v>
      </c>
      <c r="I293" s="4" t="s">
        <v>930</v>
      </c>
      <c r="J293" s="4" t="s">
        <v>30</v>
      </c>
      <c r="K293" s="4" t="s">
        <v>30</v>
      </c>
      <c r="L293" s="2" t="s">
        <v>324</v>
      </c>
      <c r="M293" s="2" t="s">
        <v>41</v>
      </c>
      <c r="N293" s="4" t="s">
        <v>450</v>
      </c>
      <c r="O293" s="4" t="s">
        <v>134</v>
      </c>
      <c r="P293" s="4" t="s">
        <v>34</v>
      </c>
      <c r="Q293" s="152">
        <v>19337</v>
      </c>
      <c r="R293" s="167">
        <v>1</v>
      </c>
      <c r="S293" s="169">
        <v>203</v>
      </c>
      <c r="U293" s="152">
        <v>39.253999999999998</v>
      </c>
      <c r="V293" s="166">
        <v>6.9999999999999999E-6</v>
      </c>
      <c r="W293" s="166">
        <v>1.0208481142148401E-2</v>
      </c>
      <c r="X293" s="166">
        <v>1.06903475884869E-3</v>
      </c>
    </row>
    <row r="294" spans="1:24">
      <c r="A294" s="4">
        <v>337</v>
      </c>
      <c r="B294" s="4">
        <v>9964</v>
      </c>
      <c r="C294" s="4" t="s">
        <v>1585</v>
      </c>
      <c r="D294" s="4" t="s">
        <v>1586</v>
      </c>
      <c r="E294" s="4" t="s">
        <v>1303</v>
      </c>
      <c r="F294" s="4" t="s">
        <v>1587</v>
      </c>
      <c r="G294" s="4" t="s">
        <v>1588</v>
      </c>
      <c r="H294" s="4" t="s">
        <v>318</v>
      </c>
      <c r="I294" s="4" t="s">
        <v>930</v>
      </c>
      <c r="J294" s="4" t="s">
        <v>30</v>
      </c>
      <c r="K294" s="4" t="s">
        <v>30</v>
      </c>
      <c r="L294" s="2" t="s">
        <v>324</v>
      </c>
      <c r="M294" s="2" t="s">
        <v>41</v>
      </c>
      <c r="N294" s="4" t="s">
        <v>441</v>
      </c>
      <c r="O294" s="4" t="s">
        <v>134</v>
      </c>
      <c r="P294" s="4" t="s">
        <v>34</v>
      </c>
      <c r="Q294" s="152">
        <v>809</v>
      </c>
      <c r="R294" s="167">
        <v>1</v>
      </c>
      <c r="S294" s="169">
        <v>9094</v>
      </c>
      <c r="U294" s="152">
        <v>73.569999999999993</v>
      </c>
      <c r="V294" s="166">
        <v>1.0000000000000001E-5</v>
      </c>
      <c r="W294" s="166">
        <v>1.9132841211511001E-2</v>
      </c>
      <c r="X294" s="166">
        <v>2.0035960301860701E-3</v>
      </c>
    </row>
    <row r="295" spans="1:24">
      <c r="A295" s="4">
        <v>337</v>
      </c>
      <c r="B295" s="4">
        <v>9964</v>
      </c>
      <c r="C295" s="4" t="s">
        <v>1174</v>
      </c>
      <c r="D295" s="4" t="s">
        <v>1589</v>
      </c>
      <c r="E295" s="4" t="s">
        <v>1303</v>
      </c>
      <c r="F295" s="4" t="s">
        <v>1590</v>
      </c>
      <c r="G295" s="4" t="s">
        <v>1591</v>
      </c>
      <c r="H295" s="4" t="s">
        <v>318</v>
      </c>
      <c r="I295" s="4" t="s">
        <v>930</v>
      </c>
      <c r="J295" s="4" t="s">
        <v>30</v>
      </c>
      <c r="K295" s="4" t="s">
        <v>30</v>
      </c>
      <c r="L295" s="2" t="s">
        <v>324</v>
      </c>
      <c r="M295" s="2" t="s">
        <v>41</v>
      </c>
      <c r="N295" s="4" t="s">
        <v>444</v>
      </c>
      <c r="O295" s="4" t="s">
        <v>134</v>
      </c>
      <c r="P295" s="4" t="s">
        <v>34</v>
      </c>
      <c r="Q295" s="152">
        <v>3198</v>
      </c>
      <c r="R295" s="167">
        <v>1</v>
      </c>
      <c r="S295" s="169">
        <v>4982</v>
      </c>
      <c r="U295" s="152">
        <v>159.32400000000001</v>
      </c>
      <c r="V295" s="166">
        <v>1.9999999999999999E-6</v>
      </c>
      <c r="W295" s="166">
        <v>4.14341256124484E-2</v>
      </c>
      <c r="X295" s="166">
        <v>4.3389922423746697E-3</v>
      </c>
    </row>
    <row r="296" spans="1:24">
      <c r="A296" s="4">
        <v>337</v>
      </c>
      <c r="B296" s="4">
        <v>9964</v>
      </c>
      <c r="C296" s="4" t="s">
        <v>1592</v>
      </c>
      <c r="D296" s="4" t="s">
        <v>1593</v>
      </c>
      <c r="E296" s="4" t="s">
        <v>1303</v>
      </c>
      <c r="F296" s="4" t="s">
        <v>1594</v>
      </c>
      <c r="G296" s="4" t="s">
        <v>1595</v>
      </c>
      <c r="H296" s="4" t="s">
        <v>318</v>
      </c>
      <c r="I296" s="4" t="s">
        <v>930</v>
      </c>
      <c r="J296" s="4" t="s">
        <v>30</v>
      </c>
      <c r="K296" s="4" t="s">
        <v>30</v>
      </c>
      <c r="L296" s="2" t="s">
        <v>324</v>
      </c>
      <c r="M296" s="2" t="s">
        <v>41</v>
      </c>
      <c r="N296" s="4" t="s">
        <v>460</v>
      </c>
      <c r="O296" s="4" t="s">
        <v>134</v>
      </c>
      <c r="P296" s="4" t="s">
        <v>34</v>
      </c>
      <c r="Q296" s="152">
        <v>3474</v>
      </c>
      <c r="R296" s="167">
        <v>1</v>
      </c>
      <c r="S296" s="169">
        <v>992.1</v>
      </c>
      <c r="T296" s="151">
        <v>0.33</v>
      </c>
      <c r="U296" s="152">
        <v>34.795000000000002</v>
      </c>
      <c r="V296" s="166">
        <v>5.0000000000000004E-6</v>
      </c>
      <c r="W296" s="166">
        <v>9.0489487530619993E-3</v>
      </c>
      <c r="X296" s="166">
        <v>9.4760823019240503E-4</v>
      </c>
    </row>
    <row r="297" spans="1:24">
      <c r="A297" s="4">
        <v>337</v>
      </c>
      <c r="B297" s="4">
        <v>9964</v>
      </c>
      <c r="C297" s="4" t="s">
        <v>1596</v>
      </c>
      <c r="D297" s="4" t="s">
        <v>1597</v>
      </c>
      <c r="E297" s="4" t="s">
        <v>1303</v>
      </c>
      <c r="F297" s="4" t="s">
        <v>1598</v>
      </c>
      <c r="G297" s="4" t="s">
        <v>1599</v>
      </c>
      <c r="H297" s="4" t="s">
        <v>318</v>
      </c>
      <c r="I297" s="4" t="s">
        <v>930</v>
      </c>
      <c r="J297" s="4" t="s">
        <v>30</v>
      </c>
      <c r="K297" s="4" t="s">
        <v>30</v>
      </c>
      <c r="L297" s="2" t="s">
        <v>324</v>
      </c>
      <c r="M297" s="2" t="s">
        <v>41</v>
      </c>
      <c r="N297" s="4" t="s">
        <v>444</v>
      </c>
      <c r="O297" s="4" t="s">
        <v>134</v>
      </c>
      <c r="P297" s="4" t="s">
        <v>34</v>
      </c>
      <c r="Q297" s="152">
        <v>470</v>
      </c>
      <c r="R297" s="167">
        <v>1</v>
      </c>
      <c r="S297" s="169">
        <v>16650</v>
      </c>
      <c r="U297" s="152">
        <v>78.254999999999995</v>
      </c>
      <c r="V297" s="166">
        <v>1.9999999999999999E-6</v>
      </c>
      <c r="W297" s="166">
        <v>2.0351109521495301E-2</v>
      </c>
      <c r="X297" s="166">
        <v>2.1311733995167501E-3</v>
      </c>
    </row>
    <row r="298" spans="1:24">
      <c r="A298" s="4">
        <v>337</v>
      </c>
      <c r="B298" s="4">
        <v>9964</v>
      </c>
      <c r="C298" s="4" t="s">
        <v>1600</v>
      </c>
      <c r="D298" s="4" t="s">
        <v>1601</v>
      </c>
      <c r="E298" s="4" t="s">
        <v>1303</v>
      </c>
      <c r="F298" s="4" t="s">
        <v>1602</v>
      </c>
      <c r="G298" s="4" t="s">
        <v>1603</v>
      </c>
      <c r="H298" s="4" t="s">
        <v>318</v>
      </c>
      <c r="I298" s="4" t="s">
        <v>930</v>
      </c>
      <c r="J298" s="4" t="s">
        <v>30</v>
      </c>
      <c r="K298" s="4" t="s">
        <v>30</v>
      </c>
      <c r="L298" s="2" t="s">
        <v>324</v>
      </c>
      <c r="M298" s="2" t="s">
        <v>41</v>
      </c>
      <c r="N298" s="4" t="s">
        <v>473</v>
      </c>
      <c r="O298" s="4" t="s">
        <v>134</v>
      </c>
      <c r="P298" s="4" t="s">
        <v>34</v>
      </c>
      <c r="Q298" s="152">
        <v>453</v>
      </c>
      <c r="R298" s="167">
        <v>1</v>
      </c>
      <c r="S298" s="169">
        <v>8638</v>
      </c>
      <c r="T298" s="151">
        <v>0.371</v>
      </c>
      <c r="U298" s="152">
        <v>39.502000000000002</v>
      </c>
      <c r="V298" s="166">
        <v>6.9999999999999999E-6</v>
      </c>
      <c r="W298" s="166">
        <v>1.0272843752786399E-2</v>
      </c>
      <c r="X298" s="166">
        <v>1.07577482791324E-3</v>
      </c>
    </row>
    <row r="299" spans="1:24">
      <c r="A299" s="4">
        <v>337</v>
      </c>
      <c r="B299" s="4">
        <v>9964</v>
      </c>
      <c r="C299" s="4" t="s">
        <v>1604</v>
      </c>
      <c r="D299" s="4" t="s">
        <v>1605</v>
      </c>
      <c r="E299" s="4" t="s">
        <v>1303</v>
      </c>
      <c r="F299" s="4" t="s">
        <v>1606</v>
      </c>
      <c r="G299" s="4" t="s">
        <v>1607</v>
      </c>
      <c r="H299" s="4" t="s">
        <v>318</v>
      </c>
      <c r="I299" s="4" t="s">
        <v>930</v>
      </c>
      <c r="J299" s="4" t="s">
        <v>30</v>
      </c>
      <c r="K299" s="4" t="s">
        <v>30</v>
      </c>
      <c r="L299" s="2" t="s">
        <v>324</v>
      </c>
      <c r="M299" s="2" t="s">
        <v>41</v>
      </c>
      <c r="N299" s="4" t="s">
        <v>460</v>
      </c>
      <c r="O299" s="4" t="s">
        <v>134</v>
      </c>
      <c r="P299" s="4" t="s">
        <v>34</v>
      </c>
      <c r="Q299" s="152">
        <v>106</v>
      </c>
      <c r="R299" s="167">
        <v>1</v>
      </c>
      <c r="S299" s="169">
        <v>28940</v>
      </c>
      <c r="T299" s="151">
        <v>0.2</v>
      </c>
      <c r="U299" s="152">
        <v>30.876999999999999</v>
      </c>
      <c r="V299" s="166">
        <v>1.9999999999999999E-6</v>
      </c>
      <c r="W299" s="166">
        <v>8.0298890815048603E-3</v>
      </c>
      <c r="X299" s="166">
        <v>8.4089204048054002E-4</v>
      </c>
    </row>
    <row r="300" spans="1:24">
      <c r="A300" s="4">
        <v>337</v>
      </c>
      <c r="B300" s="4">
        <v>9964</v>
      </c>
      <c r="C300" s="4" t="s">
        <v>1608</v>
      </c>
      <c r="D300" s="4" t="s">
        <v>1609</v>
      </c>
      <c r="E300" s="4" t="s">
        <v>1303</v>
      </c>
      <c r="F300" s="4" t="s">
        <v>1610</v>
      </c>
      <c r="G300" s="4" t="s">
        <v>1611</v>
      </c>
      <c r="H300" s="4" t="s">
        <v>318</v>
      </c>
      <c r="I300" s="4" t="s">
        <v>930</v>
      </c>
      <c r="J300" s="4" t="s">
        <v>30</v>
      </c>
      <c r="K300" s="4" t="s">
        <v>30</v>
      </c>
      <c r="L300" s="2" t="s">
        <v>324</v>
      </c>
      <c r="M300" s="2" t="s">
        <v>41</v>
      </c>
      <c r="N300" s="4" t="s">
        <v>441</v>
      </c>
      <c r="O300" s="4" t="s">
        <v>134</v>
      </c>
      <c r="P300" s="4" t="s">
        <v>34</v>
      </c>
      <c r="Q300" s="152">
        <v>204</v>
      </c>
      <c r="R300" s="167">
        <v>1</v>
      </c>
      <c r="S300" s="169">
        <v>18600</v>
      </c>
      <c r="T300" s="151">
        <v>0.49099999999999999</v>
      </c>
      <c r="U300" s="152">
        <v>38.435000000000002</v>
      </c>
      <c r="V300" s="166">
        <v>3.0000000000000001E-6</v>
      </c>
      <c r="W300" s="166">
        <v>9.9954101876783292E-3</v>
      </c>
      <c r="X300" s="166">
        <v>1.04672191394475E-3</v>
      </c>
    </row>
    <row r="301" spans="1:24">
      <c r="A301" s="4">
        <v>337</v>
      </c>
      <c r="B301" s="4">
        <v>9964</v>
      </c>
      <c r="C301" s="4" t="s">
        <v>1616</v>
      </c>
      <c r="D301" s="4" t="s">
        <v>1617</v>
      </c>
      <c r="E301" s="4" t="s">
        <v>309</v>
      </c>
      <c r="F301" s="4" t="s">
        <v>1618</v>
      </c>
      <c r="G301" s="4" t="s">
        <v>1619</v>
      </c>
      <c r="H301" s="4" t="s">
        <v>318</v>
      </c>
      <c r="I301" s="4" t="s">
        <v>930</v>
      </c>
      <c r="J301" s="4" t="s">
        <v>30</v>
      </c>
      <c r="K301" s="4" t="s">
        <v>80</v>
      </c>
      <c r="L301" s="2" t="s">
        <v>324</v>
      </c>
      <c r="M301" s="2" t="s">
        <v>41</v>
      </c>
      <c r="N301" s="4" t="s">
        <v>450</v>
      </c>
      <c r="O301" s="4" t="s">
        <v>134</v>
      </c>
      <c r="P301" s="4" t="s">
        <v>34</v>
      </c>
      <c r="Q301" s="152">
        <v>1263</v>
      </c>
      <c r="R301" s="167">
        <v>1</v>
      </c>
      <c r="S301" s="169">
        <v>8700</v>
      </c>
      <c r="U301" s="152">
        <v>109.881</v>
      </c>
      <c r="V301" s="166">
        <v>1.2E-5</v>
      </c>
      <c r="W301" s="166">
        <v>2.8575813243005899E-2</v>
      </c>
      <c r="X301" s="166">
        <v>2.9924664789764202E-3</v>
      </c>
    </row>
    <row r="302" spans="1:24">
      <c r="A302" s="4">
        <v>337</v>
      </c>
      <c r="B302" s="4">
        <v>9964</v>
      </c>
      <c r="C302" s="4" t="s">
        <v>1620</v>
      </c>
      <c r="D302" s="4" t="s">
        <v>1621</v>
      </c>
      <c r="E302" s="4" t="s">
        <v>1303</v>
      </c>
      <c r="F302" s="4" t="s">
        <v>1622</v>
      </c>
      <c r="G302" s="4" t="s">
        <v>1623</v>
      </c>
      <c r="H302" s="4" t="s">
        <v>318</v>
      </c>
      <c r="I302" s="4" t="s">
        <v>930</v>
      </c>
      <c r="J302" s="4" t="s">
        <v>30</v>
      </c>
      <c r="K302" s="4" t="s">
        <v>295</v>
      </c>
      <c r="L302" s="2" t="s">
        <v>324</v>
      </c>
      <c r="M302" s="2" t="s">
        <v>41</v>
      </c>
      <c r="N302" s="4" t="s">
        <v>454</v>
      </c>
      <c r="O302" s="4" t="s">
        <v>134</v>
      </c>
      <c r="P302" s="4" t="s">
        <v>34</v>
      </c>
      <c r="Q302" s="152">
        <v>134</v>
      </c>
      <c r="R302" s="167">
        <v>1</v>
      </c>
      <c r="S302" s="169">
        <v>68020</v>
      </c>
      <c r="U302" s="152">
        <v>91.147000000000006</v>
      </c>
      <c r="V302" s="166">
        <v>5.0000000000000004E-6</v>
      </c>
      <c r="W302" s="166">
        <v>2.3703769846448501E-2</v>
      </c>
      <c r="X302" s="166">
        <v>2.4822648471161299E-3</v>
      </c>
    </row>
    <row r="303" spans="1:24">
      <c r="A303" s="4">
        <v>337</v>
      </c>
      <c r="B303" s="4">
        <v>9964</v>
      </c>
      <c r="C303" s="4" t="s">
        <v>1624</v>
      </c>
      <c r="D303" s="4" t="s">
        <v>1625</v>
      </c>
      <c r="E303" s="4" t="s">
        <v>1303</v>
      </c>
      <c r="F303" s="4" t="s">
        <v>1626</v>
      </c>
      <c r="G303" s="4" t="s">
        <v>1627</v>
      </c>
      <c r="H303" s="4" t="s">
        <v>318</v>
      </c>
      <c r="I303" s="4" t="s">
        <v>930</v>
      </c>
      <c r="J303" s="4" t="s">
        <v>30</v>
      </c>
      <c r="K303" s="4" t="s">
        <v>30</v>
      </c>
      <c r="L303" s="2" t="s">
        <v>324</v>
      </c>
      <c r="M303" s="2" t="s">
        <v>41</v>
      </c>
      <c r="N303" s="4" t="s">
        <v>437</v>
      </c>
      <c r="O303" s="4" t="s">
        <v>134</v>
      </c>
      <c r="P303" s="4" t="s">
        <v>34</v>
      </c>
      <c r="Q303" s="152">
        <v>313</v>
      </c>
      <c r="R303" s="167">
        <v>1</v>
      </c>
      <c r="S303" s="169">
        <v>8514</v>
      </c>
      <c r="U303" s="152">
        <v>26.649000000000001</v>
      </c>
      <c r="V303" s="166">
        <v>9.0000000000000002E-6</v>
      </c>
      <c r="W303" s="166">
        <v>6.9303310259870203E-3</v>
      </c>
      <c r="X303" s="166">
        <v>7.2574603939058095E-4</v>
      </c>
    </row>
    <row r="304" spans="1:24">
      <c r="A304" s="4">
        <v>337</v>
      </c>
      <c r="B304" s="4">
        <v>9964</v>
      </c>
      <c r="C304" s="4" t="s">
        <v>1628</v>
      </c>
      <c r="D304" s="4" t="s">
        <v>1629</v>
      </c>
      <c r="E304" s="4" t="s">
        <v>309</v>
      </c>
      <c r="F304" s="4" t="s">
        <v>1630</v>
      </c>
      <c r="G304" s="4" t="s">
        <v>1631</v>
      </c>
      <c r="H304" s="4" t="s">
        <v>318</v>
      </c>
      <c r="I304" s="4" t="s">
        <v>930</v>
      </c>
      <c r="J304" s="4" t="s">
        <v>30</v>
      </c>
      <c r="K304" s="4" t="s">
        <v>30</v>
      </c>
      <c r="L304" s="2" t="s">
        <v>324</v>
      </c>
      <c r="M304" s="2" t="s">
        <v>41</v>
      </c>
      <c r="N304" s="4" t="s">
        <v>450</v>
      </c>
      <c r="O304" s="4" t="s">
        <v>134</v>
      </c>
      <c r="P304" s="4" t="s">
        <v>34</v>
      </c>
      <c r="Q304" s="152">
        <v>5289</v>
      </c>
      <c r="R304" s="167">
        <v>1</v>
      </c>
      <c r="S304" s="169">
        <v>1249</v>
      </c>
      <c r="T304" s="151">
        <v>1.4410000000000001</v>
      </c>
      <c r="U304" s="152">
        <v>67.501000000000005</v>
      </c>
      <c r="V304" s="166">
        <v>5.0000000000000004E-6</v>
      </c>
      <c r="W304" s="166">
        <v>1.75542941578463E-2</v>
      </c>
      <c r="X304" s="166">
        <v>1.8382901785762499E-3</v>
      </c>
    </row>
    <row r="305" spans="1:24">
      <c r="A305" s="4">
        <v>337</v>
      </c>
      <c r="B305" s="4">
        <v>9964</v>
      </c>
      <c r="C305" s="4" t="s">
        <v>1632</v>
      </c>
      <c r="D305" s="4" t="s">
        <v>1633</v>
      </c>
      <c r="E305" s="4" t="s">
        <v>1303</v>
      </c>
      <c r="F305" s="4" t="s">
        <v>1634</v>
      </c>
      <c r="G305" s="4" t="s">
        <v>1635</v>
      </c>
      <c r="H305" s="4" t="s">
        <v>318</v>
      </c>
      <c r="I305" s="4" t="s">
        <v>930</v>
      </c>
      <c r="J305" s="4" t="s">
        <v>30</v>
      </c>
      <c r="K305" s="4" t="s">
        <v>80</v>
      </c>
      <c r="L305" s="2" t="s">
        <v>324</v>
      </c>
      <c r="M305" s="2" t="s">
        <v>41</v>
      </c>
      <c r="N305" s="4" t="s">
        <v>477</v>
      </c>
      <c r="O305" s="4" t="s">
        <v>134</v>
      </c>
      <c r="P305" s="4" t="s">
        <v>34</v>
      </c>
      <c r="Q305" s="152">
        <v>62</v>
      </c>
      <c r="R305" s="167">
        <v>1</v>
      </c>
      <c r="S305" s="169">
        <v>56600</v>
      </c>
      <c r="U305" s="152">
        <v>35.091999999999999</v>
      </c>
      <c r="V305" s="166">
        <v>9.9999999999999995E-7</v>
      </c>
      <c r="W305" s="166">
        <v>9.1260767405062105E-3</v>
      </c>
      <c r="X305" s="166">
        <v>9.5568509278438104E-4</v>
      </c>
    </row>
    <row r="306" spans="1:24">
      <c r="A306" s="4">
        <v>337</v>
      </c>
      <c r="B306" s="4">
        <v>9964</v>
      </c>
      <c r="C306" s="4" t="s">
        <v>1640</v>
      </c>
      <c r="D306" s="4" t="s">
        <v>1641</v>
      </c>
      <c r="E306" s="4" t="s">
        <v>1303</v>
      </c>
      <c r="F306" s="4" t="s">
        <v>1640</v>
      </c>
      <c r="G306" s="4" t="s">
        <v>1642</v>
      </c>
      <c r="H306" s="4" t="s">
        <v>318</v>
      </c>
      <c r="I306" s="4" t="s">
        <v>930</v>
      </c>
      <c r="J306" s="4" t="s">
        <v>30</v>
      </c>
      <c r="K306" s="4" t="s">
        <v>30</v>
      </c>
      <c r="L306" s="2" t="s">
        <v>324</v>
      </c>
      <c r="M306" s="2" t="s">
        <v>41</v>
      </c>
      <c r="N306" s="4" t="s">
        <v>435</v>
      </c>
      <c r="O306" s="4" t="s">
        <v>134</v>
      </c>
      <c r="P306" s="4" t="s">
        <v>34</v>
      </c>
      <c r="Q306" s="152">
        <v>569</v>
      </c>
      <c r="R306" s="167">
        <v>1</v>
      </c>
      <c r="S306" s="169">
        <v>8478</v>
      </c>
      <c r="U306" s="152">
        <v>48.24</v>
      </c>
      <c r="V306" s="166">
        <v>6.9999999999999999E-6</v>
      </c>
      <c r="W306" s="166">
        <v>1.25453180003478E-2</v>
      </c>
      <c r="X306" s="166">
        <v>1.3137489129317699E-3</v>
      </c>
    </row>
    <row r="307" spans="1:24">
      <c r="A307" s="4">
        <v>337</v>
      </c>
      <c r="B307" s="4">
        <v>9964</v>
      </c>
      <c r="C307" s="4" t="s">
        <v>1655</v>
      </c>
      <c r="D307" s="4" t="s">
        <v>1656</v>
      </c>
      <c r="E307" s="4" t="s">
        <v>1303</v>
      </c>
      <c r="F307" s="4" t="s">
        <v>1657</v>
      </c>
      <c r="G307" s="4" t="s">
        <v>1658</v>
      </c>
      <c r="H307" s="4" t="s">
        <v>318</v>
      </c>
      <c r="I307" s="4" t="s">
        <v>930</v>
      </c>
      <c r="J307" s="4" t="s">
        <v>30</v>
      </c>
      <c r="K307" s="4" t="s">
        <v>30</v>
      </c>
      <c r="L307" s="2" t="s">
        <v>324</v>
      </c>
      <c r="M307" s="2" t="s">
        <v>41</v>
      </c>
      <c r="N307" s="4" t="s">
        <v>460</v>
      </c>
      <c r="O307" s="4" t="s">
        <v>134</v>
      </c>
      <c r="P307" s="4" t="s">
        <v>34</v>
      </c>
      <c r="Q307" s="152">
        <v>299</v>
      </c>
      <c r="R307" s="167">
        <v>1</v>
      </c>
      <c r="S307" s="169">
        <v>24920</v>
      </c>
      <c r="U307" s="152">
        <v>74.510999999999996</v>
      </c>
      <c r="V307" s="166">
        <v>1.9999999999999999E-6</v>
      </c>
      <c r="W307" s="166">
        <v>1.9377387404437198E-2</v>
      </c>
      <c r="X307" s="166">
        <v>2.0292049701196402E-3</v>
      </c>
    </row>
    <row r="308" spans="1:24">
      <c r="A308" s="4">
        <v>337</v>
      </c>
      <c r="B308" s="4">
        <v>9964</v>
      </c>
      <c r="C308" s="4" t="s">
        <v>1659</v>
      </c>
      <c r="D308" s="4" t="s">
        <v>1660</v>
      </c>
      <c r="E308" s="4" t="s">
        <v>1303</v>
      </c>
      <c r="F308" s="4" t="s">
        <v>1661</v>
      </c>
      <c r="G308" s="4" t="s">
        <v>1662</v>
      </c>
      <c r="H308" s="4" t="s">
        <v>318</v>
      </c>
      <c r="I308" s="4" t="s">
        <v>930</v>
      </c>
      <c r="J308" s="4" t="s">
        <v>30</v>
      </c>
      <c r="K308" s="4" t="s">
        <v>30</v>
      </c>
      <c r="L308" s="2" t="s">
        <v>324</v>
      </c>
      <c r="M308" s="2" t="s">
        <v>41</v>
      </c>
      <c r="N308" s="4" t="s">
        <v>444</v>
      </c>
      <c r="O308" s="4" t="s">
        <v>134</v>
      </c>
      <c r="P308" s="4" t="s">
        <v>34</v>
      </c>
      <c r="Q308" s="152">
        <v>2741</v>
      </c>
      <c r="R308" s="167">
        <v>1</v>
      </c>
      <c r="S308" s="169">
        <v>5008</v>
      </c>
      <c r="U308" s="152">
        <v>137.26900000000001</v>
      </c>
      <c r="V308" s="166">
        <v>1.9999999999999999E-6</v>
      </c>
      <c r="W308" s="166">
        <v>3.56984493159134E-2</v>
      </c>
      <c r="X308" s="166">
        <v>3.73835075211573E-3</v>
      </c>
    </row>
    <row r="309" spans="1:24">
      <c r="A309" s="4">
        <v>337</v>
      </c>
      <c r="B309" s="4">
        <v>9964</v>
      </c>
      <c r="C309" s="4" t="s">
        <v>1663</v>
      </c>
      <c r="D309" s="4" t="s">
        <v>1664</v>
      </c>
      <c r="E309" s="4" t="s">
        <v>1303</v>
      </c>
      <c r="F309" s="4" t="s">
        <v>1665</v>
      </c>
      <c r="G309" s="4" t="s">
        <v>1666</v>
      </c>
      <c r="H309" s="4" t="s">
        <v>318</v>
      </c>
      <c r="I309" s="4" t="s">
        <v>930</v>
      </c>
      <c r="J309" s="4" t="s">
        <v>30</v>
      </c>
      <c r="K309" s="4" t="s">
        <v>30</v>
      </c>
      <c r="L309" s="2" t="s">
        <v>324</v>
      </c>
      <c r="M309" s="2" t="s">
        <v>41</v>
      </c>
      <c r="N309" s="4" t="s">
        <v>472</v>
      </c>
      <c r="O309" s="4" t="s">
        <v>134</v>
      </c>
      <c r="P309" s="4" t="s">
        <v>34</v>
      </c>
      <c r="Q309" s="152">
        <v>99</v>
      </c>
      <c r="R309" s="167">
        <v>1</v>
      </c>
      <c r="S309" s="169">
        <v>30240</v>
      </c>
      <c r="U309" s="152">
        <v>29.937999999999999</v>
      </c>
      <c r="V309" s="166">
        <v>6.9999999999999999E-6</v>
      </c>
      <c r="W309" s="166">
        <v>7.7856159531112098E-3</v>
      </c>
      <c r="X309" s="166">
        <v>8.1531169593473398E-4</v>
      </c>
    </row>
    <row r="310" spans="1:24">
      <c r="A310" s="4">
        <v>337</v>
      </c>
      <c r="B310" s="4">
        <v>9964</v>
      </c>
      <c r="C310" s="4" t="s">
        <v>1667</v>
      </c>
      <c r="D310" s="4" t="s">
        <v>1668</v>
      </c>
      <c r="E310" s="4" t="s">
        <v>1303</v>
      </c>
      <c r="F310" s="4" t="s">
        <v>1669</v>
      </c>
      <c r="G310" s="4" t="s">
        <v>1670</v>
      </c>
      <c r="H310" s="4" t="s">
        <v>318</v>
      </c>
      <c r="I310" s="4" t="s">
        <v>930</v>
      </c>
      <c r="J310" s="4" t="s">
        <v>30</v>
      </c>
      <c r="K310" s="4" t="s">
        <v>30</v>
      </c>
      <c r="L310" s="2" t="s">
        <v>324</v>
      </c>
      <c r="M310" s="2" t="s">
        <v>41</v>
      </c>
      <c r="N310" s="4" t="s">
        <v>473</v>
      </c>
      <c r="O310" s="4" t="s">
        <v>134</v>
      </c>
      <c r="P310" s="4" t="s">
        <v>34</v>
      </c>
      <c r="Q310" s="152">
        <v>121</v>
      </c>
      <c r="R310" s="167">
        <v>1</v>
      </c>
      <c r="S310" s="169">
        <v>32170</v>
      </c>
      <c r="U310" s="152">
        <v>38.926000000000002</v>
      </c>
      <c r="V310" s="166">
        <v>7.9999999999999996E-6</v>
      </c>
      <c r="W310" s="166">
        <v>1.01230743581991E-2</v>
      </c>
      <c r="X310" s="166">
        <v>1.06009093856711E-3</v>
      </c>
    </row>
    <row r="311" spans="1:24">
      <c r="A311" s="4">
        <v>337</v>
      </c>
      <c r="B311" s="4">
        <v>9964</v>
      </c>
      <c r="C311" s="4" t="s">
        <v>1671</v>
      </c>
      <c r="D311" s="4" t="s">
        <v>1672</v>
      </c>
      <c r="E311" s="4" t="s">
        <v>1303</v>
      </c>
      <c r="F311" s="4" t="s">
        <v>1673</v>
      </c>
      <c r="G311" s="4" t="s">
        <v>1674</v>
      </c>
      <c r="H311" s="4" t="s">
        <v>318</v>
      </c>
      <c r="I311" s="4" t="s">
        <v>930</v>
      </c>
      <c r="J311" s="4" t="s">
        <v>30</v>
      </c>
      <c r="K311" s="4" t="s">
        <v>30</v>
      </c>
      <c r="L311" s="2" t="s">
        <v>324</v>
      </c>
      <c r="M311" s="2" t="s">
        <v>41</v>
      </c>
      <c r="N311" s="4" t="s">
        <v>436</v>
      </c>
      <c r="O311" s="4" t="s">
        <v>134</v>
      </c>
      <c r="P311" s="4" t="s">
        <v>34</v>
      </c>
      <c r="Q311" s="152">
        <v>645</v>
      </c>
      <c r="R311" s="167">
        <v>1</v>
      </c>
      <c r="S311" s="169">
        <v>5339</v>
      </c>
      <c r="U311" s="152">
        <v>34.436999999999998</v>
      </c>
      <c r="V311" s="166">
        <v>5.1999999999999997E-5</v>
      </c>
      <c r="W311" s="166">
        <v>8.9556194568072203E-3</v>
      </c>
      <c r="X311" s="166">
        <v>9.3783476239382095E-4</v>
      </c>
    </row>
    <row r="312" spans="1:24">
      <c r="A312" s="4">
        <v>337</v>
      </c>
      <c r="B312" s="4">
        <v>9964</v>
      </c>
      <c r="C312" s="4" t="s">
        <v>1675</v>
      </c>
      <c r="D312" s="4" t="s">
        <v>1676</v>
      </c>
      <c r="E312" s="4" t="s">
        <v>1303</v>
      </c>
      <c r="F312" s="4" t="s">
        <v>1677</v>
      </c>
      <c r="G312" s="4" t="s">
        <v>1678</v>
      </c>
      <c r="H312" s="4" t="s">
        <v>318</v>
      </c>
      <c r="I312" s="4" t="s">
        <v>930</v>
      </c>
      <c r="J312" s="4" t="s">
        <v>30</v>
      </c>
      <c r="K312" s="4" t="s">
        <v>30</v>
      </c>
      <c r="L312" s="2" t="s">
        <v>324</v>
      </c>
      <c r="M312" s="2" t="s">
        <v>41</v>
      </c>
      <c r="N312" s="4" t="s">
        <v>457</v>
      </c>
      <c r="O312" s="4" t="s">
        <v>134</v>
      </c>
      <c r="P312" s="4" t="s">
        <v>34</v>
      </c>
      <c r="Q312" s="152">
        <v>119</v>
      </c>
      <c r="R312" s="167">
        <v>1</v>
      </c>
      <c r="S312" s="169">
        <v>48410</v>
      </c>
      <c r="U312" s="152">
        <v>57.607999999999997</v>
      </c>
      <c r="V312" s="166">
        <v>6.9999999999999999E-6</v>
      </c>
      <c r="W312" s="166">
        <v>1.4981594558856901E-2</v>
      </c>
      <c r="X312" s="166">
        <v>1.5688764178905001E-3</v>
      </c>
    </row>
    <row r="313" spans="1:24">
      <c r="A313" s="4">
        <v>337</v>
      </c>
      <c r="B313" s="4">
        <v>9964</v>
      </c>
      <c r="C313" s="4" t="s">
        <v>1679</v>
      </c>
      <c r="D313" s="4" t="s">
        <v>1680</v>
      </c>
      <c r="E313" s="4" t="s">
        <v>1303</v>
      </c>
      <c r="F313" s="4" t="s">
        <v>1681</v>
      </c>
      <c r="G313" s="4" t="s">
        <v>1682</v>
      </c>
      <c r="H313" s="4" t="s">
        <v>318</v>
      </c>
      <c r="I313" s="4" t="s">
        <v>930</v>
      </c>
      <c r="J313" s="4" t="s">
        <v>30</v>
      </c>
      <c r="K313" s="4" t="s">
        <v>295</v>
      </c>
      <c r="L313" s="2" t="s">
        <v>324</v>
      </c>
      <c r="M313" s="2" t="s">
        <v>41</v>
      </c>
      <c r="N313" s="4" t="s">
        <v>454</v>
      </c>
      <c r="O313" s="4" t="s">
        <v>134</v>
      </c>
      <c r="P313" s="4" t="s">
        <v>34</v>
      </c>
      <c r="Q313" s="152">
        <v>240</v>
      </c>
      <c r="R313" s="167">
        <v>1</v>
      </c>
      <c r="S313" s="169">
        <v>21310</v>
      </c>
      <c r="U313" s="152">
        <v>51.143999999999998</v>
      </c>
      <c r="V313" s="166">
        <v>5.0000000000000004E-6</v>
      </c>
      <c r="W313" s="166">
        <v>1.3300583290107399E-2</v>
      </c>
      <c r="X313" s="166">
        <v>1.3928404874434201E-3</v>
      </c>
    </row>
    <row r="314" spans="1:24">
      <c r="A314" s="4">
        <v>337</v>
      </c>
      <c r="B314" s="4">
        <v>9964</v>
      </c>
      <c r="C314" s="4" t="s">
        <v>1683</v>
      </c>
      <c r="D314" s="4" t="s">
        <v>1684</v>
      </c>
      <c r="E314" s="4" t="s">
        <v>1303</v>
      </c>
      <c r="F314" s="4" t="s">
        <v>1685</v>
      </c>
      <c r="G314" s="4" t="s">
        <v>1686</v>
      </c>
      <c r="H314" s="4" t="s">
        <v>318</v>
      </c>
      <c r="I314" s="4" t="s">
        <v>930</v>
      </c>
      <c r="J314" s="4" t="s">
        <v>30</v>
      </c>
      <c r="K314" s="4" t="s">
        <v>30</v>
      </c>
      <c r="L314" s="2" t="s">
        <v>324</v>
      </c>
      <c r="M314" s="2" t="s">
        <v>41</v>
      </c>
      <c r="N314" s="4" t="s">
        <v>458</v>
      </c>
      <c r="O314" s="4" t="s">
        <v>134</v>
      </c>
      <c r="P314" s="4" t="s">
        <v>34</v>
      </c>
      <c r="Q314" s="152">
        <v>47</v>
      </c>
      <c r="R314" s="167">
        <v>1</v>
      </c>
      <c r="S314" s="169">
        <v>2865</v>
      </c>
      <c r="U314" s="152">
        <v>1.347</v>
      </c>
      <c r="V314" s="166">
        <v>9.9999999999999995E-7</v>
      </c>
      <c r="W314" s="166">
        <v>3.5018575843293699E-4</v>
      </c>
      <c r="X314" s="166">
        <v>3.6671542279972901E-5</v>
      </c>
    </row>
    <row r="315" spans="1:24">
      <c r="A315" s="4">
        <v>337</v>
      </c>
      <c r="B315" s="4">
        <v>9964</v>
      </c>
      <c r="C315" s="4" t="s">
        <v>1691</v>
      </c>
      <c r="D315" s="4" t="s">
        <v>1692</v>
      </c>
      <c r="E315" s="4" t="s">
        <v>1303</v>
      </c>
      <c r="F315" s="4" t="s">
        <v>1693</v>
      </c>
      <c r="G315" s="4" t="s">
        <v>1694</v>
      </c>
      <c r="H315" s="4" t="s">
        <v>318</v>
      </c>
      <c r="I315" s="4" t="s">
        <v>930</v>
      </c>
      <c r="J315" s="4" t="s">
        <v>30</v>
      </c>
      <c r="K315" s="4" t="s">
        <v>30</v>
      </c>
      <c r="L315" s="2" t="s">
        <v>324</v>
      </c>
      <c r="M315" s="2" t="s">
        <v>41</v>
      </c>
      <c r="N315" s="4" t="s">
        <v>472</v>
      </c>
      <c r="O315" s="4" t="s">
        <v>134</v>
      </c>
      <c r="P315" s="4" t="s">
        <v>34</v>
      </c>
      <c r="Q315" s="152">
        <v>238</v>
      </c>
      <c r="R315" s="167">
        <v>1</v>
      </c>
      <c r="S315" s="169">
        <v>8050</v>
      </c>
      <c r="U315" s="152">
        <v>19.158999999999999</v>
      </c>
      <c r="V315" s="166">
        <v>5.0000000000000004E-6</v>
      </c>
      <c r="W315" s="166">
        <v>4.9825175045981503E-3</v>
      </c>
      <c r="X315" s="166">
        <v>5.2177050873862801E-4</v>
      </c>
    </row>
    <row r="316" spans="1:24">
      <c r="A316" s="4">
        <v>337</v>
      </c>
      <c r="B316" s="4">
        <v>9964</v>
      </c>
      <c r="C316" s="4" t="s">
        <v>1695</v>
      </c>
      <c r="D316" s="4" t="s">
        <v>1696</v>
      </c>
      <c r="E316" s="4" t="s">
        <v>1303</v>
      </c>
      <c r="F316" s="4" t="s">
        <v>1697</v>
      </c>
      <c r="G316" s="4" t="s">
        <v>1698</v>
      </c>
      <c r="H316" s="4" t="s">
        <v>318</v>
      </c>
      <c r="I316" s="4" t="s">
        <v>930</v>
      </c>
      <c r="J316" s="4" t="s">
        <v>30</v>
      </c>
      <c r="K316" s="4" t="s">
        <v>30</v>
      </c>
      <c r="L316" s="2" t="s">
        <v>324</v>
      </c>
      <c r="M316" s="2" t="s">
        <v>41</v>
      </c>
      <c r="N316" s="4" t="s">
        <v>472</v>
      </c>
      <c r="O316" s="4" t="s">
        <v>134</v>
      </c>
      <c r="P316" s="4" t="s">
        <v>34</v>
      </c>
      <c r="Q316" s="152">
        <v>77</v>
      </c>
      <c r="R316" s="167">
        <v>1</v>
      </c>
      <c r="S316" s="169">
        <v>26660</v>
      </c>
      <c r="U316" s="152">
        <v>20.527999999999999</v>
      </c>
      <c r="V316" s="166">
        <v>6.0000000000000002E-6</v>
      </c>
      <c r="W316" s="166">
        <v>5.3385936550911801E-3</v>
      </c>
      <c r="X316" s="166">
        <v>5.5905889438323097E-4</v>
      </c>
    </row>
    <row r="317" spans="1:24">
      <c r="A317" s="4">
        <v>337</v>
      </c>
      <c r="B317" s="4">
        <v>9964</v>
      </c>
      <c r="C317" s="4" t="s">
        <v>1699</v>
      </c>
      <c r="D317" s="4" t="s">
        <v>1700</v>
      </c>
      <c r="E317" s="4" t="s">
        <v>309</v>
      </c>
      <c r="F317" s="4" t="s">
        <v>1701</v>
      </c>
      <c r="G317" s="4" t="s">
        <v>1702</v>
      </c>
      <c r="H317" s="4" t="s">
        <v>318</v>
      </c>
      <c r="I317" s="4" t="s">
        <v>930</v>
      </c>
      <c r="J317" s="4" t="s">
        <v>30</v>
      </c>
      <c r="K317" s="4" t="s">
        <v>30</v>
      </c>
      <c r="L317" s="2" t="s">
        <v>324</v>
      </c>
      <c r="M317" s="2" t="s">
        <v>41</v>
      </c>
      <c r="N317" s="4" t="s">
        <v>450</v>
      </c>
      <c r="O317" s="4" t="s">
        <v>134</v>
      </c>
      <c r="P317" s="4" t="s">
        <v>34</v>
      </c>
      <c r="Q317" s="152">
        <v>7551</v>
      </c>
      <c r="R317" s="167">
        <v>1</v>
      </c>
      <c r="S317" s="169">
        <v>370.8</v>
      </c>
      <c r="T317" s="151">
        <v>0.996</v>
      </c>
      <c r="U317" s="152">
        <v>28.995000000000001</v>
      </c>
      <c r="V317" s="166">
        <v>6.9999999999999999E-6</v>
      </c>
      <c r="W317" s="166">
        <v>7.5404268882568199E-3</v>
      </c>
      <c r="X317" s="166">
        <v>7.89635434288255E-4</v>
      </c>
    </row>
    <row r="318" spans="1:24">
      <c r="A318" s="4">
        <v>337</v>
      </c>
      <c r="B318" s="4">
        <v>9964</v>
      </c>
      <c r="C318" s="4" t="s">
        <v>1703</v>
      </c>
      <c r="D318" s="4" t="s">
        <v>1704</v>
      </c>
      <c r="E318" s="4" t="s">
        <v>1303</v>
      </c>
      <c r="F318" s="4" t="s">
        <v>1705</v>
      </c>
      <c r="G318" s="4" t="s">
        <v>1706</v>
      </c>
      <c r="H318" s="4" t="s">
        <v>318</v>
      </c>
      <c r="I318" s="4" t="s">
        <v>930</v>
      </c>
      <c r="J318" s="4" t="s">
        <v>30</v>
      </c>
      <c r="K318" s="4" t="s">
        <v>30</v>
      </c>
      <c r="L318" s="2" t="s">
        <v>324</v>
      </c>
      <c r="M318" s="2" t="s">
        <v>41</v>
      </c>
      <c r="N318" s="4" t="s">
        <v>472</v>
      </c>
      <c r="O318" s="4" t="s">
        <v>134</v>
      </c>
      <c r="P318" s="4" t="s">
        <v>34</v>
      </c>
      <c r="Q318" s="152">
        <v>956</v>
      </c>
      <c r="R318" s="167">
        <v>1</v>
      </c>
      <c r="S318" s="169">
        <v>3511</v>
      </c>
      <c r="U318" s="152">
        <v>33.564999999999998</v>
      </c>
      <c r="V318" s="166">
        <v>3.0000000000000001E-6</v>
      </c>
      <c r="W318" s="166">
        <v>8.7290045015208408E-3</v>
      </c>
      <c r="X318" s="166">
        <v>9.1410358625677E-4</v>
      </c>
    </row>
    <row r="319" spans="1:24">
      <c r="A319" s="4">
        <v>337</v>
      </c>
      <c r="B319" s="4">
        <v>9964</v>
      </c>
      <c r="C319" s="4" t="s">
        <v>1707</v>
      </c>
      <c r="D319" s="4" t="s">
        <v>1708</v>
      </c>
      <c r="E319" s="4" t="s">
        <v>1303</v>
      </c>
      <c r="F319" s="4" t="s">
        <v>1709</v>
      </c>
      <c r="G319" s="4" t="s">
        <v>1710</v>
      </c>
      <c r="H319" s="4" t="s">
        <v>318</v>
      </c>
      <c r="I319" s="4" t="s">
        <v>930</v>
      </c>
      <c r="J319" s="4" t="s">
        <v>30</v>
      </c>
      <c r="K319" s="4" t="s">
        <v>295</v>
      </c>
      <c r="L319" s="2" t="s">
        <v>324</v>
      </c>
      <c r="M319" s="2" t="s">
        <v>41</v>
      </c>
      <c r="N319" s="4" t="s">
        <v>451</v>
      </c>
      <c r="O319" s="4" t="s">
        <v>134</v>
      </c>
      <c r="P319" s="4" t="s">
        <v>34</v>
      </c>
      <c r="Q319" s="152">
        <v>760</v>
      </c>
      <c r="R319" s="167">
        <v>1</v>
      </c>
      <c r="S319" s="169">
        <v>10080</v>
      </c>
      <c r="U319" s="152">
        <v>76.608000000000004</v>
      </c>
      <c r="V319" s="166">
        <v>6.7999999999999999E-5</v>
      </c>
      <c r="W319" s="166">
        <v>1.99227882975236E-2</v>
      </c>
      <c r="X319" s="166">
        <v>2.0863194912808E-3</v>
      </c>
    </row>
    <row r="320" spans="1:24">
      <c r="A320" s="4">
        <v>337</v>
      </c>
      <c r="B320" s="4">
        <v>9964</v>
      </c>
      <c r="C320" s="4" t="s">
        <v>1723</v>
      </c>
      <c r="D320" s="4" t="s">
        <v>1724</v>
      </c>
      <c r="E320" s="4" t="s">
        <v>311</v>
      </c>
      <c r="F320" s="4" t="s">
        <v>1725</v>
      </c>
      <c r="G320" s="4" t="s">
        <v>1726</v>
      </c>
      <c r="H320" s="4" t="s">
        <v>318</v>
      </c>
      <c r="I320" s="4" t="s">
        <v>930</v>
      </c>
      <c r="J320" s="4" t="s">
        <v>79</v>
      </c>
      <c r="K320" s="4" t="s">
        <v>80</v>
      </c>
      <c r="L320" s="2" t="s">
        <v>324</v>
      </c>
      <c r="M320" s="2" t="s">
        <v>341</v>
      </c>
      <c r="N320" s="4" t="s">
        <v>533</v>
      </c>
      <c r="O320" s="4" t="s">
        <v>134</v>
      </c>
      <c r="P320" s="4" t="s">
        <v>84</v>
      </c>
      <c r="Q320" s="152">
        <v>274</v>
      </c>
      <c r="R320" s="167">
        <v>3.718</v>
      </c>
      <c r="S320" s="169">
        <v>4173</v>
      </c>
      <c r="U320" s="152">
        <v>42.512</v>
      </c>
      <c r="V320" s="166">
        <v>0</v>
      </c>
      <c r="W320" s="166">
        <v>1.10556512051092E-2</v>
      </c>
      <c r="X320" s="166">
        <v>1.15775062474003E-3</v>
      </c>
    </row>
    <row r="321" spans="1:24">
      <c r="A321" s="4">
        <v>337</v>
      </c>
      <c r="B321" s="4">
        <v>9964</v>
      </c>
      <c r="C321" s="4" t="s">
        <v>1727</v>
      </c>
      <c r="D321" s="4" t="s">
        <v>1728</v>
      </c>
      <c r="E321" s="4" t="s">
        <v>311</v>
      </c>
      <c r="F321" s="4" t="s">
        <v>1729</v>
      </c>
      <c r="G321" s="4" t="s">
        <v>1730</v>
      </c>
      <c r="H321" s="4" t="s">
        <v>318</v>
      </c>
      <c r="I321" s="4" t="s">
        <v>930</v>
      </c>
      <c r="J321" s="4" t="s">
        <v>79</v>
      </c>
      <c r="K321" s="4" t="s">
        <v>80</v>
      </c>
      <c r="L321" s="2" t="s">
        <v>324</v>
      </c>
      <c r="M321" s="2" t="s">
        <v>341</v>
      </c>
      <c r="N321" s="4" t="s">
        <v>1731</v>
      </c>
      <c r="O321" s="4" t="s">
        <v>134</v>
      </c>
      <c r="P321" s="4" t="s">
        <v>84</v>
      </c>
      <c r="Q321" s="152">
        <v>33</v>
      </c>
      <c r="R321" s="167">
        <v>3.718</v>
      </c>
      <c r="S321" s="169">
        <v>46935</v>
      </c>
      <c r="U321" s="152">
        <v>57.585999999999999</v>
      </c>
      <c r="V321" s="166">
        <v>0</v>
      </c>
      <c r="W321" s="166">
        <v>1.49760107532516E-2</v>
      </c>
      <c r="X321" s="166">
        <v>1.5682916803379E-3</v>
      </c>
    </row>
    <row r="322" spans="1:24">
      <c r="A322" s="4">
        <v>337</v>
      </c>
      <c r="B322" s="4">
        <v>9964</v>
      </c>
      <c r="C322" s="4" t="s">
        <v>1732</v>
      </c>
      <c r="D322" s="4" t="s">
        <v>1733</v>
      </c>
      <c r="E322" s="4" t="s">
        <v>311</v>
      </c>
      <c r="F322" s="4" t="s">
        <v>1734</v>
      </c>
      <c r="G322" s="4" t="s">
        <v>1735</v>
      </c>
      <c r="H322" s="4" t="s">
        <v>318</v>
      </c>
      <c r="I322" s="4" t="s">
        <v>930</v>
      </c>
      <c r="J322" s="4" t="s">
        <v>79</v>
      </c>
      <c r="K322" s="4" t="s">
        <v>80</v>
      </c>
      <c r="L322" s="2" t="s">
        <v>324</v>
      </c>
      <c r="M322" s="2" t="s">
        <v>341</v>
      </c>
      <c r="N322" s="4" t="s">
        <v>531</v>
      </c>
      <c r="O322" s="4" t="s">
        <v>134</v>
      </c>
      <c r="P322" s="4" t="s">
        <v>84</v>
      </c>
      <c r="Q322" s="152">
        <v>15</v>
      </c>
      <c r="R322" s="167">
        <v>3.718</v>
      </c>
      <c r="S322" s="169">
        <v>82591</v>
      </c>
      <c r="U322" s="152">
        <v>46.061</v>
      </c>
      <c r="V322" s="166">
        <v>0</v>
      </c>
      <c r="W322" s="166">
        <v>1.1978691072971301E-2</v>
      </c>
      <c r="X322" s="166">
        <v>1.25441159602533E-3</v>
      </c>
    </row>
    <row r="323" spans="1:24">
      <c r="A323" s="4">
        <v>337</v>
      </c>
      <c r="B323" s="4">
        <v>9964</v>
      </c>
      <c r="C323" s="4" t="s">
        <v>1736</v>
      </c>
      <c r="D323" s="4" t="s">
        <v>1737</v>
      </c>
      <c r="E323" s="4" t="s">
        <v>311</v>
      </c>
      <c r="F323" s="4" t="s">
        <v>1738</v>
      </c>
      <c r="G323" s="4" t="s">
        <v>1739</v>
      </c>
      <c r="H323" s="4" t="s">
        <v>318</v>
      </c>
      <c r="I323" s="4" t="s">
        <v>930</v>
      </c>
      <c r="J323" s="4" t="s">
        <v>79</v>
      </c>
      <c r="K323" s="4" t="s">
        <v>80</v>
      </c>
      <c r="L323" s="2" t="s">
        <v>324</v>
      </c>
      <c r="M323" s="2" t="s">
        <v>343</v>
      </c>
      <c r="N323" s="4" t="s">
        <v>546</v>
      </c>
      <c r="O323" s="4" t="s">
        <v>134</v>
      </c>
      <c r="P323" s="4" t="s">
        <v>84</v>
      </c>
      <c r="Q323" s="152">
        <v>51</v>
      </c>
      <c r="R323" s="167">
        <v>3.718</v>
      </c>
      <c r="S323" s="169">
        <v>57636</v>
      </c>
      <c r="U323" s="152">
        <v>109.288</v>
      </c>
      <c r="V323" s="166">
        <v>0</v>
      </c>
      <c r="W323" s="166">
        <v>2.8421656736424501E-2</v>
      </c>
      <c r="X323" s="166">
        <v>2.9763231701390499E-3</v>
      </c>
    </row>
    <row r="324" spans="1:24">
      <c r="A324" s="4">
        <v>337</v>
      </c>
      <c r="B324" s="4">
        <v>9964</v>
      </c>
      <c r="C324" s="4" t="s">
        <v>1745</v>
      </c>
      <c r="D324" s="4" t="s">
        <v>1746</v>
      </c>
      <c r="E324" s="4" t="s">
        <v>311</v>
      </c>
      <c r="F324" s="4" t="s">
        <v>1747</v>
      </c>
      <c r="G324" s="4" t="s">
        <v>1748</v>
      </c>
      <c r="H324" s="4" t="s">
        <v>318</v>
      </c>
      <c r="I324" s="4" t="s">
        <v>930</v>
      </c>
      <c r="J324" s="4" t="s">
        <v>79</v>
      </c>
      <c r="K324" s="4" t="s">
        <v>80</v>
      </c>
      <c r="L324" s="2" t="s">
        <v>324</v>
      </c>
      <c r="M324" s="2" t="s">
        <v>341</v>
      </c>
      <c r="N324" s="4" t="s">
        <v>533</v>
      </c>
      <c r="O324" s="4" t="s">
        <v>134</v>
      </c>
      <c r="P324" s="4" t="s">
        <v>84</v>
      </c>
      <c r="Q324" s="152">
        <v>58</v>
      </c>
      <c r="R324" s="167">
        <v>3.718</v>
      </c>
      <c r="S324" s="169">
        <v>24530</v>
      </c>
      <c r="U324" s="152">
        <v>52.896999999999998</v>
      </c>
      <c r="V324" s="166">
        <v>0</v>
      </c>
      <c r="W324" s="166">
        <v>1.375659408988E-2</v>
      </c>
      <c r="X324" s="166">
        <v>1.4405940551465101E-3</v>
      </c>
    </row>
    <row r="325" spans="1:24">
      <c r="A325" s="4">
        <v>337</v>
      </c>
      <c r="B325" s="4">
        <v>9964</v>
      </c>
      <c r="C325" s="4" t="s">
        <v>1753</v>
      </c>
      <c r="D325" s="4" t="s">
        <v>1754</v>
      </c>
      <c r="E325" s="4" t="s">
        <v>311</v>
      </c>
      <c r="F325" s="4" t="s">
        <v>1755</v>
      </c>
      <c r="G325" s="4" t="s">
        <v>1756</v>
      </c>
      <c r="H325" s="4" t="s">
        <v>318</v>
      </c>
      <c r="I325" s="4" t="s">
        <v>930</v>
      </c>
      <c r="J325" s="4" t="s">
        <v>79</v>
      </c>
      <c r="K325" s="4" t="s">
        <v>80</v>
      </c>
      <c r="L325" s="2" t="s">
        <v>324</v>
      </c>
      <c r="M325" s="2" t="s">
        <v>1334</v>
      </c>
      <c r="N325" s="4" t="s">
        <v>1757</v>
      </c>
      <c r="O325" s="4" t="s">
        <v>134</v>
      </c>
      <c r="P325" s="4" t="s">
        <v>84</v>
      </c>
      <c r="Q325" s="152">
        <v>129</v>
      </c>
      <c r="R325" s="167">
        <v>3.718</v>
      </c>
      <c r="S325" s="169">
        <v>7089</v>
      </c>
      <c r="U325" s="152">
        <v>34</v>
      </c>
      <c r="V325" s="166">
        <v>0</v>
      </c>
      <c r="W325" s="166">
        <v>8.8421945822199401E-3</v>
      </c>
      <c r="X325" s="166">
        <v>9.2595688048725301E-4</v>
      </c>
    </row>
    <row r="326" spans="1:24">
      <c r="A326" s="4">
        <v>337</v>
      </c>
      <c r="B326" s="4">
        <v>9964</v>
      </c>
      <c r="C326" s="4" t="s">
        <v>1632</v>
      </c>
      <c r="D326" s="4" t="s">
        <v>1633</v>
      </c>
      <c r="E326" s="4" t="s">
        <v>1303</v>
      </c>
      <c r="F326" s="4" t="s">
        <v>1758</v>
      </c>
      <c r="G326" s="4" t="s">
        <v>1759</v>
      </c>
      <c r="H326" s="4" t="s">
        <v>318</v>
      </c>
      <c r="I326" s="4" t="s">
        <v>930</v>
      </c>
      <c r="J326" s="4" t="s">
        <v>79</v>
      </c>
      <c r="K326" s="4" t="s">
        <v>30</v>
      </c>
      <c r="L326" s="2" t="s">
        <v>324</v>
      </c>
      <c r="M326" s="2" t="s">
        <v>343</v>
      </c>
      <c r="N326" s="4" t="s">
        <v>547</v>
      </c>
      <c r="O326" s="4" t="s">
        <v>134</v>
      </c>
      <c r="P326" s="4" t="s">
        <v>84</v>
      </c>
      <c r="Q326" s="152">
        <v>77</v>
      </c>
      <c r="R326" s="167">
        <v>3.718</v>
      </c>
      <c r="S326" s="169">
        <v>15417</v>
      </c>
      <c r="U326" s="152">
        <v>44.137</v>
      </c>
      <c r="V326" s="166">
        <v>9.9999999999999995E-7</v>
      </c>
      <c r="W326" s="166">
        <v>1.14782579061834E-2</v>
      </c>
      <c r="X326" s="166">
        <v>1.20200610667509E-3</v>
      </c>
    </row>
    <row r="327" spans="1:24">
      <c r="A327" s="4">
        <v>337</v>
      </c>
      <c r="B327" s="4">
        <v>9964</v>
      </c>
      <c r="C327" s="4" t="s">
        <v>1760</v>
      </c>
      <c r="D327" s="4" t="s">
        <v>1761</v>
      </c>
      <c r="E327" s="4" t="s">
        <v>311</v>
      </c>
      <c r="F327" s="4" t="s">
        <v>1762</v>
      </c>
      <c r="G327" s="4" t="s">
        <v>1763</v>
      </c>
      <c r="H327" s="4" t="s">
        <v>318</v>
      </c>
      <c r="I327" s="4" t="s">
        <v>930</v>
      </c>
      <c r="J327" s="4" t="s">
        <v>79</v>
      </c>
      <c r="K327" s="4" t="s">
        <v>80</v>
      </c>
      <c r="L327" s="2" t="s">
        <v>324</v>
      </c>
      <c r="M327" s="2" t="s">
        <v>343</v>
      </c>
      <c r="N327" s="4" t="s">
        <v>545</v>
      </c>
      <c r="O327" s="4" t="s">
        <v>134</v>
      </c>
      <c r="P327" s="4" t="s">
        <v>84</v>
      </c>
      <c r="Q327" s="152">
        <v>72</v>
      </c>
      <c r="R327" s="167">
        <v>3.718</v>
      </c>
      <c r="S327" s="169">
        <v>10838</v>
      </c>
      <c r="U327" s="152">
        <v>29.013000000000002</v>
      </c>
      <c r="V327" s="166">
        <v>0</v>
      </c>
      <c r="W327" s="166">
        <v>7.5451351657510402E-3</v>
      </c>
      <c r="X327" s="166">
        <v>7.90128486312894E-4</v>
      </c>
    </row>
    <row r="328" spans="1:24">
      <c r="A328" s="4">
        <v>337</v>
      </c>
      <c r="B328" s="4">
        <v>9964</v>
      </c>
      <c r="C328" s="4" t="s">
        <v>1434</v>
      </c>
      <c r="D328" s="4" t="s">
        <v>1435</v>
      </c>
      <c r="E328" s="4" t="s">
        <v>311</v>
      </c>
      <c r="F328" s="4" t="s">
        <v>1764</v>
      </c>
      <c r="G328" s="4" t="s">
        <v>1437</v>
      </c>
      <c r="H328" s="4" t="s">
        <v>318</v>
      </c>
      <c r="I328" s="4" t="s">
        <v>930</v>
      </c>
      <c r="J328" s="4" t="s">
        <v>79</v>
      </c>
      <c r="K328" s="4" t="s">
        <v>80</v>
      </c>
      <c r="L328" s="2" t="s">
        <v>324</v>
      </c>
      <c r="M328" s="2" t="s">
        <v>341</v>
      </c>
      <c r="N328" s="4" t="s">
        <v>554</v>
      </c>
      <c r="O328" s="4" t="s">
        <v>134</v>
      </c>
      <c r="P328" s="4" t="s">
        <v>84</v>
      </c>
      <c r="Q328" s="152">
        <v>98</v>
      </c>
      <c r="R328" s="167">
        <v>3.718</v>
      </c>
      <c r="S328" s="169">
        <v>7077</v>
      </c>
      <c r="U328" s="152">
        <v>25.786000000000001</v>
      </c>
      <c r="V328" s="166">
        <v>1.9999999999999999E-6</v>
      </c>
      <c r="W328" s="166">
        <v>6.7059552726850599E-3</v>
      </c>
      <c r="X328" s="166">
        <v>7.0224935305863404E-4</v>
      </c>
    </row>
    <row r="329" spans="1:24">
      <c r="A329" s="4">
        <v>337</v>
      </c>
      <c r="B329" s="4">
        <v>9964</v>
      </c>
      <c r="C329" s="4" t="s">
        <v>1765</v>
      </c>
      <c r="D329" s="4" t="s">
        <v>1766</v>
      </c>
      <c r="E329" s="4" t="s">
        <v>311</v>
      </c>
      <c r="F329" s="4" t="s">
        <v>1767</v>
      </c>
      <c r="G329" s="4" t="s">
        <v>1768</v>
      </c>
      <c r="H329" s="4" t="s">
        <v>318</v>
      </c>
      <c r="I329" s="4" t="s">
        <v>930</v>
      </c>
      <c r="J329" s="4" t="s">
        <v>79</v>
      </c>
      <c r="K329" s="4" t="s">
        <v>80</v>
      </c>
      <c r="L329" s="2" t="s">
        <v>324</v>
      </c>
      <c r="M329" s="2" t="s">
        <v>343</v>
      </c>
      <c r="N329" s="4" t="s">
        <v>541</v>
      </c>
      <c r="O329" s="4" t="s">
        <v>134</v>
      </c>
      <c r="P329" s="4" t="s">
        <v>84</v>
      </c>
      <c r="Q329" s="152">
        <v>100</v>
      </c>
      <c r="R329" s="167">
        <v>3.718</v>
      </c>
      <c r="S329" s="169">
        <v>17064</v>
      </c>
      <c r="U329" s="152">
        <v>63.444000000000003</v>
      </c>
      <c r="V329" s="166">
        <v>0</v>
      </c>
      <c r="W329" s="166">
        <v>1.64993267603155E-2</v>
      </c>
      <c r="X329" s="166">
        <v>1.72781372260708E-3</v>
      </c>
    </row>
    <row r="330" spans="1:24">
      <c r="A330" s="4">
        <v>337</v>
      </c>
      <c r="B330" s="4">
        <v>9964</v>
      </c>
      <c r="C330" s="4" t="s">
        <v>1769</v>
      </c>
      <c r="D330" s="4" t="s">
        <v>1770</v>
      </c>
      <c r="E330" s="4" t="s">
        <v>311</v>
      </c>
      <c r="F330" s="4" t="s">
        <v>1771</v>
      </c>
      <c r="G330" s="4" t="s">
        <v>1772</v>
      </c>
      <c r="H330" s="4" t="s">
        <v>318</v>
      </c>
      <c r="I330" s="4" t="s">
        <v>930</v>
      </c>
      <c r="J330" s="4" t="s">
        <v>79</v>
      </c>
      <c r="K330" s="4" t="s">
        <v>232</v>
      </c>
      <c r="L330" s="2" t="s">
        <v>324</v>
      </c>
      <c r="M330" s="2" t="s">
        <v>377</v>
      </c>
      <c r="N330" s="4" t="s">
        <v>514</v>
      </c>
      <c r="O330" s="4" t="s">
        <v>134</v>
      </c>
      <c r="P330" s="4" t="s">
        <v>1180</v>
      </c>
      <c r="Q330" s="152">
        <v>570</v>
      </c>
      <c r="R330" s="167">
        <v>4.8108000000000004</v>
      </c>
      <c r="S330" s="169">
        <v>1195</v>
      </c>
      <c r="U330" s="152">
        <v>32.768999999999998</v>
      </c>
      <c r="V330" s="166">
        <v>1.2999999999999999E-5</v>
      </c>
      <c r="W330" s="166">
        <v>8.5218926473484696E-3</v>
      </c>
      <c r="X330" s="166">
        <v>8.9241477986169205E-4</v>
      </c>
    </row>
    <row r="331" spans="1:24">
      <c r="A331" s="4">
        <v>337</v>
      </c>
      <c r="B331" s="4">
        <v>9964</v>
      </c>
      <c r="C331" s="4" t="s">
        <v>1773</v>
      </c>
      <c r="D331" s="4" t="s">
        <v>1774</v>
      </c>
      <c r="E331" s="4" t="s">
        <v>311</v>
      </c>
      <c r="F331" s="4" t="s">
        <v>1775</v>
      </c>
      <c r="G331" s="4" t="s">
        <v>1776</v>
      </c>
      <c r="H331" s="4" t="s">
        <v>318</v>
      </c>
      <c r="I331" s="4" t="s">
        <v>930</v>
      </c>
      <c r="J331" s="4" t="s">
        <v>79</v>
      </c>
      <c r="K331" s="4" t="s">
        <v>80</v>
      </c>
      <c r="L331" s="2" t="s">
        <v>324</v>
      </c>
      <c r="M331" s="2" t="s">
        <v>343</v>
      </c>
      <c r="N331" s="4" t="s">
        <v>541</v>
      </c>
      <c r="O331" s="4" t="s">
        <v>134</v>
      </c>
      <c r="P331" s="4" t="s">
        <v>84</v>
      </c>
      <c r="Q331" s="152">
        <v>103</v>
      </c>
      <c r="R331" s="167">
        <v>3.718</v>
      </c>
      <c r="S331" s="169">
        <v>26836</v>
      </c>
      <c r="U331" s="152">
        <v>102.77</v>
      </c>
      <c r="V331" s="166">
        <v>0</v>
      </c>
      <c r="W331" s="166">
        <v>2.6726395389593399E-2</v>
      </c>
      <c r="X331" s="166">
        <v>2.7987949678668698E-3</v>
      </c>
    </row>
    <row r="332" spans="1:24">
      <c r="A332" s="4">
        <v>337</v>
      </c>
      <c r="B332" s="4">
        <v>9964</v>
      </c>
      <c r="C332" s="4" t="s">
        <v>1777</v>
      </c>
      <c r="D332" s="4" t="s">
        <v>1778</v>
      </c>
      <c r="E332" s="4" t="s">
        <v>311</v>
      </c>
      <c r="F332" s="4" t="s">
        <v>1779</v>
      </c>
      <c r="G332" s="4" t="s">
        <v>1780</v>
      </c>
      <c r="H332" s="4" t="s">
        <v>318</v>
      </c>
      <c r="I332" s="4" t="s">
        <v>930</v>
      </c>
      <c r="J332" s="4" t="s">
        <v>79</v>
      </c>
      <c r="K332" s="4" t="s">
        <v>267</v>
      </c>
      <c r="L332" s="2" t="s">
        <v>324</v>
      </c>
      <c r="M332" s="2" t="s">
        <v>341</v>
      </c>
      <c r="N332" s="4" t="s">
        <v>545</v>
      </c>
      <c r="O332" s="4" t="s">
        <v>134</v>
      </c>
      <c r="P332" s="4" t="s">
        <v>84</v>
      </c>
      <c r="Q332" s="152">
        <v>200</v>
      </c>
      <c r="R332" s="167">
        <v>3.718</v>
      </c>
      <c r="S332" s="169">
        <v>16600</v>
      </c>
      <c r="T332" s="151">
        <v>0.13600000000000001</v>
      </c>
      <c r="U332" s="152">
        <v>123.944</v>
      </c>
      <c r="V332" s="166">
        <v>0</v>
      </c>
      <c r="W332" s="166">
        <v>3.2233132967273398E-2</v>
      </c>
      <c r="X332" s="166">
        <v>3.3754619368729102E-3</v>
      </c>
    </row>
  </sheetData>
  <sheetProtection formatColumns="0"/>
  <autoFilter ref="A1:AA332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06"/>
  <sheetViews>
    <sheetView rightToLeft="1" zoomScale="70" zoomScaleNormal="70" workbookViewId="0">
      <selection activeCell="K112" sqref="K112"/>
    </sheetView>
  </sheetViews>
  <sheetFormatPr defaultColWidth="9" defaultRowHeight="14.25"/>
  <cols>
    <col min="1" max="3" width="11.625" style="2" customWidth="1"/>
    <col min="4" max="4" width="21.125" style="2" customWidth="1"/>
    <col min="5" max="5" width="11.625" style="4" customWidth="1"/>
    <col min="6" max="6" width="33.5" style="2" customWidth="1"/>
    <col min="7" max="15" width="11.625" style="2" customWidth="1"/>
    <col min="16" max="16" width="11.625" style="4" customWidth="1"/>
    <col min="17" max="18" width="11.625" style="2" customWidth="1"/>
    <col min="19" max="19" width="11.625" style="129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567</v>
      </c>
      <c r="N1" s="19" t="s">
        <v>120</v>
      </c>
      <c r="O1" s="19" t="s">
        <v>11</v>
      </c>
      <c r="P1" s="19" t="s">
        <v>17</v>
      </c>
      <c r="Q1" s="157" t="s">
        <v>18</v>
      </c>
      <c r="R1" s="168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>
        <v>337</v>
      </c>
      <c r="B2" s="20">
        <v>1405</v>
      </c>
      <c r="C2" s="20" t="s">
        <v>1317</v>
      </c>
      <c r="D2" s="20" t="s">
        <v>1318</v>
      </c>
      <c r="E2" s="18" t="s">
        <v>1303</v>
      </c>
      <c r="F2" s="20" t="s">
        <v>1319</v>
      </c>
      <c r="G2" s="20" t="s">
        <v>1320</v>
      </c>
      <c r="H2" s="18" t="s">
        <v>318</v>
      </c>
      <c r="I2" s="20" t="s">
        <v>981</v>
      </c>
      <c r="J2" s="18" t="s">
        <v>30</v>
      </c>
      <c r="K2" s="18" t="s">
        <v>30</v>
      </c>
      <c r="L2" s="18" t="s">
        <v>41</v>
      </c>
      <c r="M2" s="20" t="s">
        <v>1321</v>
      </c>
      <c r="N2" s="20" t="s">
        <v>134</v>
      </c>
      <c r="O2" s="18" t="s">
        <v>34</v>
      </c>
      <c r="P2" s="154">
        <v>12757</v>
      </c>
      <c r="Q2" s="173">
        <v>1</v>
      </c>
      <c r="R2" s="174">
        <v>470</v>
      </c>
      <c r="S2" s="128"/>
      <c r="T2" s="153">
        <v>59.957999999999998</v>
      </c>
      <c r="U2" s="172">
        <v>5.1999999999999997E-5</v>
      </c>
      <c r="V2" s="172">
        <v>9.9122961703923804E-2</v>
      </c>
      <c r="W2" s="172">
        <v>6.5407261229855603E-3</v>
      </c>
    </row>
    <row r="3" spans="1:23">
      <c r="A3" s="20">
        <v>337</v>
      </c>
      <c r="B3" s="20">
        <v>1405</v>
      </c>
      <c r="C3" s="20" t="s">
        <v>1322</v>
      </c>
      <c r="D3" s="20" t="s">
        <v>1323</v>
      </c>
      <c r="E3" s="18" t="s">
        <v>1303</v>
      </c>
      <c r="F3" s="20" t="s">
        <v>1324</v>
      </c>
      <c r="G3" s="20" t="s">
        <v>1325</v>
      </c>
      <c r="H3" s="18" t="s">
        <v>318</v>
      </c>
      <c r="I3" s="20" t="s">
        <v>981</v>
      </c>
      <c r="J3" s="18" t="s">
        <v>30</v>
      </c>
      <c r="K3" s="18" t="s">
        <v>30</v>
      </c>
      <c r="L3" s="18" t="s">
        <v>41</v>
      </c>
      <c r="M3" s="20" t="s">
        <v>1321</v>
      </c>
      <c r="N3" s="20" t="s">
        <v>134</v>
      </c>
      <c r="O3" s="18" t="s">
        <v>34</v>
      </c>
      <c r="P3" s="154">
        <v>10345</v>
      </c>
      <c r="Q3" s="173">
        <v>1</v>
      </c>
      <c r="R3" s="174">
        <v>4036.28</v>
      </c>
      <c r="S3" s="128"/>
      <c r="T3" s="153">
        <v>417.553</v>
      </c>
      <c r="U3" s="172">
        <v>1.92E-4</v>
      </c>
      <c r="V3" s="172">
        <v>0.69030280384686904</v>
      </c>
      <c r="W3" s="172">
        <v>4.5550309477008402E-2</v>
      </c>
    </row>
    <row r="4" spans="1:23">
      <c r="A4" s="20">
        <v>337</v>
      </c>
      <c r="B4" s="20">
        <v>1405</v>
      </c>
      <c r="C4" s="20" t="s">
        <v>1326</v>
      </c>
      <c r="D4" s="20" t="s">
        <v>1327</v>
      </c>
      <c r="E4" s="18" t="s">
        <v>311</v>
      </c>
      <c r="F4" s="20" t="s">
        <v>1328</v>
      </c>
      <c r="G4" s="20" t="s">
        <v>1329</v>
      </c>
      <c r="H4" s="18" t="s">
        <v>318</v>
      </c>
      <c r="I4" s="20" t="s">
        <v>982</v>
      </c>
      <c r="J4" s="18" t="s">
        <v>79</v>
      </c>
      <c r="K4" s="18" t="s">
        <v>80</v>
      </c>
      <c r="L4" s="18" t="s">
        <v>341</v>
      </c>
      <c r="M4" s="20" t="s">
        <v>730</v>
      </c>
      <c r="N4" s="20" t="s">
        <v>134</v>
      </c>
      <c r="O4" s="18" t="s">
        <v>84</v>
      </c>
      <c r="P4" s="154">
        <v>114</v>
      </c>
      <c r="Q4" s="173">
        <v>3.718</v>
      </c>
      <c r="R4" s="174">
        <v>7889</v>
      </c>
      <c r="S4" s="128"/>
      <c r="T4" s="153">
        <v>33.438000000000002</v>
      </c>
      <c r="U4" s="172">
        <v>0</v>
      </c>
      <c r="V4" s="172">
        <v>5.5279492749985198E-2</v>
      </c>
      <c r="W4" s="172">
        <v>3.6476717006822998E-3</v>
      </c>
    </row>
    <row r="5" spans="1:23">
      <c r="A5" s="20">
        <v>337</v>
      </c>
      <c r="B5" s="20">
        <v>1405</v>
      </c>
      <c r="C5" s="20" t="s">
        <v>1330</v>
      </c>
      <c r="D5" s="20" t="s">
        <v>1331</v>
      </c>
      <c r="E5" s="18" t="s">
        <v>311</v>
      </c>
      <c r="F5" s="20" t="s">
        <v>1332</v>
      </c>
      <c r="G5" s="20" t="s">
        <v>1333</v>
      </c>
      <c r="H5" s="18" t="s">
        <v>318</v>
      </c>
      <c r="I5" s="20" t="s">
        <v>982</v>
      </c>
      <c r="J5" s="18" t="s">
        <v>79</v>
      </c>
      <c r="K5" s="18" t="s">
        <v>80</v>
      </c>
      <c r="L5" s="18" t="s">
        <v>1334</v>
      </c>
      <c r="M5" s="20" t="s">
        <v>730</v>
      </c>
      <c r="N5" s="20" t="s">
        <v>134</v>
      </c>
      <c r="O5" s="18" t="s">
        <v>84</v>
      </c>
      <c r="P5" s="154">
        <v>2326</v>
      </c>
      <c r="Q5" s="173">
        <v>3.718</v>
      </c>
      <c r="R5" s="174">
        <v>1086.2</v>
      </c>
      <c r="S5" s="128"/>
      <c r="T5" s="153">
        <v>93.935000000000002</v>
      </c>
      <c r="U5" s="172">
        <v>0</v>
      </c>
      <c r="V5" s="172">
        <v>0.155294741699222</v>
      </c>
      <c r="W5" s="172">
        <v>1.0247276275182101E-2</v>
      </c>
    </row>
    <row r="6" spans="1:23">
      <c r="A6" s="20">
        <v>337</v>
      </c>
      <c r="B6" s="20">
        <v>1477</v>
      </c>
      <c r="C6" s="20" t="s">
        <v>1317</v>
      </c>
      <c r="D6" s="20" t="s">
        <v>1318</v>
      </c>
      <c r="E6" s="18" t="s">
        <v>1303</v>
      </c>
      <c r="F6" s="20" t="s">
        <v>1335</v>
      </c>
      <c r="G6" s="20" t="s">
        <v>1336</v>
      </c>
      <c r="H6" s="18" t="s">
        <v>318</v>
      </c>
      <c r="I6" s="20" t="s">
        <v>980</v>
      </c>
      <c r="J6" s="18" t="s">
        <v>30</v>
      </c>
      <c r="K6" s="18" t="s">
        <v>80</v>
      </c>
      <c r="L6" s="18" t="s">
        <v>41</v>
      </c>
      <c r="M6" s="20" t="s">
        <v>1337</v>
      </c>
      <c r="N6" s="20" t="s">
        <v>134</v>
      </c>
      <c r="O6" s="18" t="s">
        <v>34</v>
      </c>
      <c r="P6" s="154">
        <v>4292</v>
      </c>
      <c r="Q6" s="173">
        <v>1</v>
      </c>
      <c r="R6" s="174">
        <v>7053</v>
      </c>
      <c r="S6" s="128"/>
      <c r="T6" s="153">
        <v>302.71499999999997</v>
      </c>
      <c r="U6" s="172">
        <v>1.76E-4</v>
      </c>
      <c r="V6" s="172">
        <v>3.6458625006818901E-2</v>
      </c>
      <c r="W6" s="172">
        <v>1.9132118112755701E-2</v>
      </c>
    </row>
    <row r="7" spans="1:23">
      <c r="A7" s="20">
        <v>337</v>
      </c>
      <c r="B7" s="20">
        <v>1477</v>
      </c>
      <c r="C7" s="20" t="s">
        <v>1338</v>
      </c>
      <c r="D7" s="20" t="s">
        <v>1339</v>
      </c>
      <c r="E7" s="18" t="s">
        <v>1303</v>
      </c>
      <c r="F7" s="20" t="s">
        <v>1340</v>
      </c>
      <c r="G7" s="20" t="s">
        <v>1341</v>
      </c>
      <c r="H7" s="18" t="s">
        <v>318</v>
      </c>
      <c r="I7" s="20" t="s">
        <v>980</v>
      </c>
      <c r="J7" s="18" t="s">
        <v>30</v>
      </c>
      <c r="K7" s="18" t="s">
        <v>80</v>
      </c>
      <c r="L7" s="18" t="s">
        <v>41</v>
      </c>
      <c r="M7" s="20" t="s">
        <v>1342</v>
      </c>
      <c r="N7" s="20" t="s">
        <v>134</v>
      </c>
      <c r="O7" s="18" t="s">
        <v>34</v>
      </c>
      <c r="P7" s="154">
        <v>2943</v>
      </c>
      <c r="Q7" s="173">
        <v>1</v>
      </c>
      <c r="R7" s="174">
        <v>20310</v>
      </c>
      <c r="S7" s="128"/>
      <c r="T7" s="153">
        <v>597.72299999999996</v>
      </c>
      <c r="U7" s="172">
        <v>3.0000000000000001E-5</v>
      </c>
      <c r="V7" s="172">
        <v>7.1989121549733207E-2</v>
      </c>
      <c r="W7" s="172">
        <v>3.7777189240280597E-2</v>
      </c>
    </row>
    <row r="8" spans="1:23">
      <c r="A8" s="20">
        <v>337</v>
      </c>
      <c r="B8" s="20">
        <v>1477</v>
      </c>
      <c r="C8" s="20" t="s">
        <v>1343</v>
      </c>
      <c r="D8" s="20" t="s">
        <v>1344</v>
      </c>
      <c r="E8" s="18" t="s">
        <v>1303</v>
      </c>
      <c r="F8" s="20" t="s">
        <v>1345</v>
      </c>
      <c r="G8" s="20" t="s">
        <v>1346</v>
      </c>
      <c r="H8" s="18" t="s">
        <v>318</v>
      </c>
      <c r="I8" s="20" t="s">
        <v>980</v>
      </c>
      <c r="J8" s="18" t="s">
        <v>30</v>
      </c>
      <c r="K8" s="18" t="s">
        <v>295</v>
      </c>
      <c r="L8" s="18" t="s">
        <v>41</v>
      </c>
      <c r="M8" s="20" t="s">
        <v>1342</v>
      </c>
      <c r="N8" s="20" t="s">
        <v>134</v>
      </c>
      <c r="O8" s="18" t="s">
        <v>34</v>
      </c>
      <c r="P8" s="154">
        <v>37152</v>
      </c>
      <c r="Q8" s="173">
        <v>1</v>
      </c>
      <c r="R8" s="174">
        <v>775.8</v>
      </c>
      <c r="S8" s="128"/>
      <c r="T8" s="153">
        <v>288.22500000000002</v>
      </c>
      <c r="U8" s="172">
        <v>7.3999999999999996E-5</v>
      </c>
      <c r="V8" s="172">
        <v>3.4713520634584799E-2</v>
      </c>
      <c r="W8" s="172">
        <v>1.8216352831908599E-2</v>
      </c>
    </row>
    <row r="9" spans="1:23">
      <c r="A9" s="20">
        <v>337</v>
      </c>
      <c r="B9" s="20">
        <v>1477</v>
      </c>
      <c r="C9" s="20" t="s">
        <v>1343</v>
      </c>
      <c r="D9" s="20" t="s">
        <v>1344</v>
      </c>
      <c r="E9" s="18" t="s">
        <v>1303</v>
      </c>
      <c r="F9" s="20" t="s">
        <v>1347</v>
      </c>
      <c r="G9" s="20" t="s">
        <v>1348</v>
      </c>
      <c r="H9" s="18" t="s">
        <v>318</v>
      </c>
      <c r="I9" s="20" t="s">
        <v>979</v>
      </c>
      <c r="J9" s="18" t="s">
        <v>30</v>
      </c>
      <c r="K9" s="18" t="s">
        <v>30</v>
      </c>
      <c r="L9" s="18" t="s">
        <v>41</v>
      </c>
      <c r="M9" s="20" t="s">
        <v>1316</v>
      </c>
      <c r="N9" s="20" t="s">
        <v>134</v>
      </c>
      <c r="O9" s="18" t="s">
        <v>34</v>
      </c>
      <c r="P9" s="154">
        <v>4230</v>
      </c>
      <c r="Q9" s="173">
        <v>1</v>
      </c>
      <c r="R9" s="174">
        <v>2395</v>
      </c>
      <c r="S9" s="128"/>
      <c r="T9" s="153">
        <v>101.30800000000001</v>
      </c>
      <c r="U9" s="172">
        <v>1.7E-5</v>
      </c>
      <c r="V9" s="172">
        <v>1.22014817232675E-2</v>
      </c>
      <c r="W9" s="172">
        <v>6.4028796872214397E-3</v>
      </c>
    </row>
    <row r="10" spans="1:23">
      <c r="A10" s="20">
        <v>337</v>
      </c>
      <c r="B10" s="20">
        <v>1477</v>
      </c>
      <c r="C10" s="20" t="s">
        <v>1343</v>
      </c>
      <c r="D10" s="20" t="s">
        <v>1344</v>
      </c>
      <c r="E10" s="18" t="s">
        <v>1303</v>
      </c>
      <c r="F10" s="20" t="s">
        <v>1349</v>
      </c>
      <c r="G10" s="20" t="s">
        <v>1350</v>
      </c>
      <c r="H10" s="18" t="s">
        <v>318</v>
      </c>
      <c r="I10" s="20" t="s">
        <v>980</v>
      </c>
      <c r="J10" s="18" t="s">
        <v>30</v>
      </c>
      <c r="K10" s="18" t="s">
        <v>292</v>
      </c>
      <c r="L10" s="18" t="s">
        <v>41</v>
      </c>
      <c r="M10" s="20" t="s">
        <v>1337</v>
      </c>
      <c r="N10" s="20" t="s">
        <v>134</v>
      </c>
      <c r="O10" s="18" t="s">
        <v>34</v>
      </c>
      <c r="P10" s="154">
        <v>47386</v>
      </c>
      <c r="Q10" s="173">
        <v>1</v>
      </c>
      <c r="R10" s="174">
        <v>680.1</v>
      </c>
      <c r="S10" s="128"/>
      <c r="T10" s="153">
        <v>322.27199999999999</v>
      </c>
      <c r="U10" s="172">
        <v>2.0100000000000001E-4</v>
      </c>
      <c r="V10" s="172">
        <v>3.8814099383531198E-2</v>
      </c>
      <c r="W10" s="172">
        <v>2.0368182664789701E-2</v>
      </c>
    </row>
    <row r="11" spans="1:23">
      <c r="A11" s="20">
        <v>337</v>
      </c>
      <c r="B11" s="20">
        <v>1477</v>
      </c>
      <c r="C11" s="20" t="s">
        <v>1343</v>
      </c>
      <c r="D11" s="20" t="s">
        <v>1344</v>
      </c>
      <c r="E11" s="18" t="s">
        <v>1303</v>
      </c>
      <c r="F11" s="20" t="s">
        <v>1351</v>
      </c>
      <c r="G11" s="20" t="s">
        <v>1352</v>
      </c>
      <c r="H11" s="18" t="s">
        <v>318</v>
      </c>
      <c r="I11" s="20" t="s">
        <v>980</v>
      </c>
      <c r="J11" s="18" t="s">
        <v>30</v>
      </c>
      <c r="K11" s="18" t="s">
        <v>237</v>
      </c>
      <c r="L11" s="18" t="s">
        <v>41</v>
      </c>
      <c r="M11" s="20" t="s">
        <v>1337</v>
      </c>
      <c r="N11" s="20" t="s">
        <v>134</v>
      </c>
      <c r="O11" s="18" t="s">
        <v>34</v>
      </c>
      <c r="P11" s="154">
        <v>467</v>
      </c>
      <c r="Q11" s="173">
        <v>1</v>
      </c>
      <c r="R11" s="174">
        <v>19360</v>
      </c>
      <c r="S11" s="128"/>
      <c r="T11" s="153">
        <v>90.411000000000001</v>
      </c>
      <c r="U11" s="172">
        <v>4.1E-5</v>
      </c>
      <c r="V11" s="172">
        <v>1.0889023175534999E-2</v>
      </c>
      <c r="W11" s="172">
        <v>5.7141506978912399E-3</v>
      </c>
    </row>
    <row r="12" spans="1:23">
      <c r="A12" s="20">
        <v>337</v>
      </c>
      <c r="B12" s="20">
        <v>1477</v>
      </c>
      <c r="C12" s="20" t="s">
        <v>1353</v>
      </c>
      <c r="D12" s="20" t="s">
        <v>1354</v>
      </c>
      <c r="E12" s="18" t="s">
        <v>1303</v>
      </c>
      <c r="F12" s="20" t="s">
        <v>1355</v>
      </c>
      <c r="G12" s="20" t="s">
        <v>1356</v>
      </c>
      <c r="H12" s="18" t="s">
        <v>318</v>
      </c>
      <c r="I12" s="20" t="s">
        <v>980</v>
      </c>
      <c r="J12" s="18" t="s">
        <v>30</v>
      </c>
      <c r="K12" s="18" t="s">
        <v>80</v>
      </c>
      <c r="L12" s="18" t="s">
        <v>41</v>
      </c>
      <c r="M12" s="20" t="s">
        <v>1337</v>
      </c>
      <c r="N12" s="20" t="s">
        <v>134</v>
      </c>
      <c r="O12" s="18" t="s">
        <v>34</v>
      </c>
      <c r="P12" s="154">
        <v>667</v>
      </c>
      <c r="Q12" s="173">
        <v>1</v>
      </c>
      <c r="R12" s="174">
        <v>8648</v>
      </c>
      <c r="S12" s="128"/>
      <c r="T12" s="153">
        <v>57.682000000000002</v>
      </c>
      <c r="U12" s="172">
        <v>4.8999999999999998E-5</v>
      </c>
      <c r="V12" s="172">
        <v>6.9471744325361904E-3</v>
      </c>
      <c r="W12" s="172">
        <v>3.6456164150002902E-3</v>
      </c>
    </row>
    <row r="13" spans="1:23">
      <c r="A13" s="20">
        <v>337</v>
      </c>
      <c r="B13" s="20">
        <v>1477</v>
      </c>
      <c r="C13" s="20" t="s">
        <v>1322</v>
      </c>
      <c r="D13" s="20" t="s">
        <v>1323</v>
      </c>
      <c r="E13" s="18" t="s">
        <v>1303</v>
      </c>
      <c r="F13" s="20" t="s">
        <v>1357</v>
      </c>
      <c r="G13" s="20" t="s">
        <v>1358</v>
      </c>
      <c r="H13" s="18" t="s">
        <v>318</v>
      </c>
      <c r="I13" s="20" t="s">
        <v>980</v>
      </c>
      <c r="J13" s="18" t="s">
        <v>30</v>
      </c>
      <c r="K13" s="18" t="s">
        <v>292</v>
      </c>
      <c r="L13" s="18" t="s">
        <v>41</v>
      </c>
      <c r="M13" s="20" t="s">
        <v>1337</v>
      </c>
      <c r="N13" s="20" t="s">
        <v>134</v>
      </c>
      <c r="O13" s="18" t="s">
        <v>34</v>
      </c>
      <c r="P13" s="154">
        <v>4609</v>
      </c>
      <c r="Q13" s="173">
        <v>1</v>
      </c>
      <c r="R13" s="174">
        <v>7329</v>
      </c>
      <c r="S13" s="128"/>
      <c r="T13" s="153">
        <v>337.79399999999998</v>
      </c>
      <c r="U13" s="172">
        <v>3.3100000000000002E-4</v>
      </c>
      <c r="V13" s="172">
        <v>4.0683482221645299E-2</v>
      </c>
      <c r="W13" s="172">
        <v>2.13491646203645E-2</v>
      </c>
    </row>
    <row r="14" spans="1:23">
      <c r="A14" s="20">
        <v>337</v>
      </c>
      <c r="B14" s="20">
        <v>1477</v>
      </c>
      <c r="C14" s="20" t="s">
        <v>1322</v>
      </c>
      <c r="D14" s="20" t="s">
        <v>1323</v>
      </c>
      <c r="E14" s="18" t="s">
        <v>1303</v>
      </c>
      <c r="F14" s="20" t="s">
        <v>1359</v>
      </c>
      <c r="G14" s="20" t="s">
        <v>1360</v>
      </c>
      <c r="H14" s="18" t="s">
        <v>318</v>
      </c>
      <c r="I14" s="20" t="s">
        <v>979</v>
      </c>
      <c r="J14" s="18" t="s">
        <v>30</v>
      </c>
      <c r="K14" s="18" t="s">
        <v>30</v>
      </c>
      <c r="L14" s="18" t="s">
        <v>41</v>
      </c>
      <c r="M14" s="20" t="s">
        <v>1316</v>
      </c>
      <c r="N14" s="20" t="s">
        <v>134</v>
      </c>
      <c r="O14" s="18" t="s">
        <v>34</v>
      </c>
      <c r="P14" s="154">
        <v>1483</v>
      </c>
      <c r="Q14" s="173">
        <v>1</v>
      </c>
      <c r="R14" s="174">
        <v>23890</v>
      </c>
      <c r="S14" s="128"/>
      <c r="T14" s="153">
        <v>354.28899999999999</v>
      </c>
      <c r="U14" s="172">
        <v>4.1999999999999998E-5</v>
      </c>
      <c r="V14" s="172">
        <v>4.26701322969959E-2</v>
      </c>
      <c r="W14" s="172">
        <v>2.2391684021006001E-2</v>
      </c>
    </row>
    <row r="15" spans="1:23">
      <c r="A15" s="20">
        <v>337</v>
      </c>
      <c r="B15" s="20">
        <v>1477</v>
      </c>
      <c r="C15" s="20" t="s">
        <v>1361</v>
      </c>
      <c r="D15" s="20" t="s">
        <v>1362</v>
      </c>
      <c r="E15" s="18" t="s">
        <v>311</v>
      </c>
      <c r="F15" s="20" t="s">
        <v>1363</v>
      </c>
      <c r="G15" s="20" t="s">
        <v>1364</v>
      </c>
      <c r="H15" s="18" t="s">
        <v>318</v>
      </c>
      <c r="I15" s="20" t="s">
        <v>980</v>
      </c>
      <c r="J15" s="18" t="s">
        <v>79</v>
      </c>
      <c r="K15" s="18" t="s">
        <v>1365</v>
      </c>
      <c r="L15" s="18" t="s">
        <v>343</v>
      </c>
      <c r="M15" s="20" t="s">
        <v>733</v>
      </c>
      <c r="N15" s="20" t="s">
        <v>134</v>
      </c>
      <c r="O15" s="18" t="s">
        <v>84</v>
      </c>
      <c r="P15" s="154">
        <v>2098</v>
      </c>
      <c r="Q15" s="173">
        <v>3.718</v>
      </c>
      <c r="R15" s="174">
        <v>5378</v>
      </c>
      <c r="S15" s="128"/>
      <c r="T15" s="153">
        <v>419.50400000000002</v>
      </c>
      <c r="U15" s="172">
        <v>0</v>
      </c>
      <c r="V15" s="172">
        <v>5.0524538557309998E-2</v>
      </c>
      <c r="W15" s="172">
        <v>2.6513381650847899E-2</v>
      </c>
    </row>
    <row r="16" spans="1:23">
      <c r="A16" s="20">
        <v>337</v>
      </c>
      <c r="B16" s="20">
        <v>1477</v>
      </c>
      <c r="C16" s="20" t="s">
        <v>1326</v>
      </c>
      <c r="D16" s="20" t="s">
        <v>1327</v>
      </c>
      <c r="E16" s="18" t="s">
        <v>311</v>
      </c>
      <c r="F16" s="20" t="s">
        <v>1366</v>
      </c>
      <c r="G16" s="20" t="s">
        <v>1367</v>
      </c>
      <c r="H16" s="18" t="s">
        <v>318</v>
      </c>
      <c r="I16" s="20" t="s">
        <v>980</v>
      </c>
      <c r="J16" s="18" t="s">
        <v>79</v>
      </c>
      <c r="K16" s="18" t="s">
        <v>80</v>
      </c>
      <c r="L16" s="18" t="s">
        <v>341</v>
      </c>
      <c r="M16" s="20" t="s">
        <v>733</v>
      </c>
      <c r="N16" s="20" t="s">
        <v>134</v>
      </c>
      <c r="O16" s="18" t="s">
        <v>84</v>
      </c>
      <c r="P16" s="154">
        <v>136</v>
      </c>
      <c r="Q16" s="173">
        <v>3.718</v>
      </c>
      <c r="R16" s="174">
        <v>19949</v>
      </c>
      <c r="S16" s="128"/>
      <c r="T16" s="153">
        <v>100.872</v>
      </c>
      <c r="U16" s="172">
        <v>0</v>
      </c>
      <c r="V16" s="172">
        <v>1.2148876373826899E-2</v>
      </c>
      <c r="W16" s="172">
        <v>6.3752743741118103E-3</v>
      </c>
    </row>
    <row r="17" spans="1:23">
      <c r="A17" s="20">
        <v>337</v>
      </c>
      <c r="B17" s="20">
        <v>1477</v>
      </c>
      <c r="C17" s="20" t="s">
        <v>1330</v>
      </c>
      <c r="D17" s="20" t="s">
        <v>1331</v>
      </c>
      <c r="E17" s="18" t="s">
        <v>311</v>
      </c>
      <c r="F17" s="20" t="s">
        <v>1368</v>
      </c>
      <c r="G17" s="20" t="s">
        <v>1369</v>
      </c>
      <c r="H17" s="18" t="s">
        <v>318</v>
      </c>
      <c r="I17" s="20" t="s">
        <v>980</v>
      </c>
      <c r="J17" s="18" t="s">
        <v>79</v>
      </c>
      <c r="K17" s="18" t="s">
        <v>80</v>
      </c>
      <c r="L17" s="18" t="s">
        <v>341</v>
      </c>
      <c r="M17" s="20" t="s">
        <v>733</v>
      </c>
      <c r="N17" s="20" t="s">
        <v>134</v>
      </c>
      <c r="O17" s="18" t="s">
        <v>84</v>
      </c>
      <c r="P17" s="154">
        <v>304</v>
      </c>
      <c r="Q17" s="173">
        <v>3.718</v>
      </c>
      <c r="R17" s="174">
        <v>4981</v>
      </c>
      <c r="S17" s="128"/>
      <c r="T17" s="153">
        <v>56.298999999999999</v>
      </c>
      <c r="U17" s="172">
        <v>0</v>
      </c>
      <c r="V17" s="172">
        <v>6.7805699306325703E-3</v>
      </c>
      <c r="W17" s="172">
        <v>3.55818862506195E-3</v>
      </c>
    </row>
    <row r="18" spans="1:23">
      <c r="A18" s="20">
        <v>337</v>
      </c>
      <c r="B18" s="20">
        <v>1477</v>
      </c>
      <c r="C18" s="20" t="s">
        <v>1370</v>
      </c>
      <c r="D18" s="20" t="s">
        <v>1371</v>
      </c>
      <c r="E18" s="18" t="s">
        <v>311</v>
      </c>
      <c r="F18" s="20" t="s">
        <v>1372</v>
      </c>
      <c r="G18" s="20" t="s">
        <v>1373</v>
      </c>
      <c r="H18" s="18" t="s">
        <v>318</v>
      </c>
      <c r="I18" s="20" t="s">
        <v>980</v>
      </c>
      <c r="J18" s="18" t="s">
        <v>79</v>
      </c>
      <c r="K18" s="18" t="s">
        <v>80</v>
      </c>
      <c r="L18" s="18" t="s">
        <v>377</v>
      </c>
      <c r="M18" s="20" t="s">
        <v>733</v>
      </c>
      <c r="N18" s="20" t="s">
        <v>134</v>
      </c>
      <c r="O18" s="18" t="s">
        <v>84</v>
      </c>
      <c r="P18" s="154">
        <v>283</v>
      </c>
      <c r="Q18" s="173">
        <v>3.718</v>
      </c>
      <c r="R18" s="174">
        <v>5601.75</v>
      </c>
      <c r="S18" s="128"/>
      <c r="T18" s="153">
        <v>58.941000000000003</v>
      </c>
      <c r="U18" s="172">
        <v>1.9999999999999999E-6</v>
      </c>
      <c r="V18" s="172">
        <v>7.0988211145277397E-3</v>
      </c>
      <c r="W18" s="172">
        <v>3.7251949024152001E-3</v>
      </c>
    </row>
    <row r="19" spans="1:23">
      <c r="A19" s="20">
        <v>337</v>
      </c>
      <c r="B19" s="20">
        <v>1477</v>
      </c>
      <c r="C19" s="20" t="s">
        <v>1326</v>
      </c>
      <c r="D19" s="20" t="s">
        <v>1327</v>
      </c>
      <c r="E19" s="18" t="s">
        <v>311</v>
      </c>
      <c r="F19" s="20" t="s">
        <v>1374</v>
      </c>
      <c r="G19" s="20" t="s">
        <v>1375</v>
      </c>
      <c r="H19" s="18" t="s">
        <v>318</v>
      </c>
      <c r="I19" s="20" t="s">
        <v>980</v>
      </c>
      <c r="J19" s="18" t="s">
        <v>79</v>
      </c>
      <c r="K19" s="18" t="s">
        <v>80</v>
      </c>
      <c r="L19" s="18" t="s">
        <v>2887</v>
      </c>
      <c r="M19" s="20" t="s">
        <v>733</v>
      </c>
      <c r="N19" s="20" t="s">
        <v>134</v>
      </c>
      <c r="O19" s="18" t="s">
        <v>84</v>
      </c>
      <c r="P19" s="154">
        <v>252</v>
      </c>
      <c r="Q19" s="173">
        <v>3.718</v>
      </c>
      <c r="R19" s="174">
        <v>8899</v>
      </c>
      <c r="S19" s="128"/>
      <c r="T19" s="153">
        <v>83.378</v>
      </c>
      <c r="U19" s="172">
        <v>1.9999999999999999E-6</v>
      </c>
      <c r="V19" s="172">
        <v>1.00419446111013E-2</v>
      </c>
      <c r="W19" s="172">
        <v>5.2696356581030503E-3</v>
      </c>
    </row>
    <row r="20" spans="1:23">
      <c r="A20" s="2">
        <v>337</v>
      </c>
      <c r="B20" s="2">
        <v>1477</v>
      </c>
      <c r="C20" s="2" t="s">
        <v>1376</v>
      </c>
      <c r="D20" s="2" t="s">
        <v>1377</v>
      </c>
      <c r="E20" s="18" t="s">
        <v>311</v>
      </c>
      <c r="F20" s="2" t="s">
        <v>1378</v>
      </c>
      <c r="G20" s="2" t="s">
        <v>1379</v>
      </c>
      <c r="H20" s="18" t="s">
        <v>318</v>
      </c>
      <c r="I20" s="20" t="s">
        <v>980</v>
      </c>
      <c r="J20" s="18" t="s">
        <v>79</v>
      </c>
      <c r="K20" s="18" t="s">
        <v>80</v>
      </c>
      <c r="L20" s="18" t="s">
        <v>343</v>
      </c>
      <c r="M20" s="20" t="s">
        <v>733</v>
      </c>
      <c r="N20" s="20" t="s">
        <v>134</v>
      </c>
      <c r="O20" s="2" t="s">
        <v>84</v>
      </c>
      <c r="P20" s="154">
        <v>1693</v>
      </c>
      <c r="Q20" s="158">
        <v>3.718</v>
      </c>
      <c r="R20" s="175">
        <v>4893</v>
      </c>
      <c r="T20" s="151">
        <v>307.99400000000003</v>
      </c>
      <c r="U20" s="164">
        <v>0</v>
      </c>
      <c r="V20" s="164">
        <v>3.70943912124631E-2</v>
      </c>
      <c r="W20" s="164">
        <v>1.9465744357196099E-2</v>
      </c>
    </row>
    <row r="21" spans="1:23">
      <c r="A21" s="2">
        <v>337</v>
      </c>
      <c r="B21" s="2">
        <v>1477</v>
      </c>
      <c r="C21" s="2" t="s">
        <v>1326</v>
      </c>
      <c r="D21" s="2" t="s">
        <v>1327</v>
      </c>
      <c r="E21" s="4" t="s">
        <v>311</v>
      </c>
      <c r="F21" s="2" t="s">
        <v>1380</v>
      </c>
      <c r="G21" s="2" t="s">
        <v>1381</v>
      </c>
      <c r="H21" s="4" t="s">
        <v>318</v>
      </c>
      <c r="I21" s="2" t="s">
        <v>980</v>
      </c>
      <c r="J21" s="2" t="s">
        <v>79</v>
      </c>
      <c r="K21" s="2" t="s">
        <v>80</v>
      </c>
      <c r="L21" s="4" t="s">
        <v>341</v>
      </c>
      <c r="M21" s="2" t="s">
        <v>733</v>
      </c>
      <c r="N21" s="2" t="s">
        <v>134</v>
      </c>
      <c r="O21" s="2" t="s">
        <v>84</v>
      </c>
      <c r="P21" s="152">
        <v>439</v>
      </c>
      <c r="Q21" s="158">
        <v>3.718</v>
      </c>
      <c r="R21" s="175">
        <v>56190</v>
      </c>
      <c r="T21" s="151">
        <v>917.13400000000001</v>
      </c>
      <c r="U21" s="164">
        <v>9.9999999999999995E-7</v>
      </c>
      <c r="V21" s="164">
        <v>0.11045862336918801</v>
      </c>
      <c r="W21" s="164">
        <v>5.7964540036176598E-2</v>
      </c>
    </row>
    <row r="22" spans="1:23">
      <c r="A22" s="2">
        <v>337</v>
      </c>
      <c r="B22" s="2">
        <v>1477</v>
      </c>
      <c r="C22" s="2" t="s">
        <v>1382</v>
      </c>
      <c r="D22" s="2" t="s">
        <v>1383</v>
      </c>
      <c r="E22" s="4" t="s">
        <v>311</v>
      </c>
      <c r="F22" s="2" t="s">
        <v>1384</v>
      </c>
      <c r="G22" s="2" t="s">
        <v>1385</v>
      </c>
      <c r="H22" s="2" t="s">
        <v>318</v>
      </c>
      <c r="I22" s="2" t="s">
        <v>980</v>
      </c>
      <c r="J22" s="2" t="s">
        <v>79</v>
      </c>
      <c r="K22" s="2" t="s">
        <v>267</v>
      </c>
      <c r="L22" s="4" t="s">
        <v>341</v>
      </c>
      <c r="M22" s="2" t="s">
        <v>733</v>
      </c>
      <c r="N22" s="2" t="s">
        <v>134</v>
      </c>
      <c r="O22" s="2" t="s">
        <v>84</v>
      </c>
      <c r="P22" s="152">
        <v>651</v>
      </c>
      <c r="Q22" s="158">
        <v>3.718</v>
      </c>
      <c r="R22" s="175">
        <v>3491</v>
      </c>
      <c r="T22" s="151">
        <v>84.497</v>
      </c>
      <c r="U22" s="164">
        <v>3.0000000000000001E-6</v>
      </c>
      <c r="V22" s="164">
        <v>1.01766985780986E-2</v>
      </c>
      <c r="W22" s="164">
        <v>5.3403494826719296E-3</v>
      </c>
    </row>
    <row r="23" spans="1:23">
      <c r="A23" s="2">
        <v>337</v>
      </c>
      <c r="B23" s="2">
        <v>1477</v>
      </c>
      <c r="C23" s="2" t="s">
        <v>1386</v>
      </c>
      <c r="D23" s="2" t="s">
        <v>1362</v>
      </c>
      <c r="E23" s="4" t="s">
        <v>311</v>
      </c>
      <c r="F23" s="2" t="s">
        <v>1387</v>
      </c>
      <c r="G23" s="2" t="s">
        <v>1388</v>
      </c>
      <c r="H23" s="2" t="s">
        <v>318</v>
      </c>
      <c r="I23" s="2" t="s">
        <v>980</v>
      </c>
      <c r="J23" s="2" t="s">
        <v>79</v>
      </c>
      <c r="K23" s="2" t="s">
        <v>292</v>
      </c>
      <c r="L23" s="2" t="s">
        <v>361</v>
      </c>
      <c r="M23" s="2" t="s">
        <v>733</v>
      </c>
      <c r="N23" s="2" t="s">
        <v>134</v>
      </c>
      <c r="O23" s="2" t="s">
        <v>1177</v>
      </c>
      <c r="P23" s="152">
        <v>290</v>
      </c>
      <c r="Q23" s="158">
        <v>4.0218999999999996</v>
      </c>
      <c r="R23" s="175">
        <v>25113</v>
      </c>
      <c r="T23" s="151">
        <v>292.90600000000001</v>
      </c>
      <c r="U23" s="164">
        <v>1.2999999999999999E-5</v>
      </c>
      <c r="V23" s="164">
        <v>3.5277236067223702E-2</v>
      </c>
      <c r="W23" s="164">
        <v>1.8512169534738599E-2</v>
      </c>
    </row>
    <row r="24" spans="1:23">
      <c r="A24" s="2">
        <v>337</v>
      </c>
      <c r="B24" s="2">
        <v>1477</v>
      </c>
      <c r="C24" s="2" t="s">
        <v>1386</v>
      </c>
      <c r="D24" s="2" t="s">
        <v>1362</v>
      </c>
      <c r="E24" s="4" t="s">
        <v>311</v>
      </c>
      <c r="F24" s="2" t="s">
        <v>1389</v>
      </c>
      <c r="G24" s="2" t="s">
        <v>1390</v>
      </c>
      <c r="H24" s="2" t="s">
        <v>318</v>
      </c>
      <c r="I24" s="2" t="s">
        <v>980</v>
      </c>
      <c r="J24" s="2" t="s">
        <v>79</v>
      </c>
      <c r="K24" s="2" t="s">
        <v>80</v>
      </c>
      <c r="L24" s="2" t="s">
        <v>377</v>
      </c>
      <c r="M24" s="2" t="s">
        <v>733</v>
      </c>
      <c r="N24" s="2" t="s">
        <v>134</v>
      </c>
      <c r="O24" s="2" t="s">
        <v>1177</v>
      </c>
      <c r="P24" s="152">
        <v>241</v>
      </c>
      <c r="Q24" s="158">
        <v>4.0218999999999996</v>
      </c>
      <c r="R24" s="175">
        <v>36791</v>
      </c>
      <c r="T24" s="151">
        <v>356.60700000000003</v>
      </c>
      <c r="U24" s="164">
        <v>2.6999999999999999E-5</v>
      </c>
      <c r="V24" s="164">
        <v>4.2949349616693097E-2</v>
      </c>
      <c r="W24" s="164">
        <v>2.2538206791367699E-2</v>
      </c>
    </row>
    <row r="25" spans="1:23">
      <c r="A25" s="2">
        <v>337</v>
      </c>
      <c r="B25" s="2">
        <v>1477</v>
      </c>
      <c r="C25" s="2" t="s">
        <v>1386</v>
      </c>
      <c r="D25" s="2" t="s">
        <v>1362</v>
      </c>
      <c r="E25" s="4" t="s">
        <v>311</v>
      </c>
      <c r="F25" s="2" t="s">
        <v>1391</v>
      </c>
      <c r="G25" s="2" t="s">
        <v>1390</v>
      </c>
      <c r="H25" s="2" t="s">
        <v>318</v>
      </c>
      <c r="I25" s="2" t="s">
        <v>980</v>
      </c>
      <c r="J25" s="2" t="s">
        <v>79</v>
      </c>
      <c r="K25" s="2" t="s">
        <v>80</v>
      </c>
      <c r="L25" s="2" t="s">
        <v>377</v>
      </c>
      <c r="M25" s="2" t="s">
        <v>733</v>
      </c>
      <c r="N25" s="2" t="s">
        <v>134</v>
      </c>
      <c r="O25" s="2" t="s">
        <v>84</v>
      </c>
      <c r="P25" s="152">
        <v>143</v>
      </c>
      <c r="Q25" s="158">
        <v>3.718</v>
      </c>
      <c r="R25" s="175">
        <v>39730</v>
      </c>
      <c r="T25" s="151">
        <v>211.23400000000001</v>
      </c>
      <c r="U25" s="164">
        <v>1.5999999999999999E-5</v>
      </c>
      <c r="V25" s="164">
        <v>2.5440794887808298E-2</v>
      </c>
      <c r="W25" s="164">
        <v>1.33503743650482E-2</v>
      </c>
    </row>
    <row r="26" spans="1:23">
      <c r="A26" s="2">
        <v>337</v>
      </c>
      <c r="B26" s="2">
        <v>1477</v>
      </c>
      <c r="C26" s="2" t="s">
        <v>1326</v>
      </c>
      <c r="D26" s="2" t="s">
        <v>1327</v>
      </c>
      <c r="E26" s="4" t="s">
        <v>311</v>
      </c>
      <c r="F26" s="2" t="s">
        <v>1392</v>
      </c>
      <c r="G26" s="11" t="s">
        <v>1393</v>
      </c>
      <c r="H26" s="2" t="s">
        <v>318</v>
      </c>
      <c r="I26" s="2" t="s">
        <v>980</v>
      </c>
      <c r="J26" s="2" t="s">
        <v>79</v>
      </c>
      <c r="K26" s="2" t="s">
        <v>267</v>
      </c>
      <c r="L26" s="2" t="s">
        <v>343</v>
      </c>
      <c r="M26" s="2" t="s">
        <v>733</v>
      </c>
      <c r="N26" s="2" t="s">
        <v>134</v>
      </c>
      <c r="O26" s="2" t="s">
        <v>84</v>
      </c>
      <c r="P26" s="152">
        <v>420</v>
      </c>
      <c r="Q26" s="158">
        <v>3.718</v>
      </c>
      <c r="R26" s="175">
        <v>5440</v>
      </c>
      <c r="T26" s="151">
        <v>84.948999999999998</v>
      </c>
      <c r="U26" s="164">
        <v>3.0000000000000001E-6</v>
      </c>
      <c r="V26" s="164">
        <v>1.02311455752315E-2</v>
      </c>
      <c r="W26" s="164">
        <v>5.3689212233735198E-3</v>
      </c>
    </row>
    <row r="27" spans="1:23">
      <c r="A27" s="2">
        <v>337</v>
      </c>
      <c r="B27" s="2">
        <v>1477</v>
      </c>
      <c r="C27" s="2" t="s">
        <v>1376</v>
      </c>
      <c r="D27" s="2" t="s">
        <v>1377</v>
      </c>
      <c r="E27" s="4" t="s">
        <v>311</v>
      </c>
      <c r="F27" s="2" t="s">
        <v>1394</v>
      </c>
      <c r="G27" s="2" t="s">
        <v>1395</v>
      </c>
      <c r="H27" s="2" t="s">
        <v>318</v>
      </c>
      <c r="I27" s="2" t="s">
        <v>980</v>
      </c>
      <c r="J27" s="2" t="s">
        <v>79</v>
      </c>
      <c r="K27" s="2" t="s">
        <v>80</v>
      </c>
      <c r="L27" s="2" t="s">
        <v>343</v>
      </c>
      <c r="M27" s="2" t="s">
        <v>733</v>
      </c>
      <c r="N27" s="2" t="s">
        <v>134</v>
      </c>
      <c r="O27" s="2" t="s">
        <v>84</v>
      </c>
      <c r="P27" s="152">
        <v>329</v>
      </c>
      <c r="Q27" s="158">
        <v>3.718</v>
      </c>
      <c r="R27" s="175">
        <v>46892</v>
      </c>
      <c r="S27" s="155">
        <v>0.17599999999999999</v>
      </c>
      <c r="T27" s="151">
        <v>574.24800000000005</v>
      </c>
      <c r="U27" s="164">
        <v>9.9999999999999995E-7</v>
      </c>
      <c r="V27" s="164">
        <v>6.91617298735972E-2</v>
      </c>
      <c r="W27" s="164">
        <v>3.6293480200547498E-2</v>
      </c>
    </row>
    <row r="28" spans="1:23">
      <c r="A28" s="2">
        <v>337</v>
      </c>
      <c r="B28" s="2">
        <v>1477</v>
      </c>
      <c r="C28" s="2" t="s">
        <v>1376</v>
      </c>
      <c r="D28" s="2" t="s">
        <v>1377</v>
      </c>
      <c r="E28" s="4" t="s">
        <v>311</v>
      </c>
      <c r="F28" s="2" t="s">
        <v>1396</v>
      </c>
      <c r="G28" s="2" t="s">
        <v>1397</v>
      </c>
      <c r="H28" s="2" t="s">
        <v>318</v>
      </c>
      <c r="I28" s="2" t="s">
        <v>980</v>
      </c>
      <c r="J28" s="2" t="s">
        <v>79</v>
      </c>
      <c r="K28" s="2" t="s">
        <v>80</v>
      </c>
      <c r="L28" s="2" t="s">
        <v>377</v>
      </c>
      <c r="M28" s="2" t="s">
        <v>733</v>
      </c>
      <c r="N28" s="2" t="s">
        <v>134</v>
      </c>
      <c r="O28" s="2" t="s">
        <v>84</v>
      </c>
      <c r="P28" s="152">
        <v>27</v>
      </c>
      <c r="Q28" s="158">
        <v>3.718</v>
      </c>
      <c r="R28" s="175">
        <v>109783</v>
      </c>
      <c r="T28" s="151">
        <v>110.20699999999999</v>
      </c>
      <c r="U28" s="164">
        <v>5.0000000000000004E-6</v>
      </c>
      <c r="V28" s="164">
        <v>1.3273178429846001E-2</v>
      </c>
      <c r="W28" s="164">
        <v>6.96526589809682E-3</v>
      </c>
    </row>
    <row r="29" spans="1:23">
      <c r="A29" s="2">
        <v>337</v>
      </c>
      <c r="B29" s="2">
        <v>1477</v>
      </c>
      <c r="C29" s="2" t="s">
        <v>1330</v>
      </c>
      <c r="D29" s="2" t="s">
        <v>1331</v>
      </c>
      <c r="E29" s="4" t="s">
        <v>311</v>
      </c>
      <c r="F29" s="2" t="s">
        <v>1398</v>
      </c>
      <c r="G29" s="2" t="s">
        <v>1399</v>
      </c>
      <c r="H29" s="2" t="s">
        <v>318</v>
      </c>
      <c r="I29" s="2" t="s">
        <v>980</v>
      </c>
      <c r="J29" s="2" t="s">
        <v>79</v>
      </c>
      <c r="K29" s="2" t="s">
        <v>80</v>
      </c>
      <c r="L29" s="2" t="s">
        <v>341</v>
      </c>
      <c r="M29" s="2" t="s">
        <v>733</v>
      </c>
      <c r="N29" s="2" t="s">
        <v>134</v>
      </c>
      <c r="O29" s="2" t="s">
        <v>84</v>
      </c>
      <c r="P29" s="152">
        <v>468</v>
      </c>
      <c r="Q29" s="158">
        <v>3.718</v>
      </c>
      <c r="R29" s="175">
        <v>55939</v>
      </c>
      <c r="S29" s="155">
        <v>0.35</v>
      </c>
      <c r="T29" s="151">
        <v>974.65200000000004</v>
      </c>
      <c r="U29" s="164">
        <v>9.9999999999999995E-7</v>
      </c>
      <c r="V29" s="164">
        <v>0.11738603878784901</v>
      </c>
      <c r="W29" s="164">
        <v>6.1599787662250098E-2</v>
      </c>
    </row>
    <row r="30" spans="1:23">
      <c r="A30" s="2">
        <v>337</v>
      </c>
      <c r="B30" s="2">
        <v>1477</v>
      </c>
      <c r="C30" s="2" t="s">
        <v>1400</v>
      </c>
      <c r="D30" s="2" t="s">
        <v>1401</v>
      </c>
      <c r="E30" s="4" t="s">
        <v>311</v>
      </c>
      <c r="F30" s="2" t="s">
        <v>1402</v>
      </c>
      <c r="G30" s="2" t="s">
        <v>1403</v>
      </c>
      <c r="H30" s="2" t="s">
        <v>318</v>
      </c>
      <c r="I30" s="2" t="s">
        <v>980</v>
      </c>
      <c r="J30" s="2" t="s">
        <v>79</v>
      </c>
      <c r="K30" s="2" t="s">
        <v>80</v>
      </c>
      <c r="L30" s="2" t="s">
        <v>341</v>
      </c>
      <c r="M30" s="2" t="s">
        <v>733</v>
      </c>
      <c r="N30" s="2" t="s">
        <v>134</v>
      </c>
      <c r="O30" s="2" t="s">
        <v>84</v>
      </c>
      <c r="P30" s="152">
        <v>637</v>
      </c>
      <c r="Q30" s="158">
        <v>3.718</v>
      </c>
      <c r="R30" s="175">
        <v>51391</v>
      </c>
      <c r="T30" s="151">
        <v>1217.127</v>
      </c>
      <c r="U30" s="164">
        <v>9.9999999999999995E-7</v>
      </c>
      <c r="V30" s="164">
        <v>0.14658940258995601</v>
      </c>
      <c r="W30" s="164">
        <v>7.6924616984452798E-2</v>
      </c>
    </row>
    <row r="31" spans="1:23">
      <c r="A31" s="2">
        <v>337</v>
      </c>
      <c r="B31" s="2">
        <v>9962</v>
      </c>
      <c r="C31" s="2" t="s">
        <v>1317</v>
      </c>
      <c r="D31" s="2" t="s">
        <v>1318</v>
      </c>
      <c r="E31" s="4" t="s">
        <v>1303</v>
      </c>
      <c r="F31" s="2" t="s">
        <v>1404</v>
      </c>
      <c r="G31" s="2" t="s">
        <v>1405</v>
      </c>
      <c r="H31" s="2" t="s">
        <v>318</v>
      </c>
      <c r="I31" s="2" t="s">
        <v>981</v>
      </c>
      <c r="J31" s="2" t="s">
        <v>30</v>
      </c>
      <c r="K31" s="2" t="s">
        <v>30</v>
      </c>
      <c r="L31" s="2" t="s">
        <v>41</v>
      </c>
      <c r="M31" s="2" t="s">
        <v>1321</v>
      </c>
      <c r="N31" s="2" t="s">
        <v>134</v>
      </c>
      <c r="O31" s="2" t="s">
        <v>34</v>
      </c>
      <c r="P31" s="152">
        <v>303768</v>
      </c>
      <c r="Q31" s="158">
        <v>1</v>
      </c>
      <c r="R31" s="175">
        <v>475.88</v>
      </c>
      <c r="T31" s="151">
        <v>1445.5709999999999</v>
      </c>
      <c r="U31" s="164">
        <v>1.4469999999999999E-3</v>
      </c>
      <c r="V31" s="164">
        <v>0.13677833652076701</v>
      </c>
      <c r="W31" s="164">
        <v>3.7766216601943597E-2</v>
      </c>
    </row>
    <row r="32" spans="1:23">
      <c r="A32" s="2">
        <v>337</v>
      </c>
      <c r="B32" s="2">
        <v>9962</v>
      </c>
      <c r="C32" s="2" t="s">
        <v>1343</v>
      </c>
      <c r="D32" s="2" t="s">
        <v>1344</v>
      </c>
      <c r="E32" s="4" t="s">
        <v>1303</v>
      </c>
      <c r="F32" s="2" t="s">
        <v>1345</v>
      </c>
      <c r="G32" s="2" t="s">
        <v>1346</v>
      </c>
      <c r="H32" s="2" t="s">
        <v>318</v>
      </c>
      <c r="I32" s="2" t="s">
        <v>980</v>
      </c>
      <c r="J32" s="2" t="s">
        <v>30</v>
      </c>
      <c r="K32" s="2" t="s">
        <v>295</v>
      </c>
      <c r="L32" s="2" t="s">
        <v>41</v>
      </c>
      <c r="M32" s="2" t="s">
        <v>1342</v>
      </c>
      <c r="N32" s="2" t="s">
        <v>134</v>
      </c>
      <c r="O32" s="2" t="s">
        <v>34</v>
      </c>
      <c r="P32" s="152">
        <v>49536</v>
      </c>
      <c r="Q32" s="158">
        <v>1</v>
      </c>
      <c r="R32" s="175">
        <v>775.8</v>
      </c>
      <c r="T32" s="151">
        <v>384.3</v>
      </c>
      <c r="U32" s="164">
        <v>9.8999999999999994E-5</v>
      </c>
      <c r="V32" s="164">
        <v>3.6362066171319297E-2</v>
      </c>
      <c r="W32" s="164">
        <v>1.0040023164865399E-2</v>
      </c>
    </row>
    <row r="33" spans="1:23">
      <c r="A33" s="2">
        <v>337</v>
      </c>
      <c r="B33" s="2">
        <v>9962</v>
      </c>
      <c r="C33" s="2" t="s">
        <v>1343</v>
      </c>
      <c r="D33" s="2" t="s">
        <v>1344</v>
      </c>
      <c r="E33" s="4" t="s">
        <v>1303</v>
      </c>
      <c r="F33" s="2" t="s">
        <v>1347</v>
      </c>
      <c r="G33" s="2" t="s">
        <v>1348</v>
      </c>
      <c r="H33" s="2" t="s">
        <v>318</v>
      </c>
      <c r="I33" s="2" t="s">
        <v>979</v>
      </c>
      <c r="J33" s="2" t="s">
        <v>30</v>
      </c>
      <c r="K33" s="2" t="s">
        <v>30</v>
      </c>
      <c r="L33" s="2" t="s">
        <v>41</v>
      </c>
      <c r="M33" s="2" t="s">
        <v>1316</v>
      </c>
      <c r="N33" s="2" t="s">
        <v>134</v>
      </c>
      <c r="O33" s="2" t="s">
        <v>34</v>
      </c>
      <c r="P33" s="152">
        <v>10000</v>
      </c>
      <c r="Q33" s="158">
        <v>1</v>
      </c>
      <c r="R33" s="175">
        <v>2395</v>
      </c>
      <c r="T33" s="151">
        <v>239.5</v>
      </c>
      <c r="U33" s="164">
        <v>4.0000000000000003E-5</v>
      </c>
      <c r="V33" s="164">
        <v>2.2661223839704699E-2</v>
      </c>
      <c r="W33" s="164">
        <v>6.2570485192695504E-3</v>
      </c>
    </row>
    <row r="34" spans="1:23">
      <c r="A34" s="2">
        <v>337</v>
      </c>
      <c r="B34" s="2">
        <v>9962</v>
      </c>
      <c r="C34" s="2" t="s">
        <v>1343</v>
      </c>
      <c r="D34" s="2" t="s">
        <v>1344</v>
      </c>
      <c r="E34" s="4" t="s">
        <v>1303</v>
      </c>
      <c r="F34" s="2" t="s">
        <v>1406</v>
      </c>
      <c r="G34" s="2" t="s">
        <v>1407</v>
      </c>
      <c r="H34" s="2" t="s">
        <v>318</v>
      </c>
      <c r="I34" s="2" t="s">
        <v>981</v>
      </c>
      <c r="J34" s="2" t="s">
        <v>30</v>
      </c>
      <c r="K34" s="2" t="s">
        <v>30</v>
      </c>
      <c r="L34" s="2" t="s">
        <v>41</v>
      </c>
      <c r="M34" s="2" t="s">
        <v>1321</v>
      </c>
      <c r="N34" s="2" t="s">
        <v>134</v>
      </c>
      <c r="O34" s="2" t="s">
        <v>34</v>
      </c>
      <c r="P34" s="152">
        <v>62014</v>
      </c>
      <c r="Q34" s="158">
        <v>1</v>
      </c>
      <c r="R34" s="175">
        <v>404.49</v>
      </c>
      <c r="T34" s="151">
        <v>250.84</v>
      </c>
      <c r="U34" s="164">
        <v>2.2699999999999999E-4</v>
      </c>
      <c r="V34" s="164">
        <v>2.3734242591031601E-2</v>
      </c>
      <c r="W34" s="164">
        <v>6.5533224732549902E-3</v>
      </c>
    </row>
    <row r="35" spans="1:23">
      <c r="A35" s="2">
        <v>337</v>
      </c>
      <c r="B35" s="2">
        <v>9962</v>
      </c>
      <c r="C35" s="2" t="s">
        <v>1343</v>
      </c>
      <c r="D35" s="2" t="s">
        <v>1344</v>
      </c>
      <c r="E35" s="4" t="s">
        <v>1303</v>
      </c>
      <c r="F35" s="2" t="s">
        <v>1349</v>
      </c>
      <c r="G35" s="2" t="s">
        <v>1350</v>
      </c>
      <c r="H35" s="2" t="s">
        <v>318</v>
      </c>
      <c r="I35" s="2" t="s">
        <v>980</v>
      </c>
      <c r="J35" s="2" t="s">
        <v>30</v>
      </c>
      <c r="K35" s="2" t="s">
        <v>292</v>
      </c>
      <c r="L35" s="2" t="s">
        <v>41</v>
      </c>
      <c r="M35" s="2" t="s">
        <v>1337</v>
      </c>
      <c r="N35" s="2" t="s">
        <v>134</v>
      </c>
      <c r="O35" s="2" t="s">
        <v>34</v>
      </c>
      <c r="P35" s="152">
        <v>56863</v>
      </c>
      <c r="Q35" s="158">
        <v>1</v>
      </c>
      <c r="R35" s="175">
        <v>680.1</v>
      </c>
      <c r="T35" s="151">
        <v>386.72500000000002</v>
      </c>
      <c r="U35" s="164">
        <v>2.41E-4</v>
      </c>
      <c r="V35" s="164">
        <v>3.65915146109047E-2</v>
      </c>
      <c r="W35" s="164">
        <v>1.01033767608279E-2</v>
      </c>
    </row>
    <row r="36" spans="1:23">
      <c r="A36" s="2">
        <v>337</v>
      </c>
      <c r="B36" s="2">
        <v>9962</v>
      </c>
      <c r="C36" s="2" t="s">
        <v>1343</v>
      </c>
      <c r="D36" s="2" t="s">
        <v>1344</v>
      </c>
      <c r="E36" s="4" t="s">
        <v>1303</v>
      </c>
      <c r="F36" s="2" t="s">
        <v>1351</v>
      </c>
      <c r="G36" s="2" t="s">
        <v>1352</v>
      </c>
      <c r="H36" s="2" t="s">
        <v>318</v>
      </c>
      <c r="I36" s="2" t="s">
        <v>980</v>
      </c>
      <c r="J36" s="2" t="s">
        <v>30</v>
      </c>
      <c r="K36" s="2" t="s">
        <v>237</v>
      </c>
      <c r="L36" s="2" t="s">
        <v>41</v>
      </c>
      <c r="M36" s="2" t="s">
        <v>1337</v>
      </c>
      <c r="N36" s="2" t="s">
        <v>134</v>
      </c>
      <c r="O36" s="2" t="s">
        <v>34</v>
      </c>
      <c r="P36" s="152">
        <v>673</v>
      </c>
      <c r="Q36" s="158">
        <v>1</v>
      </c>
      <c r="R36" s="175">
        <v>19360</v>
      </c>
      <c r="T36" s="151">
        <v>130.29300000000001</v>
      </c>
      <c r="U36" s="164">
        <v>5.8999999999999998E-5</v>
      </c>
      <c r="V36" s="164">
        <v>1.2328159939465001E-2</v>
      </c>
      <c r="W36" s="164">
        <v>3.4039597967076602E-3</v>
      </c>
    </row>
    <row r="37" spans="1:23">
      <c r="A37" s="2">
        <v>337</v>
      </c>
      <c r="B37" s="2">
        <v>9962</v>
      </c>
      <c r="C37" s="2" t="s">
        <v>1322</v>
      </c>
      <c r="D37" s="2" t="s">
        <v>1323</v>
      </c>
      <c r="E37" s="4" t="s">
        <v>1303</v>
      </c>
      <c r="F37" s="2" t="s">
        <v>1357</v>
      </c>
      <c r="G37" s="2" t="s">
        <v>1358</v>
      </c>
      <c r="H37" s="2" t="s">
        <v>318</v>
      </c>
      <c r="I37" s="2" t="s">
        <v>980</v>
      </c>
      <c r="J37" s="2" t="s">
        <v>30</v>
      </c>
      <c r="K37" s="2" t="s">
        <v>292</v>
      </c>
      <c r="L37" s="2" t="s">
        <v>41</v>
      </c>
      <c r="M37" s="2" t="s">
        <v>1337</v>
      </c>
      <c r="N37" s="2" t="s">
        <v>134</v>
      </c>
      <c r="O37" s="2" t="s">
        <v>34</v>
      </c>
      <c r="P37" s="152">
        <v>5531</v>
      </c>
      <c r="Q37" s="158">
        <v>1</v>
      </c>
      <c r="R37" s="175">
        <v>7329</v>
      </c>
      <c r="T37" s="151">
        <v>405.36700000000002</v>
      </c>
      <c r="U37" s="164">
        <v>3.97E-4</v>
      </c>
      <c r="V37" s="164">
        <v>3.8355374102786402E-2</v>
      </c>
      <c r="W37" s="164">
        <v>1.0590400520001099E-2</v>
      </c>
    </row>
    <row r="38" spans="1:23">
      <c r="A38" s="2">
        <v>337</v>
      </c>
      <c r="B38" s="2">
        <v>9962</v>
      </c>
      <c r="C38" s="2" t="s">
        <v>1322</v>
      </c>
      <c r="D38" s="2" t="s">
        <v>1323</v>
      </c>
      <c r="E38" s="4" t="s">
        <v>1303</v>
      </c>
      <c r="F38" s="2" t="s">
        <v>1359</v>
      </c>
      <c r="G38" s="2" t="s">
        <v>1360</v>
      </c>
      <c r="H38" s="2" t="s">
        <v>318</v>
      </c>
      <c r="I38" s="2" t="s">
        <v>979</v>
      </c>
      <c r="J38" s="2" t="s">
        <v>30</v>
      </c>
      <c r="K38" s="2" t="s">
        <v>30</v>
      </c>
      <c r="L38" s="2" t="s">
        <v>41</v>
      </c>
      <c r="M38" s="2" t="s">
        <v>1316</v>
      </c>
      <c r="N38" s="2" t="s">
        <v>134</v>
      </c>
      <c r="O38" s="2" t="s">
        <v>34</v>
      </c>
      <c r="P38" s="152">
        <v>329</v>
      </c>
      <c r="Q38" s="158">
        <v>1</v>
      </c>
      <c r="R38" s="175">
        <v>23890</v>
      </c>
      <c r="T38" s="151">
        <v>78.597999999999999</v>
      </c>
      <c r="U38" s="164">
        <v>9.0000000000000002E-6</v>
      </c>
      <c r="V38" s="164">
        <v>7.4368648746367203E-3</v>
      </c>
      <c r="W38" s="164">
        <v>2.0534117963356999E-3</v>
      </c>
    </row>
    <row r="39" spans="1:23">
      <c r="A39" s="2">
        <v>337</v>
      </c>
      <c r="B39" s="2">
        <v>9962</v>
      </c>
      <c r="C39" s="2" t="s">
        <v>1322</v>
      </c>
      <c r="D39" s="2" t="s">
        <v>1323</v>
      </c>
      <c r="E39" s="4" t="s">
        <v>1303</v>
      </c>
      <c r="F39" s="2" t="s">
        <v>1408</v>
      </c>
      <c r="G39" s="2" t="s">
        <v>1409</v>
      </c>
      <c r="H39" s="2" t="s">
        <v>318</v>
      </c>
      <c r="I39" s="2" t="s">
        <v>981</v>
      </c>
      <c r="J39" s="2" t="s">
        <v>30</v>
      </c>
      <c r="K39" s="2" t="s">
        <v>30</v>
      </c>
      <c r="L39" s="2" t="s">
        <v>41</v>
      </c>
      <c r="M39" s="2" t="s">
        <v>1321</v>
      </c>
      <c r="N39" s="2" t="s">
        <v>134</v>
      </c>
      <c r="O39" s="2" t="s">
        <v>34</v>
      </c>
      <c r="P39" s="152">
        <v>13000</v>
      </c>
      <c r="Q39" s="158">
        <v>1</v>
      </c>
      <c r="R39" s="175">
        <v>3719.02</v>
      </c>
      <c r="T39" s="151">
        <v>483.47300000000001</v>
      </c>
      <c r="U39" s="164">
        <v>1.8100000000000001E-4</v>
      </c>
      <c r="V39" s="164">
        <v>4.5745640120935301E-2</v>
      </c>
      <c r="W39" s="164">
        <v>1.2630945786795E-2</v>
      </c>
    </row>
    <row r="40" spans="1:23">
      <c r="A40" s="2">
        <v>337</v>
      </c>
      <c r="B40" s="2">
        <v>9962</v>
      </c>
      <c r="C40" s="2" t="s">
        <v>1361</v>
      </c>
      <c r="D40" s="2" t="s">
        <v>1362</v>
      </c>
      <c r="E40" s="4" t="s">
        <v>311</v>
      </c>
      <c r="F40" s="2" t="s">
        <v>1363</v>
      </c>
      <c r="G40" s="2" t="s">
        <v>1364</v>
      </c>
      <c r="H40" s="2" t="s">
        <v>318</v>
      </c>
      <c r="I40" s="2" t="s">
        <v>980</v>
      </c>
      <c r="J40" s="2" t="s">
        <v>79</v>
      </c>
      <c r="K40" s="2" t="s">
        <v>1365</v>
      </c>
      <c r="L40" s="2" t="s">
        <v>343</v>
      </c>
      <c r="M40" s="2" t="s">
        <v>733</v>
      </c>
      <c r="N40" s="2" t="s">
        <v>134</v>
      </c>
      <c r="O40" s="2" t="s">
        <v>84</v>
      </c>
      <c r="P40" s="152">
        <v>4210</v>
      </c>
      <c r="Q40" s="158">
        <v>3.718</v>
      </c>
      <c r="R40" s="175">
        <v>5378</v>
      </c>
      <c r="T40" s="151">
        <v>841.80700000000002</v>
      </c>
      <c r="U40" s="164">
        <v>0</v>
      </c>
      <c r="V40" s="164">
        <v>7.9650796311368094E-2</v>
      </c>
      <c r="W40" s="164">
        <v>2.19925852479987E-2</v>
      </c>
    </row>
    <row r="41" spans="1:23">
      <c r="A41" s="2">
        <v>337</v>
      </c>
      <c r="B41" s="2">
        <v>9962</v>
      </c>
      <c r="C41" s="2" t="s">
        <v>1326</v>
      </c>
      <c r="D41" s="2" t="s">
        <v>1327</v>
      </c>
      <c r="E41" s="4" t="s">
        <v>311</v>
      </c>
      <c r="F41" s="2" t="s">
        <v>1366</v>
      </c>
      <c r="G41" s="2" t="s">
        <v>1367</v>
      </c>
      <c r="H41" s="2" t="s">
        <v>318</v>
      </c>
      <c r="I41" s="2" t="s">
        <v>980</v>
      </c>
      <c r="J41" s="2" t="s">
        <v>79</v>
      </c>
      <c r="K41" s="2" t="s">
        <v>80</v>
      </c>
      <c r="L41" s="2" t="s">
        <v>341</v>
      </c>
      <c r="M41" s="2" t="s">
        <v>733</v>
      </c>
      <c r="N41" s="2" t="s">
        <v>134</v>
      </c>
      <c r="O41" s="2" t="s">
        <v>84</v>
      </c>
      <c r="P41" s="152">
        <v>417</v>
      </c>
      <c r="Q41" s="158">
        <v>3.718</v>
      </c>
      <c r="R41" s="175">
        <v>19949</v>
      </c>
      <c r="T41" s="151">
        <v>309.29000000000002</v>
      </c>
      <c r="U41" s="164">
        <v>9.9999999999999995E-7</v>
      </c>
      <c r="V41" s="164">
        <v>2.9264722722362999E-2</v>
      </c>
      <c r="W41" s="164">
        <v>8.0803574984316309E-3</v>
      </c>
    </row>
    <row r="42" spans="1:23">
      <c r="A42" s="2">
        <v>337</v>
      </c>
      <c r="B42" s="2">
        <v>9962</v>
      </c>
      <c r="C42" s="2" t="s">
        <v>1330</v>
      </c>
      <c r="D42" s="2" t="s">
        <v>1331</v>
      </c>
      <c r="E42" s="4" t="s">
        <v>311</v>
      </c>
      <c r="F42" s="2" t="s">
        <v>1368</v>
      </c>
      <c r="G42" s="2" t="s">
        <v>1369</v>
      </c>
      <c r="H42" s="2" t="s">
        <v>318</v>
      </c>
      <c r="I42" s="2" t="s">
        <v>980</v>
      </c>
      <c r="J42" s="2" t="s">
        <v>79</v>
      </c>
      <c r="K42" s="2" t="s">
        <v>80</v>
      </c>
      <c r="L42" s="2" t="s">
        <v>341</v>
      </c>
      <c r="M42" s="2" t="s">
        <v>733</v>
      </c>
      <c r="N42" s="2" t="s">
        <v>134</v>
      </c>
      <c r="O42" s="2" t="s">
        <v>84</v>
      </c>
      <c r="P42" s="152">
        <v>608</v>
      </c>
      <c r="Q42" s="158">
        <v>3.718</v>
      </c>
      <c r="R42" s="175">
        <v>4981</v>
      </c>
      <c r="T42" s="151">
        <v>112.598</v>
      </c>
      <c r="U42" s="164">
        <v>9.9999999999999995E-7</v>
      </c>
      <c r="V42" s="164">
        <v>1.06538689244017E-2</v>
      </c>
      <c r="W42" s="164">
        <v>2.9416670189330802E-3</v>
      </c>
    </row>
    <row r="43" spans="1:23">
      <c r="A43" s="2">
        <v>337</v>
      </c>
      <c r="B43" s="2">
        <v>9962</v>
      </c>
      <c r="C43" s="2" t="s">
        <v>1376</v>
      </c>
      <c r="D43" s="2" t="s">
        <v>1377</v>
      </c>
      <c r="E43" s="4" t="s">
        <v>311</v>
      </c>
      <c r="F43" s="2" t="s">
        <v>1378</v>
      </c>
      <c r="G43" s="2" t="s">
        <v>1379</v>
      </c>
      <c r="H43" s="2" t="s">
        <v>318</v>
      </c>
      <c r="I43" s="2" t="s">
        <v>980</v>
      </c>
      <c r="J43" s="2" t="s">
        <v>79</v>
      </c>
      <c r="K43" s="2" t="s">
        <v>80</v>
      </c>
      <c r="L43" s="2" t="s">
        <v>343</v>
      </c>
      <c r="M43" s="2" t="s">
        <v>733</v>
      </c>
      <c r="N43" s="2" t="s">
        <v>134</v>
      </c>
      <c r="O43" s="2" t="s">
        <v>84</v>
      </c>
      <c r="P43" s="152">
        <v>1842</v>
      </c>
      <c r="Q43" s="158">
        <v>3.718</v>
      </c>
      <c r="R43" s="175">
        <v>4893</v>
      </c>
      <c r="T43" s="151">
        <v>335.1</v>
      </c>
      <c r="U43" s="164">
        <v>0</v>
      </c>
      <c r="V43" s="164">
        <v>3.1706774939491603E-2</v>
      </c>
      <c r="W43" s="164">
        <v>8.7546387869113593E-3</v>
      </c>
    </row>
    <row r="44" spans="1:23">
      <c r="A44" s="2">
        <v>337</v>
      </c>
      <c r="B44" s="2">
        <v>9962</v>
      </c>
      <c r="C44" s="2" t="s">
        <v>1326</v>
      </c>
      <c r="D44" s="2" t="s">
        <v>1327</v>
      </c>
      <c r="E44" s="4" t="s">
        <v>311</v>
      </c>
      <c r="F44" s="2" t="s">
        <v>1328</v>
      </c>
      <c r="G44" s="2" t="s">
        <v>1329</v>
      </c>
      <c r="H44" s="2" t="s">
        <v>318</v>
      </c>
      <c r="I44" s="2" t="s">
        <v>982</v>
      </c>
      <c r="J44" s="2" t="s">
        <v>79</v>
      </c>
      <c r="K44" s="2" t="s">
        <v>80</v>
      </c>
      <c r="L44" s="2" t="s">
        <v>341</v>
      </c>
      <c r="M44" s="2" t="s">
        <v>730</v>
      </c>
      <c r="N44" s="2" t="s">
        <v>134</v>
      </c>
      <c r="O44" s="2" t="s">
        <v>84</v>
      </c>
      <c r="P44" s="152">
        <v>363</v>
      </c>
      <c r="Q44" s="158">
        <v>3.718</v>
      </c>
      <c r="R44" s="175">
        <v>7889</v>
      </c>
      <c r="T44" s="151">
        <v>106.473</v>
      </c>
      <c r="U44" s="164">
        <v>9.9999999999999995E-7</v>
      </c>
      <c r="V44" s="164">
        <v>1.0074321571937699E-2</v>
      </c>
      <c r="W44" s="164">
        <v>2.7816467160036501E-3</v>
      </c>
    </row>
    <row r="45" spans="1:23">
      <c r="A45" s="2">
        <v>337</v>
      </c>
      <c r="B45" s="2">
        <v>9962</v>
      </c>
      <c r="C45" s="2" t="s">
        <v>1382</v>
      </c>
      <c r="D45" s="2" t="s">
        <v>1383</v>
      </c>
      <c r="E45" s="4" t="s">
        <v>311</v>
      </c>
      <c r="F45" s="2" t="s">
        <v>1384</v>
      </c>
      <c r="G45" s="2" t="s">
        <v>1385</v>
      </c>
      <c r="H45" s="2" t="s">
        <v>318</v>
      </c>
      <c r="I45" s="2" t="s">
        <v>980</v>
      </c>
      <c r="J45" s="2" t="s">
        <v>79</v>
      </c>
      <c r="K45" s="2" t="s">
        <v>267</v>
      </c>
      <c r="L45" s="2" t="s">
        <v>341</v>
      </c>
      <c r="M45" s="2" t="s">
        <v>733</v>
      </c>
      <c r="N45" s="2" t="s">
        <v>134</v>
      </c>
      <c r="O45" s="2" t="s">
        <v>84</v>
      </c>
      <c r="P45" s="152">
        <v>662</v>
      </c>
      <c r="Q45" s="158">
        <v>3.718</v>
      </c>
      <c r="R45" s="175">
        <v>3491</v>
      </c>
      <c r="T45" s="151">
        <v>85.924999999999997</v>
      </c>
      <c r="U45" s="164">
        <v>3.0000000000000001E-6</v>
      </c>
      <c r="V45" s="164">
        <v>8.1300846330487203E-3</v>
      </c>
      <c r="W45" s="164">
        <v>2.2448184782334602E-3</v>
      </c>
    </row>
    <row r="46" spans="1:23">
      <c r="A46" s="2">
        <v>337</v>
      </c>
      <c r="B46" s="2">
        <v>9962</v>
      </c>
      <c r="C46" s="2" t="s">
        <v>1386</v>
      </c>
      <c r="D46" s="2" t="s">
        <v>1362</v>
      </c>
      <c r="E46" s="4" t="s">
        <v>311</v>
      </c>
      <c r="F46" s="2" t="s">
        <v>1387</v>
      </c>
      <c r="G46" s="2" t="s">
        <v>1388</v>
      </c>
      <c r="H46" s="2" t="s">
        <v>318</v>
      </c>
      <c r="I46" s="2" t="s">
        <v>980</v>
      </c>
      <c r="J46" s="2" t="s">
        <v>79</v>
      </c>
      <c r="K46" s="2" t="s">
        <v>292</v>
      </c>
      <c r="L46" s="2" t="s">
        <v>361</v>
      </c>
      <c r="M46" s="2" t="s">
        <v>733</v>
      </c>
      <c r="N46" s="2" t="s">
        <v>134</v>
      </c>
      <c r="O46" s="2" t="s">
        <v>1177</v>
      </c>
      <c r="P46" s="152">
        <v>270</v>
      </c>
      <c r="Q46" s="158">
        <v>4.0218999999999996</v>
      </c>
      <c r="R46" s="175">
        <v>25113</v>
      </c>
      <c r="T46" s="151">
        <v>272.70499999999998</v>
      </c>
      <c r="U46" s="164">
        <v>1.2E-5</v>
      </c>
      <c r="V46" s="164">
        <v>2.5803075422580399E-2</v>
      </c>
      <c r="W46" s="164">
        <v>7.1245532018698399E-3</v>
      </c>
    </row>
    <row r="47" spans="1:23">
      <c r="A47" s="2">
        <v>337</v>
      </c>
      <c r="B47" s="2">
        <v>9962</v>
      </c>
      <c r="C47" s="2" t="s">
        <v>1326</v>
      </c>
      <c r="D47" s="2" t="s">
        <v>1327</v>
      </c>
      <c r="E47" s="4" t="s">
        <v>311</v>
      </c>
      <c r="F47" s="2" t="s">
        <v>1392</v>
      </c>
      <c r="G47" s="2" t="s">
        <v>1393</v>
      </c>
      <c r="H47" s="2" t="s">
        <v>318</v>
      </c>
      <c r="I47" s="2" t="s">
        <v>980</v>
      </c>
      <c r="J47" s="2" t="s">
        <v>79</v>
      </c>
      <c r="K47" s="2" t="s">
        <v>267</v>
      </c>
      <c r="L47" s="2" t="s">
        <v>343</v>
      </c>
      <c r="M47" s="2" t="s">
        <v>733</v>
      </c>
      <c r="N47" s="2" t="s">
        <v>134</v>
      </c>
      <c r="O47" s="2" t="s">
        <v>84</v>
      </c>
      <c r="P47" s="152">
        <v>710</v>
      </c>
      <c r="Q47" s="158">
        <v>3.718</v>
      </c>
      <c r="R47" s="175">
        <v>5440</v>
      </c>
      <c r="T47" s="151">
        <v>143.60400000000001</v>
      </c>
      <c r="U47" s="164">
        <v>3.9999999999999998E-6</v>
      </c>
      <c r="V47" s="164">
        <v>1.35876539183136E-2</v>
      </c>
      <c r="W47" s="164">
        <v>3.7517219030761498E-3</v>
      </c>
    </row>
    <row r="48" spans="1:23">
      <c r="A48" s="2">
        <v>337</v>
      </c>
      <c r="B48" s="2">
        <v>9962</v>
      </c>
      <c r="C48" s="2" t="s">
        <v>1376</v>
      </c>
      <c r="D48" s="2" t="s">
        <v>1377</v>
      </c>
      <c r="E48" s="4" t="s">
        <v>311</v>
      </c>
      <c r="F48" s="2" t="s">
        <v>1394</v>
      </c>
      <c r="G48" s="2" t="s">
        <v>1395</v>
      </c>
      <c r="H48" s="2" t="s">
        <v>318</v>
      </c>
      <c r="I48" s="2" t="s">
        <v>980</v>
      </c>
      <c r="J48" s="2" t="s">
        <v>79</v>
      </c>
      <c r="K48" s="2" t="s">
        <v>80</v>
      </c>
      <c r="L48" s="2" t="s">
        <v>343</v>
      </c>
      <c r="M48" s="2" t="s">
        <v>733</v>
      </c>
      <c r="N48" s="2" t="s">
        <v>134</v>
      </c>
      <c r="O48" s="2" t="s">
        <v>84</v>
      </c>
      <c r="P48" s="152">
        <v>279</v>
      </c>
      <c r="Q48" s="158">
        <v>3.718</v>
      </c>
      <c r="R48" s="175">
        <v>46892</v>
      </c>
      <c r="S48" s="155">
        <v>0.14899999999999999</v>
      </c>
      <c r="T48" s="151">
        <v>486.976</v>
      </c>
      <c r="U48" s="164">
        <v>9.9999999999999995E-7</v>
      </c>
      <c r="V48" s="164">
        <v>4.6077117739417799E-2</v>
      </c>
      <c r="W48" s="164">
        <v>1.27224709205021E-2</v>
      </c>
    </row>
    <row r="49" spans="1:23">
      <c r="A49" s="2">
        <v>337</v>
      </c>
      <c r="B49" s="2">
        <v>9962</v>
      </c>
      <c r="C49" s="2" t="s">
        <v>1376</v>
      </c>
      <c r="D49" s="2" t="s">
        <v>1377</v>
      </c>
      <c r="E49" s="4" t="s">
        <v>311</v>
      </c>
      <c r="F49" s="2" t="s">
        <v>1396</v>
      </c>
      <c r="G49" s="2" t="s">
        <v>1397</v>
      </c>
      <c r="H49" s="2" t="s">
        <v>318</v>
      </c>
      <c r="I49" s="2" t="s">
        <v>980</v>
      </c>
      <c r="J49" s="2" t="s">
        <v>79</v>
      </c>
      <c r="K49" s="2" t="s">
        <v>80</v>
      </c>
      <c r="L49" s="2" t="s">
        <v>377</v>
      </c>
      <c r="M49" s="2" t="s">
        <v>733</v>
      </c>
      <c r="N49" s="2" t="s">
        <v>134</v>
      </c>
      <c r="O49" s="2" t="s">
        <v>84</v>
      </c>
      <c r="P49" s="152">
        <v>513</v>
      </c>
      <c r="Q49" s="158">
        <v>3.718</v>
      </c>
      <c r="R49" s="175">
        <v>109783</v>
      </c>
      <c r="T49" s="151">
        <v>2093.9279999999999</v>
      </c>
      <c r="U49" s="164">
        <v>1.01E-4</v>
      </c>
      <c r="V49" s="164">
        <v>0.19812518625429701</v>
      </c>
      <c r="W49" s="164">
        <v>5.4704852308568398E-2</v>
      </c>
    </row>
    <row r="50" spans="1:23">
      <c r="A50" s="2">
        <v>337</v>
      </c>
      <c r="B50" s="2">
        <v>9962</v>
      </c>
      <c r="C50" s="2" t="s">
        <v>1330</v>
      </c>
      <c r="D50" s="2" t="s">
        <v>1331</v>
      </c>
      <c r="E50" s="4" t="s">
        <v>311</v>
      </c>
      <c r="F50" s="2" t="s">
        <v>1332</v>
      </c>
      <c r="G50" s="2" t="s">
        <v>1333</v>
      </c>
      <c r="H50" s="2" t="s">
        <v>318</v>
      </c>
      <c r="I50" s="2" t="s">
        <v>982</v>
      </c>
      <c r="J50" s="2" t="s">
        <v>79</v>
      </c>
      <c r="K50" s="2" t="s">
        <v>80</v>
      </c>
      <c r="L50" s="2" t="s">
        <v>1334</v>
      </c>
      <c r="M50" s="2" t="s">
        <v>730</v>
      </c>
      <c r="N50" s="2" t="s">
        <v>134</v>
      </c>
      <c r="O50" s="2" t="s">
        <v>84</v>
      </c>
      <c r="P50" s="152">
        <v>2754</v>
      </c>
      <c r="Q50" s="158">
        <v>3.718</v>
      </c>
      <c r="R50" s="175">
        <v>1086.2</v>
      </c>
      <c r="T50" s="151">
        <v>111.22</v>
      </c>
      <c r="U50" s="164">
        <v>0</v>
      </c>
      <c r="V50" s="164">
        <v>1.0523518350104301E-2</v>
      </c>
      <c r="W50" s="164">
        <v>2.9056755882114998E-3</v>
      </c>
    </row>
    <row r="51" spans="1:23">
      <c r="A51" s="2">
        <v>337</v>
      </c>
      <c r="B51" s="2">
        <v>9962</v>
      </c>
      <c r="C51" s="2" t="s">
        <v>1330</v>
      </c>
      <c r="D51" s="2" t="s">
        <v>1331</v>
      </c>
      <c r="E51" s="4" t="s">
        <v>311</v>
      </c>
      <c r="F51" s="2" t="s">
        <v>1398</v>
      </c>
      <c r="G51" s="2" t="s">
        <v>1399</v>
      </c>
      <c r="H51" s="2" t="s">
        <v>318</v>
      </c>
      <c r="I51" s="2" t="s">
        <v>980</v>
      </c>
      <c r="J51" s="2" t="s">
        <v>79</v>
      </c>
      <c r="K51" s="2" t="s">
        <v>80</v>
      </c>
      <c r="L51" s="2" t="s">
        <v>341</v>
      </c>
      <c r="M51" s="2" t="s">
        <v>733</v>
      </c>
      <c r="N51" s="2" t="s">
        <v>134</v>
      </c>
      <c r="O51" s="2" t="s">
        <v>84</v>
      </c>
      <c r="P51" s="152">
        <v>133</v>
      </c>
      <c r="Q51" s="158">
        <v>3.718</v>
      </c>
      <c r="R51" s="175">
        <v>55939</v>
      </c>
      <c r="T51" s="151">
        <v>276.61500000000001</v>
      </c>
      <c r="U51" s="164">
        <v>0</v>
      </c>
      <c r="V51" s="164">
        <v>2.6173003766404499E-2</v>
      </c>
      <c r="W51" s="164">
        <v>7.2266950637716104E-3</v>
      </c>
    </row>
    <row r="52" spans="1:23">
      <c r="A52" s="2">
        <v>337</v>
      </c>
      <c r="B52" s="2">
        <v>9962</v>
      </c>
      <c r="C52" s="2" t="s">
        <v>1400</v>
      </c>
      <c r="D52" s="2" t="s">
        <v>1401</v>
      </c>
      <c r="E52" s="4" t="s">
        <v>311</v>
      </c>
      <c r="F52" s="2" t="s">
        <v>1402</v>
      </c>
      <c r="G52" s="2" t="s">
        <v>1403</v>
      </c>
      <c r="H52" s="2" t="s">
        <v>318</v>
      </c>
      <c r="I52" s="2" t="s">
        <v>980</v>
      </c>
      <c r="J52" s="2" t="s">
        <v>79</v>
      </c>
      <c r="K52" s="2" t="s">
        <v>80</v>
      </c>
      <c r="L52" s="2" t="s">
        <v>341</v>
      </c>
      <c r="M52" s="2" t="s">
        <v>733</v>
      </c>
      <c r="N52" s="2" t="s">
        <v>134</v>
      </c>
      <c r="O52" s="2" t="s">
        <v>84</v>
      </c>
      <c r="P52" s="152">
        <v>831</v>
      </c>
      <c r="Q52" s="158">
        <v>3.718</v>
      </c>
      <c r="R52" s="175">
        <v>51391</v>
      </c>
      <c r="T52" s="151">
        <v>1587.806</v>
      </c>
      <c r="U52" s="164">
        <v>9.9999999999999995E-7</v>
      </c>
      <c r="V52" s="164">
        <v>0.15023645267472099</v>
      </c>
      <c r="W52" s="164">
        <v>4.1482171501330697E-2</v>
      </c>
    </row>
    <row r="53" spans="1:23">
      <c r="A53" s="2">
        <v>337</v>
      </c>
      <c r="B53" s="2">
        <v>9963</v>
      </c>
      <c r="C53" s="2" t="s">
        <v>1317</v>
      </c>
      <c r="D53" s="2" t="s">
        <v>1318</v>
      </c>
      <c r="E53" s="4" t="s">
        <v>1303</v>
      </c>
      <c r="F53" s="2" t="s">
        <v>1319</v>
      </c>
      <c r="G53" s="2" t="s">
        <v>1320</v>
      </c>
      <c r="H53" s="2" t="s">
        <v>318</v>
      </c>
      <c r="I53" s="2" t="s">
        <v>981</v>
      </c>
      <c r="J53" s="2" t="s">
        <v>30</v>
      </c>
      <c r="K53" s="2" t="s">
        <v>30</v>
      </c>
      <c r="L53" s="2" t="s">
        <v>41</v>
      </c>
      <c r="M53" s="2" t="s">
        <v>1321</v>
      </c>
      <c r="N53" s="2" t="s">
        <v>134</v>
      </c>
      <c r="O53" s="2" t="s">
        <v>34</v>
      </c>
      <c r="P53" s="152">
        <v>1077354</v>
      </c>
      <c r="Q53" s="158">
        <v>1</v>
      </c>
      <c r="R53" s="175">
        <v>470</v>
      </c>
      <c r="T53" s="151">
        <v>5063.5640000000003</v>
      </c>
      <c r="U53" s="164">
        <v>4.3750000000000004E-3</v>
      </c>
      <c r="V53" s="164">
        <v>2.7502740946119899E-2</v>
      </c>
      <c r="W53" s="164">
        <v>4.7101809280056103E-3</v>
      </c>
    </row>
    <row r="54" spans="1:23">
      <c r="A54" s="2">
        <v>337</v>
      </c>
      <c r="B54" s="2">
        <v>9963</v>
      </c>
      <c r="C54" s="2" t="s">
        <v>1317</v>
      </c>
      <c r="D54" s="2" t="s">
        <v>1318</v>
      </c>
      <c r="E54" s="4" t="s">
        <v>1303</v>
      </c>
      <c r="F54" s="2" t="s">
        <v>1335</v>
      </c>
      <c r="G54" s="2" t="s">
        <v>1336</v>
      </c>
      <c r="H54" s="2" t="s">
        <v>318</v>
      </c>
      <c r="I54" s="2" t="s">
        <v>980</v>
      </c>
      <c r="J54" s="2" t="s">
        <v>30</v>
      </c>
      <c r="K54" s="2" t="s">
        <v>80</v>
      </c>
      <c r="L54" s="2" t="s">
        <v>41</v>
      </c>
      <c r="M54" s="2" t="s">
        <v>1337</v>
      </c>
      <c r="N54" s="2" t="s">
        <v>134</v>
      </c>
      <c r="O54" s="2" t="s">
        <v>34</v>
      </c>
      <c r="P54" s="152">
        <v>288758</v>
      </c>
      <c r="Q54" s="158">
        <v>1</v>
      </c>
      <c r="R54" s="175">
        <v>7053</v>
      </c>
      <c r="T54" s="151">
        <v>20366.101999999999</v>
      </c>
      <c r="U54" s="164">
        <v>1.1847E-2</v>
      </c>
      <c r="V54" s="164">
        <v>0.110618458137635</v>
      </c>
      <c r="W54" s="164">
        <v>1.8944764553686402E-2</v>
      </c>
    </row>
    <row r="55" spans="1:23">
      <c r="A55" s="2">
        <v>337</v>
      </c>
      <c r="B55" s="2">
        <v>9963</v>
      </c>
      <c r="C55" s="2" t="s">
        <v>1317</v>
      </c>
      <c r="D55" s="2" t="s">
        <v>1318</v>
      </c>
      <c r="E55" s="4" t="s">
        <v>1303</v>
      </c>
      <c r="F55" s="2" t="s">
        <v>1410</v>
      </c>
      <c r="G55" s="2" t="s">
        <v>1411</v>
      </c>
      <c r="H55" s="2" t="s">
        <v>318</v>
      </c>
      <c r="I55" s="2" t="s">
        <v>980</v>
      </c>
      <c r="J55" s="2" t="s">
        <v>30</v>
      </c>
      <c r="K55" s="2" t="s">
        <v>292</v>
      </c>
      <c r="L55" s="2" t="s">
        <v>41</v>
      </c>
      <c r="M55" s="2" t="s">
        <v>1337</v>
      </c>
      <c r="N55" s="2" t="s">
        <v>134</v>
      </c>
      <c r="O55" s="2" t="s">
        <v>34</v>
      </c>
      <c r="P55" s="152">
        <v>137820</v>
      </c>
      <c r="Q55" s="158">
        <v>1</v>
      </c>
      <c r="R55" s="175">
        <v>8071</v>
      </c>
      <c r="T55" s="151">
        <v>11123.451999999999</v>
      </c>
      <c r="U55" s="164">
        <v>3.3723000000000003E-2</v>
      </c>
      <c r="V55" s="164">
        <v>6.0417017809304099E-2</v>
      </c>
      <c r="W55" s="164">
        <v>1.03471536007944E-2</v>
      </c>
    </row>
    <row r="56" spans="1:23">
      <c r="A56" s="2">
        <v>337</v>
      </c>
      <c r="B56" s="2">
        <v>9963</v>
      </c>
      <c r="C56" s="2" t="s">
        <v>1343</v>
      </c>
      <c r="D56" s="2" t="s">
        <v>1344</v>
      </c>
      <c r="E56" s="4" t="s">
        <v>1303</v>
      </c>
      <c r="F56" s="2" t="s">
        <v>1412</v>
      </c>
      <c r="G56" s="2" t="s">
        <v>1413</v>
      </c>
      <c r="H56" s="2" t="s">
        <v>318</v>
      </c>
      <c r="I56" s="2" t="s">
        <v>981</v>
      </c>
      <c r="J56" s="2" t="s">
        <v>30</v>
      </c>
      <c r="K56" s="2" t="s">
        <v>30</v>
      </c>
      <c r="L56" s="2" t="s">
        <v>41</v>
      </c>
      <c r="M56" s="2" t="s">
        <v>1321</v>
      </c>
      <c r="N56" s="2" t="s">
        <v>134</v>
      </c>
      <c r="O56" s="2" t="s">
        <v>34</v>
      </c>
      <c r="P56" s="152">
        <v>1202935</v>
      </c>
      <c r="Q56" s="158">
        <v>1</v>
      </c>
      <c r="R56" s="175">
        <v>419.86</v>
      </c>
      <c r="T56" s="151">
        <v>5050.643</v>
      </c>
      <c r="U56" s="164">
        <v>1.1140000000000001E-2</v>
      </c>
      <c r="V56" s="164">
        <v>2.7432561043772199E-2</v>
      </c>
      <c r="W56" s="164">
        <v>4.69816176096276E-3</v>
      </c>
    </row>
    <row r="57" spans="1:23">
      <c r="A57" s="2">
        <v>337</v>
      </c>
      <c r="B57" s="2">
        <v>9963</v>
      </c>
      <c r="C57" s="2" t="s">
        <v>1343</v>
      </c>
      <c r="D57" s="2" t="s">
        <v>1344</v>
      </c>
      <c r="E57" s="4" t="s">
        <v>1303</v>
      </c>
      <c r="F57" s="2" t="s">
        <v>1349</v>
      </c>
      <c r="G57" s="2" t="s">
        <v>1350</v>
      </c>
      <c r="H57" s="2" t="s">
        <v>318</v>
      </c>
      <c r="I57" s="2" t="s">
        <v>980</v>
      </c>
      <c r="J57" s="2" t="s">
        <v>30</v>
      </c>
      <c r="K57" s="2" t="s">
        <v>292</v>
      </c>
      <c r="L57" s="2" t="s">
        <v>41</v>
      </c>
      <c r="M57" s="2" t="s">
        <v>1337</v>
      </c>
      <c r="N57" s="2" t="s">
        <v>134</v>
      </c>
      <c r="O57" s="2" t="s">
        <v>34</v>
      </c>
      <c r="P57" s="152">
        <v>1137800</v>
      </c>
      <c r="Q57" s="158">
        <v>1</v>
      </c>
      <c r="R57" s="175">
        <v>680.1</v>
      </c>
      <c r="T57" s="151">
        <v>7738.1779999999999</v>
      </c>
      <c r="U57" s="164">
        <v>4.8190000000000004E-3</v>
      </c>
      <c r="V57" s="164">
        <v>4.2029903805777299E-2</v>
      </c>
      <c r="W57" s="164">
        <v>7.1981353313009299E-3</v>
      </c>
    </row>
    <row r="58" spans="1:23">
      <c r="A58" s="2">
        <v>337</v>
      </c>
      <c r="B58" s="2">
        <v>9963</v>
      </c>
      <c r="C58" s="2" t="s">
        <v>1343</v>
      </c>
      <c r="D58" s="2" t="s">
        <v>1344</v>
      </c>
      <c r="E58" s="4" t="s">
        <v>1303</v>
      </c>
      <c r="F58" s="2" t="s">
        <v>1351</v>
      </c>
      <c r="G58" s="2" t="s">
        <v>1352</v>
      </c>
      <c r="H58" s="2" t="s">
        <v>318</v>
      </c>
      <c r="I58" s="2" t="s">
        <v>980</v>
      </c>
      <c r="J58" s="2" t="s">
        <v>30</v>
      </c>
      <c r="K58" s="2" t="s">
        <v>237</v>
      </c>
      <c r="L58" s="2" t="s">
        <v>41</v>
      </c>
      <c r="M58" s="2" t="s">
        <v>1337</v>
      </c>
      <c r="N58" s="2" t="s">
        <v>134</v>
      </c>
      <c r="O58" s="2" t="s">
        <v>34</v>
      </c>
      <c r="P58" s="152">
        <v>16336</v>
      </c>
      <c r="Q58" s="158">
        <v>1</v>
      </c>
      <c r="R58" s="175">
        <v>19360</v>
      </c>
      <c r="T58" s="151">
        <v>3162.65</v>
      </c>
      <c r="U58" s="164">
        <v>1.431E-3</v>
      </c>
      <c r="V58" s="164">
        <v>1.71779276588062E-2</v>
      </c>
      <c r="W58" s="164">
        <v>2.9419303115889601E-3</v>
      </c>
    </row>
    <row r="59" spans="1:23">
      <c r="A59" s="2">
        <v>337</v>
      </c>
      <c r="B59" s="2">
        <v>9963</v>
      </c>
      <c r="C59" s="2" t="s">
        <v>1353</v>
      </c>
      <c r="D59" s="2" t="s">
        <v>1354</v>
      </c>
      <c r="E59" s="4" t="s">
        <v>1303</v>
      </c>
      <c r="F59" s="2" t="s">
        <v>1414</v>
      </c>
      <c r="G59" s="2" t="s">
        <v>1415</v>
      </c>
      <c r="H59" s="2" t="s">
        <v>318</v>
      </c>
      <c r="I59" s="2" t="s">
        <v>981</v>
      </c>
      <c r="J59" s="2" t="s">
        <v>30</v>
      </c>
      <c r="K59" s="2" t="s">
        <v>30</v>
      </c>
      <c r="L59" s="2" t="s">
        <v>41</v>
      </c>
      <c r="M59" s="2" t="s">
        <v>1321</v>
      </c>
      <c r="N59" s="2" t="s">
        <v>134</v>
      </c>
      <c r="O59" s="2" t="s">
        <v>34</v>
      </c>
      <c r="P59" s="152">
        <v>2832</v>
      </c>
      <c r="Q59" s="158">
        <v>1</v>
      </c>
      <c r="R59" s="175">
        <v>5452.43</v>
      </c>
      <c r="T59" s="151">
        <v>154.41300000000001</v>
      </c>
      <c r="U59" s="164">
        <v>4.7199999999999998E-4</v>
      </c>
      <c r="V59" s="164">
        <v>8.3869304090002095E-4</v>
      </c>
      <c r="W59" s="164">
        <v>1.4363644603414101E-4</v>
      </c>
    </row>
    <row r="60" spans="1:23">
      <c r="A60" s="2">
        <v>337</v>
      </c>
      <c r="B60" s="2">
        <v>9963</v>
      </c>
      <c r="C60" s="2" t="s">
        <v>1353</v>
      </c>
      <c r="D60" s="2" t="s">
        <v>1354</v>
      </c>
      <c r="E60" s="4" t="s">
        <v>1303</v>
      </c>
      <c r="F60" s="2" t="s">
        <v>1416</v>
      </c>
      <c r="G60" s="2" t="s">
        <v>1417</v>
      </c>
      <c r="H60" s="2" t="s">
        <v>318</v>
      </c>
      <c r="I60" s="2" t="s">
        <v>979</v>
      </c>
      <c r="J60" s="2" t="s">
        <v>30</v>
      </c>
      <c r="K60" s="2" t="s">
        <v>30</v>
      </c>
      <c r="L60" s="2" t="s">
        <v>41</v>
      </c>
      <c r="M60" s="2" t="s">
        <v>1316</v>
      </c>
      <c r="N60" s="2" t="s">
        <v>134</v>
      </c>
      <c r="O60" s="2" t="s">
        <v>34</v>
      </c>
      <c r="P60" s="152">
        <v>31525</v>
      </c>
      <c r="Q60" s="158">
        <v>1</v>
      </c>
      <c r="R60" s="175">
        <v>6675</v>
      </c>
      <c r="T60" s="151">
        <v>2104.2939999999999</v>
      </c>
      <c r="U60" s="164">
        <v>2.5630000000000002E-3</v>
      </c>
      <c r="V60" s="164">
        <v>1.14294690788312E-2</v>
      </c>
      <c r="W60" s="164">
        <v>1.9574364379829502E-3</v>
      </c>
    </row>
    <row r="61" spans="1:23">
      <c r="A61" s="2">
        <v>337</v>
      </c>
      <c r="B61" s="2">
        <v>9963</v>
      </c>
      <c r="C61" s="2" t="s">
        <v>1322</v>
      </c>
      <c r="D61" s="2" t="s">
        <v>1323</v>
      </c>
      <c r="E61" s="4" t="s">
        <v>1303</v>
      </c>
      <c r="F61" s="2" t="s">
        <v>1357</v>
      </c>
      <c r="G61" s="2" t="s">
        <v>1358</v>
      </c>
      <c r="H61" s="2" t="s">
        <v>318</v>
      </c>
      <c r="I61" s="2" t="s">
        <v>980</v>
      </c>
      <c r="J61" s="2" t="s">
        <v>30</v>
      </c>
      <c r="K61" s="2" t="s">
        <v>292</v>
      </c>
      <c r="L61" s="2" t="s">
        <v>41</v>
      </c>
      <c r="M61" s="2" t="s">
        <v>1337</v>
      </c>
      <c r="N61" s="2" t="s">
        <v>134</v>
      </c>
      <c r="O61" s="2" t="s">
        <v>34</v>
      </c>
      <c r="P61" s="152">
        <v>110633</v>
      </c>
      <c r="Q61" s="158">
        <v>1</v>
      </c>
      <c r="R61" s="175">
        <v>7329</v>
      </c>
      <c r="T61" s="151">
        <v>8108.2929999999997</v>
      </c>
      <c r="U61" s="164">
        <v>7.9450000000000007E-3</v>
      </c>
      <c r="V61" s="164">
        <v>4.4040181752634203E-2</v>
      </c>
      <c r="W61" s="164">
        <v>7.5424200287362003E-3</v>
      </c>
    </row>
    <row r="62" spans="1:23">
      <c r="A62" s="2">
        <v>337</v>
      </c>
      <c r="B62" s="2">
        <v>9963</v>
      </c>
      <c r="C62" s="2" t="s">
        <v>1322</v>
      </c>
      <c r="D62" s="2" t="s">
        <v>1323</v>
      </c>
      <c r="E62" s="4" t="s">
        <v>1303</v>
      </c>
      <c r="F62" s="2" t="s">
        <v>1324</v>
      </c>
      <c r="G62" s="2" t="s">
        <v>1325</v>
      </c>
      <c r="H62" s="2" t="s">
        <v>318</v>
      </c>
      <c r="I62" s="2" t="s">
        <v>981</v>
      </c>
      <c r="J62" s="2" t="s">
        <v>30</v>
      </c>
      <c r="K62" s="2" t="s">
        <v>30</v>
      </c>
      <c r="L62" s="2" t="s">
        <v>41</v>
      </c>
      <c r="M62" s="2" t="s">
        <v>1321</v>
      </c>
      <c r="N62" s="2" t="s">
        <v>134</v>
      </c>
      <c r="O62" s="2" t="s">
        <v>34</v>
      </c>
      <c r="P62" s="152">
        <v>73572</v>
      </c>
      <c r="Q62" s="158">
        <v>1</v>
      </c>
      <c r="R62" s="175">
        <v>4036.28</v>
      </c>
      <c r="T62" s="151">
        <v>2969.5720000000001</v>
      </c>
      <c r="U62" s="164">
        <v>1.3619999999999999E-3</v>
      </c>
      <c r="V62" s="164">
        <v>1.6129226471015602E-2</v>
      </c>
      <c r="W62" s="164">
        <v>2.7623274006069198E-3</v>
      </c>
    </row>
    <row r="63" spans="1:23">
      <c r="A63" s="2">
        <v>337</v>
      </c>
      <c r="B63" s="2">
        <v>9963</v>
      </c>
      <c r="C63" s="2" t="s">
        <v>1322</v>
      </c>
      <c r="D63" s="2" t="s">
        <v>1323</v>
      </c>
      <c r="E63" s="4" t="s">
        <v>1303</v>
      </c>
      <c r="F63" s="2" t="s">
        <v>1418</v>
      </c>
      <c r="G63" s="2" t="s">
        <v>1419</v>
      </c>
      <c r="H63" s="2" t="s">
        <v>318</v>
      </c>
      <c r="I63" s="2" t="s">
        <v>981</v>
      </c>
      <c r="J63" s="2" t="s">
        <v>30</v>
      </c>
      <c r="K63" s="2" t="s">
        <v>30</v>
      </c>
      <c r="L63" s="2" t="s">
        <v>41</v>
      </c>
      <c r="M63" s="2" t="s">
        <v>1321</v>
      </c>
      <c r="N63" s="2" t="s">
        <v>134</v>
      </c>
      <c r="O63" s="2" t="s">
        <v>34</v>
      </c>
      <c r="P63" s="152">
        <v>3860</v>
      </c>
      <c r="Q63" s="158">
        <v>1</v>
      </c>
      <c r="R63" s="175">
        <v>4085.73</v>
      </c>
      <c r="T63" s="151">
        <v>157.709</v>
      </c>
      <c r="U63" s="164">
        <v>9.8999999999999994E-5</v>
      </c>
      <c r="V63" s="164">
        <v>8.5659721861498295E-4</v>
      </c>
      <c r="W63" s="164">
        <v>1.46702755554703E-4</v>
      </c>
    </row>
    <row r="64" spans="1:23">
      <c r="A64" s="2">
        <v>337</v>
      </c>
      <c r="B64" s="2">
        <v>9963</v>
      </c>
      <c r="C64" s="2" t="s">
        <v>1361</v>
      </c>
      <c r="D64" s="2" t="s">
        <v>1362</v>
      </c>
      <c r="E64" s="4" t="s">
        <v>311</v>
      </c>
      <c r="F64" s="2" t="s">
        <v>1363</v>
      </c>
      <c r="G64" s="2" t="s">
        <v>1364</v>
      </c>
      <c r="H64" s="2" t="s">
        <v>318</v>
      </c>
      <c r="I64" s="2" t="s">
        <v>980</v>
      </c>
      <c r="J64" s="2" t="s">
        <v>79</v>
      </c>
      <c r="K64" s="2" t="s">
        <v>1365</v>
      </c>
      <c r="L64" s="2" t="s">
        <v>343</v>
      </c>
      <c r="M64" s="2" t="s">
        <v>733</v>
      </c>
      <c r="N64" s="2" t="s">
        <v>134</v>
      </c>
      <c r="O64" s="2" t="s">
        <v>84</v>
      </c>
      <c r="P64" s="152">
        <v>90825</v>
      </c>
      <c r="Q64" s="158">
        <v>3.718</v>
      </c>
      <c r="R64" s="175">
        <v>5378</v>
      </c>
      <c r="T64" s="151">
        <v>18160.826000000001</v>
      </c>
      <c r="U64" s="164">
        <v>0</v>
      </c>
      <c r="V64" s="164">
        <v>9.8640503774671595E-2</v>
      </c>
      <c r="W64" s="164">
        <v>1.6893393299182099E-2</v>
      </c>
    </row>
    <row r="65" spans="1:23">
      <c r="A65" s="2">
        <v>337</v>
      </c>
      <c r="B65" s="2">
        <v>9963</v>
      </c>
      <c r="C65" s="2" t="s">
        <v>1326</v>
      </c>
      <c r="D65" s="2" t="s">
        <v>1327</v>
      </c>
      <c r="E65" s="4" t="s">
        <v>311</v>
      </c>
      <c r="F65" s="2" t="s">
        <v>1366</v>
      </c>
      <c r="G65" s="2" t="s">
        <v>1367</v>
      </c>
      <c r="H65" s="2" t="s">
        <v>318</v>
      </c>
      <c r="I65" s="2" t="s">
        <v>980</v>
      </c>
      <c r="J65" s="2" t="s">
        <v>79</v>
      </c>
      <c r="K65" s="2" t="s">
        <v>80</v>
      </c>
      <c r="L65" s="2" t="s">
        <v>341</v>
      </c>
      <c r="M65" s="2" t="s">
        <v>733</v>
      </c>
      <c r="N65" s="2" t="s">
        <v>134</v>
      </c>
      <c r="O65" s="2" t="s">
        <v>84</v>
      </c>
      <c r="P65" s="152">
        <v>11139</v>
      </c>
      <c r="Q65" s="158">
        <v>3.718</v>
      </c>
      <c r="R65" s="175">
        <v>19949</v>
      </c>
      <c r="T65" s="151">
        <v>8261.8389999999999</v>
      </c>
      <c r="U65" s="164">
        <v>3.8999999999999999E-5</v>
      </c>
      <c r="V65" s="164">
        <v>4.4874168200880901E-2</v>
      </c>
      <c r="W65" s="164">
        <v>7.6852504131856196E-3</v>
      </c>
    </row>
    <row r="66" spans="1:23">
      <c r="A66" s="2">
        <v>337</v>
      </c>
      <c r="B66" s="2">
        <v>9963</v>
      </c>
      <c r="C66" s="2" t="s">
        <v>1330</v>
      </c>
      <c r="D66" s="2" t="s">
        <v>1331</v>
      </c>
      <c r="E66" s="4" t="s">
        <v>311</v>
      </c>
      <c r="F66" s="2" t="s">
        <v>1368</v>
      </c>
      <c r="G66" s="2" t="s">
        <v>1369</v>
      </c>
      <c r="H66" s="2" t="s">
        <v>318</v>
      </c>
      <c r="I66" s="2" t="s">
        <v>980</v>
      </c>
      <c r="J66" s="2" t="s">
        <v>79</v>
      </c>
      <c r="K66" s="2" t="s">
        <v>80</v>
      </c>
      <c r="L66" s="2" t="s">
        <v>341</v>
      </c>
      <c r="M66" s="2" t="s">
        <v>733</v>
      </c>
      <c r="N66" s="2" t="s">
        <v>134</v>
      </c>
      <c r="O66" s="2" t="s">
        <v>84</v>
      </c>
      <c r="P66" s="152">
        <v>12156</v>
      </c>
      <c r="Q66" s="158">
        <v>3.718</v>
      </c>
      <c r="R66" s="175">
        <v>4981</v>
      </c>
      <c r="T66" s="151">
        <v>2251.2130000000002</v>
      </c>
      <c r="U66" s="164">
        <v>1.2999999999999999E-5</v>
      </c>
      <c r="V66" s="164">
        <v>1.2227461676728901E-2</v>
      </c>
      <c r="W66" s="164">
        <v>2.0941024351165002E-3</v>
      </c>
    </row>
    <row r="67" spans="1:23">
      <c r="A67" s="2">
        <v>337</v>
      </c>
      <c r="B67" s="2">
        <v>9963</v>
      </c>
      <c r="C67" s="2" t="s">
        <v>1376</v>
      </c>
      <c r="D67" s="2" t="s">
        <v>1377</v>
      </c>
      <c r="E67" s="4" t="s">
        <v>311</v>
      </c>
      <c r="F67" s="2" t="s">
        <v>1378</v>
      </c>
      <c r="G67" s="2" t="s">
        <v>1379</v>
      </c>
      <c r="H67" s="2" t="s">
        <v>318</v>
      </c>
      <c r="I67" s="2" t="s">
        <v>980</v>
      </c>
      <c r="J67" s="2" t="s">
        <v>79</v>
      </c>
      <c r="K67" s="2" t="s">
        <v>80</v>
      </c>
      <c r="L67" s="2" t="s">
        <v>343</v>
      </c>
      <c r="M67" s="2" t="s">
        <v>733</v>
      </c>
      <c r="N67" s="2" t="s">
        <v>134</v>
      </c>
      <c r="O67" s="2" t="s">
        <v>84</v>
      </c>
      <c r="P67" s="152">
        <v>29337</v>
      </c>
      <c r="Q67" s="158">
        <v>3.718</v>
      </c>
      <c r="R67" s="175">
        <v>4893</v>
      </c>
      <c r="T67" s="151">
        <v>5337.0379999999996</v>
      </c>
      <c r="U67" s="164">
        <v>0</v>
      </c>
      <c r="V67" s="164">
        <v>2.89881162175314E-2</v>
      </c>
      <c r="W67" s="164">
        <v>4.9645696192287796E-3</v>
      </c>
    </row>
    <row r="68" spans="1:23">
      <c r="A68" s="2">
        <v>337</v>
      </c>
      <c r="B68" s="2">
        <v>9963</v>
      </c>
      <c r="C68" s="2" t="s">
        <v>1326</v>
      </c>
      <c r="D68" s="2" t="s">
        <v>1327</v>
      </c>
      <c r="E68" s="4" t="s">
        <v>311</v>
      </c>
      <c r="F68" s="2" t="s">
        <v>1380</v>
      </c>
      <c r="G68" s="2" t="s">
        <v>1381</v>
      </c>
      <c r="H68" s="2" t="s">
        <v>318</v>
      </c>
      <c r="I68" s="2" t="s">
        <v>980</v>
      </c>
      <c r="J68" s="2" t="s">
        <v>79</v>
      </c>
      <c r="K68" s="2" t="s">
        <v>80</v>
      </c>
      <c r="L68" s="2" t="s">
        <v>341</v>
      </c>
      <c r="M68" s="2" t="s">
        <v>733</v>
      </c>
      <c r="N68" s="2" t="s">
        <v>134</v>
      </c>
      <c r="O68" s="2" t="s">
        <v>84</v>
      </c>
      <c r="P68" s="152">
        <v>9779</v>
      </c>
      <c r="Q68" s="158">
        <v>3.718</v>
      </c>
      <c r="R68" s="175">
        <v>56190</v>
      </c>
      <c r="T68" s="151">
        <v>20429.741000000002</v>
      </c>
      <c r="U68" s="164">
        <v>1.2999999999999999E-5</v>
      </c>
      <c r="V68" s="164">
        <v>0.110964115420879</v>
      </c>
      <c r="W68" s="164">
        <v>1.9003962593123799E-2</v>
      </c>
    </row>
    <row r="69" spans="1:23">
      <c r="A69" s="2">
        <v>337</v>
      </c>
      <c r="B69" s="2">
        <v>9963</v>
      </c>
      <c r="C69" s="2" t="s">
        <v>1382</v>
      </c>
      <c r="D69" s="2" t="s">
        <v>1383</v>
      </c>
      <c r="E69" s="4" t="s">
        <v>311</v>
      </c>
      <c r="F69" s="2" t="s">
        <v>1384</v>
      </c>
      <c r="G69" s="2" t="s">
        <v>1385</v>
      </c>
      <c r="H69" s="2" t="s">
        <v>318</v>
      </c>
      <c r="I69" s="2" t="s">
        <v>980</v>
      </c>
      <c r="J69" s="2" t="s">
        <v>79</v>
      </c>
      <c r="K69" s="2" t="s">
        <v>267</v>
      </c>
      <c r="L69" s="2" t="s">
        <v>341</v>
      </c>
      <c r="M69" s="2" t="s">
        <v>733</v>
      </c>
      <c r="N69" s="2" t="s">
        <v>134</v>
      </c>
      <c r="O69" s="2" t="s">
        <v>84</v>
      </c>
      <c r="P69" s="152">
        <v>17361</v>
      </c>
      <c r="Q69" s="158">
        <v>3.718</v>
      </c>
      <c r="R69" s="175">
        <v>3491</v>
      </c>
      <c r="T69" s="151">
        <v>2253.3780000000002</v>
      </c>
      <c r="U69" s="164">
        <v>6.9999999999999994E-5</v>
      </c>
      <c r="V69" s="164">
        <v>1.2239217795876899E-2</v>
      </c>
      <c r="W69" s="164">
        <v>2.09611581437592E-3</v>
      </c>
    </row>
    <row r="70" spans="1:23">
      <c r="A70" s="2">
        <v>337</v>
      </c>
      <c r="B70" s="2">
        <v>9963</v>
      </c>
      <c r="C70" s="2" t="s">
        <v>1386</v>
      </c>
      <c r="D70" s="2" t="s">
        <v>1362</v>
      </c>
      <c r="E70" s="4" t="s">
        <v>311</v>
      </c>
      <c r="F70" s="2" t="s">
        <v>1387</v>
      </c>
      <c r="G70" s="2" t="s">
        <v>1388</v>
      </c>
      <c r="H70" s="2" t="s">
        <v>318</v>
      </c>
      <c r="I70" s="2" t="s">
        <v>980</v>
      </c>
      <c r="J70" s="2" t="s">
        <v>79</v>
      </c>
      <c r="K70" s="2" t="s">
        <v>292</v>
      </c>
      <c r="L70" s="2" t="s">
        <v>361</v>
      </c>
      <c r="M70" s="2" t="s">
        <v>733</v>
      </c>
      <c r="N70" s="2" t="s">
        <v>134</v>
      </c>
      <c r="O70" s="2" t="s">
        <v>1177</v>
      </c>
      <c r="P70" s="152">
        <v>1600</v>
      </c>
      <c r="Q70" s="158">
        <v>4.0218999999999996</v>
      </c>
      <c r="R70" s="175">
        <v>25113</v>
      </c>
      <c r="T70" s="151">
        <v>1616.0319999999999</v>
      </c>
      <c r="U70" s="164">
        <v>7.1000000000000005E-5</v>
      </c>
      <c r="V70" s="164">
        <v>8.7774737475472299E-3</v>
      </c>
      <c r="W70" s="164">
        <v>1.50324978600359E-3</v>
      </c>
    </row>
    <row r="71" spans="1:23">
      <c r="A71" s="2">
        <v>337</v>
      </c>
      <c r="B71" s="2">
        <v>9963</v>
      </c>
      <c r="C71" s="2" t="s">
        <v>1386</v>
      </c>
      <c r="D71" s="2" t="s">
        <v>1362</v>
      </c>
      <c r="E71" s="4" t="s">
        <v>311</v>
      </c>
      <c r="F71" s="2" t="s">
        <v>1391</v>
      </c>
      <c r="G71" s="2" t="s">
        <v>1390</v>
      </c>
      <c r="H71" s="2" t="s">
        <v>318</v>
      </c>
      <c r="I71" s="2" t="s">
        <v>980</v>
      </c>
      <c r="J71" s="2" t="s">
        <v>79</v>
      </c>
      <c r="K71" s="2" t="s">
        <v>80</v>
      </c>
      <c r="L71" s="2" t="s">
        <v>377</v>
      </c>
      <c r="M71" s="2" t="s">
        <v>733</v>
      </c>
      <c r="N71" s="2" t="s">
        <v>134</v>
      </c>
      <c r="O71" s="2" t="s">
        <v>84</v>
      </c>
      <c r="P71" s="152">
        <v>14981</v>
      </c>
      <c r="Q71" s="158">
        <v>3.718</v>
      </c>
      <c r="R71" s="175">
        <v>39730</v>
      </c>
      <c r="T71" s="151">
        <v>22129.355</v>
      </c>
      <c r="U71" s="164">
        <v>1.689E-3</v>
      </c>
      <c r="V71" s="164">
        <v>0.120195565826196</v>
      </c>
      <c r="W71" s="164">
        <v>2.05849614369167E-2</v>
      </c>
    </row>
    <row r="72" spans="1:23">
      <c r="A72" s="2">
        <v>337</v>
      </c>
      <c r="B72" s="2">
        <v>9963</v>
      </c>
      <c r="C72" s="2" t="s">
        <v>1326</v>
      </c>
      <c r="D72" s="2" t="s">
        <v>1327</v>
      </c>
      <c r="E72" s="4" t="s">
        <v>311</v>
      </c>
      <c r="F72" s="2" t="s">
        <v>1392</v>
      </c>
      <c r="G72" s="2" t="s">
        <v>1393</v>
      </c>
      <c r="H72" s="2" t="s">
        <v>318</v>
      </c>
      <c r="I72" s="2" t="s">
        <v>980</v>
      </c>
      <c r="J72" s="2" t="s">
        <v>79</v>
      </c>
      <c r="K72" s="2" t="s">
        <v>267</v>
      </c>
      <c r="L72" s="2" t="s">
        <v>343</v>
      </c>
      <c r="M72" s="2" t="s">
        <v>733</v>
      </c>
      <c r="N72" s="2" t="s">
        <v>134</v>
      </c>
      <c r="O72" s="2" t="s">
        <v>84</v>
      </c>
      <c r="P72" s="152">
        <v>20000</v>
      </c>
      <c r="Q72" s="158">
        <v>3.718</v>
      </c>
      <c r="R72" s="175">
        <v>5440</v>
      </c>
      <c r="T72" s="151">
        <v>4045.1840000000002</v>
      </c>
      <c r="U72" s="164">
        <v>1.26E-4</v>
      </c>
      <c r="V72" s="164">
        <v>2.1971412235664799E-2</v>
      </c>
      <c r="W72" s="164">
        <v>3.7628732014936702E-3</v>
      </c>
    </row>
    <row r="73" spans="1:23">
      <c r="A73" s="2">
        <v>337</v>
      </c>
      <c r="B73" s="2">
        <v>9963</v>
      </c>
      <c r="C73" s="2" t="s">
        <v>1376</v>
      </c>
      <c r="D73" s="2" t="s">
        <v>1377</v>
      </c>
      <c r="E73" s="4" t="s">
        <v>311</v>
      </c>
      <c r="F73" s="2" t="s">
        <v>1396</v>
      </c>
      <c r="G73" s="2" t="s">
        <v>1397</v>
      </c>
      <c r="H73" s="2" t="s">
        <v>318</v>
      </c>
      <c r="I73" s="2" t="s">
        <v>980</v>
      </c>
      <c r="J73" s="2" t="s">
        <v>79</v>
      </c>
      <c r="K73" s="2" t="s">
        <v>80</v>
      </c>
      <c r="L73" s="2" t="s">
        <v>377</v>
      </c>
      <c r="M73" s="2" t="s">
        <v>733</v>
      </c>
      <c r="N73" s="2" t="s">
        <v>134</v>
      </c>
      <c r="O73" s="2" t="s">
        <v>84</v>
      </c>
      <c r="P73" s="152">
        <v>3132</v>
      </c>
      <c r="Q73" s="158">
        <v>3.718</v>
      </c>
      <c r="R73" s="175">
        <v>109783</v>
      </c>
      <c r="T73" s="151">
        <v>12783.984</v>
      </c>
      <c r="U73" s="164">
        <v>6.1700000000000004E-4</v>
      </c>
      <c r="V73" s="164">
        <v>6.9436196736523195E-2</v>
      </c>
      <c r="W73" s="164">
        <v>1.18917983564746E-2</v>
      </c>
    </row>
    <row r="74" spans="1:23">
      <c r="A74" s="2">
        <v>337</v>
      </c>
      <c r="B74" s="2">
        <v>9963</v>
      </c>
      <c r="C74" s="2" t="s">
        <v>1330</v>
      </c>
      <c r="D74" s="2" t="s">
        <v>1331</v>
      </c>
      <c r="E74" s="4" t="s">
        <v>311</v>
      </c>
      <c r="F74" s="2" t="s">
        <v>1332</v>
      </c>
      <c r="G74" s="2" t="s">
        <v>1333</v>
      </c>
      <c r="H74" s="2" t="s">
        <v>318</v>
      </c>
      <c r="I74" s="2" t="s">
        <v>982</v>
      </c>
      <c r="J74" s="2" t="s">
        <v>79</v>
      </c>
      <c r="K74" s="2" t="s">
        <v>80</v>
      </c>
      <c r="L74" s="2" t="s">
        <v>1334</v>
      </c>
      <c r="M74" s="2" t="s">
        <v>730</v>
      </c>
      <c r="N74" s="2" t="s">
        <v>134</v>
      </c>
      <c r="O74" s="2" t="s">
        <v>84</v>
      </c>
      <c r="P74" s="152">
        <v>323004</v>
      </c>
      <c r="Q74" s="158">
        <v>3.718</v>
      </c>
      <c r="R74" s="175">
        <v>1086.2</v>
      </c>
      <c r="T74" s="151">
        <v>13044.489</v>
      </c>
      <c r="U74" s="164">
        <v>0</v>
      </c>
      <c r="V74" s="164">
        <v>7.0851129189561698E-2</v>
      </c>
      <c r="W74" s="164">
        <v>1.21341228530685E-2</v>
      </c>
    </row>
    <row r="75" spans="1:23">
      <c r="A75" s="2">
        <v>337</v>
      </c>
      <c r="B75" s="2">
        <v>9963</v>
      </c>
      <c r="C75" s="2" t="s">
        <v>1330</v>
      </c>
      <c r="D75" s="2" t="s">
        <v>1331</v>
      </c>
      <c r="E75" s="4" t="s">
        <v>311</v>
      </c>
      <c r="F75" s="2" t="s">
        <v>1398</v>
      </c>
      <c r="G75" s="2" t="s">
        <v>1399</v>
      </c>
      <c r="H75" s="2" t="s">
        <v>318</v>
      </c>
      <c r="I75" s="2" t="s">
        <v>980</v>
      </c>
      <c r="J75" s="2" t="s">
        <v>79</v>
      </c>
      <c r="K75" s="2" t="s">
        <v>80</v>
      </c>
      <c r="L75" s="2" t="s">
        <v>341</v>
      </c>
      <c r="M75" s="2" t="s">
        <v>733</v>
      </c>
      <c r="N75" s="2" t="s">
        <v>134</v>
      </c>
      <c r="O75" s="2" t="s">
        <v>84</v>
      </c>
      <c r="P75" s="152">
        <v>3750</v>
      </c>
      <c r="Q75" s="158">
        <v>3.718</v>
      </c>
      <c r="R75" s="175">
        <v>55939</v>
      </c>
      <c r="T75" s="151">
        <v>7799.2950000000001</v>
      </c>
      <c r="U75" s="164">
        <v>3.9999999999999998E-6</v>
      </c>
      <c r="V75" s="164">
        <v>4.2361862214528402E-2</v>
      </c>
      <c r="W75" s="164">
        <v>7.2549872708532002E-3</v>
      </c>
    </row>
    <row r="76" spans="1:23">
      <c r="A76" s="2">
        <v>337</v>
      </c>
      <c r="B76" s="2">
        <v>9964</v>
      </c>
      <c r="C76" s="2" t="s">
        <v>1317</v>
      </c>
      <c r="D76" s="2" t="s">
        <v>1318</v>
      </c>
      <c r="E76" s="4" t="s">
        <v>1303</v>
      </c>
      <c r="F76" s="2" t="s">
        <v>1420</v>
      </c>
      <c r="G76" s="2" t="s">
        <v>1421</v>
      </c>
      <c r="H76" s="2" t="s">
        <v>318</v>
      </c>
      <c r="I76" s="2" t="s">
        <v>981</v>
      </c>
      <c r="J76" s="2" t="s">
        <v>30</v>
      </c>
      <c r="K76" s="2" t="s">
        <v>30</v>
      </c>
      <c r="L76" s="2" t="s">
        <v>41</v>
      </c>
      <c r="M76" s="2" t="s">
        <v>1321</v>
      </c>
      <c r="N76" s="2" t="s">
        <v>134</v>
      </c>
      <c r="O76" s="2" t="s">
        <v>34</v>
      </c>
      <c r="P76" s="152">
        <v>30970</v>
      </c>
      <c r="Q76" s="158">
        <v>1</v>
      </c>
      <c r="R76" s="175">
        <v>421.19</v>
      </c>
      <c r="T76" s="151">
        <v>130.44300000000001</v>
      </c>
      <c r="U76" s="164">
        <v>5.8399999999999999E-4</v>
      </c>
      <c r="V76" s="164">
        <v>2.1743409663374999E-2</v>
      </c>
      <c r="W76" s="164">
        <v>3.5524334267065302E-3</v>
      </c>
    </row>
    <row r="77" spans="1:23">
      <c r="A77" s="2">
        <v>337</v>
      </c>
      <c r="B77" s="2">
        <v>9964</v>
      </c>
      <c r="C77" s="2" t="s">
        <v>1317</v>
      </c>
      <c r="D77" s="2" t="s">
        <v>1318</v>
      </c>
      <c r="E77" s="4" t="s">
        <v>1303</v>
      </c>
      <c r="F77" s="2" t="s">
        <v>1404</v>
      </c>
      <c r="G77" s="2" t="s">
        <v>1405</v>
      </c>
      <c r="H77" s="2" t="s">
        <v>318</v>
      </c>
      <c r="I77" s="2" t="s">
        <v>981</v>
      </c>
      <c r="J77" s="2" t="s">
        <v>30</v>
      </c>
      <c r="K77" s="2" t="s">
        <v>30</v>
      </c>
      <c r="L77" s="2" t="s">
        <v>41</v>
      </c>
      <c r="M77" s="2" t="s">
        <v>1321</v>
      </c>
      <c r="N77" s="2" t="s">
        <v>134</v>
      </c>
      <c r="O77" s="2" t="s">
        <v>34</v>
      </c>
      <c r="P77" s="152">
        <v>12861</v>
      </c>
      <c r="Q77" s="158">
        <v>1</v>
      </c>
      <c r="R77" s="175">
        <v>475.88</v>
      </c>
      <c r="T77" s="151">
        <v>61.203000000000003</v>
      </c>
      <c r="U77" s="164">
        <v>6.0999999999999999E-5</v>
      </c>
      <c r="V77" s="164">
        <v>1.02018887351035E-2</v>
      </c>
      <c r="W77" s="164">
        <v>1.6667823087180499E-3</v>
      </c>
    </row>
    <row r="78" spans="1:23">
      <c r="A78" s="2">
        <v>337</v>
      </c>
      <c r="B78" s="2">
        <v>9964</v>
      </c>
      <c r="C78" s="2" t="s">
        <v>1317</v>
      </c>
      <c r="D78" s="2" t="s">
        <v>1318</v>
      </c>
      <c r="E78" s="4" t="s">
        <v>1303</v>
      </c>
      <c r="F78" s="2" t="s">
        <v>1319</v>
      </c>
      <c r="G78" s="2" t="s">
        <v>1320</v>
      </c>
      <c r="H78" s="2" t="s">
        <v>318</v>
      </c>
      <c r="I78" s="2" t="s">
        <v>981</v>
      </c>
      <c r="J78" s="2" t="s">
        <v>30</v>
      </c>
      <c r="K78" s="2" t="s">
        <v>30</v>
      </c>
      <c r="L78" s="2" t="s">
        <v>41</v>
      </c>
      <c r="M78" s="2" t="s">
        <v>1321</v>
      </c>
      <c r="N78" s="2" t="s">
        <v>134</v>
      </c>
      <c r="O78" s="2" t="s">
        <v>34</v>
      </c>
      <c r="P78" s="152">
        <v>100000</v>
      </c>
      <c r="Q78" s="158">
        <v>1</v>
      </c>
      <c r="R78" s="175">
        <v>470</v>
      </c>
      <c r="T78" s="151">
        <v>470</v>
      </c>
      <c r="U78" s="164">
        <v>4.06E-4</v>
      </c>
      <c r="V78" s="164">
        <v>7.8344091634170596E-2</v>
      </c>
      <c r="W78" s="164">
        <v>1.27998402373378E-2</v>
      </c>
    </row>
    <row r="79" spans="1:23">
      <c r="A79" s="2">
        <v>337</v>
      </c>
      <c r="B79" s="2">
        <v>9964</v>
      </c>
      <c r="C79" s="2" t="s">
        <v>1317</v>
      </c>
      <c r="D79" s="2" t="s">
        <v>1318</v>
      </c>
      <c r="E79" s="4" t="s">
        <v>1303</v>
      </c>
      <c r="F79" s="2" t="s">
        <v>1335</v>
      </c>
      <c r="G79" s="2" t="s">
        <v>1336</v>
      </c>
      <c r="H79" s="2" t="s">
        <v>318</v>
      </c>
      <c r="I79" s="2" t="s">
        <v>980</v>
      </c>
      <c r="J79" s="2" t="s">
        <v>30</v>
      </c>
      <c r="K79" s="2" t="s">
        <v>80</v>
      </c>
      <c r="L79" s="2" t="s">
        <v>41</v>
      </c>
      <c r="M79" s="2" t="s">
        <v>1337</v>
      </c>
      <c r="N79" s="2" t="s">
        <v>134</v>
      </c>
      <c r="O79" s="2" t="s">
        <v>34</v>
      </c>
      <c r="P79" s="152">
        <v>5754</v>
      </c>
      <c r="Q79" s="158">
        <v>1</v>
      </c>
      <c r="R79" s="175">
        <v>7053</v>
      </c>
      <c r="T79" s="151">
        <v>405.83</v>
      </c>
      <c r="U79" s="164">
        <v>2.3599999999999999E-4</v>
      </c>
      <c r="V79" s="164">
        <v>6.7647559440724703E-2</v>
      </c>
      <c r="W79" s="164">
        <v>1.10522431905947E-2</v>
      </c>
    </row>
    <row r="80" spans="1:23">
      <c r="A80" s="2">
        <v>337</v>
      </c>
      <c r="B80" s="2">
        <v>9964</v>
      </c>
      <c r="C80" s="2" t="s">
        <v>1317</v>
      </c>
      <c r="D80" s="2" t="s">
        <v>1318</v>
      </c>
      <c r="E80" s="4" t="s">
        <v>1303</v>
      </c>
      <c r="F80" s="2" t="s">
        <v>1410</v>
      </c>
      <c r="G80" s="2" t="s">
        <v>1411</v>
      </c>
      <c r="H80" s="2" t="s">
        <v>318</v>
      </c>
      <c r="I80" s="2" t="s">
        <v>980</v>
      </c>
      <c r="J80" s="2" t="s">
        <v>30</v>
      </c>
      <c r="K80" s="2" t="s">
        <v>292</v>
      </c>
      <c r="L80" s="2" t="s">
        <v>41</v>
      </c>
      <c r="M80" s="2" t="s">
        <v>1337</v>
      </c>
      <c r="N80" s="2" t="s">
        <v>134</v>
      </c>
      <c r="O80" s="2" t="s">
        <v>34</v>
      </c>
      <c r="P80" s="152">
        <v>1057</v>
      </c>
      <c r="Q80" s="158">
        <v>1</v>
      </c>
      <c r="R80" s="175">
        <v>8071</v>
      </c>
      <c r="T80" s="151">
        <v>85.31</v>
      </c>
      <c r="U80" s="164">
        <v>2.5900000000000001E-4</v>
      </c>
      <c r="V80" s="164">
        <v>1.42203644234769E-2</v>
      </c>
      <c r="W80" s="164">
        <v>2.32331997143022E-3</v>
      </c>
    </row>
    <row r="81" spans="1:23">
      <c r="A81" s="2">
        <v>337</v>
      </c>
      <c r="B81" s="2">
        <v>9964</v>
      </c>
      <c r="C81" s="2" t="s">
        <v>1343</v>
      </c>
      <c r="D81" s="2" t="s">
        <v>1344</v>
      </c>
      <c r="E81" s="4" t="s">
        <v>1303</v>
      </c>
      <c r="F81" s="2" t="s">
        <v>1345</v>
      </c>
      <c r="G81" s="2" t="s">
        <v>1346</v>
      </c>
      <c r="H81" s="2" t="s">
        <v>318</v>
      </c>
      <c r="I81" s="2" t="s">
        <v>980</v>
      </c>
      <c r="J81" s="2" t="s">
        <v>30</v>
      </c>
      <c r="K81" s="2" t="s">
        <v>295</v>
      </c>
      <c r="L81" s="2" t="s">
        <v>41</v>
      </c>
      <c r="M81" s="2" t="s">
        <v>1342</v>
      </c>
      <c r="N81" s="2" t="s">
        <v>134</v>
      </c>
      <c r="O81" s="2" t="s">
        <v>34</v>
      </c>
      <c r="P81" s="152">
        <v>11146</v>
      </c>
      <c r="Q81" s="158">
        <v>1</v>
      </c>
      <c r="R81" s="175">
        <v>775.8</v>
      </c>
      <c r="T81" s="151">
        <v>86.471000000000004</v>
      </c>
      <c r="U81" s="164">
        <v>2.1999999999999999E-5</v>
      </c>
      <c r="V81" s="164">
        <v>1.4413757313744601E-2</v>
      </c>
      <c r="W81" s="164">
        <v>2.3549164587571901E-3</v>
      </c>
    </row>
    <row r="82" spans="1:23">
      <c r="A82" s="2">
        <v>337</v>
      </c>
      <c r="B82" s="2">
        <v>9964</v>
      </c>
      <c r="C82" s="2" t="s">
        <v>1343</v>
      </c>
      <c r="D82" s="2" t="s">
        <v>1344</v>
      </c>
      <c r="E82" s="4" t="s">
        <v>1303</v>
      </c>
      <c r="F82" s="2" t="s">
        <v>1406</v>
      </c>
      <c r="G82" s="2" t="s">
        <v>1407</v>
      </c>
      <c r="H82" s="2" t="s">
        <v>318</v>
      </c>
      <c r="I82" s="2" t="s">
        <v>981</v>
      </c>
      <c r="J82" s="2" t="s">
        <v>30</v>
      </c>
      <c r="K82" s="2" t="s">
        <v>30</v>
      </c>
      <c r="L82" s="2" t="s">
        <v>41</v>
      </c>
      <c r="M82" s="2" t="s">
        <v>1321</v>
      </c>
      <c r="N82" s="2" t="s">
        <v>134</v>
      </c>
      <c r="O82" s="2" t="s">
        <v>34</v>
      </c>
      <c r="P82" s="152">
        <v>62014</v>
      </c>
      <c r="Q82" s="158">
        <v>1</v>
      </c>
      <c r="R82" s="175">
        <v>404.49</v>
      </c>
      <c r="T82" s="151">
        <v>250.84</v>
      </c>
      <c r="U82" s="164">
        <v>2.2699999999999999E-4</v>
      </c>
      <c r="V82" s="164">
        <v>4.1812479837857498E-2</v>
      </c>
      <c r="W82" s="164">
        <v>6.8313136407347798E-3</v>
      </c>
    </row>
    <row r="83" spans="1:23">
      <c r="A83" s="2">
        <v>337</v>
      </c>
      <c r="B83" s="2">
        <v>9964</v>
      </c>
      <c r="C83" s="2" t="s">
        <v>1343</v>
      </c>
      <c r="D83" s="2" t="s">
        <v>1344</v>
      </c>
      <c r="E83" s="4" t="s">
        <v>1303</v>
      </c>
      <c r="F83" s="2" t="s">
        <v>1349</v>
      </c>
      <c r="G83" s="2" t="s">
        <v>1350</v>
      </c>
      <c r="H83" s="2" t="s">
        <v>318</v>
      </c>
      <c r="I83" s="2" t="s">
        <v>980</v>
      </c>
      <c r="J83" s="2" t="s">
        <v>30</v>
      </c>
      <c r="K83" s="2" t="s">
        <v>292</v>
      </c>
      <c r="L83" s="2" t="s">
        <v>41</v>
      </c>
      <c r="M83" s="2" t="s">
        <v>1337</v>
      </c>
      <c r="N83" s="2" t="s">
        <v>134</v>
      </c>
      <c r="O83" s="2" t="s">
        <v>34</v>
      </c>
      <c r="P83" s="152">
        <v>7898</v>
      </c>
      <c r="Q83" s="158">
        <v>1</v>
      </c>
      <c r="R83" s="175">
        <v>680.1</v>
      </c>
      <c r="T83" s="151">
        <v>53.713999999999999</v>
      </c>
      <c r="U83" s="164">
        <v>3.3000000000000003E-5</v>
      </c>
      <c r="V83" s="164">
        <v>8.9536125203769096E-3</v>
      </c>
      <c r="W83" s="164">
        <v>1.46283921885267E-3</v>
      </c>
    </row>
    <row r="84" spans="1:23">
      <c r="A84" s="2">
        <v>337</v>
      </c>
      <c r="B84" s="2">
        <v>9964</v>
      </c>
      <c r="C84" s="2" t="s">
        <v>1343</v>
      </c>
      <c r="D84" s="2" t="s">
        <v>1344</v>
      </c>
      <c r="E84" s="4" t="s">
        <v>1303</v>
      </c>
      <c r="F84" s="2" t="s">
        <v>1351</v>
      </c>
      <c r="G84" s="2" t="s">
        <v>1352</v>
      </c>
      <c r="H84" s="2" t="s">
        <v>318</v>
      </c>
      <c r="I84" s="2" t="s">
        <v>980</v>
      </c>
      <c r="J84" s="2" t="s">
        <v>30</v>
      </c>
      <c r="K84" s="2" t="s">
        <v>237</v>
      </c>
      <c r="L84" s="2" t="s">
        <v>41</v>
      </c>
      <c r="M84" s="2" t="s">
        <v>1337</v>
      </c>
      <c r="N84" s="2" t="s">
        <v>134</v>
      </c>
      <c r="O84" s="2" t="s">
        <v>34</v>
      </c>
      <c r="P84" s="152">
        <v>462</v>
      </c>
      <c r="Q84" s="158">
        <v>1</v>
      </c>
      <c r="R84" s="175">
        <v>19360</v>
      </c>
      <c r="T84" s="151">
        <v>89.442999999999998</v>
      </c>
      <c r="U84" s="164">
        <v>4.0000000000000003E-5</v>
      </c>
      <c r="V84" s="164">
        <v>1.49092473550073E-2</v>
      </c>
      <c r="W84" s="164">
        <v>2.4358695113111798E-3</v>
      </c>
    </row>
    <row r="85" spans="1:23">
      <c r="A85" s="2">
        <v>337</v>
      </c>
      <c r="B85" s="2">
        <v>9964</v>
      </c>
      <c r="C85" s="2" t="s">
        <v>1322</v>
      </c>
      <c r="D85" s="2" t="s">
        <v>1323</v>
      </c>
      <c r="E85" s="4" t="s">
        <v>1303</v>
      </c>
      <c r="F85" s="2" t="s">
        <v>1357</v>
      </c>
      <c r="G85" s="2" t="s">
        <v>1358</v>
      </c>
      <c r="H85" s="2" t="s">
        <v>318</v>
      </c>
      <c r="I85" s="2" t="s">
        <v>980</v>
      </c>
      <c r="J85" s="2" t="s">
        <v>30</v>
      </c>
      <c r="K85" s="2" t="s">
        <v>292</v>
      </c>
      <c r="L85" s="2" t="s">
        <v>41</v>
      </c>
      <c r="M85" s="2" t="s">
        <v>1337</v>
      </c>
      <c r="N85" s="2" t="s">
        <v>134</v>
      </c>
      <c r="O85" s="2" t="s">
        <v>34</v>
      </c>
      <c r="P85" s="152">
        <v>769</v>
      </c>
      <c r="Q85" s="158">
        <v>1</v>
      </c>
      <c r="R85" s="175">
        <v>7329</v>
      </c>
      <c r="T85" s="151">
        <v>56.36</v>
      </c>
      <c r="U85" s="164">
        <v>5.5000000000000002E-5</v>
      </c>
      <c r="V85" s="164">
        <v>9.3946250807293002E-3</v>
      </c>
      <c r="W85" s="164">
        <v>1.53489175271226E-3</v>
      </c>
    </row>
    <row r="86" spans="1:23">
      <c r="A86" s="2">
        <v>337</v>
      </c>
      <c r="B86" s="2">
        <v>9964</v>
      </c>
      <c r="C86" s="2" t="s">
        <v>1322</v>
      </c>
      <c r="D86" s="2" t="s">
        <v>1323</v>
      </c>
      <c r="E86" s="4" t="s">
        <v>1303</v>
      </c>
      <c r="F86" s="2" t="s">
        <v>1324</v>
      </c>
      <c r="G86" s="2" t="s">
        <v>1325</v>
      </c>
      <c r="H86" s="2" t="s">
        <v>318</v>
      </c>
      <c r="I86" s="2" t="s">
        <v>981</v>
      </c>
      <c r="J86" s="2" t="s">
        <v>30</v>
      </c>
      <c r="K86" s="2" t="s">
        <v>30</v>
      </c>
      <c r="L86" s="2" t="s">
        <v>41</v>
      </c>
      <c r="M86" s="2" t="s">
        <v>1321</v>
      </c>
      <c r="N86" s="2" t="s">
        <v>134</v>
      </c>
      <c r="O86" s="2" t="s">
        <v>34</v>
      </c>
      <c r="P86" s="152">
        <v>25920</v>
      </c>
      <c r="Q86" s="158">
        <v>1</v>
      </c>
      <c r="R86" s="175">
        <v>4036.28</v>
      </c>
      <c r="T86" s="151">
        <v>1046.204</v>
      </c>
      <c r="U86" s="164">
        <v>4.8000000000000001E-4</v>
      </c>
      <c r="V86" s="164">
        <v>0.17439124360629599</v>
      </c>
      <c r="W86" s="164">
        <v>2.8492002528722499E-2</v>
      </c>
    </row>
    <row r="87" spans="1:23">
      <c r="A87" s="2">
        <v>337</v>
      </c>
      <c r="B87" s="2">
        <v>9964</v>
      </c>
      <c r="C87" s="2" t="s">
        <v>1361</v>
      </c>
      <c r="D87" s="2" t="s">
        <v>1362</v>
      </c>
      <c r="E87" s="4" t="s">
        <v>311</v>
      </c>
      <c r="F87" s="2" t="s">
        <v>1363</v>
      </c>
      <c r="G87" s="2" t="s">
        <v>1364</v>
      </c>
      <c r="H87" s="2" t="s">
        <v>318</v>
      </c>
      <c r="I87" s="2" t="s">
        <v>980</v>
      </c>
      <c r="J87" s="2" t="s">
        <v>79</v>
      </c>
      <c r="K87" s="2" t="s">
        <v>1365</v>
      </c>
      <c r="L87" s="2" t="s">
        <v>343</v>
      </c>
      <c r="M87" s="2" t="s">
        <v>733</v>
      </c>
      <c r="N87" s="2" t="s">
        <v>134</v>
      </c>
      <c r="O87" s="2" t="s">
        <v>84</v>
      </c>
      <c r="P87" s="152">
        <v>1971</v>
      </c>
      <c r="Q87" s="158">
        <v>3.718</v>
      </c>
      <c r="R87" s="175">
        <v>5378</v>
      </c>
      <c r="T87" s="151">
        <v>394.10899999999998</v>
      </c>
      <c r="U87" s="164">
        <v>0</v>
      </c>
      <c r="V87" s="164">
        <v>6.5693923305161994E-2</v>
      </c>
      <c r="W87" s="164">
        <v>1.07330585540064E-2</v>
      </c>
    </row>
    <row r="88" spans="1:23">
      <c r="A88" s="2">
        <v>337</v>
      </c>
      <c r="B88" s="2">
        <v>9964</v>
      </c>
      <c r="C88" s="2" t="s">
        <v>1326</v>
      </c>
      <c r="D88" s="2" t="s">
        <v>1327</v>
      </c>
      <c r="E88" s="4" t="s">
        <v>311</v>
      </c>
      <c r="F88" s="2" t="s">
        <v>1366</v>
      </c>
      <c r="G88" s="2" t="s">
        <v>1367</v>
      </c>
      <c r="H88" s="2" t="s">
        <v>318</v>
      </c>
      <c r="I88" s="2" t="s">
        <v>980</v>
      </c>
      <c r="J88" s="2" t="s">
        <v>79</v>
      </c>
      <c r="K88" s="2" t="s">
        <v>80</v>
      </c>
      <c r="L88" s="2" t="s">
        <v>341</v>
      </c>
      <c r="M88" s="2" t="s">
        <v>733</v>
      </c>
      <c r="N88" s="2" t="s">
        <v>134</v>
      </c>
      <c r="O88" s="2" t="s">
        <v>84</v>
      </c>
      <c r="P88" s="152">
        <v>404</v>
      </c>
      <c r="Q88" s="158">
        <v>3.718</v>
      </c>
      <c r="R88" s="175">
        <v>19949</v>
      </c>
      <c r="T88" s="151">
        <v>299.64800000000002</v>
      </c>
      <c r="U88" s="164">
        <v>9.9999999999999995E-7</v>
      </c>
      <c r="V88" s="164">
        <v>4.9948249497778097E-2</v>
      </c>
      <c r="W88" s="164">
        <v>8.1605338752488502E-3</v>
      </c>
    </row>
    <row r="89" spans="1:23">
      <c r="A89" s="2">
        <v>337</v>
      </c>
      <c r="B89" s="2">
        <v>9964</v>
      </c>
      <c r="C89" s="2" t="s">
        <v>1330</v>
      </c>
      <c r="D89" s="2" t="s">
        <v>1331</v>
      </c>
      <c r="E89" s="4" t="s">
        <v>311</v>
      </c>
      <c r="F89" s="2" t="s">
        <v>1368</v>
      </c>
      <c r="G89" s="2" t="s">
        <v>1369</v>
      </c>
      <c r="H89" s="2" t="s">
        <v>318</v>
      </c>
      <c r="I89" s="2" t="s">
        <v>980</v>
      </c>
      <c r="J89" s="2" t="s">
        <v>79</v>
      </c>
      <c r="K89" s="2" t="s">
        <v>80</v>
      </c>
      <c r="L89" s="2" t="s">
        <v>341</v>
      </c>
      <c r="M89" s="2" t="s">
        <v>733</v>
      </c>
      <c r="N89" s="2" t="s">
        <v>134</v>
      </c>
      <c r="O89" s="2" t="s">
        <v>84</v>
      </c>
      <c r="P89" s="152">
        <v>405</v>
      </c>
      <c r="Q89" s="158">
        <v>3.718</v>
      </c>
      <c r="R89" s="175">
        <v>4981</v>
      </c>
      <c r="T89" s="151">
        <v>75.003</v>
      </c>
      <c r="U89" s="164">
        <v>0</v>
      </c>
      <c r="V89" s="164">
        <v>1.25022834779573E-2</v>
      </c>
      <c r="W89" s="164">
        <v>2.0426202893131101E-3</v>
      </c>
    </row>
    <row r="90" spans="1:23">
      <c r="A90" s="2">
        <v>337</v>
      </c>
      <c r="B90" s="2">
        <v>9964</v>
      </c>
      <c r="C90" s="2" t="s">
        <v>1376</v>
      </c>
      <c r="D90" s="2" t="s">
        <v>1377</v>
      </c>
      <c r="E90" s="4" t="s">
        <v>311</v>
      </c>
      <c r="F90" s="2" t="s">
        <v>1378</v>
      </c>
      <c r="G90" s="2" t="s">
        <v>1379</v>
      </c>
      <c r="H90" s="2" t="s">
        <v>318</v>
      </c>
      <c r="I90" s="2" t="s">
        <v>980</v>
      </c>
      <c r="J90" s="2" t="s">
        <v>79</v>
      </c>
      <c r="K90" s="2" t="s">
        <v>80</v>
      </c>
      <c r="L90" s="2" t="s">
        <v>343</v>
      </c>
      <c r="M90" s="2" t="s">
        <v>733</v>
      </c>
      <c r="N90" s="2" t="s">
        <v>134</v>
      </c>
      <c r="O90" s="2" t="s">
        <v>84</v>
      </c>
      <c r="P90" s="152">
        <v>1853</v>
      </c>
      <c r="Q90" s="158">
        <v>3.718</v>
      </c>
      <c r="R90" s="175">
        <v>4893</v>
      </c>
      <c r="T90" s="151">
        <v>337.101</v>
      </c>
      <c r="U90" s="164">
        <v>0</v>
      </c>
      <c r="V90" s="164">
        <v>5.6191213612129302E-2</v>
      </c>
      <c r="W90" s="164">
        <v>9.1805079614156095E-3</v>
      </c>
    </row>
    <row r="91" spans="1:23">
      <c r="A91" s="2">
        <v>337</v>
      </c>
      <c r="B91" s="2">
        <v>9964</v>
      </c>
      <c r="C91" s="2" t="s">
        <v>1326</v>
      </c>
      <c r="D91" s="2" t="s">
        <v>1327</v>
      </c>
      <c r="E91" s="4" t="s">
        <v>311</v>
      </c>
      <c r="F91" s="2" t="s">
        <v>1328</v>
      </c>
      <c r="G91" s="2" t="s">
        <v>1329</v>
      </c>
      <c r="H91" s="2" t="s">
        <v>318</v>
      </c>
      <c r="I91" s="2" t="s">
        <v>982</v>
      </c>
      <c r="J91" s="2" t="s">
        <v>79</v>
      </c>
      <c r="K91" s="2" t="s">
        <v>80</v>
      </c>
      <c r="L91" s="2" t="s">
        <v>341</v>
      </c>
      <c r="M91" s="2" t="s">
        <v>730</v>
      </c>
      <c r="N91" s="2" t="s">
        <v>134</v>
      </c>
      <c r="O91" s="2" t="s">
        <v>84</v>
      </c>
      <c r="P91" s="152">
        <v>396</v>
      </c>
      <c r="Q91" s="158">
        <v>3.718</v>
      </c>
      <c r="R91" s="175">
        <v>7889</v>
      </c>
      <c r="T91" s="151">
        <v>116.152</v>
      </c>
      <c r="U91" s="164">
        <v>9.9999999999999995E-7</v>
      </c>
      <c r="V91" s="164">
        <v>1.93613180384779E-2</v>
      </c>
      <c r="W91" s="164">
        <v>3.16324782772405E-3</v>
      </c>
    </row>
    <row r="92" spans="1:23">
      <c r="A92" s="2">
        <v>337</v>
      </c>
      <c r="B92" s="2">
        <v>9964</v>
      </c>
      <c r="C92" s="2" t="s">
        <v>1382</v>
      </c>
      <c r="D92" s="2" t="s">
        <v>1383</v>
      </c>
      <c r="E92" s="4" t="s">
        <v>311</v>
      </c>
      <c r="F92" s="2" t="s">
        <v>1384</v>
      </c>
      <c r="G92" s="2" t="s">
        <v>1385</v>
      </c>
      <c r="H92" s="2" t="s">
        <v>318</v>
      </c>
      <c r="I92" s="2" t="s">
        <v>980</v>
      </c>
      <c r="J92" s="2" t="s">
        <v>79</v>
      </c>
      <c r="K92" s="2" t="s">
        <v>267</v>
      </c>
      <c r="L92" s="2" t="s">
        <v>341</v>
      </c>
      <c r="M92" s="2" t="s">
        <v>733</v>
      </c>
      <c r="N92" s="2" t="s">
        <v>134</v>
      </c>
      <c r="O92" s="2" t="s">
        <v>84</v>
      </c>
      <c r="P92" s="152">
        <v>517</v>
      </c>
      <c r="Q92" s="158">
        <v>3.718</v>
      </c>
      <c r="R92" s="175">
        <v>3491</v>
      </c>
      <c r="T92" s="151">
        <v>67.103999999999999</v>
      </c>
      <c r="U92" s="164">
        <v>1.9999999999999999E-6</v>
      </c>
      <c r="V92" s="164">
        <v>1.1185571258853199E-2</v>
      </c>
      <c r="W92" s="164">
        <v>1.8274961402990101E-3</v>
      </c>
    </row>
    <row r="93" spans="1:23">
      <c r="A93" s="2">
        <v>337</v>
      </c>
      <c r="B93" s="2">
        <v>9964</v>
      </c>
      <c r="C93" s="2" t="s">
        <v>1386</v>
      </c>
      <c r="D93" s="2" t="s">
        <v>1362</v>
      </c>
      <c r="E93" s="4" t="s">
        <v>311</v>
      </c>
      <c r="F93" s="2" t="s">
        <v>1387</v>
      </c>
      <c r="G93" s="2" t="s">
        <v>1388</v>
      </c>
      <c r="H93" s="2" t="s">
        <v>318</v>
      </c>
      <c r="I93" s="2" t="s">
        <v>980</v>
      </c>
      <c r="J93" s="2" t="s">
        <v>79</v>
      </c>
      <c r="K93" s="2" t="s">
        <v>292</v>
      </c>
      <c r="L93" s="2" t="s">
        <v>361</v>
      </c>
      <c r="M93" s="2" t="s">
        <v>733</v>
      </c>
      <c r="N93" s="2" t="s">
        <v>134</v>
      </c>
      <c r="O93" s="2" t="s">
        <v>1177</v>
      </c>
      <c r="P93" s="152">
        <v>290</v>
      </c>
      <c r="Q93" s="158">
        <v>4.0218999999999996</v>
      </c>
      <c r="R93" s="175">
        <v>25113</v>
      </c>
      <c r="T93" s="151">
        <v>292.90600000000001</v>
      </c>
      <c r="U93" s="164">
        <v>1.2999999999999999E-5</v>
      </c>
      <c r="V93" s="164">
        <v>4.8824325717604297E-2</v>
      </c>
      <c r="W93" s="164">
        <v>7.9769074584369101E-3</v>
      </c>
    </row>
    <row r="94" spans="1:23">
      <c r="A94" s="2">
        <v>337</v>
      </c>
      <c r="B94" s="2">
        <v>9964</v>
      </c>
      <c r="C94" s="2" t="s">
        <v>1326</v>
      </c>
      <c r="D94" s="2" t="s">
        <v>1327</v>
      </c>
      <c r="E94" s="4" t="s">
        <v>311</v>
      </c>
      <c r="F94" s="2" t="s">
        <v>1392</v>
      </c>
      <c r="G94" s="2" t="s">
        <v>1393</v>
      </c>
      <c r="H94" s="2" t="s">
        <v>318</v>
      </c>
      <c r="I94" s="2" t="s">
        <v>980</v>
      </c>
      <c r="J94" s="2" t="s">
        <v>79</v>
      </c>
      <c r="K94" s="2" t="s">
        <v>267</v>
      </c>
      <c r="L94" s="2" t="s">
        <v>343</v>
      </c>
      <c r="M94" s="2" t="s">
        <v>733</v>
      </c>
      <c r="N94" s="2" t="s">
        <v>134</v>
      </c>
      <c r="O94" s="2" t="s">
        <v>84</v>
      </c>
      <c r="P94" s="152">
        <v>360</v>
      </c>
      <c r="Q94" s="158">
        <v>3.718</v>
      </c>
      <c r="R94" s="175">
        <v>5440</v>
      </c>
      <c r="T94" s="151">
        <v>72.813000000000002</v>
      </c>
      <c r="U94" s="164">
        <v>1.9999999999999999E-6</v>
      </c>
      <c r="V94" s="164">
        <v>1.2137218696841401E-2</v>
      </c>
      <c r="W94" s="164">
        <v>1.9829760867051799E-3</v>
      </c>
    </row>
    <row r="95" spans="1:23">
      <c r="A95" s="2">
        <v>337</v>
      </c>
      <c r="B95" s="2">
        <v>9964</v>
      </c>
      <c r="C95" s="2" t="s">
        <v>1376</v>
      </c>
      <c r="D95" s="2" t="s">
        <v>1377</v>
      </c>
      <c r="E95" s="4" t="s">
        <v>311</v>
      </c>
      <c r="F95" s="2" t="s">
        <v>1396</v>
      </c>
      <c r="G95" s="2" t="s">
        <v>1397</v>
      </c>
      <c r="H95" s="2" t="s">
        <v>318</v>
      </c>
      <c r="I95" s="2" t="s">
        <v>980</v>
      </c>
      <c r="J95" s="2" t="s">
        <v>79</v>
      </c>
      <c r="K95" s="2" t="s">
        <v>80</v>
      </c>
      <c r="L95" s="2" t="s">
        <v>377</v>
      </c>
      <c r="M95" s="2" t="s">
        <v>733</v>
      </c>
      <c r="N95" s="2" t="s">
        <v>134</v>
      </c>
      <c r="O95" s="2" t="s">
        <v>84</v>
      </c>
      <c r="P95" s="152">
        <v>222</v>
      </c>
      <c r="Q95" s="158">
        <v>3.718</v>
      </c>
      <c r="R95" s="175">
        <v>109783</v>
      </c>
      <c r="T95" s="151">
        <v>906.14400000000001</v>
      </c>
      <c r="U95" s="164">
        <v>4.3999999999999999E-5</v>
      </c>
      <c r="V95" s="164">
        <v>0.15104482342900599</v>
      </c>
      <c r="W95" s="164">
        <v>2.4677669601378401E-2</v>
      </c>
    </row>
    <row r="96" spans="1:23">
      <c r="A96" s="2">
        <v>337</v>
      </c>
      <c r="B96" s="2">
        <v>9964</v>
      </c>
      <c r="C96" s="2" t="s">
        <v>1330</v>
      </c>
      <c r="D96" s="2" t="s">
        <v>1331</v>
      </c>
      <c r="E96" s="4" t="s">
        <v>311</v>
      </c>
      <c r="F96" s="2" t="s">
        <v>1332</v>
      </c>
      <c r="G96" s="2" t="s">
        <v>1333</v>
      </c>
      <c r="H96" s="2" t="s">
        <v>318</v>
      </c>
      <c r="I96" s="2" t="s">
        <v>982</v>
      </c>
      <c r="J96" s="2" t="s">
        <v>79</v>
      </c>
      <c r="K96" s="2" t="s">
        <v>80</v>
      </c>
      <c r="L96" s="2" t="s">
        <v>1334</v>
      </c>
      <c r="M96" s="2" t="s">
        <v>730</v>
      </c>
      <c r="N96" s="2" t="s">
        <v>134</v>
      </c>
      <c r="O96" s="2" t="s">
        <v>84</v>
      </c>
      <c r="P96" s="152">
        <v>3009</v>
      </c>
      <c r="Q96" s="158">
        <v>3.718</v>
      </c>
      <c r="R96" s="175">
        <v>1086.2</v>
      </c>
      <c r="T96" s="151">
        <v>121.518</v>
      </c>
      <c r="U96" s="164">
        <v>0</v>
      </c>
      <c r="V96" s="164">
        <v>2.02558169260947E-2</v>
      </c>
      <c r="W96" s="164">
        <v>3.3093908567023598E-3</v>
      </c>
    </row>
    <row r="97" spans="1:23">
      <c r="A97" s="2">
        <v>337</v>
      </c>
      <c r="B97" s="2">
        <v>9964</v>
      </c>
      <c r="C97" s="2" t="s">
        <v>1400</v>
      </c>
      <c r="D97" s="2" t="s">
        <v>1401</v>
      </c>
      <c r="E97" s="4" t="s">
        <v>311</v>
      </c>
      <c r="F97" s="2" t="s">
        <v>1402</v>
      </c>
      <c r="G97" s="2" t="s">
        <v>1403</v>
      </c>
      <c r="H97" s="2" t="s">
        <v>318</v>
      </c>
      <c r="I97" s="2" t="s">
        <v>980</v>
      </c>
      <c r="J97" s="2" t="s">
        <v>79</v>
      </c>
      <c r="K97" s="2" t="s">
        <v>80</v>
      </c>
      <c r="L97" s="2" t="s">
        <v>341</v>
      </c>
      <c r="M97" s="2" t="s">
        <v>733</v>
      </c>
      <c r="N97" s="2" t="s">
        <v>134</v>
      </c>
      <c r="O97" s="2" t="s">
        <v>84</v>
      </c>
      <c r="P97" s="152">
        <v>304</v>
      </c>
      <c r="Q97" s="158">
        <v>3.718</v>
      </c>
      <c r="R97" s="175">
        <v>51391</v>
      </c>
      <c r="T97" s="151">
        <v>580.85799999999995</v>
      </c>
      <c r="U97" s="164">
        <v>0</v>
      </c>
      <c r="V97" s="164">
        <v>9.6822976429233196E-2</v>
      </c>
      <c r="W97" s="164">
        <v>1.58189163183452E-2</v>
      </c>
    </row>
    <row r="98" spans="1:23">
      <c r="A98" s="2">
        <v>337</v>
      </c>
      <c r="B98" s="2">
        <v>15372</v>
      </c>
      <c r="C98" s="2" t="s">
        <v>1317</v>
      </c>
      <c r="D98" s="2" t="s">
        <v>1318</v>
      </c>
      <c r="E98" s="4" t="s">
        <v>1303</v>
      </c>
      <c r="F98" s="2" t="s">
        <v>1422</v>
      </c>
      <c r="G98" s="2" t="s">
        <v>1423</v>
      </c>
      <c r="H98" s="2" t="s">
        <v>318</v>
      </c>
      <c r="I98" s="2" t="s">
        <v>980</v>
      </c>
      <c r="J98" s="2" t="s">
        <v>30</v>
      </c>
      <c r="K98" s="2" t="s">
        <v>80</v>
      </c>
      <c r="L98" s="2" t="s">
        <v>41</v>
      </c>
      <c r="M98" s="2" t="s">
        <v>1342</v>
      </c>
      <c r="N98" s="2" t="s">
        <v>134</v>
      </c>
      <c r="O98" s="2" t="s">
        <v>34</v>
      </c>
      <c r="P98" s="152">
        <v>7430</v>
      </c>
      <c r="Q98" s="158">
        <v>1</v>
      </c>
      <c r="R98" s="175">
        <v>8809</v>
      </c>
      <c r="T98" s="151">
        <v>654.50900000000001</v>
      </c>
      <c r="U98" s="164">
        <v>8.5000000000000006E-5</v>
      </c>
      <c r="V98" s="164">
        <v>0.107563855487013</v>
      </c>
      <c r="W98" s="164">
        <v>0.10587477057775301</v>
      </c>
    </row>
    <row r="99" spans="1:23">
      <c r="A99" s="2">
        <v>337</v>
      </c>
      <c r="B99" s="2">
        <v>15372</v>
      </c>
      <c r="C99" s="2" t="s">
        <v>1338</v>
      </c>
      <c r="D99" s="2" t="s">
        <v>1339</v>
      </c>
      <c r="E99" s="4" t="s">
        <v>1303</v>
      </c>
      <c r="F99" s="2" t="s">
        <v>1340</v>
      </c>
      <c r="G99" s="2" t="s">
        <v>1341</v>
      </c>
      <c r="H99" s="2" t="s">
        <v>318</v>
      </c>
      <c r="I99" s="2" t="s">
        <v>980</v>
      </c>
      <c r="J99" s="2" t="s">
        <v>30</v>
      </c>
      <c r="K99" s="2" t="s">
        <v>80</v>
      </c>
      <c r="L99" s="2" t="s">
        <v>41</v>
      </c>
      <c r="M99" s="2" t="s">
        <v>1342</v>
      </c>
      <c r="N99" s="2" t="s">
        <v>134</v>
      </c>
      <c r="O99" s="2" t="s">
        <v>34</v>
      </c>
      <c r="P99" s="152">
        <v>3709</v>
      </c>
      <c r="Q99" s="158">
        <v>1</v>
      </c>
      <c r="R99" s="175">
        <v>20310</v>
      </c>
      <c r="T99" s="151">
        <v>753.298</v>
      </c>
      <c r="U99" s="164">
        <v>3.6999999999999998E-5</v>
      </c>
      <c r="V99" s="164">
        <v>0.123799158749564</v>
      </c>
      <c r="W99" s="164">
        <v>0.12185512941111799</v>
      </c>
    </row>
    <row r="100" spans="1:23">
      <c r="A100" s="2">
        <v>337</v>
      </c>
      <c r="B100" s="2">
        <v>15372</v>
      </c>
      <c r="C100" s="2" t="s">
        <v>1343</v>
      </c>
      <c r="D100" s="2" t="s">
        <v>1344</v>
      </c>
      <c r="E100" s="4" t="s">
        <v>1303</v>
      </c>
      <c r="F100" s="2" t="s">
        <v>1424</v>
      </c>
      <c r="G100" s="2" t="s">
        <v>1425</v>
      </c>
      <c r="H100" s="2" t="s">
        <v>318</v>
      </c>
      <c r="I100" s="2" t="s">
        <v>980</v>
      </c>
      <c r="J100" s="2" t="s">
        <v>30</v>
      </c>
      <c r="K100" s="2" t="s">
        <v>80</v>
      </c>
      <c r="L100" s="2" t="s">
        <v>41</v>
      </c>
      <c r="M100" s="2" t="s">
        <v>1342</v>
      </c>
      <c r="N100" s="2" t="s">
        <v>134</v>
      </c>
      <c r="O100" s="2" t="s">
        <v>34</v>
      </c>
      <c r="P100" s="152">
        <v>29016</v>
      </c>
      <c r="Q100" s="158">
        <v>1</v>
      </c>
      <c r="R100" s="175">
        <v>2404</v>
      </c>
      <c r="T100" s="151">
        <v>697.54499999999996</v>
      </c>
      <c r="U100" s="164">
        <v>7.7000000000000001E-5</v>
      </c>
      <c r="V100" s="164">
        <v>0.114636506516568</v>
      </c>
      <c r="W100" s="164">
        <v>0.11283635913127101</v>
      </c>
    </row>
    <row r="101" spans="1:23">
      <c r="A101" s="2">
        <v>337</v>
      </c>
      <c r="B101" s="2">
        <v>15372</v>
      </c>
      <c r="C101" s="2" t="s">
        <v>1353</v>
      </c>
      <c r="D101" s="2" t="s">
        <v>1354</v>
      </c>
      <c r="E101" s="4" t="s">
        <v>1303</v>
      </c>
      <c r="F101" s="2" t="s">
        <v>1426</v>
      </c>
      <c r="G101" s="2" t="s">
        <v>1427</v>
      </c>
      <c r="H101" s="2" t="s">
        <v>318</v>
      </c>
      <c r="I101" s="2" t="s">
        <v>980</v>
      </c>
      <c r="J101" s="2" t="s">
        <v>30</v>
      </c>
      <c r="K101" s="2" t="s">
        <v>80</v>
      </c>
      <c r="L101" s="2" t="s">
        <v>41</v>
      </c>
      <c r="M101" s="2" t="s">
        <v>1342</v>
      </c>
      <c r="N101" s="2" t="s">
        <v>134</v>
      </c>
      <c r="O101" s="2" t="s">
        <v>34</v>
      </c>
      <c r="P101" s="152">
        <v>7300</v>
      </c>
      <c r="Q101" s="158">
        <v>1</v>
      </c>
      <c r="R101" s="175">
        <v>10210</v>
      </c>
      <c r="T101" s="151">
        <v>745.33</v>
      </c>
      <c r="U101" s="164">
        <v>1.07E-4</v>
      </c>
      <c r="V101" s="164">
        <v>0.122489690985216</v>
      </c>
      <c r="W101" s="164">
        <v>0.120566224336997</v>
      </c>
    </row>
    <row r="102" spans="1:23">
      <c r="A102" s="2">
        <v>337</v>
      </c>
      <c r="B102" s="2">
        <v>15372</v>
      </c>
      <c r="C102" s="2" t="s">
        <v>1322</v>
      </c>
      <c r="D102" s="2" t="s">
        <v>1323</v>
      </c>
      <c r="E102" s="4" t="s">
        <v>1303</v>
      </c>
      <c r="F102" s="2" t="s">
        <v>1428</v>
      </c>
      <c r="G102" s="2" t="s">
        <v>1429</v>
      </c>
      <c r="H102" s="2" t="s">
        <v>318</v>
      </c>
      <c r="I102" s="2" t="s">
        <v>980</v>
      </c>
      <c r="J102" s="2" t="s">
        <v>30</v>
      </c>
      <c r="K102" s="2" t="s">
        <v>80</v>
      </c>
      <c r="L102" s="2" t="s">
        <v>41</v>
      </c>
      <c r="M102" s="2" t="s">
        <v>1342</v>
      </c>
      <c r="N102" s="2" t="s">
        <v>134</v>
      </c>
      <c r="O102" s="2" t="s">
        <v>34</v>
      </c>
      <c r="P102" s="152">
        <v>3177</v>
      </c>
      <c r="Q102" s="158">
        <v>1</v>
      </c>
      <c r="R102" s="175">
        <v>22550</v>
      </c>
      <c r="T102" s="151">
        <v>716.41300000000001</v>
      </c>
      <c r="U102" s="164">
        <v>1.08E-4</v>
      </c>
      <c r="V102" s="164">
        <v>0.11773746962102299</v>
      </c>
      <c r="W102" s="164">
        <v>0.115888627532842</v>
      </c>
    </row>
    <row r="103" spans="1:23">
      <c r="A103" s="2">
        <v>337</v>
      </c>
      <c r="B103" s="2">
        <v>15372</v>
      </c>
      <c r="C103" s="2" t="s">
        <v>1326</v>
      </c>
      <c r="D103" s="2" t="s">
        <v>1327</v>
      </c>
      <c r="E103" s="4" t="s">
        <v>311</v>
      </c>
      <c r="F103" s="2" t="s">
        <v>1380</v>
      </c>
      <c r="G103" s="2" t="s">
        <v>1381</v>
      </c>
      <c r="H103" s="2" t="s">
        <v>318</v>
      </c>
      <c r="I103" s="2" t="s">
        <v>980</v>
      </c>
      <c r="J103" s="2" t="s">
        <v>79</v>
      </c>
      <c r="K103" s="2" t="s">
        <v>80</v>
      </c>
      <c r="L103" s="2" t="s">
        <v>341</v>
      </c>
      <c r="M103" s="2" t="s">
        <v>733</v>
      </c>
      <c r="N103" s="2" t="s">
        <v>134</v>
      </c>
      <c r="O103" s="2" t="s">
        <v>84</v>
      </c>
      <c r="P103" s="152">
        <v>417</v>
      </c>
      <c r="Q103" s="158">
        <v>3.718</v>
      </c>
      <c r="R103" s="175">
        <v>56190</v>
      </c>
      <c r="T103" s="151">
        <v>871.173</v>
      </c>
      <c r="U103" s="164">
        <v>9.9999999999999995E-7</v>
      </c>
      <c r="V103" s="164">
        <v>0.143171115693464</v>
      </c>
      <c r="W103" s="164">
        <v>0.14092288677060699</v>
      </c>
    </row>
    <row r="104" spans="1:23">
      <c r="A104" s="2">
        <v>337</v>
      </c>
      <c r="B104" s="2">
        <v>15372</v>
      </c>
      <c r="C104" s="2" t="s">
        <v>1376</v>
      </c>
      <c r="D104" s="2" t="s">
        <v>1377</v>
      </c>
      <c r="E104" s="4" t="s">
        <v>311</v>
      </c>
      <c r="F104" s="2" t="s">
        <v>1396</v>
      </c>
      <c r="G104" s="2" t="s">
        <v>1397</v>
      </c>
      <c r="H104" s="2" t="s">
        <v>318</v>
      </c>
      <c r="I104" s="2" t="s">
        <v>980</v>
      </c>
      <c r="J104" s="2" t="s">
        <v>79</v>
      </c>
      <c r="K104" s="2" t="s">
        <v>80</v>
      </c>
      <c r="L104" s="2" t="s">
        <v>377</v>
      </c>
      <c r="M104" s="2" t="s">
        <v>733</v>
      </c>
      <c r="N104" s="2" t="s">
        <v>134</v>
      </c>
      <c r="O104" s="2" t="s">
        <v>84</v>
      </c>
      <c r="P104" s="152">
        <v>167</v>
      </c>
      <c r="Q104" s="158">
        <v>3.718</v>
      </c>
      <c r="R104" s="175">
        <v>109783</v>
      </c>
      <c r="T104" s="151">
        <v>681.649</v>
      </c>
      <c r="U104" s="164">
        <v>3.3000000000000003E-5</v>
      </c>
      <c r="V104" s="164">
        <v>0.112024209451544</v>
      </c>
      <c r="W104" s="164">
        <v>0.11026508320230601</v>
      </c>
    </row>
    <row r="105" spans="1:23">
      <c r="A105" s="2">
        <v>337</v>
      </c>
      <c r="B105" s="2">
        <v>15372</v>
      </c>
      <c r="C105" s="2" t="s">
        <v>1330</v>
      </c>
      <c r="D105" s="2" t="s">
        <v>1331</v>
      </c>
      <c r="E105" s="4" t="s">
        <v>311</v>
      </c>
      <c r="F105" s="2" t="s">
        <v>1398</v>
      </c>
      <c r="G105" s="2" t="s">
        <v>1399</v>
      </c>
      <c r="H105" s="2" t="s">
        <v>318</v>
      </c>
      <c r="I105" s="2" t="s">
        <v>980</v>
      </c>
      <c r="J105" s="2" t="s">
        <v>79</v>
      </c>
      <c r="K105" s="2" t="s">
        <v>80</v>
      </c>
      <c r="L105" s="2" t="s">
        <v>341</v>
      </c>
      <c r="M105" s="2" t="s">
        <v>733</v>
      </c>
      <c r="N105" s="2" t="s">
        <v>134</v>
      </c>
      <c r="O105" s="2" t="s">
        <v>84</v>
      </c>
      <c r="P105" s="152">
        <v>88</v>
      </c>
      <c r="Q105" s="158">
        <v>3.718</v>
      </c>
      <c r="R105" s="175">
        <v>55939</v>
      </c>
      <c r="S105" s="155">
        <v>0.112</v>
      </c>
      <c r="T105" s="151">
        <v>183.43799999999999</v>
      </c>
      <c r="U105" s="164">
        <v>0</v>
      </c>
      <c r="V105" s="164">
        <v>3.01467466553626E-2</v>
      </c>
      <c r="W105" s="164">
        <v>2.9673349577800399E-2</v>
      </c>
    </row>
    <row r="106" spans="1:23">
      <c r="A106" s="2">
        <v>337</v>
      </c>
      <c r="B106" s="2">
        <v>15372</v>
      </c>
      <c r="C106" s="2" t="s">
        <v>1400</v>
      </c>
      <c r="D106" s="2" t="s">
        <v>1401</v>
      </c>
      <c r="E106" s="4" t="s">
        <v>311</v>
      </c>
      <c r="F106" s="2" t="s">
        <v>1402</v>
      </c>
      <c r="G106" s="2" t="s">
        <v>1403</v>
      </c>
      <c r="H106" s="2" t="s">
        <v>318</v>
      </c>
      <c r="I106" s="2" t="s">
        <v>980</v>
      </c>
      <c r="J106" s="2" t="s">
        <v>79</v>
      </c>
      <c r="K106" s="2" t="s">
        <v>80</v>
      </c>
      <c r="L106" s="2" t="s">
        <v>341</v>
      </c>
      <c r="M106" s="2" t="s">
        <v>733</v>
      </c>
      <c r="N106" s="2" t="s">
        <v>134</v>
      </c>
      <c r="O106" s="2" t="s">
        <v>84</v>
      </c>
      <c r="P106" s="152">
        <v>409</v>
      </c>
      <c r="Q106" s="158">
        <v>3.718</v>
      </c>
      <c r="R106" s="175">
        <v>51391</v>
      </c>
      <c r="T106" s="151">
        <v>781.48299999999995</v>
      </c>
      <c r="U106" s="164">
        <v>9.9999999999999995E-7</v>
      </c>
      <c r="V106" s="164">
        <v>0.12843124684024401</v>
      </c>
      <c r="W106" s="164">
        <v>0.12641447940537301</v>
      </c>
    </row>
  </sheetData>
  <sheetProtection formatColumns="0"/>
  <autoFilter ref="A1:Y106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5" width="11.625" style="4" customWidth="1"/>
    <col min="6" max="6" width="21.25" style="4" customWidth="1"/>
    <col min="7" max="12" width="11.625" style="4" customWidth="1"/>
    <col min="13" max="13" width="11.625" style="2" customWidth="1"/>
    <col min="14" max="16" width="11.625" style="4" customWidth="1"/>
    <col min="17" max="17" width="15.75" style="4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1110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8</v>
      </c>
      <c r="N1" s="19" t="s">
        <v>567</v>
      </c>
      <c r="O1" s="19" t="s">
        <v>120</v>
      </c>
      <c r="P1" s="19" t="s">
        <v>11</v>
      </c>
      <c r="Q1" s="19" t="s">
        <v>17</v>
      </c>
      <c r="R1" s="157" t="s">
        <v>18</v>
      </c>
      <c r="S1" s="168" t="s">
        <v>19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18">
        <v>337</v>
      </c>
      <c r="B2" s="18">
        <v>1477</v>
      </c>
      <c r="C2" s="18" t="s">
        <v>1308</v>
      </c>
      <c r="D2" s="18" t="s">
        <v>1309</v>
      </c>
      <c r="E2" s="18" t="s">
        <v>311</v>
      </c>
      <c r="F2" s="18" t="s">
        <v>1310</v>
      </c>
      <c r="G2" s="18" t="s">
        <v>1311</v>
      </c>
      <c r="H2" s="18" t="s">
        <v>318</v>
      </c>
      <c r="I2" s="18" t="s">
        <v>930</v>
      </c>
      <c r="J2" s="18" t="s">
        <v>79</v>
      </c>
      <c r="K2" s="18" t="s">
        <v>243</v>
      </c>
      <c r="L2" s="4" t="s">
        <v>324</v>
      </c>
      <c r="M2" s="18" t="s">
        <v>164</v>
      </c>
      <c r="N2" s="20" t="s">
        <v>733</v>
      </c>
      <c r="O2" s="20" t="s">
        <v>134</v>
      </c>
      <c r="P2" s="18" t="s">
        <v>84</v>
      </c>
      <c r="Q2" s="154">
        <v>2695.22</v>
      </c>
      <c r="R2" s="176">
        <v>3.718</v>
      </c>
      <c r="S2" s="177">
        <v>1372.39</v>
      </c>
      <c r="T2" s="154">
        <v>137.52500000000001</v>
      </c>
      <c r="U2" s="178">
        <v>1.17E-4</v>
      </c>
      <c r="V2" s="178">
        <v>1</v>
      </c>
      <c r="W2" s="178">
        <v>8.6918176648983995E-3</v>
      </c>
    </row>
    <row r="3" spans="1:23">
      <c r="A3" s="18">
        <v>337</v>
      </c>
      <c r="B3" s="18">
        <v>9962</v>
      </c>
      <c r="C3" s="18" t="s">
        <v>1308</v>
      </c>
      <c r="D3" s="18" t="s">
        <v>1309</v>
      </c>
      <c r="E3" s="18" t="s">
        <v>311</v>
      </c>
      <c r="F3" s="18" t="s">
        <v>1310</v>
      </c>
      <c r="G3" s="18" t="s">
        <v>1311</v>
      </c>
      <c r="H3" s="18" t="s">
        <v>318</v>
      </c>
      <c r="I3" s="18" t="s">
        <v>930</v>
      </c>
      <c r="J3" s="18" t="s">
        <v>79</v>
      </c>
      <c r="K3" s="18" t="s">
        <v>243</v>
      </c>
      <c r="L3" s="4" t="s">
        <v>324</v>
      </c>
      <c r="M3" s="18" t="s">
        <v>164</v>
      </c>
      <c r="N3" s="20" t="s">
        <v>733</v>
      </c>
      <c r="O3" s="20" t="s">
        <v>134</v>
      </c>
      <c r="P3" s="18" t="s">
        <v>84</v>
      </c>
      <c r="Q3" s="154">
        <v>4716.63</v>
      </c>
      <c r="R3" s="176">
        <v>3.718</v>
      </c>
      <c r="S3" s="177">
        <v>1372.39</v>
      </c>
      <c r="T3" s="154">
        <v>240.66800000000001</v>
      </c>
      <c r="U3" s="178">
        <v>2.05E-4</v>
      </c>
      <c r="V3" s="178">
        <v>1</v>
      </c>
      <c r="W3" s="178">
        <v>6.2875687127557402E-3</v>
      </c>
    </row>
    <row r="4" spans="1:23">
      <c r="A4" s="18">
        <v>337</v>
      </c>
      <c r="B4" s="18">
        <v>9963</v>
      </c>
      <c r="C4" s="18" t="s">
        <v>1312</v>
      </c>
      <c r="D4" s="18" t="s">
        <v>1313</v>
      </c>
      <c r="E4" s="18" t="s">
        <v>1303</v>
      </c>
      <c r="F4" s="18" t="s">
        <v>1314</v>
      </c>
      <c r="G4" s="18" t="s">
        <v>1315</v>
      </c>
      <c r="H4" s="18" t="s">
        <v>318</v>
      </c>
      <c r="I4" s="18" t="s">
        <v>930</v>
      </c>
      <c r="J4" s="18" t="s">
        <v>30</v>
      </c>
      <c r="K4" s="18" t="s">
        <v>30</v>
      </c>
      <c r="L4" s="4" t="s">
        <v>324</v>
      </c>
      <c r="M4" s="18" t="s">
        <v>41</v>
      </c>
      <c r="N4" s="20" t="s">
        <v>1316</v>
      </c>
      <c r="O4" s="20" t="s">
        <v>134</v>
      </c>
      <c r="P4" s="18" t="s">
        <v>34</v>
      </c>
      <c r="Q4" s="154">
        <v>3697494.06</v>
      </c>
      <c r="R4" s="176">
        <v>1</v>
      </c>
      <c r="S4" s="177">
        <v>69.400000000000006</v>
      </c>
      <c r="T4" s="154">
        <v>2566.0610000000001</v>
      </c>
      <c r="U4" s="178">
        <v>1.1941E-2</v>
      </c>
      <c r="V4" s="178">
        <v>0.33494679183711801</v>
      </c>
      <c r="W4" s="178">
        <v>2.38697713376521E-3</v>
      </c>
    </row>
    <row r="5" spans="1:23">
      <c r="A5" s="18">
        <v>337</v>
      </c>
      <c r="B5" s="18">
        <v>9963</v>
      </c>
      <c r="C5" s="18" t="s">
        <v>1308</v>
      </c>
      <c r="D5" s="18" t="s">
        <v>1309</v>
      </c>
      <c r="E5" s="18" t="s">
        <v>311</v>
      </c>
      <c r="F5" s="18" t="s">
        <v>1310</v>
      </c>
      <c r="G5" s="18" t="s">
        <v>1311</v>
      </c>
      <c r="H5" s="18" t="s">
        <v>318</v>
      </c>
      <c r="I5" s="18" t="s">
        <v>930</v>
      </c>
      <c r="J5" s="18" t="s">
        <v>79</v>
      </c>
      <c r="K5" s="18" t="s">
        <v>243</v>
      </c>
      <c r="L5" s="4" t="s">
        <v>324</v>
      </c>
      <c r="M5" s="18" t="s">
        <v>164</v>
      </c>
      <c r="N5" s="20" t="s">
        <v>733</v>
      </c>
      <c r="O5" s="20" t="s">
        <v>134</v>
      </c>
      <c r="P5" s="18" t="s">
        <v>84</v>
      </c>
      <c r="Q5" s="154">
        <v>99852.88</v>
      </c>
      <c r="R5" s="176">
        <v>3.718</v>
      </c>
      <c r="S5" s="177">
        <v>1372.39</v>
      </c>
      <c r="T5" s="154">
        <v>5095.0389999999998</v>
      </c>
      <c r="U5" s="178">
        <v>4.3499999999999997E-3</v>
      </c>
      <c r="V5" s="178">
        <v>0.66505320816288205</v>
      </c>
      <c r="W5" s="178">
        <v>4.7394596374995598E-3</v>
      </c>
    </row>
    <row r="6" spans="1:23">
      <c r="A6" s="18">
        <v>337</v>
      </c>
      <c r="B6" s="18">
        <v>9964</v>
      </c>
      <c r="C6" s="18" t="s">
        <v>1308</v>
      </c>
      <c r="D6" s="18" t="s">
        <v>1309</v>
      </c>
      <c r="E6" s="18" t="s">
        <v>311</v>
      </c>
      <c r="F6" s="18" t="s">
        <v>1310</v>
      </c>
      <c r="G6" s="18" t="s">
        <v>1311</v>
      </c>
      <c r="H6" s="18" t="s">
        <v>318</v>
      </c>
      <c r="I6" s="18" t="s">
        <v>930</v>
      </c>
      <c r="J6" s="18" t="s">
        <v>79</v>
      </c>
      <c r="K6" s="18" t="s">
        <v>243</v>
      </c>
      <c r="L6" s="4" t="s">
        <v>324</v>
      </c>
      <c r="M6" s="18" t="s">
        <v>164</v>
      </c>
      <c r="N6" s="20" t="s">
        <v>733</v>
      </c>
      <c r="O6" s="20" t="s">
        <v>134</v>
      </c>
      <c r="P6" s="18" t="s">
        <v>84</v>
      </c>
      <c r="Q6" s="154">
        <v>2493.08</v>
      </c>
      <c r="R6" s="176">
        <v>3.718</v>
      </c>
      <c r="S6" s="177">
        <v>1372.39</v>
      </c>
      <c r="T6" s="154">
        <v>127.211</v>
      </c>
      <c r="U6" s="178">
        <v>1.0900000000000001E-4</v>
      </c>
      <c r="V6" s="178">
        <v>1</v>
      </c>
      <c r="W6" s="178">
        <v>3.4644144079585301E-3</v>
      </c>
    </row>
    <row r="7" spans="1:2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E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6</v>
      </c>
      <c r="J1" s="19" t="s">
        <v>7</v>
      </c>
      <c r="K1" s="19" t="s">
        <v>323</v>
      </c>
      <c r="L1" s="19" t="s">
        <v>8</v>
      </c>
      <c r="M1" s="19" t="s">
        <v>1116</v>
      </c>
      <c r="N1" s="19" t="s">
        <v>144</v>
      </c>
      <c r="O1" s="179" t="s">
        <v>1117</v>
      </c>
      <c r="P1" s="19" t="s">
        <v>120</v>
      </c>
      <c r="Q1" s="19" t="s">
        <v>11</v>
      </c>
      <c r="R1" s="168" t="s">
        <v>1118</v>
      </c>
      <c r="S1" s="19" t="s">
        <v>1119</v>
      </c>
      <c r="T1" s="19" t="s">
        <v>17</v>
      </c>
      <c r="U1" s="157" t="s">
        <v>18</v>
      </c>
      <c r="V1" s="168" t="s">
        <v>19</v>
      </c>
      <c r="W1" s="19" t="s">
        <v>20</v>
      </c>
      <c r="X1" s="163" t="s">
        <v>24</v>
      </c>
      <c r="Y1" s="163" t="s">
        <v>25</v>
      </c>
    </row>
    <row r="2" spans="1:25">
      <c r="A2" s="26">
        <v>337</v>
      </c>
      <c r="B2" s="20">
        <v>1405</v>
      </c>
      <c r="C2" s="20" t="s">
        <v>1497</v>
      </c>
      <c r="D2" s="20" t="s">
        <v>1498</v>
      </c>
      <c r="E2" s="18" t="s">
        <v>1303</v>
      </c>
      <c r="F2" s="20" t="s">
        <v>2521</v>
      </c>
      <c r="G2" s="20" t="s">
        <v>2522</v>
      </c>
      <c r="H2" s="18" t="s">
        <v>318</v>
      </c>
      <c r="I2" s="18" t="s">
        <v>30</v>
      </c>
      <c r="J2" s="18" t="s">
        <v>30</v>
      </c>
      <c r="K2" s="20" t="s">
        <v>324</v>
      </c>
      <c r="L2" s="18" t="s">
        <v>31</v>
      </c>
      <c r="M2" s="20" t="s">
        <v>1500</v>
      </c>
      <c r="N2" s="20" t="s">
        <v>460</v>
      </c>
      <c r="O2" s="180" t="s">
        <v>2523</v>
      </c>
      <c r="P2" s="20" t="s">
        <v>134</v>
      </c>
      <c r="Q2" s="18" t="s">
        <v>34</v>
      </c>
      <c r="R2" s="177">
        <v>58000</v>
      </c>
      <c r="S2" s="154">
        <v>1</v>
      </c>
      <c r="T2" s="153">
        <v>34</v>
      </c>
      <c r="U2" s="173">
        <v>1</v>
      </c>
      <c r="V2" s="174">
        <v>3573</v>
      </c>
      <c r="W2" s="153">
        <v>1.2150000000000001</v>
      </c>
      <c r="X2" s="172">
        <v>1</v>
      </c>
      <c r="Y2" s="172">
        <v>1.3252306883205199E-4</v>
      </c>
    </row>
    <row r="3" spans="1:25">
      <c r="A3" s="20">
        <v>337</v>
      </c>
      <c r="B3" s="20">
        <v>1477</v>
      </c>
      <c r="C3" s="20" t="s">
        <v>2353</v>
      </c>
      <c r="D3" s="20" t="s">
        <v>2354</v>
      </c>
      <c r="E3" s="18" t="s">
        <v>1303</v>
      </c>
      <c r="F3" s="20" t="s">
        <v>2524</v>
      </c>
      <c r="G3" s="20" t="s">
        <v>2525</v>
      </c>
      <c r="H3" s="18" t="s">
        <v>318</v>
      </c>
      <c r="I3" s="18" t="s">
        <v>30</v>
      </c>
      <c r="J3" s="18" t="s">
        <v>30</v>
      </c>
      <c r="K3" s="20" t="s">
        <v>324</v>
      </c>
      <c r="L3" s="18" t="s">
        <v>41</v>
      </c>
      <c r="M3" s="20" t="s">
        <v>2526</v>
      </c>
      <c r="N3" s="20" t="s">
        <v>437</v>
      </c>
      <c r="O3" s="180" t="s">
        <v>2527</v>
      </c>
      <c r="P3" s="20" t="s">
        <v>134</v>
      </c>
      <c r="Q3" s="18" t="s">
        <v>34</v>
      </c>
      <c r="R3" s="177">
        <v>8000</v>
      </c>
      <c r="S3" s="154">
        <v>0</v>
      </c>
      <c r="T3" s="153">
        <v>102</v>
      </c>
      <c r="U3" s="173">
        <v>1</v>
      </c>
      <c r="V3" s="174">
        <v>682.7</v>
      </c>
      <c r="W3" s="153">
        <v>0.69599999999999995</v>
      </c>
      <c r="X3" s="172">
        <v>0.99499327006335603</v>
      </c>
      <c r="Y3" s="172">
        <v>4.4010827143975099E-5</v>
      </c>
    </row>
    <row r="4" spans="1:25">
      <c r="A4" s="20">
        <v>337</v>
      </c>
      <c r="B4" s="20">
        <v>1477</v>
      </c>
      <c r="C4" s="20" t="s">
        <v>2528</v>
      </c>
      <c r="D4" s="20" t="s">
        <v>2529</v>
      </c>
      <c r="E4" s="18" t="s">
        <v>1303</v>
      </c>
      <c r="F4" s="20" t="s">
        <v>2530</v>
      </c>
      <c r="G4" s="20" t="s">
        <v>2531</v>
      </c>
      <c r="H4" s="18" t="s">
        <v>318</v>
      </c>
      <c r="I4" s="18" t="s">
        <v>79</v>
      </c>
      <c r="J4" s="18" t="s">
        <v>30</v>
      </c>
      <c r="K4" s="20" t="s">
        <v>324</v>
      </c>
      <c r="L4" s="18" t="s">
        <v>41</v>
      </c>
      <c r="M4" s="20" t="s">
        <v>2532</v>
      </c>
      <c r="N4" s="20" t="s">
        <v>477</v>
      </c>
      <c r="O4" s="180" t="s">
        <v>2533</v>
      </c>
      <c r="P4" s="20" t="s">
        <v>134</v>
      </c>
      <c r="Q4" s="18" t="s">
        <v>34</v>
      </c>
      <c r="R4" s="177">
        <v>1415</v>
      </c>
      <c r="S4" s="154">
        <v>0</v>
      </c>
      <c r="T4" s="153">
        <v>73</v>
      </c>
      <c r="U4" s="173">
        <v>1</v>
      </c>
      <c r="V4" s="174">
        <v>4.8</v>
      </c>
      <c r="W4" s="153">
        <v>4.0000000000000001E-3</v>
      </c>
      <c r="X4" s="172">
        <v>5.0067299366442896E-3</v>
      </c>
      <c r="Y4" s="172">
        <v>2.21459111762823E-7</v>
      </c>
    </row>
    <row r="5" spans="1:25">
      <c r="A5" s="20">
        <v>337</v>
      </c>
      <c r="B5" s="20">
        <v>9962</v>
      </c>
      <c r="C5" s="20" t="s">
        <v>2353</v>
      </c>
      <c r="D5" s="20" t="s">
        <v>2354</v>
      </c>
      <c r="E5" s="18" t="s">
        <v>1303</v>
      </c>
      <c r="F5" s="20" t="s">
        <v>2524</v>
      </c>
      <c r="G5" s="20" t="s">
        <v>2525</v>
      </c>
      <c r="H5" s="18" t="s">
        <v>318</v>
      </c>
      <c r="I5" s="18" t="s">
        <v>30</v>
      </c>
      <c r="J5" s="18" t="s">
        <v>30</v>
      </c>
      <c r="K5" s="20" t="s">
        <v>324</v>
      </c>
      <c r="L5" s="18" t="s">
        <v>41</v>
      </c>
      <c r="M5" s="20" t="s">
        <v>2526</v>
      </c>
      <c r="N5" s="20" t="s">
        <v>437</v>
      </c>
      <c r="O5" s="180" t="s">
        <v>2527</v>
      </c>
      <c r="P5" s="20" t="s">
        <v>134</v>
      </c>
      <c r="Q5" s="18" t="s">
        <v>34</v>
      </c>
      <c r="R5" s="177">
        <v>8000</v>
      </c>
      <c r="S5" s="154">
        <v>0</v>
      </c>
      <c r="T5" s="153">
        <v>156</v>
      </c>
      <c r="U5" s="173">
        <v>1</v>
      </c>
      <c r="V5" s="174">
        <v>682.7</v>
      </c>
      <c r="W5" s="153">
        <v>1.0649999999999999</v>
      </c>
      <c r="X5" s="172">
        <v>0.22547151596447401</v>
      </c>
      <c r="Y5" s="172">
        <v>2.7823932182063902E-5</v>
      </c>
    </row>
    <row r="6" spans="1:25">
      <c r="A6" s="20">
        <v>337</v>
      </c>
      <c r="B6" s="20">
        <v>9962</v>
      </c>
      <c r="C6" s="20" t="s">
        <v>1497</v>
      </c>
      <c r="D6" s="20" t="s">
        <v>1498</v>
      </c>
      <c r="E6" s="18" t="s">
        <v>1303</v>
      </c>
      <c r="F6" s="20" t="s">
        <v>2521</v>
      </c>
      <c r="G6" s="20" t="s">
        <v>2522</v>
      </c>
      <c r="H6" s="18" t="s">
        <v>318</v>
      </c>
      <c r="I6" s="18" t="s">
        <v>30</v>
      </c>
      <c r="J6" s="18" t="s">
        <v>30</v>
      </c>
      <c r="K6" s="20" t="s">
        <v>324</v>
      </c>
      <c r="L6" s="18" t="s">
        <v>31</v>
      </c>
      <c r="M6" s="20" t="s">
        <v>1500</v>
      </c>
      <c r="N6" s="20" t="s">
        <v>460</v>
      </c>
      <c r="O6" s="180" t="s">
        <v>2523</v>
      </c>
      <c r="P6" s="20" t="s">
        <v>134</v>
      </c>
      <c r="Q6" s="18" t="s">
        <v>34</v>
      </c>
      <c r="R6" s="177">
        <v>58000</v>
      </c>
      <c r="S6" s="154">
        <v>1</v>
      </c>
      <c r="T6" s="153">
        <v>102</v>
      </c>
      <c r="U6" s="173">
        <v>1</v>
      </c>
      <c r="V6" s="174">
        <v>3573</v>
      </c>
      <c r="W6" s="153">
        <v>3.6440000000000001</v>
      </c>
      <c r="X6" s="172">
        <v>0.77156118529357998</v>
      </c>
      <c r="Y6" s="172">
        <v>9.5213206874894004E-5</v>
      </c>
    </row>
    <row r="7" spans="1:25">
      <c r="A7" s="20">
        <v>337</v>
      </c>
      <c r="B7" s="20">
        <v>9962</v>
      </c>
      <c r="C7" s="20" t="s">
        <v>2528</v>
      </c>
      <c r="D7" s="20" t="s">
        <v>2529</v>
      </c>
      <c r="E7" s="18" t="s">
        <v>1303</v>
      </c>
      <c r="F7" s="20" t="s">
        <v>2530</v>
      </c>
      <c r="G7" s="20" t="s">
        <v>2531</v>
      </c>
      <c r="H7" s="18" t="s">
        <v>318</v>
      </c>
      <c r="I7" s="18" t="s">
        <v>79</v>
      </c>
      <c r="J7" s="18" t="s">
        <v>30</v>
      </c>
      <c r="K7" s="20" t="s">
        <v>324</v>
      </c>
      <c r="L7" s="18" t="s">
        <v>41</v>
      </c>
      <c r="M7" s="20" t="s">
        <v>2532</v>
      </c>
      <c r="N7" s="20" t="s">
        <v>477</v>
      </c>
      <c r="O7" s="180" t="s">
        <v>2533</v>
      </c>
      <c r="P7" s="20" t="s">
        <v>134</v>
      </c>
      <c r="Q7" s="18" t="s">
        <v>34</v>
      </c>
      <c r="R7" s="177">
        <v>1415</v>
      </c>
      <c r="S7" s="154">
        <v>0</v>
      </c>
      <c r="T7" s="153">
        <v>292</v>
      </c>
      <c r="U7" s="173">
        <v>1</v>
      </c>
      <c r="V7" s="174">
        <v>4.8</v>
      </c>
      <c r="W7" s="153">
        <v>1.4E-2</v>
      </c>
      <c r="X7" s="172">
        <v>2.9672987419466302E-3</v>
      </c>
      <c r="Y7" s="172">
        <v>3.66174497060885E-7</v>
      </c>
    </row>
    <row r="8" spans="1:25">
      <c r="A8" s="20">
        <v>337</v>
      </c>
      <c r="B8" s="20">
        <v>9963</v>
      </c>
      <c r="C8" s="20" t="s">
        <v>2353</v>
      </c>
      <c r="D8" s="20" t="s">
        <v>2354</v>
      </c>
      <c r="E8" s="18" t="s">
        <v>1303</v>
      </c>
      <c r="F8" s="20" t="s">
        <v>2524</v>
      </c>
      <c r="G8" s="20" t="s">
        <v>2525</v>
      </c>
      <c r="H8" s="18" t="s">
        <v>318</v>
      </c>
      <c r="I8" s="18" t="s">
        <v>30</v>
      </c>
      <c r="J8" s="18" t="s">
        <v>30</v>
      </c>
      <c r="K8" s="20" t="s">
        <v>324</v>
      </c>
      <c r="L8" s="18" t="s">
        <v>41</v>
      </c>
      <c r="M8" s="20" t="s">
        <v>2526</v>
      </c>
      <c r="N8" s="20" t="s">
        <v>437</v>
      </c>
      <c r="O8" s="180" t="s">
        <v>2527</v>
      </c>
      <c r="P8" s="20" t="s">
        <v>134</v>
      </c>
      <c r="Q8" s="18" t="s">
        <v>34</v>
      </c>
      <c r="R8" s="177">
        <v>8000</v>
      </c>
      <c r="S8" s="154">
        <v>0</v>
      </c>
      <c r="T8" s="153">
        <v>5766</v>
      </c>
      <c r="U8" s="173">
        <v>1</v>
      </c>
      <c r="V8" s="174">
        <v>682.7</v>
      </c>
      <c r="W8" s="153">
        <v>39.363999999999997</v>
      </c>
      <c r="X8" s="172">
        <v>0.187798898295576</v>
      </c>
      <c r="Y8" s="172">
        <v>3.6617260032789597E-5</v>
      </c>
    </row>
    <row r="9" spans="1:25">
      <c r="A9" s="20">
        <v>337</v>
      </c>
      <c r="B9" s="20">
        <v>9963</v>
      </c>
      <c r="C9" s="20" t="s">
        <v>1497</v>
      </c>
      <c r="D9" s="20" t="s">
        <v>1498</v>
      </c>
      <c r="E9" s="18" t="s">
        <v>1303</v>
      </c>
      <c r="F9" s="20" t="s">
        <v>2521</v>
      </c>
      <c r="G9" s="20" t="s">
        <v>2522</v>
      </c>
      <c r="H9" s="18" t="s">
        <v>318</v>
      </c>
      <c r="I9" s="18" t="s">
        <v>30</v>
      </c>
      <c r="J9" s="18" t="s">
        <v>30</v>
      </c>
      <c r="K9" s="20" t="s">
        <v>324</v>
      </c>
      <c r="L9" s="18" t="s">
        <v>31</v>
      </c>
      <c r="M9" s="20" t="s">
        <v>1500</v>
      </c>
      <c r="N9" s="20" t="s">
        <v>460</v>
      </c>
      <c r="O9" s="180" t="s">
        <v>2523</v>
      </c>
      <c r="P9" s="20" t="s">
        <v>134</v>
      </c>
      <c r="Q9" s="18" t="s">
        <v>34</v>
      </c>
      <c r="R9" s="177">
        <v>58000</v>
      </c>
      <c r="S9" s="154">
        <v>1</v>
      </c>
      <c r="T9" s="153">
        <v>4743</v>
      </c>
      <c r="U9" s="173">
        <v>1</v>
      </c>
      <c r="V9" s="174">
        <v>3573</v>
      </c>
      <c r="W9" s="153">
        <v>169.46700000000001</v>
      </c>
      <c r="X9" s="172">
        <v>0.80848997680260704</v>
      </c>
      <c r="Y9" s="172">
        <v>1.57640369475919E-4</v>
      </c>
    </row>
    <row r="10" spans="1:25">
      <c r="A10" s="20">
        <v>337</v>
      </c>
      <c r="B10" s="20">
        <v>9963</v>
      </c>
      <c r="C10" s="20" t="s">
        <v>2528</v>
      </c>
      <c r="D10" s="20" t="s">
        <v>2529</v>
      </c>
      <c r="E10" s="18" t="s">
        <v>1303</v>
      </c>
      <c r="F10" s="20" t="s">
        <v>2530</v>
      </c>
      <c r="G10" s="20" t="s">
        <v>2531</v>
      </c>
      <c r="H10" s="18" t="s">
        <v>318</v>
      </c>
      <c r="I10" s="18" t="s">
        <v>79</v>
      </c>
      <c r="J10" s="18" t="s">
        <v>30</v>
      </c>
      <c r="K10" s="20" t="s">
        <v>324</v>
      </c>
      <c r="L10" s="18" t="s">
        <v>41</v>
      </c>
      <c r="M10" s="20" t="s">
        <v>2532</v>
      </c>
      <c r="N10" s="20" t="s">
        <v>477</v>
      </c>
      <c r="O10" s="180" t="s">
        <v>2533</v>
      </c>
      <c r="P10" s="20" t="s">
        <v>134</v>
      </c>
      <c r="Q10" s="18" t="s">
        <v>34</v>
      </c>
      <c r="R10" s="177">
        <v>1415</v>
      </c>
      <c r="S10" s="154">
        <v>0</v>
      </c>
      <c r="T10" s="153">
        <v>16206</v>
      </c>
      <c r="U10" s="173">
        <v>1</v>
      </c>
      <c r="V10" s="174">
        <v>4.8</v>
      </c>
      <c r="W10" s="153">
        <v>0.77800000000000002</v>
      </c>
      <c r="X10" s="172">
        <v>3.71112490181755E-3</v>
      </c>
      <c r="Y10" s="172">
        <v>7.2359969508519404E-7</v>
      </c>
    </row>
    <row r="11" spans="1:25">
      <c r="A11" s="26">
        <v>337</v>
      </c>
      <c r="B11" s="20">
        <v>9964</v>
      </c>
      <c r="C11" s="20" t="s">
        <v>2353</v>
      </c>
      <c r="D11" s="20" t="s">
        <v>2354</v>
      </c>
      <c r="E11" s="18" t="s">
        <v>1303</v>
      </c>
      <c r="F11" s="20" t="s">
        <v>2524</v>
      </c>
      <c r="G11" s="20" t="s">
        <v>2525</v>
      </c>
      <c r="H11" s="18" t="s">
        <v>318</v>
      </c>
      <c r="I11" s="18" t="s">
        <v>30</v>
      </c>
      <c r="J11" s="18" t="s">
        <v>30</v>
      </c>
      <c r="K11" s="20" t="s">
        <v>324</v>
      </c>
      <c r="L11" s="18" t="s">
        <v>41</v>
      </c>
      <c r="M11" s="20" t="s">
        <v>2526</v>
      </c>
      <c r="N11" s="20" t="s">
        <v>437</v>
      </c>
      <c r="O11" s="180" t="s">
        <v>2527</v>
      </c>
      <c r="P11" s="20" t="s">
        <v>134</v>
      </c>
      <c r="Q11" s="18" t="s">
        <v>34</v>
      </c>
      <c r="R11" s="177">
        <v>8000</v>
      </c>
      <c r="S11" s="154">
        <v>0</v>
      </c>
      <c r="T11" s="153">
        <v>204</v>
      </c>
      <c r="U11" s="173">
        <v>1</v>
      </c>
      <c r="V11" s="174">
        <v>682.7</v>
      </c>
      <c r="W11" s="153">
        <v>1.393</v>
      </c>
      <c r="X11" s="172">
        <v>0.27533711650328802</v>
      </c>
      <c r="Y11" s="172">
        <v>3.7928595526090003E-5</v>
      </c>
    </row>
    <row r="12" spans="1:25">
      <c r="A12" s="20">
        <v>337</v>
      </c>
      <c r="B12" s="20">
        <v>9964</v>
      </c>
      <c r="C12" s="20" t="s">
        <v>1497</v>
      </c>
      <c r="D12" s="20" t="s">
        <v>1498</v>
      </c>
      <c r="E12" s="18" t="s">
        <v>1303</v>
      </c>
      <c r="F12" s="20" t="s">
        <v>2521</v>
      </c>
      <c r="G12" s="20" t="s">
        <v>2522</v>
      </c>
      <c r="H12" s="18" t="s">
        <v>318</v>
      </c>
      <c r="I12" s="18" t="s">
        <v>30</v>
      </c>
      <c r="J12" s="18" t="s">
        <v>30</v>
      </c>
      <c r="K12" s="20" t="s">
        <v>324</v>
      </c>
      <c r="L12" s="18" t="s">
        <v>31</v>
      </c>
      <c r="M12" s="20" t="s">
        <v>1500</v>
      </c>
      <c r="N12" s="20" t="s">
        <v>460</v>
      </c>
      <c r="O12" s="180" t="s">
        <v>2523</v>
      </c>
      <c r="P12" s="20" t="s">
        <v>134</v>
      </c>
      <c r="Q12" s="18" t="s">
        <v>34</v>
      </c>
      <c r="R12" s="177">
        <v>58000</v>
      </c>
      <c r="S12" s="154">
        <v>1</v>
      </c>
      <c r="T12" s="153">
        <v>102</v>
      </c>
      <c r="U12" s="173">
        <v>1</v>
      </c>
      <c r="V12" s="174">
        <v>3573</v>
      </c>
      <c r="W12" s="153">
        <v>3.6440000000000001</v>
      </c>
      <c r="X12" s="172">
        <v>0.72050645764336396</v>
      </c>
      <c r="Y12" s="172">
        <v>9.9252139896528096E-5</v>
      </c>
    </row>
    <row r="13" spans="1:25">
      <c r="A13" s="20">
        <v>337</v>
      </c>
      <c r="B13" s="20">
        <v>9964</v>
      </c>
      <c r="C13" s="20" t="s">
        <v>2528</v>
      </c>
      <c r="D13" s="20" t="s">
        <v>2529</v>
      </c>
      <c r="E13" s="18" t="s">
        <v>1303</v>
      </c>
      <c r="F13" s="20" t="s">
        <v>2530</v>
      </c>
      <c r="G13" s="20" t="s">
        <v>2531</v>
      </c>
      <c r="H13" s="18" t="s">
        <v>318</v>
      </c>
      <c r="I13" s="18" t="s">
        <v>79</v>
      </c>
      <c r="J13" s="18" t="s">
        <v>30</v>
      </c>
      <c r="K13" s="20" t="s">
        <v>324</v>
      </c>
      <c r="L13" s="18" t="s">
        <v>41</v>
      </c>
      <c r="M13" s="20" t="s">
        <v>2532</v>
      </c>
      <c r="N13" s="20" t="s">
        <v>477</v>
      </c>
      <c r="O13" s="180" t="s">
        <v>2533</v>
      </c>
      <c r="P13" s="20" t="s">
        <v>134</v>
      </c>
      <c r="Q13" s="18" t="s">
        <v>34</v>
      </c>
      <c r="R13" s="177">
        <v>1415</v>
      </c>
      <c r="S13" s="154">
        <v>0</v>
      </c>
      <c r="T13" s="153">
        <v>438</v>
      </c>
      <c r="U13" s="173">
        <v>1</v>
      </c>
      <c r="V13" s="174">
        <v>4.8</v>
      </c>
      <c r="W13" s="153">
        <v>2.1000000000000001E-2</v>
      </c>
      <c r="X13" s="172">
        <v>4.1564258533483903E-3</v>
      </c>
      <c r="Y13" s="172">
        <v>5.7256136414849002E-7</v>
      </c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144</v>
      </c>
      <c r="N1" s="19" t="s">
        <v>171</v>
      </c>
      <c r="O1" s="19" t="s">
        <v>1117</v>
      </c>
      <c r="P1" s="19" t="s">
        <v>120</v>
      </c>
      <c r="Q1" s="19" t="s">
        <v>11</v>
      </c>
      <c r="R1" s="19" t="s">
        <v>1118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I27" sqref="I27"/>
    </sheetView>
  </sheetViews>
  <sheetFormatPr defaultColWidth="9" defaultRowHeight="14.25"/>
  <cols>
    <col min="1" max="2" width="11.625" style="2" customWidth="1"/>
    <col min="3" max="3" width="18.625" style="2" customWidth="1"/>
    <col min="4" max="4" width="11.625" style="2" customWidth="1"/>
    <col min="5" max="5" width="11.625" style="4" customWidth="1"/>
    <col min="6" max="6" width="39.75" style="2" customWidth="1"/>
    <col min="7" max="11" width="11.625" style="2" customWidth="1"/>
    <col min="12" max="12" width="17.75" style="2" customWidth="1"/>
    <col min="13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6</v>
      </c>
      <c r="J1" s="19" t="s">
        <v>7</v>
      </c>
      <c r="K1" s="19" t="s">
        <v>8</v>
      </c>
      <c r="L1" s="19" t="s">
        <v>171</v>
      </c>
      <c r="M1" s="19" t="s">
        <v>120</v>
      </c>
      <c r="N1" s="19" t="s">
        <v>11</v>
      </c>
      <c r="O1" s="19" t="s">
        <v>17</v>
      </c>
      <c r="P1" s="157" t="s">
        <v>18</v>
      </c>
      <c r="Q1" s="168" t="s">
        <v>19</v>
      </c>
      <c r="R1" s="19" t="s">
        <v>20</v>
      </c>
      <c r="S1" s="163" t="s">
        <v>24</v>
      </c>
      <c r="T1" s="163" t="s">
        <v>25</v>
      </c>
    </row>
    <row r="2" spans="1:20">
      <c r="A2" s="20">
        <v>337</v>
      </c>
      <c r="B2" s="20">
        <v>1477</v>
      </c>
      <c r="C2" s="2" t="s">
        <v>2509</v>
      </c>
      <c r="D2" s="2" t="s">
        <v>2510</v>
      </c>
      <c r="E2" s="18" t="s">
        <v>33</v>
      </c>
      <c r="F2" s="20" t="s">
        <v>2511</v>
      </c>
      <c r="G2" s="20" t="s">
        <v>2512</v>
      </c>
      <c r="H2" s="18" t="s">
        <v>164</v>
      </c>
      <c r="I2" s="18" t="s">
        <v>79</v>
      </c>
      <c r="J2" s="18" t="s">
        <v>80</v>
      </c>
      <c r="K2" s="18" t="s">
        <v>359</v>
      </c>
      <c r="L2" s="20" t="s">
        <v>745</v>
      </c>
      <c r="M2" s="20" t="s">
        <v>134</v>
      </c>
      <c r="N2" s="18" t="s">
        <v>84</v>
      </c>
      <c r="O2" s="153">
        <v>21</v>
      </c>
      <c r="P2" s="173">
        <v>3.718</v>
      </c>
      <c r="Q2" s="174">
        <v>5653.25</v>
      </c>
      <c r="R2" s="153">
        <v>-17.762</v>
      </c>
      <c r="S2" s="172">
        <v>1</v>
      </c>
      <c r="T2" s="172">
        <v>-1.12259870766216E-3</v>
      </c>
    </row>
    <row r="3" spans="1:20">
      <c r="A3" s="20">
        <v>337</v>
      </c>
      <c r="B3" s="20">
        <v>9962</v>
      </c>
      <c r="C3" s="2" t="s">
        <v>2509</v>
      </c>
      <c r="D3" s="2" t="s">
        <v>2510</v>
      </c>
      <c r="E3" s="18" t="s">
        <v>33</v>
      </c>
      <c r="F3" s="20" t="s">
        <v>2511</v>
      </c>
      <c r="G3" s="20" t="s">
        <v>2512</v>
      </c>
      <c r="H3" s="18" t="s">
        <v>164</v>
      </c>
      <c r="I3" s="18" t="s">
        <v>79</v>
      </c>
      <c r="J3" s="18" t="s">
        <v>80</v>
      </c>
      <c r="K3" s="18" t="s">
        <v>359</v>
      </c>
      <c r="L3" s="20" t="s">
        <v>745</v>
      </c>
      <c r="M3" s="20" t="s">
        <v>134</v>
      </c>
      <c r="N3" s="18" t="s">
        <v>84</v>
      </c>
      <c r="O3" s="153">
        <v>40</v>
      </c>
      <c r="P3" s="173">
        <v>3.718</v>
      </c>
      <c r="Q3" s="174">
        <v>5653.25</v>
      </c>
      <c r="R3" s="153">
        <v>-28.998999999999999</v>
      </c>
      <c r="S3" s="172">
        <v>0.96873781246661905</v>
      </c>
      <c r="T3" s="172">
        <v>-7.5760615385140598E-4</v>
      </c>
    </row>
    <row r="4" spans="1:20">
      <c r="A4" s="20">
        <v>337</v>
      </c>
      <c r="B4" s="20">
        <v>9962</v>
      </c>
      <c r="C4" s="2" t="s">
        <v>2509</v>
      </c>
      <c r="D4" s="2" t="s">
        <v>2510</v>
      </c>
      <c r="E4" s="18" t="s">
        <v>33</v>
      </c>
      <c r="F4" s="20" t="s">
        <v>2513</v>
      </c>
      <c r="G4" s="20" t="s">
        <v>2514</v>
      </c>
      <c r="H4" s="18" t="s">
        <v>164</v>
      </c>
      <c r="I4" s="18" t="s">
        <v>79</v>
      </c>
      <c r="J4" s="18" t="s">
        <v>80</v>
      </c>
      <c r="K4" s="18" t="s">
        <v>359</v>
      </c>
      <c r="L4" s="20" t="s">
        <v>745</v>
      </c>
      <c r="M4" s="20" t="s">
        <v>134</v>
      </c>
      <c r="N4" s="18" t="s">
        <v>84</v>
      </c>
      <c r="O4" s="153">
        <v>2</v>
      </c>
      <c r="P4" s="173">
        <v>3.718</v>
      </c>
      <c r="Q4" s="174">
        <v>19439.5</v>
      </c>
      <c r="R4" s="153">
        <v>-7.1520000000000001</v>
      </c>
      <c r="S4" s="172">
        <v>0.238919125702063</v>
      </c>
      <c r="T4" s="172">
        <v>-1.8684787315547999E-4</v>
      </c>
    </row>
    <row r="5" spans="1:20">
      <c r="A5" s="20">
        <v>337</v>
      </c>
      <c r="B5" s="20">
        <v>9962</v>
      </c>
      <c r="C5" s="2" t="s">
        <v>2509</v>
      </c>
      <c r="D5" s="2" t="s">
        <v>2510</v>
      </c>
      <c r="E5" s="18" t="s">
        <v>33</v>
      </c>
      <c r="F5" s="20" t="s">
        <v>2515</v>
      </c>
      <c r="G5" s="20" t="s">
        <v>2516</v>
      </c>
      <c r="H5" s="18" t="s">
        <v>164</v>
      </c>
      <c r="I5" s="18" t="s">
        <v>79</v>
      </c>
      <c r="J5" s="18" t="s">
        <v>80</v>
      </c>
      <c r="K5" s="18" t="s">
        <v>357</v>
      </c>
      <c r="L5" s="20" t="s">
        <v>749</v>
      </c>
      <c r="M5" s="20" t="s">
        <v>134</v>
      </c>
      <c r="N5" s="18" t="s">
        <v>84</v>
      </c>
      <c r="O5" s="153">
        <v>1</v>
      </c>
      <c r="P5" s="173">
        <v>3.718</v>
      </c>
      <c r="Q5" s="174">
        <v>114.125</v>
      </c>
      <c r="R5" s="153">
        <v>6.2160000000000002</v>
      </c>
      <c r="S5" s="172">
        <v>-0.207656938168682</v>
      </c>
      <c r="T5" s="172">
        <v>1.6239912618457399E-4</v>
      </c>
    </row>
    <row r="6" spans="1:20">
      <c r="A6" s="20">
        <v>337</v>
      </c>
      <c r="B6" s="20">
        <v>9963</v>
      </c>
      <c r="C6" s="2" t="s">
        <v>2509</v>
      </c>
      <c r="D6" s="2" t="s">
        <v>2510</v>
      </c>
      <c r="E6" s="18" t="s">
        <v>33</v>
      </c>
      <c r="F6" s="20" t="s">
        <v>2517</v>
      </c>
      <c r="G6" s="20" t="s">
        <v>2518</v>
      </c>
      <c r="H6" s="18" t="s">
        <v>164</v>
      </c>
      <c r="I6" s="18" t="s">
        <v>79</v>
      </c>
      <c r="J6" s="18" t="s">
        <v>80</v>
      </c>
      <c r="K6" s="18" t="s">
        <v>359</v>
      </c>
      <c r="L6" s="20" t="s">
        <v>745</v>
      </c>
      <c r="M6" s="20" t="s">
        <v>134</v>
      </c>
      <c r="N6" s="18" t="s">
        <v>84</v>
      </c>
      <c r="O6" s="153">
        <v>10</v>
      </c>
      <c r="P6" s="173">
        <v>3.718</v>
      </c>
      <c r="Q6" s="174">
        <v>19439.5</v>
      </c>
      <c r="R6" s="153">
        <v>-357.63400000000001</v>
      </c>
      <c r="S6" s="172">
        <v>0.40747510733341102</v>
      </c>
      <c r="T6" s="172">
        <v>-3.3267534306220402E-4</v>
      </c>
    </row>
    <row r="7" spans="1:20">
      <c r="A7" s="20">
        <v>337</v>
      </c>
      <c r="B7" s="20">
        <v>9963</v>
      </c>
      <c r="C7" s="2" t="s">
        <v>2509</v>
      </c>
      <c r="D7" s="2" t="s">
        <v>2510</v>
      </c>
      <c r="E7" s="18" t="s">
        <v>33</v>
      </c>
      <c r="F7" s="20" t="s">
        <v>2519</v>
      </c>
      <c r="G7" s="20" t="s">
        <v>2520</v>
      </c>
      <c r="H7" s="18" t="s">
        <v>164</v>
      </c>
      <c r="I7" s="18" t="s">
        <v>79</v>
      </c>
      <c r="J7" s="18" t="s">
        <v>80</v>
      </c>
      <c r="K7" s="18" t="s">
        <v>359</v>
      </c>
      <c r="L7" s="20" t="s">
        <v>745</v>
      </c>
      <c r="M7" s="20" t="s">
        <v>134</v>
      </c>
      <c r="N7" s="18" t="s">
        <v>84</v>
      </c>
      <c r="O7" s="153">
        <v>102</v>
      </c>
      <c r="P7" s="173">
        <v>3.718</v>
      </c>
      <c r="Q7" s="174">
        <v>5653.25</v>
      </c>
      <c r="R7" s="153">
        <v>-737.61400000000003</v>
      </c>
      <c r="S7" s="172">
        <v>0.84040946609704303</v>
      </c>
      <c r="T7" s="172">
        <v>-6.8613641033485697E-4</v>
      </c>
    </row>
    <row r="8" spans="1:20">
      <c r="A8" s="20">
        <v>337</v>
      </c>
      <c r="B8" s="20">
        <v>9963</v>
      </c>
      <c r="C8" s="2" t="s">
        <v>2509</v>
      </c>
      <c r="D8" s="2" t="s">
        <v>2510</v>
      </c>
      <c r="E8" s="18" t="s">
        <v>33</v>
      </c>
      <c r="F8" s="20" t="s">
        <v>2515</v>
      </c>
      <c r="G8" s="20" t="s">
        <v>2516</v>
      </c>
      <c r="H8" s="18" t="s">
        <v>164</v>
      </c>
      <c r="I8" s="18" t="s">
        <v>79</v>
      </c>
      <c r="J8" s="18" t="s">
        <v>80</v>
      </c>
      <c r="K8" s="18" t="s">
        <v>357</v>
      </c>
      <c r="L8" s="20" t="s">
        <v>749</v>
      </c>
      <c r="M8" s="20" t="s">
        <v>134</v>
      </c>
      <c r="N8" s="18" t="s">
        <v>84</v>
      </c>
      <c r="O8" s="153">
        <v>35</v>
      </c>
      <c r="P8" s="173">
        <v>3.718</v>
      </c>
      <c r="Q8" s="174">
        <v>114.125</v>
      </c>
      <c r="R8" s="153">
        <v>217.56399999999999</v>
      </c>
      <c r="S8" s="172">
        <v>-0.247884573430454</v>
      </c>
      <c r="T8" s="172">
        <v>2.0238067067573801E-4</v>
      </c>
    </row>
    <row r="9" spans="1:20">
      <c r="A9" s="20">
        <v>337</v>
      </c>
      <c r="B9" s="20">
        <v>9964</v>
      </c>
      <c r="C9" s="2" t="s">
        <v>2509</v>
      </c>
      <c r="D9" s="2" t="s">
        <v>2510</v>
      </c>
      <c r="E9" s="18" t="s">
        <v>33</v>
      </c>
      <c r="F9" s="20" t="s">
        <v>2511</v>
      </c>
      <c r="G9" s="20" t="s">
        <v>2512</v>
      </c>
      <c r="H9" s="18" t="s">
        <v>164</v>
      </c>
      <c r="I9" s="18" t="s">
        <v>79</v>
      </c>
      <c r="J9" s="18" t="s">
        <v>80</v>
      </c>
      <c r="K9" s="18" t="s">
        <v>359</v>
      </c>
      <c r="L9" s="20" t="s">
        <v>745</v>
      </c>
      <c r="M9" s="20" t="s">
        <v>134</v>
      </c>
      <c r="N9" s="18" t="s">
        <v>84</v>
      </c>
      <c r="O9" s="153">
        <v>9</v>
      </c>
      <c r="P9" s="173">
        <v>3.718</v>
      </c>
      <c r="Q9" s="174">
        <v>5653.25</v>
      </c>
      <c r="R9" s="153">
        <v>-6.5250000000000004</v>
      </c>
      <c r="S9" s="172">
        <v>21.143130805648699</v>
      </c>
      <c r="T9" s="172">
        <v>-1.7769233647544E-4</v>
      </c>
    </row>
    <row r="10" spans="1:20">
      <c r="A10" s="20">
        <v>337</v>
      </c>
      <c r="B10" s="20">
        <v>9964</v>
      </c>
      <c r="C10" s="2" t="s">
        <v>2509</v>
      </c>
      <c r="D10" s="2" t="s">
        <v>2510</v>
      </c>
      <c r="E10" s="18" t="s">
        <v>33</v>
      </c>
      <c r="F10" s="20" t="s">
        <v>2515</v>
      </c>
      <c r="G10" s="20" t="s">
        <v>2516</v>
      </c>
      <c r="H10" s="18" t="s">
        <v>164</v>
      </c>
      <c r="I10" s="18" t="s">
        <v>79</v>
      </c>
      <c r="J10" s="18" t="s">
        <v>80</v>
      </c>
      <c r="K10" s="18" t="s">
        <v>357</v>
      </c>
      <c r="L10" s="20" t="s">
        <v>749</v>
      </c>
      <c r="M10" s="20" t="s">
        <v>134</v>
      </c>
      <c r="N10" s="18" t="s">
        <v>84</v>
      </c>
      <c r="O10" s="153">
        <v>1</v>
      </c>
      <c r="P10" s="173">
        <v>3.718</v>
      </c>
      <c r="Q10" s="174">
        <v>114.125</v>
      </c>
      <c r="R10" s="153">
        <v>6.2160000000000002</v>
      </c>
      <c r="S10" s="172">
        <v>-20.143130805648699</v>
      </c>
      <c r="T10" s="172">
        <v>1.69288077990317E-4</v>
      </c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1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8</v>
      </c>
      <c r="N1" s="19" t="s">
        <v>171</v>
      </c>
      <c r="O1" s="19" t="s">
        <v>120</v>
      </c>
      <c r="P1" s="19" t="s">
        <v>12</v>
      </c>
      <c r="Q1" s="139" t="s">
        <v>14</v>
      </c>
      <c r="R1" s="19" t="s">
        <v>15</v>
      </c>
      <c r="S1" s="19" t="s">
        <v>9</v>
      </c>
      <c r="T1" s="19" t="s">
        <v>10</v>
      </c>
      <c r="U1" s="19" t="s">
        <v>172</v>
      </c>
      <c r="V1" s="19" t="s">
        <v>11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18"/>
      <c r="N2" s="20"/>
      <c r="O2" s="20"/>
      <c r="P2" s="20"/>
      <c r="Q2" s="144"/>
      <c r="R2" s="20"/>
      <c r="S2" s="20"/>
      <c r="T2" s="20"/>
      <c r="U2" s="20"/>
      <c r="V2" s="18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18"/>
      <c r="N3" s="20"/>
      <c r="O3" s="20"/>
      <c r="P3" s="20"/>
      <c r="Q3" s="144"/>
      <c r="R3" s="20"/>
      <c r="S3" s="20"/>
      <c r="T3" s="20"/>
      <c r="U3" s="20"/>
      <c r="V3" s="18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18"/>
      <c r="N4" s="20"/>
      <c r="O4" s="20"/>
      <c r="P4" s="20"/>
      <c r="Q4" s="144"/>
      <c r="R4" s="20"/>
      <c r="S4" s="20"/>
      <c r="T4" s="20"/>
      <c r="U4" s="20"/>
      <c r="V4" s="18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4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4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4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4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4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4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4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4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4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4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4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4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4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4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4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0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143</v>
      </c>
      <c r="G1" s="19" t="s">
        <v>5</v>
      </c>
      <c r="H1" s="19" t="s">
        <v>6</v>
      </c>
      <c r="I1" s="19" t="s">
        <v>7</v>
      </c>
      <c r="J1" s="19" t="s">
        <v>152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3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6"/>
      <c r="L2" s="20"/>
      <c r="M2" s="18"/>
      <c r="N2" s="20"/>
      <c r="O2" s="20"/>
      <c r="P2" s="144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4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4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3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4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4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4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4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4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4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4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4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4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4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4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4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4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4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1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152</v>
      </c>
      <c r="G1" s="19" t="s">
        <v>12</v>
      </c>
      <c r="H1" s="19" t="s">
        <v>751</v>
      </c>
      <c r="I1" s="19" t="s">
        <v>13</v>
      </c>
      <c r="J1" s="13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4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4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4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4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4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4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4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4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4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4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4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4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4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4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4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4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4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4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1121</v>
      </c>
      <c r="B1" s="19" t="s">
        <v>1</v>
      </c>
      <c r="C1" s="19" t="s">
        <v>5</v>
      </c>
      <c r="D1" s="19" t="s">
        <v>1122</v>
      </c>
      <c r="E1" s="19" t="s">
        <v>1123</v>
      </c>
      <c r="F1" s="19" t="s">
        <v>1124</v>
      </c>
      <c r="G1" s="19" t="s">
        <v>25</v>
      </c>
      <c r="H1" s="11"/>
    </row>
    <row r="2" spans="1:8">
      <c r="A2" s="20"/>
      <c r="B2" s="20"/>
      <c r="C2" s="20"/>
      <c r="D2" s="121"/>
      <c r="G2" s="26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144</v>
      </c>
      <c r="M1" s="19" t="s">
        <v>120</v>
      </c>
      <c r="N1" s="19" t="s">
        <v>152</v>
      </c>
      <c r="O1" s="19" t="s">
        <v>9</v>
      </c>
      <c r="P1" s="19" t="s">
        <v>10</v>
      </c>
      <c r="Q1" s="19" t="s">
        <v>172</v>
      </c>
      <c r="R1" s="19" t="s">
        <v>11</v>
      </c>
      <c r="S1" s="19" t="s">
        <v>12</v>
      </c>
      <c r="T1" s="19" t="s">
        <v>751</v>
      </c>
      <c r="U1" s="19" t="s">
        <v>908</v>
      </c>
      <c r="V1" s="19" t="s">
        <v>13</v>
      </c>
      <c r="W1" s="19" t="s">
        <v>14</v>
      </c>
      <c r="X1" s="19" t="s">
        <v>15</v>
      </c>
      <c r="Y1" s="19" t="s">
        <v>407</v>
      </c>
      <c r="Z1" s="19" t="s">
        <v>829</v>
      </c>
      <c r="AA1" s="19" t="s">
        <v>145</v>
      </c>
      <c r="AB1" s="19" t="s">
        <v>146</v>
      </c>
      <c r="AC1" s="19" t="s">
        <v>158</v>
      </c>
      <c r="AD1" s="19" t="s">
        <v>129</v>
      </c>
      <c r="AE1" s="19" t="s">
        <v>147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160</v>
      </c>
      <c r="AL1" s="19" t="s">
        <v>22</v>
      </c>
      <c r="AM1" s="19" t="s">
        <v>24</v>
      </c>
      <c r="AN1" s="19" t="s">
        <v>25</v>
      </c>
    </row>
    <row r="2" spans="1:40">
      <c r="A2" s="26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6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0"/>
  <sheetViews>
    <sheetView rightToLeft="1" topLeftCell="T1" zoomScale="70" zoomScaleNormal="70" workbookViewId="0">
      <selection activeCell="AG43" sqref="AG43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87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6.7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144</v>
      </c>
      <c r="N1" s="19" t="s">
        <v>120</v>
      </c>
      <c r="O1" s="179" t="s">
        <v>152</v>
      </c>
      <c r="P1" s="19" t="s">
        <v>9</v>
      </c>
      <c r="Q1" s="19" t="s">
        <v>10</v>
      </c>
      <c r="R1" s="19" t="s">
        <v>172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407</v>
      </c>
      <c r="Y1" s="19" t="s">
        <v>829</v>
      </c>
      <c r="Z1" s="19" t="s">
        <v>145</v>
      </c>
      <c r="AA1" s="19" t="s">
        <v>146</v>
      </c>
      <c r="AB1" s="179" t="s">
        <v>129</v>
      </c>
      <c r="AC1" s="179" t="s">
        <v>147</v>
      </c>
      <c r="AD1" s="19" t="s">
        <v>17</v>
      </c>
      <c r="AE1" s="157" t="s">
        <v>18</v>
      </c>
      <c r="AF1" s="168" t="s">
        <v>19</v>
      </c>
      <c r="AG1" s="19" t="s">
        <v>20</v>
      </c>
      <c r="AH1" s="19" t="s">
        <v>21</v>
      </c>
      <c r="AI1" s="19" t="s">
        <v>160</v>
      </c>
      <c r="AJ1" s="19" t="s">
        <v>22</v>
      </c>
      <c r="AK1" s="163" t="s">
        <v>24</v>
      </c>
      <c r="AL1" s="163" t="s">
        <v>25</v>
      </c>
    </row>
    <row r="2" spans="1:38">
      <c r="A2" s="2">
        <v>337</v>
      </c>
      <c r="B2" s="20">
        <v>1405</v>
      </c>
      <c r="C2" s="20" t="s">
        <v>2819</v>
      </c>
      <c r="D2" s="20" t="s">
        <v>2820</v>
      </c>
      <c r="E2" s="18" t="s">
        <v>309</v>
      </c>
      <c r="F2" s="20" t="s">
        <v>2821</v>
      </c>
      <c r="G2" s="20" t="s">
        <v>2822</v>
      </c>
      <c r="H2" s="20" t="s">
        <v>318</v>
      </c>
      <c r="I2" s="20" t="s">
        <v>965</v>
      </c>
      <c r="J2" s="18" t="s">
        <v>30</v>
      </c>
      <c r="K2" s="18" t="s">
        <v>30</v>
      </c>
      <c r="L2" s="20" t="s">
        <v>325</v>
      </c>
      <c r="M2" s="20" t="s">
        <v>447</v>
      </c>
      <c r="N2" s="20" t="s">
        <v>134</v>
      </c>
      <c r="O2" s="180" t="s">
        <v>2823</v>
      </c>
      <c r="P2" s="20" t="s">
        <v>1848</v>
      </c>
      <c r="Q2" s="20" t="s">
        <v>410</v>
      </c>
      <c r="R2" s="20" t="s">
        <v>403</v>
      </c>
      <c r="S2" s="18" t="s">
        <v>34</v>
      </c>
      <c r="T2" s="153">
        <v>2.15</v>
      </c>
      <c r="U2" s="20" t="s">
        <v>2192</v>
      </c>
      <c r="V2" s="172">
        <v>5.5500000000000001E-2</v>
      </c>
      <c r="W2" s="164">
        <v>2.86E-2</v>
      </c>
      <c r="X2" s="18" t="s">
        <v>409</v>
      </c>
      <c r="Y2" s="18" t="s">
        <v>134</v>
      </c>
      <c r="Z2" s="20" t="s">
        <v>892</v>
      </c>
      <c r="AA2" s="20" t="s">
        <v>895</v>
      </c>
      <c r="AB2" s="181" t="s">
        <v>135</v>
      </c>
      <c r="AC2" s="20"/>
      <c r="AD2" s="153">
        <v>7428.58</v>
      </c>
      <c r="AE2" s="173">
        <v>1</v>
      </c>
      <c r="AF2" s="174">
        <v>95.21</v>
      </c>
      <c r="AG2" s="153">
        <v>7.0730000000000004</v>
      </c>
      <c r="AH2" s="20"/>
      <c r="AI2" s="26"/>
      <c r="AJ2" s="20" t="s">
        <v>36</v>
      </c>
      <c r="AK2" s="164">
        <v>3.9742978045240802E-2</v>
      </c>
      <c r="AL2" s="164">
        <v>7.7155683145682696E-4</v>
      </c>
    </row>
    <row r="3" spans="1:38">
      <c r="A3" s="20">
        <v>337</v>
      </c>
      <c r="B3" s="20">
        <v>1405</v>
      </c>
      <c r="C3" s="20" t="s">
        <v>2824</v>
      </c>
      <c r="D3" s="20" t="s">
        <v>2825</v>
      </c>
      <c r="E3" s="18" t="s">
        <v>1303</v>
      </c>
      <c r="F3" s="20" t="s">
        <v>2826</v>
      </c>
      <c r="G3" s="20" t="s">
        <v>2827</v>
      </c>
      <c r="H3" s="20" t="s">
        <v>318</v>
      </c>
      <c r="I3" s="20" t="s">
        <v>965</v>
      </c>
      <c r="J3" s="18" t="s">
        <v>30</v>
      </c>
      <c r="K3" s="18" t="s">
        <v>30</v>
      </c>
      <c r="L3" s="20" t="s">
        <v>325</v>
      </c>
      <c r="M3" s="20" t="s">
        <v>447</v>
      </c>
      <c r="N3" s="20" t="s">
        <v>134</v>
      </c>
      <c r="O3" s="180" t="s">
        <v>2828</v>
      </c>
      <c r="P3" s="20" t="s">
        <v>1862</v>
      </c>
      <c r="Q3" s="20" t="s">
        <v>429</v>
      </c>
      <c r="R3" s="20" t="s">
        <v>403</v>
      </c>
      <c r="S3" s="18" t="s">
        <v>34</v>
      </c>
      <c r="T3" s="153">
        <v>1.8</v>
      </c>
      <c r="U3" s="20" t="s">
        <v>1910</v>
      </c>
      <c r="V3" s="172">
        <v>5.6599999999999998E-2</v>
      </c>
      <c r="W3" s="164">
        <v>4.4699999999999997E-2</v>
      </c>
      <c r="X3" s="18" t="s">
        <v>409</v>
      </c>
      <c r="Y3" s="18" t="s">
        <v>134</v>
      </c>
      <c r="Z3" s="20" t="s">
        <v>892</v>
      </c>
      <c r="AA3" s="20" t="s">
        <v>2566</v>
      </c>
      <c r="AB3" s="181" t="s">
        <v>135</v>
      </c>
      <c r="AC3" s="20"/>
      <c r="AD3" s="153">
        <v>32714.49</v>
      </c>
      <c r="AE3" s="173">
        <v>1</v>
      </c>
      <c r="AF3" s="174">
        <v>99.15</v>
      </c>
      <c r="AG3" s="153">
        <v>32.436</v>
      </c>
      <c r="AH3" s="20"/>
      <c r="AI3" s="20"/>
      <c r="AJ3" s="20" t="s">
        <v>36</v>
      </c>
      <c r="AK3" s="164">
        <v>0.18226568401162399</v>
      </c>
      <c r="AL3" s="164">
        <v>3.53844479090717E-3</v>
      </c>
    </row>
    <row r="4" spans="1:38">
      <c r="A4" s="20">
        <v>337</v>
      </c>
      <c r="B4" s="20">
        <v>1405</v>
      </c>
      <c r="C4" s="20" t="s">
        <v>2829</v>
      </c>
      <c r="D4" s="20" t="s">
        <v>2830</v>
      </c>
      <c r="E4" s="18" t="s">
        <v>1303</v>
      </c>
      <c r="F4" s="20" t="s">
        <v>2831</v>
      </c>
      <c r="G4" s="20" t="s">
        <v>2832</v>
      </c>
      <c r="H4" s="20" t="s">
        <v>318</v>
      </c>
      <c r="I4" s="20" t="s">
        <v>965</v>
      </c>
      <c r="J4" s="18" t="s">
        <v>30</v>
      </c>
      <c r="K4" s="18" t="s">
        <v>30</v>
      </c>
      <c r="L4" s="20" t="s">
        <v>164</v>
      </c>
      <c r="M4" s="20" t="s">
        <v>447</v>
      </c>
      <c r="N4" s="20" t="s">
        <v>134</v>
      </c>
      <c r="O4" s="181" t="s">
        <v>2833</v>
      </c>
      <c r="P4" s="20" t="s">
        <v>2057</v>
      </c>
      <c r="Q4" s="20" t="s">
        <v>412</v>
      </c>
      <c r="R4" s="20" t="s">
        <v>403</v>
      </c>
      <c r="S4" s="20" t="s">
        <v>34</v>
      </c>
      <c r="T4" s="153">
        <v>1.83</v>
      </c>
      <c r="U4" s="20" t="s">
        <v>2834</v>
      </c>
      <c r="V4" s="172">
        <v>5.0999999999999997E-2</v>
      </c>
      <c r="W4" s="164">
        <v>2.1000000000000001E-2</v>
      </c>
      <c r="X4" s="18" t="s">
        <v>409</v>
      </c>
      <c r="Y4" s="18" t="s">
        <v>134</v>
      </c>
      <c r="Z4" s="20" t="s">
        <v>164</v>
      </c>
      <c r="AA4" s="20" t="s">
        <v>2566</v>
      </c>
      <c r="AB4" s="181" t="s">
        <v>135</v>
      </c>
      <c r="AD4" s="151">
        <v>22714.32</v>
      </c>
      <c r="AE4" s="173">
        <v>1</v>
      </c>
      <c r="AF4" s="174">
        <v>95.05</v>
      </c>
      <c r="AG4" s="153">
        <v>21.59</v>
      </c>
      <c r="AH4" s="20"/>
      <c r="AI4" s="20"/>
      <c r="AJ4" s="20" t="s">
        <v>36</v>
      </c>
      <c r="AK4" s="164">
        <v>0.121317624527679</v>
      </c>
      <c r="AL4" s="164">
        <v>2.3552196283301401E-3</v>
      </c>
    </row>
    <row r="5" spans="1:38">
      <c r="A5" s="20">
        <v>337</v>
      </c>
      <c r="B5" s="20">
        <v>1405</v>
      </c>
      <c r="C5" s="20" t="s">
        <v>2835</v>
      </c>
      <c r="D5" s="20" t="s">
        <v>2836</v>
      </c>
      <c r="E5" s="18" t="s">
        <v>1303</v>
      </c>
      <c r="F5" s="20" t="s">
        <v>2837</v>
      </c>
      <c r="G5" s="20" t="s">
        <v>2838</v>
      </c>
      <c r="H5" s="20" t="s">
        <v>318</v>
      </c>
      <c r="I5" s="20" t="s">
        <v>965</v>
      </c>
      <c r="J5" s="18" t="s">
        <v>30</v>
      </c>
      <c r="K5" s="18" t="s">
        <v>30</v>
      </c>
      <c r="L5" s="20" t="s">
        <v>164</v>
      </c>
      <c r="M5" s="20" t="s">
        <v>460</v>
      </c>
      <c r="N5" s="20" t="s">
        <v>134</v>
      </c>
      <c r="O5" s="180" t="s">
        <v>2839</v>
      </c>
      <c r="P5" s="20" t="s">
        <v>2840</v>
      </c>
      <c r="Q5" s="20" t="s">
        <v>412</v>
      </c>
      <c r="R5" s="20" t="s">
        <v>403</v>
      </c>
      <c r="S5" s="18" t="s">
        <v>34</v>
      </c>
      <c r="T5" s="153">
        <v>1.21</v>
      </c>
      <c r="U5" s="20" t="s">
        <v>2841</v>
      </c>
      <c r="V5" s="172">
        <v>4.9200000000000001E-2</v>
      </c>
      <c r="W5" s="164">
        <v>3.1E-2</v>
      </c>
      <c r="X5" s="18" t="s">
        <v>409</v>
      </c>
      <c r="Y5" s="18" t="s">
        <v>134</v>
      </c>
      <c r="Z5" s="20" t="s">
        <v>892</v>
      </c>
      <c r="AA5" s="20" t="s">
        <v>2566</v>
      </c>
      <c r="AB5" s="181" t="s">
        <v>135</v>
      </c>
      <c r="AC5" s="20"/>
      <c r="AD5" s="153">
        <v>10891.38</v>
      </c>
      <c r="AE5" s="173">
        <v>1</v>
      </c>
      <c r="AF5" s="174">
        <v>97.94</v>
      </c>
      <c r="AG5" s="151">
        <v>10.667</v>
      </c>
      <c r="AJ5" s="20" t="s">
        <v>36</v>
      </c>
      <c r="AK5" s="164">
        <v>5.9939766590578099E-2</v>
      </c>
      <c r="AL5" s="164">
        <v>1.16365050289497E-3</v>
      </c>
    </row>
    <row r="6" spans="1:38">
      <c r="A6" s="20">
        <v>337</v>
      </c>
      <c r="B6" s="20">
        <v>1405</v>
      </c>
      <c r="C6" s="20" t="s">
        <v>2842</v>
      </c>
      <c r="D6" s="20" t="s">
        <v>2843</v>
      </c>
      <c r="E6" s="18" t="s">
        <v>1303</v>
      </c>
      <c r="F6" s="20" t="s">
        <v>2844</v>
      </c>
      <c r="G6" s="20" t="s">
        <v>2845</v>
      </c>
      <c r="H6" s="20" t="s">
        <v>318</v>
      </c>
      <c r="I6" s="20" t="s">
        <v>965</v>
      </c>
      <c r="J6" s="18" t="s">
        <v>30</v>
      </c>
      <c r="K6" s="18" t="s">
        <v>30</v>
      </c>
      <c r="L6" s="20" t="s">
        <v>164</v>
      </c>
      <c r="M6" s="20" t="s">
        <v>475</v>
      </c>
      <c r="N6" s="20" t="s">
        <v>134</v>
      </c>
      <c r="O6" s="180" t="s">
        <v>2846</v>
      </c>
      <c r="P6" s="20" t="s">
        <v>2173</v>
      </c>
      <c r="Q6" s="20" t="s">
        <v>412</v>
      </c>
      <c r="R6" s="20" t="s">
        <v>403</v>
      </c>
      <c r="S6" s="18" t="s">
        <v>34</v>
      </c>
      <c r="T6" s="153">
        <v>0.57999999999999996</v>
      </c>
      <c r="U6" s="20" t="s">
        <v>2847</v>
      </c>
      <c r="V6" s="172">
        <v>6.13E-2</v>
      </c>
      <c r="W6" s="164">
        <v>6.5000000000000002E-2</v>
      </c>
      <c r="X6" s="18" t="s">
        <v>409</v>
      </c>
      <c r="Y6" s="18" t="s">
        <v>134</v>
      </c>
      <c r="Z6" s="20" t="s">
        <v>892</v>
      </c>
      <c r="AA6" s="20" t="s">
        <v>895</v>
      </c>
      <c r="AB6" s="181" t="s">
        <v>135</v>
      </c>
      <c r="AC6" s="20"/>
      <c r="AD6" s="153">
        <v>4997.6099999999997</v>
      </c>
      <c r="AE6" s="173">
        <v>1</v>
      </c>
      <c r="AF6" s="174">
        <v>100.45</v>
      </c>
      <c r="AG6" s="151">
        <v>5.0199999999999996</v>
      </c>
      <c r="AJ6" s="20" t="s">
        <v>36</v>
      </c>
      <c r="AK6" s="164">
        <v>2.8208782349499702E-2</v>
      </c>
      <c r="AL6" s="164">
        <v>5.4763582900254303E-4</v>
      </c>
    </row>
    <row r="7" spans="1:38">
      <c r="A7" s="20">
        <v>337</v>
      </c>
      <c r="B7" s="20">
        <v>1405</v>
      </c>
      <c r="C7" s="20" t="s">
        <v>2848</v>
      </c>
      <c r="D7" s="20" t="s">
        <v>2849</v>
      </c>
      <c r="E7" s="18" t="s">
        <v>1303</v>
      </c>
      <c r="F7" s="20" t="s">
        <v>2850</v>
      </c>
      <c r="G7" s="20" t="s">
        <v>2851</v>
      </c>
      <c r="H7" s="20" t="s">
        <v>318</v>
      </c>
      <c r="I7" s="20" t="s">
        <v>753</v>
      </c>
      <c r="J7" s="18" t="s">
        <v>30</v>
      </c>
      <c r="K7" s="18" t="s">
        <v>30</v>
      </c>
      <c r="L7" s="20" t="s">
        <v>164</v>
      </c>
      <c r="M7" s="20" t="s">
        <v>442</v>
      </c>
      <c r="N7" s="20" t="s">
        <v>134</v>
      </c>
      <c r="O7" s="180" t="s">
        <v>2852</v>
      </c>
      <c r="P7" s="20" t="s">
        <v>1176</v>
      </c>
      <c r="Q7" s="20" t="s">
        <v>410</v>
      </c>
      <c r="R7" s="20" t="s">
        <v>403</v>
      </c>
      <c r="S7" s="18" t="s">
        <v>34</v>
      </c>
      <c r="T7" s="153">
        <v>4.62</v>
      </c>
      <c r="U7" s="20" t="s">
        <v>2853</v>
      </c>
      <c r="V7" s="172">
        <v>2.5600000000000001E-2</v>
      </c>
      <c r="W7" s="164">
        <v>2.1399999999999999E-2</v>
      </c>
      <c r="X7" s="18" t="s">
        <v>409</v>
      </c>
      <c r="Y7" s="18" t="s">
        <v>134</v>
      </c>
      <c r="Z7" s="20" t="s">
        <v>892</v>
      </c>
      <c r="AA7" s="20" t="s">
        <v>2566</v>
      </c>
      <c r="AB7" s="181" t="s">
        <v>135</v>
      </c>
      <c r="AC7" s="20"/>
      <c r="AD7" s="153">
        <v>27154.48</v>
      </c>
      <c r="AE7" s="173">
        <v>1</v>
      </c>
      <c r="AF7" s="174">
        <v>115.11</v>
      </c>
      <c r="AG7" s="153">
        <v>31.257999999999999</v>
      </c>
      <c r="AH7" s="20"/>
      <c r="AI7" s="20"/>
      <c r="AJ7" s="20" t="s">
        <v>36</v>
      </c>
      <c r="AK7" s="164">
        <v>0.17564127516599901</v>
      </c>
      <c r="AL7" s="164">
        <v>3.4098407418249E-3</v>
      </c>
    </row>
    <row r="8" spans="1:38">
      <c r="A8" s="20">
        <v>337</v>
      </c>
      <c r="B8" s="20">
        <v>1405</v>
      </c>
      <c r="C8" s="20" t="s">
        <v>2848</v>
      </c>
      <c r="D8" s="20" t="s">
        <v>2849</v>
      </c>
      <c r="E8" s="18" t="s">
        <v>1303</v>
      </c>
      <c r="F8" s="20" t="s">
        <v>2854</v>
      </c>
      <c r="G8" s="20" t="s">
        <v>2855</v>
      </c>
      <c r="H8" s="20" t="s">
        <v>318</v>
      </c>
      <c r="I8" s="20" t="s">
        <v>965</v>
      </c>
      <c r="J8" s="18" t="s">
        <v>30</v>
      </c>
      <c r="K8" s="18" t="s">
        <v>30</v>
      </c>
      <c r="L8" s="20" t="s">
        <v>325</v>
      </c>
      <c r="M8" s="20" t="s">
        <v>442</v>
      </c>
      <c r="N8" s="20" t="s">
        <v>134</v>
      </c>
      <c r="O8" s="180" t="s">
        <v>2852</v>
      </c>
      <c r="P8" s="20" t="s">
        <v>1176</v>
      </c>
      <c r="Q8" s="20" t="s">
        <v>410</v>
      </c>
      <c r="R8" s="20" t="s">
        <v>403</v>
      </c>
      <c r="S8" s="18" t="s">
        <v>34</v>
      </c>
      <c r="T8" s="153">
        <v>0.95</v>
      </c>
      <c r="U8" s="20" t="s">
        <v>2847</v>
      </c>
      <c r="V8" s="172">
        <v>4.8300000000000003E-2</v>
      </c>
      <c r="W8" s="164">
        <v>2.5000000000000001E-2</v>
      </c>
      <c r="X8" s="18" t="s">
        <v>409</v>
      </c>
      <c r="Y8" s="18" t="s">
        <v>134</v>
      </c>
      <c r="Z8" s="20" t="s">
        <v>892</v>
      </c>
      <c r="AA8" s="20" t="s">
        <v>2566</v>
      </c>
      <c r="AB8" s="181" t="s">
        <v>135</v>
      </c>
      <c r="AC8" s="20"/>
      <c r="AD8" s="153">
        <v>15973.12</v>
      </c>
      <c r="AE8" s="173">
        <v>1</v>
      </c>
      <c r="AF8" s="174">
        <v>98.01</v>
      </c>
      <c r="AG8" s="153">
        <v>15.654999999999999</v>
      </c>
      <c r="AH8" s="20"/>
      <c r="AI8" s="20"/>
      <c r="AJ8" s="20" t="s">
        <v>36</v>
      </c>
      <c r="AK8" s="164">
        <v>8.7969511534735603E-2</v>
      </c>
      <c r="AL8" s="164">
        <v>1.7078105598247501E-3</v>
      </c>
    </row>
    <row r="9" spans="1:38">
      <c r="A9" s="20">
        <v>337</v>
      </c>
      <c r="B9" s="20">
        <v>1405</v>
      </c>
      <c r="C9" s="20" t="s">
        <v>2848</v>
      </c>
      <c r="D9" s="20" t="s">
        <v>2849</v>
      </c>
      <c r="E9" s="18" t="s">
        <v>1303</v>
      </c>
      <c r="F9" s="20" t="s">
        <v>2856</v>
      </c>
      <c r="G9" s="20" t="s">
        <v>2857</v>
      </c>
      <c r="H9" s="20" t="s">
        <v>318</v>
      </c>
      <c r="I9" s="20" t="s">
        <v>965</v>
      </c>
      <c r="J9" s="18" t="s">
        <v>30</v>
      </c>
      <c r="K9" s="18" t="s">
        <v>30</v>
      </c>
      <c r="L9" s="20" t="s">
        <v>325</v>
      </c>
      <c r="M9" s="20" t="s">
        <v>442</v>
      </c>
      <c r="N9" s="20" t="s">
        <v>134</v>
      </c>
      <c r="O9" s="180" t="s">
        <v>2852</v>
      </c>
      <c r="P9" s="20" t="s">
        <v>1176</v>
      </c>
      <c r="Q9" s="20" t="s">
        <v>410</v>
      </c>
      <c r="R9" s="20" t="s">
        <v>403</v>
      </c>
      <c r="S9" s="18" t="s">
        <v>34</v>
      </c>
      <c r="T9" s="153">
        <v>4.3499999999999996</v>
      </c>
      <c r="U9" s="20" t="s">
        <v>2853</v>
      </c>
      <c r="V9" s="172">
        <v>5.0500000000000003E-2</v>
      </c>
      <c r="W9" s="164">
        <v>3.7400000000000003E-2</v>
      </c>
      <c r="X9" s="18" t="s">
        <v>409</v>
      </c>
      <c r="Y9" s="18" t="s">
        <v>134</v>
      </c>
      <c r="Z9" s="20" t="s">
        <v>892</v>
      </c>
      <c r="AA9" s="20" t="s">
        <v>2566</v>
      </c>
      <c r="AB9" s="181" t="s">
        <v>135</v>
      </c>
      <c r="AC9" s="20"/>
      <c r="AD9" s="153">
        <v>57167.360000000001</v>
      </c>
      <c r="AE9" s="173">
        <v>1</v>
      </c>
      <c r="AF9" s="174">
        <v>94.92</v>
      </c>
      <c r="AG9" s="153">
        <v>54.262999999999998</v>
      </c>
      <c r="AH9" s="20"/>
      <c r="AI9" s="20"/>
      <c r="AJ9" s="20" t="s">
        <v>36</v>
      </c>
      <c r="AK9" s="164">
        <v>0.30491437777464397</v>
      </c>
      <c r="AL9" s="164">
        <v>5.9195053504453397E-3</v>
      </c>
    </row>
    <row r="10" spans="1:38">
      <c r="A10" s="20">
        <v>337</v>
      </c>
      <c r="B10" s="20">
        <v>1477</v>
      </c>
      <c r="C10" s="20" t="s">
        <v>2819</v>
      </c>
      <c r="D10" s="20" t="s">
        <v>2820</v>
      </c>
      <c r="E10" s="18" t="s">
        <v>309</v>
      </c>
      <c r="F10" s="20" t="s">
        <v>2821</v>
      </c>
      <c r="G10" s="20" t="s">
        <v>2822</v>
      </c>
      <c r="H10" s="20" t="s">
        <v>318</v>
      </c>
      <c r="I10" s="20" t="s">
        <v>965</v>
      </c>
      <c r="J10" s="18" t="s">
        <v>30</v>
      </c>
      <c r="K10" s="18" t="s">
        <v>30</v>
      </c>
      <c r="L10" s="20" t="s">
        <v>325</v>
      </c>
      <c r="M10" s="20" t="s">
        <v>447</v>
      </c>
      <c r="N10" s="20" t="s">
        <v>134</v>
      </c>
      <c r="O10" s="180" t="s">
        <v>2823</v>
      </c>
      <c r="P10" s="20" t="s">
        <v>1848</v>
      </c>
      <c r="Q10" s="20" t="s">
        <v>410</v>
      </c>
      <c r="R10" s="20" t="s">
        <v>403</v>
      </c>
      <c r="S10" s="18" t="s">
        <v>34</v>
      </c>
      <c r="T10" s="153">
        <v>2.15</v>
      </c>
      <c r="U10" s="20" t="s">
        <v>2192</v>
      </c>
      <c r="V10" s="172">
        <v>5.5500000000000001E-2</v>
      </c>
      <c r="W10" s="164">
        <v>2.86E-2</v>
      </c>
      <c r="X10" s="18" t="s">
        <v>409</v>
      </c>
      <c r="Y10" s="18" t="s">
        <v>134</v>
      </c>
      <c r="Z10" s="20" t="s">
        <v>892</v>
      </c>
      <c r="AA10" s="20" t="s">
        <v>895</v>
      </c>
      <c r="AB10" s="181" t="s">
        <v>135</v>
      </c>
      <c r="AC10" s="20"/>
      <c r="AD10" s="153">
        <v>4571.42</v>
      </c>
      <c r="AE10" s="173">
        <v>1</v>
      </c>
      <c r="AF10" s="174">
        <v>95.21</v>
      </c>
      <c r="AG10" s="153">
        <v>4.3520000000000003</v>
      </c>
      <c r="AH10" s="20"/>
      <c r="AI10" s="20"/>
      <c r="AJ10" s="20" t="s">
        <v>36</v>
      </c>
      <c r="AK10" s="164">
        <v>0.52653165459339701</v>
      </c>
      <c r="AL10" s="164">
        <v>2.7508261573822002E-4</v>
      </c>
    </row>
    <row r="11" spans="1:38">
      <c r="A11" s="20">
        <v>337</v>
      </c>
      <c r="B11" s="20">
        <v>1477</v>
      </c>
      <c r="C11" s="20" t="s">
        <v>2848</v>
      </c>
      <c r="D11" s="20" t="s">
        <v>2849</v>
      </c>
      <c r="E11" s="18" t="s">
        <v>1303</v>
      </c>
      <c r="F11" s="20" t="s">
        <v>2854</v>
      </c>
      <c r="G11" s="20" t="s">
        <v>2855</v>
      </c>
      <c r="H11" s="20" t="s">
        <v>318</v>
      </c>
      <c r="I11" s="20" t="s">
        <v>965</v>
      </c>
      <c r="J11" s="18" t="s">
        <v>30</v>
      </c>
      <c r="K11" s="18" t="s">
        <v>30</v>
      </c>
      <c r="L11" s="20" t="s">
        <v>325</v>
      </c>
      <c r="M11" s="20" t="s">
        <v>442</v>
      </c>
      <c r="N11" s="20" t="s">
        <v>134</v>
      </c>
      <c r="O11" s="180" t="s">
        <v>2852</v>
      </c>
      <c r="P11" s="20" t="s">
        <v>1176</v>
      </c>
      <c r="Q11" s="20" t="s">
        <v>410</v>
      </c>
      <c r="R11" s="20" t="s">
        <v>403</v>
      </c>
      <c r="S11" s="18" t="s">
        <v>34</v>
      </c>
      <c r="T11" s="153">
        <v>0.95</v>
      </c>
      <c r="U11" s="20" t="s">
        <v>2847</v>
      </c>
      <c r="V11" s="172">
        <v>4.8300000000000003E-2</v>
      </c>
      <c r="W11" s="164">
        <v>2.5000000000000001E-2</v>
      </c>
      <c r="X11" s="18" t="s">
        <v>409</v>
      </c>
      <c r="Y11" s="18" t="s">
        <v>134</v>
      </c>
      <c r="Z11" s="20" t="s">
        <v>892</v>
      </c>
      <c r="AA11" s="20" t="s">
        <v>2566</v>
      </c>
      <c r="AB11" s="181" t="s">
        <v>135</v>
      </c>
      <c r="AC11" s="20"/>
      <c r="AD11" s="153">
        <v>3993.28</v>
      </c>
      <c r="AE11" s="173">
        <v>1</v>
      </c>
      <c r="AF11" s="174">
        <v>98.01</v>
      </c>
      <c r="AG11" s="153">
        <v>3.9140000000000001</v>
      </c>
      <c r="AH11" s="20"/>
      <c r="AI11" s="20"/>
      <c r="AJ11" s="20" t="s">
        <v>36</v>
      </c>
      <c r="AK11" s="164">
        <v>0.47346834540660299</v>
      </c>
      <c r="AL11" s="164">
        <v>2.4736007757078298E-4</v>
      </c>
    </row>
    <row r="12" spans="1:38">
      <c r="A12" s="20">
        <v>337</v>
      </c>
      <c r="B12" s="20">
        <v>9962</v>
      </c>
      <c r="C12" s="20" t="s">
        <v>2819</v>
      </c>
      <c r="D12" s="20" t="s">
        <v>2820</v>
      </c>
      <c r="E12" s="18" t="s">
        <v>309</v>
      </c>
      <c r="F12" s="20" t="s">
        <v>2821</v>
      </c>
      <c r="G12" s="20" t="s">
        <v>2822</v>
      </c>
      <c r="H12" s="20" t="s">
        <v>318</v>
      </c>
      <c r="I12" s="20" t="s">
        <v>965</v>
      </c>
      <c r="J12" s="18" t="s">
        <v>30</v>
      </c>
      <c r="K12" s="18" t="s">
        <v>30</v>
      </c>
      <c r="L12" s="20" t="s">
        <v>325</v>
      </c>
      <c r="M12" s="20" t="s">
        <v>447</v>
      </c>
      <c r="N12" s="20" t="s">
        <v>134</v>
      </c>
      <c r="O12" s="180" t="s">
        <v>2823</v>
      </c>
      <c r="P12" s="20" t="s">
        <v>1848</v>
      </c>
      <c r="Q12" s="20" t="s">
        <v>410</v>
      </c>
      <c r="R12" s="20" t="s">
        <v>403</v>
      </c>
      <c r="S12" s="18" t="s">
        <v>34</v>
      </c>
      <c r="T12" s="153">
        <v>2.15</v>
      </c>
      <c r="U12" s="20" t="s">
        <v>2192</v>
      </c>
      <c r="V12" s="172">
        <v>5.5500000000000001E-2</v>
      </c>
      <c r="W12" s="164">
        <v>2.86E-2</v>
      </c>
      <c r="X12" s="18" t="s">
        <v>409</v>
      </c>
      <c r="Y12" s="18" t="s">
        <v>134</v>
      </c>
      <c r="Z12" s="20" t="s">
        <v>892</v>
      </c>
      <c r="AA12" s="20" t="s">
        <v>895</v>
      </c>
      <c r="AB12" s="181" t="s">
        <v>135</v>
      </c>
      <c r="AC12" s="20"/>
      <c r="AD12" s="153">
        <v>10857.15</v>
      </c>
      <c r="AE12" s="173">
        <v>1</v>
      </c>
      <c r="AF12" s="174">
        <v>95.21</v>
      </c>
      <c r="AG12" s="153">
        <v>10.337</v>
      </c>
      <c r="AH12" s="20"/>
      <c r="AI12" s="20"/>
      <c r="AJ12" s="20" t="s">
        <v>36</v>
      </c>
      <c r="AK12" s="164">
        <v>4.44256385043484E-2</v>
      </c>
      <c r="AL12" s="164">
        <v>2.70061333672372E-4</v>
      </c>
    </row>
    <row r="13" spans="1:38">
      <c r="A13" s="20">
        <v>337</v>
      </c>
      <c r="B13" s="20">
        <v>9962</v>
      </c>
      <c r="C13" s="20" t="s">
        <v>2824</v>
      </c>
      <c r="D13" s="20" t="s">
        <v>2825</v>
      </c>
      <c r="E13" s="18" t="s">
        <v>1303</v>
      </c>
      <c r="F13" s="20" t="s">
        <v>2826</v>
      </c>
      <c r="G13" s="20" t="s">
        <v>2827</v>
      </c>
      <c r="H13" s="20" t="s">
        <v>318</v>
      </c>
      <c r="I13" s="20" t="s">
        <v>965</v>
      </c>
      <c r="J13" s="18" t="s">
        <v>30</v>
      </c>
      <c r="K13" s="18" t="s">
        <v>30</v>
      </c>
      <c r="L13" s="20" t="s">
        <v>325</v>
      </c>
      <c r="M13" s="20" t="s">
        <v>447</v>
      </c>
      <c r="N13" s="20" t="s">
        <v>134</v>
      </c>
      <c r="O13" s="180" t="s">
        <v>2828</v>
      </c>
      <c r="P13" s="20" t="s">
        <v>1862</v>
      </c>
      <c r="Q13" s="20" t="s">
        <v>429</v>
      </c>
      <c r="R13" s="20" t="s">
        <v>403</v>
      </c>
      <c r="S13" s="18" t="s">
        <v>34</v>
      </c>
      <c r="T13" s="153">
        <v>1.8</v>
      </c>
      <c r="U13" s="20" t="s">
        <v>1910</v>
      </c>
      <c r="V13" s="172">
        <v>5.6599999999999998E-2</v>
      </c>
      <c r="W13" s="164">
        <v>4.4699999999999997E-2</v>
      </c>
      <c r="X13" s="18" t="s">
        <v>409</v>
      </c>
      <c r="Y13" s="18" t="s">
        <v>134</v>
      </c>
      <c r="Z13" s="20" t="s">
        <v>892</v>
      </c>
      <c r="AA13" s="20" t="s">
        <v>2566</v>
      </c>
      <c r="AB13" s="181" t="s">
        <v>135</v>
      </c>
      <c r="AC13" s="20"/>
      <c r="AD13" s="153">
        <v>73644.19</v>
      </c>
      <c r="AE13" s="173">
        <v>1</v>
      </c>
      <c r="AF13" s="174">
        <v>99.15</v>
      </c>
      <c r="AG13" s="153">
        <v>73.018000000000001</v>
      </c>
      <c r="AH13" s="20"/>
      <c r="AI13" s="20"/>
      <c r="AJ13" s="20" t="s">
        <v>36</v>
      </c>
      <c r="AK13" s="164">
        <v>0.31380978662944897</v>
      </c>
      <c r="AL13" s="164">
        <v>1.9076346981101099E-3</v>
      </c>
    </row>
    <row r="14" spans="1:38">
      <c r="A14" s="20">
        <v>337</v>
      </c>
      <c r="B14" s="20">
        <v>9962</v>
      </c>
      <c r="C14" s="20" t="s">
        <v>2829</v>
      </c>
      <c r="D14" s="20" t="s">
        <v>2830</v>
      </c>
      <c r="E14" s="18" t="s">
        <v>1303</v>
      </c>
      <c r="F14" s="20" t="s">
        <v>2831</v>
      </c>
      <c r="G14" s="20" t="s">
        <v>2832</v>
      </c>
      <c r="H14" s="20" t="s">
        <v>318</v>
      </c>
      <c r="I14" s="20" t="s">
        <v>965</v>
      </c>
      <c r="J14" s="18" t="s">
        <v>30</v>
      </c>
      <c r="K14" s="18" t="s">
        <v>30</v>
      </c>
      <c r="L14" s="20" t="s">
        <v>164</v>
      </c>
      <c r="M14" s="20" t="s">
        <v>447</v>
      </c>
      <c r="N14" s="20" t="s">
        <v>134</v>
      </c>
      <c r="O14" s="180" t="s">
        <v>2833</v>
      </c>
      <c r="P14" s="20" t="s">
        <v>2057</v>
      </c>
      <c r="Q14" s="20" t="s">
        <v>412</v>
      </c>
      <c r="R14" s="20" t="s">
        <v>403</v>
      </c>
      <c r="S14" s="18" t="s">
        <v>34</v>
      </c>
      <c r="T14" s="153">
        <v>1.83</v>
      </c>
      <c r="U14" s="20" t="s">
        <v>2834</v>
      </c>
      <c r="V14" s="172">
        <v>5.0999999999999997E-2</v>
      </c>
      <c r="W14" s="164">
        <v>2.1000000000000001E-2</v>
      </c>
      <c r="X14" s="18" t="s">
        <v>409</v>
      </c>
      <c r="Y14" s="18" t="s">
        <v>134</v>
      </c>
      <c r="Z14" s="20" t="s">
        <v>164</v>
      </c>
      <c r="AA14" s="20" t="s">
        <v>2566</v>
      </c>
      <c r="AB14" s="181" t="s">
        <v>135</v>
      </c>
      <c r="AC14" s="20"/>
      <c r="AD14" s="153">
        <v>8571.44</v>
      </c>
      <c r="AE14" s="173">
        <v>1</v>
      </c>
      <c r="AF14" s="174">
        <v>95.05</v>
      </c>
      <c r="AG14" s="153">
        <v>8.1470000000000002</v>
      </c>
      <c r="AH14" s="20"/>
      <c r="AI14" s="20"/>
      <c r="AJ14" s="20" t="s">
        <v>36</v>
      </c>
      <c r="AK14" s="164">
        <v>3.5013956340128403E-2</v>
      </c>
      <c r="AL14" s="164">
        <v>2.12848167515605E-4</v>
      </c>
    </row>
    <row r="15" spans="1:38">
      <c r="A15" s="20">
        <v>337</v>
      </c>
      <c r="B15" s="20">
        <v>9962</v>
      </c>
      <c r="C15" s="20" t="s">
        <v>2835</v>
      </c>
      <c r="D15" s="20" t="s">
        <v>2836</v>
      </c>
      <c r="E15" s="18" t="s">
        <v>1303</v>
      </c>
      <c r="F15" s="20" t="s">
        <v>2837</v>
      </c>
      <c r="G15" s="20" t="s">
        <v>2838</v>
      </c>
      <c r="H15" s="20" t="s">
        <v>318</v>
      </c>
      <c r="I15" s="20" t="s">
        <v>965</v>
      </c>
      <c r="J15" s="18" t="s">
        <v>30</v>
      </c>
      <c r="K15" s="18" t="s">
        <v>30</v>
      </c>
      <c r="L15" s="20" t="s">
        <v>164</v>
      </c>
      <c r="M15" s="20" t="s">
        <v>460</v>
      </c>
      <c r="N15" s="20" t="s">
        <v>134</v>
      </c>
      <c r="O15" s="180" t="s">
        <v>2839</v>
      </c>
      <c r="P15" s="20" t="s">
        <v>2840</v>
      </c>
      <c r="Q15" s="20" t="s">
        <v>412</v>
      </c>
      <c r="R15" s="20" t="s">
        <v>403</v>
      </c>
      <c r="S15" s="18" t="s">
        <v>34</v>
      </c>
      <c r="T15" s="153">
        <v>1.21</v>
      </c>
      <c r="U15" s="20" t="s">
        <v>2841</v>
      </c>
      <c r="V15" s="172">
        <v>4.9200000000000001E-2</v>
      </c>
      <c r="W15" s="164">
        <v>3.1E-2</v>
      </c>
      <c r="X15" s="18" t="s">
        <v>409</v>
      </c>
      <c r="Y15" s="18" t="s">
        <v>134</v>
      </c>
      <c r="Z15" s="20" t="s">
        <v>892</v>
      </c>
      <c r="AA15" s="20" t="s">
        <v>2566</v>
      </c>
      <c r="AB15" s="181" t="s">
        <v>135</v>
      </c>
      <c r="AC15" s="20"/>
      <c r="AD15" s="153">
        <v>30200.31</v>
      </c>
      <c r="AE15" s="173">
        <v>1</v>
      </c>
      <c r="AF15" s="174">
        <v>97.94</v>
      </c>
      <c r="AG15" s="153">
        <v>29.577999999999999</v>
      </c>
      <c r="AH15" s="20"/>
      <c r="AI15" s="20"/>
      <c r="AJ15" s="20" t="s">
        <v>36</v>
      </c>
      <c r="AK15" s="164">
        <v>0.12711791937085201</v>
      </c>
      <c r="AL15" s="164">
        <v>7.7274375776476597E-4</v>
      </c>
    </row>
    <row r="16" spans="1:38">
      <c r="A16" s="20">
        <v>337</v>
      </c>
      <c r="B16" s="20">
        <v>9962</v>
      </c>
      <c r="C16" s="20" t="s">
        <v>2842</v>
      </c>
      <c r="D16" s="20" t="s">
        <v>2843</v>
      </c>
      <c r="E16" s="18" t="s">
        <v>1303</v>
      </c>
      <c r="F16" s="20" t="s">
        <v>2844</v>
      </c>
      <c r="G16" s="20" t="s">
        <v>2845</v>
      </c>
      <c r="H16" s="20" t="s">
        <v>318</v>
      </c>
      <c r="I16" s="20" t="s">
        <v>965</v>
      </c>
      <c r="J16" s="18" t="s">
        <v>30</v>
      </c>
      <c r="K16" s="18" t="s">
        <v>30</v>
      </c>
      <c r="L16" s="20" t="s">
        <v>164</v>
      </c>
      <c r="M16" s="20" t="s">
        <v>475</v>
      </c>
      <c r="N16" s="20" t="s">
        <v>134</v>
      </c>
      <c r="O16" s="180" t="s">
        <v>2846</v>
      </c>
      <c r="P16" s="20" t="s">
        <v>2173</v>
      </c>
      <c r="Q16" s="20" t="s">
        <v>412</v>
      </c>
      <c r="R16" s="20" t="s">
        <v>403</v>
      </c>
      <c r="S16" s="18" t="s">
        <v>34</v>
      </c>
      <c r="T16" s="153">
        <v>0.57999999999999996</v>
      </c>
      <c r="U16" s="20" t="s">
        <v>2847</v>
      </c>
      <c r="V16" s="172">
        <v>6.13E-2</v>
      </c>
      <c r="W16" s="164">
        <v>6.5000000000000002E-2</v>
      </c>
      <c r="X16" s="18" t="s">
        <v>409</v>
      </c>
      <c r="Y16" s="18" t="s">
        <v>134</v>
      </c>
      <c r="Z16" s="20" t="s">
        <v>892</v>
      </c>
      <c r="AA16" s="20" t="s">
        <v>895</v>
      </c>
      <c r="AB16" s="181" t="s">
        <v>135</v>
      </c>
      <c r="AC16" s="20"/>
      <c r="AD16" s="153">
        <v>10379.65</v>
      </c>
      <c r="AE16" s="173">
        <v>1</v>
      </c>
      <c r="AF16" s="174">
        <v>100.45</v>
      </c>
      <c r="AG16" s="153">
        <v>10.426</v>
      </c>
      <c r="AH16" s="20"/>
      <c r="AI16" s="20"/>
      <c r="AJ16" s="20" t="s">
        <v>36</v>
      </c>
      <c r="AK16" s="164">
        <v>4.4809275880396598E-2</v>
      </c>
      <c r="AL16" s="164">
        <v>2.7239344694997801E-4</v>
      </c>
    </row>
    <row r="17" spans="1:38">
      <c r="A17" s="20">
        <v>337</v>
      </c>
      <c r="B17" s="20">
        <v>9962</v>
      </c>
      <c r="C17" s="20" t="s">
        <v>2848</v>
      </c>
      <c r="D17" s="20" t="s">
        <v>2849</v>
      </c>
      <c r="E17" s="18" t="s">
        <v>1303</v>
      </c>
      <c r="F17" s="20" t="s">
        <v>2850</v>
      </c>
      <c r="G17" s="20" t="s">
        <v>2851</v>
      </c>
      <c r="H17" s="20" t="s">
        <v>318</v>
      </c>
      <c r="I17" s="20" t="s">
        <v>753</v>
      </c>
      <c r="J17" s="18" t="s">
        <v>30</v>
      </c>
      <c r="K17" s="18" t="s">
        <v>30</v>
      </c>
      <c r="L17" s="20" t="s">
        <v>164</v>
      </c>
      <c r="M17" s="20" t="s">
        <v>442</v>
      </c>
      <c r="N17" s="20" t="s">
        <v>134</v>
      </c>
      <c r="O17" s="180" t="s">
        <v>2852</v>
      </c>
      <c r="P17" s="20" t="s">
        <v>1176</v>
      </c>
      <c r="Q17" s="20" t="s">
        <v>410</v>
      </c>
      <c r="R17" s="20" t="s">
        <v>403</v>
      </c>
      <c r="S17" s="18" t="s">
        <v>34</v>
      </c>
      <c r="T17" s="153">
        <v>4.62</v>
      </c>
      <c r="U17" s="20" t="s">
        <v>2853</v>
      </c>
      <c r="V17" s="172">
        <v>2.5600000000000001E-2</v>
      </c>
      <c r="W17" s="164">
        <v>2.1399999999999999E-2</v>
      </c>
      <c r="X17" s="18" t="s">
        <v>409</v>
      </c>
      <c r="Y17" s="18" t="s">
        <v>134</v>
      </c>
      <c r="Z17" s="20" t="s">
        <v>892</v>
      </c>
      <c r="AA17" s="20" t="s">
        <v>2566</v>
      </c>
      <c r="AB17" s="181" t="s">
        <v>135</v>
      </c>
      <c r="AC17" s="20"/>
      <c r="AD17" s="153">
        <v>27154.48</v>
      </c>
      <c r="AE17" s="173">
        <v>1</v>
      </c>
      <c r="AF17" s="174">
        <v>115.11</v>
      </c>
      <c r="AG17" s="153">
        <v>31.257999999999999</v>
      </c>
      <c r="AH17" s="20"/>
      <c r="AI17" s="20"/>
      <c r="AJ17" s="20" t="s">
        <v>36</v>
      </c>
      <c r="AK17" s="164">
        <v>0.134335197996927</v>
      </c>
      <c r="AL17" s="164">
        <v>8.1661724966859196E-4</v>
      </c>
    </row>
    <row r="18" spans="1:38">
      <c r="A18" s="20">
        <v>337</v>
      </c>
      <c r="B18" s="20">
        <v>9962</v>
      </c>
      <c r="C18" s="20" t="s">
        <v>2848</v>
      </c>
      <c r="D18" s="20" t="s">
        <v>2849</v>
      </c>
      <c r="E18" s="18" t="s">
        <v>1303</v>
      </c>
      <c r="F18" s="20" t="s">
        <v>2854</v>
      </c>
      <c r="G18" s="20" t="s">
        <v>2855</v>
      </c>
      <c r="H18" s="20" t="s">
        <v>318</v>
      </c>
      <c r="I18" s="20" t="s">
        <v>965</v>
      </c>
      <c r="J18" s="18" t="s">
        <v>30</v>
      </c>
      <c r="K18" s="18" t="s">
        <v>30</v>
      </c>
      <c r="L18" s="20" t="s">
        <v>325</v>
      </c>
      <c r="M18" s="20" t="s">
        <v>442</v>
      </c>
      <c r="N18" s="20" t="s">
        <v>134</v>
      </c>
      <c r="O18" s="180" t="s">
        <v>2852</v>
      </c>
      <c r="P18" s="20" t="s">
        <v>1176</v>
      </c>
      <c r="Q18" s="20" t="s">
        <v>410</v>
      </c>
      <c r="R18" s="20" t="s">
        <v>403</v>
      </c>
      <c r="S18" s="18" t="s">
        <v>34</v>
      </c>
      <c r="T18" s="153">
        <v>0.95</v>
      </c>
      <c r="U18" s="20" t="s">
        <v>2847</v>
      </c>
      <c r="V18" s="172">
        <v>4.8300000000000003E-2</v>
      </c>
      <c r="W18" s="164">
        <v>2.5000000000000001E-2</v>
      </c>
      <c r="X18" s="18" t="s">
        <v>409</v>
      </c>
      <c r="Y18" s="18" t="s">
        <v>134</v>
      </c>
      <c r="Z18" s="20" t="s">
        <v>892</v>
      </c>
      <c r="AA18" s="20" t="s">
        <v>2566</v>
      </c>
      <c r="AB18" s="181" t="s">
        <v>135</v>
      </c>
      <c r="AC18" s="20"/>
      <c r="AD18" s="153">
        <v>15973.12</v>
      </c>
      <c r="AE18" s="173">
        <v>1</v>
      </c>
      <c r="AF18" s="174">
        <v>98.01</v>
      </c>
      <c r="AG18" s="153">
        <v>15.654999999999999</v>
      </c>
      <c r="AH18" s="20"/>
      <c r="AI18" s="20"/>
      <c r="AJ18" s="20" t="s">
        <v>36</v>
      </c>
      <c r="AK18" s="164">
        <v>6.7281461823497798E-2</v>
      </c>
      <c r="AL18" s="164">
        <v>4.0900079150695998E-4</v>
      </c>
    </row>
    <row r="19" spans="1:38">
      <c r="A19" s="20">
        <v>337</v>
      </c>
      <c r="B19" s="20">
        <v>9962</v>
      </c>
      <c r="C19" s="20" t="s">
        <v>2848</v>
      </c>
      <c r="D19" s="20" t="s">
        <v>2849</v>
      </c>
      <c r="E19" s="18" t="s">
        <v>1303</v>
      </c>
      <c r="F19" s="20" t="s">
        <v>2856</v>
      </c>
      <c r="G19" s="20" t="s">
        <v>2857</v>
      </c>
      <c r="H19" s="20" t="s">
        <v>318</v>
      </c>
      <c r="I19" s="20" t="s">
        <v>965</v>
      </c>
      <c r="J19" s="18" t="s">
        <v>30</v>
      </c>
      <c r="K19" s="18" t="s">
        <v>30</v>
      </c>
      <c r="L19" s="20" t="s">
        <v>325</v>
      </c>
      <c r="M19" s="20" t="s">
        <v>442</v>
      </c>
      <c r="N19" s="20" t="s">
        <v>134</v>
      </c>
      <c r="O19" s="180" t="s">
        <v>2852</v>
      </c>
      <c r="P19" s="20" t="s">
        <v>1176</v>
      </c>
      <c r="Q19" s="20" t="s">
        <v>410</v>
      </c>
      <c r="R19" s="20" t="s">
        <v>403</v>
      </c>
      <c r="S19" s="18" t="s">
        <v>34</v>
      </c>
      <c r="T19" s="153">
        <v>4.3499999999999996</v>
      </c>
      <c r="U19" s="20" t="s">
        <v>2853</v>
      </c>
      <c r="V19" s="172">
        <v>5.0500000000000003E-2</v>
      </c>
      <c r="W19" s="164">
        <v>3.7400000000000003E-2</v>
      </c>
      <c r="X19" s="18" t="s">
        <v>409</v>
      </c>
      <c r="Y19" s="18" t="s">
        <v>134</v>
      </c>
      <c r="Z19" s="20" t="s">
        <v>892</v>
      </c>
      <c r="AA19" s="20" t="s">
        <v>2566</v>
      </c>
      <c r="AB19" s="181" t="s">
        <v>135</v>
      </c>
      <c r="AC19" s="20"/>
      <c r="AD19" s="153">
        <v>57167.360000000001</v>
      </c>
      <c r="AE19" s="173">
        <v>1</v>
      </c>
      <c r="AF19" s="174">
        <v>94.92</v>
      </c>
      <c r="AG19" s="153">
        <v>54.262999999999998</v>
      </c>
      <c r="AH19" s="20"/>
      <c r="AI19" s="20"/>
      <c r="AJ19" s="20" t="s">
        <v>36</v>
      </c>
      <c r="AK19" s="164">
        <v>0.233206763454401</v>
      </c>
      <c r="AL19" s="164">
        <v>1.41765277169282E-3</v>
      </c>
    </row>
    <row r="20" spans="1:38">
      <c r="A20" s="2">
        <v>337</v>
      </c>
      <c r="B20" s="2">
        <v>9963</v>
      </c>
      <c r="C20" s="2" t="s">
        <v>2858</v>
      </c>
      <c r="D20" s="2" t="s">
        <v>2859</v>
      </c>
      <c r="E20" s="18" t="s">
        <v>1303</v>
      </c>
      <c r="F20" s="2" t="s">
        <v>2860</v>
      </c>
      <c r="G20" s="2" t="s">
        <v>2861</v>
      </c>
      <c r="H20" s="20" t="s">
        <v>318</v>
      </c>
      <c r="I20" s="20" t="s">
        <v>753</v>
      </c>
      <c r="J20" s="18" t="s">
        <v>30</v>
      </c>
      <c r="K20" s="18" t="s">
        <v>30</v>
      </c>
      <c r="L20" s="20" t="s">
        <v>164</v>
      </c>
      <c r="M20" s="20" t="s">
        <v>447</v>
      </c>
      <c r="N20" s="20" t="s">
        <v>134</v>
      </c>
      <c r="O20" s="181" t="s">
        <v>2862</v>
      </c>
      <c r="P20" s="2" t="s">
        <v>2863</v>
      </c>
      <c r="Q20" s="20" t="s">
        <v>410</v>
      </c>
      <c r="R20" s="20" t="s">
        <v>403</v>
      </c>
      <c r="S20" s="2" t="s">
        <v>34</v>
      </c>
      <c r="T20" s="151">
        <v>0.01</v>
      </c>
      <c r="U20" s="2" t="s">
        <v>2864</v>
      </c>
      <c r="V20" s="164">
        <v>1E-4</v>
      </c>
      <c r="W20" s="164">
        <v>5.3499999999999999E-2</v>
      </c>
      <c r="X20" s="18" t="s">
        <v>409</v>
      </c>
      <c r="Y20" s="18" t="s">
        <v>134</v>
      </c>
      <c r="Z20" s="2" t="s">
        <v>164</v>
      </c>
      <c r="AA20" s="20"/>
      <c r="AB20" s="181" t="s">
        <v>135</v>
      </c>
      <c r="AD20" s="151">
        <v>127573.24</v>
      </c>
      <c r="AE20" s="158">
        <v>1</v>
      </c>
      <c r="AF20" s="175">
        <v>0</v>
      </c>
      <c r="AG20" s="151">
        <v>0</v>
      </c>
      <c r="AJ20" s="20" t="s">
        <v>36</v>
      </c>
      <c r="AK20" s="164">
        <v>9.9382291020123192E-11</v>
      </c>
      <c r="AL20" s="164">
        <v>1.18669985351401E-12</v>
      </c>
    </row>
    <row r="21" spans="1:38">
      <c r="A21" s="2">
        <v>337</v>
      </c>
      <c r="B21" s="2">
        <v>9963</v>
      </c>
      <c r="C21" s="2" t="s">
        <v>2865</v>
      </c>
      <c r="D21" s="2" t="s">
        <v>2866</v>
      </c>
      <c r="E21" s="4" t="s">
        <v>1303</v>
      </c>
      <c r="F21" s="2" t="s">
        <v>2867</v>
      </c>
      <c r="G21" s="2" t="s">
        <v>2868</v>
      </c>
      <c r="H21" s="2" t="s">
        <v>33</v>
      </c>
      <c r="I21" s="2" t="s">
        <v>164</v>
      </c>
      <c r="J21" s="2" t="s">
        <v>30</v>
      </c>
      <c r="K21" s="2" t="s">
        <v>30</v>
      </c>
      <c r="L21" s="2" t="s">
        <v>164</v>
      </c>
      <c r="M21" s="2" t="s">
        <v>432</v>
      </c>
      <c r="N21" s="2" t="s">
        <v>134</v>
      </c>
      <c r="O21" s="181" t="s">
        <v>163</v>
      </c>
      <c r="P21" s="2" t="s">
        <v>1842</v>
      </c>
      <c r="Q21" s="2" t="s">
        <v>406</v>
      </c>
      <c r="R21" s="2" t="s">
        <v>406</v>
      </c>
      <c r="S21" s="2" t="s">
        <v>34</v>
      </c>
      <c r="T21" s="151">
        <v>0.01</v>
      </c>
      <c r="U21" s="2" t="s">
        <v>2869</v>
      </c>
      <c r="V21" s="164">
        <v>1E-4</v>
      </c>
      <c r="W21" s="164">
        <v>8.7999999999999995E-2</v>
      </c>
      <c r="X21" s="4" t="s">
        <v>409</v>
      </c>
      <c r="Y21" s="4" t="s">
        <v>134</v>
      </c>
      <c r="Z21" s="2" t="s">
        <v>164</v>
      </c>
      <c r="AB21" s="181" t="s">
        <v>135</v>
      </c>
      <c r="AD21" s="151">
        <v>187658.1</v>
      </c>
      <c r="AE21" s="158">
        <v>1</v>
      </c>
      <c r="AF21" s="175">
        <v>0</v>
      </c>
      <c r="AG21" s="151">
        <v>0</v>
      </c>
      <c r="AJ21" s="2" t="s">
        <v>36</v>
      </c>
      <c r="AK21" s="164">
        <v>1.4618968606961301E-10</v>
      </c>
      <c r="AL21" s="164">
        <v>1.7456156148477299E-12</v>
      </c>
    </row>
    <row r="22" spans="1:38">
      <c r="A22" s="2">
        <v>337</v>
      </c>
      <c r="B22" s="2">
        <v>9963</v>
      </c>
      <c r="C22" s="2" t="s">
        <v>2870</v>
      </c>
      <c r="D22" s="2" t="s">
        <v>2871</v>
      </c>
      <c r="E22" s="4" t="s">
        <v>1303</v>
      </c>
      <c r="F22" s="2" t="s">
        <v>2872</v>
      </c>
      <c r="G22" s="2" t="s">
        <v>2873</v>
      </c>
      <c r="H22" s="2" t="s">
        <v>318</v>
      </c>
      <c r="I22" s="2" t="s">
        <v>753</v>
      </c>
      <c r="J22" s="2" t="s">
        <v>30</v>
      </c>
      <c r="K22" s="2" t="s">
        <v>30</v>
      </c>
      <c r="L22" s="2" t="s">
        <v>164</v>
      </c>
      <c r="M22" s="2" t="s">
        <v>475</v>
      </c>
      <c r="N22" s="2" t="s">
        <v>134</v>
      </c>
      <c r="O22" s="181" t="s">
        <v>163</v>
      </c>
      <c r="P22" s="2" t="s">
        <v>82</v>
      </c>
      <c r="Q22" s="2" t="s">
        <v>410</v>
      </c>
      <c r="R22" s="2" t="s">
        <v>403</v>
      </c>
      <c r="S22" s="2" t="s">
        <v>34</v>
      </c>
      <c r="T22" s="151">
        <v>0.31</v>
      </c>
      <c r="U22" s="2" t="s">
        <v>2874</v>
      </c>
      <c r="V22" s="164">
        <v>2.87E-2</v>
      </c>
      <c r="W22" s="164">
        <v>7.7499999999999999E-2</v>
      </c>
      <c r="X22" s="4" t="s">
        <v>409</v>
      </c>
      <c r="Y22" s="4" t="s">
        <v>134</v>
      </c>
      <c r="Z22" s="2" t="s">
        <v>892</v>
      </c>
      <c r="AA22" s="2" t="s">
        <v>2566</v>
      </c>
      <c r="AB22" s="181" t="s">
        <v>135</v>
      </c>
      <c r="AD22" s="151">
        <v>92000.26</v>
      </c>
      <c r="AE22" s="158">
        <v>1</v>
      </c>
      <c r="AF22" s="175">
        <v>146.02000000000001</v>
      </c>
      <c r="AG22" s="151">
        <v>134.339</v>
      </c>
      <c r="AJ22" s="2" t="s">
        <v>36</v>
      </c>
      <c r="AK22" s="164">
        <v>1.0465279156242501E-2</v>
      </c>
      <c r="AL22" s="164">
        <v>1.2496336232761601E-4</v>
      </c>
    </row>
    <row r="23" spans="1:38">
      <c r="A23" s="2">
        <v>337</v>
      </c>
      <c r="B23" s="2">
        <v>9963</v>
      </c>
      <c r="C23" s="2" t="s">
        <v>2819</v>
      </c>
      <c r="D23" s="2" t="s">
        <v>2820</v>
      </c>
      <c r="E23" s="4" t="s">
        <v>309</v>
      </c>
      <c r="F23" s="2" t="s">
        <v>2821</v>
      </c>
      <c r="G23" s="2" t="s">
        <v>2822</v>
      </c>
      <c r="H23" s="2" t="s">
        <v>318</v>
      </c>
      <c r="I23" s="2" t="s">
        <v>965</v>
      </c>
      <c r="J23" s="2" t="s">
        <v>30</v>
      </c>
      <c r="K23" s="2" t="s">
        <v>30</v>
      </c>
      <c r="L23" s="2" t="s">
        <v>325</v>
      </c>
      <c r="M23" s="2" t="s">
        <v>447</v>
      </c>
      <c r="N23" s="2" t="s">
        <v>134</v>
      </c>
      <c r="O23" s="181" t="s">
        <v>2823</v>
      </c>
      <c r="P23" s="2" t="s">
        <v>1848</v>
      </c>
      <c r="Q23" s="2" t="s">
        <v>410</v>
      </c>
      <c r="R23" s="2" t="s">
        <v>403</v>
      </c>
      <c r="S23" s="2" t="s">
        <v>34</v>
      </c>
      <c r="T23" s="151">
        <v>2.15</v>
      </c>
      <c r="U23" s="2" t="s">
        <v>2192</v>
      </c>
      <c r="V23" s="164">
        <v>5.5500000000000001E-2</v>
      </c>
      <c r="W23" s="164">
        <v>2.86E-2</v>
      </c>
      <c r="X23" s="4" t="s">
        <v>409</v>
      </c>
      <c r="Y23" s="4" t="s">
        <v>134</v>
      </c>
      <c r="Z23" s="2" t="s">
        <v>892</v>
      </c>
      <c r="AA23" s="2" t="s">
        <v>895</v>
      </c>
      <c r="AB23" s="181" t="s">
        <v>135</v>
      </c>
      <c r="AD23" s="151">
        <v>604571.56999999995</v>
      </c>
      <c r="AE23" s="158">
        <v>1</v>
      </c>
      <c r="AF23" s="175">
        <v>95.21</v>
      </c>
      <c r="AG23" s="151">
        <v>575.61300000000006</v>
      </c>
      <c r="AJ23" s="2" t="s">
        <v>36</v>
      </c>
      <c r="AK23" s="164">
        <v>4.4841455867089999E-2</v>
      </c>
      <c r="AL23" s="164">
        <v>5.3544095796760898E-4</v>
      </c>
    </row>
    <row r="24" spans="1:38">
      <c r="A24" s="2">
        <v>337</v>
      </c>
      <c r="B24" s="2">
        <v>9963</v>
      </c>
      <c r="C24" s="2" t="s">
        <v>2824</v>
      </c>
      <c r="D24" s="2" t="s">
        <v>2825</v>
      </c>
      <c r="E24" s="4" t="s">
        <v>1303</v>
      </c>
      <c r="F24" s="2" t="s">
        <v>2826</v>
      </c>
      <c r="G24" s="2" t="s">
        <v>2827</v>
      </c>
      <c r="H24" s="2" t="s">
        <v>318</v>
      </c>
      <c r="I24" s="2" t="s">
        <v>965</v>
      </c>
      <c r="J24" s="2" t="s">
        <v>30</v>
      </c>
      <c r="K24" s="2" t="s">
        <v>30</v>
      </c>
      <c r="L24" s="2" t="s">
        <v>325</v>
      </c>
      <c r="M24" s="2" t="s">
        <v>447</v>
      </c>
      <c r="N24" s="2" t="s">
        <v>134</v>
      </c>
      <c r="O24" s="181" t="s">
        <v>2828</v>
      </c>
      <c r="P24" s="2" t="s">
        <v>1862</v>
      </c>
      <c r="Q24" s="2" t="s">
        <v>429</v>
      </c>
      <c r="R24" s="2" t="s">
        <v>403</v>
      </c>
      <c r="S24" s="2" t="s">
        <v>34</v>
      </c>
      <c r="T24" s="151">
        <v>1.8</v>
      </c>
      <c r="U24" s="2" t="s">
        <v>1910</v>
      </c>
      <c r="V24" s="164">
        <v>5.6599999999999998E-2</v>
      </c>
      <c r="W24" s="164">
        <v>4.4699999999999997E-2</v>
      </c>
      <c r="X24" s="4" t="s">
        <v>409</v>
      </c>
      <c r="Y24" s="4" t="s">
        <v>134</v>
      </c>
      <c r="Z24" s="2" t="s">
        <v>892</v>
      </c>
      <c r="AA24" s="2" t="s">
        <v>2566</v>
      </c>
      <c r="AB24" s="181" t="s">
        <v>135</v>
      </c>
      <c r="AD24" s="151">
        <v>2922996.56</v>
      </c>
      <c r="AE24" s="158">
        <v>1</v>
      </c>
      <c r="AF24" s="175">
        <v>99.15</v>
      </c>
      <c r="AG24" s="151">
        <v>2898.1509999999998</v>
      </c>
      <c r="AJ24" s="2" t="s">
        <v>36</v>
      </c>
      <c r="AK24" s="164">
        <v>0.22577218778102401</v>
      </c>
      <c r="AL24" s="164">
        <v>2.6958909823584999E-3</v>
      </c>
    </row>
    <row r="25" spans="1:38">
      <c r="A25" s="2">
        <v>337</v>
      </c>
      <c r="B25" s="2">
        <v>9963</v>
      </c>
      <c r="C25" s="2" t="s">
        <v>1174</v>
      </c>
      <c r="D25" s="2" t="s">
        <v>1589</v>
      </c>
      <c r="E25" s="4" t="s">
        <v>1303</v>
      </c>
      <c r="F25" s="2" t="s">
        <v>2875</v>
      </c>
      <c r="G25" s="2" t="s">
        <v>2876</v>
      </c>
      <c r="H25" s="2" t="s">
        <v>33</v>
      </c>
      <c r="I25" s="2" t="s">
        <v>753</v>
      </c>
      <c r="J25" s="2" t="s">
        <v>30</v>
      </c>
      <c r="K25" s="2" t="s">
        <v>30</v>
      </c>
      <c r="L25" s="2" t="s">
        <v>164</v>
      </c>
      <c r="M25" s="2" t="s">
        <v>444</v>
      </c>
      <c r="N25" s="2" t="s">
        <v>134</v>
      </c>
      <c r="O25" s="181" t="s">
        <v>163</v>
      </c>
      <c r="P25" s="2" t="s">
        <v>82</v>
      </c>
      <c r="Q25" s="2" t="s">
        <v>410</v>
      </c>
      <c r="R25" s="2" t="s">
        <v>403</v>
      </c>
      <c r="S25" s="2" t="s">
        <v>34</v>
      </c>
      <c r="T25" s="151">
        <v>1.3</v>
      </c>
      <c r="U25" s="2" t="s">
        <v>2877</v>
      </c>
      <c r="V25" s="164">
        <v>2.2790000000000001E-2</v>
      </c>
      <c r="W25" s="164">
        <v>6.6000000000000003E-2</v>
      </c>
      <c r="X25" s="4" t="s">
        <v>409</v>
      </c>
      <c r="Y25" s="4" t="s">
        <v>134</v>
      </c>
      <c r="Z25" s="2" t="s">
        <v>164</v>
      </c>
      <c r="AA25" s="2" t="s">
        <v>2566</v>
      </c>
      <c r="AB25" s="181" t="s">
        <v>135</v>
      </c>
      <c r="AD25" s="151">
        <v>350000</v>
      </c>
      <c r="AE25" s="158">
        <v>1</v>
      </c>
      <c r="AF25" s="175">
        <v>150.91</v>
      </c>
      <c r="AG25" s="151">
        <v>528.18499999999995</v>
      </c>
      <c r="AJ25" s="2" t="s">
        <v>36</v>
      </c>
      <c r="AK25" s="164">
        <v>4.1146744711088097E-2</v>
      </c>
      <c r="AL25" s="164">
        <v>4.9132330740231595E-4</v>
      </c>
    </row>
    <row r="26" spans="1:38">
      <c r="A26" s="2">
        <v>337</v>
      </c>
      <c r="B26" s="2">
        <v>9963</v>
      </c>
      <c r="C26" s="2" t="s">
        <v>2829</v>
      </c>
      <c r="D26" s="2" t="s">
        <v>2830</v>
      </c>
      <c r="E26" s="4" t="s">
        <v>1303</v>
      </c>
      <c r="F26" s="2" t="s">
        <v>2831</v>
      </c>
      <c r="G26" s="2" t="s">
        <v>2832</v>
      </c>
      <c r="H26" s="2" t="s">
        <v>318</v>
      </c>
      <c r="I26" s="2" t="s">
        <v>965</v>
      </c>
      <c r="J26" s="2" t="s">
        <v>30</v>
      </c>
      <c r="K26" s="2" t="s">
        <v>30</v>
      </c>
      <c r="L26" s="4" t="s">
        <v>164</v>
      </c>
      <c r="M26" s="2" t="s">
        <v>447</v>
      </c>
      <c r="N26" s="2" t="s">
        <v>134</v>
      </c>
      <c r="O26" s="181" t="s">
        <v>2833</v>
      </c>
      <c r="P26" s="2" t="s">
        <v>2057</v>
      </c>
      <c r="Q26" s="2" t="s">
        <v>412</v>
      </c>
      <c r="R26" s="2" t="s">
        <v>403</v>
      </c>
      <c r="S26" s="2" t="s">
        <v>34</v>
      </c>
      <c r="T26" s="151">
        <v>1.83</v>
      </c>
      <c r="U26" s="2" t="s">
        <v>2834</v>
      </c>
      <c r="V26" s="164">
        <v>5.0999999999999997E-2</v>
      </c>
      <c r="W26" s="164">
        <v>2.1000000000000001E-2</v>
      </c>
      <c r="X26" s="4" t="s">
        <v>409</v>
      </c>
      <c r="Y26" s="4" t="s">
        <v>134</v>
      </c>
      <c r="Z26" s="2" t="s">
        <v>164</v>
      </c>
      <c r="AA26" s="2" t="s">
        <v>2566</v>
      </c>
      <c r="AB26" s="181" t="s">
        <v>135</v>
      </c>
      <c r="AD26" s="151">
        <v>934715.53</v>
      </c>
      <c r="AE26" s="158">
        <v>1</v>
      </c>
      <c r="AF26" s="175">
        <v>95.05</v>
      </c>
      <c r="AG26" s="151">
        <v>888.447</v>
      </c>
      <c r="AJ26" s="2" t="s">
        <v>36</v>
      </c>
      <c r="AK26" s="164">
        <v>6.9211936114286998E-2</v>
      </c>
      <c r="AL26" s="164">
        <v>8.2644295684041304E-4</v>
      </c>
    </row>
    <row r="27" spans="1:38">
      <c r="A27" s="2">
        <v>337</v>
      </c>
      <c r="B27" s="2">
        <v>9963</v>
      </c>
      <c r="C27" s="2" t="s">
        <v>2878</v>
      </c>
      <c r="D27" s="2" t="s">
        <v>2879</v>
      </c>
      <c r="E27" s="4" t="s">
        <v>1303</v>
      </c>
      <c r="F27" s="2" t="s">
        <v>2880</v>
      </c>
      <c r="G27" s="2" t="s">
        <v>2881</v>
      </c>
      <c r="H27" s="2" t="s">
        <v>318</v>
      </c>
      <c r="I27" s="2" t="s">
        <v>164</v>
      </c>
      <c r="J27" s="2" t="s">
        <v>30</v>
      </c>
      <c r="K27" s="2" t="s">
        <v>30</v>
      </c>
      <c r="L27" s="4" t="s">
        <v>164</v>
      </c>
      <c r="M27" s="2" t="s">
        <v>474</v>
      </c>
      <c r="N27" s="2" t="s">
        <v>134</v>
      </c>
      <c r="O27" s="181" t="s">
        <v>163</v>
      </c>
      <c r="P27" s="2" t="s">
        <v>1842</v>
      </c>
      <c r="Q27" s="2" t="s">
        <v>406</v>
      </c>
      <c r="R27" s="2" t="s">
        <v>406</v>
      </c>
      <c r="S27" s="2" t="s">
        <v>34</v>
      </c>
      <c r="T27" s="151">
        <v>0.01</v>
      </c>
      <c r="U27" s="2" t="s">
        <v>2882</v>
      </c>
      <c r="V27" s="164">
        <v>1E-4</v>
      </c>
      <c r="W27" s="164">
        <v>7.3999999999999996E-2</v>
      </c>
      <c r="X27" s="4" t="s">
        <v>408</v>
      </c>
      <c r="Y27" s="4" t="s">
        <v>337</v>
      </c>
      <c r="Z27" s="2" t="s">
        <v>164</v>
      </c>
      <c r="AA27" s="2" t="s">
        <v>895</v>
      </c>
      <c r="AB27" s="181" t="s">
        <v>2883</v>
      </c>
      <c r="AD27" s="151">
        <v>94232.8</v>
      </c>
      <c r="AE27" s="158">
        <v>1</v>
      </c>
      <c r="AF27" s="175">
        <v>0</v>
      </c>
      <c r="AG27" s="151">
        <v>0</v>
      </c>
      <c r="AJ27" s="2" t="s">
        <v>36</v>
      </c>
      <c r="AK27" s="164">
        <v>7.3409372947187505E-9</v>
      </c>
      <c r="AL27" s="164">
        <v>8.7656353288679189E-11</v>
      </c>
    </row>
    <row r="28" spans="1:38">
      <c r="A28" s="2">
        <v>337</v>
      </c>
      <c r="B28" s="2">
        <v>9963</v>
      </c>
      <c r="C28" s="2" t="s">
        <v>2835</v>
      </c>
      <c r="D28" s="2" t="s">
        <v>2836</v>
      </c>
      <c r="E28" s="4" t="s">
        <v>1303</v>
      </c>
      <c r="F28" s="2" t="s">
        <v>2837</v>
      </c>
      <c r="G28" s="2" t="s">
        <v>2838</v>
      </c>
      <c r="H28" s="2" t="s">
        <v>318</v>
      </c>
      <c r="I28" s="2" t="s">
        <v>965</v>
      </c>
      <c r="J28" s="2" t="s">
        <v>30</v>
      </c>
      <c r="K28" s="2" t="s">
        <v>30</v>
      </c>
      <c r="L28" s="4" t="s">
        <v>164</v>
      </c>
      <c r="M28" s="2" t="s">
        <v>460</v>
      </c>
      <c r="N28" s="2" t="s">
        <v>134</v>
      </c>
      <c r="O28" s="181" t="s">
        <v>2839</v>
      </c>
      <c r="P28" s="2" t="s">
        <v>2840</v>
      </c>
      <c r="Q28" s="2" t="s">
        <v>412</v>
      </c>
      <c r="R28" s="2" t="s">
        <v>403</v>
      </c>
      <c r="S28" s="2" t="s">
        <v>34</v>
      </c>
      <c r="T28" s="151">
        <v>1.21</v>
      </c>
      <c r="U28" s="2" t="s">
        <v>2841</v>
      </c>
      <c r="V28" s="164">
        <v>4.9200000000000001E-2</v>
      </c>
      <c r="W28" s="164">
        <v>3.1E-2</v>
      </c>
      <c r="X28" s="4" t="s">
        <v>409</v>
      </c>
      <c r="Y28" s="4" t="s">
        <v>134</v>
      </c>
      <c r="Z28" s="2" t="s">
        <v>892</v>
      </c>
      <c r="AA28" s="2" t="s">
        <v>2566</v>
      </c>
      <c r="AB28" s="181" t="s">
        <v>135</v>
      </c>
      <c r="AD28" s="151">
        <v>1039668.92</v>
      </c>
      <c r="AE28" s="158">
        <v>1</v>
      </c>
      <c r="AF28" s="175">
        <v>97.94</v>
      </c>
      <c r="AG28" s="151">
        <v>1018.252</v>
      </c>
      <c r="AJ28" s="2" t="s">
        <v>36</v>
      </c>
      <c r="AK28" s="164">
        <v>7.9323995205478504E-2</v>
      </c>
      <c r="AL28" s="164">
        <v>9.4718860396795005E-4</v>
      </c>
    </row>
    <row r="29" spans="1:38">
      <c r="A29" s="2">
        <v>337</v>
      </c>
      <c r="B29" s="2">
        <v>9963</v>
      </c>
      <c r="C29" s="2" t="s">
        <v>2842</v>
      </c>
      <c r="D29" s="2" t="s">
        <v>2843</v>
      </c>
      <c r="E29" s="4" t="s">
        <v>1303</v>
      </c>
      <c r="F29" s="2" t="s">
        <v>2844</v>
      </c>
      <c r="G29" s="2" t="s">
        <v>2845</v>
      </c>
      <c r="H29" s="2" t="s">
        <v>318</v>
      </c>
      <c r="I29" s="2" t="s">
        <v>965</v>
      </c>
      <c r="J29" s="2" t="s">
        <v>30</v>
      </c>
      <c r="K29" s="2" t="s">
        <v>30</v>
      </c>
      <c r="L29" s="4" t="s">
        <v>164</v>
      </c>
      <c r="M29" s="2" t="s">
        <v>475</v>
      </c>
      <c r="N29" s="2" t="s">
        <v>134</v>
      </c>
      <c r="O29" s="181" t="s">
        <v>2846</v>
      </c>
      <c r="P29" s="2" t="s">
        <v>2173</v>
      </c>
      <c r="Q29" s="2" t="s">
        <v>412</v>
      </c>
      <c r="R29" s="2" t="s">
        <v>403</v>
      </c>
      <c r="S29" s="2" t="s">
        <v>34</v>
      </c>
      <c r="T29" s="151">
        <v>0.57999999999999996</v>
      </c>
      <c r="U29" s="2" t="s">
        <v>2847</v>
      </c>
      <c r="V29" s="164">
        <v>6.13E-2</v>
      </c>
      <c r="W29" s="164">
        <v>6.5000000000000002E-2</v>
      </c>
      <c r="X29" s="4" t="s">
        <v>409</v>
      </c>
      <c r="Y29" s="4" t="s">
        <v>134</v>
      </c>
      <c r="Z29" s="2" t="s">
        <v>892</v>
      </c>
      <c r="AA29" s="2" t="s">
        <v>895</v>
      </c>
      <c r="AB29" s="181" t="s">
        <v>135</v>
      </c>
      <c r="AD29" s="151">
        <v>427487.83</v>
      </c>
      <c r="AE29" s="158">
        <v>1</v>
      </c>
      <c r="AF29" s="175">
        <v>100.45</v>
      </c>
      <c r="AG29" s="151">
        <v>429.41199999999998</v>
      </c>
      <c r="AJ29" s="2" t="s">
        <v>36</v>
      </c>
      <c r="AK29" s="164">
        <v>3.34520791102427E-2</v>
      </c>
      <c r="AL29" s="164">
        <v>3.9944317013003699E-4</v>
      </c>
    </row>
    <row r="30" spans="1:38">
      <c r="A30" s="2">
        <v>337</v>
      </c>
      <c r="B30" s="2">
        <v>9963</v>
      </c>
      <c r="C30" s="2" t="s">
        <v>2848</v>
      </c>
      <c r="D30" s="2" t="s">
        <v>2849</v>
      </c>
      <c r="E30" s="4" t="s">
        <v>1303</v>
      </c>
      <c r="F30" s="2" t="s">
        <v>2850</v>
      </c>
      <c r="G30" s="2" t="s">
        <v>2851</v>
      </c>
      <c r="H30" s="2" t="s">
        <v>318</v>
      </c>
      <c r="I30" s="2" t="s">
        <v>753</v>
      </c>
      <c r="J30" s="2" t="s">
        <v>30</v>
      </c>
      <c r="K30" s="2" t="s">
        <v>30</v>
      </c>
      <c r="L30" s="4" t="s">
        <v>164</v>
      </c>
      <c r="M30" s="2" t="s">
        <v>442</v>
      </c>
      <c r="N30" s="2" t="s">
        <v>134</v>
      </c>
      <c r="O30" s="181" t="s">
        <v>2852</v>
      </c>
      <c r="P30" s="2" t="s">
        <v>1176</v>
      </c>
      <c r="Q30" s="2" t="s">
        <v>410</v>
      </c>
      <c r="R30" s="2" t="s">
        <v>403</v>
      </c>
      <c r="S30" s="2" t="s">
        <v>34</v>
      </c>
      <c r="T30" s="151">
        <v>4.62</v>
      </c>
      <c r="U30" s="2" t="s">
        <v>2853</v>
      </c>
      <c r="V30" s="164">
        <v>2.5600000000000001E-2</v>
      </c>
      <c r="W30" s="164">
        <v>2.1399999999999999E-2</v>
      </c>
      <c r="X30" s="4" t="s">
        <v>409</v>
      </c>
      <c r="Y30" s="4" t="s">
        <v>134</v>
      </c>
      <c r="Z30" s="2" t="s">
        <v>892</v>
      </c>
      <c r="AA30" s="2" t="s">
        <v>2566</v>
      </c>
      <c r="AB30" s="181" t="s">
        <v>135</v>
      </c>
      <c r="AD30" s="151">
        <v>1702157.71</v>
      </c>
      <c r="AE30" s="158">
        <v>1</v>
      </c>
      <c r="AF30" s="175">
        <v>115.11</v>
      </c>
      <c r="AG30" s="151">
        <v>1959.354</v>
      </c>
      <c r="AJ30" s="2" t="s">
        <v>36</v>
      </c>
      <c r="AK30" s="164">
        <v>0.15263786010150601</v>
      </c>
      <c r="AL30" s="164">
        <v>1.82261169836054E-3</v>
      </c>
    </row>
    <row r="31" spans="1:38">
      <c r="A31" s="2">
        <v>337</v>
      </c>
      <c r="B31" s="2">
        <v>9963</v>
      </c>
      <c r="C31" s="2" t="s">
        <v>2848</v>
      </c>
      <c r="D31" s="2" t="s">
        <v>2849</v>
      </c>
      <c r="E31" s="4" t="s">
        <v>1303</v>
      </c>
      <c r="F31" s="2" t="s">
        <v>2854</v>
      </c>
      <c r="G31" s="2" t="s">
        <v>2855</v>
      </c>
      <c r="H31" s="2" t="s">
        <v>318</v>
      </c>
      <c r="I31" s="2" t="s">
        <v>965</v>
      </c>
      <c r="J31" s="2" t="s">
        <v>30</v>
      </c>
      <c r="K31" s="2" t="s">
        <v>30</v>
      </c>
      <c r="L31" s="4" t="s">
        <v>325</v>
      </c>
      <c r="M31" s="2" t="s">
        <v>442</v>
      </c>
      <c r="N31" s="2" t="s">
        <v>134</v>
      </c>
      <c r="O31" s="181" t="s">
        <v>2852</v>
      </c>
      <c r="P31" s="2" t="s">
        <v>1176</v>
      </c>
      <c r="Q31" s="2" t="s">
        <v>410</v>
      </c>
      <c r="R31" s="2" t="s">
        <v>403</v>
      </c>
      <c r="S31" s="2" t="s">
        <v>34</v>
      </c>
      <c r="T31" s="151">
        <v>0.95</v>
      </c>
      <c r="U31" s="2" t="s">
        <v>2847</v>
      </c>
      <c r="V31" s="164">
        <v>4.8300000000000003E-2</v>
      </c>
      <c r="W31" s="164">
        <v>2.5000000000000001E-2</v>
      </c>
      <c r="X31" s="4" t="s">
        <v>409</v>
      </c>
      <c r="Y31" s="4" t="s">
        <v>134</v>
      </c>
      <c r="Z31" s="2" t="s">
        <v>892</v>
      </c>
      <c r="AA31" s="2" t="s">
        <v>2566</v>
      </c>
      <c r="AB31" s="181" t="s">
        <v>135</v>
      </c>
      <c r="AD31" s="151">
        <v>1006306.36</v>
      </c>
      <c r="AE31" s="158">
        <v>1</v>
      </c>
      <c r="AF31" s="175">
        <v>98.01</v>
      </c>
      <c r="AG31" s="151">
        <v>986.28099999999995</v>
      </c>
      <c r="AJ31" s="2" t="s">
        <v>36</v>
      </c>
      <c r="AK31" s="164">
        <v>7.68333953089025E-2</v>
      </c>
      <c r="AL31" s="164">
        <v>9.1744895415619195E-4</v>
      </c>
    </row>
    <row r="32" spans="1:38">
      <c r="A32" s="2">
        <v>337</v>
      </c>
      <c r="B32" s="2">
        <v>9963</v>
      </c>
      <c r="C32" s="2" t="s">
        <v>2848</v>
      </c>
      <c r="D32" s="2" t="s">
        <v>2849</v>
      </c>
      <c r="E32" s="4" t="s">
        <v>1303</v>
      </c>
      <c r="F32" s="2" t="s">
        <v>2856</v>
      </c>
      <c r="G32" s="2" t="s">
        <v>2857</v>
      </c>
      <c r="H32" s="2" t="s">
        <v>318</v>
      </c>
      <c r="I32" s="2" t="s">
        <v>965</v>
      </c>
      <c r="J32" s="2" t="s">
        <v>30</v>
      </c>
      <c r="K32" s="2" t="s">
        <v>30</v>
      </c>
      <c r="L32" s="4" t="s">
        <v>325</v>
      </c>
      <c r="M32" s="2" t="s">
        <v>442</v>
      </c>
      <c r="N32" s="2" t="s">
        <v>134</v>
      </c>
      <c r="O32" s="181" t="s">
        <v>2852</v>
      </c>
      <c r="P32" s="2" t="s">
        <v>1176</v>
      </c>
      <c r="Q32" s="2" t="s">
        <v>410</v>
      </c>
      <c r="R32" s="2" t="s">
        <v>403</v>
      </c>
      <c r="S32" s="2" t="s">
        <v>34</v>
      </c>
      <c r="T32" s="151">
        <v>4.3499999999999996</v>
      </c>
      <c r="U32" s="2" t="s">
        <v>2853</v>
      </c>
      <c r="V32" s="164">
        <v>5.0500000000000003E-2</v>
      </c>
      <c r="W32" s="164">
        <v>3.7400000000000003E-2</v>
      </c>
      <c r="X32" s="4" t="s">
        <v>409</v>
      </c>
      <c r="Y32" s="4" t="s">
        <v>134</v>
      </c>
      <c r="Z32" s="2" t="s">
        <v>892</v>
      </c>
      <c r="AA32" s="2" t="s">
        <v>2566</v>
      </c>
      <c r="AB32" s="181" t="s">
        <v>135</v>
      </c>
      <c r="AD32" s="151">
        <v>3601542.77</v>
      </c>
      <c r="AE32" s="158">
        <v>1</v>
      </c>
      <c r="AF32" s="175">
        <v>94.92</v>
      </c>
      <c r="AG32" s="151">
        <v>3418.5839999999998</v>
      </c>
      <c r="AJ32" s="2" t="s">
        <v>36</v>
      </c>
      <c r="AK32" s="164">
        <v>0.26631505905762898</v>
      </c>
      <c r="AL32" s="164">
        <v>3.1800035834178E-3</v>
      </c>
    </row>
    <row r="33" spans="1:38">
      <c r="A33" s="2">
        <v>337</v>
      </c>
      <c r="B33" s="2">
        <v>9964</v>
      </c>
      <c r="C33" s="2" t="s">
        <v>2819</v>
      </c>
      <c r="D33" s="2" t="s">
        <v>2820</v>
      </c>
      <c r="E33" s="4" t="s">
        <v>309</v>
      </c>
      <c r="F33" s="2" t="s">
        <v>2821</v>
      </c>
      <c r="G33" s="2" t="s">
        <v>2822</v>
      </c>
      <c r="H33" s="2" t="s">
        <v>318</v>
      </c>
      <c r="I33" s="2" t="s">
        <v>965</v>
      </c>
      <c r="J33" s="2" t="s">
        <v>30</v>
      </c>
      <c r="K33" s="2" t="s">
        <v>30</v>
      </c>
      <c r="L33" s="4" t="s">
        <v>325</v>
      </c>
      <c r="M33" s="2" t="s">
        <v>447</v>
      </c>
      <c r="N33" s="2" t="s">
        <v>134</v>
      </c>
      <c r="O33" s="181" t="s">
        <v>2823</v>
      </c>
      <c r="P33" s="2" t="s">
        <v>1848</v>
      </c>
      <c r="Q33" s="2" t="s">
        <v>410</v>
      </c>
      <c r="R33" s="2" t="s">
        <v>403</v>
      </c>
      <c r="S33" s="2" t="s">
        <v>34</v>
      </c>
      <c r="T33" s="151">
        <v>2.15</v>
      </c>
      <c r="U33" s="2" t="s">
        <v>2192</v>
      </c>
      <c r="V33" s="164">
        <v>5.5500000000000001E-2</v>
      </c>
      <c r="W33" s="164">
        <v>2.86E-2</v>
      </c>
      <c r="X33" s="4" t="s">
        <v>409</v>
      </c>
      <c r="Y33" s="4" t="s">
        <v>134</v>
      </c>
      <c r="Z33" s="2" t="s">
        <v>892</v>
      </c>
      <c r="AA33" s="2" t="s">
        <v>895</v>
      </c>
      <c r="AB33" s="181" t="s">
        <v>135</v>
      </c>
      <c r="AD33" s="151">
        <v>18285.71</v>
      </c>
      <c r="AE33" s="158">
        <v>1</v>
      </c>
      <c r="AF33" s="175">
        <v>95.21</v>
      </c>
      <c r="AG33" s="151">
        <v>17.41</v>
      </c>
      <c r="AJ33" s="2" t="s">
        <v>36</v>
      </c>
      <c r="AK33" s="164">
        <v>4.56842551500838E-2</v>
      </c>
      <c r="AL33" s="164">
        <v>4.7413398307423699E-4</v>
      </c>
    </row>
    <row r="34" spans="1:38">
      <c r="A34" s="2">
        <v>337</v>
      </c>
      <c r="B34" s="2">
        <v>9964</v>
      </c>
      <c r="C34" s="2" t="s">
        <v>2824</v>
      </c>
      <c r="D34" s="2" t="s">
        <v>2825</v>
      </c>
      <c r="E34" s="4" t="s">
        <v>1303</v>
      </c>
      <c r="F34" s="2" t="s">
        <v>2826</v>
      </c>
      <c r="G34" s="2" t="s">
        <v>2827</v>
      </c>
      <c r="H34" s="2" t="s">
        <v>318</v>
      </c>
      <c r="I34" s="2" t="s">
        <v>965</v>
      </c>
      <c r="J34" s="2" t="s">
        <v>30</v>
      </c>
      <c r="K34" s="2" t="s">
        <v>30</v>
      </c>
      <c r="L34" s="4" t="s">
        <v>325</v>
      </c>
      <c r="M34" s="2" t="s">
        <v>447</v>
      </c>
      <c r="N34" s="2" t="s">
        <v>134</v>
      </c>
      <c r="O34" s="181" t="s">
        <v>2828</v>
      </c>
      <c r="P34" s="2" t="s">
        <v>1862</v>
      </c>
      <c r="Q34" s="2" t="s">
        <v>429</v>
      </c>
      <c r="R34" s="2" t="s">
        <v>403</v>
      </c>
      <c r="S34" s="2" t="s">
        <v>34</v>
      </c>
      <c r="T34" s="151">
        <v>1.8</v>
      </c>
      <c r="U34" s="2" t="s">
        <v>1910</v>
      </c>
      <c r="V34" s="164">
        <v>5.6599999999999998E-2</v>
      </c>
      <c r="W34" s="164">
        <v>4.4699999999999997E-2</v>
      </c>
      <c r="X34" s="4" t="s">
        <v>409</v>
      </c>
      <c r="Y34" s="4" t="s">
        <v>134</v>
      </c>
      <c r="Z34" s="2" t="s">
        <v>892</v>
      </c>
      <c r="AA34" s="2" t="s">
        <v>2566</v>
      </c>
      <c r="AB34" s="181" t="s">
        <v>135</v>
      </c>
      <c r="AD34" s="151">
        <v>94941.68</v>
      </c>
      <c r="AE34" s="158">
        <v>1</v>
      </c>
      <c r="AF34" s="175">
        <v>99.15</v>
      </c>
      <c r="AG34" s="151">
        <v>94.135000000000005</v>
      </c>
      <c r="AJ34" s="2" t="s">
        <v>36</v>
      </c>
      <c r="AK34" s="164">
        <v>0.24701412390951999</v>
      </c>
      <c r="AL34" s="164">
        <v>2.56363576597788E-3</v>
      </c>
    </row>
    <row r="35" spans="1:38">
      <c r="A35" s="2">
        <v>337</v>
      </c>
      <c r="B35" s="2">
        <v>9964</v>
      </c>
      <c r="C35" s="2" t="s">
        <v>2829</v>
      </c>
      <c r="D35" s="2" t="s">
        <v>2830</v>
      </c>
      <c r="E35" s="4" t="s">
        <v>1303</v>
      </c>
      <c r="F35" s="2" t="s">
        <v>2831</v>
      </c>
      <c r="G35" s="2" t="s">
        <v>2832</v>
      </c>
      <c r="H35" s="2" t="s">
        <v>318</v>
      </c>
      <c r="I35" s="2" t="s">
        <v>965</v>
      </c>
      <c r="J35" s="2" t="s">
        <v>30</v>
      </c>
      <c r="K35" s="2" t="s">
        <v>30</v>
      </c>
      <c r="L35" s="4" t="s">
        <v>164</v>
      </c>
      <c r="M35" s="2" t="s">
        <v>447</v>
      </c>
      <c r="N35" s="2" t="s">
        <v>134</v>
      </c>
      <c r="O35" s="181" t="s">
        <v>2833</v>
      </c>
      <c r="P35" s="2" t="s">
        <v>2057</v>
      </c>
      <c r="Q35" s="2" t="s">
        <v>412</v>
      </c>
      <c r="R35" s="2" t="s">
        <v>403</v>
      </c>
      <c r="S35" s="2" t="s">
        <v>34</v>
      </c>
      <c r="T35" s="151">
        <v>1.83</v>
      </c>
      <c r="U35" s="2" t="s">
        <v>2834</v>
      </c>
      <c r="V35" s="164">
        <v>5.0999999999999997E-2</v>
      </c>
      <c r="W35" s="164">
        <v>2.1000000000000001E-2</v>
      </c>
      <c r="X35" s="4" t="s">
        <v>409</v>
      </c>
      <c r="Y35" s="4" t="s">
        <v>134</v>
      </c>
      <c r="Z35" s="2" t="s">
        <v>164</v>
      </c>
      <c r="AA35" s="2" t="s">
        <v>2566</v>
      </c>
      <c r="AB35" s="181" t="s">
        <v>135</v>
      </c>
      <c r="AD35" s="151">
        <v>34285.760000000002</v>
      </c>
      <c r="AE35" s="158">
        <v>1</v>
      </c>
      <c r="AF35" s="175">
        <v>95.05</v>
      </c>
      <c r="AG35" s="151">
        <v>32.588999999999999</v>
      </c>
      <c r="AJ35" s="2" t="s">
        <v>36</v>
      </c>
      <c r="AK35" s="164">
        <v>8.55141645991528E-2</v>
      </c>
      <c r="AL35" s="164">
        <v>8.8750864685134101E-4</v>
      </c>
    </row>
    <row r="36" spans="1:38">
      <c r="A36" s="2">
        <v>337</v>
      </c>
      <c r="B36" s="2">
        <v>9964</v>
      </c>
      <c r="C36" s="2" t="s">
        <v>2835</v>
      </c>
      <c r="D36" s="2" t="s">
        <v>2836</v>
      </c>
      <c r="E36" s="4" t="s">
        <v>1303</v>
      </c>
      <c r="F36" s="2" t="s">
        <v>2837</v>
      </c>
      <c r="G36" s="2" t="s">
        <v>2838</v>
      </c>
      <c r="H36" s="2" t="s">
        <v>318</v>
      </c>
      <c r="I36" s="2" t="s">
        <v>965</v>
      </c>
      <c r="J36" s="2" t="s">
        <v>30</v>
      </c>
      <c r="K36" s="2" t="s">
        <v>30</v>
      </c>
      <c r="L36" s="4" t="s">
        <v>164</v>
      </c>
      <c r="M36" s="2" t="s">
        <v>460</v>
      </c>
      <c r="N36" s="2" t="s">
        <v>134</v>
      </c>
      <c r="O36" s="181" t="s">
        <v>2839</v>
      </c>
      <c r="P36" s="2" t="s">
        <v>2840</v>
      </c>
      <c r="Q36" s="2" t="s">
        <v>412</v>
      </c>
      <c r="R36" s="2" t="s">
        <v>403</v>
      </c>
      <c r="S36" s="2" t="s">
        <v>34</v>
      </c>
      <c r="T36" s="151">
        <v>1.21</v>
      </c>
      <c r="U36" s="2" t="s">
        <v>2841</v>
      </c>
      <c r="V36" s="164">
        <v>4.9200000000000001E-2</v>
      </c>
      <c r="W36" s="164">
        <v>3.1E-2</v>
      </c>
      <c r="X36" s="4" t="s">
        <v>409</v>
      </c>
      <c r="Y36" s="4" t="s">
        <v>134</v>
      </c>
      <c r="Z36" s="2" t="s">
        <v>892</v>
      </c>
      <c r="AA36" s="2" t="s">
        <v>2566</v>
      </c>
      <c r="AB36" s="181" t="s">
        <v>135</v>
      </c>
      <c r="AD36" s="151">
        <v>34656</v>
      </c>
      <c r="AE36" s="158">
        <v>1</v>
      </c>
      <c r="AF36" s="175">
        <v>97.94</v>
      </c>
      <c r="AG36" s="151">
        <v>33.942</v>
      </c>
      <c r="AJ36" s="2" t="s">
        <v>36</v>
      </c>
      <c r="AK36" s="164">
        <v>8.9065741945036803E-2</v>
      </c>
      <c r="AL36" s="164">
        <v>9.2436868774875905E-4</v>
      </c>
    </row>
    <row r="37" spans="1:38">
      <c r="A37" s="2">
        <v>337</v>
      </c>
      <c r="B37" s="2">
        <v>9964</v>
      </c>
      <c r="C37" s="2" t="s">
        <v>2842</v>
      </c>
      <c r="D37" s="2" t="s">
        <v>2843</v>
      </c>
      <c r="E37" s="4" t="s">
        <v>1303</v>
      </c>
      <c r="F37" s="2" t="s">
        <v>2844</v>
      </c>
      <c r="G37" s="2" t="s">
        <v>2845</v>
      </c>
      <c r="H37" s="2" t="s">
        <v>318</v>
      </c>
      <c r="I37" s="2" t="s">
        <v>965</v>
      </c>
      <c r="J37" s="2" t="s">
        <v>30</v>
      </c>
      <c r="K37" s="2" t="s">
        <v>30</v>
      </c>
      <c r="L37" s="4" t="s">
        <v>164</v>
      </c>
      <c r="M37" s="2" t="s">
        <v>475</v>
      </c>
      <c r="N37" s="2" t="s">
        <v>134</v>
      </c>
      <c r="O37" s="181" t="s">
        <v>2846</v>
      </c>
      <c r="P37" s="2" t="s">
        <v>2173</v>
      </c>
      <c r="Q37" s="2" t="s">
        <v>412</v>
      </c>
      <c r="R37" s="2" t="s">
        <v>403</v>
      </c>
      <c r="S37" s="2" t="s">
        <v>34</v>
      </c>
      <c r="T37" s="151">
        <v>0.57999999999999996</v>
      </c>
      <c r="U37" s="2" t="s">
        <v>2847</v>
      </c>
      <c r="V37" s="164">
        <v>6.13E-2</v>
      </c>
      <c r="W37" s="164">
        <v>6.5000000000000002E-2</v>
      </c>
      <c r="X37" s="4" t="s">
        <v>409</v>
      </c>
      <c r="Y37" s="4" t="s">
        <v>134</v>
      </c>
      <c r="Z37" s="2" t="s">
        <v>892</v>
      </c>
      <c r="AA37" s="2" t="s">
        <v>895</v>
      </c>
      <c r="AB37" s="181" t="s">
        <v>135</v>
      </c>
      <c r="AD37" s="151">
        <v>13455.1</v>
      </c>
      <c r="AE37" s="158">
        <v>1</v>
      </c>
      <c r="AF37" s="175">
        <v>100.45</v>
      </c>
      <c r="AG37" s="151">
        <v>13.516</v>
      </c>
      <c r="AJ37" s="2" t="s">
        <v>36</v>
      </c>
      <c r="AK37" s="164">
        <v>3.5465740035788298E-2</v>
      </c>
      <c r="AL37" s="164">
        <v>3.6808113715766497E-4</v>
      </c>
    </row>
    <row r="38" spans="1:38">
      <c r="A38" s="2">
        <v>337</v>
      </c>
      <c r="B38" s="2">
        <v>9964</v>
      </c>
      <c r="C38" s="2" t="s">
        <v>2848</v>
      </c>
      <c r="D38" s="2" t="s">
        <v>2849</v>
      </c>
      <c r="E38" s="4" t="s">
        <v>1303</v>
      </c>
      <c r="F38" s="2" t="s">
        <v>2850</v>
      </c>
      <c r="G38" s="2" t="s">
        <v>2851</v>
      </c>
      <c r="H38" s="2" t="s">
        <v>318</v>
      </c>
      <c r="I38" s="2" t="s">
        <v>753</v>
      </c>
      <c r="J38" s="2" t="s">
        <v>30</v>
      </c>
      <c r="K38" s="2" t="s">
        <v>30</v>
      </c>
      <c r="L38" s="4" t="s">
        <v>164</v>
      </c>
      <c r="M38" s="2" t="s">
        <v>442</v>
      </c>
      <c r="N38" s="2" t="s">
        <v>134</v>
      </c>
      <c r="O38" s="181" t="s">
        <v>2852</v>
      </c>
      <c r="P38" s="2" t="s">
        <v>1176</v>
      </c>
      <c r="Q38" s="2" t="s">
        <v>410</v>
      </c>
      <c r="R38" s="2" t="s">
        <v>403</v>
      </c>
      <c r="S38" s="2" t="s">
        <v>34</v>
      </c>
      <c r="T38" s="151">
        <v>4.62</v>
      </c>
      <c r="U38" s="2" t="s">
        <v>2853</v>
      </c>
      <c r="V38" s="164">
        <v>2.5600000000000001E-2</v>
      </c>
      <c r="W38" s="164">
        <v>2.1399999999999999E-2</v>
      </c>
      <c r="X38" s="4" t="s">
        <v>409</v>
      </c>
      <c r="Y38" s="4" t="s">
        <v>134</v>
      </c>
      <c r="Z38" s="2" t="s">
        <v>892</v>
      </c>
      <c r="AA38" s="2" t="s">
        <v>2566</v>
      </c>
      <c r="AB38" s="181" t="s">
        <v>135</v>
      </c>
      <c r="AD38" s="151">
        <v>50736.02</v>
      </c>
      <c r="AE38" s="158">
        <v>1</v>
      </c>
      <c r="AF38" s="175">
        <v>115.11</v>
      </c>
      <c r="AG38" s="151">
        <v>58.402000000000001</v>
      </c>
      <c r="AJ38" s="2" t="s">
        <v>36</v>
      </c>
      <c r="AK38" s="164">
        <v>0.153250395936917</v>
      </c>
      <c r="AL38" s="164">
        <v>1.59050903630944E-3</v>
      </c>
    </row>
    <row r="39" spans="1:38">
      <c r="A39" s="2">
        <v>337</v>
      </c>
      <c r="B39" s="2">
        <v>9964</v>
      </c>
      <c r="C39" s="2" t="s">
        <v>2848</v>
      </c>
      <c r="D39" s="2" t="s">
        <v>2849</v>
      </c>
      <c r="E39" s="4" t="s">
        <v>1303</v>
      </c>
      <c r="F39" s="2" t="s">
        <v>2854</v>
      </c>
      <c r="G39" s="2" t="s">
        <v>2855</v>
      </c>
      <c r="H39" s="2" t="s">
        <v>318</v>
      </c>
      <c r="I39" s="2" t="s">
        <v>965</v>
      </c>
      <c r="J39" s="2" t="s">
        <v>30</v>
      </c>
      <c r="K39" s="2" t="s">
        <v>30</v>
      </c>
      <c r="L39" s="4" t="s">
        <v>325</v>
      </c>
      <c r="M39" s="2" t="s">
        <v>442</v>
      </c>
      <c r="N39" s="2" t="s">
        <v>134</v>
      </c>
      <c r="O39" s="181" t="s">
        <v>2852</v>
      </c>
      <c r="P39" s="2" t="s">
        <v>1176</v>
      </c>
      <c r="Q39" s="2" t="s">
        <v>410</v>
      </c>
      <c r="R39" s="2" t="s">
        <v>403</v>
      </c>
      <c r="S39" s="2" t="s">
        <v>34</v>
      </c>
      <c r="T39" s="151">
        <v>0.95</v>
      </c>
      <c r="U39" s="2" t="s">
        <v>2847</v>
      </c>
      <c r="V39" s="164">
        <v>4.8300000000000003E-2</v>
      </c>
      <c r="W39" s="164">
        <v>2.5000000000000001E-2</v>
      </c>
      <c r="X39" s="4" t="s">
        <v>409</v>
      </c>
      <c r="Y39" s="4" t="s">
        <v>134</v>
      </c>
      <c r="Z39" s="2" t="s">
        <v>892</v>
      </c>
      <c r="AA39" s="2" t="s">
        <v>2566</v>
      </c>
      <c r="AB39" s="181" t="s">
        <v>135</v>
      </c>
      <c r="AD39" s="151">
        <v>29949.599999999999</v>
      </c>
      <c r="AE39" s="158">
        <v>1</v>
      </c>
      <c r="AF39" s="175">
        <v>98.01</v>
      </c>
      <c r="AG39" s="151">
        <v>29.353999999999999</v>
      </c>
      <c r="AJ39" s="2" t="s">
        <v>36</v>
      </c>
      <c r="AK39" s="164">
        <v>7.70253306052638E-2</v>
      </c>
      <c r="AL39" s="164">
        <v>7.9940729420903498E-4</v>
      </c>
    </row>
    <row r="40" spans="1:38">
      <c r="A40" s="2">
        <v>337</v>
      </c>
      <c r="B40" s="2">
        <v>9964</v>
      </c>
      <c r="C40" s="2" t="s">
        <v>2848</v>
      </c>
      <c r="D40" s="2" t="s">
        <v>2849</v>
      </c>
      <c r="E40" s="4" t="s">
        <v>1303</v>
      </c>
      <c r="F40" s="2" t="s">
        <v>2856</v>
      </c>
      <c r="G40" s="2" t="s">
        <v>2857</v>
      </c>
      <c r="H40" s="2" t="s">
        <v>318</v>
      </c>
      <c r="I40" s="2" t="s">
        <v>965</v>
      </c>
      <c r="J40" s="2" t="s">
        <v>30</v>
      </c>
      <c r="K40" s="2" t="s">
        <v>30</v>
      </c>
      <c r="L40" s="4" t="s">
        <v>325</v>
      </c>
      <c r="M40" s="2" t="s">
        <v>442</v>
      </c>
      <c r="N40" s="2" t="s">
        <v>134</v>
      </c>
      <c r="O40" s="181" t="s">
        <v>2852</v>
      </c>
      <c r="P40" s="2" t="s">
        <v>1176</v>
      </c>
      <c r="Q40" s="2" t="s">
        <v>410</v>
      </c>
      <c r="R40" s="2" t="s">
        <v>403</v>
      </c>
      <c r="S40" s="2" t="s">
        <v>34</v>
      </c>
      <c r="T40" s="151">
        <v>4.3499999999999996</v>
      </c>
      <c r="U40" s="2" t="s">
        <v>2853</v>
      </c>
      <c r="V40" s="164">
        <v>5.0500000000000003E-2</v>
      </c>
      <c r="W40" s="164">
        <v>3.7400000000000003E-2</v>
      </c>
      <c r="X40" s="4" t="s">
        <v>409</v>
      </c>
      <c r="Y40" s="4" t="s">
        <v>134</v>
      </c>
      <c r="Z40" s="2" t="s">
        <v>892</v>
      </c>
      <c r="AA40" s="2" t="s">
        <v>2566</v>
      </c>
      <c r="AB40" s="181" t="s">
        <v>135</v>
      </c>
      <c r="AD40" s="151">
        <v>107188.76</v>
      </c>
      <c r="AE40" s="158">
        <v>1</v>
      </c>
      <c r="AF40" s="175">
        <v>94.92</v>
      </c>
      <c r="AG40" s="151">
        <v>101.744</v>
      </c>
      <c r="AJ40" s="2" t="s">
        <v>36</v>
      </c>
      <c r="AK40" s="164">
        <v>0.26698024781823698</v>
      </c>
      <c r="AL40" s="164">
        <v>2.7708541571783798E-3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323</v>
      </c>
      <c r="M1" s="19" t="s">
        <v>144</v>
      </c>
      <c r="N1" s="19" t="s">
        <v>120</v>
      </c>
      <c r="O1" s="179" t="s">
        <v>152</v>
      </c>
      <c r="P1" s="19" t="s">
        <v>11</v>
      </c>
      <c r="Q1" s="19" t="s">
        <v>145</v>
      </c>
      <c r="R1" s="19" t="s">
        <v>146</v>
      </c>
      <c r="S1" s="179" t="s">
        <v>129</v>
      </c>
      <c r="T1" s="179" t="s">
        <v>147</v>
      </c>
      <c r="U1" s="19" t="s">
        <v>17</v>
      </c>
      <c r="V1" s="157" t="s">
        <v>18</v>
      </c>
      <c r="W1" s="168" t="s">
        <v>19</v>
      </c>
      <c r="X1" s="19" t="s">
        <v>20</v>
      </c>
      <c r="Y1" s="163" t="s">
        <v>24</v>
      </c>
      <c r="Z1" s="163" t="s">
        <v>25</v>
      </c>
    </row>
    <row r="2" spans="1:26">
      <c r="A2" s="20">
        <v>337</v>
      </c>
      <c r="B2" s="20">
        <v>1405</v>
      </c>
      <c r="C2" s="20" t="s">
        <v>2762</v>
      </c>
      <c r="D2" s="20" t="s">
        <v>2763</v>
      </c>
      <c r="E2" s="18" t="s">
        <v>311</v>
      </c>
      <c r="F2" s="20" t="s">
        <v>2764</v>
      </c>
      <c r="G2" s="20" t="s">
        <v>2765</v>
      </c>
      <c r="H2" s="18" t="s">
        <v>318</v>
      </c>
      <c r="I2" s="20" t="s">
        <v>765</v>
      </c>
      <c r="J2" s="18" t="s">
        <v>79</v>
      </c>
      <c r="K2" s="18" t="s">
        <v>80</v>
      </c>
      <c r="L2" s="20" t="s">
        <v>164</v>
      </c>
      <c r="M2" s="20" t="s">
        <v>475</v>
      </c>
      <c r="N2" s="20" t="s">
        <v>134</v>
      </c>
      <c r="O2" s="180" t="s">
        <v>2766</v>
      </c>
      <c r="P2" s="18" t="s">
        <v>84</v>
      </c>
      <c r="Q2" s="20" t="s">
        <v>164</v>
      </c>
      <c r="R2" s="20" t="s">
        <v>2566</v>
      </c>
      <c r="S2" s="180" t="s">
        <v>2766</v>
      </c>
      <c r="T2" s="20"/>
      <c r="U2" s="153">
        <v>570</v>
      </c>
      <c r="V2" s="173">
        <v>3.718</v>
      </c>
      <c r="W2" s="174">
        <v>2500</v>
      </c>
      <c r="X2" s="153">
        <v>52.981000000000002</v>
      </c>
      <c r="Y2" s="172">
        <v>1</v>
      </c>
      <c r="Z2" s="172">
        <v>5.7796800936150104E-3</v>
      </c>
    </row>
    <row r="3" spans="1:26">
      <c r="A3" s="20">
        <v>337</v>
      </c>
      <c r="B3" s="20">
        <v>1477</v>
      </c>
      <c r="C3" s="20" t="s">
        <v>2767</v>
      </c>
      <c r="D3" s="20" t="s">
        <v>2768</v>
      </c>
      <c r="E3" s="18" t="s">
        <v>33</v>
      </c>
      <c r="F3" s="20" t="s">
        <v>2769</v>
      </c>
      <c r="G3" s="20" t="s">
        <v>2770</v>
      </c>
      <c r="H3" s="18" t="s">
        <v>318</v>
      </c>
      <c r="I3" s="20" t="s">
        <v>765</v>
      </c>
      <c r="J3" s="18" t="s">
        <v>30</v>
      </c>
      <c r="K3" s="18" t="s">
        <v>30</v>
      </c>
      <c r="L3" s="20" t="s">
        <v>164</v>
      </c>
      <c r="M3" s="20" t="s">
        <v>445</v>
      </c>
      <c r="N3" s="20" t="s">
        <v>134</v>
      </c>
      <c r="O3" s="180" t="s">
        <v>2771</v>
      </c>
      <c r="P3" s="18" t="s">
        <v>34</v>
      </c>
      <c r="Q3" s="20" t="s">
        <v>164</v>
      </c>
      <c r="R3" s="20" t="s">
        <v>895</v>
      </c>
      <c r="S3" s="180" t="s">
        <v>2772</v>
      </c>
      <c r="T3" s="20"/>
      <c r="U3" s="153">
        <v>9693</v>
      </c>
      <c r="V3" s="173">
        <v>1</v>
      </c>
      <c r="W3" s="174">
        <v>0</v>
      </c>
      <c r="X3" s="153">
        <v>0</v>
      </c>
      <c r="Y3" s="172">
        <v>8.6901559223294996E-9</v>
      </c>
      <c r="Z3" s="172">
        <v>6.1261506002198693E-12</v>
      </c>
    </row>
    <row r="4" spans="1:26">
      <c r="A4" s="20">
        <v>337</v>
      </c>
      <c r="B4" s="20">
        <v>1477</v>
      </c>
      <c r="C4" s="20" t="s">
        <v>2762</v>
      </c>
      <c r="D4" s="20" t="s">
        <v>2763</v>
      </c>
      <c r="E4" s="18" t="s">
        <v>311</v>
      </c>
      <c r="F4" s="20" t="s">
        <v>2764</v>
      </c>
      <c r="G4" s="20" t="s">
        <v>2765</v>
      </c>
      <c r="H4" s="18" t="s">
        <v>318</v>
      </c>
      <c r="I4" s="20" t="s">
        <v>765</v>
      </c>
      <c r="J4" s="18" t="s">
        <v>79</v>
      </c>
      <c r="K4" s="18" t="s">
        <v>80</v>
      </c>
      <c r="L4" s="20" t="s">
        <v>164</v>
      </c>
      <c r="M4" s="20" t="s">
        <v>475</v>
      </c>
      <c r="N4" s="20" t="s">
        <v>134</v>
      </c>
      <c r="O4" s="181" t="s">
        <v>2766</v>
      </c>
      <c r="P4" s="18" t="s">
        <v>84</v>
      </c>
      <c r="Q4" s="20" t="s">
        <v>164</v>
      </c>
      <c r="R4" s="20" t="s">
        <v>2566</v>
      </c>
      <c r="S4" s="180" t="s">
        <v>2766</v>
      </c>
      <c r="T4" s="20"/>
      <c r="U4" s="153">
        <v>120</v>
      </c>
      <c r="V4" s="173">
        <v>3.718</v>
      </c>
      <c r="W4" s="174">
        <v>2500</v>
      </c>
      <c r="X4" s="153">
        <v>11.154</v>
      </c>
      <c r="Y4" s="172">
        <v>0.99999999130984396</v>
      </c>
      <c r="Z4" s="172">
        <v>7.04952891724465E-4</v>
      </c>
    </row>
    <row r="5" spans="1:26">
      <c r="A5" s="20">
        <v>337</v>
      </c>
      <c r="B5" s="20">
        <v>9962</v>
      </c>
      <c r="C5" s="20" t="s">
        <v>2767</v>
      </c>
      <c r="D5" s="20" t="s">
        <v>2768</v>
      </c>
      <c r="E5" s="18" t="s">
        <v>33</v>
      </c>
      <c r="F5" s="20" t="s">
        <v>2769</v>
      </c>
      <c r="G5" s="20" t="s">
        <v>2770</v>
      </c>
      <c r="H5" s="18" t="s">
        <v>318</v>
      </c>
      <c r="I5" s="20" t="s">
        <v>765</v>
      </c>
      <c r="J5" s="18" t="s">
        <v>30</v>
      </c>
      <c r="K5" s="18" t="s">
        <v>30</v>
      </c>
      <c r="L5" s="20" t="s">
        <v>164</v>
      </c>
      <c r="M5" s="20" t="s">
        <v>445</v>
      </c>
      <c r="N5" s="20" t="s">
        <v>134</v>
      </c>
      <c r="O5" s="180" t="s">
        <v>2771</v>
      </c>
      <c r="P5" s="18" t="s">
        <v>34</v>
      </c>
      <c r="Q5" s="20" t="s">
        <v>164</v>
      </c>
      <c r="R5" s="20" t="s">
        <v>895</v>
      </c>
      <c r="S5" s="180" t="s">
        <v>2772</v>
      </c>
      <c r="T5" s="20"/>
      <c r="U5" s="153">
        <v>30695</v>
      </c>
      <c r="V5" s="173">
        <v>1</v>
      </c>
      <c r="W5" s="174">
        <v>0</v>
      </c>
      <c r="X5" s="153">
        <v>0</v>
      </c>
      <c r="Y5" s="172">
        <v>7.3384734384664508E-9</v>
      </c>
      <c r="Z5" s="172">
        <v>8.0192110354479692E-12</v>
      </c>
    </row>
    <row r="6" spans="1:26">
      <c r="A6" s="20">
        <v>337</v>
      </c>
      <c r="B6" s="20">
        <v>9962</v>
      </c>
      <c r="C6" s="20" t="s">
        <v>2762</v>
      </c>
      <c r="D6" s="20" t="s">
        <v>2763</v>
      </c>
      <c r="E6" s="18" t="s">
        <v>311</v>
      </c>
      <c r="F6" s="20" t="s">
        <v>2764</v>
      </c>
      <c r="G6" s="20" t="s">
        <v>2765</v>
      </c>
      <c r="H6" s="18" t="s">
        <v>318</v>
      </c>
      <c r="I6" s="20" t="s">
        <v>765</v>
      </c>
      <c r="J6" s="18" t="s">
        <v>79</v>
      </c>
      <c r="K6" s="18" t="s">
        <v>80</v>
      </c>
      <c r="L6" s="20" t="s">
        <v>164</v>
      </c>
      <c r="M6" s="20" t="s">
        <v>475</v>
      </c>
      <c r="N6" s="20" t="s">
        <v>134</v>
      </c>
      <c r="O6" s="180" t="s">
        <v>2766</v>
      </c>
      <c r="P6" s="18" t="s">
        <v>84</v>
      </c>
      <c r="Q6" s="20" t="s">
        <v>164</v>
      </c>
      <c r="R6" s="20" t="s">
        <v>2566</v>
      </c>
      <c r="S6" s="180" t="s">
        <v>2766</v>
      </c>
      <c r="T6" s="20"/>
      <c r="U6" s="153">
        <v>450</v>
      </c>
      <c r="V6" s="173">
        <v>3.718</v>
      </c>
      <c r="W6" s="174">
        <v>2500</v>
      </c>
      <c r="X6" s="153">
        <v>41.828000000000003</v>
      </c>
      <c r="Y6" s="172">
        <v>0.99999999266152595</v>
      </c>
      <c r="Z6" s="172">
        <v>1.09276282647076E-3</v>
      </c>
    </row>
    <row r="7" spans="1:26">
      <c r="A7" s="20">
        <v>337</v>
      </c>
      <c r="B7" s="20">
        <v>9963</v>
      </c>
      <c r="C7" s="20" t="s">
        <v>2773</v>
      </c>
      <c r="D7" s="20" t="s">
        <v>2774</v>
      </c>
      <c r="E7" s="18" t="s">
        <v>1303</v>
      </c>
      <c r="F7" s="20" t="s">
        <v>2775</v>
      </c>
      <c r="G7" s="20" t="s">
        <v>2776</v>
      </c>
      <c r="H7" s="18" t="s">
        <v>33</v>
      </c>
      <c r="I7" s="20" t="s">
        <v>765</v>
      </c>
      <c r="J7" s="18" t="s">
        <v>30</v>
      </c>
      <c r="K7" s="18" t="s">
        <v>30</v>
      </c>
      <c r="L7" s="20" t="s">
        <v>164</v>
      </c>
      <c r="M7" s="20" t="s">
        <v>1757</v>
      </c>
      <c r="N7" s="20" t="s">
        <v>134</v>
      </c>
      <c r="O7" s="180" t="s">
        <v>2777</v>
      </c>
      <c r="P7" s="18" t="s">
        <v>84</v>
      </c>
      <c r="Q7" s="20" t="s">
        <v>893</v>
      </c>
      <c r="R7" s="20" t="s">
        <v>2566</v>
      </c>
      <c r="S7" s="180" t="s">
        <v>2778</v>
      </c>
      <c r="T7" s="20"/>
      <c r="U7" s="153">
        <v>237368</v>
      </c>
      <c r="V7" s="173">
        <v>3.718</v>
      </c>
      <c r="W7" s="174">
        <v>27.384</v>
      </c>
      <c r="X7" s="153">
        <v>241.673</v>
      </c>
      <c r="Y7" s="172">
        <v>1.43306014773096E-2</v>
      </c>
      <c r="Z7" s="172">
        <v>2.24806956139222E-4</v>
      </c>
    </row>
    <row r="8" spans="1:26">
      <c r="A8" s="20">
        <v>337</v>
      </c>
      <c r="B8" s="20">
        <v>9963</v>
      </c>
      <c r="C8" s="20" t="s">
        <v>2779</v>
      </c>
      <c r="D8" s="20" t="s">
        <v>2780</v>
      </c>
      <c r="E8" s="18" t="s">
        <v>1303</v>
      </c>
      <c r="F8" s="20" t="s">
        <v>2779</v>
      </c>
      <c r="G8" s="20" t="s">
        <v>2781</v>
      </c>
      <c r="H8" s="18" t="s">
        <v>33</v>
      </c>
      <c r="I8" s="20" t="s">
        <v>765</v>
      </c>
      <c r="J8" s="18" t="s">
        <v>30</v>
      </c>
      <c r="K8" s="18" t="s">
        <v>30</v>
      </c>
      <c r="L8" s="20" t="s">
        <v>164</v>
      </c>
      <c r="M8" s="20" t="s">
        <v>445</v>
      </c>
      <c r="N8" s="20" t="s">
        <v>134</v>
      </c>
      <c r="O8" s="180" t="s">
        <v>2782</v>
      </c>
      <c r="P8" s="18" t="s">
        <v>84</v>
      </c>
      <c r="Q8" s="20" t="s">
        <v>893</v>
      </c>
      <c r="R8" s="20" t="s">
        <v>2566</v>
      </c>
      <c r="S8" s="180" t="s">
        <v>2783</v>
      </c>
      <c r="T8" s="20"/>
      <c r="U8" s="153">
        <v>167852</v>
      </c>
      <c r="V8" s="173">
        <v>3.718</v>
      </c>
      <c r="W8" s="174">
        <v>830.053</v>
      </c>
      <c r="X8" s="153">
        <v>5180.1419999999998</v>
      </c>
      <c r="Y8" s="172">
        <v>0.30716915382738802</v>
      </c>
      <c r="Z8" s="172">
        <v>4.81862276340125E-3</v>
      </c>
    </row>
    <row r="9" spans="1:26">
      <c r="A9" s="20">
        <v>337</v>
      </c>
      <c r="B9" s="20">
        <v>9963</v>
      </c>
      <c r="C9" s="20" t="s">
        <v>2784</v>
      </c>
      <c r="D9" s="20" t="s">
        <v>2785</v>
      </c>
      <c r="E9" s="18" t="s">
        <v>1303</v>
      </c>
      <c r="F9" s="20" t="s">
        <v>2786</v>
      </c>
      <c r="G9" s="20" t="s">
        <v>2787</v>
      </c>
      <c r="H9" s="18" t="s">
        <v>318</v>
      </c>
      <c r="I9" s="20" t="s">
        <v>765</v>
      </c>
      <c r="J9" s="18" t="s">
        <v>30</v>
      </c>
      <c r="K9" s="18" t="s">
        <v>30</v>
      </c>
      <c r="L9" s="20" t="s">
        <v>164</v>
      </c>
      <c r="M9" s="20" t="s">
        <v>440</v>
      </c>
      <c r="N9" s="20" t="s">
        <v>134</v>
      </c>
      <c r="O9" s="180" t="s">
        <v>163</v>
      </c>
      <c r="P9" s="18" t="s">
        <v>34</v>
      </c>
      <c r="Q9" s="20" t="s">
        <v>164</v>
      </c>
      <c r="R9" s="20" t="s">
        <v>895</v>
      </c>
      <c r="S9" s="180" t="s">
        <v>135</v>
      </c>
      <c r="T9" s="20"/>
      <c r="U9" s="153">
        <v>20165</v>
      </c>
      <c r="V9" s="173">
        <v>1</v>
      </c>
      <c r="W9" s="174">
        <v>0</v>
      </c>
      <c r="X9" s="153">
        <v>0</v>
      </c>
      <c r="Y9" s="172">
        <v>1.1957329666254E-11</v>
      </c>
      <c r="Z9" s="172">
        <v>1.87576975752203E-13</v>
      </c>
    </row>
    <row r="10" spans="1:26">
      <c r="A10" s="20">
        <v>337</v>
      </c>
      <c r="B10" s="20">
        <v>9963</v>
      </c>
      <c r="C10" s="20" t="s">
        <v>2788</v>
      </c>
      <c r="D10" s="20" t="s">
        <v>2789</v>
      </c>
      <c r="E10" s="18" t="s">
        <v>1303</v>
      </c>
      <c r="F10" s="20" t="s">
        <v>2788</v>
      </c>
      <c r="G10" s="20" t="s">
        <v>2790</v>
      </c>
      <c r="H10" s="18" t="s">
        <v>33</v>
      </c>
      <c r="I10" s="20" t="s">
        <v>765</v>
      </c>
      <c r="J10" s="18" t="s">
        <v>30</v>
      </c>
      <c r="K10" s="18" t="s">
        <v>30</v>
      </c>
      <c r="L10" s="20" t="s">
        <v>164</v>
      </c>
      <c r="M10" s="20" t="s">
        <v>460</v>
      </c>
      <c r="N10" s="20" t="s">
        <v>134</v>
      </c>
      <c r="O10" s="180" t="s">
        <v>2791</v>
      </c>
      <c r="P10" s="18" t="s">
        <v>34</v>
      </c>
      <c r="Q10" s="20" t="s">
        <v>164</v>
      </c>
      <c r="R10" s="20" t="s">
        <v>895</v>
      </c>
      <c r="S10" s="180" t="s">
        <v>2792</v>
      </c>
      <c r="T10" s="20"/>
      <c r="U10" s="153">
        <v>396.62</v>
      </c>
      <c r="V10" s="173">
        <v>1</v>
      </c>
      <c r="W10" s="174">
        <v>134973.728</v>
      </c>
      <c r="X10" s="153">
        <v>535.33299999999997</v>
      </c>
      <c r="Y10" s="172">
        <v>3.1743867021620797E-2</v>
      </c>
      <c r="Z10" s="172">
        <v>4.9797226812273003E-4</v>
      </c>
    </row>
    <row r="11" spans="1:26">
      <c r="A11" s="20">
        <v>337</v>
      </c>
      <c r="B11" s="20">
        <v>9963</v>
      </c>
      <c r="C11" s="20" t="s">
        <v>2793</v>
      </c>
      <c r="D11" s="20" t="s">
        <v>2794</v>
      </c>
      <c r="E11" s="18" t="s">
        <v>1303</v>
      </c>
      <c r="F11" s="20" t="s">
        <v>2795</v>
      </c>
      <c r="G11" s="20" t="s">
        <v>2796</v>
      </c>
      <c r="H11" s="18" t="s">
        <v>33</v>
      </c>
      <c r="I11" s="20" t="s">
        <v>765</v>
      </c>
      <c r="J11" s="18" t="s">
        <v>30</v>
      </c>
      <c r="K11" s="18" t="s">
        <v>30</v>
      </c>
      <c r="L11" s="20" t="s">
        <v>164</v>
      </c>
      <c r="M11" s="20" t="s">
        <v>460</v>
      </c>
      <c r="N11" s="20" t="s">
        <v>134</v>
      </c>
      <c r="O11" s="180" t="s">
        <v>2797</v>
      </c>
      <c r="P11" s="18" t="s">
        <v>34</v>
      </c>
      <c r="Q11" s="20" t="s">
        <v>893</v>
      </c>
      <c r="R11" s="20" t="s">
        <v>2566</v>
      </c>
      <c r="S11" s="180" t="s">
        <v>2798</v>
      </c>
      <c r="T11" s="20"/>
      <c r="U11" s="153">
        <v>38</v>
      </c>
      <c r="V11" s="173">
        <v>1</v>
      </c>
      <c r="W11" s="174">
        <v>723145.34900000005</v>
      </c>
      <c r="X11" s="153">
        <v>274.79500000000002</v>
      </c>
      <c r="Y11" s="172">
        <v>1.6294655028076699E-2</v>
      </c>
      <c r="Z11" s="172">
        <v>2.5561744941415398E-4</v>
      </c>
    </row>
    <row r="12" spans="1:26">
      <c r="A12" s="20">
        <v>337</v>
      </c>
      <c r="B12" s="20">
        <v>9963</v>
      </c>
      <c r="C12" s="20" t="s">
        <v>2767</v>
      </c>
      <c r="D12" s="20" t="s">
        <v>2768</v>
      </c>
      <c r="E12" s="18" t="s">
        <v>33</v>
      </c>
      <c r="F12" s="20" t="s">
        <v>2769</v>
      </c>
      <c r="G12" s="20" t="s">
        <v>2770</v>
      </c>
      <c r="H12" s="18" t="s">
        <v>318</v>
      </c>
      <c r="I12" s="20" t="s">
        <v>765</v>
      </c>
      <c r="J12" s="18" t="s">
        <v>30</v>
      </c>
      <c r="K12" s="18" t="s">
        <v>30</v>
      </c>
      <c r="L12" s="20" t="s">
        <v>164</v>
      </c>
      <c r="M12" s="20" t="s">
        <v>445</v>
      </c>
      <c r="N12" s="20" t="s">
        <v>134</v>
      </c>
      <c r="O12" s="180" t="s">
        <v>2771</v>
      </c>
      <c r="P12" s="18" t="s">
        <v>34</v>
      </c>
      <c r="Q12" s="20" t="s">
        <v>164</v>
      </c>
      <c r="R12" s="20" t="s">
        <v>895</v>
      </c>
      <c r="S12" s="180" t="s">
        <v>2772</v>
      </c>
      <c r="T12" s="20"/>
      <c r="U12" s="153">
        <v>2116317</v>
      </c>
      <c r="V12" s="173">
        <v>1</v>
      </c>
      <c r="W12" s="174">
        <v>0</v>
      </c>
      <c r="X12" s="153">
        <v>0</v>
      </c>
      <c r="Y12" s="172">
        <v>1.25492189671697E-9</v>
      </c>
      <c r="Z12" s="172">
        <v>1.9686205930720298E-11</v>
      </c>
    </row>
    <row r="13" spans="1:26">
      <c r="A13" s="20">
        <v>337</v>
      </c>
      <c r="B13" s="20">
        <v>9963</v>
      </c>
      <c r="C13" s="20" t="s">
        <v>2799</v>
      </c>
      <c r="D13" s="20" t="s">
        <v>2800</v>
      </c>
      <c r="E13" s="18" t="s">
        <v>33</v>
      </c>
      <c r="F13" s="20" t="s">
        <v>2801</v>
      </c>
      <c r="G13" s="20" t="s">
        <v>2802</v>
      </c>
      <c r="H13" s="18" t="s">
        <v>33</v>
      </c>
      <c r="I13" s="20" t="s">
        <v>765</v>
      </c>
      <c r="J13" s="18" t="s">
        <v>79</v>
      </c>
      <c r="K13" s="18" t="s">
        <v>295</v>
      </c>
      <c r="L13" s="20" t="s">
        <v>164</v>
      </c>
      <c r="M13" s="20" t="s">
        <v>447</v>
      </c>
      <c r="N13" s="20" t="s">
        <v>134</v>
      </c>
      <c r="O13" s="180" t="s">
        <v>2803</v>
      </c>
      <c r="P13" s="18" t="s">
        <v>84</v>
      </c>
      <c r="Q13" s="20" t="s">
        <v>891</v>
      </c>
      <c r="R13" s="20" t="s">
        <v>895</v>
      </c>
      <c r="S13" s="180" t="s">
        <v>2804</v>
      </c>
      <c r="T13" s="20"/>
      <c r="U13" s="153">
        <v>8941</v>
      </c>
      <c r="V13" s="173">
        <v>3.718</v>
      </c>
      <c r="W13" s="174">
        <v>4425.12</v>
      </c>
      <c r="X13" s="153">
        <v>1471.027</v>
      </c>
      <c r="Y13" s="172">
        <v>8.7228119390274403E-2</v>
      </c>
      <c r="Z13" s="172">
        <v>1.3683646175580899E-3</v>
      </c>
    </row>
    <row r="14" spans="1:26">
      <c r="A14" s="20">
        <v>337</v>
      </c>
      <c r="B14" s="20">
        <v>9963</v>
      </c>
      <c r="C14" s="20" t="s">
        <v>2805</v>
      </c>
      <c r="D14" s="20" t="s">
        <v>2806</v>
      </c>
      <c r="E14" s="18" t="s">
        <v>33</v>
      </c>
      <c r="F14" s="20" t="s">
        <v>2807</v>
      </c>
      <c r="G14" s="20" t="s">
        <v>2808</v>
      </c>
      <c r="H14" s="18" t="s">
        <v>33</v>
      </c>
      <c r="I14" s="20" t="s">
        <v>765</v>
      </c>
      <c r="J14" s="18" t="s">
        <v>79</v>
      </c>
      <c r="K14" s="18" t="s">
        <v>237</v>
      </c>
      <c r="L14" s="20" t="s">
        <v>164</v>
      </c>
      <c r="M14" s="20" t="s">
        <v>543</v>
      </c>
      <c r="N14" s="20" t="s">
        <v>134</v>
      </c>
      <c r="O14" s="180" t="s">
        <v>2809</v>
      </c>
      <c r="P14" s="18" t="s">
        <v>84</v>
      </c>
      <c r="Q14" s="20" t="s">
        <v>891</v>
      </c>
      <c r="R14" s="20" t="s">
        <v>895</v>
      </c>
      <c r="S14" s="180" t="s">
        <v>2667</v>
      </c>
      <c r="T14" s="20"/>
      <c r="U14" s="153">
        <v>301500</v>
      </c>
      <c r="V14" s="173">
        <v>3.718</v>
      </c>
      <c r="W14" s="174">
        <v>264.18400000000003</v>
      </c>
      <c r="X14" s="153">
        <v>2961.4360000000001</v>
      </c>
      <c r="Y14" s="172">
        <v>0.175605602774175</v>
      </c>
      <c r="Z14" s="172">
        <v>2.7547595335172901E-3</v>
      </c>
    </row>
    <row r="15" spans="1:26">
      <c r="A15" s="20">
        <v>337</v>
      </c>
      <c r="B15" s="20">
        <v>9963</v>
      </c>
      <c r="C15" s="20" t="s">
        <v>2810</v>
      </c>
      <c r="D15" s="20" t="s">
        <v>2811</v>
      </c>
      <c r="E15" s="18" t="s">
        <v>33</v>
      </c>
      <c r="F15" s="20" t="s">
        <v>2812</v>
      </c>
      <c r="G15" s="20" t="s">
        <v>2813</v>
      </c>
      <c r="H15" s="18" t="s">
        <v>33</v>
      </c>
      <c r="I15" s="20" t="s">
        <v>765</v>
      </c>
      <c r="J15" s="18" t="s">
        <v>79</v>
      </c>
      <c r="K15" s="18" t="s">
        <v>237</v>
      </c>
      <c r="L15" s="20" t="s">
        <v>164</v>
      </c>
      <c r="M15" s="20" t="s">
        <v>543</v>
      </c>
      <c r="N15" s="20" t="s">
        <v>134</v>
      </c>
      <c r="O15" s="180" t="s">
        <v>2809</v>
      </c>
      <c r="P15" s="18" t="s">
        <v>1177</v>
      </c>
      <c r="Q15" s="20" t="s">
        <v>164</v>
      </c>
      <c r="R15" s="20" t="s">
        <v>2566</v>
      </c>
      <c r="S15" s="180" t="s">
        <v>2667</v>
      </c>
      <c r="T15" s="20"/>
      <c r="U15" s="153">
        <v>502500</v>
      </c>
      <c r="V15" s="173">
        <v>4.0218999999999996</v>
      </c>
      <c r="W15" s="174">
        <v>99.923000000000002</v>
      </c>
      <c r="X15" s="153">
        <v>2019.44</v>
      </c>
      <c r="Y15" s="172">
        <v>0.119747660342645</v>
      </c>
      <c r="Z15" s="172">
        <v>1.8785050347710399E-3</v>
      </c>
    </row>
    <row r="16" spans="1:26">
      <c r="A16" s="20">
        <v>337</v>
      </c>
      <c r="B16" s="20">
        <v>9963</v>
      </c>
      <c r="C16" s="20" t="s">
        <v>2814</v>
      </c>
      <c r="D16" s="20" t="s">
        <v>2815</v>
      </c>
      <c r="E16" s="18" t="s">
        <v>33</v>
      </c>
      <c r="F16" s="20" t="s">
        <v>2814</v>
      </c>
      <c r="G16" s="20" t="s">
        <v>2816</v>
      </c>
      <c r="H16" s="18" t="s">
        <v>33</v>
      </c>
      <c r="I16" s="20" t="s">
        <v>765</v>
      </c>
      <c r="J16" s="18" t="s">
        <v>79</v>
      </c>
      <c r="K16" s="18" t="s">
        <v>295</v>
      </c>
      <c r="L16" s="20" t="s">
        <v>164</v>
      </c>
      <c r="M16" s="20" t="s">
        <v>543</v>
      </c>
      <c r="N16" s="20" t="s">
        <v>134</v>
      </c>
      <c r="O16" s="180" t="s">
        <v>2817</v>
      </c>
      <c r="P16" s="18" t="s">
        <v>84</v>
      </c>
      <c r="Q16" s="20" t="s">
        <v>164</v>
      </c>
      <c r="R16" s="20" t="s">
        <v>2566</v>
      </c>
      <c r="S16" s="180" t="s">
        <v>2818</v>
      </c>
      <c r="T16" s="20"/>
      <c r="U16" s="153">
        <v>65700</v>
      </c>
      <c r="V16" s="173">
        <v>3.718</v>
      </c>
      <c r="W16" s="174">
        <v>505.08</v>
      </c>
      <c r="X16" s="153">
        <v>1233.7719999999999</v>
      </c>
      <c r="Y16" s="172">
        <v>7.3159529441616397E-2</v>
      </c>
      <c r="Z16" s="172">
        <v>1.14766788765905E-3</v>
      </c>
    </row>
    <row r="17" spans="1:26">
      <c r="A17" s="20">
        <v>337</v>
      </c>
      <c r="B17" s="20">
        <v>9963</v>
      </c>
      <c r="C17" s="20" t="s">
        <v>2762</v>
      </c>
      <c r="D17" s="20" t="s">
        <v>2763</v>
      </c>
      <c r="E17" s="18" t="s">
        <v>311</v>
      </c>
      <c r="F17" s="20" t="s">
        <v>2764</v>
      </c>
      <c r="G17" s="20" t="s">
        <v>2765</v>
      </c>
      <c r="H17" s="18" t="s">
        <v>318</v>
      </c>
      <c r="I17" s="20" t="s">
        <v>765</v>
      </c>
      <c r="J17" s="18" t="s">
        <v>79</v>
      </c>
      <c r="K17" s="18" t="s">
        <v>80</v>
      </c>
      <c r="L17" s="20" t="s">
        <v>164</v>
      </c>
      <c r="M17" s="20" t="s">
        <v>475</v>
      </c>
      <c r="N17" s="20" t="s">
        <v>134</v>
      </c>
      <c r="O17" s="180" t="s">
        <v>2766</v>
      </c>
      <c r="P17" s="18" t="s">
        <v>84</v>
      </c>
      <c r="Q17" s="20" t="s">
        <v>164</v>
      </c>
      <c r="R17" s="20" t="s">
        <v>2566</v>
      </c>
      <c r="S17" s="180" t="s">
        <v>2766</v>
      </c>
      <c r="T17" s="20"/>
      <c r="U17" s="153">
        <v>31700</v>
      </c>
      <c r="V17" s="173">
        <v>3.718</v>
      </c>
      <c r="W17" s="174">
        <v>2500</v>
      </c>
      <c r="X17" s="153">
        <v>2946.5149999999999</v>
      </c>
      <c r="Y17" s="172">
        <v>0.174720809430015</v>
      </c>
      <c r="Z17" s="172">
        <v>2.7408796067865198E-3</v>
      </c>
    </row>
    <row r="18" spans="1:26">
      <c r="A18" s="20">
        <v>337</v>
      </c>
      <c r="B18" s="20">
        <v>9964</v>
      </c>
      <c r="C18" s="20" t="s">
        <v>2767</v>
      </c>
      <c r="D18" s="20" t="s">
        <v>2768</v>
      </c>
      <c r="E18" s="18" t="s">
        <v>33</v>
      </c>
      <c r="F18" s="20" t="s">
        <v>2769</v>
      </c>
      <c r="G18" s="20" t="s">
        <v>2770</v>
      </c>
      <c r="H18" s="18" t="s">
        <v>318</v>
      </c>
      <c r="I18" s="20" t="s">
        <v>765</v>
      </c>
      <c r="J18" s="18" t="s">
        <v>30</v>
      </c>
      <c r="K18" s="18" t="s">
        <v>30</v>
      </c>
      <c r="L18" s="20" t="s">
        <v>164</v>
      </c>
      <c r="M18" s="20" t="s">
        <v>445</v>
      </c>
      <c r="N18" s="20" t="s">
        <v>134</v>
      </c>
      <c r="O18" s="180" t="s">
        <v>2771</v>
      </c>
      <c r="P18" s="18" t="s">
        <v>34</v>
      </c>
      <c r="Q18" s="20" t="s">
        <v>164</v>
      </c>
      <c r="R18" s="20" t="s">
        <v>895</v>
      </c>
      <c r="S18" s="180" t="s">
        <v>2772</v>
      </c>
      <c r="T18" s="20"/>
      <c r="U18" s="153">
        <v>24232</v>
      </c>
      <c r="V18" s="173">
        <v>1</v>
      </c>
      <c r="W18" s="174">
        <v>0</v>
      </c>
      <c r="X18" s="153">
        <v>0</v>
      </c>
      <c r="Y18" s="172">
        <v>3.0670505870555605E-9</v>
      </c>
      <c r="Z18" s="172">
        <v>6.5992708219397897E-12</v>
      </c>
    </row>
    <row r="19" spans="1:26">
      <c r="A19" s="4">
        <v>337</v>
      </c>
      <c r="B19" s="20">
        <v>9964</v>
      </c>
      <c r="C19" s="20" t="s">
        <v>2762</v>
      </c>
      <c r="D19" s="20" t="s">
        <v>2763</v>
      </c>
      <c r="E19" s="18" t="s">
        <v>311</v>
      </c>
      <c r="F19" s="20" t="s">
        <v>2764</v>
      </c>
      <c r="G19" s="20" t="s">
        <v>2765</v>
      </c>
      <c r="H19" s="18" t="s">
        <v>318</v>
      </c>
      <c r="I19" s="20" t="s">
        <v>765</v>
      </c>
      <c r="J19" s="18" t="s">
        <v>79</v>
      </c>
      <c r="K19" s="18" t="s">
        <v>80</v>
      </c>
      <c r="L19" s="20" t="s">
        <v>164</v>
      </c>
      <c r="M19" s="20" t="s">
        <v>475</v>
      </c>
      <c r="N19" s="20" t="s">
        <v>134</v>
      </c>
      <c r="O19" s="180" t="s">
        <v>2766</v>
      </c>
      <c r="P19" s="18" t="s">
        <v>84</v>
      </c>
      <c r="Q19" s="20" t="s">
        <v>164</v>
      </c>
      <c r="R19" s="20" t="s">
        <v>2566</v>
      </c>
      <c r="S19" s="180" t="s">
        <v>2766</v>
      </c>
      <c r="T19" s="20"/>
      <c r="U19" s="153">
        <v>850</v>
      </c>
      <c r="V19" s="173">
        <v>3.718</v>
      </c>
      <c r="W19" s="174">
        <v>2500</v>
      </c>
      <c r="X19" s="153">
        <v>79.007000000000005</v>
      </c>
      <c r="Y19" s="172">
        <v>0.99999999693294905</v>
      </c>
      <c r="Z19" s="172">
        <v>2.1516667607477998E-3</v>
      </c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16" zoomScale="70" zoomScaleNormal="70" workbookViewId="0">
      <selection activeCell="J66" sqref="J6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188</v>
      </c>
      <c r="D1" s="19" t="s">
        <v>189</v>
      </c>
      <c r="E1" s="19" t="s">
        <v>190</v>
      </c>
      <c r="F1" s="19" t="s">
        <v>191</v>
      </c>
      <c r="G1" s="19" t="s">
        <v>192</v>
      </c>
      <c r="H1" s="19" t="s">
        <v>193</v>
      </c>
      <c r="I1" s="19" t="s">
        <v>5</v>
      </c>
      <c r="J1" s="19" t="s">
        <v>830</v>
      </c>
      <c r="K1" s="19" t="s">
        <v>6</v>
      </c>
      <c r="L1" s="19" t="s">
        <v>1127</v>
      </c>
      <c r="M1" s="19" t="s">
        <v>1128</v>
      </c>
      <c r="N1" s="19" t="s">
        <v>7</v>
      </c>
      <c r="O1" s="19" t="s">
        <v>120</v>
      </c>
      <c r="P1" s="182" t="s">
        <v>152</v>
      </c>
      <c r="Q1" s="19" t="s">
        <v>11</v>
      </c>
      <c r="R1" s="19" t="s">
        <v>145</v>
      </c>
      <c r="S1" s="19" t="s">
        <v>146</v>
      </c>
      <c r="T1" s="179" t="s">
        <v>129</v>
      </c>
      <c r="U1" s="157" t="s">
        <v>18</v>
      </c>
      <c r="V1" s="102" t="s">
        <v>2534</v>
      </c>
      <c r="W1" s="19" t="s">
        <v>20</v>
      </c>
      <c r="X1" s="163" t="s">
        <v>1130</v>
      </c>
      <c r="Y1" s="163" t="s">
        <v>24</v>
      </c>
      <c r="Z1" s="163" t="s">
        <v>25</v>
      </c>
      <c r="AA1" s="11"/>
    </row>
    <row r="2" spans="1:27">
      <c r="A2" s="20">
        <v>337</v>
      </c>
      <c r="B2" s="20">
        <v>9962</v>
      </c>
      <c r="C2" s="20" t="s">
        <v>2535</v>
      </c>
      <c r="D2" s="20" t="s">
        <v>2536</v>
      </c>
      <c r="E2" s="20" t="s">
        <v>33</v>
      </c>
      <c r="F2" s="20" t="s">
        <v>2535</v>
      </c>
      <c r="G2" s="20">
        <v>62019286</v>
      </c>
      <c r="H2" s="20" t="s">
        <v>33</v>
      </c>
      <c r="I2" s="2" t="s">
        <v>1027</v>
      </c>
      <c r="J2" s="20" t="s">
        <v>566</v>
      </c>
      <c r="K2" s="18" t="s">
        <v>79</v>
      </c>
      <c r="L2" s="20" t="s">
        <v>2537</v>
      </c>
      <c r="M2" s="20" t="s">
        <v>292</v>
      </c>
      <c r="N2" s="18" t="s">
        <v>292</v>
      </c>
      <c r="O2" s="20" t="s">
        <v>134</v>
      </c>
      <c r="P2" s="183" t="s">
        <v>2538</v>
      </c>
      <c r="Q2" s="18" t="s">
        <v>84</v>
      </c>
      <c r="R2" s="20" t="s">
        <v>891</v>
      </c>
      <c r="S2" s="20" t="s">
        <v>895</v>
      </c>
      <c r="T2" s="180" t="s">
        <v>135</v>
      </c>
      <c r="U2" s="173">
        <v>3.718</v>
      </c>
      <c r="V2" s="153">
        <v>15.688000000000001</v>
      </c>
      <c r="W2" s="153">
        <v>58.326999999999998</v>
      </c>
      <c r="X2" s="172">
        <v>0</v>
      </c>
      <c r="Y2" s="172">
        <v>1</v>
      </c>
      <c r="Z2" s="172">
        <v>1.52382625714953E-3</v>
      </c>
    </row>
    <row r="3" spans="1:27">
      <c r="A3" s="20">
        <v>337</v>
      </c>
      <c r="B3" s="20">
        <v>9963</v>
      </c>
      <c r="C3" s="20" t="s">
        <v>2539</v>
      </c>
      <c r="D3" s="2" t="s">
        <v>2540</v>
      </c>
      <c r="E3" s="20" t="s">
        <v>1303</v>
      </c>
      <c r="F3" s="20" t="s">
        <v>2541</v>
      </c>
      <c r="G3" s="20">
        <v>62018528</v>
      </c>
      <c r="H3" s="20" t="s">
        <v>33</v>
      </c>
      <c r="I3" s="2" t="s">
        <v>1024</v>
      </c>
      <c r="J3" s="20" t="s">
        <v>566</v>
      </c>
      <c r="K3" s="18" t="s">
        <v>30</v>
      </c>
      <c r="L3" s="20" t="s">
        <v>30</v>
      </c>
      <c r="M3" s="20" t="s">
        <v>30</v>
      </c>
      <c r="N3" s="18" t="s">
        <v>292</v>
      </c>
      <c r="O3" s="20" t="s">
        <v>134</v>
      </c>
      <c r="P3" s="183" t="s">
        <v>2542</v>
      </c>
      <c r="Q3" s="18" t="s">
        <v>1177</v>
      </c>
      <c r="R3" s="20" t="s">
        <v>891</v>
      </c>
      <c r="S3" s="20" t="s">
        <v>895</v>
      </c>
      <c r="T3" s="184" t="s">
        <v>2543</v>
      </c>
      <c r="U3" s="173">
        <v>4.0218999999999996</v>
      </c>
      <c r="V3" s="153">
        <v>358.46899999999999</v>
      </c>
      <c r="W3" s="153">
        <v>1441.7260000000001</v>
      </c>
      <c r="X3" s="185">
        <v>0</v>
      </c>
      <c r="Y3" s="172">
        <v>8.9543281262241294E-3</v>
      </c>
      <c r="Z3" s="172">
        <v>1.34110893525496E-3</v>
      </c>
    </row>
    <row r="4" spans="1:27">
      <c r="A4" s="20">
        <v>337</v>
      </c>
      <c r="B4" s="20">
        <v>9963</v>
      </c>
      <c r="C4" s="20" t="s">
        <v>2544</v>
      </c>
      <c r="D4" s="2" t="s">
        <v>2545</v>
      </c>
      <c r="E4" s="20" t="s">
        <v>1303</v>
      </c>
      <c r="F4" s="20" t="s">
        <v>2546</v>
      </c>
      <c r="G4" s="20">
        <v>62018080</v>
      </c>
      <c r="H4" s="20" t="s">
        <v>33</v>
      </c>
      <c r="I4" s="2" t="s">
        <v>1024</v>
      </c>
      <c r="J4" s="20" t="s">
        <v>566</v>
      </c>
      <c r="K4" s="18" t="s">
        <v>30</v>
      </c>
      <c r="L4" s="20" t="s">
        <v>30</v>
      </c>
      <c r="M4" s="20" t="s">
        <v>30</v>
      </c>
      <c r="N4" s="18" t="s">
        <v>30</v>
      </c>
      <c r="O4" s="20" t="s">
        <v>134</v>
      </c>
      <c r="P4" s="183" t="s">
        <v>2547</v>
      </c>
      <c r="Q4" s="18" t="s">
        <v>84</v>
      </c>
      <c r="R4" s="20" t="s">
        <v>891</v>
      </c>
      <c r="S4" s="20" t="s">
        <v>895</v>
      </c>
      <c r="T4" s="180" t="s">
        <v>135</v>
      </c>
      <c r="U4" s="173">
        <v>3.718</v>
      </c>
      <c r="V4" s="153">
        <v>739.06399999999996</v>
      </c>
      <c r="W4" s="153">
        <v>2747.84</v>
      </c>
      <c r="X4" s="185">
        <v>0</v>
      </c>
      <c r="Y4" s="172">
        <v>1.70663924547397E-2</v>
      </c>
      <c r="Z4" s="172">
        <v>2.5560702144238599E-3</v>
      </c>
    </row>
    <row r="5" spans="1:27">
      <c r="A5" s="20">
        <v>337</v>
      </c>
      <c r="B5" s="20">
        <v>9963</v>
      </c>
      <c r="C5" s="20" t="s">
        <v>2548</v>
      </c>
      <c r="D5" s="2" t="s">
        <v>2549</v>
      </c>
      <c r="E5" s="20" t="s">
        <v>310</v>
      </c>
      <c r="F5" s="20" t="s">
        <v>2550</v>
      </c>
      <c r="G5" s="20">
        <v>50000967</v>
      </c>
      <c r="H5" s="20" t="s">
        <v>33</v>
      </c>
      <c r="I5" s="2" t="s">
        <v>1027</v>
      </c>
      <c r="J5" s="20" t="s">
        <v>566</v>
      </c>
      <c r="K5" s="18" t="s">
        <v>30</v>
      </c>
      <c r="L5" s="20" t="s">
        <v>217</v>
      </c>
      <c r="M5" s="20" t="s">
        <v>217</v>
      </c>
      <c r="N5" s="18" t="s">
        <v>30</v>
      </c>
      <c r="O5" s="20" t="s">
        <v>134</v>
      </c>
      <c r="P5" s="183" t="s">
        <v>2551</v>
      </c>
      <c r="Q5" s="18" t="s">
        <v>34</v>
      </c>
      <c r="R5" s="20" t="s">
        <v>891</v>
      </c>
      <c r="S5" s="20" t="s">
        <v>895</v>
      </c>
      <c r="T5" s="180" t="s">
        <v>2552</v>
      </c>
      <c r="U5" s="173">
        <v>1</v>
      </c>
      <c r="V5" s="153">
        <v>1126.3040000000001</v>
      </c>
      <c r="W5" s="153">
        <v>1126.3040000000001</v>
      </c>
      <c r="X5" s="185">
        <v>0</v>
      </c>
      <c r="Y5" s="172">
        <v>6.9952919993079097E-3</v>
      </c>
      <c r="Z5" s="172">
        <v>1.0476998913535899E-3</v>
      </c>
    </row>
    <row r="6" spans="1:27">
      <c r="A6" s="20">
        <v>337</v>
      </c>
      <c r="B6" s="20">
        <v>9963</v>
      </c>
      <c r="C6" s="20" t="s">
        <v>2548</v>
      </c>
      <c r="D6" s="2" t="s">
        <v>2549</v>
      </c>
      <c r="E6" s="20" t="s">
        <v>310</v>
      </c>
      <c r="F6" s="20" t="s">
        <v>2553</v>
      </c>
      <c r="G6" s="20">
        <v>50007947</v>
      </c>
      <c r="H6" s="20" t="s">
        <v>33</v>
      </c>
      <c r="I6" s="2" t="s">
        <v>1027</v>
      </c>
      <c r="J6" s="20" t="s">
        <v>566</v>
      </c>
      <c r="K6" s="18" t="s">
        <v>30</v>
      </c>
      <c r="L6" s="20" t="s">
        <v>217</v>
      </c>
      <c r="M6" s="20" t="s">
        <v>217</v>
      </c>
      <c r="N6" s="18" t="s">
        <v>30</v>
      </c>
      <c r="O6" s="20" t="s">
        <v>134</v>
      </c>
      <c r="P6" s="183" t="s">
        <v>2554</v>
      </c>
      <c r="Q6" s="18" t="s">
        <v>34</v>
      </c>
      <c r="R6" s="20" t="s">
        <v>891</v>
      </c>
      <c r="S6" s="20" t="s">
        <v>895</v>
      </c>
      <c r="T6" s="180" t="s">
        <v>2552</v>
      </c>
      <c r="U6" s="173">
        <v>1</v>
      </c>
      <c r="V6" s="153">
        <v>1685.7919999999999</v>
      </c>
      <c r="W6" s="153">
        <v>1685.7919999999999</v>
      </c>
      <c r="X6" s="172">
        <v>0</v>
      </c>
      <c r="Y6" s="172">
        <v>1.0470179125765E-2</v>
      </c>
      <c r="Z6" s="172">
        <v>1.5681411917618101E-3</v>
      </c>
    </row>
    <row r="7" spans="1:27">
      <c r="A7" s="20">
        <v>337</v>
      </c>
      <c r="B7" s="20">
        <v>9963</v>
      </c>
      <c r="C7" s="20" t="s">
        <v>2555</v>
      </c>
      <c r="D7" s="2" t="s">
        <v>2556</v>
      </c>
      <c r="E7" s="20" t="s">
        <v>33</v>
      </c>
      <c r="F7" s="20" t="s">
        <v>2555</v>
      </c>
      <c r="G7" s="20">
        <v>62018569</v>
      </c>
      <c r="H7" s="20" t="s">
        <v>33</v>
      </c>
      <c r="I7" s="2" t="s">
        <v>1024</v>
      </c>
      <c r="J7" s="20" t="s">
        <v>566</v>
      </c>
      <c r="K7" s="18" t="s">
        <v>30</v>
      </c>
      <c r="L7" s="20" t="s">
        <v>30</v>
      </c>
      <c r="M7" s="20" t="s">
        <v>30</v>
      </c>
      <c r="N7" s="18" t="s">
        <v>295</v>
      </c>
      <c r="O7" s="20" t="s">
        <v>134</v>
      </c>
      <c r="P7" s="183" t="s">
        <v>2557</v>
      </c>
      <c r="Q7" s="18" t="s">
        <v>84</v>
      </c>
      <c r="R7" s="20" t="s">
        <v>891</v>
      </c>
      <c r="S7" s="20" t="s">
        <v>895</v>
      </c>
      <c r="T7" s="180" t="s">
        <v>135</v>
      </c>
      <c r="U7" s="173">
        <v>3.718</v>
      </c>
      <c r="V7" s="153">
        <v>319.43799999999999</v>
      </c>
      <c r="W7" s="153">
        <v>1187.672</v>
      </c>
      <c r="X7" s="172">
        <v>0</v>
      </c>
      <c r="Y7" s="172">
        <v>7.3764397970183899E-3</v>
      </c>
      <c r="Z7" s="172">
        <v>1.1047852147811801E-3</v>
      </c>
    </row>
    <row r="8" spans="1:27">
      <c r="A8" s="20">
        <v>337</v>
      </c>
      <c r="B8" s="20">
        <v>9963</v>
      </c>
      <c r="C8" s="20" t="s">
        <v>1299</v>
      </c>
      <c r="D8" s="2" t="s">
        <v>2558</v>
      </c>
      <c r="E8" s="20" t="s">
        <v>309</v>
      </c>
      <c r="F8" s="20" t="s">
        <v>2559</v>
      </c>
      <c r="G8" s="20">
        <v>62018254</v>
      </c>
      <c r="H8" s="20" t="s">
        <v>33</v>
      </c>
      <c r="I8" s="2" t="s">
        <v>1024</v>
      </c>
      <c r="J8" s="20" t="s">
        <v>850</v>
      </c>
      <c r="K8" s="18" t="s">
        <v>79</v>
      </c>
      <c r="L8" s="20" t="s">
        <v>217</v>
      </c>
      <c r="M8" s="20" t="s">
        <v>217</v>
      </c>
      <c r="N8" s="18" t="s">
        <v>30</v>
      </c>
      <c r="O8" s="20" t="s">
        <v>134</v>
      </c>
      <c r="P8" s="183" t="s">
        <v>2560</v>
      </c>
      <c r="Q8" s="18" t="s">
        <v>84</v>
      </c>
      <c r="R8" s="20" t="s">
        <v>891</v>
      </c>
      <c r="S8" s="20" t="s">
        <v>895</v>
      </c>
      <c r="T8" s="180" t="s">
        <v>2561</v>
      </c>
      <c r="U8" s="173">
        <v>3.718</v>
      </c>
      <c r="V8" s="153">
        <v>347.464</v>
      </c>
      <c r="W8" s="153">
        <v>1291.8699999999999</v>
      </c>
      <c r="X8" s="172">
        <v>0</v>
      </c>
      <c r="Y8" s="172">
        <v>8.0235979483457807E-3</v>
      </c>
      <c r="Z8" s="172">
        <v>1.20171147960349E-3</v>
      </c>
    </row>
    <row r="9" spans="1:27">
      <c r="A9" s="20">
        <v>337</v>
      </c>
      <c r="B9" s="20">
        <v>9963</v>
      </c>
      <c r="C9" s="20" t="s">
        <v>2562</v>
      </c>
      <c r="D9" s="2" t="s">
        <v>2563</v>
      </c>
      <c r="E9" s="20" t="s">
        <v>1303</v>
      </c>
      <c r="F9" s="20" t="s">
        <v>2564</v>
      </c>
      <c r="G9" s="20">
        <v>50008341</v>
      </c>
      <c r="H9" s="20" t="s">
        <v>33</v>
      </c>
      <c r="I9" s="2" t="s">
        <v>1026</v>
      </c>
      <c r="J9" s="20" t="s">
        <v>566</v>
      </c>
      <c r="K9" s="18" t="s">
        <v>30</v>
      </c>
      <c r="L9" s="20" t="s">
        <v>30</v>
      </c>
      <c r="M9" s="20" t="s">
        <v>30</v>
      </c>
      <c r="N9" s="18" t="s">
        <v>30</v>
      </c>
      <c r="O9" s="20" t="s">
        <v>134</v>
      </c>
      <c r="P9" s="183" t="s">
        <v>2565</v>
      </c>
      <c r="Q9" s="18" t="s">
        <v>34</v>
      </c>
      <c r="R9" s="20" t="s">
        <v>891</v>
      </c>
      <c r="S9" s="20" t="s">
        <v>2566</v>
      </c>
      <c r="T9" s="180" t="s">
        <v>2567</v>
      </c>
      <c r="U9" s="173">
        <v>1</v>
      </c>
      <c r="V9" s="153">
        <v>2743.203</v>
      </c>
      <c r="W9" s="153">
        <v>2743.203</v>
      </c>
      <c r="X9" s="172">
        <v>0</v>
      </c>
      <c r="Y9" s="172">
        <v>1.7037590173102701E-2</v>
      </c>
      <c r="Z9" s="172">
        <v>2.5517564349068901E-3</v>
      </c>
    </row>
    <row r="10" spans="1:27">
      <c r="A10" s="20">
        <v>337</v>
      </c>
      <c r="B10" s="20">
        <v>9963</v>
      </c>
      <c r="C10" s="20" t="s">
        <v>2568</v>
      </c>
      <c r="D10" s="2" t="s">
        <v>2569</v>
      </c>
      <c r="E10" s="20" t="s">
        <v>309</v>
      </c>
      <c r="F10" s="20" t="s">
        <v>2570</v>
      </c>
      <c r="G10" s="20">
        <v>50006691</v>
      </c>
      <c r="H10" s="20" t="s">
        <v>33</v>
      </c>
      <c r="I10" s="2" t="s">
        <v>1027</v>
      </c>
      <c r="J10" s="20" t="s">
        <v>566</v>
      </c>
      <c r="K10" s="18" t="s">
        <v>30</v>
      </c>
      <c r="L10" s="20" t="s">
        <v>30</v>
      </c>
      <c r="M10" s="20" t="s">
        <v>30</v>
      </c>
      <c r="N10" s="18" t="s">
        <v>30</v>
      </c>
      <c r="O10" s="20" t="s">
        <v>134</v>
      </c>
      <c r="P10" s="183" t="s">
        <v>2547</v>
      </c>
      <c r="Q10" s="18" t="s">
        <v>34</v>
      </c>
      <c r="R10" s="20" t="s">
        <v>891</v>
      </c>
      <c r="S10" s="20" t="s">
        <v>895</v>
      </c>
      <c r="T10" s="180" t="s">
        <v>2571</v>
      </c>
      <c r="U10" s="173">
        <v>1</v>
      </c>
      <c r="V10" s="153">
        <v>3376.2420000000002</v>
      </c>
      <c r="W10" s="153">
        <v>3376.2420000000002</v>
      </c>
      <c r="X10" s="172">
        <v>1.688E-3</v>
      </c>
      <c r="Y10" s="172">
        <v>2.0969291545426101E-2</v>
      </c>
      <c r="Z10" s="172">
        <v>3.1406157850277202E-3</v>
      </c>
    </row>
    <row r="11" spans="1:27">
      <c r="A11" s="20">
        <v>337</v>
      </c>
      <c r="B11" s="20">
        <v>9963</v>
      </c>
      <c r="C11" s="20" t="s">
        <v>2572</v>
      </c>
      <c r="D11" s="2" t="s">
        <v>2573</v>
      </c>
      <c r="E11" s="20" t="s">
        <v>33</v>
      </c>
      <c r="F11" s="20" t="s">
        <v>2574</v>
      </c>
      <c r="G11" s="20">
        <v>62020158</v>
      </c>
      <c r="H11" s="20" t="s">
        <v>33</v>
      </c>
      <c r="I11" s="2" t="s">
        <v>1024</v>
      </c>
      <c r="J11" s="20" t="s">
        <v>566</v>
      </c>
      <c r="K11" s="18" t="s">
        <v>30</v>
      </c>
      <c r="L11" s="20" t="s">
        <v>30</v>
      </c>
      <c r="M11" s="20" t="s">
        <v>30</v>
      </c>
      <c r="N11" s="18" t="s">
        <v>30</v>
      </c>
      <c r="O11" s="20" t="s">
        <v>134</v>
      </c>
      <c r="P11" s="183" t="s">
        <v>2575</v>
      </c>
      <c r="Q11" s="18" t="s">
        <v>34</v>
      </c>
      <c r="R11" s="20" t="s">
        <v>891</v>
      </c>
      <c r="S11" s="20" t="s">
        <v>895</v>
      </c>
      <c r="T11" s="180" t="s">
        <v>135</v>
      </c>
      <c r="U11" s="173">
        <v>1</v>
      </c>
      <c r="V11" s="153">
        <v>2641.6460000000002</v>
      </c>
      <c r="W11" s="153">
        <v>2641.6460000000002</v>
      </c>
      <c r="X11" s="172">
        <v>0</v>
      </c>
      <c r="Y11" s="172">
        <v>1.64068370241666E-2</v>
      </c>
      <c r="Z11" s="172">
        <v>2.45728718249016E-3</v>
      </c>
    </row>
    <row r="12" spans="1:27">
      <c r="A12" s="20">
        <v>337</v>
      </c>
      <c r="B12" s="20">
        <v>9963</v>
      </c>
      <c r="C12" s="20" t="s">
        <v>2576</v>
      </c>
      <c r="D12" s="2" t="s">
        <v>2577</v>
      </c>
      <c r="E12" s="20" t="s">
        <v>33</v>
      </c>
      <c r="F12" s="20" t="s">
        <v>2578</v>
      </c>
      <c r="G12" s="20">
        <v>50005</v>
      </c>
      <c r="H12" s="20" t="s">
        <v>33</v>
      </c>
      <c r="I12" s="2" t="s">
        <v>1026</v>
      </c>
      <c r="J12" s="20" t="s">
        <v>566</v>
      </c>
      <c r="K12" s="18" t="s">
        <v>30</v>
      </c>
      <c r="L12" s="20" t="s">
        <v>30</v>
      </c>
      <c r="M12" s="20" t="s">
        <v>30</v>
      </c>
      <c r="N12" s="18" t="s">
        <v>30</v>
      </c>
      <c r="O12" s="20" t="s">
        <v>134</v>
      </c>
      <c r="P12" s="183" t="s">
        <v>2579</v>
      </c>
      <c r="Q12" s="18" t="s">
        <v>34</v>
      </c>
      <c r="R12" s="20" t="s">
        <v>891</v>
      </c>
      <c r="S12" s="20" t="s">
        <v>895</v>
      </c>
      <c r="T12" s="180" t="s">
        <v>2567</v>
      </c>
      <c r="U12" s="173">
        <v>1</v>
      </c>
      <c r="V12" s="153">
        <v>9514.2710000000006</v>
      </c>
      <c r="W12" s="153">
        <v>9514.2710000000006</v>
      </c>
      <c r="X12" s="172">
        <v>0</v>
      </c>
      <c r="Y12" s="172">
        <v>5.9091605050657699E-2</v>
      </c>
      <c r="Z12" s="172">
        <v>8.8502764713193297E-3</v>
      </c>
    </row>
    <row r="13" spans="1:27">
      <c r="A13" s="20">
        <v>337</v>
      </c>
      <c r="B13" s="20">
        <v>9963</v>
      </c>
      <c r="C13" s="20" t="s">
        <v>2580</v>
      </c>
      <c r="D13" s="2" t="s">
        <v>2581</v>
      </c>
      <c r="E13" s="20" t="s">
        <v>1303</v>
      </c>
      <c r="F13" s="20" t="s">
        <v>2582</v>
      </c>
      <c r="G13" s="20">
        <v>62017520</v>
      </c>
      <c r="H13" s="20" t="s">
        <v>33</v>
      </c>
      <c r="I13" s="2" t="s">
        <v>1024</v>
      </c>
      <c r="J13" s="20" t="s">
        <v>566</v>
      </c>
      <c r="K13" s="18" t="s">
        <v>30</v>
      </c>
      <c r="L13" s="20" t="s">
        <v>30</v>
      </c>
      <c r="M13" s="20" t="s">
        <v>30</v>
      </c>
      <c r="N13" s="18" t="s">
        <v>30</v>
      </c>
      <c r="O13" s="20" t="s">
        <v>134</v>
      </c>
      <c r="P13" s="183" t="s">
        <v>2583</v>
      </c>
      <c r="Q13" s="18" t="s">
        <v>84</v>
      </c>
      <c r="R13" s="20" t="s">
        <v>891</v>
      </c>
      <c r="S13" s="20" t="s">
        <v>895</v>
      </c>
      <c r="T13" s="180" t="s">
        <v>135</v>
      </c>
      <c r="U13" s="173">
        <v>3.718</v>
      </c>
      <c r="V13" s="153">
        <v>941.23699999999997</v>
      </c>
      <c r="W13" s="153">
        <v>3499.518</v>
      </c>
      <c r="X13" s="172">
        <v>0</v>
      </c>
      <c r="Y13" s="172">
        <v>2.17349406474747E-2</v>
      </c>
      <c r="Z13" s="172">
        <v>3.25528869376558E-3</v>
      </c>
    </row>
    <row r="14" spans="1:27">
      <c r="A14" s="20">
        <v>337</v>
      </c>
      <c r="B14" s="20">
        <v>9963</v>
      </c>
      <c r="C14" s="20" t="s">
        <v>2584</v>
      </c>
      <c r="D14" s="2" t="s">
        <v>2585</v>
      </c>
      <c r="E14" s="20" t="s">
        <v>310</v>
      </c>
      <c r="F14" s="20" t="s">
        <v>2586</v>
      </c>
      <c r="G14" s="20">
        <v>62000073</v>
      </c>
      <c r="H14" s="20" t="s">
        <v>33</v>
      </c>
      <c r="I14" s="2" t="s">
        <v>1028</v>
      </c>
      <c r="J14" s="20" t="s">
        <v>566</v>
      </c>
      <c r="K14" s="18" t="s">
        <v>79</v>
      </c>
      <c r="L14" s="20" t="s">
        <v>217</v>
      </c>
      <c r="M14" s="20" t="s">
        <v>30</v>
      </c>
      <c r="N14" s="18" t="s">
        <v>80</v>
      </c>
      <c r="O14" s="20" t="s">
        <v>134</v>
      </c>
      <c r="P14" s="183" t="s">
        <v>2587</v>
      </c>
      <c r="Q14" s="18" t="s">
        <v>84</v>
      </c>
      <c r="R14" s="20" t="s">
        <v>891</v>
      </c>
      <c r="S14" s="20" t="s">
        <v>895</v>
      </c>
      <c r="T14" s="180" t="s">
        <v>135</v>
      </c>
      <c r="U14" s="173">
        <v>3.718</v>
      </c>
      <c r="V14" s="153">
        <v>1078.0989999999999</v>
      </c>
      <c r="W14" s="153">
        <v>4008.3710000000001</v>
      </c>
      <c r="X14" s="172">
        <v>0</v>
      </c>
      <c r="Y14" s="172">
        <v>2.48953488451896E-2</v>
      </c>
      <c r="Z14" s="172">
        <v>3.7286298102917402E-3</v>
      </c>
    </row>
    <row r="15" spans="1:27">
      <c r="A15" s="20">
        <v>337</v>
      </c>
      <c r="B15" s="20">
        <v>9963</v>
      </c>
      <c r="C15" s="20" t="s">
        <v>2584</v>
      </c>
      <c r="D15" s="2" t="s">
        <v>2585</v>
      </c>
      <c r="E15" s="20" t="s">
        <v>310</v>
      </c>
      <c r="F15" s="20" t="s">
        <v>2584</v>
      </c>
      <c r="G15" s="20">
        <v>60388022</v>
      </c>
      <c r="H15" s="20" t="s">
        <v>33</v>
      </c>
      <c r="I15" s="2" t="s">
        <v>1028</v>
      </c>
      <c r="J15" s="20" t="s">
        <v>566</v>
      </c>
      <c r="K15" s="18" t="s">
        <v>79</v>
      </c>
      <c r="L15" s="20" t="s">
        <v>217</v>
      </c>
      <c r="M15" s="20" t="s">
        <v>30</v>
      </c>
      <c r="N15" s="18" t="s">
        <v>80</v>
      </c>
      <c r="O15" s="20" t="s">
        <v>134</v>
      </c>
      <c r="P15" s="183" t="s">
        <v>2588</v>
      </c>
      <c r="Q15" s="18" t="s">
        <v>84</v>
      </c>
      <c r="R15" s="20" t="s">
        <v>891</v>
      </c>
      <c r="S15" s="20" t="s">
        <v>895</v>
      </c>
      <c r="T15" s="180" t="s">
        <v>2589</v>
      </c>
      <c r="U15" s="173">
        <v>3.718</v>
      </c>
      <c r="V15" s="153">
        <v>396.68400000000003</v>
      </c>
      <c r="W15" s="153">
        <v>1474.8710000000001</v>
      </c>
      <c r="X15" s="172">
        <v>6.8800000000000003E-4</v>
      </c>
      <c r="Y15" s="172">
        <v>9.1601866126719608E-3</v>
      </c>
      <c r="Z15" s="172">
        <v>1.37194080244606E-3</v>
      </c>
    </row>
    <row r="16" spans="1:27">
      <c r="A16" s="20">
        <v>337</v>
      </c>
      <c r="B16" s="20">
        <v>9963</v>
      </c>
      <c r="C16" s="20" t="s">
        <v>2590</v>
      </c>
      <c r="D16" s="2" t="s">
        <v>2591</v>
      </c>
      <c r="E16" s="20" t="s">
        <v>33</v>
      </c>
      <c r="F16" s="20" t="s">
        <v>2592</v>
      </c>
      <c r="G16" s="20">
        <v>60397874</v>
      </c>
      <c r="H16" s="20" t="s">
        <v>33</v>
      </c>
      <c r="I16" s="2" t="s">
        <v>1024</v>
      </c>
      <c r="J16" s="20" t="s">
        <v>566</v>
      </c>
      <c r="K16" s="18" t="s">
        <v>79</v>
      </c>
      <c r="L16" s="20" t="s">
        <v>2593</v>
      </c>
      <c r="M16" s="20" t="s">
        <v>292</v>
      </c>
      <c r="N16" s="18" t="s">
        <v>80</v>
      </c>
      <c r="O16" s="20" t="s">
        <v>134</v>
      </c>
      <c r="P16" s="183" t="s">
        <v>2594</v>
      </c>
      <c r="Q16" s="18" t="s">
        <v>84</v>
      </c>
      <c r="R16" s="20" t="s">
        <v>891</v>
      </c>
      <c r="S16" s="20" t="s">
        <v>895</v>
      </c>
      <c r="T16" s="180" t="s">
        <v>2595</v>
      </c>
      <c r="U16" s="173">
        <v>3.718</v>
      </c>
      <c r="V16" s="153">
        <v>613.05100000000004</v>
      </c>
      <c r="W16" s="153">
        <v>2279.3249999999998</v>
      </c>
      <c r="X16" s="172">
        <v>1.3290000000000001E-3</v>
      </c>
      <c r="Y16" s="172">
        <v>1.41565209262635E-2</v>
      </c>
      <c r="Z16" s="172">
        <v>2.1202525123838198E-3</v>
      </c>
    </row>
    <row r="17" spans="1:26">
      <c r="A17" s="20">
        <v>337</v>
      </c>
      <c r="B17" s="20">
        <v>9963</v>
      </c>
      <c r="C17" s="20" t="s">
        <v>2596</v>
      </c>
      <c r="D17" s="2" t="s">
        <v>2597</v>
      </c>
      <c r="E17" s="20" t="s">
        <v>33</v>
      </c>
      <c r="F17" s="20" t="s">
        <v>2598</v>
      </c>
      <c r="G17" s="20">
        <v>62020409</v>
      </c>
      <c r="H17" s="20" t="s">
        <v>33</v>
      </c>
      <c r="I17" s="2" t="s">
        <v>1024</v>
      </c>
      <c r="J17" s="20" t="s">
        <v>566</v>
      </c>
      <c r="K17" s="18" t="s">
        <v>79</v>
      </c>
      <c r="L17" s="20" t="s">
        <v>80</v>
      </c>
      <c r="M17" s="20" t="s">
        <v>80</v>
      </c>
      <c r="N17" s="18" t="s">
        <v>80</v>
      </c>
      <c r="O17" s="20" t="s">
        <v>134</v>
      </c>
      <c r="P17" s="183" t="s">
        <v>2599</v>
      </c>
      <c r="Q17" s="18" t="s">
        <v>84</v>
      </c>
      <c r="R17" s="20" t="s">
        <v>891</v>
      </c>
      <c r="S17" s="20" t="s">
        <v>895</v>
      </c>
      <c r="T17" s="180" t="s">
        <v>2589</v>
      </c>
      <c r="U17" s="173">
        <v>3.718</v>
      </c>
      <c r="V17" s="153">
        <v>1443.337</v>
      </c>
      <c r="W17" s="153">
        <v>5366.326</v>
      </c>
      <c r="X17" s="172">
        <v>0</v>
      </c>
      <c r="Y17" s="172">
        <v>3.3329384388879099E-2</v>
      </c>
      <c r="Z17" s="172">
        <v>4.9918134091565302E-3</v>
      </c>
    </row>
    <row r="18" spans="1:26">
      <c r="A18" s="20">
        <v>337</v>
      </c>
      <c r="B18" s="20">
        <v>9963</v>
      </c>
      <c r="C18" s="20" t="s">
        <v>2600</v>
      </c>
      <c r="D18" s="2" t="s">
        <v>2601</v>
      </c>
      <c r="E18" s="20" t="s">
        <v>310</v>
      </c>
      <c r="F18" s="20" t="s">
        <v>2602</v>
      </c>
      <c r="G18" s="20">
        <v>62022132</v>
      </c>
      <c r="H18" s="20" t="s">
        <v>33</v>
      </c>
      <c r="I18" s="2" t="s">
        <v>1024</v>
      </c>
      <c r="J18" s="20" t="s">
        <v>566</v>
      </c>
      <c r="K18" s="18" t="s">
        <v>79</v>
      </c>
      <c r="L18" s="20" t="s">
        <v>217</v>
      </c>
      <c r="M18" s="20" t="s">
        <v>80</v>
      </c>
      <c r="N18" s="18" t="s">
        <v>80</v>
      </c>
      <c r="O18" s="20" t="s">
        <v>134</v>
      </c>
      <c r="P18" s="183" t="s">
        <v>2603</v>
      </c>
      <c r="Q18" s="18" t="s">
        <v>84</v>
      </c>
      <c r="R18" s="20" t="s">
        <v>164</v>
      </c>
      <c r="S18" s="20"/>
      <c r="T18" s="180" t="s">
        <v>2603</v>
      </c>
      <c r="U18" s="173">
        <v>3.718</v>
      </c>
      <c r="V18" s="153">
        <v>371.53100000000001</v>
      </c>
      <c r="W18" s="153">
        <v>1381.3510000000001</v>
      </c>
      <c r="X18" s="172">
        <v>2.32E-4</v>
      </c>
      <c r="Y18" s="172">
        <v>8.5793500890988996E-3</v>
      </c>
      <c r="Z18" s="172">
        <v>1.28494767010764E-3</v>
      </c>
    </row>
    <row r="19" spans="1:26">
      <c r="A19" s="20">
        <v>337</v>
      </c>
      <c r="B19" s="20">
        <v>9963</v>
      </c>
      <c r="C19" s="20"/>
      <c r="D19" s="2" t="s">
        <v>2604</v>
      </c>
      <c r="E19" s="20" t="s">
        <v>311</v>
      </c>
      <c r="F19" s="20" t="s">
        <v>2605</v>
      </c>
      <c r="G19" s="20">
        <v>62020128</v>
      </c>
      <c r="H19" s="20" t="s">
        <v>33</v>
      </c>
      <c r="I19" s="2" t="s">
        <v>1024</v>
      </c>
      <c r="J19" s="20" t="s">
        <v>566</v>
      </c>
      <c r="K19" s="18" t="s">
        <v>79</v>
      </c>
      <c r="L19" s="20" t="s">
        <v>30</v>
      </c>
      <c r="M19" s="20" t="s">
        <v>30</v>
      </c>
      <c r="N19" s="18" t="s">
        <v>80</v>
      </c>
      <c r="O19" s="20" t="s">
        <v>134</v>
      </c>
      <c r="P19" s="183" t="s">
        <v>2606</v>
      </c>
      <c r="Q19" s="18" t="s">
        <v>84</v>
      </c>
      <c r="R19" s="20" t="s">
        <v>891</v>
      </c>
      <c r="S19" s="20" t="s">
        <v>895</v>
      </c>
      <c r="T19" s="180" t="s">
        <v>2607</v>
      </c>
      <c r="U19" s="173">
        <v>3.718</v>
      </c>
      <c r="V19" s="153">
        <v>77.69</v>
      </c>
      <c r="W19" s="153">
        <v>288.85300000000001</v>
      </c>
      <c r="X19" s="172">
        <v>0</v>
      </c>
      <c r="Y19" s="172">
        <v>1.79402039112376E-3</v>
      </c>
      <c r="Z19" s="172">
        <v>2.6869428310532899E-4</v>
      </c>
    </row>
    <row r="20" spans="1:26">
      <c r="A20" s="2">
        <v>337</v>
      </c>
      <c r="B20" s="2">
        <v>9963</v>
      </c>
      <c r="C20" s="2" t="s">
        <v>2608</v>
      </c>
      <c r="D20" s="2" t="s">
        <v>2609</v>
      </c>
      <c r="E20" s="20" t="s">
        <v>33</v>
      </c>
      <c r="F20" s="2" t="s">
        <v>2610</v>
      </c>
      <c r="G20" s="2">
        <v>62019567</v>
      </c>
      <c r="H20" s="20" t="s">
        <v>33</v>
      </c>
      <c r="I20" s="2" t="s">
        <v>1024</v>
      </c>
      <c r="J20" s="20" t="s">
        <v>566</v>
      </c>
      <c r="K20" s="18" t="s">
        <v>79</v>
      </c>
      <c r="L20" s="20" t="s">
        <v>217</v>
      </c>
      <c r="M20" s="20" t="s">
        <v>217</v>
      </c>
      <c r="N20" s="18" t="s">
        <v>80</v>
      </c>
      <c r="O20" s="20" t="s">
        <v>134</v>
      </c>
      <c r="P20" s="183" t="s">
        <v>2611</v>
      </c>
      <c r="Q20" s="2" t="s">
        <v>84</v>
      </c>
      <c r="R20" s="20" t="s">
        <v>891</v>
      </c>
      <c r="S20" s="20" t="s">
        <v>895</v>
      </c>
      <c r="T20" s="181" t="s">
        <v>135</v>
      </c>
      <c r="U20" s="158">
        <v>3.718</v>
      </c>
      <c r="V20" s="151">
        <v>459.05200000000002</v>
      </c>
      <c r="W20" s="151">
        <v>1706.7550000000001</v>
      </c>
      <c r="X20" s="164">
        <v>0</v>
      </c>
      <c r="Y20" s="164">
        <v>1.06003819571552E-2</v>
      </c>
      <c r="Z20" s="164">
        <v>1.58764194917337E-3</v>
      </c>
    </row>
    <row r="21" spans="1:26">
      <c r="A21" s="2">
        <v>337</v>
      </c>
      <c r="B21" s="2">
        <v>9963</v>
      </c>
      <c r="C21" s="2" t="s">
        <v>2608</v>
      </c>
      <c r="D21" s="2" t="s">
        <v>2609</v>
      </c>
      <c r="E21" s="2" t="s">
        <v>33</v>
      </c>
      <c r="F21" s="2" t="s">
        <v>2612</v>
      </c>
      <c r="G21" s="2">
        <v>62019575</v>
      </c>
      <c r="H21" s="2" t="s">
        <v>33</v>
      </c>
      <c r="I21" s="2" t="s">
        <v>1024</v>
      </c>
      <c r="J21" s="2" t="s">
        <v>566</v>
      </c>
      <c r="K21" s="2" t="s">
        <v>79</v>
      </c>
      <c r="L21" s="2" t="s">
        <v>217</v>
      </c>
      <c r="M21" s="2" t="s">
        <v>217</v>
      </c>
      <c r="N21" s="2" t="s">
        <v>80</v>
      </c>
      <c r="O21" s="2" t="s">
        <v>134</v>
      </c>
      <c r="P21" s="183" t="s">
        <v>2611</v>
      </c>
      <c r="Q21" s="2" t="s">
        <v>84</v>
      </c>
      <c r="R21" s="2" t="s">
        <v>891</v>
      </c>
      <c r="S21" s="2" t="s">
        <v>895</v>
      </c>
      <c r="T21" s="181" t="s">
        <v>135</v>
      </c>
      <c r="U21" s="158">
        <v>3.718</v>
      </c>
      <c r="V21" s="151">
        <v>458.40800000000002</v>
      </c>
      <c r="W21" s="151">
        <v>1704.3620000000001</v>
      </c>
      <c r="X21" s="164">
        <v>0</v>
      </c>
      <c r="Y21" s="164">
        <v>1.05855199252783E-2</v>
      </c>
      <c r="Z21" s="164">
        <v>1.5854160307722E-3</v>
      </c>
    </row>
    <row r="22" spans="1:26">
      <c r="A22" s="2">
        <v>337</v>
      </c>
      <c r="B22" s="2">
        <v>9963</v>
      </c>
      <c r="C22" s="2" t="s">
        <v>2613</v>
      </c>
      <c r="D22" s="2" t="s">
        <v>2614</v>
      </c>
      <c r="E22" s="2" t="s">
        <v>33</v>
      </c>
      <c r="F22" s="2" t="s">
        <v>2615</v>
      </c>
      <c r="G22" s="2">
        <v>62017934</v>
      </c>
      <c r="H22" s="2" t="s">
        <v>33</v>
      </c>
      <c r="I22" s="2" t="s">
        <v>1024</v>
      </c>
      <c r="J22" s="2" t="s">
        <v>566</v>
      </c>
      <c r="K22" s="2" t="s">
        <v>79</v>
      </c>
      <c r="L22" s="2" t="s">
        <v>217</v>
      </c>
      <c r="M22" s="2" t="s">
        <v>80</v>
      </c>
      <c r="N22" s="2" t="s">
        <v>80</v>
      </c>
      <c r="O22" s="2" t="s">
        <v>134</v>
      </c>
      <c r="P22" s="183" t="s">
        <v>2616</v>
      </c>
      <c r="Q22" s="2" t="s">
        <v>84</v>
      </c>
      <c r="R22" s="2" t="s">
        <v>891</v>
      </c>
      <c r="S22" s="2" t="s">
        <v>895</v>
      </c>
      <c r="T22" s="181" t="s">
        <v>2617</v>
      </c>
      <c r="U22" s="158">
        <v>3.718</v>
      </c>
      <c r="V22" s="151">
        <v>1352.126</v>
      </c>
      <c r="W22" s="151">
        <v>5027.2030000000004</v>
      </c>
      <c r="X22" s="164">
        <v>0</v>
      </c>
      <c r="Y22" s="164">
        <v>3.1223144660771002E-2</v>
      </c>
      <c r="Z22" s="164">
        <v>4.6763573660747199E-3</v>
      </c>
    </row>
    <row r="23" spans="1:26">
      <c r="A23" s="2">
        <v>337</v>
      </c>
      <c r="B23" s="2">
        <v>9963</v>
      </c>
      <c r="C23" s="2" t="s">
        <v>2535</v>
      </c>
      <c r="D23" s="2" t="s">
        <v>2536</v>
      </c>
      <c r="E23" s="2" t="s">
        <v>33</v>
      </c>
      <c r="F23" s="2" t="s">
        <v>2535</v>
      </c>
      <c r="G23" s="2">
        <v>62019286</v>
      </c>
      <c r="H23" s="2" t="s">
        <v>33</v>
      </c>
      <c r="I23" s="2" t="s">
        <v>1027</v>
      </c>
      <c r="J23" s="2" t="s">
        <v>566</v>
      </c>
      <c r="K23" s="2" t="s">
        <v>79</v>
      </c>
      <c r="L23" s="2" t="s">
        <v>2537</v>
      </c>
      <c r="M23" s="2" t="s">
        <v>292</v>
      </c>
      <c r="N23" s="2" t="s">
        <v>292</v>
      </c>
      <c r="O23" s="2" t="s">
        <v>134</v>
      </c>
      <c r="P23" s="183" t="s">
        <v>2538</v>
      </c>
      <c r="Q23" s="2" t="s">
        <v>84</v>
      </c>
      <c r="R23" s="2" t="s">
        <v>891</v>
      </c>
      <c r="S23" s="2" t="s">
        <v>895</v>
      </c>
      <c r="T23" s="181" t="s">
        <v>135</v>
      </c>
      <c r="U23" s="158">
        <v>3.718</v>
      </c>
      <c r="V23" s="151">
        <v>745.21400000000006</v>
      </c>
      <c r="W23" s="151">
        <v>2770.7069999999999</v>
      </c>
      <c r="X23" s="164">
        <v>0</v>
      </c>
      <c r="Y23" s="164">
        <v>1.7208414642440099E-2</v>
      </c>
      <c r="Z23" s="164">
        <v>2.57734118218879E-3</v>
      </c>
    </row>
    <row r="24" spans="1:26">
      <c r="A24" s="2">
        <v>337</v>
      </c>
      <c r="B24" s="2">
        <v>9963</v>
      </c>
      <c r="C24" s="2" t="s">
        <v>2618</v>
      </c>
      <c r="D24" s="2" t="s">
        <v>2619</v>
      </c>
      <c r="E24" s="2" t="s">
        <v>33</v>
      </c>
      <c r="F24" s="2" t="s">
        <v>2618</v>
      </c>
      <c r="G24" s="2">
        <v>62019765</v>
      </c>
      <c r="H24" s="2" t="s">
        <v>33</v>
      </c>
      <c r="I24" s="2" t="s">
        <v>1024</v>
      </c>
      <c r="J24" s="2" t="s">
        <v>566</v>
      </c>
      <c r="K24" s="2" t="s">
        <v>79</v>
      </c>
      <c r="L24" s="2" t="s">
        <v>252</v>
      </c>
      <c r="M24" s="2" t="s">
        <v>252</v>
      </c>
      <c r="N24" s="2" t="s">
        <v>292</v>
      </c>
      <c r="O24" s="2" t="s">
        <v>134</v>
      </c>
      <c r="P24" s="183" t="s">
        <v>2620</v>
      </c>
      <c r="Q24" s="2" t="s">
        <v>1177</v>
      </c>
      <c r="R24" s="2" t="s">
        <v>891</v>
      </c>
      <c r="S24" s="2" t="s">
        <v>895</v>
      </c>
      <c r="T24" s="181" t="s">
        <v>2552</v>
      </c>
      <c r="U24" s="158">
        <v>4.0218999999999996</v>
      </c>
      <c r="V24" s="151">
        <v>602.87400000000002</v>
      </c>
      <c r="W24" s="151">
        <v>2424.6999999999998</v>
      </c>
      <c r="X24" s="164">
        <v>0</v>
      </c>
      <c r="Y24" s="164">
        <v>1.50594195344567E-2</v>
      </c>
      <c r="Z24" s="164">
        <v>2.2554815741300601E-3</v>
      </c>
    </row>
    <row r="25" spans="1:26">
      <c r="A25" s="2">
        <v>337</v>
      </c>
      <c r="B25" s="2">
        <v>9963</v>
      </c>
      <c r="C25" s="2" t="s">
        <v>2621</v>
      </c>
      <c r="D25" s="2" t="s">
        <v>2622</v>
      </c>
      <c r="E25" s="2" t="s">
        <v>33</v>
      </c>
      <c r="F25" s="2" t="s">
        <v>2623</v>
      </c>
      <c r="G25" s="2">
        <v>62021078</v>
      </c>
      <c r="H25" s="2" t="s">
        <v>33</v>
      </c>
      <c r="I25" s="2" t="s">
        <v>1024</v>
      </c>
      <c r="J25" s="2" t="s">
        <v>566</v>
      </c>
      <c r="K25" s="2" t="s">
        <v>79</v>
      </c>
      <c r="L25" s="2" t="s">
        <v>217</v>
      </c>
      <c r="M25" s="2" t="s">
        <v>80</v>
      </c>
      <c r="N25" s="2" t="s">
        <v>80</v>
      </c>
      <c r="O25" s="2" t="s">
        <v>134</v>
      </c>
      <c r="P25" s="183" t="s">
        <v>2624</v>
      </c>
      <c r="Q25" s="2" t="s">
        <v>84</v>
      </c>
      <c r="R25" s="11" t="s">
        <v>891</v>
      </c>
      <c r="S25" s="2" t="s">
        <v>895</v>
      </c>
      <c r="T25" s="181" t="s">
        <v>2552</v>
      </c>
      <c r="U25" s="158">
        <v>3.718</v>
      </c>
      <c r="V25" s="151">
        <v>320.029</v>
      </c>
      <c r="W25" s="151">
        <v>1189.8679999999999</v>
      </c>
      <c r="X25" s="164">
        <v>0</v>
      </c>
      <c r="Y25" s="164">
        <v>7.3900796832928103E-3</v>
      </c>
      <c r="Z25" s="164">
        <v>1.1068280898133E-3</v>
      </c>
    </row>
    <row r="26" spans="1:26">
      <c r="A26" s="2">
        <v>337</v>
      </c>
      <c r="B26" s="2">
        <v>9963</v>
      </c>
      <c r="C26" s="2" t="s">
        <v>2625</v>
      </c>
      <c r="D26" s="2" t="s">
        <v>2626</v>
      </c>
      <c r="E26" s="2" t="s">
        <v>310</v>
      </c>
      <c r="F26" s="2" t="s">
        <v>2627</v>
      </c>
      <c r="G26" s="2">
        <v>62009865</v>
      </c>
      <c r="H26" s="2" t="s">
        <v>33</v>
      </c>
      <c r="I26" s="2" t="s">
        <v>1028</v>
      </c>
      <c r="J26" s="2" t="s">
        <v>566</v>
      </c>
      <c r="K26" s="2" t="s">
        <v>79</v>
      </c>
      <c r="L26" s="2" t="s">
        <v>80</v>
      </c>
      <c r="M26" s="2" t="s">
        <v>80</v>
      </c>
      <c r="N26" s="2" t="s">
        <v>80</v>
      </c>
      <c r="O26" s="2" t="s">
        <v>134</v>
      </c>
      <c r="P26" s="183" t="s">
        <v>2628</v>
      </c>
      <c r="Q26" s="2" t="s">
        <v>84</v>
      </c>
      <c r="R26" s="11" t="s">
        <v>891</v>
      </c>
      <c r="S26" s="2" t="s">
        <v>895</v>
      </c>
      <c r="T26" s="181" t="s">
        <v>135</v>
      </c>
      <c r="U26" s="158">
        <v>3.718</v>
      </c>
      <c r="V26" s="151">
        <v>479.31200000000001</v>
      </c>
      <c r="W26" s="151">
        <v>1782.0809999999999</v>
      </c>
      <c r="X26" s="164">
        <v>0</v>
      </c>
      <c r="Y26" s="164">
        <v>1.10682158700604E-2</v>
      </c>
      <c r="Z26" s="164">
        <v>1.65771043806142E-3</v>
      </c>
    </row>
    <row r="27" spans="1:26">
      <c r="A27" s="2">
        <v>337</v>
      </c>
      <c r="B27" s="2">
        <v>9963</v>
      </c>
      <c r="C27" s="2" t="s">
        <v>2629</v>
      </c>
      <c r="D27" s="2" t="s">
        <v>2630</v>
      </c>
      <c r="E27" s="2" t="s">
        <v>33</v>
      </c>
      <c r="F27" s="2" t="s">
        <v>2631</v>
      </c>
      <c r="G27" s="2">
        <v>62020359</v>
      </c>
      <c r="H27" s="2" t="s">
        <v>33</v>
      </c>
      <c r="I27" s="2" t="s">
        <v>1028</v>
      </c>
      <c r="J27" s="2" t="s">
        <v>566</v>
      </c>
      <c r="K27" s="2" t="s">
        <v>79</v>
      </c>
      <c r="L27" s="2" t="s">
        <v>217</v>
      </c>
      <c r="M27" s="2" t="s">
        <v>80</v>
      </c>
      <c r="N27" s="2" t="s">
        <v>80</v>
      </c>
      <c r="O27" s="2" t="s">
        <v>134</v>
      </c>
      <c r="P27" s="183" t="s">
        <v>2632</v>
      </c>
      <c r="Q27" s="2" t="s">
        <v>84</v>
      </c>
      <c r="R27" s="2" t="s">
        <v>891</v>
      </c>
      <c r="S27" s="2" t="s">
        <v>895</v>
      </c>
      <c r="T27" s="181" t="s">
        <v>135</v>
      </c>
      <c r="U27" s="158">
        <v>3.718</v>
      </c>
      <c r="V27" s="151">
        <v>1638.5119999999999</v>
      </c>
      <c r="W27" s="151">
        <v>6091.9880000000003</v>
      </c>
      <c r="X27" s="164">
        <v>0</v>
      </c>
      <c r="Y27" s="164">
        <v>3.78363573516204E-2</v>
      </c>
      <c r="Z27" s="164">
        <v>5.66683241963741E-3</v>
      </c>
    </row>
    <row r="28" spans="1:26">
      <c r="A28" s="2">
        <v>337</v>
      </c>
      <c r="B28" s="2">
        <v>9963</v>
      </c>
      <c r="C28" s="2" t="s">
        <v>2633</v>
      </c>
      <c r="D28" s="2" t="s">
        <v>2626</v>
      </c>
      <c r="E28" s="2" t="s">
        <v>310</v>
      </c>
      <c r="F28" s="2" t="s">
        <v>2634</v>
      </c>
      <c r="G28" s="2">
        <v>62016969</v>
      </c>
      <c r="H28" s="2" t="s">
        <v>33</v>
      </c>
      <c r="I28" s="2" t="s">
        <v>1027</v>
      </c>
      <c r="J28" s="2" t="s">
        <v>566</v>
      </c>
      <c r="K28" s="2" t="s">
        <v>79</v>
      </c>
      <c r="L28" s="2" t="s">
        <v>80</v>
      </c>
      <c r="M28" s="2" t="s">
        <v>80</v>
      </c>
      <c r="N28" s="2" t="s">
        <v>80</v>
      </c>
      <c r="O28" s="2" t="s">
        <v>134</v>
      </c>
      <c r="P28" s="183" t="s">
        <v>2635</v>
      </c>
      <c r="Q28" s="2" t="s">
        <v>84</v>
      </c>
      <c r="R28" s="2" t="s">
        <v>891</v>
      </c>
      <c r="S28" s="2" t="s">
        <v>895</v>
      </c>
      <c r="T28" s="181" t="s">
        <v>135</v>
      </c>
      <c r="U28" s="158">
        <v>3.718</v>
      </c>
      <c r="V28" s="151">
        <v>781.75699999999995</v>
      </c>
      <c r="W28" s="151">
        <v>2906.5740000000001</v>
      </c>
      <c r="X28" s="164">
        <v>0</v>
      </c>
      <c r="Y28" s="164">
        <v>1.8052261275544001E-2</v>
      </c>
      <c r="Z28" s="164">
        <v>2.7037259029280402E-3</v>
      </c>
    </row>
    <row r="29" spans="1:26">
      <c r="A29" s="2">
        <v>337</v>
      </c>
      <c r="B29" s="2">
        <v>9963</v>
      </c>
      <c r="C29" s="2" t="s">
        <v>2636</v>
      </c>
      <c r="D29" s="2" t="s">
        <v>2637</v>
      </c>
      <c r="E29" s="2" t="s">
        <v>1303</v>
      </c>
      <c r="F29" s="2" t="s">
        <v>2638</v>
      </c>
      <c r="G29" s="2">
        <v>62018891</v>
      </c>
      <c r="H29" s="2" t="s">
        <v>33</v>
      </c>
      <c r="I29" s="2" t="s">
        <v>1024</v>
      </c>
      <c r="J29" s="2" t="s">
        <v>566</v>
      </c>
      <c r="K29" s="2" t="s">
        <v>79</v>
      </c>
      <c r="L29" s="2" t="s">
        <v>252</v>
      </c>
      <c r="M29" s="2" t="s">
        <v>252</v>
      </c>
      <c r="N29" s="2" t="s">
        <v>295</v>
      </c>
      <c r="O29" s="2" t="s">
        <v>134</v>
      </c>
      <c r="P29" s="183" t="s">
        <v>2639</v>
      </c>
      <c r="Q29" s="2" t="s">
        <v>1177</v>
      </c>
      <c r="R29" s="2" t="s">
        <v>891</v>
      </c>
      <c r="S29" s="2" t="s">
        <v>895</v>
      </c>
      <c r="T29" s="181" t="s">
        <v>2640</v>
      </c>
      <c r="U29" s="158">
        <v>4.0218999999999996</v>
      </c>
      <c r="V29" s="151">
        <v>1210.713</v>
      </c>
      <c r="W29" s="151">
        <v>4869.3649999999998</v>
      </c>
      <c r="X29" s="164">
        <v>0</v>
      </c>
      <c r="Y29" s="164">
        <v>3.0242841352919599E-2</v>
      </c>
      <c r="Z29" s="164">
        <v>4.5295352363864897E-3</v>
      </c>
    </row>
    <row r="30" spans="1:26">
      <c r="A30" s="2">
        <v>337</v>
      </c>
      <c r="B30" s="2">
        <v>9963</v>
      </c>
      <c r="C30" s="2" t="s">
        <v>2641</v>
      </c>
      <c r="D30" s="2" t="s">
        <v>2642</v>
      </c>
      <c r="E30" s="2" t="s">
        <v>1303</v>
      </c>
      <c r="F30" s="2" t="s">
        <v>2643</v>
      </c>
      <c r="G30" s="2">
        <v>62017942</v>
      </c>
      <c r="H30" s="2" t="s">
        <v>33</v>
      </c>
      <c r="I30" s="2" t="s">
        <v>1028</v>
      </c>
      <c r="J30" s="2" t="s">
        <v>566</v>
      </c>
      <c r="K30" s="2" t="s">
        <v>79</v>
      </c>
      <c r="L30" s="2" t="s">
        <v>217</v>
      </c>
      <c r="M30" s="2" t="s">
        <v>30</v>
      </c>
      <c r="N30" s="2" t="s">
        <v>292</v>
      </c>
      <c r="O30" s="2" t="s">
        <v>134</v>
      </c>
      <c r="P30" s="183" t="s">
        <v>2616</v>
      </c>
      <c r="Q30" s="2" t="s">
        <v>1177</v>
      </c>
      <c r="R30" s="2" t="s">
        <v>891</v>
      </c>
      <c r="S30" s="2" t="s">
        <v>895</v>
      </c>
      <c r="T30" s="181" t="s">
        <v>2543</v>
      </c>
      <c r="U30" s="158">
        <v>4.0218999999999996</v>
      </c>
      <c r="V30" s="151">
        <v>714.75099999999998</v>
      </c>
      <c r="W30" s="151">
        <v>2874.6590000000001</v>
      </c>
      <c r="X30" s="164">
        <v>0</v>
      </c>
      <c r="Y30" s="164">
        <v>1.7854041570316399E-2</v>
      </c>
      <c r="Z30" s="164">
        <v>2.6740381123895301E-3</v>
      </c>
    </row>
    <row r="31" spans="1:26">
      <c r="A31" s="2">
        <v>337</v>
      </c>
      <c r="B31" s="2">
        <v>9963</v>
      </c>
      <c r="C31" s="2" t="s">
        <v>2644</v>
      </c>
      <c r="D31" s="2" t="s">
        <v>2645</v>
      </c>
      <c r="E31" s="2" t="s">
        <v>33</v>
      </c>
      <c r="F31" s="2" t="s">
        <v>2646</v>
      </c>
      <c r="G31" s="2">
        <v>62017959</v>
      </c>
      <c r="H31" s="2" t="s">
        <v>33</v>
      </c>
      <c r="I31" s="2" t="s">
        <v>1024</v>
      </c>
      <c r="J31" s="2" t="s">
        <v>566</v>
      </c>
      <c r="K31" s="2" t="s">
        <v>79</v>
      </c>
      <c r="L31" s="2" t="s">
        <v>80</v>
      </c>
      <c r="M31" s="2" t="s">
        <v>80</v>
      </c>
      <c r="N31" s="2" t="s">
        <v>80</v>
      </c>
      <c r="O31" s="2" t="s">
        <v>134</v>
      </c>
      <c r="P31" s="183" t="s">
        <v>2647</v>
      </c>
      <c r="Q31" s="2" t="s">
        <v>84</v>
      </c>
      <c r="R31" s="2" t="s">
        <v>891</v>
      </c>
      <c r="S31" s="2" t="s">
        <v>895</v>
      </c>
      <c r="T31" s="181" t="s">
        <v>135</v>
      </c>
      <c r="U31" s="158">
        <v>3.718</v>
      </c>
      <c r="V31" s="151">
        <v>255.39</v>
      </c>
      <c r="W31" s="151">
        <v>949.53899999999999</v>
      </c>
      <c r="X31" s="164">
        <v>0</v>
      </c>
      <c r="Y31" s="164">
        <v>5.8974327844848601E-3</v>
      </c>
      <c r="Z31" s="164">
        <v>8.8327116125834005E-4</v>
      </c>
    </row>
    <row r="32" spans="1:26">
      <c r="A32" s="2">
        <v>337</v>
      </c>
      <c r="B32" s="2">
        <v>9963</v>
      </c>
      <c r="C32" s="2" t="s">
        <v>2644</v>
      </c>
      <c r="D32" s="2" t="s">
        <v>2645</v>
      </c>
      <c r="E32" s="2" t="s">
        <v>33</v>
      </c>
      <c r="F32" s="2" t="s">
        <v>2648</v>
      </c>
      <c r="G32" s="2">
        <v>62018130</v>
      </c>
      <c r="H32" s="2" t="s">
        <v>33</v>
      </c>
      <c r="I32" s="2" t="s">
        <v>1024</v>
      </c>
      <c r="J32" s="2" t="s">
        <v>566</v>
      </c>
      <c r="K32" s="2" t="s">
        <v>79</v>
      </c>
      <c r="L32" s="2" t="s">
        <v>217</v>
      </c>
      <c r="M32" s="2" t="s">
        <v>217</v>
      </c>
      <c r="N32" s="2" t="s">
        <v>80</v>
      </c>
      <c r="O32" s="2" t="s">
        <v>134</v>
      </c>
      <c r="P32" s="183" t="s">
        <v>2649</v>
      </c>
      <c r="Q32" s="2" t="s">
        <v>84</v>
      </c>
      <c r="R32" s="2" t="s">
        <v>891</v>
      </c>
      <c r="S32" s="2" t="s">
        <v>895</v>
      </c>
      <c r="T32" s="181" t="s">
        <v>135</v>
      </c>
      <c r="U32" s="158">
        <v>3.718</v>
      </c>
      <c r="V32" s="151">
        <v>212.77199999999999</v>
      </c>
      <c r="W32" s="151">
        <v>791.08500000000004</v>
      </c>
      <c r="X32" s="164">
        <v>0</v>
      </c>
      <c r="Y32" s="164">
        <v>4.9133022182225698E-3</v>
      </c>
      <c r="Z32" s="164">
        <v>7.3587581486640199E-4</v>
      </c>
    </row>
    <row r="33" spans="1:26">
      <c r="A33" s="2">
        <v>337</v>
      </c>
      <c r="B33" s="2">
        <v>9963</v>
      </c>
      <c r="C33" s="2" t="s">
        <v>2650</v>
      </c>
      <c r="D33" s="2" t="s">
        <v>2651</v>
      </c>
      <c r="E33" s="2" t="s">
        <v>33</v>
      </c>
      <c r="F33" s="2" t="s">
        <v>2652</v>
      </c>
      <c r="G33" s="2">
        <v>62020540</v>
      </c>
      <c r="H33" s="2" t="s">
        <v>33</v>
      </c>
      <c r="I33" s="2" t="s">
        <v>1024</v>
      </c>
      <c r="J33" s="2" t="s">
        <v>566</v>
      </c>
      <c r="K33" s="2" t="s">
        <v>79</v>
      </c>
      <c r="L33" s="2" t="s">
        <v>80</v>
      </c>
      <c r="M33" s="2" t="s">
        <v>80</v>
      </c>
      <c r="N33" s="2" t="s">
        <v>80</v>
      </c>
      <c r="O33" s="2" t="s">
        <v>134</v>
      </c>
      <c r="P33" s="183" t="s">
        <v>2653</v>
      </c>
      <c r="Q33" s="2" t="s">
        <v>84</v>
      </c>
      <c r="R33" s="2" t="s">
        <v>891</v>
      </c>
      <c r="S33" s="2" t="s">
        <v>895</v>
      </c>
      <c r="T33" s="181" t="s">
        <v>135</v>
      </c>
      <c r="U33" s="158">
        <v>3.718</v>
      </c>
      <c r="V33" s="151">
        <v>440.06599999999997</v>
      </c>
      <c r="W33" s="151">
        <v>1636.164</v>
      </c>
      <c r="X33" s="164">
        <v>0</v>
      </c>
      <c r="Y33" s="164">
        <v>1.01619487023577E-2</v>
      </c>
      <c r="Z33" s="164">
        <v>1.5219768599301199E-3</v>
      </c>
    </row>
    <row r="34" spans="1:26">
      <c r="A34" s="2">
        <v>337</v>
      </c>
      <c r="B34" s="2">
        <v>9963</v>
      </c>
      <c r="C34" s="2" t="s">
        <v>2654</v>
      </c>
      <c r="D34" s="2" t="s">
        <v>2655</v>
      </c>
      <c r="E34" s="2" t="s">
        <v>33</v>
      </c>
      <c r="F34" s="2" t="s">
        <v>2656</v>
      </c>
      <c r="G34" s="2">
        <v>62017876</v>
      </c>
      <c r="H34" s="2" t="s">
        <v>33</v>
      </c>
      <c r="I34" s="2" t="s">
        <v>1024</v>
      </c>
      <c r="J34" s="2" t="s">
        <v>566</v>
      </c>
      <c r="K34" s="2" t="s">
        <v>79</v>
      </c>
      <c r="L34" s="2" t="s">
        <v>217</v>
      </c>
      <c r="M34" s="2" t="s">
        <v>217</v>
      </c>
      <c r="N34" s="2" t="s">
        <v>80</v>
      </c>
      <c r="O34" s="2" t="s">
        <v>134</v>
      </c>
      <c r="P34" s="183" t="s">
        <v>2657</v>
      </c>
      <c r="Q34" s="2" t="s">
        <v>84</v>
      </c>
      <c r="R34" s="2" t="s">
        <v>891</v>
      </c>
      <c r="S34" s="2" t="s">
        <v>895</v>
      </c>
      <c r="T34" s="181" t="s">
        <v>2658</v>
      </c>
      <c r="U34" s="158">
        <v>3.718</v>
      </c>
      <c r="V34" s="151">
        <v>406.53399999999999</v>
      </c>
      <c r="W34" s="151">
        <v>1511.492</v>
      </c>
      <c r="X34" s="164">
        <v>0</v>
      </c>
      <c r="Y34" s="164">
        <v>9.3876360386335993E-3</v>
      </c>
      <c r="Z34" s="164">
        <v>1.40600639097217E-3</v>
      </c>
    </row>
    <row r="35" spans="1:26">
      <c r="A35" s="2">
        <v>337</v>
      </c>
      <c r="B35" s="2">
        <v>9963</v>
      </c>
      <c r="C35" s="2" t="s">
        <v>2659</v>
      </c>
      <c r="D35" s="2" t="s">
        <v>2660</v>
      </c>
      <c r="E35" s="2" t="s">
        <v>33</v>
      </c>
      <c r="F35" s="2" t="s">
        <v>2661</v>
      </c>
      <c r="G35" s="2">
        <v>62018734</v>
      </c>
      <c r="H35" s="2" t="s">
        <v>33</v>
      </c>
      <c r="I35" s="2" t="s">
        <v>1024</v>
      </c>
      <c r="J35" s="2" t="s">
        <v>566</v>
      </c>
      <c r="K35" s="2" t="s">
        <v>79</v>
      </c>
      <c r="L35" s="2" t="s">
        <v>80</v>
      </c>
      <c r="M35" s="2" t="s">
        <v>80</v>
      </c>
      <c r="N35" s="2" t="s">
        <v>80</v>
      </c>
      <c r="O35" s="2" t="s">
        <v>134</v>
      </c>
      <c r="P35" s="183" t="s">
        <v>2662</v>
      </c>
      <c r="Q35" s="2" t="s">
        <v>84</v>
      </c>
      <c r="R35" s="2" t="s">
        <v>891</v>
      </c>
      <c r="S35" s="2" t="s">
        <v>895</v>
      </c>
      <c r="T35" s="181" t="s">
        <v>2658</v>
      </c>
      <c r="U35" s="158">
        <v>3.718</v>
      </c>
      <c r="V35" s="151">
        <v>559.92499999999995</v>
      </c>
      <c r="W35" s="151">
        <v>2081.8000000000002</v>
      </c>
      <c r="X35" s="164">
        <v>0</v>
      </c>
      <c r="Y35" s="164">
        <v>1.29297210339168E-2</v>
      </c>
      <c r="Z35" s="164">
        <v>1.93651206036961E-3</v>
      </c>
    </row>
    <row r="36" spans="1:26">
      <c r="A36" s="2">
        <v>337</v>
      </c>
      <c r="B36" s="2">
        <v>9963</v>
      </c>
      <c r="C36" s="2" t="s">
        <v>2663</v>
      </c>
      <c r="D36" s="2" t="s">
        <v>2664</v>
      </c>
      <c r="E36" s="2" t="s">
        <v>311</v>
      </c>
      <c r="F36" s="2" t="s">
        <v>2665</v>
      </c>
      <c r="G36" s="2">
        <v>62015433</v>
      </c>
      <c r="H36" s="2" t="s">
        <v>33</v>
      </c>
      <c r="I36" s="2" t="s">
        <v>1024</v>
      </c>
      <c r="J36" s="2" t="s">
        <v>566</v>
      </c>
      <c r="K36" s="2" t="s">
        <v>79</v>
      </c>
      <c r="L36" s="2" t="s">
        <v>80</v>
      </c>
      <c r="M36" s="2" t="s">
        <v>80</v>
      </c>
      <c r="N36" s="2" t="s">
        <v>80</v>
      </c>
      <c r="O36" s="2" t="s">
        <v>134</v>
      </c>
      <c r="P36" s="183" t="s">
        <v>2666</v>
      </c>
      <c r="Q36" s="2" t="s">
        <v>84</v>
      </c>
      <c r="R36" s="2" t="s">
        <v>891</v>
      </c>
      <c r="S36" s="2" t="s">
        <v>895</v>
      </c>
      <c r="T36" s="181" t="s">
        <v>2667</v>
      </c>
      <c r="U36" s="158">
        <v>3.718</v>
      </c>
      <c r="V36" s="151">
        <v>1563.202</v>
      </c>
      <c r="W36" s="151">
        <v>5811.9859999999999</v>
      </c>
      <c r="X36" s="164">
        <v>0</v>
      </c>
      <c r="Y36" s="164">
        <v>3.6097306332847703E-2</v>
      </c>
      <c r="Z36" s="164">
        <v>5.4063710173675901E-3</v>
      </c>
    </row>
    <row r="37" spans="1:26">
      <c r="A37" s="2">
        <v>337</v>
      </c>
      <c r="B37" s="2">
        <v>9963</v>
      </c>
      <c r="C37" s="2" t="s">
        <v>2668</v>
      </c>
      <c r="D37" s="2" t="s">
        <v>2669</v>
      </c>
      <c r="E37" s="2" t="s">
        <v>33</v>
      </c>
      <c r="F37" s="2" t="s">
        <v>2670</v>
      </c>
      <c r="G37" s="2">
        <v>62014352</v>
      </c>
      <c r="H37" s="2" t="s">
        <v>33</v>
      </c>
      <c r="I37" s="2" t="s">
        <v>1024</v>
      </c>
      <c r="J37" s="2" t="s">
        <v>566</v>
      </c>
      <c r="K37" s="2" t="s">
        <v>79</v>
      </c>
      <c r="L37" s="2" t="s">
        <v>80</v>
      </c>
      <c r="M37" s="2" t="s">
        <v>80</v>
      </c>
      <c r="N37" s="2" t="s">
        <v>80</v>
      </c>
      <c r="O37" s="2" t="s">
        <v>134</v>
      </c>
      <c r="P37" s="183" t="s">
        <v>2671</v>
      </c>
      <c r="Q37" s="2" t="s">
        <v>84</v>
      </c>
      <c r="R37" s="2" t="s">
        <v>891</v>
      </c>
      <c r="S37" s="2" t="s">
        <v>895</v>
      </c>
      <c r="T37" s="181" t="s">
        <v>2672</v>
      </c>
      <c r="U37" s="158">
        <v>3.718</v>
      </c>
      <c r="V37" s="151">
        <v>1120.0809999999999</v>
      </c>
      <c r="W37" s="151">
        <v>4164.4620000000004</v>
      </c>
      <c r="X37" s="164">
        <v>0</v>
      </c>
      <c r="Y37" s="164">
        <v>2.58648000810121E-2</v>
      </c>
      <c r="Z37" s="164">
        <v>3.87382660186876E-3</v>
      </c>
    </row>
    <row r="38" spans="1:26">
      <c r="A38" s="2">
        <v>337</v>
      </c>
      <c r="B38" s="2">
        <v>9963</v>
      </c>
      <c r="C38" s="2" t="s">
        <v>2673</v>
      </c>
      <c r="D38" s="2" t="s">
        <v>2674</v>
      </c>
      <c r="E38" s="2" t="s">
        <v>33</v>
      </c>
      <c r="F38" s="2" t="s">
        <v>2673</v>
      </c>
      <c r="G38" s="2">
        <v>62021076</v>
      </c>
      <c r="H38" s="2" t="s">
        <v>33</v>
      </c>
      <c r="I38" s="2" t="s">
        <v>1024</v>
      </c>
      <c r="J38" s="2" t="s">
        <v>566</v>
      </c>
      <c r="K38" s="2" t="s">
        <v>79</v>
      </c>
      <c r="L38" s="2" t="s">
        <v>80</v>
      </c>
      <c r="M38" s="2" t="s">
        <v>80</v>
      </c>
      <c r="N38" s="2" t="s">
        <v>80</v>
      </c>
      <c r="O38" s="2" t="s">
        <v>134</v>
      </c>
      <c r="P38" s="183" t="s">
        <v>2675</v>
      </c>
      <c r="Q38" s="2" t="s">
        <v>84</v>
      </c>
      <c r="R38" s="2" t="s">
        <v>891</v>
      </c>
      <c r="S38" s="2" t="s">
        <v>895</v>
      </c>
      <c r="T38" s="181" t="s">
        <v>135</v>
      </c>
      <c r="U38" s="158">
        <v>3.718</v>
      </c>
      <c r="V38" s="151">
        <v>859.81600000000003</v>
      </c>
      <c r="W38" s="151">
        <v>3196.7950000000001</v>
      </c>
      <c r="X38" s="164">
        <v>0</v>
      </c>
      <c r="Y38" s="164">
        <v>1.9854779069798201E-2</v>
      </c>
      <c r="Z38" s="164">
        <v>2.9736928603316501E-3</v>
      </c>
    </row>
    <row r="39" spans="1:26">
      <c r="A39" s="2">
        <v>337</v>
      </c>
      <c r="B39" s="2">
        <v>9963</v>
      </c>
      <c r="C39" s="2" t="s">
        <v>2676</v>
      </c>
      <c r="D39" s="2" t="s">
        <v>2677</v>
      </c>
      <c r="E39" s="2" t="s">
        <v>310</v>
      </c>
      <c r="F39" s="2" t="s">
        <v>2678</v>
      </c>
      <c r="G39" s="2">
        <v>62000395</v>
      </c>
      <c r="H39" s="2" t="s">
        <v>33</v>
      </c>
      <c r="I39" s="2" t="s">
        <v>1024</v>
      </c>
      <c r="J39" s="2" t="s">
        <v>566</v>
      </c>
      <c r="K39" s="2" t="s">
        <v>79</v>
      </c>
      <c r="L39" s="2" t="s">
        <v>217</v>
      </c>
      <c r="M39" s="2" t="s">
        <v>30</v>
      </c>
      <c r="N39" s="2" t="s">
        <v>80</v>
      </c>
      <c r="O39" s="2" t="s">
        <v>134</v>
      </c>
      <c r="P39" s="183" t="s">
        <v>2679</v>
      </c>
      <c r="Q39" s="2" t="s">
        <v>84</v>
      </c>
      <c r="R39" s="2" t="s">
        <v>891</v>
      </c>
      <c r="S39" s="2" t="s">
        <v>895</v>
      </c>
      <c r="T39" s="181" t="s">
        <v>2571</v>
      </c>
      <c r="U39" s="158">
        <v>3.718</v>
      </c>
      <c r="V39" s="151">
        <v>946.43299999999999</v>
      </c>
      <c r="W39" s="151">
        <v>3518.8380000000002</v>
      </c>
      <c r="X39" s="164">
        <v>0</v>
      </c>
      <c r="Y39" s="164">
        <v>2.18549346030356E-2</v>
      </c>
      <c r="Z39" s="164">
        <v>3.2732604459407301E-3</v>
      </c>
    </row>
    <row r="40" spans="1:26">
      <c r="A40" s="2">
        <v>337</v>
      </c>
      <c r="B40" s="2">
        <v>9963</v>
      </c>
      <c r="C40" s="2" t="s">
        <v>2680</v>
      </c>
      <c r="D40" s="2" t="s">
        <v>2681</v>
      </c>
      <c r="E40" s="2" t="s">
        <v>33</v>
      </c>
      <c r="F40" s="2" t="s">
        <v>2682</v>
      </c>
      <c r="G40" s="2">
        <v>62019021</v>
      </c>
      <c r="H40" s="2" t="s">
        <v>33</v>
      </c>
      <c r="I40" s="2" t="s">
        <v>1024</v>
      </c>
      <c r="J40" s="2" t="s">
        <v>566</v>
      </c>
      <c r="K40" s="2" t="s">
        <v>79</v>
      </c>
      <c r="L40" s="2" t="s">
        <v>80</v>
      </c>
      <c r="M40" s="2" t="s">
        <v>80</v>
      </c>
      <c r="N40" s="2" t="s">
        <v>80</v>
      </c>
      <c r="O40" s="2" t="s">
        <v>134</v>
      </c>
      <c r="P40" s="183" t="s">
        <v>2683</v>
      </c>
      <c r="Q40" s="2" t="s">
        <v>84</v>
      </c>
      <c r="R40" s="2" t="s">
        <v>891</v>
      </c>
      <c r="S40" s="2" t="s">
        <v>895</v>
      </c>
      <c r="T40" s="181" t="s">
        <v>135</v>
      </c>
      <c r="U40" s="158">
        <v>3.718</v>
      </c>
      <c r="V40" s="151">
        <v>1159.5350000000001</v>
      </c>
      <c r="W40" s="151">
        <v>4311.1530000000002</v>
      </c>
      <c r="X40" s="164">
        <v>0</v>
      </c>
      <c r="Y40" s="164">
        <v>2.67758757127542E-2</v>
      </c>
      <c r="Z40" s="164">
        <v>4.0102803539759698E-3</v>
      </c>
    </row>
    <row r="41" spans="1:26">
      <c r="A41" s="2">
        <v>337</v>
      </c>
      <c r="B41" s="2">
        <v>9963</v>
      </c>
      <c r="C41" s="2" t="s">
        <v>2684</v>
      </c>
      <c r="D41" s="2" t="s">
        <v>2685</v>
      </c>
      <c r="E41" s="2" t="s">
        <v>311</v>
      </c>
      <c r="F41" s="2" t="s">
        <v>2686</v>
      </c>
      <c r="G41" s="2">
        <v>62010970</v>
      </c>
      <c r="H41" s="2" t="s">
        <v>33</v>
      </c>
      <c r="I41" s="2" t="s">
        <v>1024</v>
      </c>
      <c r="J41" s="2" t="s">
        <v>566</v>
      </c>
      <c r="K41" s="2" t="s">
        <v>79</v>
      </c>
      <c r="L41" s="2" t="s">
        <v>80</v>
      </c>
      <c r="M41" s="2" t="s">
        <v>80</v>
      </c>
      <c r="N41" s="2" t="s">
        <v>295</v>
      </c>
      <c r="O41" s="2" t="s">
        <v>134</v>
      </c>
      <c r="P41" s="183" t="s">
        <v>2687</v>
      </c>
      <c r="Q41" s="2" t="s">
        <v>84</v>
      </c>
      <c r="R41" s="2" t="s">
        <v>891</v>
      </c>
      <c r="S41" s="2" t="s">
        <v>895</v>
      </c>
      <c r="T41" s="181" t="s">
        <v>135</v>
      </c>
      <c r="U41" s="158">
        <v>3.718</v>
      </c>
      <c r="V41" s="151">
        <v>1719.97</v>
      </c>
      <c r="W41" s="151">
        <v>6394.8469999999998</v>
      </c>
      <c r="X41" s="164">
        <v>0</v>
      </c>
      <c r="Y41" s="164">
        <v>3.9717360973520598E-2</v>
      </c>
      <c r="Z41" s="164">
        <v>5.9485543678413503E-3</v>
      </c>
    </row>
    <row r="42" spans="1:26">
      <c r="A42" s="2">
        <v>337</v>
      </c>
      <c r="B42" s="2">
        <v>9963</v>
      </c>
      <c r="C42" s="2" t="s">
        <v>2688</v>
      </c>
      <c r="D42" s="2" t="s">
        <v>2689</v>
      </c>
      <c r="E42" s="2" t="s">
        <v>310</v>
      </c>
      <c r="F42" s="2" t="s">
        <v>2690</v>
      </c>
      <c r="G42" s="2">
        <v>62021001</v>
      </c>
      <c r="H42" s="2" t="s">
        <v>33</v>
      </c>
      <c r="I42" s="2" t="s">
        <v>1024</v>
      </c>
      <c r="J42" s="2" t="s">
        <v>566</v>
      </c>
      <c r="K42" s="2" t="s">
        <v>79</v>
      </c>
      <c r="L42" s="2" t="s">
        <v>80</v>
      </c>
      <c r="M42" s="2" t="s">
        <v>80</v>
      </c>
      <c r="N42" s="2" t="s">
        <v>80</v>
      </c>
      <c r="O42" s="2" t="s">
        <v>134</v>
      </c>
      <c r="P42" s="183" t="s">
        <v>2691</v>
      </c>
      <c r="Q42" s="2" t="s">
        <v>84</v>
      </c>
      <c r="R42" s="2" t="s">
        <v>891</v>
      </c>
      <c r="S42" s="2" t="s">
        <v>895</v>
      </c>
      <c r="T42" s="181" t="s">
        <v>135</v>
      </c>
      <c r="U42" s="158">
        <v>3.718</v>
      </c>
      <c r="V42" s="151">
        <v>490.363</v>
      </c>
      <c r="W42" s="151">
        <v>1823.1679999999999</v>
      </c>
      <c r="X42" s="164">
        <v>0</v>
      </c>
      <c r="Y42" s="164">
        <v>1.1323401439625499E-2</v>
      </c>
      <c r="Z42" s="164">
        <v>1.69593012832379E-3</v>
      </c>
    </row>
    <row r="43" spans="1:26">
      <c r="A43" s="2">
        <v>337</v>
      </c>
      <c r="B43" s="2">
        <v>9963</v>
      </c>
      <c r="C43" s="2" t="s">
        <v>2692</v>
      </c>
      <c r="D43" s="2" t="s">
        <v>2693</v>
      </c>
      <c r="E43" s="2" t="s">
        <v>33</v>
      </c>
      <c r="F43" s="2" t="s">
        <v>2694</v>
      </c>
      <c r="G43" s="2">
        <v>62021175</v>
      </c>
      <c r="H43" s="2" t="s">
        <v>33</v>
      </c>
      <c r="I43" s="2" t="s">
        <v>1028</v>
      </c>
      <c r="J43" s="2" t="s">
        <v>566</v>
      </c>
      <c r="K43" s="2" t="s">
        <v>79</v>
      </c>
      <c r="L43" s="2" t="s">
        <v>80</v>
      </c>
      <c r="M43" s="2" t="s">
        <v>80</v>
      </c>
      <c r="N43" s="2" t="s">
        <v>80</v>
      </c>
      <c r="O43" s="2" t="s">
        <v>134</v>
      </c>
      <c r="P43" s="183" t="s">
        <v>2695</v>
      </c>
      <c r="Q43" s="2" t="s">
        <v>84</v>
      </c>
      <c r="R43" s="2" t="s">
        <v>891</v>
      </c>
      <c r="S43" s="2" t="s">
        <v>895</v>
      </c>
      <c r="T43" s="181" t="s">
        <v>135</v>
      </c>
      <c r="U43" s="158">
        <v>3.718</v>
      </c>
      <c r="V43" s="151">
        <v>297.55200000000002</v>
      </c>
      <c r="W43" s="151">
        <v>1106.3</v>
      </c>
      <c r="X43" s="164">
        <v>0.204766</v>
      </c>
      <c r="Y43" s="164">
        <v>6.8710482924157403E-3</v>
      </c>
      <c r="Z43" s="164">
        <v>1.0290916448036E-3</v>
      </c>
    </row>
    <row r="44" spans="1:26">
      <c r="A44" s="2">
        <v>337</v>
      </c>
      <c r="B44" s="2">
        <v>9963</v>
      </c>
      <c r="C44" s="2" t="s">
        <v>2696</v>
      </c>
      <c r="D44" s="2" t="s">
        <v>2697</v>
      </c>
      <c r="E44" s="2" t="s">
        <v>310</v>
      </c>
      <c r="F44" s="2" t="s">
        <v>2698</v>
      </c>
      <c r="G44" s="2">
        <v>62019740</v>
      </c>
      <c r="H44" s="2" t="s">
        <v>33</v>
      </c>
      <c r="I44" s="2" t="s">
        <v>1024</v>
      </c>
      <c r="J44" s="2" t="s">
        <v>566</v>
      </c>
      <c r="K44" s="2" t="s">
        <v>79</v>
      </c>
      <c r="L44" s="2" t="s">
        <v>80</v>
      </c>
      <c r="M44" s="2" t="s">
        <v>80</v>
      </c>
      <c r="N44" s="2" t="s">
        <v>80</v>
      </c>
      <c r="O44" s="2" t="s">
        <v>134</v>
      </c>
      <c r="P44" s="183" t="s">
        <v>2699</v>
      </c>
      <c r="Q44" s="2" t="s">
        <v>84</v>
      </c>
      <c r="R44" s="2" t="s">
        <v>891</v>
      </c>
      <c r="S44" s="2" t="s">
        <v>895</v>
      </c>
      <c r="T44" s="181" t="s">
        <v>2552</v>
      </c>
      <c r="U44" s="158">
        <v>3.718</v>
      </c>
      <c r="V44" s="151">
        <v>1796.8520000000001</v>
      </c>
      <c r="W44" s="151">
        <v>6680.6959999999999</v>
      </c>
      <c r="X44" s="164">
        <v>0</v>
      </c>
      <c r="Y44" s="164">
        <v>4.1492725508535402E-2</v>
      </c>
      <c r="Z44" s="164">
        <v>6.2144545233505204E-3</v>
      </c>
    </row>
    <row r="45" spans="1:26">
      <c r="A45" s="2">
        <v>337</v>
      </c>
      <c r="B45" s="2">
        <v>9963</v>
      </c>
      <c r="C45" s="2" t="s">
        <v>2700</v>
      </c>
      <c r="D45" s="2" t="s">
        <v>2701</v>
      </c>
      <c r="E45" s="2" t="s">
        <v>33</v>
      </c>
      <c r="F45" s="2" t="s">
        <v>2702</v>
      </c>
      <c r="G45" s="2">
        <v>62018866</v>
      </c>
      <c r="H45" s="2" t="s">
        <v>33</v>
      </c>
      <c r="I45" s="2" t="s">
        <v>1024</v>
      </c>
      <c r="J45" s="2" t="s">
        <v>566</v>
      </c>
      <c r="K45" s="2" t="s">
        <v>79</v>
      </c>
      <c r="L45" s="2" t="s">
        <v>80</v>
      </c>
      <c r="M45" s="2" t="s">
        <v>80</v>
      </c>
      <c r="N45" s="2" t="s">
        <v>80</v>
      </c>
      <c r="O45" s="2" t="s">
        <v>134</v>
      </c>
      <c r="P45" s="183" t="s">
        <v>2703</v>
      </c>
      <c r="Q45" s="2" t="s">
        <v>84</v>
      </c>
      <c r="R45" s="2" t="s">
        <v>891</v>
      </c>
      <c r="S45" s="2" t="s">
        <v>895</v>
      </c>
      <c r="T45" s="181" t="s">
        <v>2704</v>
      </c>
      <c r="U45" s="158">
        <v>3.718</v>
      </c>
      <c r="V45" s="151">
        <v>1005.52</v>
      </c>
      <c r="W45" s="151">
        <v>3738.5219999999999</v>
      </c>
      <c r="X45" s="164">
        <v>0</v>
      </c>
      <c r="Y45" s="164">
        <v>2.3219358827491099E-2</v>
      </c>
      <c r="Z45" s="164">
        <v>3.4776131894521602E-3</v>
      </c>
    </row>
    <row r="46" spans="1:26">
      <c r="A46" s="2">
        <v>337</v>
      </c>
      <c r="B46" s="2">
        <v>9963</v>
      </c>
      <c r="C46" s="2" t="s">
        <v>2705</v>
      </c>
      <c r="D46" s="2" t="s">
        <v>2706</v>
      </c>
      <c r="E46" s="2" t="s">
        <v>33</v>
      </c>
      <c r="F46" s="2" t="s">
        <v>2707</v>
      </c>
      <c r="G46" s="2">
        <v>62018486</v>
      </c>
      <c r="H46" s="2" t="s">
        <v>33</v>
      </c>
      <c r="I46" s="2" t="s">
        <v>1024</v>
      </c>
      <c r="J46" s="2" t="s">
        <v>566</v>
      </c>
      <c r="K46" s="2" t="s">
        <v>79</v>
      </c>
      <c r="L46" s="2" t="s">
        <v>80</v>
      </c>
      <c r="M46" s="2" t="s">
        <v>80</v>
      </c>
      <c r="N46" s="2" t="s">
        <v>80</v>
      </c>
      <c r="O46" s="2" t="s">
        <v>134</v>
      </c>
      <c r="P46" s="183" t="s">
        <v>2708</v>
      </c>
      <c r="Q46" s="2" t="s">
        <v>84</v>
      </c>
      <c r="R46" s="2" t="s">
        <v>891</v>
      </c>
      <c r="S46" s="2" t="s">
        <v>895</v>
      </c>
      <c r="T46" s="181" t="s">
        <v>2603</v>
      </c>
      <c r="U46" s="158">
        <v>3.718</v>
      </c>
      <c r="V46" s="151">
        <v>1518.758</v>
      </c>
      <c r="W46" s="151">
        <v>5646.741</v>
      </c>
      <c r="X46" s="164">
        <v>0</v>
      </c>
      <c r="Y46" s="164">
        <v>3.5070995222913799E-2</v>
      </c>
      <c r="Z46" s="164">
        <v>5.25265820045028E-3</v>
      </c>
    </row>
    <row r="47" spans="1:26">
      <c r="A47" s="2">
        <v>337</v>
      </c>
      <c r="B47" s="2">
        <v>9963</v>
      </c>
      <c r="C47" s="2" t="s">
        <v>2709</v>
      </c>
      <c r="D47" s="2" t="s">
        <v>2710</v>
      </c>
      <c r="E47" s="2" t="s">
        <v>33</v>
      </c>
      <c r="F47" s="2" t="s">
        <v>2711</v>
      </c>
      <c r="G47" s="2">
        <v>62021282</v>
      </c>
      <c r="H47" s="2" t="s">
        <v>33</v>
      </c>
      <c r="I47" s="2" t="s">
        <v>1024</v>
      </c>
      <c r="J47" s="2" t="s">
        <v>566</v>
      </c>
      <c r="K47" s="2" t="s">
        <v>79</v>
      </c>
      <c r="L47" s="2" t="s">
        <v>252</v>
      </c>
      <c r="M47" s="2" t="s">
        <v>252</v>
      </c>
      <c r="N47" s="2" t="s">
        <v>252</v>
      </c>
      <c r="O47" s="2" t="s">
        <v>134</v>
      </c>
      <c r="P47" s="183" t="s">
        <v>2712</v>
      </c>
      <c r="Q47" s="2" t="s">
        <v>84</v>
      </c>
      <c r="R47" s="2" t="s">
        <v>891</v>
      </c>
      <c r="S47" s="2" t="s">
        <v>895</v>
      </c>
      <c r="T47" s="181" t="s">
        <v>2552</v>
      </c>
      <c r="U47" s="158">
        <v>3.718</v>
      </c>
      <c r="V47" s="151">
        <v>454.255</v>
      </c>
      <c r="W47" s="151">
        <v>1688.9179999999999</v>
      </c>
      <c r="X47" s="164">
        <v>0</v>
      </c>
      <c r="Y47" s="164">
        <v>1.0489599432269899E-2</v>
      </c>
      <c r="Z47" s="164">
        <v>1.57104981273393E-3</v>
      </c>
    </row>
    <row r="48" spans="1:26">
      <c r="A48" s="2">
        <v>337</v>
      </c>
      <c r="B48" s="2">
        <v>9963</v>
      </c>
      <c r="C48" s="2" t="s">
        <v>2713</v>
      </c>
      <c r="D48" s="2" t="s">
        <v>2714</v>
      </c>
      <c r="E48" s="2" t="s">
        <v>33</v>
      </c>
      <c r="F48" s="2" t="s">
        <v>2715</v>
      </c>
      <c r="G48" s="2">
        <v>62018668</v>
      </c>
      <c r="H48" s="2" t="s">
        <v>33</v>
      </c>
      <c r="I48" s="2" t="s">
        <v>1024</v>
      </c>
      <c r="J48" s="2" t="s">
        <v>566</v>
      </c>
      <c r="K48" s="2" t="s">
        <v>79</v>
      </c>
      <c r="L48" s="2" t="s">
        <v>80</v>
      </c>
      <c r="M48" s="2" t="s">
        <v>80</v>
      </c>
      <c r="N48" s="2" t="s">
        <v>295</v>
      </c>
      <c r="O48" s="2" t="s">
        <v>134</v>
      </c>
      <c r="P48" s="183" t="s">
        <v>2716</v>
      </c>
      <c r="Q48" s="2" t="s">
        <v>84</v>
      </c>
      <c r="R48" s="2" t="s">
        <v>891</v>
      </c>
      <c r="S48" s="2" t="s">
        <v>895</v>
      </c>
      <c r="T48" s="181" t="s">
        <v>135</v>
      </c>
      <c r="U48" s="158">
        <v>3.718</v>
      </c>
      <c r="V48" s="151">
        <v>33.854999999999997</v>
      </c>
      <c r="W48" s="151">
        <v>125.872</v>
      </c>
      <c r="X48" s="164">
        <v>0</v>
      </c>
      <c r="Y48" s="164">
        <v>7.8176934046771595E-4</v>
      </c>
      <c r="Z48" s="164">
        <v>1.17087271432361E-4</v>
      </c>
    </row>
    <row r="49" spans="1:26">
      <c r="A49" s="2">
        <v>337</v>
      </c>
      <c r="B49" s="2">
        <v>9963</v>
      </c>
      <c r="C49" s="2" t="s">
        <v>2717</v>
      </c>
      <c r="D49" s="2" t="s">
        <v>2718</v>
      </c>
      <c r="E49" s="2" t="s">
        <v>311</v>
      </c>
      <c r="F49" s="2" t="s">
        <v>2719</v>
      </c>
      <c r="G49" s="2">
        <v>62014592</v>
      </c>
      <c r="H49" s="2" t="s">
        <v>33</v>
      </c>
      <c r="I49" s="2" t="s">
        <v>1024</v>
      </c>
      <c r="J49" s="2" t="s">
        <v>566</v>
      </c>
      <c r="K49" s="2" t="s">
        <v>79</v>
      </c>
      <c r="L49" s="2" t="s">
        <v>252</v>
      </c>
      <c r="M49" s="2" t="s">
        <v>232</v>
      </c>
      <c r="N49" s="2" t="s">
        <v>80</v>
      </c>
      <c r="O49" s="2" t="s">
        <v>134</v>
      </c>
      <c r="P49" s="183" t="s">
        <v>2720</v>
      </c>
      <c r="Q49" s="2" t="s">
        <v>84</v>
      </c>
      <c r="R49" s="2" t="s">
        <v>891</v>
      </c>
      <c r="S49" s="2" t="s">
        <v>895</v>
      </c>
      <c r="T49" s="181" t="s">
        <v>2721</v>
      </c>
      <c r="U49" s="158">
        <v>3.718</v>
      </c>
      <c r="V49" s="151">
        <v>1222.7909999999999</v>
      </c>
      <c r="W49" s="151">
        <v>4546.3370000000004</v>
      </c>
      <c r="X49" s="164">
        <v>0</v>
      </c>
      <c r="Y49" s="164">
        <v>2.8236567705247101E-2</v>
      </c>
      <c r="Z49" s="164">
        <v>4.2290513276518598E-3</v>
      </c>
    </row>
    <row r="50" spans="1:26">
      <c r="A50" s="2">
        <v>337</v>
      </c>
      <c r="B50" s="2">
        <v>9963</v>
      </c>
      <c r="C50" s="2" t="s">
        <v>2722</v>
      </c>
      <c r="D50" s="2" t="s">
        <v>2723</v>
      </c>
      <c r="E50" s="2" t="s">
        <v>33</v>
      </c>
      <c r="F50" s="2" t="s">
        <v>2724</v>
      </c>
      <c r="G50" s="2">
        <v>60407392</v>
      </c>
      <c r="H50" s="2" t="s">
        <v>33</v>
      </c>
      <c r="I50" s="2" t="s">
        <v>1024</v>
      </c>
      <c r="J50" s="2" t="s">
        <v>566</v>
      </c>
      <c r="K50" s="2" t="s">
        <v>79</v>
      </c>
      <c r="L50" s="2" t="s">
        <v>30</v>
      </c>
      <c r="M50" s="2" t="s">
        <v>30</v>
      </c>
      <c r="N50" s="2" t="s">
        <v>80</v>
      </c>
      <c r="O50" s="2" t="s">
        <v>134</v>
      </c>
      <c r="P50" s="183" t="s">
        <v>2725</v>
      </c>
      <c r="Q50" s="2" t="s">
        <v>84</v>
      </c>
      <c r="R50" s="2" t="s">
        <v>891</v>
      </c>
      <c r="S50" s="2" t="s">
        <v>895</v>
      </c>
      <c r="T50" s="181" t="s">
        <v>135</v>
      </c>
      <c r="U50" s="158">
        <v>3.718</v>
      </c>
      <c r="V50" s="151">
        <v>225.75399999999999</v>
      </c>
      <c r="W50" s="151">
        <v>839.35299999999995</v>
      </c>
      <c r="X50" s="164">
        <v>5.6239999999999997E-3</v>
      </c>
      <c r="Y50" s="164">
        <v>5.2130860179553998E-3</v>
      </c>
      <c r="Z50" s="164">
        <v>7.8077507774788196E-4</v>
      </c>
    </row>
    <row r="51" spans="1:26">
      <c r="A51" s="2">
        <v>337</v>
      </c>
      <c r="B51" s="2">
        <v>9963</v>
      </c>
      <c r="C51" s="2" t="s">
        <v>2726</v>
      </c>
      <c r="D51" s="2" t="s">
        <v>2727</v>
      </c>
      <c r="E51" s="2" t="s">
        <v>33</v>
      </c>
      <c r="F51" s="2" t="s">
        <v>2726</v>
      </c>
      <c r="G51" s="2">
        <v>620211181</v>
      </c>
      <c r="H51" s="2" t="s">
        <v>33</v>
      </c>
      <c r="I51" s="2" t="s">
        <v>1028</v>
      </c>
      <c r="J51" s="2" t="s">
        <v>566</v>
      </c>
      <c r="K51" s="2" t="s">
        <v>79</v>
      </c>
      <c r="L51" s="2" t="s">
        <v>2728</v>
      </c>
      <c r="M51" s="2" t="s">
        <v>292</v>
      </c>
      <c r="N51" s="2" t="s">
        <v>292</v>
      </c>
      <c r="O51" s="2" t="s">
        <v>134</v>
      </c>
      <c r="P51" s="183" t="s">
        <v>2729</v>
      </c>
      <c r="Q51" s="2" t="s">
        <v>1180</v>
      </c>
      <c r="R51" s="2" t="s">
        <v>891</v>
      </c>
      <c r="S51" s="2" t="s">
        <v>895</v>
      </c>
      <c r="T51" s="181" t="s">
        <v>135</v>
      </c>
      <c r="U51" s="158">
        <v>4.8108000000000004</v>
      </c>
      <c r="V51" s="151">
        <v>193.702</v>
      </c>
      <c r="W51" s="151">
        <v>931.86199999999997</v>
      </c>
      <c r="X51" s="164">
        <v>0</v>
      </c>
      <c r="Y51" s="164">
        <v>5.7876416285611203E-3</v>
      </c>
      <c r="Z51" s="164">
        <v>8.6682750427528996E-4</v>
      </c>
    </row>
    <row r="52" spans="1:26">
      <c r="A52" s="2">
        <v>337</v>
      </c>
      <c r="B52" s="2">
        <v>9963</v>
      </c>
      <c r="C52" s="2" t="s">
        <v>2730</v>
      </c>
      <c r="D52" s="2" t="s">
        <v>2731</v>
      </c>
      <c r="E52" s="2" t="s">
        <v>33</v>
      </c>
      <c r="F52" s="2" t="s">
        <v>2732</v>
      </c>
      <c r="G52" s="2">
        <v>62019716</v>
      </c>
      <c r="H52" s="2" t="s">
        <v>33</v>
      </c>
      <c r="I52" s="2" t="s">
        <v>1024</v>
      </c>
      <c r="J52" s="2" t="s">
        <v>566</v>
      </c>
      <c r="K52" s="2" t="s">
        <v>79</v>
      </c>
      <c r="L52" s="2" t="s">
        <v>252</v>
      </c>
      <c r="M52" s="2" t="s">
        <v>252</v>
      </c>
      <c r="N52" s="2" t="s">
        <v>292</v>
      </c>
      <c r="O52" s="2" t="s">
        <v>134</v>
      </c>
      <c r="P52" s="183" t="s">
        <v>2733</v>
      </c>
      <c r="Q52" s="2" t="s">
        <v>1177</v>
      </c>
      <c r="R52" s="2" t="s">
        <v>891</v>
      </c>
      <c r="S52" s="2" t="s">
        <v>895</v>
      </c>
      <c r="T52" s="181" t="s">
        <v>2603</v>
      </c>
      <c r="U52" s="158">
        <v>4.0218999999999996</v>
      </c>
      <c r="V52" s="151">
        <v>507.31099999999998</v>
      </c>
      <c r="W52" s="151">
        <v>2040.356</v>
      </c>
      <c r="X52" s="164">
        <v>0</v>
      </c>
      <c r="Y52" s="164">
        <v>1.2672319711232999E-2</v>
      </c>
      <c r="Z52" s="164">
        <v>1.89796051200869E-3</v>
      </c>
    </row>
    <row r="53" spans="1:26">
      <c r="A53" s="2">
        <v>337</v>
      </c>
      <c r="B53" s="2">
        <v>9963</v>
      </c>
      <c r="C53" s="2" t="s">
        <v>2713</v>
      </c>
      <c r="D53" s="2" t="s">
        <v>2714</v>
      </c>
      <c r="E53" s="2" t="s">
        <v>33</v>
      </c>
      <c r="F53" s="2" t="s">
        <v>2734</v>
      </c>
      <c r="G53" s="2">
        <v>62018965</v>
      </c>
      <c r="H53" s="2" t="s">
        <v>33</v>
      </c>
      <c r="I53" s="2" t="s">
        <v>1024</v>
      </c>
      <c r="J53" s="2" t="s">
        <v>566</v>
      </c>
      <c r="K53" s="2" t="s">
        <v>79</v>
      </c>
      <c r="L53" s="2" t="s">
        <v>217</v>
      </c>
      <c r="M53" s="2" t="s">
        <v>217</v>
      </c>
      <c r="N53" s="2" t="s">
        <v>80</v>
      </c>
      <c r="O53" s="2" t="s">
        <v>134</v>
      </c>
      <c r="P53" s="183" t="s">
        <v>2735</v>
      </c>
      <c r="Q53" s="2" t="s">
        <v>84</v>
      </c>
      <c r="R53" s="2" t="s">
        <v>891</v>
      </c>
      <c r="S53" s="2" t="s">
        <v>895</v>
      </c>
      <c r="T53" s="181" t="s">
        <v>135</v>
      </c>
      <c r="U53" s="158">
        <v>3.718</v>
      </c>
      <c r="V53" s="151">
        <v>599.33699999999999</v>
      </c>
      <c r="W53" s="151">
        <v>2228.337</v>
      </c>
      <c r="X53" s="164">
        <v>0</v>
      </c>
      <c r="Y53" s="164">
        <v>1.38398387914747E-2</v>
      </c>
      <c r="Z53" s="164">
        <v>2.0728223496050999E-3</v>
      </c>
    </row>
    <row r="54" spans="1:26">
      <c r="A54" s="2">
        <v>337</v>
      </c>
      <c r="B54" s="2">
        <v>9963</v>
      </c>
      <c r="C54" s="2" t="s">
        <v>2736</v>
      </c>
      <c r="D54" s="2" t="s">
        <v>2737</v>
      </c>
      <c r="E54" s="2" t="s">
        <v>311</v>
      </c>
      <c r="F54" s="2" t="s">
        <v>2738</v>
      </c>
      <c r="G54" s="2">
        <v>62018098</v>
      </c>
      <c r="H54" s="2" t="s">
        <v>33</v>
      </c>
      <c r="I54" s="2" t="s">
        <v>1024</v>
      </c>
      <c r="J54" s="2" t="s">
        <v>566</v>
      </c>
      <c r="K54" s="2" t="s">
        <v>79</v>
      </c>
      <c r="L54" s="2" t="s">
        <v>217</v>
      </c>
      <c r="M54" s="2" t="s">
        <v>80</v>
      </c>
      <c r="N54" s="2" t="s">
        <v>80</v>
      </c>
      <c r="O54" s="2" t="s">
        <v>134</v>
      </c>
      <c r="P54" s="183" t="s">
        <v>2739</v>
      </c>
      <c r="Q54" s="2" t="s">
        <v>84</v>
      </c>
      <c r="R54" s="2" t="s">
        <v>891</v>
      </c>
      <c r="S54" s="2" t="s">
        <v>895</v>
      </c>
      <c r="T54" s="181" t="s">
        <v>135</v>
      </c>
      <c r="U54" s="158">
        <v>3.718</v>
      </c>
      <c r="V54" s="151">
        <v>579.82600000000002</v>
      </c>
      <c r="W54" s="151">
        <v>2155.7919999999999</v>
      </c>
      <c r="X54" s="164">
        <v>0</v>
      </c>
      <c r="Y54" s="164">
        <v>1.33892755419953E-2</v>
      </c>
      <c r="Z54" s="164">
        <v>2.00534052503306E-3</v>
      </c>
    </row>
    <row r="55" spans="1:26">
      <c r="A55" s="2">
        <v>337</v>
      </c>
      <c r="B55" s="2">
        <v>9963</v>
      </c>
      <c r="C55" s="2" t="s">
        <v>2740</v>
      </c>
      <c r="D55" s="2" t="s">
        <v>2741</v>
      </c>
      <c r="E55" s="2" t="s">
        <v>33</v>
      </c>
      <c r="F55" s="2" t="s">
        <v>2740</v>
      </c>
      <c r="G55" s="2">
        <v>62020938</v>
      </c>
      <c r="H55" s="2" t="s">
        <v>33</v>
      </c>
      <c r="I55" s="2" t="s">
        <v>1024</v>
      </c>
      <c r="J55" s="2" t="s">
        <v>566</v>
      </c>
      <c r="K55" s="2" t="s">
        <v>79</v>
      </c>
      <c r="L55" s="2" t="s">
        <v>30</v>
      </c>
      <c r="M55" s="2" t="s">
        <v>30</v>
      </c>
      <c r="N55" s="2" t="s">
        <v>80</v>
      </c>
      <c r="O55" s="2" t="s">
        <v>134</v>
      </c>
      <c r="P55" s="183" t="s">
        <v>2742</v>
      </c>
      <c r="Q55" s="2" t="s">
        <v>84</v>
      </c>
      <c r="R55" s="2" t="s">
        <v>891</v>
      </c>
      <c r="S55" s="2" t="s">
        <v>895</v>
      </c>
      <c r="T55" s="181" t="s">
        <v>2743</v>
      </c>
      <c r="U55" s="158">
        <v>3.718</v>
      </c>
      <c r="V55" s="151">
        <v>248.51599999999999</v>
      </c>
      <c r="W55" s="151">
        <v>923.98099999999999</v>
      </c>
      <c r="X55" s="164">
        <v>0</v>
      </c>
      <c r="Y55" s="164">
        <v>5.7386972574857498E-3</v>
      </c>
      <c r="Z55" s="164">
        <v>8.5949700080765697E-4</v>
      </c>
    </row>
    <row r="56" spans="1:26">
      <c r="A56" s="2">
        <v>337</v>
      </c>
      <c r="B56" s="2">
        <v>9963</v>
      </c>
      <c r="C56" s="2" t="s">
        <v>2744</v>
      </c>
      <c r="D56" s="2" t="s">
        <v>2745</v>
      </c>
      <c r="E56" s="2" t="s">
        <v>33</v>
      </c>
      <c r="F56" s="2" t="s">
        <v>2746</v>
      </c>
      <c r="G56" s="2">
        <v>62020284</v>
      </c>
      <c r="H56" s="2" t="s">
        <v>33</v>
      </c>
      <c r="I56" s="2" t="s">
        <v>1024</v>
      </c>
      <c r="J56" s="2" t="s">
        <v>566</v>
      </c>
      <c r="K56" s="2" t="s">
        <v>79</v>
      </c>
      <c r="L56" s="2" t="s">
        <v>217</v>
      </c>
      <c r="M56" s="2" t="s">
        <v>217</v>
      </c>
      <c r="N56" s="2" t="s">
        <v>80</v>
      </c>
      <c r="O56" s="2" t="s">
        <v>134</v>
      </c>
      <c r="P56" s="183" t="s">
        <v>2747</v>
      </c>
      <c r="Q56" s="2" t="s">
        <v>84</v>
      </c>
      <c r="R56" s="2" t="s">
        <v>891</v>
      </c>
      <c r="S56" s="2" t="s">
        <v>895</v>
      </c>
      <c r="T56" s="181" t="s">
        <v>135</v>
      </c>
      <c r="U56" s="158">
        <v>3.718</v>
      </c>
      <c r="V56" s="151">
        <v>304.88799999999998</v>
      </c>
      <c r="W56" s="151">
        <v>1133.575</v>
      </c>
      <c r="X56" s="164">
        <v>0</v>
      </c>
      <c r="Y56" s="164">
        <v>7.0404513117086698E-3</v>
      </c>
      <c r="Z56" s="164">
        <v>1.0544634984625599E-3</v>
      </c>
    </row>
    <row r="57" spans="1:26">
      <c r="A57" s="2">
        <v>337</v>
      </c>
      <c r="B57" s="2">
        <v>9963</v>
      </c>
      <c r="C57" s="2" t="s">
        <v>2748</v>
      </c>
      <c r="D57" s="2" t="s">
        <v>2749</v>
      </c>
      <c r="E57" s="2" t="s">
        <v>33</v>
      </c>
      <c r="F57" s="2" t="s">
        <v>2750</v>
      </c>
      <c r="G57" s="2">
        <v>62000698</v>
      </c>
      <c r="H57" s="2" t="s">
        <v>33</v>
      </c>
      <c r="I57" s="2" t="s">
        <v>1024</v>
      </c>
      <c r="J57" s="2" t="s">
        <v>566</v>
      </c>
      <c r="K57" s="2" t="s">
        <v>79</v>
      </c>
      <c r="L57" s="2" t="s">
        <v>217</v>
      </c>
      <c r="M57" s="2" t="s">
        <v>80</v>
      </c>
      <c r="N57" s="2" t="s">
        <v>295</v>
      </c>
      <c r="O57" s="2" t="s">
        <v>134</v>
      </c>
      <c r="P57" s="183" t="s">
        <v>2751</v>
      </c>
      <c r="Q57" s="2" t="s">
        <v>84</v>
      </c>
      <c r="R57" s="2" t="s">
        <v>891</v>
      </c>
      <c r="S57" s="2" t="s">
        <v>895</v>
      </c>
      <c r="T57" s="181" t="s">
        <v>2667</v>
      </c>
      <c r="U57" s="158">
        <v>3.718</v>
      </c>
      <c r="V57" s="151">
        <v>1078.5920000000001</v>
      </c>
      <c r="W57" s="151">
        <v>4010.2049999999999</v>
      </c>
      <c r="X57" s="164">
        <v>0</v>
      </c>
      <c r="Y57" s="164">
        <v>2.4906738218840499E-2</v>
      </c>
      <c r="Z57" s="164">
        <v>3.7303356212196898E-3</v>
      </c>
    </row>
    <row r="58" spans="1:26">
      <c r="A58" s="2">
        <v>337</v>
      </c>
      <c r="B58" s="2">
        <v>9963</v>
      </c>
      <c r="C58" s="2" t="s">
        <v>2752</v>
      </c>
      <c r="D58" s="2" t="s">
        <v>2753</v>
      </c>
      <c r="E58" s="2" t="s">
        <v>33</v>
      </c>
      <c r="F58" s="2" t="s">
        <v>2754</v>
      </c>
      <c r="G58" s="2">
        <v>11811062</v>
      </c>
      <c r="H58" s="2" t="s">
        <v>33</v>
      </c>
      <c r="I58" s="2" t="s">
        <v>1024</v>
      </c>
      <c r="J58" s="2" t="s">
        <v>566</v>
      </c>
      <c r="K58" s="2" t="s">
        <v>79</v>
      </c>
      <c r="L58" s="2" t="s">
        <v>217</v>
      </c>
      <c r="M58" s="2" t="s">
        <v>80</v>
      </c>
      <c r="N58" s="2" t="s">
        <v>80</v>
      </c>
      <c r="O58" s="2" t="s">
        <v>134</v>
      </c>
      <c r="P58" s="183" t="s">
        <v>135</v>
      </c>
      <c r="Q58" s="2" t="s">
        <v>84</v>
      </c>
      <c r="R58" s="2" t="s">
        <v>164</v>
      </c>
      <c r="T58" s="181" t="s">
        <v>135</v>
      </c>
      <c r="U58" s="158">
        <v>3.718</v>
      </c>
      <c r="V58" s="151">
        <v>574.23699999999997</v>
      </c>
      <c r="W58" s="151">
        <v>2135.0129999999999</v>
      </c>
      <c r="X58" s="164">
        <v>7.2989999999999999E-3</v>
      </c>
      <c r="Y58" s="164">
        <v>1.32602215201355E-2</v>
      </c>
      <c r="Z58" s="164">
        <v>1.9860118272897001E-3</v>
      </c>
    </row>
    <row r="59" spans="1:26">
      <c r="A59" s="2">
        <v>337</v>
      </c>
      <c r="B59" s="2">
        <v>9963</v>
      </c>
      <c r="C59" s="2" t="s">
        <v>2755</v>
      </c>
      <c r="D59" s="2" t="s">
        <v>2756</v>
      </c>
      <c r="E59" s="2" t="s">
        <v>33</v>
      </c>
      <c r="F59" s="2" t="s">
        <v>2757</v>
      </c>
      <c r="G59" s="2">
        <v>62014261</v>
      </c>
      <c r="H59" s="2" t="s">
        <v>33</v>
      </c>
      <c r="I59" s="2" t="s">
        <v>1024</v>
      </c>
      <c r="J59" s="2" t="s">
        <v>566</v>
      </c>
      <c r="K59" s="2" t="s">
        <v>79</v>
      </c>
      <c r="L59" s="2" t="s">
        <v>252</v>
      </c>
      <c r="M59" s="2" t="s">
        <v>232</v>
      </c>
      <c r="N59" s="2" t="s">
        <v>295</v>
      </c>
      <c r="O59" s="2" t="s">
        <v>134</v>
      </c>
      <c r="P59" s="183" t="s">
        <v>2758</v>
      </c>
      <c r="Q59" s="2" t="s">
        <v>84</v>
      </c>
      <c r="R59" s="2" t="s">
        <v>891</v>
      </c>
      <c r="S59" s="2" t="s">
        <v>895</v>
      </c>
      <c r="T59" s="181" t="s">
        <v>2552</v>
      </c>
      <c r="U59" s="158">
        <v>3.718</v>
      </c>
      <c r="V59" s="151">
        <v>1416.2429999999999</v>
      </c>
      <c r="W59" s="151">
        <v>5265.5919999999996</v>
      </c>
      <c r="X59" s="164">
        <v>0</v>
      </c>
      <c r="Y59" s="164">
        <v>3.2703745013045099E-2</v>
      </c>
      <c r="Z59" s="164">
        <v>4.8981100575090598E-3</v>
      </c>
    </row>
    <row r="60" spans="1:26">
      <c r="A60" s="2">
        <v>337</v>
      </c>
      <c r="B60" s="2">
        <v>9963</v>
      </c>
      <c r="C60" s="2" t="s">
        <v>2759</v>
      </c>
      <c r="D60" s="2" t="s">
        <v>2760</v>
      </c>
      <c r="E60" s="2" t="s">
        <v>1303</v>
      </c>
      <c r="F60" s="2" t="s">
        <v>2761</v>
      </c>
      <c r="G60" s="2">
        <v>9840688</v>
      </c>
      <c r="H60" s="2" t="s">
        <v>33</v>
      </c>
      <c r="I60" s="2" t="s">
        <v>1028</v>
      </c>
      <c r="J60" s="2" t="s">
        <v>566</v>
      </c>
      <c r="K60" s="2" t="s">
        <v>79</v>
      </c>
      <c r="L60" s="2" t="s">
        <v>30</v>
      </c>
      <c r="M60" s="2" t="s">
        <v>30</v>
      </c>
      <c r="N60" s="2" t="s">
        <v>292</v>
      </c>
      <c r="O60" s="2" t="s">
        <v>134</v>
      </c>
      <c r="P60" s="183" t="s">
        <v>163</v>
      </c>
      <c r="Q60" s="2" t="s">
        <v>1177</v>
      </c>
      <c r="R60" s="2" t="s">
        <v>891</v>
      </c>
      <c r="S60" s="2" t="s">
        <v>895</v>
      </c>
      <c r="T60" s="181" t="s">
        <v>135</v>
      </c>
      <c r="U60" s="158">
        <v>4.0218999999999996</v>
      </c>
      <c r="V60" s="151">
        <v>53.862000000000002</v>
      </c>
      <c r="W60" s="151">
        <v>216.62799999999999</v>
      </c>
      <c r="X60" s="164">
        <v>4.5499999999999999E-2</v>
      </c>
      <c r="Y60" s="164">
        <v>1.34543869870411E-3</v>
      </c>
      <c r="Z60" s="164">
        <v>2.0150924058562201E-4</v>
      </c>
    </row>
    <row r="61" spans="1:26">
      <c r="A61" s="2">
        <v>337</v>
      </c>
      <c r="B61" s="2">
        <v>9964</v>
      </c>
      <c r="C61" s="2" t="s">
        <v>2535</v>
      </c>
      <c r="D61" s="2" t="s">
        <v>2536</v>
      </c>
      <c r="E61" s="2" t="s">
        <v>33</v>
      </c>
      <c r="F61" s="2" t="s">
        <v>2535</v>
      </c>
      <c r="G61" s="2">
        <v>62019286</v>
      </c>
      <c r="H61" s="2" t="s">
        <v>33</v>
      </c>
      <c r="I61" s="2" t="s">
        <v>1027</v>
      </c>
      <c r="J61" s="2" t="s">
        <v>566</v>
      </c>
      <c r="K61" s="2" t="s">
        <v>79</v>
      </c>
      <c r="L61" s="2" t="s">
        <v>2537</v>
      </c>
      <c r="M61" s="2" t="s">
        <v>292</v>
      </c>
      <c r="N61" s="2" t="s">
        <v>292</v>
      </c>
      <c r="O61" s="2" t="s">
        <v>134</v>
      </c>
      <c r="P61" s="183" t="s">
        <v>2538</v>
      </c>
      <c r="Q61" s="2" t="s">
        <v>84</v>
      </c>
      <c r="R61" s="2" t="s">
        <v>891</v>
      </c>
      <c r="S61" s="2" t="s">
        <v>895</v>
      </c>
      <c r="T61" s="181" t="s">
        <v>135</v>
      </c>
      <c r="U61" s="158">
        <v>3.718</v>
      </c>
      <c r="V61" s="151">
        <v>23.533000000000001</v>
      </c>
      <c r="W61" s="151">
        <v>87.495000000000005</v>
      </c>
      <c r="X61" s="164">
        <v>0</v>
      </c>
      <c r="Y61" s="164">
        <v>1</v>
      </c>
      <c r="Z61" s="164">
        <v>2.3828236561611801E-3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6</v>
      </c>
      <c r="J1" s="19" t="s">
        <v>7</v>
      </c>
      <c r="K1" s="19" t="s">
        <v>323</v>
      </c>
      <c r="L1" s="19" t="s">
        <v>1116</v>
      </c>
      <c r="M1" s="19" t="s">
        <v>144</v>
      </c>
      <c r="N1" s="19" t="s">
        <v>1117</v>
      </c>
      <c r="O1" s="19" t="s">
        <v>120</v>
      </c>
      <c r="P1" s="19" t="s">
        <v>152</v>
      </c>
      <c r="Q1" s="19" t="s">
        <v>11</v>
      </c>
      <c r="R1" s="19" t="s">
        <v>145</v>
      </c>
      <c r="S1" s="19" t="s">
        <v>146</v>
      </c>
      <c r="T1" s="19" t="s">
        <v>129</v>
      </c>
      <c r="U1" s="19" t="s">
        <v>1118</v>
      </c>
      <c r="V1" s="19" t="s">
        <v>1119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144</v>
      </c>
      <c r="M1" s="19" t="s">
        <v>171</v>
      </c>
      <c r="N1" s="19" t="s">
        <v>1117</v>
      </c>
      <c r="O1" s="19" t="s">
        <v>120</v>
      </c>
      <c r="P1" s="19" t="s">
        <v>152</v>
      </c>
      <c r="Q1" s="19" t="s">
        <v>11</v>
      </c>
      <c r="R1" s="19" t="s">
        <v>145</v>
      </c>
      <c r="S1" s="19" t="s">
        <v>146</v>
      </c>
      <c r="T1" s="19" t="s">
        <v>129</v>
      </c>
      <c r="U1" s="19" t="s">
        <v>1118</v>
      </c>
      <c r="V1" s="19" t="s">
        <v>1119</v>
      </c>
      <c r="W1" s="19" t="s">
        <v>17</v>
      </c>
      <c r="X1" s="19" t="s">
        <v>19</v>
      </c>
      <c r="Y1" s="19" t="s">
        <v>18</v>
      </c>
      <c r="Z1" s="19" t="s">
        <v>1307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T1" zoomScale="70" zoomScaleNormal="70" workbookViewId="0">
      <selection activeCell="AG2" sqref="AG2:AG19"/>
    </sheetView>
  </sheetViews>
  <sheetFormatPr defaultColWidth="9" defaultRowHeight="14.25"/>
  <cols>
    <col min="1" max="2" width="11.625" style="11" customWidth="1"/>
    <col min="3" max="3" width="17.875" style="11" customWidth="1"/>
    <col min="4" max="6" width="11.625" style="11" customWidth="1"/>
    <col min="7" max="7" width="16.125" style="11" customWidth="1"/>
    <col min="8" max="8" width="11.625" style="11" customWidth="1"/>
    <col min="9" max="10" width="11.625" style="149" customWidth="1"/>
    <col min="11" max="13" width="11.625" style="11" customWidth="1"/>
    <col min="14" max="14" width="18.75" style="11" customWidth="1"/>
    <col min="15" max="15" width="11.625" style="11" customWidth="1"/>
    <col min="16" max="17" width="11.625" style="149" customWidth="1"/>
    <col min="18" max="21" width="11.625" style="11" customWidth="1"/>
    <col min="22" max="22" width="21.375" style="11" customWidth="1"/>
    <col min="23" max="33" width="11.625" style="11" customWidth="1"/>
    <col min="34" max="34" width="11.625" style="140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1132</v>
      </c>
      <c r="E1" s="19" t="s">
        <v>1133</v>
      </c>
      <c r="F1" s="168" t="s">
        <v>18</v>
      </c>
      <c r="G1" s="19" t="s">
        <v>1134</v>
      </c>
      <c r="H1" s="19" t="s">
        <v>1135</v>
      </c>
      <c r="I1" s="159" t="s">
        <v>1136</v>
      </c>
      <c r="J1" s="159" t="s">
        <v>1137</v>
      </c>
      <c r="K1" s="19" t="s">
        <v>1138</v>
      </c>
      <c r="L1" s="19" t="s">
        <v>1139</v>
      </c>
      <c r="M1" s="168" t="s">
        <v>18</v>
      </c>
      <c r="N1" s="19" t="s">
        <v>1140</v>
      </c>
      <c r="O1" s="19" t="s">
        <v>1141</v>
      </c>
      <c r="P1" s="159" t="s">
        <v>1293</v>
      </c>
      <c r="Q1" s="159" t="s">
        <v>1294</v>
      </c>
      <c r="R1" s="19" t="s">
        <v>1295</v>
      </c>
      <c r="S1" s="19" t="s">
        <v>6</v>
      </c>
      <c r="T1" s="19" t="s">
        <v>7</v>
      </c>
      <c r="U1" s="19" t="s">
        <v>1145</v>
      </c>
      <c r="V1" s="19" t="s">
        <v>926</v>
      </c>
      <c r="W1" s="19" t="s">
        <v>933</v>
      </c>
      <c r="X1" s="19" t="s">
        <v>321</v>
      </c>
      <c r="Y1" s="19" t="s">
        <v>120</v>
      </c>
      <c r="Z1" s="19" t="s">
        <v>1146</v>
      </c>
      <c r="AA1" s="19" t="s">
        <v>1147</v>
      </c>
      <c r="AB1" s="19" t="s">
        <v>897</v>
      </c>
      <c r="AC1" s="19" t="s">
        <v>905</v>
      </c>
      <c r="AD1" s="19" t="s">
        <v>1148</v>
      </c>
      <c r="AE1" s="19" t="s">
        <v>923</v>
      </c>
      <c r="AF1" s="19" t="s">
        <v>908</v>
      </c>
      <c r="AG1" s="19" t="s">
        <v>919</v>
      </c>
      <c r="AH1" s="139" t="s">
        <v>1149</v>
      </c>
      <c r="AI1" s="19" t="s">
        <v>1150</v>
      </c>
      <c r="AJ1" s="19" t="s">
        <v>1151</v>
      </c>
      <c r="AK1" s="19" t="s">
        <v>948</v>
      </c>
      <c r="AL1" s="19" t="s">
        <v>1152</v>
      </c>
      <c r="AM1" s="19" t="s">
        <v>1153</v>
      </c>
      <c r="AN1" s="163" t="s">
        <v>24</v>
      </c>
      <c r="AO1" s="163" t="s">
        <v>25</v>
      </c>
    </row>
    <row r="2" spans="1:41" s="206" customFormat="1">
      <c r="A2" s="191">
        <v>337</v>
      </c>
      <c r="B2" s="191">
        <v>1477</v>
      </c>
      <c r="C2" s="192" t="s">
        <v>1044</v>
      </c>
      <c r="D2" s="193">
        <v>9938731</v>
      </c>
      <c r="E2" s="194" t="s">
        <v>84</v>
      </c>
      <c r="F2" s="195">
        <v>3.718</v>
      </c>
      <c r="G2" s="196">
        <v>-653000</v>
      </c>
      <c r="H2" s="196">
        <v>-2304.5369999999998</v>
      </c>
      <c r="I2" s="196">
        <v>53.8</v>
      </c>
      <c r="J2" s="197">
        <v>15.19</v>
      </c>
      <c r="K2" s="193">
        <v>9938731</v>
      </c>
      <c r="L2" s="194" t="s">
        <v>34</v>
      </c>
      <c r="M2" s="198">
        <v>1</v>
      </c>
      <c r="N2" s="210">
        <v>2313905.5</v>
      </c>
      <c r="O2" s="196">
        <v>2415.9290000000001</v>
      </c>
      <c r="P2" s="196">
        <v>54.55</v>
      </c>
      <c r="Q2" s="196">
        <v>15.92</v>
      </c>
      <c r="R2" s="196">
        <v>-111.392</v>
      </c>
      <c r="S2" s="192" t="s">
        <v>30</v>
      </c>
      <c r="T2" s="199" t="s">
        <v>30</v>
      </c>
      <c r="U2" s="194" t="s">
        <v>744</v>
      </c>
      <c r="V2" s="194" t="s">
        <v>928</v>
      </c>
      <c r="W2" s="192" t="s">
        <v>1296</v>
      </c>
      <c r="X2" s="194" t="s">
        <v>1297</v>
      </c>
      <c r="Y2" s="194" t="s">
        <v>134</v>
      </c>
      <c r="Z2" s="200">
        <v>45694</v>
      </c>
      <c r="AA2" s="201">
        <v>45784</v>
      </c>
      <c r="AB2" s="194" t="s">
        <v>904</v>
      </c>
      <c r="AC2" s="194" t="s">
        <v>1298</v>
      </c>
      <c r="AD2" s="194" t="s">
        <v>134</v>
      </c>
      <c r="AE2" s="194" t="s">
        <v>924</v>
      </c>
      <c r="AF2" s="194" t="s">
        <v>904</v>
      </c>
      <c r="AG2" s="194" t="s">
        <v>904</v>
      </c>
      <c r="AH2" s="202" t="s">
        <v>904</v>
      </c>
      <c r="AI2" s="203">
        <v>3.52915</v>
      </c>
      <c r="AJ2" s="204">
        <v>3.5434999999999999</v>
      </c>
      <c r="AK2" s="194" t="s">
        <v>134</v>
      </c>
      <c r="AL2" s="192" t="s">
        <v>2885</v>
      </c>
      <c r="AM2" s="192" t="s">
        <v>1300</v>
      </c>
      <c r="AN2" s="205">
        <v>0.76700000000000002</v>
      </c>
      <c r="AO2" s="205">
        <v>7.3000000000000001E-3</v>
      </c>
    </row>
    <row r="3" spans="1:41" s="206" customFormat="1">
      <c r="A3" s="191">
        <v>337</v>
      </c>
      <c r="B3" s="191">
        <v>1477</v>
      </c>
      <c r="C3" s="192" t="s">
        <v>1044</v>
      </c>
      <c r="D3" s="193">
        <v>9938869</v>
      </c>
      <c r="E3" s="194" t="s">
        <v>84</v>
      </c>
      <c r="F3" s="195">
        <v>3.718</v>
      </c>
      <c r="G3" s="196">
        <v>39000</v>
      </c>
      <c r="H3" s="196">
        <v>139.209</v>
      </c>
      <c r="I3" s="196">
        <v>3.25</v>
      </c>
      <c r="J3" s="197">
        <v>0.92</v>
      </c>
      <c r="K3" s="193">
        <v>9938869</v>
      </c>
      <c r="L3" s="194" t="s">
        <v>34</v>
      </c>
      <c r="M3" s="198">
        <v>1</v>
      </c>
      <c r="N3" s="210">
        <v>-139776</v>
      </c>
      <c r="O3" s="196">
        <v>-144.28899999999999</v>
      </c>
      <c r="P3" s="196">
        <v>3.26</v>
      </c>
      <c r="Q3" s="196">
        <v>0.95</v>
      </c>
      <c r="R3" s="196">
        <v>5.08</v>
      </c>
      <c r="S3" s="192" t="s">
        <v>30</v>
      </c>
      <c r="T3" s="199" t="s">
        <v>30</v>
      </c>
      <c r="U3" s="194" t="s">
        <v>744</v>
      </c>
      <c r="V3" s="194" t="s">
        <v>928</v>
      </c>
      <c r="W3" s="192" t="s">
        <v>1296</v>
      </c>
      <c r="X3" s="194" t="s">
        <v>1297</v>
      </c>
      <c r="Y3" s="194" t="s">
        <v>134</v>
      </c>
      <c r="Z3" s="200">
        <v>45699</v>
      </c>
      <c r="AA3" s="201">
        <v>45784</v>
      </c>
      <c r="AB3" s="194" t="s">
        <v>904</v>
      </c>
      <c r="AC3" s="194" t="s">
        <v>1298</v>
      </c>
      <c r="AD3" s="194" t="s">
        <v>134</v>
      </c>
      <c r="AE3" s="194" t="s">
        <v>924</v>
      </c>
      <c r="AF3" s="194" t="s">
        <v>904</v>
      </c>
      <c r="AG3" s="194" t="s">
        <v>904</v>
      </c>
      <c r="AH3" s="202" t="s">
        <v>904</v>
      </c>
      <c r="AI3" s="203">
        <v>3.5694699999999999</v>
      </c>
      <c r="AJ3" s="204">
        <v>3.5840000000000001</v>
      </c>
      <c r="AK3" s="194" t="s">
        <v>134</v>
      </c>
      <c r="AL3" s="192" t="s">
        <v>2885</v>
      </c>
      <c r="AM3" s="192" t="s">
        <v>1300</v>
      </c>
      <c r="AN3" s="205">
        <v>3.5000000000000003E-2</v>
      </c>
      <c r="AO3" s="205">
        <v>2.9999999999999997E-4</v>
      </c>
    </row>
    <row r="4" spans="1:41" s="206" customFormat="1">
      <c r="A4" s="191">
        <v>337</v>
      </c>
      <c r="B4" s="191">
        <v>1477</v>
      </c>
      <c r="C4" s="192" t="s">
        <v>1044</v>
      </c>
      <c r="D4" s="193">
        <v>9938870</v>
      </c>
      <c r="E4" s="194" t="s">
        <v>1177</v>
      </c>
      <c r="F4" s="195">
        <v>4.0218999999999996</v>
      </c>
      <c r="G4" s="196">
        <v>-38000</v>
      </c>
      <c r="H4" s="196">
        <v>-140.38200000000001</v>
      </c>
      <c r="I4" s="196">
        <v>3.28</v>
      </c>
      <c r="J4" s="197">
        <v>0.93</v>
      </c>
      <c r="K4" s="193">
        <v>9938870</v>
      </c>
      <c r="L4" s="194" t="s">
        <v>34</v>
      </c>
      <c r="M4" s="198">
        <v>1</v>
      </c>
      <c r="N4" s="210">
        <v>140942</v>
      </c>
      <c r="O4" s="196">
        <v>152.381</v>
      </c>
      <c r="P4" s="196">
        <v>3.44</v>
      </c>
      <c r="Q4" s="196">
        <v>1</v>
      </c>
      <c r="R4" s="196">
        <v>-11.999000000000001</v>
      </c>
      <c r="S4" s="192" t="s">
        <v>30</v>
      </c>
      <c r="T4" s="199" t="s">
        <v>30</v>
      </c>
      <c r="U4" s="194" t="s">
        <v>744</v>
      </c>
      <c r="V4" s="194" t="s">
        <v>928</v>
      </c>
      <c r="W4" s="192" t="s">
        <v>1296</v>
      </c>
      <c r="X4" s="194" t="s">
        <v>1301</v>
      </c>
      <c r="Y4" s="194" t="s">
        <v>134</v>
      </c>
      <c r="Z4" s="200">
        <v>45699</v>
      </c>
      <c r="AA4" s="201">
        <v>45784</v>
      </c>
      <c r="AB4" s="194" t="s">
        <v>904</v>
      </c>
      <c r="AC4" s="194" t="s">
        <v>1298</v>
      </c>
      <c r="AD4" s="194" t="s">
        <v>134</v>
      </c>
      <c r="AE4" s="194" t="s">
        <v>924</v>
      </c>
      <c r="AF4" s="194" t="s">
        <v>904</v>
      </c>
      <c r="AG4" s="194" t="s">
        <v>904</v>
      </c>
      <c r="AH4" s="202" t="s">
        <v>904</v>
      </c>
      <c r="AI4" s="203">
        <v>3.69428</v>
      </c>
      <c r="AJ4" s="204">
        <v>3.7090000000000001</v>
      </c>
      <c r="AK4" s="194" t="s">
        <v>134</v>
      </c>
      <c r="AL4" s="192" t="s">
        <v>2885</v>
      </c>
      <c r="AM4" s="192" t="s">
        <v>1300</v>
      </c>
      <c r="AN4" s="205">
        <v>8.2600000000000007E-2</v>
      </c>
      <c r="AO4" s="205">
        <v>8.0000000000000004E-4</v>
      </c>
    </row>
    <row r="5" spans="1:41" s="206" customFormat="1">
      <c r="A5" s="191">
        <v>337</v>
      </c>
      <c r="B5" s="191">
        <v>1477</v>
      </c>
      <c r="C5" s="192" t="s">
        <v>1044</v>
      </c>
      <c r="D5" s="193">
        <v>9939014</v>
      </c>
      <c r="E5" s="194" t="s">
        <v>1177</v>
      </c>
      <c r="F5" s="195">
        <v>4.0218999999999996</v>
      </c>
      <c r="G5" s="196">
        <v>-57000</v>
      </c>
      <c r="H5" s="196">
        <v>-211.74799999999999</v>
      </c>
      <c r="I5" s="196">
        <v>4.9400000000000004</v>
      </c>
      <c r="J5" s="197">
        <v>1.4</v>
      </c>
      <c r="K5" s="193">
        <v>9939014</v>
      </c>
      <c r="L5" s="194" t="s">
        <v>34</v>
      </c>
      <c r="M5" s="198">
        <v>1</v>
      </c>
      <c r="N5" s="210">
        <v>212592.9</v>
      </c>
      <c r="O5" s="196">
        <v>228.572</v>
      </c>
      <c r="P5" s="196">
        <v>5.16</v>
      </c>
      <c r="Q5" s="196">
        <v>1.51</v>
      </c>
      <c r="R5" s="196">
        <v>-16.823</v>
      </c>
      <c r="S5" s="192" t="s">
        <v>30</v>
      </c>
      <c r="T5" s="199" t="s">
        <v>30</v>
      </c>
      <c r="U5" s="194" t="s">
        <v>744</v>
      </c>
      <c r="V5" s="194" t="s">
        <v>928</v>
      </c>
      <c r="W5" s="192" t="s">
        <v>1296</v>
      </c>
      <c r="X5" s="194" t="s">
        <v>1301</v>
      </c>
      <c r="Y5" s="194" t="s">
        <v>134</v>
      </c>
      <c r="Z5" s="200">
        <v>45701</v>
      </c>
      <c r="AA5" s="201">
        <v>45784</v>
      </c>
      <c r="AB5" s="194" t="s">
        <v>904</v>
      </c>
      <c r="AC5" s="194" t="s">
        <v>1298</v>
      </c>
      <c r="AD5" s="194" t="s">
        <v>134</v>
      </c>
      <c r="AE5" s="194" t="s">
        <v>924</v>
      </c>
      <c r="AF5" s="194" t="s">
        <v>904</v>
      </c>
      <c r="AG5" s="194" t="s">
        <v>904</v>
      </c>
      <c r="AH5" s="202" t="s">
        <v>904</v>
      </c>
      <c r="AI5" s="203">
        <v>3.7148899999999996</v>
      </c>
      <c r="AJ5" s="204">
        <v>3.7296999999999998</v>
      </c>
      <c r="AK5" s="194" t="s">
        <v>134</v>
      </c>
      <c r="AL5" s="192" t="s">
        <v>2885</v>
      </c>
      <c r="AM5" s="192" t="s">
        <v>1300</v>
      </c>
      <c r="AN5" s="205">
        <v>0.1158</v>
      </c>
      <c r="AO5" s="205">
        <v>1.1000000000000001E-3</v>
      </c>
    </row>
    <row r="6" spans="1:41" s="206" customFormat="1">
      <c r="A6" s="191">
        <v>337</v>
      </c>
      <c r="B6" s="191">
        <v>1477</v>
      </c>
      <c r="C6" s="192" t="s">
        <v>1044</v>
      </c>
      <c r="D6" s="193">
        <v>9940448</v>
      </c>
      <c r="E6" s="194" t="s">
        <v>84</v>
      </c>
      <c r="F6" s="195">
        <v>3.718</v>
      </c>
      <c r="G6" s="196">
        <v>-250000</v>
      </c>
      <c r="H6" s="196">
        <v>-913.77200000000005</v>
      </c>
      <c r="I6" s="196">
        <v>21.33</v>
      </c>
      <c r="J6" s="197">
        <v>6.02</v>
      </c>
      <c r="K6" s="193">
        <v>9940448</v>
      </c>
      <c r="L6" s="194" t="s">
        <v>34</v>
      </c>
      <c r="M6" s="198">
        <v>1</v>
      </c>
      <c r="N6" s="210">
        <v>917500</v>
      </c>
      <c r="O6" s="196">
        <v>924.93100000000004</v>
      </c>
      <c r="P6" s="196">
        <v>20.89</v>
      </c>
      <c r="Q6" s="196">
        <v>6.1</v>
      </c>
      <c r="R6" s="196">
        <v>-11.159000000000001</v>
      </c>
      <c r="S6" s="192" t="s">
        <v>30</v>
      </c>
      <c r="T6" s="199" t="s">
        <v>30</v>
      </c>
      <c r="U6" s="194" t="s">
        <v>744</v>
      </c>
      <c r="V6" s="194" t="s">
        <v>928</v>
      </c>
      <c r="W6" s="192" t="s">
        <v>1296</v>
      </c>
      <c r="X6" s="194" t="s">
        <v>1297</v>
      </c>
      <c r="Y6" s="194" t="s">
        <v>134</v>
      </c>
      <c r="Z6" s="200">
        <v>45743</v>
      </c>
      <c r="AA6" s="201">
        <v>45784</v>
      </c>
      <c r="AB6" s="194" t="s">
        <v>904</v>
      </c>
      <c r="AC6" s="194" t="s">
        <v>1298</v>
      </c>
      <c r="AD6" s="194" t="s">
        <v>134</v>
      </c>
      <c r="AE6" s="194" t="s">
        <v>924</v>
      </c>
      <c r="AF6" s="194" t="s">
        <v>904</v>
      </c>
      <c r="AG6" s="194" t="s">
        <v>904</v>
      </c>
      <c r="AH6" s="202" t="s">
        <v>904</v>
      </c>
      <c r="AI6" s="203">
        <v>3.65509</v>
      </c>
      <c r="AJ6" s="204">
        <v>3.67</v>
      </c>
      <c r="AK6" s="194" t="s">
        <v>134</v>
      </c>
      <c r="AL6" s="192" t="s">
        <v>2885</v>
      </c>
      <c r="AM6" s="192" t="s">
        <v>1300</v>
      </c>
      <c r="AN6" s="205">
        <v>7.6799999999999993E-2</v>
      </c>
      <c r="AO6" s="205">
        <v>6.9999999999999999E-4</v>
      </c>
    </row>
    <row r="7" spans="1:41" s="206" customFormat="1">
      <c r="A7" s="191">
        <v>337</v>
      </c>
      <c r="B7" s="191">
        <v>1477</v>
      </c>
      <c r="C7" s="192" t="s">
        <v>1044</v>
      </c>
      <c r="D7" s="193">
        <v>9940505</v>
      </c>
      <c r="E7" s="194" t="s">
        <v>84</v>
      </c>
      <c r="F7" s="195">
        <v>3.718</v>
      </c>
      <c r="G7" s="196">
        <v>-230000</v>
      </c>
      <c r="H7" s="196">
        <v>-852.005</v>
      </c>
      <c r="I7" s="196">
        <v>19.89</v>
      </c>
      <c r="J7" s="197">
        <v>5.62</v>
      </c>
      <c r="K7" s="193">
        <v>9940505</v>
      </c>
      <c r="L7" s="194" t="s">
        <v>34</v>
      </c>
      <c r="M7" s="198">
        <v>1</v>
      </c>
      <c r="N7" s="210">
        <v>855485</v>
      </c>
      <c r="O7" s="196">
        <v>850.93499999999995</v>
      </c>
      <c r="P7" s="196">
        <v>19.22</v>
      </c>
      <c r="Q7" s="196">
        <v>5.61</v>
      </c>
      <c r="R7" s="196">
        <v>1.069</v>
      </c>
      <c r="S7" s="192" t="s">
        <v>30</v>
      </c>
      <c r="T7" s="199" t="s">
        <v>30</v>
      </c>
      <c r="U7" s="194" t="s">
        <v>744</v>
      </c>
      <c r="V7" s="194" t="s">
        <v>928</v>
      </c>
      <c r="W7" s="192" t="s">
        <v>1296</v>
      </c>
      <c r="X7" s="194" t="s">
        <v>1297</v>
      </c>
      <c r="Y7" s="194" t="s">
        <v>134</v>
      </c>
      <c r="Z7" s="200">
        <v>45747</v>
      </c>
      <c r="AA7" s="201">
        <v>45784</v>
      </c>
      <c r="AB7" s="194" t="s">
        <v>904</v>
      </c>
      <c r="AC7" s="194" t="s">
        <v>1298</v>
      </c>
      <c r="AD7" s="194" t="s">
        <v>134</v>
      </c>
      <c r="AE7" s="194" t="s">
        <v>924</v>
      </c>
      <c r="AF7" s="194" t="s">
        <v>904</v>
      </c>
      <c r="AG7" s="194" t="s">
        <v>904</v>
      </c>
      <c r="AH7" s="202" t="s">
        <v>904</v>
      </c>
      <c r="AI7" s="203">
        <v>3.7043599999999999</v>
      </c>
      <c r="AJ7" s="204">
        <v>3.7195</v>
      </c>
      <c r="AK7" s="194" t="s">
        <v>134</v>
      </c>
      <c r="AL7" s="192" t="s">
        <v>2885</v>
      </c>
      <c r="AM7" s="192" t="s">
        <v>1300</v>
      </c>
      <c r="AN7" s="205">
        <v>7.4000000000000003E-3</v>
      </c>
      <c r="AO7" s="205">
        <v>1E-4</v>
      </c>
    </row>
    <row r="8" spans="1:41" s="206" customFormat="1">
      <c r="A8" s="191">
        <v>337</v>
      </c>
      <c r="B8" s="191">
        <v>9962</v>
      </c>
      <c r="C8" s="192" t="s">
        <v>1044</v>
      </c>
      <c r="D8" s="193">
        <v>9938731</v>
      </c>
      <c r="E8" s="194" t="s">
        <v>84</v>
      </c>
      <c r="F8" s="195">
        <v>3.718</v>
      </c>
      <c r="G8" s="196">
        <v>-470000</v>
      </c>
      <c r="H8" s="196">
        <v>-1658.702</v>
      </c>
      <c r="I8" s="196">
        <v>77.650000000000006</v>
      </c>
      <c r="J8" s="197">
        <v>4.3499999999999996</v>
      </c>
      <c r="K8" s="193">
        <v>9938731</v>
      </c>
      <c r="L8" s="194" t="s">
        <v>34</v>
      </c>
      <c r="M8" s="198">
        <v>1</v>
      </c>
      <c r="N8" s="210">
        <v>1665445</v>
      </c>
      <c r="O8" s="196">
        <v>1738.877</v>
      </c>
      <c r="P8" s="196">
        <v>77.900000000000006</v>
      </c>
      <c r="Q8" s="196">
        <v>4.5599999999999996</v>
      </c>
      <c r="R8" s="196">
        <v>-80.174999999999997</v>
      </c>
      <c r="S8" s="192" t="s">
        <v>30</v>
      </c>
      <c r="T8" s="199" t="s">
        <v>30</v>
      </c>
      <c r="U8" s="194" t="s">
        <v>744</v>
      </c>
      <c r="V8" s="194" t="s">
        <v>928</v>
      </c>
      <c r="W8" s="192" t="s">
        <v>1296</v>
      </c>
      <c r="X8" s="194" t="s">
        <v>1297</v>
      </c>
      <c r="Y8" s="194" t="s">
        <v>134</v>
      </c>
      <c r="Z8" s="200">
        <v>45694</v>
      </c>
      <c r="AA8" s="201">
        <v>45784</v>
      </c>
      <c r="AB8" s="194" t="s">
        <v>904</v>
      </c>
      <c r="AC8" s="194" t="s">
        <v>1298</v>
      </c>
      <c r="AD8" s="194" t="s">
        <v>134</v>
      </c>
      <c r="AE8" s="194" t="s">
        <v>924</v>
      </c>
      <c r="AF8" s="194" t="s">
        <v>904</v>
      </c>
      <c r="AG8" s="194" t="s">
        <v>904</v>
      </c>
      <c r="AH8" s="202" t="s">
        <v>904</v>
      </c>
      <c r="AI8" s="203">
        <v>3.52915</v>
      </c>
      <c r="AJ8" s="204">
        <v>3.5434999999999999</v>
      </c>
      <c r="AK8" s="194" t="s">
        <v>134</v>
      </c>
      <c r="AL8" s="192" t="s">
        <v>2885</v>
      </c>
      <c r="AM8" s="192" t="s">
        <v>1300</v>
      </c>
      <c r="AN8" s="205">
        <v>0.83520000000000005</v>
      </c>
      <c r="AO8" s="205">
        <v>2.0999999999999999E-3</v>
      </c>
    </row>
    <row r="9" spans="1:41" s="206" customFormat="1">
      <c r="A9" s="191">
        <v>337</v>
      </c>
      <c r="B9" s="191">
        <v>9962</v>
      </c>
      <c r="C9" s="192" t="s">
        <v>1044</v>
      </c>
      <c r="D9" s="193">
        <v>9939014</v>
      </c>
      <c r="E9" s="194" t="s">
        <v>1177</v>
      </c>
      <c r="F9" s="195">
        <v>4.0218999999999996</v>
      </c>
      <c r="G9" s="196">
        <v>-40000</v>
      </c>
      <c r="H9" s="196">
        <v>-148.595</v>
      </c>
      <c r="I9" s="196">
        <v>6.96</v>
      </c>
      <c r="J9" s="197">
        <v>0.39</v>
      </c>
      <c r="K9" s="193">
        <v>9939014</v>
      </c>
      <c r="L9" s="194" t="s">
        <v>34</v>
      </c>
      <c r="M9" s="198">
        <v>1</v>
      </c>
      <c r="N9" s="210">
        <v>149188</v>
      </c>
      <c r="O9" s="196">
        <v>160.40100000000001</v>
      </c>
      <c r="P9" s="196">
        <v>7.19</v>
      </c>
      <c r="Q9" s="196">
        <v>0.42</v>
      </c>
      <c r="R9" s="196">
        <v>-11.805999999999999</v>
      </c>
      <c r="S9" s="192" t="s">
        <v>30</v>
      </c>
      <c r="T9" s="199" t="s">
        <v>30</v>
      </c>
      <c r="U9" s="194" t="s">
        <v>744</v>
      </c>
      <c r="V9" s="194" t="s">
        <v>928</v>
      </c>
      <c r="W9" s="192" t="s">
        <v>1296</v>
      </c>
      <c r="X9" s="194" t="s">
        <v>1301</v>
      </c>
      <c r="Y9" s="194" t="s">
        <v>134</v>
      </c>
      <c r="Z9" s="200">
        <v>45701</v>
      </c>
      <c r="AA9" s="201">
        <v>45784</v>
      </c>
      <c r="AB9" s="194" t="s">
        <v>904</v>
      </c>
      <c r="AC9" s="194" t="s">
        <v>1298</v>
      </c>
      <c r="AD9" s="194" t="s">
        <v>134</v>
      </c>
      <c r="AE9" s="194" t="s">
        <v>924</v>
      </c>
      <c r="AF9" s="194" t="s">
        <v>904</v>
      </c>
      <c r="AG9" s="194" t="s">
        <v>904</v>
      </c>
      <c r="AH9" s="202" t="s">
        <v>904</v>
      </c>
      <c r="AI9" s="203">
        <v>3.7148899999999996</v>
      </c>
      <c r="AJ9" s="204">
        <v>3.7296999999999998</v>
      </c>
      <c r="AK9" s="194" t="s">
        <v>134</v>
      </c>
      <c r="AL9" s="192" t="s">
        <v>2885</v>
      </c>
      <c r="AM9" s="192" t="s">
        <v>1300</v>
      </c>
      <c r="AN9" s="205">
        <v>0.123</v>
      </c>
      <c r="AO9" s="205">
        <v>2.9999999999999997E-4</v>
      </c>
    </row>
    <row r="10" spans="1:41" s="206" customFormat="1">
      <c r="A10" s="191">
        <v>337</v>
      </c>
      <c r="B10" s="191">
        <v>9962</v>
      </c>
      <c r="C10" s="192" t="s">
        <v>1044</v>
      </c>
      <c r="D10" s="193">
        <v>9940448</v>
      </c>
      <c r="E10" s="194" t="s">
        <v>84</v>
      </c>
      <c r="F10" s="195">
        <v>3.718</v>
      </c>
      <c r="G10" s="196">
        <v>-90000</v>
      </c>
      <c r="H10" s="196">
        <v>-328.95800000000003</v>
      </c>
      <c r="I10" s="196">
        <v>15.4</v>
      </c>
      <c r="J10" s="197">
        <v>0.86</v>
      </c>
      <c r="K10" s="193">
        <v>9940448</v>
      </c>
      <c r="L10" s="194" t="s">
        <v>34</v>
      </c>
      <c r="M10" s="198">
        <v>1</v>
      </c>
      <c r="N10" s="210">
        <v>330300</v>
      </c>
      <c r="O10" s="196">
        <v>332.97500000000002</v>
      </c>
      <c r="P10" s="196">
        <v>14.92</v>
      </c>
      <c r="Q10" s="196">
        <v>0.87</v>
      </c>
      <c r="R10" s="196">
        <v>-4.0170000000000003</v>
      </c>
      <c r="S10" s="192" t="s">
        <v>30</v>
      </c>
      <c r="T10" s="199" t="s">
        <v>30</v>
      </c>
      <c r="U10" s="194" t="s">
        <v>744</v>
      </c>
      <c r="V10" s="194" t="s">
        <v>928</v>
      </c>
      <c r="W10" s="192" t="s">
        <v>1296</v>
      </c>
      <c r="X10" s="194" t="s">
        <v>1297</v>
      </c>
      <c r="Y10" s="194" t="s">
        <v>134</v>
      </c>
      <c r="Z10" s="200">
        <v>45743</v>
      </c>
      <c r="AA10" s="201">
        <v>45784</v>
      </c>
      <c r="AB10" s="194" t="s">
        <v>904</v>
      </c>
      <c r="AC10" s="194" t="s">
        <v>1298</v>
      </c>
      <c r="AD10" s="194" t="s">
        <v>134</v>
      </c>
      <c r="AE10" s="194" t="s">
        <v>924</v>
      </c>
      <c r="AF10" s="194" t="s">
        <v>904</v>
      </c>
      <c r="AG10" s="194" t="s">
        <v>904</v>
      </c>
      <c r="AH10" s="202" t="s">
        <v>904</v>
      </c>
      <c r="AI10" s="203">
        <v>3.65509</v>
      </c>
      <c r="AJ10" s="204">
        <v>3.67</v>
      </c>
      <c r="AK10" s="194" t="s">
        <v>134</v>
      </c>
      <c r="AL10" s="192" t="s">
        <v>2885</v>
      </c>
      <c r="AM10" s="192" t="s">
        <v>1300</v>
      </c>
      <c r="AN10" s="205">
        <v>4.1799999999999997E-2</v>
      </c>
      <c r="AO10" s="205">
        <v>1E-4</v>
      </c>
    </row>
    <row r="11" spans="1:41" s="206" customFormat="1">
      <c r="A11" s="191">
        <v>337</v>
      </c>
      <c r="B11" s="191">
        <v>9963</v>
      </c>
      <c r="C11" s="192" t="s">
        <v>1044</v>
      </c>
      <c r="D11" s="193">
        <v>9938731</v>
      </c>
      <c r="E11" s="194" t="s">
        <v>84</v>
      </c>
      <c r="F11" s="195">
        <v>3.718</v>
      </c>
      <c r="G11" s="196">
        <v>-17000</v>
      </c>
      <c r="H11" s="196">
        <v>-59.994999999999997</v>
      </c>
      <c r="I11" s="196">
        <v>0.05</v>
      </c>
      <c r="J11" s="197">
        <v>0.66</v>
      </c>
      <c r="K11" s="193">
        <v>9938731</v>
      </c>
      <c r="L11" s="194" t="s">
        <v>34</v>
      </c>
      <c r="M11" s="198">
        <v>1</v>
      </c>
      <c r="N11" s="210">
        <v>60239.5</v>
      </c>
      <c r="O11" s="207">
        <v>62.895000000000003</v>
      </c>
      <c r="P11" s="196">
        <v>0.05</v>
      </c>
      <c r="Q11" s="196">
        <v>0.69</v>
      </c>
      <c r="R11" s="196">
        <v>-2.9</v>
      </c>
      <c r="S11" s="192" t="s">
        <v>30</v>
      </c>
      <c r="T11" s="199" t="s">
        <v>30</v>
      </c>
      <c r="U11" s="194" t="s">
        <v>744</v>
      </c>
      <c r="V11" s="194" t="s">
        <v>928</v>
      </c>
      <c r="W11" s="192" t="s">
        <v>1296</v>
      </c>
      <c r="X11" s="194" t="s">
        <v>1297</v>
      </c>
      <c r="Y11" s="194" t="s">
        <v>134</v>
      </c>
      <c r="Z11" s="200">
        <v>45694</v>
      </c>
      <c r="AA11" s="201">
        <v>45784</v>
      </c>
      <c r="AB11" s="194" t="s">
        <v>904</v>
      </c>
      <c r="AC11" s="194" t="s">
        <v>1298</v>
      </c>
      <c r="AD11" s="194" t="s">
        <v>134</v>
      </c>
      <c r="AE11" s="194" t="s">
        <v>924</v>
      </c>
      <c r="AF11" s="194" t="s">
        <v>904</v>
      </c>
      <c r="AG11" s="194" t="s">
        <v>904</v>
      </c>
      <c r="AH11" s="192" t="s">
        <v>904</v>
      </c>
      <c r="AI11" s="203">
        <v>3.52915</v>
      </c>
      <c r="AJ11" s="204">
        <v>3.5434999999999999</v>
      </c>
      <c r="AK11" s="194" t="s">
        <v>134</v>
      </c>
      <c r="AL11" s="192" t="s">
        <v>2885</v>
      </c>
      <c r="AM11" s="192" t="s">
        <v>1300</v>
      </c>
      <c r="AN11" s="205">
        <v>5.0000000000000001E-4</v>
      </c>
      <c r="AO11" s="205">
        <v>0</v>
      </c>
    </row>
    <row r="12" spans="1:41" s="206" customFormat="1">
      <c r="A12" s="191">
        <v>337</v>
      </c>
      <c r="B12" s="191">
        <v>9963</v>
      </c>
      <c r="C12" s="192" t="s">
        <v>1044</v>
      </c>
      <c r="D12" s="193">
        <v>9938729</v>
      </c>
      <c r="E12" s="194" t="s">
        <v>1177</v>
      </c>
      <c r="F12" s="195">
        <v>4.0218999999999996</v>
      </c>
      <c r="G12" s="196">
        <v>-3920000</v>
      </c>
      <c r="H12" s="196">
        <v>-14407.448</v>
      </c>
      <c r="I12" s="196">
        <v>11.86</v>
      </c>
      <c r="J12" s="197">
        <v>1.42</v>
      </c>
      <c r="K12" s="193">
        <v>9938729</v>
      </c>
      <c r="L12" s="194" t="s">
        <v>34</v>
      </c>
      <c r="M12" s="198">
        <v>1</v>
      </c>
      <c r="N12" s="210">
        <v>14464800</v>
      </c>
      <c r="O12" s="196">
        <v>15719.366</v>
      </c>
      <c r="P12" s="196">
        <v>12.3</v>
      </c>
      <c r="Q12" s="196">
        <v>1.55</v>
      </c>
      <c r="R12" s="196">
        <v>-1311.9169999999999</v>
      </c>
      <c r="S12" s="192" t="s">
        <v>30</v>
      </c>
      <c r="T12" s="199" t="s">
        <v>30</v>
      </c>
      <c r="U12" s="194" t="s">
        <v>744</v>
      </c>
      <c r="V12" s="194" t="s">
        <v>928</v>
      </c>
      <c r="W12" s="192" t="s">
        <v>1296</v>
      </c>
      <c r="X12" s="194" t="s">
        <v>1301</v>
      </c>
      <c r="Y12" s="194" t="s">
        <v>134</v>
      </c>
      <c r="Z12" s="200">
        <v>45694</v>
      </c>
      <c r="AA12" s="201">
        <v>45784</v>
      </c>
      <c r="AB12" s="194" t="s">
        <v>904</v>
      </c>
      <c r="AC12" s="194" t="s">
        <v>1298</v>
      </c>
      <c r="AD12" s="194" t="s">
        <v>134</v>
      </c>
      <c r="AE12" s="194" t="s">
        <v>924</v>
      </c>
      <c r="AF12" s="194" t="s">
        <v>904</v>
      </c>
      <c r="AG12" s="194" t="s">
        <v>904</v>
      </c>
      <c r="AH12" s="202" t="s">
        <v>904</v>
      </c>
      <c r="AI12" s="203">
        <v>3.67536</v>
      </c>
      <c r="AJ12" s="204">
        <v>3.69</v>
      </c>
      <c r="AK12" s="194" t="s">
        <v>134</v>
      </c>
      <c r="AL12" s="192" t="s">
        <v>2885</v>
      </c>
      <c r="AM12" s="192" t="s">
        <v>1300</v>
      </c>
      <c r="AN12" s="205">
        <v>0.21029999999999999</v>
      </c>
      <c r="AO12" s="205">
        <v>1.2999999999999999E-3</v>
      </c>
    </row>
    <row r="13" spans="1:41" s="206" customFormat="1">
      <c r="A13" s="191">
        <v>337</v>
      </c>
      <c r="B13" s="191">
        <v>9963</v>
      </c>
      <c r="C13" s="192" t="s">
        <v>1044</v>
      </c>
      <c r="D13" s="193">
        <v>9938731</v>
      </c>
      <c r="E13" s="194" t="s">
        <v>84</v>
      </c>
      <c r="F13" s="195">
        <v>3.718</v>
      </c>
      <c r="G13" s="196">
        <v>-27034000</v>
      </c>
      <c r="H13" s="196">
        <v>-95407.150999999998</v>
      </c>
      <c r="I13" s="196">
        <v>78.510000000000005</v>
      </c>
      <c r="J13" s="197">
        <v>9.3800000000000008</v>
      </c>
      <c r="K13" s="193">
        <v>9938731</v>
      </c>
      <c r="L13" s="194" t="s">
        <v>34</v>
      </c>
      <c r="M13" s="198">
        <v>1</v>
      </c>
      <c r="N13" s="210">
        <v>95794979</v>
      </c>
      <c r="O13" s="196">
        <v>100018.742</v>
      </c>
      <c r="P13" s="196">
        <v>78.290000000000006</v>
      </c>
      <c r="Q13" s="196">
        <v>9.83</v>
      </c>
      <c r="R13" s="196">
        <v>-4611.5910000000003</v>
      </c>
      <c r="S13" s="192" t="s">
        <v>30</v>
      </c>
      <c r="T13" s="199" t="s">
        <v>30</v>
      </c>
      <c r="U13" s="194" t="s">
        <v>744</v>
      </c>
      <c r="V13" s="194" t="s">
        <v>928</v>
      </c>
      <c r="W13" s="192" t="s">
        <v>1296</v>
      </c>
      <c r="X13" s="194" t="s">
        <v>1297</v>
      </c>
      <c r="Y13" s="194" t="s">
        <v>134</v>
      </c>
      <c r="Z13" s="200">
        <v>45694</v>
      </c>
      <c r="AA13" s="201">
        <v>45784</v>
      </c>
      <c r="AB13" s="194" t="s">
        <v>904</v>
      </c>
      <c r="AC13" s="194" t="s">
        <v>1298</v>
      </c>
      <c r="AD13" s="194" t="s">
        <v>134</v>
      </c>
      <c r="AE13" s="194" t="s">
        <v>924</v>
      </c>
      <c r="AF13" s="194" t="s">
        <v>904</v>
      </c>
      <c r="AG13" s="194" t="s">
        <v>904</v>
      </c>
      <c r="AH13" s="202" t="s">
        <v>904</v>
      </c>
      <c r="AI13" s="203">
        <v>3.52915</v>
      </c>
      <c r="AJ13" s="204">
        <v>3.5434999999999999</v>
      </c>
      <c r="AK13" s="194" t="s">
        <v>134</v>
      </c>
      <c r="AL13" s="192" t="s">
        <v>2885</v>
      </c>
      <c r="AM13" s="192" t="s">
        <v>1300</v>
      </c>
      <c r="AN13" s="205">
        <v>0.73939999999999995</v>
      </c>
      <c r="AO13" s="205">
        <v>4.4999999999999997E-3</v>
      </c>
    </row>
    <row r="14" spans="1:41" s="206" customFormat="1">
      <c r="A14" s="191">
        <v>337</v>
      </c>
      <c r="B14" s="191">
        <v>9963</v>
      </c>
      <c r="C14" s="192" t="s">
        <v>1044</v>
      </c>
      <c r="D14" s="193">
        <v>9939014</v>
      </c>
      <c r="E14" s="194" t="s">
        <v>1177</v>
      </c>
      <c r="F14" s="195">
        <v>4.0218999999999996</v>
      </c>
      <c r="G14" s="196">
        <v>-675000</v>
      </c>
      <c r="H14" s="196">
        <v>-2507.5520000000001</v>
      </c>
      <c r="I14" s="196">
        <v>2.06</v>
      </c>
      <c r="J14" s="197">
        <v>0.25</v>
      </c>
      <c r="K14" s="193">
        <v>9939014</v>
      </c>
      <c r="L14" s="194" t="s">
        <v>34</v>
      </c>
      <c r="M14" s="198">
        <v>1</v>
      </c>
      <c r="N14" s="210">
        <v>2517547.5</v>
      </c>
      <c r="O14" s="196">
        <v>2706.7750000000001</v>
      </c>
      <c r="P14" s="196">
        <v>2.12</v>
      </c>
      <c r="Q14" s="196">
        <v>0.27</v>
      </c>
      <c r="R14" s="196">
        <v>-199.22300000000001</v>
      </c>
      <c r="S14" s="192" t="s">
        <v>30</v>
      </c>
      <c r="T14" s="199" t="s">
        <v>30</v>
      </c>
      <c r="U14" s="194" t="s">
        <v>744</v>
      </c>
      <c r="V14" s="194" t="s">
        <v>928</v>
      </c>
      <c r="W14" s="192" t="s">
        <v>1296</v>
      </c>
      <c r="X14" s="194" t="s">
        <v>1301</v>
      </c>
      <c r="Y14" s="194" t="s">
        <v>134</v>
      </c>
      <c r="Z14" s="200">
        <v>45701</v>
      </c>
      <c r="AA14" s="201">
        <v>45784</v>
      </c>
      <c r="AB14" s="194" t="s">
        <v>904</v>
      </c>
      <c r="AC14" s="194" t="s">
        <v>1298</v>
      </c>
      <c r="AD14" s="194" t="s">
        <v>134</v>
      </c>
      <c r="AE14" s="194" t="s">
        <v>924</v>
      </c>
      <c r="AF14" s="194" t="s">
        <v>904</v>
      </c>
      <c r="AG14" s="194" t="s">
        <v>904</v>
      </c>
      <c r="AH14" s="202" t="s">
        <v>904</v>
      </c>
      <c r="AI14" s="203">
        <v>3.7148899999999996</v>
      </c>
      <c r="AJ14" s="204">
        <v>3.7296999999999998</v>
      </c>
      <c r="AK14" s="194" t="s">
        <v>134</v>
      </c>
      <c r="AL14" s="192" t="s">
        <v>2885</v>
      </c>
      <c r="AM14" s="192" t="s">
        <v>1300</v>
      </c>
      <c r="AN14" s="205">
        <v>3.1899999999999998E-2</v>
      </c>
      <c r="AO14" s="205">
        <v>2.0000000000000001E-4</v>
      </c>
    </row>
    <row r="15" spans="1:41" s="206" customFormat="1">
      <c r="A15" s="191">
        <v>337</v>
      </c>
      <c r="B15" s="191">
        <v>9963</v>
      </c>
      <c r="C15" s="192" t="s">
        <v>1044</v>
      </c>
      <c r="D15" s="193">
        <v>9940448</v>
      </c>
      <c r="E15" s="194" t="s">
        <v>84</v>
      </c>
      <c r="F15" s="195">
        <v>3.718</v>
      </c>
      <c r="G15" s="196">
        <v>-2500000</v>
      </c>
      <c r="H15" s="196">
        <v>-9137.7250000000004</v>
      </c>
      <c r="I15" s="196">
        <v>7.52</v>
      </c>
      <c r="J15" s="197">
        <v>0.9</v>
      </c>
      <c r="K15" s="193">
        <v>9940448</v>
      </c>
      <c r="L15" s="194" t="s">
        <v>34</v>
      </c>
      <c r="M15" s="198">
        <v>1</v>
      </c>
      <c r="N15" s="210">
        <v>9175000</v>
      </c>
      <c r="O15" s="196">
        <v>9249.3140000000003</v>
      </c>
      <c r="P15" s="196">
        <v>7.24</v>
      </c>
      <c r="Q15" s="196">
        <v>0.91</v>
      </c>
      <c r="R15" s="196">
        <v>-111.589</v>
      </c>
      <c r="S15" s="192" t="s">
        <v>30</v>
      </c>
      <c r="T15" s="199" t="s">
        <v>30</v>
      </c>
      <c r="U15" s="194" t="s">
        <v>744</v>
      </c>
      <c r="V15" s="194" t="s">
        <v>928</v>
      </c>
      <c r="W15" s="192" t="s">
        <v>1296</v>
      </c>
      <c r="X15" s="194" t="s">
        <v>1297</v>
      </c>
      <c r="Y15" s="194" t="s">
        <v>134</v>
      </c>
      <c r="Z15" s="200">
        <v>45743</v>
      </c>
      <c r="AA15" s="201">
        <v>45784</v>
      </c>
      <c r="AB15" s="194" t="s">
        <v>904</v>
      </c>
      <c r="AC15" s="194" t="s">
        <v>1298</v>
      </c>
      <c r="AD15" s="194" t="s">
        <v>134</v>
      </c>
      <c r="AE15" s="194" t="s">
        <v>924</v>
      </c>
      <c r="AF15" s="194" t="s">
        <v>904</v>
      </c>
      <c r="AG15" s="194" t="s">
        <v>904</v>
      </c>
      <c r="AH15" s="202" t="s">
        <v>904</v>
      </c>
      <c r="AI15" s="203">
        <v>3.65509</v>
      </c>
      <c r="AJ15" s="204">
        <v>3.67</v>
      </c>
      <c r="AK15" s="194" t="s">
        <v>134</v>
      </c>
      <c r="AL15" s="192" t="s">
        <v>2885</v>
      </c>
      <c r="AM15" s="192" t="s">
        <v>1300</v>
      </c>
      <c r="AN15" s="205">
        <v>1.7899999999999999E-2</v>
      </c>
      <c r="AO15" s="205">
        <v>1E-4</v>
      </c>
    </row>
    <row r="16" spans="1:41" s="206" customFormat="1">
      <c r="A16" s="191">
        <v>337</v>
      </c>
      <c r="B16" s="191">
        <v>9964</v>
      </c>
      <c r="C16" s="192" t="s">
        <v>1044</v>
      </c>
      <c r="D16" s="193">
        <v>9938729</v>
      </c>
      <c r="E16" s="194" t="s">
        <v>1177</v>
      </c>
      <c r="F16" s="195">
        <v>4.0218999999999996</v>
      </c>
      <c r="G16" s="196">
        <v>-51000</v>
      </c>
      <c r="H16" s="196">
        <v>-187.44300000000001</v>
      </c>
      <c r="I16" s="196">
        <v>12.79</v>
      </c>
      <c r="J16" s="197">
        <v>0.51</v>
      </c>
      <c r="K16" s="193">
        <v>9938729</v>
      </c>
      <c r="L16" s="194" t="s">
        <v>34</v>
      </c>
      <c r="M16" s="198">
        <v>1</v>
      </c>
      <c r="N16" s="210">
        <v>188190</v>
      </c>
      <c r="O16" s="196">
        <v>204.512</v>
      </c>
      <c r="P16" s="196">
        <v>13.22</v>
      </c>
      <c r="Q16" s="196">
        <v>0.56000000000000005</v>
      </c>
      <c r="R16" s="196">
        <v>-17.068000000000001</v>
      </c>
      <c r="S16" s="192" t="s">
        <v>30</v>
      </c>
      <c r="T16" s="199" t="s">
        <v>30</v>
      </c>
      <c r="U16" s="194" t="s">
        <v>744</v>
      </c>
      <c r="V16" s="194" t="s">
        <v>928</v>
      </c>
      <c r="W16" s="192" t="s">
        <v>1296</v>
      </c>
      <c r="X16" s="194" t="s">
        <v>1301</v>
      </c>
      <c r="Y16" s="194" t="s">
        <v>134</v>
      </c>
      <c r="Z16" s="200">
        <v>45694</v>
      </c>
      <c r="AA16" s="201">
        <v>45784</v>
      </c>
      <c r="AB16" s="194" t="s">
        <v>904</v>
      </c>
      <c r="AC16" s="194" t="s">
        <v>1298</v>
      </c>
      <c r="AD16" s="194" t="s">
        <v>134</v>
      </c>
      <c r="AE16" s="194" t="s">
        <v>924</v>
      </c>
      <c r="AF16" s="194" t="s">
        <v>904</v>
      </c>
      <c r="AG16" s="194" t="s">
        <v>904</v>
      </c>
      <c r="AH16" s="202" t="s">
        <v>904</v>
      </c>
      <c r="AI16" s="203">
        <v>3.67536</v>
      </c>
      <c r="AJ16" s="204">
        <v>3.69</v>
      </c>
      <c r="AK16" s="194" t="s">
        <v>134</v>
      </c>
      <c r="AL16" s="192" t="s">
        <v>2885</v>
      </c>
      <c r="AM16" s="192" t="s">
        <v>1300</v>
      </c>
      <c r="AN16" s="205">
        <v>0.2087</v>
      </c>
      <c r="AO16" s="205">
        <v>5.0000000000000001E-4</v>
      </c>
    </row>
    <row r="17" spans="1:41" s="206" customFormat="1">
      <c r="A17" s="191">
        <v>337</v>
      </c>
      <c r="B17" s="191">
        <v>9964</v>
      </c>
      <c r="C17" s="192" t="s">
        <v>1044</v>
      </c>
      <c r="D17" s="193">
        <v>9938731</v>
      </c>
      <c r="E17" s="194" t="s">
        <v>84</v>
      </c>
      <c r="F17" s="195">
        <v>3.718</v>
      </c>
      <c r="G17" s="196">
        <v>-291000</v>
      </c>
      <c r="H17" s="196">
        <v>-1026.9829999999999</v>
      </c>
      <c r="I17" s="196">
        <v>70.06</v>
      </c>
      <c r="J17" s="197">
        <v>2.81</v>
      </c>
      <c r="K17" s="193">
        <v>9938731</v>
      </c>
      <c r="L17" s="194" t="s">
        <v>34</v>
      </c>
      <c r="M17" s="198">
        <v>1</v>
      </c>
      <c r="N17" s="210">
        <v>1031158.5</v>
      </c>
      <c r="O17" s="196">
        <v>1076.624</v>
      </c>
      <c r="P17" s="196">
        <v>69.569999999999993</v>
      </c>
      <c r="Q17" s="196">
        <v>2.95</v>
      </c>
      <c r="R17" s="196">
        <v>-49.64</v>
      </c>
      <c r="S17" s="192" t="s">
        <v>30</v>
      </c>
      <c r="T17" s="199" t="s">
        <v>30</v>
      </c>
      <c r="U17" s="194" t="s">
        <v>744</v>
      </c>
      <c r="V17" s="194" t="s">
        <v>928</v>
      </c>
      <c r="W17" s="192" t="s">
        <v>1296</v>
      </c>
      <c r="X17" s="194" t="s">
        <v>1297</v>
      </c>
      <c r="Y17" s="194" t="s">
        <v>134</v>
      </c>
      <c r="Z17" s="200">
        <v>45694</v>
      </c>
      <c r="AA17" s="201">
        <v>45784</v>
      </c>
      <c r="AB17" s="194" t="s">
        <v>904</v>
      </c>
      <c r="AC17" s="194" t="s">
        <v>1298</v>
      </c>
      <c r="AD17" s="194" t="s">
        <v>134</v>
      </c>
      <c r="AE17" s="194" t="s">
        <v>924</v>
      </c>
      <c r="AF17" s="194" t="s">
        <v>904</v>
      </c>
      <c r="AG17" s="194" t="s">
        <v>904</v>
      </c>
      <c r="AH17" s="202" t="s">
        <v>904</v>
      </c>
      <c r="AI17" s="203">
        <v>3.52915</v>
      </c>
      <c r="AJ17" s="204">
        <v>3.5434999999999999</v>
      </c>
      <c r="AK17" s="194" t="s">
        <v>134</v>
      </c>
      <c r="AL17" s="192" t="s">
        <v>2885</v>
      </c>
      <c r="AM17" s="192" t="s">
        <v>1300</v>
      </c>
      <c r="AN17" s="205">
        <v>0.60709999999999997</v>
      </c>
      <c r="AO17" s="205">
        <v>1.4E-3</v>
      </c>
    </row>
    <row r="18" spans="1:41" s="206" customFormat="1">
      <c r="A18" s="191">
        <v>337</v>
      </c>
      <c r="B18" s="191">
        <v>9964</v>
      </c>
      <c r="C18" s="192" t="s">
        <v>1044</v>
      </c>
      <c r="D18" s="193">
        <v>9939014</v>
      </c>
      <c r="E18" s="194" t="s">
        <v>1177</v>
      </c>
      <c r="F18" s="195">
        <v>4.0218999999999996</v>
      </c>
      <c r="G18" s="196">
        <v>-48000</v>
      </c>
      <c r="H18" s="196">
        <v>-178.31399999999999</v>
      </c>
      <c r="I18" s="196">
        <v>12.16</v>
      </c>
      <c r="J18" s="197">
        <v>0.49</v>
      </c>
      <c r="K18" s="193">
        <v>9939014</v>
      </c>
      <c r="L18" s="194" t="s">
        <v>34</v>
      </c>
      <c r="M18" s="198">
        <v>1</v>
      </c>
      <c r="N18" s="210">
        <v>179025.6</v>
      </c>
      <c r="O18" s="196">
        <v>192.48099999999999</v>
      </c>
      <c r="P18" s="196">
        <v>12.44</v>
      </c>
      <c r="Q18" s="196">
        <v>0.53</v>
      </c>
      <c r="R18" s="196">
        <v>-14.167</v>
      </c>
      <c r="S18" s="192" t="s">
        <v>30</v>
      </c>
      <c r="T18" s="199" t="s">
        <v>30</v>
      </c>
      <c r="U18" s="194" t="s">
        <v>744</v>
      </c>
      <c r="V18" s="194" t="s">
        <v>928</v>
      </c>
      <c r="W18" s="192" t="s">
        <v>1296</v>
      </c>
      <c r="X18" s="194" t="s">
        <v>1301</v>
      </c>
      <c r="Y18" s="194" t="s">
        <v>134</v>
      </c>
      <c r="Z18" s="200">
        <v>45701</v>
      </c>
      <c r="AA18" s="201">
        <v>45784</v>
      </c>
      <c r="AB18" s="194" t="s">
        <v>904</v>
      </c>
      <c r="AC18" s="194" t="s">
        <v>1298</v>
      </c>
      <c r="AD18" s="194" t="s">
        <v>134</v>
      </c>
      <c r="AE18" s="194" t="s">
        <v>924</v>
      </c>
      <c r="AF18" s="194" t="s">
        <v>904</v>
      </c>
      <c r="AG18" s="194" t="s">
        <v>904</v>
      </c>
      <c r="AH18" s="202" t="s">
        <v>904</v>
      </c>
      <c r="AI18" s="203">
        <v>3.7148899999999996</v>
      </c>
      <c r="AJ18" s="204">
        <v>3.7297000000000002</v>
      </c>
      <c r="AK18" s="194" t="s">
        <v>134</v>
      </c>
      <c r="AL18" s="192" t="s">
        <v>2885</v>
      </c>
      <c r="AM18" s="192" t="s">
        <v>1300</v>
      </c>
      <c r="AN18" s="205">
        <v>0.17330000000000001</v>
      </c>
      <c r="AO18" s="205">
        <v>4.0000000000000002E-4</v>
      </c>
    </row>
    <row r="19" spans="1:41" s="206" customFormat="1">
      <c r="A19" s="191">
        <v>337</v>
      </c>
      <c r="B19" s="191">
        <v>9964</v>
      </c>
      <c r="C19" s="192" t="s">
        <v>1044</v>
      </c>
      <c r="D19" s="193">
        <v>9940448</v>
      </c>
      <c r="E19" s="194" t="s">
        <v>84</v>
      </c>
      <c r="F19" s="195">
        <v>3.718</v>
      </c>
      <c r="G19" s="196">
        <v>-20000</v>
      </c>
      <c r="H19" s="196">
        <v>-73.100999999999999</v>
      </c>
      <c r="I19" s="196">
        <v>4.99</v>
      </c>
      <c r="J19" s="197">
        <v>0.2</v>
      </c>
      <c r="K19" s="193">
        <v>9940448</v>
      </c>
      <c r="L19" s="194" t="s">
        <v>34</v>
      </c>
      <c r="M19" s="198">
        <v>1</v>
      </c>
      <c r="N19" s="210">
        <v>73400</v>
      </c>
      <c r="O19" s="196">
        <v>73.994</v>
      </c>
      <c r="P19" s="196">
        <v>4.78</v>
      </c>
      <c r="Q19" s="196">
        <v>0.2</v>
      </c>
      <c r="R19" s="196">
        <v>-0.89300000000000002</v>
      </c>
      <c r="S19" s="192" t="s">
        <v>30</v>
      </c>
      <c r="T19" s="199" t="s">
        <v>30</v>
      </c>
      <c r="U19" s="194" t="s">
        <v>744</v>
      </c>
      <c r="V19" s="194" t="s">
        <v>928</v>
      </c>
      <c r="W19" s="192" t="s">
        <v>1296</v>
      </c>
      <c r="X19" s="194" t="s">
        <v>1297</v>
      </c>
      <c r="Y19" s="194" t="s">
        <v>134</v>
      </c>
      <c r="Z19" s="200">
        <v>45743</v>
      </c>
      <c r="AA19" s="201">
        <v>45784</v>
      </c>
      <c r="AB19" s="194" t="s">
        <v>904</v>
      </c>
      <c r="AC19" s="194" t="s">
        <v>1298</v>
      </c>
      <c r="AD19" s="194" t="s">
        <v>134</v>
      </c>
      <c r="AE19" s="194" t="s">
        <v>924</v>
      </c>
      <c r="AF19" s="194" t="s">
        <v>904</v>
      </c>
      <c r="AG19" s="194" t="s">
        <v>904</v>
      </c>
      <c r="AH19" s="202" t="s">
        <v>904</v>
      </c>
      <c r="AI19" s="203">
        <v>3.65509</v>
      </c>
      <c r="AJ19" s="204">
        <v>3.67</v>
      </c>
      <c r="AK19" s="194" t="s">
        <v>134</v>
      </c>
      <c r="AL19" s="192" t="s">
        <v>2885</v>
      </c>
      <c r="AM19" s="192" t="s">
        <v>1300</v>
      </c>
      <c r="AN19" s="205">
        <v>1.09E-2</v>
      </c>
      <c r="AO19" s="205">
        <v>0</v>
      </c>
    </row>
    <row r="20" spans="1:41">
      <c r="C20" s="12"/>
      <c r="E20" s="12"/>
      <c r="T20" s="18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48"/>
      <c r="J21" s="148"/>
      <c r="P21" s="148"/>
      <c r="Q21" s="148"/>
    </row>
    <row r="22" spans="1:41">
      <c r="C22" s="12"/>
      <c r="E22" s="12"/>
      <c r="T22" s="18"/>
      <c r="AE22" s="12"/>
      <c r="AF22" s="12"/>
    </row>
    <row r="23" spans="1:41">
      <c r="C23" s="12"/>
      <c r="E23" s="12"/>
      <c r="T23" s="18"/>
      <c r="AE23" s="12"/>
      <c r="AF23" s="12"/>
    </row>
    <row r="24" spans="1:41">
      <c r="C24" s="12"/>
      <c r="E24" s="12"/>
      <c r="T24" s="18"/>
      <c r="AE24" s="12"/>
      <c r="AF24" s="12"/>
    </row>
    <row r="25" spans="1:41">
      <c r="C25" s="12"/>
      <c r="E25" s="12"/>
      <c r="T25" s="18"/>
      <c r="AE25" s="12"/>
      <c r="AF25" s="12"/>
    </row>
    <row r="26" spans="1:41">
      <c r="C26" s="12"/>
      <c r="E26" s="12"/>
      <c r="T26" s="18"/>
      <c r="AE26" s="12"/>
      <c r="AF26" s="12"/>
    </row>
    <row r="27" spans="1:41">
      <c r="C27" s="12"/>
      <c r="E27" s="12"/>
      <c r="T27" s="18"/>
    </row>
    <row r="28" spans="1:41">
      <c r="C28" s="12"/>
      <c r="E28" s="12"/>
      <c r="T28" s="18"/>
    </row>
    <row r="29" spans="1:41">
      <c r="C29" s="12"/>
      <c r="E29" s="12"/>
      <c r="T29" s="18"/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6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Y2:Y20 AL22:AL1048576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D2:D19 I2:K19 P2:R19 M2:N19 Z2:Z19" xr:uid="{2E33D6F6-EAAD-45A1-AE11-9473DD30CCE8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12:AE20 AE2:AE10" xr:uid="{00000000-0002-0000-1600-00000E000000}">
      <formula1>$C$535:$C$536</formula1>
    </dataValidation>
    <dataValidation type="list" allowBlank="1" showInputMessage="1" showErrorMessage="1" sqref="AE11" xr:uid="{EC593B71-A9DE-4FCE-A086-9614ADBC0814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S1" zoomScale="70" zoomScaleNormal="70" workbookViewId="0">
      <selection activeCell="W16" sqref="W16"/>
    </sheetView>
  </sheetViews>
  <sheetFormatPr defaultColWidth="9" defaultRowHeight="14.25"/>
  <cols>
    <col min="1" max="21" width="11.625" style="2" customWidth="1"/>
    <col min="22" max="22" width="11.625" style="141" customWidth="1"/>
    <col min="23" max="27" width="11.625" style="2" customWidth="1"/>
    <col min="28" max="28" width="11.625" style="4" customWidth="1"/>
    <col min="29" max="29" width="11.625" style="2" customWidth="1"/>
    <col min="30" max="30" width="16.5" style="2" customWidth="1"/>
    <col min="31" max="41" width="11.625" style="2" customWidth="1"/>
    <col min="42" max="42" width="11.625" style="141" customWidth="1"/>
    <col min="43" max="43" width="17.5" style="2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115</v>
      </c>
      <c r="D1" s="19" t="s">
        <v>116</v>
      </c>
      <c r="E1" s="19" t="s">
        <v>117</v>
      </c>
      <c r="F1" s="19" t="s">
        <v>118</v>
      </c>
      <c r="G1" s="19" t="s">
        <v>5</v>
      </c>
      <c r="H1" s="19" t="s">
        <v>1154</v>
      </c>
      <c r="I1" s="19" t="s">
        <v>6</v>
      </c>
      <c r="J1" s="19" t="s">
        <v>7</v>
      </c>
      <c r="K1" s="19" t="s">
        <v>144</v>
      </c>
      <c r="L1" s="19" t="s">
        <v>120</v>
      </c>
      <c r="M1" s="19" t="s">
        <v>1155</v>
      </c>
      <c r="N1" s="19" t="s">
        <v>1156</v>
      </c>
      <c r="O1" s="179" t="s">
        <v>1157</v>
      </c>
      <c r="P1" s="19" t="s">
        <v>9</v>
      </c>
      <c r="Q1" s="19" t="s">
        <v>10</v>
      </c>
      <c r="R1" s="19" t="s">
        <v>121</v>
      </c>
      <c r="S1" s="19" t="s">
        <v>11</v>
      </c>
      <c r="T1" s="19" t="s">
        <v>12</v>
      </c>
      <c r="U1" s="19" t="s">
        <v>122</v>
      </c>
      <c r="V1" s="159" t="s">
        <v>14</v>
      </c>
      <c r="W1" s="19" t="s">
        <v>751</v>
      </c>
      <c r="X1" s="19" t="s">
        <v>908</v>
      </c>
      <c r="Y1" s="186" t="s">
        <v>1159</v>
      </c>
      <c r="Z1" s="163" t="s">
        <v>15</v>
      </c>
      <c r="AA1" s="19" t="s">
        <v>13</v>
      </c>
      <c r="AB1" s="19" t="s">
        <v>407</v>
      </c>
      <c r="AC1" s="19" t="s">
        <v>756</v>
      </c>
      <c r="AD1" s="188" t="s">
        <v>1160</v>
      </c>
      <c r="AE1" s="163" t="s">
        <v>1161</v>
      </c>
      <c r="AF1" s="179" t="s">
        <v>1162</v>
      </c>
      <c r="AG1" s="19" t="s">
        <v>779</v>
      </c>
      <c r="AH1" s="19" t="s">
        <v>780</v>
      </c>
      <c r="AI1" s="19" t="s">
        <v>1163</v>
      </c>
      <c r="AJ1" s="19" t="s">
        <v>786</v>
      </c>
      <c r="AK1" s="19" t="s">
        <v>145</v>
      </c>
      <c r="AL1" s="19" t="s">
        <v>158</v>
      </c>
      <c r="AM1" s="19" t="s">
        <v>146</v>
      </c>
      <c r="AN1" s="179" t="s">
        <v>129</v>
      </c>
      <c r="AO1" s="179" t="s">
        <v>147</v>
      </c>
      <c r="AP1" s="159" t="s">
        <v>1164</v>
      </c>
      <c r="AQ1" s="19" t="s">
        <v>1165</v>
      </c>
      <c r="AR1" s="168" t="s">
        <v>1166</v>
      </c>
      <c r="AS1" s="157" t="s">
        <v>18</v>
      </c>
      <c r="AT1" s="19" t="s">
        <v>20</v>
      </c>
      <c r="AU1" s="19" t="s">
        <v>159</v>
      </c>
      <c r="AV1" s="19" t="s">
        <v>21</v>
      </c>
      <c r="AW1" s="19" t="s">
        <v>160</v>
      </c>
      <c r="AX1" s="19" t="s">
        <v>829</v>
      </c>
      <c r="AY1" s="19" t="s">
        <v>22</v>
      </c>
      <c r="AZ1" s="163" t="s">
        <v>24</v>
      </c>
      <c r="BA1" s="163" t="s">
        <v>25</v>
      </c>
    </row>
    <row r="2" spans="1:53">
      <c r="A2" s="2">
        <v>337</v>
      </c>
      <c r="B2" s="2">
        <v>9963</v>
      </c>
      <c r="C2" s="20" t="s">
        <v>1302</v>
      </c>
      <c r="D2" s="20" t="s">
        <v>1303</v>
      </c>
      <c r="E2" s="20" t="s">
        <v>1304</v>
      </c>
      <c r="F2" s="20" t="s">
        <v>1305</v>
      </c>
      <c r="G2" s="20" t="s">
        <v>1037</v>
      </c>
      <c r="I2" s="18" t="s">
        <v>30</v>
      </c>
      <c r="J2" s="18" t="s">
        <v>30</v>
      </c>
      <c r="K2" s="20" t="s">
        <v>164</v>
      </c>
      <c r="L2" s="20" t="s">
        <v>134</v>
      </c>
      <c r="M2" s="20" t="s">
        <v>134</v>
      </c>
      <c r="N2" s="20"/>
      <c r="O2" s="180" t="s">
        <v>163</v>
      </c>
      <c r="P2" s="20" t="s">
        <v>82</v>
      </c>
      <c r="Q2" s="20" t="s">
        <v>33</v>
      </c>
      <c r="R2" s="20" t="s">
        <v>404</v>
      </c>
      <c r="S2" s="18" t="s">
        <v>34</v>
      </c>
      <c r="T2" s="153">
        <v>1.99</v>
      </c>
      <c r="U2" s="20" t="s">
        <v>827</v>
      </c>
      <c r="V2" s="171">
        <v>5.5E-2</v>
      </c>
      <c r="W2" s="20" t="s">
        <v>752</v>
      </c>
      <c r="X2" s="20" t="s">
        <v>1306</v>
      </c>
      <c r="Y2" s="187">
        <v>-5.0000000000000001E-3</v>
      </c>
      <c r="Z2" s="172">
        <v>5.6000000000000001E-2</v>
      </c>
      <c r="AA2" s="211">
        <v>49665</v>
      </c>
      <c r="AB2" s="18" t="s">
        <v>409</v>
      </c>
      <c r="AC2" s="20" t="s">
        <v>761</v>
      </c>
      <c r="AD2" s="20"/>
      <c r="AE2" s="172">
        <v>1</v>
      </c>
      <c r="AF2" s="20"/>
      <c r="AG2" s="20" t="s">
        <v>337</v>
      </c>
      <c r="AH2" s="20" t="s">
        <v>784</v>
      </c>
      <c r="AI2" t="s">
        <v>2888</v>
      </c>
      <c r="AJ2" s="2" t="s">
        <v>134</v>
      </c>
      <c r="AK2" s="20" t="s">
        <v>892</v>
      </c>
      <c r="AL2" s="16" t="s">
        <v>2889</v>
      </c>
      <c r="AM2" s="20" t="s">
        <v>895</v>
      </c>
      <c r="AN2" s="181" t="s">
        <v>135</v>
      </c>
      <c r="AP2" s="162">
        <v>0</v>
      </c>
      <c r="AQ2" s="151">
        <v>42200485.799999997</v>
      </c>
      <c r="AR2" s="174">
        <v>100.12</v>
      </c>
      <c r="AS2" s="173">
        <v>1</v>
      </c>
      <c r="AT2" s="153">
        <v>42251.296000000002</v>
      </c>
      <c r="AU2" s="156">
        <v>42251.296000000002</v>
      </c>
      <c r="AV2" s="26"/>
      <c r="AW2" s="26"/>
      <c r="AX2" s="18" t="s">
        <v>134</v>
      </c>
      <c r="AY2" s="20" t="s">
        <v>36</v>
      </c>
      <c r="AZ2" s="172">
        <v>1</v>
      </c>
      <c r="BA2" s="172">
        <v>3.9302605160994403E-2</v>
      </c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4"/>
      <c r="W3" s="20"/>
      <c r="X3" s="20"/>
      <c r="Y3" s="20"/>
      <c r="Z3" s="20"/>
      <c r="AA3" s="20"/>
      <c r="AB3" s="18"/>
      <c r="AC3" s="20"/>
      <c r="AD3" s="20"/>
      <c r="AE3" s="145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4"/>
      <c r="W4" s="20"/>
      <c r="X4" s="20"/>
      <c r="Y4" s="20"/>
      <c r="Z4" s="20"/>
      <c r="AA4" s="20"/>
      <c r="AB4" s="18"/>
      <c r="AC4" s="20"/>
      <c r="AD4" s="20"/>
      <c r="AE4" s="145"/>
      <c r="AF4" s="20"/>
      <c r="AG4" s="20"/>
      <c r="AH4" s="20"/>
      <c r="AK4" s="20"/>
      <c r="AL4" s="20"/>
      <c r="AM4" s="20"/>
      <c r="AR4" s="20"/>
      <c r="AS4" s="20"/>
      <c r="AT4" s="20"/>
      <c r="AU4" s="26"/>
      <c r="AV4" s="26"/>
      <c r="AW4" s="26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4"/>
      <c r="W5" s="20"/>
      <c r="X5" s="20"/>
      <c r="Y5" s="20"/>
      <c r="Z5" s="20"/>
      <c r="AA5" s="20"/>
      <c r="AB5" s="18"/>
      <c r="AC5" s="20"/>
      <c r="AD5" s="20"/>
      <c r="AE5" s="145"/>
      <c r="AF5" s="20"/>
      <c r="AG5" s="20"/>
      <c r="AH5" s="20"/>
      <c r="AK5" s="20"/>
      <c r="AL5" s="20"/>
      <c r="AM5" s="20"/>
      <c r="AR5" s="20"/>
      <c r="AS5" s="20"/>
      <c r="AT5" s="20"/>
      <c r="AU5" s="26"/>
      <c r="AV5" s="26"/>
      <c r="AW5" s="26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4"/>
      <c r="W6" s="20"/>
      <c r="X6" s="20"/>
      <c r="Y6" s="20"/>
      <c r="Z6" s="20"/>
      <c r="AA6" s="20"/>
      <c r="AB6" s="18"/>
      <c r="AC6" s="20"/>
      <c r="AD6" s="20"/>
      <c r="AE6" s="145"/>
      <c r="AF6" s="20"/>
      <c r="AG6" s="20"/>
      <c r="AH6" s="20"/>
      <c r="AK6" s="20"/>
      <c r="AL6" s="20"/>
      <c r="AM6" s="20"/>
      <c r="AR6" s="20"/>
      <c r="AS6" s="20"/>
      <c r="AT6" s="20"/>
      <c r="AU6" s="26"/>
      <c r="AV6" s="26"/>
      <c r="AW6" s="26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4"/>
      <c r="W7" s="20"/>
      <c r="X7" s="20"/>
      <c r="Y7" s="20"/>
      <c r="Z7" s="20"/>
      <c r="AA7" s="20"/>
      <c r="AB7" s="18"/>
      <c r="AC7" s="20"/>
      <c r="AD7" s="20"/>
      <c r="AE7" s="145"/>
      <c r="AF7" s="20"/>
      <c r="AG7" s="20"/>
      <c r="AH7" s="20"/>
      <c r="AK7" s="20"/>
      <c r="AL7" s="20"/>
      <c r="AM7" s="20"/>
      <c r="AR7" s="20"/>
      <c r="AS7" s="20"/>
      <c r="AT7" s="20"/>
      <c r="AU7" s="26"/>
      <c r="AV7" s="26"/>
      <c r="AW7" s="26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4"/>
      <c r="W8" s="20"/>
      <c r="X8" s="20"/>
      <c r="Y8" s="20"/>
      <c r="Z8" s="20"/>
      <c r="AA8" s="20"/>
      <c r="AB8" s="18"/>
      <c r="AC8" s="20"/>
      <c r="AD8" s="20"/>
      <c r="AE8" s="145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4"/>
      <c r="W9" s="20"/>
      <c r="X9" s="20"/>
      <c r="Y9" s="20"/>
      <c r="Z9" s="20"/>
      <c r="AA9" s="20"/>
      <c r="AB9" s="18"/>
      <c r="AC9" s="20"/>
      <c r="AD9" s="20"/>
      <c r="AE9" s="145"/>
      <c r="AF9" s="20"/>
      <c r="AG9" s="20"/>
      <c r="AH9" s="20"/>
      <c r="AK9" s="20"/>
      <c r="AL9" s="20"/>
      <c r="AM9" s="20"/>
      <c r="AR9" s="20"/>
      <c r="AS9" s="20"/>
      <c r="AT9" s="20"/>
      <c r="AU9" s="26"/>
      <c r="AV9" s="26"/>
      <c r="AW9" s="26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4"/>
      <c r="W10" s="20"/>
      <c r="X10" s="20"/>
      <c r="Y10" s="20"/>
      <c r="Z10" s="20"/>
      <c r="AA10" s="20"/>
      <c r="AB10" s="18"/>
      <c r="AC10" s="20"/>
      <c r="AD10" s="20"/>
      <c r="AE10" s="145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4"/>
      <c r="W11" s="20"/>
      <c r="X11" s="20"/>
      <c r="Y11" s="20"/>
      <c r="Z11" s="20"/>
      <c r="AA11" s="20"/>
      <c r="AB11" s="18"/>
      <c r="AC11" s="20"/>
      <c r="AD11" s="20"/>
      <c r="AE11" s="145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4"/>
      <c r="W12" s="20"/>
      <c r="X12" s="20"/>
      <c r="Y12" s="20"/>
      <c r="Z12" s="20"/>
      <c r="AA12" s="20"/>
      <c r="AB12" s="18"/>
      <c r="AC12" s="20"/>
      <c r="AD12" s="20"/>
      <c r="AE12" s="145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4"/>
      <c r="W13" s="20"/>
      <c r="X13" s="20"/>
      <c r="Y13" s="20"/>
      <c r="Z13" s="20"/>
      <c r="AA13" s="20"/>
      <c r="AB13" s="18"/>
      <c r="AC13" s="20"/>
      <c r="AD13" s="20"/>
      <c r="AE13" s="145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4"/>
      <c r="W14" s="20"/>
      <c r="X14" s="20"/>
      <c r="Y14" s="20"/>
      <c r="Z14" s="20"/>
      <c r="AA14" s="20"/>
      <c r="AB14" s="18"/>
      <c r="AC14" s="20"/>
      <c r="AD14" s="20"/>
      <c r="AE14" s="145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4"/>
      <c r="W15" s="20"/>
      <c r="X15" s="20"/>
      <c r="Y15" s="20"/>
      <c r="Z15" s="20"/>
      <c r="AA15" s="20"/>
      <c r="AB15" s="18"/>
      <c r="AC15" s="20"/>
      <c r="AD15" s="20"/>
      <c r="AE15" s="145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4"/>
      <c r="W16" s="20"/>
      <c r="X16" s="20"/>
      <c r="Y16" s="20"/>
      <c r="Z16" s="20"/>
      <c r="AA16" s="20"/>
      <c r="AB16" s="18"/>
      <c r="AC16" s="20"/>
      <c r="AD16" s="20"/>
      <c r="AE16" s="145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4"/>
      <c r="W17" s="20"/>
      <c r="X17" s="20"/>
      <c r="Y17" s="20"/>
      <c r="Z17" s="20"/>
      <c r="AA17" s="20"/>
      <c r="AB17" s="18"/>
      <c r="AC17" s="20"/>
      <c r="AD17" s="20"/>
      <c r="AE17" s="145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4"/>
      <c r="W18" s="20"/>
      <c r="X18" s="20"/>
      <c r="Y18" s="20"/>
      <c r="Z18" s="20"/>
      <c r="AA18" s="20"/>
      <c r="AB18" s="18"/>
      <c r="AC18" s="20"/>
      <c r="AD18" s="20"/>
      <c r="AE18" s="145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4"/>
      <c r="W19" s="20"/>
      <c r="X19" s="20"/>
      <c r="Y19" s="20"/>
      <c r="Z19" s="20"/>
      <c r="AA19" s="20"/>
      <c r="AB19" s="18"/>
      <c r="AC19" s="20"/>
      <c r="AD19" s="20"/>
      <c r="AE19" s="145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46"/>
      <c r="AG20" s="20"/>
      <c r="AH20" s="20"/>
      <c r="AK20" s="20"/>
      <c r="AM20" s="20"/>
      <c r="AX20" s="18"/>
      <c r="AY20" s="20"/>
    </row>
    <row r="21" spans="3:53">
      <c r="D21" s="4"/>
      <c r="S21" s="18"/>
      <c r="AE21" s="146"/>
    </row>
    <row r="22" spans="3:53">
      <c r="D22" s="4"/>
      <c r="S22" s="18"/>
      <c r="AE22" s="146"/>
    </row>
    <row r="23" spans="3:53">
      <c r="D23" s="4"/>
      <c r="AE23" s="146"/>
    </row>
    <row r="24" spans="3:53">
      <c r="AE24" s="146"/>
    </row>
    <row r="25" spans="3:53">
      <c r="AE25" s="146"/>
    </row>
    <row r="26" spans="3:53">
      <c r="AE26" s="146"/>
    </row>
    <row r="27" spans="3:53">
      <c r="AE27" s="146"/>
    </row>
    <row r="28" spans="3:53">
      <c r="AE28" s="146"/>
    </row>
    <row r="29" spans="3:53">
      <c r="AE29" s="146"/>
    </row>
    <row r="30" spans="3:53">
      <c r="AE30" s="146"/>
    </row>
    <row r="31" spans="3:53">
      <c r="AE31" s="146"/>
    </row>
    <row r="32" spans="3:53">
      <c r="AE32" s="146"/>
    </row>
    <row r="33" spans="31:31">
      <c r="AE33" s="146"/>
    </row>
    <row r="34" spans="31:31">
      <c r="AE34" s="146"/>
    </row>
    <row r="35" spans="31:31">
      <c r="AE35" s="146"/>
    </row>
    <row r="36" spans="31:31">
      <c r="AE36" s="146"/>
    </row>
    <row r="37" spans="31:31">
      <c r="AE37" s="146"/>
    </row>
    <row r="38" spans="31:31">
      <c r="AE38" s="146"/>
    </row>
    <row r="39" spans="31:31">
      <c r="AE39" s="146"/>
    </row>
    <row r="40" spans="31:31">
      <c r="AE40" s="146"/>
    </row>
    <row r="41" spans="31:31">
      <c r="AE41" s="146"/>
    </row>
    <row r="42" spans="31:31">
      <c r="AE42" s="146"/>
    </row>
    <row r="43" spans="31:31">
      <c r="AE43" s="146"/>
    </row>
    <row r="44" spans="31:31">
      <c r="AE44" s="146"/>
    </row>
    <row r="45" spans="31:31">
      <c r="AE45" s="146"/>
    </row>
    <row r="46" spans="31:31">
      <c r="AE46" s="146"/>
    </row>
    <row r="47" spans="31:31">
      <c r="AE47" s="146"/>
    </row>
    <row r="48" spans="31:31">
      <c r="AE48" s="146"/>
    </row>
    <row r="49" spans="31:31">
      <c r="AE49" s="146"/>
    </row>
    <row r="50" spans="31:31">
      <c r="AE50" s="146"/>
    </row>
    <row r="51" spans="31:31">
      <c r="AE51" s="146"/>
    </row>
    <row r="52" spans="31:31">
      <c r="AE52" s="146"/>
    </row>
    <row r="53" spans="31:31">
      <c r="AE53" s="146"/>
    </row>
    <row r="54" spans="31:31">
      <c r="AE54" s="146"/>
    </row>
    <row r="55" spans="31:31">
      <c r="AE55" s="146"/>
    </row>
    <row r="56" spans="31:31">
      <c r="AE56" s="146"/>
    </row>
    <row r="57" spans="31:31">
      <c r="AE57" s="146"/>
    </row>
    <row r="58" spans="31:31">
      <c r="AE58" s="146"/>
    </row>
    <row r="59" spans="31:31">
      <c r="AE59" s="146"/>
    </row>
    <row r="60" spans="31:31">
      <c r="AE60" s="146"/>
    </row>
    <row r="61" spans="31:31">
      <c r="AE61" s="146"/>
    </row>
    <row r="62" spans="31:31">
      <c r="AE62" s="146"/>
    </row>
    <row r="63" spans="31:31">
      <c r="AE63" s="146"/>
    </row>
    <row r="64" spans="31:31">
      <c r="AE64" s="146"/>
    </row>
    <row r="65" spans="31:31">
      <c r="AE65" s="146"/>
    </row>
    <row r="66" spans="31:31">
      <c r="AE66" s="146"/>
    </row>
    <row r="67" spans="31:31">
      <c r="AE67" s="146"/>
    </row>
    <row r="68" spans="31:31">
      <c r="AE68" s="146"/>
    </row>
    <row r="69" spans="31:31">
      <c r="AE69" s="146"/>
    </row>
    <row r="70" spans="31:31">
      <c r="AE70" s="146"/>
    </row>
    <row r="71" spans="31:31">
      <c r="AE71" s="146"/>
    </row>
    <row r="72" spans="31:31">
      <c r="AE72" s="146"/>
    </row>
    <row r="73" spans="31:31">
      <c r="AE73" s="146"/>
    </row>
    <row r="74" spans="31:31">
      <c r="AE74" s="146"/>
    </row>
    <row r="75" spans="31:31">
      <c r="AE75" s="146"/>
    </row>
    <row r="76" spans="31:31">
      <c r="AE76" s="146"/>
    </row>
    <row r="77" spans="31:31">
      <c r="AE77" s="146"/>
    </row>
    <row r="78" spans="31:31">
      <c r="AE78" s="146"/>
    </row>
    <row r="79" spans="31:31">
      <c r="AE79" s="146"/>
    </row>
    <row r="80" spans="31:31">
      <c r="AE80" s="146"/>
    </row>
    <row r="81" spans="31:31">
      <c r="AE81" s="146"/>
    </row>
    <row r="82" spans="31:31">
      <c r="AE82" s="146"/>
    </row>
    <row r="83" spans="31:31">
      <c r="AE83" s="146"/>
    </row>
    <row r="84" spans="31:31">
      <c r="AE84" s="146"/>
    </row>
    <row r="85" spans="31:31">
      <c r="AE85" s="146"/>
    </row>
    <row r="86" spans="31:31">
      <c r="AE86" s="146"/>
    </row>
    <row r="87" spans="31:31">
      <c r="AE87" s="146"/>
    </row>
    <row r="88" spans="31:31">
      <c r="AE88" s="146"/>
    </row>
    <row r="89" spans="31:31">
      <c r="AE89" s="146"/>
    </row>
    <row r="90" spans="31:31">
      <c r="AE90" s="146"/>
    </row>
    <row r="91" spans="31:31">
      <c r="AE91" s="146"/>
    </row>
    <row r="92" spans="31:31">
      <c r="AE92" s="146"/>
    </row>
    <row r="93" spans="31:31">
      <c r="AE93" s="146"/>
    </row>
    <row r="94" spans="31:31">
      <c r="AE94" s="146"/>
    </row>
    <row r="95" spans="31:31">
      <c r="AE95" s="146"/>
    </row>
    <row r="96" spans="31:31">
      <c r="AE96" s="146"/>
    </row>
    <row r="97" spans="31:31">
      <c r="AE97" s="146"/>
    </row>
    <row r="98" spans="31:31">
      <c r="AE98" s="146"/>
    </row>
    <row r="99" spans="31:31">
      <c r="AE99" s="146"/>
    </row>
    <row r="100" spans="31:31">
      <c r="AE100" s="146"/>
    </row>
    <row r="101" spans="31:31">
      <c r="AE101" s="146"/>
    </row>
    <row r="102" spans="31:31">
      <c r="AE102" s="146"/>
    </row>
    <row r="103" spans="31:31">
      <c r="AE103" s="146"/>
    </row>
    <row r="104" spans="31:31">
      <c r="AE104" s="146"/>
    </row>
    <row r="105" spans="31:31">
      <c r="AE105" s="146"/>
    </row>
    <row r="106" spans="31:31">
      <c r="AE106" s="146"/>
    </row>
    <row r="107" spans="31:31">
      <c r="AE107" s="146"/>
    </row>
    <row r="108" spans="31:31">
      <c r="AE108" s="146"/>
    </row>
    <row r="109" spans="31:31">
      <c r="AE109" s="146"/>
    </row>
    <row r="110" spans="31:31">
      <c r="AE110" s="146"/>
    </row>
    <row r="111" spans="31:31">
      <c r="AE111" s="146"/>
    </row>
    <row r="112" spans="31:31">
      <c r="AE112" s="146"/>
    </row>
    <row r="113" spans="31:31">
      <c r="AE113" s="146"/>
    </row>
    <row r="114" spans="31:31">
      <c r="AE114" s="146"/>
    </row>
    <row r="115" spans="31:31">
      <c r="AE115" s="146"/>
    </row>
    <row r="116" spans="31:31">
      <c r="AE116" s="146"/>
    </row>
    <row r="117" spans="31:31">
      <c r="AE117" s="146"/>
    </row>
    <row r="118" spans="31:31">
      <c r="AE118" s="146"/>
    </row>
    <row r="119" spans="31:31">
      <c r="AE119" s="146"/>
    </row>
    <row r="120" spans="31:31">
      <c r="AE120" s="146"/>
    </row>
    <row r="121" spans="31:31">
      <c r="AE121" s="146"/>
    </row>
    <row r="122" spans="31:31">
      <c r="AE122" s="146"/>
    </row>
    <row r="123" spans="31:31">
      <c r="AE123" s="146"/>
    </row>
    <row r="124" spans="31:31">
      <c r="AE124" s="146"/>
    </row>
    <row r="125" spans="31:31">
      <c r="AE125" s="146"/>
    </row>
    <row r="126" spans="31:31">
      <c r="AE126" s="146"/>
    </row>
    <row r="127" spans="31:31">
      <c r="AE127" s="146"/>
    </row>
    <row r="128" spans="31:31">
      <c r="AE128" s="146"/>
    </row>
    <row r="129" spans="31:31">
      <c r="AE129" s="146"/>
    </row>
    <row r="130" spans="31:31">
      <c r="AE130" s="146"/>
    </row>
    <row r="131" spans="31:31">
      <c r="AE131" s="146"/>
    </row>
    <row r="132" spans="31:31">
      <c r="AE132" s="146"/>
    </row>
    <row r="133" spans="31:31">
      <c r="AE133" s="146"/>
    </row>
    <row r="134" spans="31:31">
      <c r="AE134" s="146"/>
    </row>
    <row r="135" spans="31:31">
      <c r="AE135" s="146"/>
    </row>
    <row r="136" spans="31:31">
      <c r="AE136" s="146"/>
    </row>
    <row r="137" spans="31:31">
      <c r="AE137" s="146"/>
    </row>
    <row r="138" spans="31:31">
      <c r="AE138" s="146"/>
    </row>
    <row r="139" spans="31:31">
      <c r="AE139" s="146"/>
    </row>
    <row r="140" spans="31:31">
      <c r="AE140" s="146"/>
    </row>
    <row r="141" spans="31:31">
      <c r="AE141" s="146"/>
    </row>
    <row r="142" spans="31:31">
      <c r="AE142" s="146"/>
    </row>
    <row r="143" spans="31:31">
      <c r="AE143" s="146"/>
    </row>
    <row r="144" spans="31:31">
      <c r="AE144" s="146"/>
    </row>
    <row r="145" spans="31:31">
      <c r="AE145" s="146"/>
    </row>
    <row r="146" spans="31:31">
      <c r="AE146" s="146"/>
    </row>
    <row r="147" spans="31:31">
      <c r="AE147" s="146"/>
    </row>
    <row r="148" spans="31:31">
      <c r="AE148" s="146"/>
    </row>
    <row r="149" spans="31:31">
      <c r="AE149" s="146"/>
    </row>
    <row r="150" spans="31:31">
      <c r="AE150" s="146"/>
    </row>
    <row r="151" spans="31:31">
      <c r="AE151" s="146"/>
    </row>
    <row r="152" spans="31:31">
      <c r="AE152" s="146"/>
    </row>
    <row r="153" spans="31:31">
      <c r="AE153" s="146"/>
    </row>
    <row r="154" spans="31:31">
      <c r="AE154" s="146"/>
    </row>
    <row r="155" spans="31:31">
      <c r="AE155" s="146"/>
    </row>
    <row r="156" spans="31:31">
      <c r="AE156" s="146"/>
    </row>
    <row r="157" spans="31:31">
      <c r="AE157" s="146"/>
    </row>
    <row r="158" spans="31:31">
      <c r="AE158" s="146"/>
    </row>
    <row r="159" spans="31:31">
      <c r="AE159" s="146"/>
    </row>
    <row r="160" spans="31:31">
      <c r="AE160" s="146"/>
    </row>
    <row r="161" spans="31:31">
      <c r="AE161" s="146"/>
    </row>
    <row r="162" spans="31:31">
      <c r="AE162" s="146"/>
    </row>
    <row r="163" spans="31:31">
      <c r="AE163" s="146"/>
    </row>
    <row r="164" spans="31:31">
      <c r="AE164" s="146"/>
    </row>
    <row r="165" spans="31:31">
      <c r="AE165" s="146"/>
    </row>
    <row r="166" spans="31:31">
      <c r="AE166" s="146"/>
    </row>
    <row r="167" spans="31:31">
      <c r="AE167" s="146"/>
    </row>
    <row r="168" spans="31:31">
      <c r="AE168" s="146"/>
    </row>
    <row r="169" spans="31:31">
      <c r="AE169" s="146"/>
    </row>
    <row r="170" spans="31:31">
      <c r="AE170" s="146"/>
    </row>
    <row r="171" spans="31:31">
      <c r="AE171" s="146"/>
    </row>
    <row r="172" spans="31:31">
      <c r="AE172" s="146"/>
    </row>
    <row r="173" spans="31:31">
      <c r="AE173" s="146"/>
    </row>
    <row r="174" spans="31:31">
      <c r="AE174" s="146"/>
    </row>
    <row r="175" spans="31:31">
      <c r="AE175" s="146"/>
    </row>
    <row r="176" spans="31:31">
      <c r="AE176" s="146"/>
    </row>
    <row r="177" spans="31:31">
      <c r="AE177" s="146"/>
    </row>
    <row r="178" spans="31:31">
      <c r="AE178" s="146"/>
    </row>
    <row r="179" spans="31:31">
      <c r="AE179" s="146"/>
    </row>
    <row r="180" spans="31:31">
      <c r="AE180" s="146"/>
    </row>
    <row r="181" spans="31:31">
      <c r="AE181" s="146"/>
    </row>
    <row r="182" spans="31:31">
      <c r="AE182" s="146"/>
    </row>
    <row r="183" spans="31:31">
      <c r="AE183" s="146"/>
    </row>
    <row r="184" spans="31:31">
      <c r="AE184" s="146"/>
    </row>
    <row r="185" spans="31:31">
      <c r="AE185" s="146"/>
    </row>
    <row r="186" spans="31:31">
      <c r="AE186" s="146"/>
    </row>
    <row r="187" spans="31:31">
      <c r="AE187" s="146"/>
    </row>
    <row r="188" spans="31:31">
      <c r="AE188" s="146"/>
    </row>
    <row r="189" spans="31:31">
      <c r="AE189" s="146"/>
    </row>
    <row r="190" spans="31:31">
      <c r="AE190" s="146"/>
    </row>
    <row r="191" spans="31:31">
      <c r="AE191" s="146"/>
    </row>
    <row r="192" spans="31:31">
      <c r="AE192" s="146"/>
    </row>
    <row r="193" spans="31:31">
      <c r="AE193" s="146"/>
    </row>
    <row r="194" spans="31:31">
      <c r="AE194" s="146"/>
    </row>
    <row r="195" spans="31:31">
      <c r="AE195" s="146"/>
    </row>
    <row r="196" spans="31:31">
      <c r="AE196" s="146"/>
    </row>
    <row r="197" spans="31:31">
      <c r="AE197" s="146"/>
    </row>
    <row r="198" spans="31:31">
      <c r="AE198" s="146"/>
    </row>
    <row r="199" spans="31:31">
      <c r="AE199" s="146"/>
    </row>
    <row r="200" spans="31:31">
      <c r="AE200" s="146"/>
    </row>
    <row r="201" spans="31:31">
      <c r="AE201" s="146"/>
    </row>
    <row r="202" spans="31:31">
      <c r="AE202" s="146"/>
    </row>
    <row r="203" spans="31:31">
      <c r="AE203" s="146"/>
    </row>
    <row r="204" spans="31:31">
      <c r="AE204" s="146"/>
    </row>
    <row r="205" spans="31:31">
      <c r="AE205" s="146"/>
    </row>
    <row r="206" spans="31:31">
      <c r="AE206" s="146"/>
    </row>
    <row r="207" spans="31:31">
      <c r="AE207" s="146"/>
    </row>
    <row r="208" spans="31:31">
      <c r="AE208" s="146"/>
    </row>
    <row r="209" spans="31:31">
      <c r="AE209" s="146"/>
    </row>
    <row r="210" spans="31:31">
      <c r="AE210" s="146"/>
    </row>
    <row r="211" spans="31:31">
      <c r="AE211" s="146"/>
    </row>
    <row r="212" spans="31:31">
      <c r="AE212" s="146"/>
    </row>
    <row r="213" spans="31:31">
      <c r="AE213" s="146"/>
    </row>
    <row r="214" spans="31:31">
      <c r="AE214" s="146"/>
    </row>
    <row r="215" spans="31:31">
      <c r="AE215" s="146"/>
    </row>
    <row r="216" spans="31:31">
      <c r="AE216" s="146"/>
    </row>
    <row r="217" spans="31:31">
      <c r="AE217" s="146"/>
    </row>
    <row r="218" spans="31:31">
      <c r="AE218" s="146"/>
    </row>
    <row r="219" spans="31:31">
      <c r="AE219" s="146"/>
    </row>
    <row r="220" spans="31:31">
      <c r="AE220" s="146"/>
    </row>
    <row r="221" spans="31:31">
      <c r="AE221" s="146"/>
    </row>
    <row r="222" spans="31:31">
      <c r="AE222" s="146"/>
    </row>
    <row r="223" spans="31:31">
      <c r="AE223" s="146"/>
    </row>
    <row r="224" spans="31:31">
      <c r="AE224" s="146"/>
    </row>
    <row r="225" spans="31:31">
      <c r="AE225" s="146"/>
    </row>
    <row r="226" spans="31:31">
      <c r="AE226" s="146"/>
    </row>
    <row r="227" spans="31:31">
      <c r="AE227" s="146"/>
    </row>
    <row r="228" spans="31:31">
      <c r="AE228" s="146"/>
    </row>
    <row r="229" spans="31:31">
      <c r="AE229" s="146"/>
    </row>
    <row r="230" spans="31:31">
      <c r="AE230" s="146"/>
    </row>
    <row r="231" spans="31:31">
      <c r="AE231" s="146"/>
    </row>
    <row r="232" spans="31:31">
      <c r="AE232" s="146"/>
    </row>
    <row r="233" spans="31:31">
      <c r="AE233" s="146"/>
    </row>
    <row r="234" spans="31:31">
      <c r="AE234" s="146"/>
    </row>
    <row r="235" spans="31:31">
      <c r="AE235" s="146"/>
    </row>
    <row r="236" spans="31:31">
      <c r="AE236" s="146"/>
    </row>
    <row r="237" spans="31:31">
      <c r="AE237" s="146"/>
    </row>
    <row r="238" spans="31:31">
      <c r="AE238" s="146"/>
    </row>
    <row r="239" spans="31:31">
      <c r="AE239" s="146"/>
    </row>
    <row r="240" spans="31:31">
      <c r="AE240" s="146"/>
    </row>
    <row r="241" spans="31:31">
      <c r="AE241" s="146"/>
    </row>
    <row r="242" spans="31:31">
      <c r="AE242" s="146"/>
    </row>
    <row r="243" spans="31:31">
      <c r="AE243" s="146"/>
    </row>
    <row r="244" spans="31:31">
      <c r="AE244" s="146"/>
    </row>
    <row r="245" spans="31:31">
      <c r="AE245" s="146"/>
    </row>
    <row r="246" spans="31:31">
      <c r="AE246" s="146"/>
    </row>
    <row r="247" spans="31:31">
      <c r="AE247" s="146"/>
    </row>
    <row r="248" spans="31:31">
      <c r="AE248" s="146"/>
    </row>
    <row r="249" spans="31:31">
      <c r="AE249" s="146"/>
    </row>
    <row r="250" spans="31:31">
      <c r="AE250" s="146"/>
    </row>
    <row r="251" spans="31:31">
      <c r="AE251" s="146"/>
    </row>
    <row r="252" spans="31:31">
      <c r="AE252" s="146"/>
    </row>
    <row r="253" spans="31:31">
      <c r="AE253" s="146"/>
    </row>
    <row r="254" spans="31:31">
      <c r="AE254" s="146"/>
    </row>
    <row r="255" spans="31:31">
      <c r="AE255" s="146"/>
    </row>
    <row r="256" spans="31:31">
      <c r="AE256" s="146"/>
    </row>
    <row r="257" spans="31:31">
      <c r="AE257" s="146"/>
    </row>
    <row r="258" spans="31:31">
      <c r="AE258" s="146"/>
    </row>
    <row r="259" spans="31:31">
      <c r="AE259" s="146"/>
    </row>
    <row r="260" spans="31:31">
      <c r="AE260" s="146"/>
    </row>
    <row r="261" spans="31:31">
      <c r="AE261" s="146"/>
    </row>
    <row r="262" spans="31:31">
      <c r="AE262" s="146"/>
    </row>
    <row r="263" spans="31:31">
      <c r="AE263" s="146"/>
    </row>
    <row r="264" spans="31:31">
      <c r="AE264" s="146"/>
    </row>
    <row r="265" spans="31:31">
      <c r="AE265" s="146"/>
    </row>
    <row r="266" spans="31:31">
      <c r="AE266" s="146"/>
    </row>
    <row r="267" spans="31:31">
      <c r="AE267" s="146"/>
    </row>
    <row r="268" spans="31:31">
      <c r="AE268" s="146"/>
    </row>
    <row r="269" spans="31:31">
      <c r="AE269" s="146"/>
    </row>
    <row r="270" spans="31:31">
      <c r="AE270" s="146"/>
    </row>
    <row r="271" spans="31:31">
      <c r="AE271" s="146"/>
    </row>
    <row r="272" spans="31:31">
      <c r="AE272" s="146"/>
    </row>
    <row r="273" spans="31:31">
      <c r="AE273" s="146"/>
    </row>
    <row r="274" spans="31:31">
      <c r="AE274" s="146"/>
    </row>
    <row r="275" spans="31:31">
      <c r="AE275" s="146"/>
    </row>
    <row r="276" spans="31:31">
      <c r="AE276" s="146"/>
    </row>
    <row r="277" spans="31:31">
      <c r="AE277" s="146"/>
    </row>
    <row r="278" spans="31:31">
      <c r="AE278" s="146"/>
    </row>
    <row r="279" spans="31:31">
      <c r="AE279" s="146"/>
    </row>
    <row r="280" spans="31:31">
      <c r="AE280" s="146"/>
    </row>
    <row r="281" spans="31:31">
      <c r="AE281" s="146"/>
    </row>
    <row r="282" spans="31:31">
      <c r="AE282" s="146"/>
    </row>
    <row r="283" spans="31:31">
      <c r="AE283" s="146"/>
    </row>
    <row r="284" spans="31:31">
      <c r="AE284" s="146"/>
    </row>
    <row r="285" spans="31:31">
      <c r="AE285" s="146"/>
    </row>
    <row r="286" spans="31:31">
      <c r="AE286" s="146"/>
    </row>
    <row r="287" spans="31:31">
      <c r="AE287" s="146"/>
    </row>
    <row r="288" spans="31:31">
      <c r="AE288" s="146"/>
    </row>
    <row r="289" spans="31:31">
      <c r="AE289" s="146"/>
    </row>
    <row r="290" spans="31:31">
      <c r="AE290" s="146"/>
    </row>
    <row r="291" spans="31:31">
      <c r="AE291" s="146"/>
    </row>
    <row r="292" spans="31:31">
      <c r="AE292" s="146"/>
    </row>
    <row r="293" spans="31:31">
      <c r="AE293" s="146"/>
    </row>
    <row r="294" spans="31:31">
      <c r="AE294" s="146"/>
    </row>
    <row r="295" spans="31:31">
      <c r="AE295" s="146"/>
    </row>
    <row r="296" spans="31:31">
      <c r="AE296" s="146"/>
    </row>
    <row r="297" spans="31:31">
      <c r="AE297" s="146"/>
    </row>
    <row r="298" spans="31:31">
      <c r="AE298" s="146"/>
    </row>
    <row r="299" spans="31:31">
      <c r="AE299" s="146"/>
    </row>
    <row r="300" spans="31:31">
      <c r="AE300" s="146"/>
    </row>
    <row r="301" spans="31:31">
      <c r="AE301" s="146"/>
    </row>
    <row r="302" spans="31:31">
      <c r="AE302" s="146"/>
    </row>
    <row r="303" spans="31:31">
      <c r="AE303" s="146"/>
    </row>
    <row r="304" spans="31:31">
      <c r="AE304" s="146"/>
    </row>
    <row r="305" spans="31:31">
      <c r="AE305" s="146"/>
    </row>
    <row r="306" spans="31:31">
      <c r="AE306" s="146"/>
    </row>
    <row r="307" spans="31:31">
      <c r="AE307" s="146"/>
    </row>
    <row r="308" spans="31:31">
      <c r="AE308" s="146"/>
    </row>
    <row r="309" spans="31:31">
      <c r="AE309" s="146"/>
    </row>
    <row r="310" spans="31:31">
      <c r="AE310" s="146"/>
    </row>
    <row r="311" spans="31:31">
      <c r="AE311" s="146"/>
    </row>
    <row r="312" spans="31:31">
      <c r="AE312" s="146"/>
    </row>
    <row r="313" spans="31:31">
      <c r="AE313" s="146"/>
    </row>
    <row r="314" spans="31:31">
      <c r="AE314" s="146"/>
    </row>
    <row r="315" spans="31:31">
      <c r="AE315" s="146"/>
    </row>
    <row r="316" spans="31:31">
      <c r="AE316" s="146"/>
    </row>
    <row r="317" spans="31:31">
      <c r="AE317" s="146"/>
    </row>
    <row r="318" spans="31:31">
      <c r="AE318" s="146"/>
    </row>
    <row r="319" spans="31:31">
      <c r="AE319" s="146"/>
    </row>
    <row r="320" spans="31:31">
      <c r="AE320" s="146"/>
    </row>
    <row r="321" spans="31:31">
      <c r="AE321" s="146"/>
    </row>
    <row r="322" spans="31:31">
      <c r="AE322" s="146"/>
    </row>
    <row r="323" spans="31:31">
      <c r="AE323" s="146"/>
    </row>
    <row r="324" spans="31:31">
      <c r="AE324" s="146"/>
    </row>
    <row r="325" spans="31:31">
      <c r="AE325" s="146"/>
    </row>
    <row r="326" spans="31:31">
      <c r="AE326" s="146"/>
    </row>
    <row r="327" spans="31:31">
      <c r="AE327" s="146"/>
    </row>
    <row r="328" spans="31:31">
      <c r="AE328" s="146"/>
    </row>
    <row r="329" spans="31:31">
      <c r="AE329" s="146"/>
    </row>
    <row r="330" spans="31:31">
      <c r="AE330" s="146"/>
    </row>
    <row r="331" spans="31:31">
      <c r="AE331" s="146"/>
    </row>
    <row r="332" spans="31:31">
      <c r="AE332" s="146"/>
    </row>
    <row r="333" spans="31:31">
      <c r="AE333" s="146"/>
    </row>
    <row r="334" spans="31:31">
      <c r="AE334" s="146"/>
    </row>
    <row r="335" spans="31:31">
      <c r="AE335" s="146"/>
    </row>
    <row r="336" spans="31:31">
      <c r="AE336" s="146"/>
    </row>
    <row r="337" spans="31:31">
      <c r="AE337" s="146"/>
    </row>
    <row r="338" spans="31:31">
      <c r="AE338" s="146"/>
    </row>
    <row r="339" spans="31:31">
      <c r="AE339" s="146"/>
    </row>
    <row r="340" spans="31:31">
      <c r="AE340" s="146"/>
    </row>
    <row r="341" spans="31:31">
      <c r="AE341" s="146"/>
    </row>
    <row r="342" spans="31:31">
      <c r="AE342" s="146"/>
    </row>
    <row r="343" spans="31:31">
      <c r="AE343" s="146"/>
    </row>
    <row r="344" spans="31:31">
      <c r="AE344" s="146"/>
    </row>
    <row r="345" spans="31:31">
      <c r="AE345" s="146"/>
    </row>
    <row r="346" spans="31:31">
      <c r="AE346" s="146"/>
    </row>
    <row r="347" spans="31:31">
      <c r="AE347" s="146"/>
    </row>
    <row r="348" spans="31:31">
      <c r="AE348" s="146"/>
    </row>
    <row r="349" spans="31:31">
      <c r="AE349" s="146"/>
    </row>
    <row r="350" spans="31:31">
      <c r="AE350" s="146"/>
    </row>
    <row r="351" spans="31:31">
      <c r="AE351" s="146"/>
    </row>
    <row r="352" spans="31:31">
      <c r="AE352" s="146"/>
    </row>
    <row r="353" spans="31:31">
      <c r="AE353" s="146"/>
    </row>
    <row r="354" spans="31:31">
      <c r="AE354" s="146"/>
    </row>
    <row r="355" spans="31:31">
      <c r="AE355" s="146"/>
    </row>
    <row r="356" spans="31:31">
      <c r="AE356" s="146"/>
    </row>
    <row r="357" spans="31:31">
      <c r="AE357" s="146"/>
    </row>
    <row r="358" spans="31:31">
      <c r="AE358" s="146"/>
    </row>
    <row r="359" spans="31:31">
      <c r="AE359" s="146"/>
    </row>
    <row r="360" spans="31:31">
      <c r="AE360" s="146"/>
    </row>
    <row r="361" spans="31:31">
      <c r="AE361" s="146"/>
    </row>
    <row r="362" spans="31:31">
      <c r="AE362" s="146"/>
    </row>
    <row r="363" spans="31:31">
      <c r="AE363" s="146"/>
    </row>
    <row r="364" spans="31:31">
      <c r="AE364" s="146"/>
    </row>
    <row r="365" spans="31:31">
      <c r="AE365" s="146"/>
    </row>
    <row r="366" spans="31:31">
      <c r="AE366" s="146"/>
    </row>
    <row r="367" spans="31:31">
      <c r="AE367" s="146"/>
    </row>
    <row r="368" spans="31:31">
      <c r="AE368" s="146"/>
    </row>
    <row r="369" spans="31:31">
      <c r="AE369" s="146"/>
    </row>
    <row r="370" spans="31:31">
      <c r="AE370" s="146"/>
    </row>
    <row r="371" spans="31:31">
      <c r="AE371" s="146"/>
    </row>
    <row r="372" spans="31:31">
      <c r="AE372" s="146"/>
    </row>
    <row r="373" spans="31:31">
      <c r="AE373" s="146"/>
    </row>
    <row r="374" spans="31:31">
      <c r="AE374" s="146"/>
    </row>
    <row r="375" spans="31:31">
      <c r="AE375" s="146"/>
    </row>
    <row r="376" spans="31:31">
      <c r="AE376" s="146"/>
    </row>
    <row r="377" spans="31:31">
      <c r="AE377" s="146"/>
    </row>
    <row r="378" spans="31:31">
      <c r="AE378" s="146"/>
    </row>
    <row r="379" spans="31:31">
      <c r="AE379" s="146"/>
    </row>
    <row r="380" spans="31:31">
      <c r="AE380" s="146"/>
    </row>
    <row r="381" spans="31:31">
      <c r="AE381" s="146"/>
    </row>
    <row r="382" spans="31:31">
      <c r="AE382" s="146"/>
    </row>
    <row r="383" spans="31:31">
      <c r="AE383" s="146"/>
    </row>
    <row r="384" spans="31:31">
      <c r="AE384" s="146"/>
    </row>
    <row r="385" spans="31:31">
      <c r="AE385" s="146"/>
    </row>
    <row r="386" spans="31:31">
      <c r="AE386" s="146"/>
    </row>
    <row r="387" spans="31:31">
      <c r="AE387" s="146"/>
    </row>
    <row r="388" spans="31:31">
      <c r="AE388" s="146"/>
    </row>
    <row r="389" spans="31:31">
      <c r="AE389" s="146"/>
    </row>
    <row r="390" spans="31:31">
      <c r="AE390" s="146"/>
    </row>
    <row r="391" spans="31:31">
      <c r="AE391" s="146"/>
    </row>
    <row r="392" spans="31:31">
      <c r="AE392" s="146"/>
    </row>
    <row r="393" spans="31:31">
      <c r="AE393" s="146"/>
    </row>
    <row r="394" spans="31:31">
      <c r="AE394" s="146"/>
    </row>
    <row r="395" spans="31:31">
      <c r="AE395" s="146"/>
    </row>
    <row r="396" spans="31:31">
      <c r="AE396" s="146"/>
    </row>
    <row r="397" spans="31:31">
      <c r="AE397" s="146"/>
    </row>
    <row r="398" spans="31:31">
      <c r="AE398" s="146"/>
    </row>
    <row r="399" spans="31:31">
      <c r="AE399" s="146"/>
    </row>
    <row r="400" spans="31:31">
      <c r="AE400" s="146"/>
    </row>
    <row r="401" spans="31:31">
      <c r="AE401" s="146"/>
    </row>
    <row r="402" spans="31:31">
      <c r="AE402" s="146"/>
    </row>
    <row r="403" spans="31:31">
      <c r="AE403" s="146"/>
    </row>
    <row r="404" spans="31:31">
      <c r="AE404" s="146"/>
    </row>
    <row r="405" spans="31:31">
      <c r="AE405" s="146"/>
    </row>
    <row r="406" spans="31:31">
      <c r="AE406" s="146"/>
    </row>
    <row r="407" spans="31:31">
      <c r="AE407" s="146"/>
    </row>
    <row r="408" spans="31:31">
      <c r="AE408" s="146"/>
    </row>
    <row r="409" spans="31:31">
      <c r="AE409" s="146"/>
    </row>
    <row r="410" spans="31:31">
      <c r="AE410" s="146"/>
    </row>
    <row r="411" spans="31:31">
      <c r="AE411" s="146"/>
    </row>
    <row r="412" spans="31:31">
      <c r="AE412" s="146"/>
    </row>
    <row r="413" spans="31:31">
      <c r="AE413" s="146"/>
    </row>
    <row r="414" spans="31:31">
      <c r="AE414" s="146"/>
    </row>
    <row r="415" spans="31:31">
      <c r="AE415" s="146"/>
    </row>
    <row r="416" spans="31:31">
      <c r="AE416" s="146"/>
    </row>
    <row r="417" spans="31:31">
      <c r="AE417" s="146"/>
    </row>
    <row r="418" spans="31:31">
      <c r="AE418" s="146"/>
    </row>
    <row r="419" spans="31:31">
      <c r="AE419" s="146"/>
    </row>
    <row r="420" spans="31:31">
      <c r="AE420" s="146"/>
    </row>
    <row r="421" spans="31:31">
      <c r="AE421" s="146"/>
    </row>
    <row r="422" spans="31:31">
      <c r="AE422" s="146"/>
    </row>
    <row r="423" spans="31:31">
      <c r="AE423" s="146"/>
    </row>
    <row r="424" spans="31:31">
      <c r="AE424" s="146"/>
    </row>
    <row r="425" spans="31:31">
      <c r="AE425" s="146"/>
    </row>
    <row r="426" spans="31:31">
      <c r="AE426" s="146"/>
    </row>
    <row r="427" spans="31:31">
      <c r="AE427" s="146"/>
    </row>
    <row r="428" spans="31:31">
      <c r="AE428" s="146"/>
    </row>
    <row r="429" spans="31:31">
      <c r="AE429" s="146"/>
    </row>
    <row r="430" spans="31:31">
      <c r="AE430" s="146"/>
    </row>
    <row r="431" spans="31:31">
      <c r="AE431" s="146"/>
    </row>
    <row r="432" spans="31:31">
      <c r="AE432" s="146"/>
    </row>
    <row r="433" spans="31:31">
      <c r="AE433" s="146"/>
    </row>
    <row r="434" spans="31:31">
      <c r="AE434" s="146"/>
    </row>
    <row r="435" spans="31:31">
      <c r="AE435" s="146"/>
    </row>
    <row r="436" spans="31:31">
      <c r="AE436" s="146"/>
    </row>
    <row r="437" spans="31:31">
      <c r="AE437" s="146"/>
    </row>
    <row r="438" spans="31:31">
      <c r="AE438" s="146"/>
    </row>
    <row r="439" spans="31:31">
      <c r="AE439" s="146"/>
    </row>
    <row r="440" spans="31:31">
      <c r="AE440" s="146"/>
    </row>
    <row r="441" spans="31:31">
      <c r="AE441" s="146"/>
    </row>
    <row r="442" spans="31:31">
      <c r="AE442" s="146"/>
    </row>
    <row r="443" spans="31:31">
      <c r="AE443" s="146"/>
    </row>
    <row r="444" spans="31:31">
      <c r="AE444" s="146"/>
    </row>
    <row r="445" spans="31:31">
      <c r="AE445" s="146"/>
    </row>
    <row r="446" spans="31:31">
      <c r="AE446" s="146"/>
    </row>
    <row r="447" spans="31:31">
      <c r="AE447" s="146"/>
    </row>
    <row r="448" spans="31:31">
      <c r="AE448" s="146"/>
    </row>
    <row r="449" spans="31:31">
      <c r="AE449" s="146"/>
    </row>
    <row r="450" spans="31:31">
      <c r="AE450" s="146"/>
    </row>
    <row r="451" spans="31:31">
      <c r="AE451" s="146"/>
    </row>
    <row r="452" spans="31:31">
      <c r="AE452" s="146"/>
    </row>
    <row r="453" spans="31:31">
      <c r="AE453" s="146"/>
    </row>
    <row r="454" spans="31:31">
      <c r="AE454" s="146"/>
    </row>
    <row r="455" spans="31:31">
      <c r="AE455" s="146"/>
    </row>
    <row r="456" spans="31:31">
      <c r="AE456" s="146"/>
    </row>
    <row r="457" spans="31:31">
      <c r="AE457" s="146"/>
    </row>
    <row r="458" spans="31:31">
      <c r="AE458" s="146"/>
    </row>
    <row r="459" spans="31:31">
      <c r="AE459" s="146"/>
    </row>
    <row r="460" spans="31:31">
      <c r="AE460" s="146"/>
    </row>
    <row r="461" spans="31:31">
      <c r="AE461" s="146"/>
    </row>
    <row r="462" spans="31:31">
      <c r="AE462" s="146"/>
    </row>
    <row r="463" spans="31:31">
      <c r="AE463" s="146"/>
    </row>
    <row r="464" spans="31:31">
      <c r="AE464" s="146"/>
    </row>
    <row r="465" spans="31:31">
      <c r="AE465" s="146"/>
    </row>
    <row r="466" spans="31:31">
      <c r="AE466" s="146"/>
    </row>
    <row r="467" spans="31:31">
      <c r="AE467" s="146"/>
    </row>
    <row r="468" spans="31:31">
      <c r="AE468" s="146"/>
    </row>
    <row r="469" spans="31:31">
      <c r="AE469" s="146"/>
    </row>
    <row r="470" spans="31:31">
      <c r="AE470" s="146"/>
    </row>
    <row r="471" spans="31:31">
      <c r="AE471" s="146"/>
    </row>
    <row r="472" spans="31:31">
      <c r="AE472" s="146"/>
    </row>
    <row r="473" spans="31:31">
      <c r="AE473" s="146"/>
    </row>
    <row r="474" spans="31:31">
      <c r="AE474" s="146"/>
    </row>
    <row r="475" spans="31:31">
      <c r="AE475" s="146"/>
    </row>
    <row r="476" spans="31:31">
      <c r="AE476" s="146"/>
    </row>
    <row r="477" spans="31:31">
      <c r="AE477" s="146"/>
    </row>
    <row r="478" spans="31:31">
      <c r="AE478" s="146"/>
    </row>
    <row r="479" spans="31:31">
      <c r="AE479" s="146"/>
    </row>
    <row r="480" spans="31:31">
      <c r="AE480" s="146"/>
    </row>
    <row r="481" spans="31:31">
      <c r="AE481" s="146"/>
    </row>
    <row r="482" spans="31:31">
      <c r="AE482" s="146"/>
    </row>
    <row r="483" spans="31:31">
      <c r="AE483" s="146"/>
    </row>
    <row r="484" spans="31:31">
      <c r="AE484" s="146"/>
    </row>
    <row r="485" spans="31:31">
      <c r="AE485" s="146"/>
    </row>
    <row r="486" spans="31:31">
      <c r="AE486" s="146"/>
    </row>
    <row r="487" spans="31:31">
      <c r="AE487" s="146"/>
    </row>
    <row r="488" spans="31:31">
      <c r="AE488" s="146"/>
    </row>
    <row r="489" spans="31:31">
      <c r="AE489" s="146"/>
    </row>
    <row r="490" spans="31:31">
      <c r="AE490" s="146"/>
    </row>
    <row r="491" spans="31:31">
      <c r="AE491" s="146"/>
    </row>
    <row r="492" spans="31:31">
      <c r="AE492" s="146"/>
    </row>
    <row r="493" spans="31:31">
      <c r="AE493" s="146"/>
    </row>
    <row r="494" spans="31:31">
      <c r="AE494" s="146"/>
    </row>
    <row r="495" spans="31:31">
      <c r="AE495" s="146"/>
    </row>
    <row r="496" spans="31:31">
      <c r="AE496" s="146"/>
    </row>
    <row r="497" spans="31:31">
      <c r="AE497" s="146"/>
    </row>
    <row r="498" spans="31:31">
      <c r="AE498" s="146"/>
    </row>
    <row r="499" spans="31:31">
      <c r="AE499" s="146"/>
    </row>
    <row r="500" spans="31:31">
      <c r="AE500" s="146"/>
    </row>
    <row r="501" spans="31:31">
      <c r="AE501" s="146"/>
    </row>
    <row r="502" spans="31:31">
      <c r="AE502" s="146"/>
    </row>
    <row r="503" spans="31:31">
      <c r="AE503" s="146"/>
    </row>
    <row r="504" spans="31:31">
      <c r="AE504" s="146"/>
    </row>
    <row r="505" spans="31:31">
      <c r="AE505" s="146"/>
    </row>
    <row r="506" spans="31:31">
      <c r="AE506" s="146"/>
    </row>
    <row r="507" spans="31:31">
      <c r="AE507" s="146"/>
    </row>
    <row r="508" spans="31:31">
      <c r="AE508" s="146"/>
    </row>
    <row r="509" spans="31:31">
      <c r="AE509" s="146"/>
    </row>
    <row r="510" spans="31:31">
      <c r="AE510" s="146"/>
    </row>
    <row r="511" spans="31:31">
      <c r="AE511" s="146"/>
    </row>
    <row r="512" spans="31:31">
      <c r="AE512" s="146"/>
    </row>
    <row r="513" spans="31:31">
      <c r="AE513" s="146"/>
    </row>
    <row r="514" spans="31:31">
      <c r="AE514" s="146"/>
    </row>
    <row r="515" spans="31:31">
      <c r="AE515" s="146"/>
    </row>
    <row r="516" spans="31:31">
      <c r="AE516" s="146"/>
    </row>
    <row r="517" spans="31:31">
      <c r="AE517" s="146"/>
    </row>
    <row r="518" spans="31:31">
      <c r="AE518" s="146"/>
    </row>
    <row r="519" spans="31:31">
      <c r="AE519" s="146"/>
    </row>
    <row r="520" spans="31:31">
      <c r="AE520" s="146"/>
    </row>
    <row r="521" spans="31:31">
      <c r="AE521" s="146"/>
    </row>
    <row r="522" spans="31:31">
      <c r="AE522" s="146"/>
    </row>
    <row r="523" spans="31:31">
      <c r="AE523" s="146"/>
    </row>
    <row r="524" spans="31:31">
      <c r="AE524" s="146"/>
    </row>
    <row r="525" spans="31:31">
      <c r="AE525" s="146"/>
    </row>
    <row r="526" spans="31:31">
      <c r="AE526" s="146"/>
    </row>
    <row r="527" spans="31:31">
      <c r="AE527" s="146"/>
    </row>
    <row r="528" spans="31:31">
      <c r="AE528" s="146"/>
    </row>
    <row r="529" spans="31:31">
      <c r="AE529" s="146"/>
    </row>
    <row r="530" spans="31:31">
      <c r="AE530" s="146"/>
    </row>
    <row r="531" spans="31:31">
      <c r="AE531" s="146"/>
    </row>
    <row r="532" spans="31:31">
      <c r="AE532" s="146"/>
    </row>
    <row r="533" spans="31:31">
      <c r="AE533" s="146"/>
    </row>
    <row r="534" spans="31:31">
      <c r="AE534" s="146"/>
    </row>
    <row r="535" spans="31:31">
      <c r="AE535" s="146"/>
    </row>
    <row r="536" spans="31:31">
      <c r="AE536" s="146"/>
    </row>
    <row r="537" spans="31:31">
      <c r="AE537" s="146"/>
    </row>
    <row r="538" spans="31:31">
      <c r="AE538" s="146"/>
    </row>
    <row r="539" spans="31:31">
      <c r="AE539" s="146"/>
    </row>
    <row r="540" spans="31:31">
      <c r="AE540" s="146"/>
    </row>
    <row r="541" spans="31:31">
      <c r="AE541" s="146"/>
    </row>
    <row r="542" spans="31:31">
      <c r="AE542" s="146"/>
    </row>
    <row r="543" spans="31:31">
      <c r="AE543" s="146"/>
    </row>
    <row r="544" spans="31:31">
      <c r="AE544" s="146"/>
    </row>
    <row r="545" spans="31:31">
      <c r="AE545" s="146"/>
    </row>
    <row r="546" spans="31:31">
      <c r="AE546" s="146"/>
    </row>
    <row r="547" spans="31:31">
      <c r="AE547" s="146"/>
    </row>
    <row r="548" spans="31:31">
      <c r="AE548" s="146"/>
    </row>
    <row r="549" spans="31:31">
      <c r="AE549" s="146"/>
    </row>
    <row r="550" spans="31:31">
      <c r="AE550" s="146"/>
    </row>
    <row r="551" spans="31:31">
      <c r="AE551" s="146"/>
    </row>
    <row r="552" spans="31:31">
      <c r="AE552" s="146"/>
    </row>
    <row r="553" spans="31:31">
      <c r="AE553" s="146"/>
    </row>
    <row r="554" spans="31:31">
      <c r="AE554" s="146"/>
    </row>
    <row r="555" spans="31:31">
      <c r="AE555" s="146"/>
    </row>
    <row r="556" spans="31:31">
      <c r="AE556" s="146"/>
    </row>
    <row r="557" spans="31:31">
      <c r="AE557" s="146"/>
    </row>
    <row r="558" spans="31:31">
      <c r="AE558" s="146"/>
    </row>
    <row r="559" spans="31:31">
      <c r="AE559" s="146"/>
    </row>
    <row r="560" spans="31:31">
      <c r="AE560" s="146"/>
    </row>
    <row r="561" spans="31:31">
      <c r="AE561" s="146"/>
    </row>
    <row r="562" spans="31:31">
      <c r="AE562" s="146"/>
    </row>
    <row r="563" spans="31:31">
      <c r="AE563" s="146"/>
    </row>
    <row r="564" spans="31:31">
      <c r="AE564" s="146"/>
    </row>
    <row r="565" spans="31:31">
      <c r="AE565" s="146"/>
    </row>
    <row r="566" spans="31:31">
      <c r="AE566" s="146"/>
    </row>
    <row r="567" spans="31:31">
      <c r="AE567" s="146"/>
    </row>
    <row r="568" spans="31:31">
      <c r="AE568" s="146"/>
    </row>
    <row r="569" spans="31:31">
      <c r="AE569" s="146"/>
    </row>
    <row r="570" spans="31:31">
      <c r="AE570" s="146"/>
    </row>
    <row r="571" spans="31:31">
      <c r="AE571" s="146"/>
    </row>
    <row r="572" spans="31:31">
      <c r="AE572" s="146"/>
    </row>
    <row r="573" spans="31:31">
      <c r="AE573" s="146"/>
    </row>
    <row r="574" spans="31:31">
      <c r="AE574" s="146"/>
    </row>
    <row r="575" spans="31:31">
      <c r="AE575" s="146"/>
    </row>
    <row r="576" spans="31:31">
      <c r="AE576" s="146"/>
    </row>
    <row r="577" spans="31:31">
      <c r="AE577" s="146"/>
    </row>
    <row r="578" spans="31:31">
      <c r="AE578" s="146"/>
    </row>
    <row r="579" spans="31:31">
      <c r="AE579" s="146"/>
    </row>
    <row r="580" spans="31:31">
      <c r="AE580" s="146"/>
    </row>
    <row r="581" spans="31:31">
      <c r="AE581" s="146"/>
    </row>
    <row r="582" spans="31:31">
      <c r="AE582" s="146"/>
    </row>
    <row r="583" spans="31:31">
      <c r="AE583" s="146"/>
    </row>
    <row r="584" spans="31:31">
      <c r="AE584" s="146"/>
    </row>
    <row r="585" spans="31:31">
      <c r="AE585" s="146"/>
    </row>
    <row r="586" spans="31:31">
      <c r="AE586" s="146"/>
    </row>
    <row r="587" spans="31:31">
      <c r="AE587" s="146"/>
    </row>
    <row r="588" spans="31:31">
      <c r="AE588" s="146"/>
    </row>
    <row r="589" spans="31:31">
      <c r="AE589" s="146"/>
    </row>
    <row r="590" spans="31:31">
      <c r="AE590" s="146"/>
    </row>
    <row r="591" spans="31:31">
      <c r="AE591" s="146"/>
    </row>
    <row r="592" spans="31:31">
      <c r="AE592" s="146"/>
    </row>
    <row r="593" spans="31:31">
      <c r="AE593" s="146"/>
    </row>
    <row r="594" spans="31:31">
      <c r="AE594" s="146"/>
    </row>
    <row r="595" spans="31:31">
      <c r="AE595" s="146"/>
    </row>
    <row r="596" spans="31:31">
      <c r="AE596" s="146"/>
    </row>
    <row r="597" spans="31:31">
      <c r="AE597" s="146"/>
    </row>
    <row r="598" spans="31:31">
      <c r="AE598" s="146"/>
    </row>
    <row r="599" spans="31:31">
      <c r="AE599" s="146"/>
    </row>
    <row r="600" spans="31:31">
      <c r="AE600" s="146"/>
    </row>
    <row r="601" spans="31:31">
      <c r="AE601" s="146"/>
    </row>
    <row r="602" spans="31:31">
      <c r="AE602" s="146"/>
    </row>
    <row r="603" spans="31:31">
      <c r="AE603" s="146"/>
    </row>
    <row r="604" spans="31:31">
      <c r="AE604" s="146"/>
    </row>
    <row r="605" spans="31:31">
      <c r="AE605" s="146"/>
    </row>
    <row r="606" spans="31:31">
      <c r="AE606" s="146"/>
    </row>
    <row r="607" spans="31:31">
      <c r="AE607" s="146"/>
    </row>
    <row r="608" spans="31:31">
      <c r="AE608" s="146"/>
    </row>
    <row r="609" spans="31:31">
      <c r="AE609" s="146"/>
    </row>
    <row r="610" spans="31:31">
      <c r="AE610" s="146"/>
    </row>
    <row r="611" spans="31:31">
      <c r="AE611" s="146"/>
    </row>
    <row r="612" spans="31:31">
      <c r="AE612" s="146"/>
    </row>
    <row r="613" spans="31:31">
      <c r="AE613" s="146"/>
    </row>
    <row r="614" spans="31:31">
      <c r="AE614" s="146"/>
    </row>
    <row r="615" spans="31:31">
      <c r="AE615" s="146"/>
    </row>
    <row r="616" spans="31:31">
      <c r="AE616" s="146"/>
    </row>
    <row r="617" spans="31:31">
      <c r="AE617" s="146"/>
    </row>
    <row r="618" spans="31:31">
      <c r="AE618" s="146"/>
    </row>
    <row r="619" spans="31:31">
      <c r="AE619" s="146"/>
    </row>
    <row r="620" spans="31:31">
      <c r="AE620" s="146"/>
    </row>
    <row r="621" spans="31:31">
      <c r="AE621" s="146"/>
    </row>
    <row r="622" spans="31:31">
      <c r="AE622" s="146"/>
    </row>
    <row r="623" spans="31:31">
      <c r="AE623" s="146"/>
    </row>
    <row r="624" spans="31:31">
      <c r="AE624" s="146"/>
    </row>
    <row r="625" spans="31:31">
      <c r="AE625" s="146"/>
    </row>
    <row r="626" spans="31:31">
      <c r="AE626" s="146"/>
    </row>
    <row r="627" spans="31:31">
      <c r="AE627" s="146"/>
    </row>
    <row r="628" spans="31:31">
      <c r="AE628" s="146"/>
    </row>
    <row r="629" spans="31:31">
      <c r="AE629" s="146"/>
    </row>
    <row r="630" spans="31:31">
      <c r="AE630" s="146"/>
    </row>
    <row r="631" spans="31:31">
      <c r="AE631" s="146"/>
    </row>
    <row r="632" spans="31:31">
      <c r="AE632" s="146"/>
    </row>
    <row r="633" spans="31:31">
      <c r="AE633" s="146"/>
    </row>
    <row r="634" spans="31:31">
      <c r="AE634" s="146"/>
    </row>
    <row r="635" spans="31:31">
      <c r="AE635" s="146"/>
    </row>
    <row r="636" spans="31:31">
      <c r="AE636" s="146"/>
    </row>
    <row r="637" spans="31:31">
      <c r="AE637" s="146"/>
    </row>
    <row r="638" spans="31:31">
      <c r="AE638" s="146"/>
    </row>
    <row r="639" spans="31:31">
      <c r="AE639" s="146"/>
    </row>
    <row r="640" spans="31:31">
      <c r="AE640" s="146"/>
    </row>
    <row r="641" spans="31:31">
      <c r="AE641" s="146"/>
    </row>
    <row r="642" spans="31:31">
      <c r="AE642" s="146"/>
    </row>
    <row r="643" spans="31:31">
      <c r="AE643" s="146"/>
    </row>
    <row r="644" spans="31:31">
      <c r="AE644" s="146"/>
    </row>
    <row r="645" spans="31:31">
      <c r="AE645" s="146"/>
    </row>
    <row r="646" spans="31:31">
      <c r="AE646" s="146"/>
    </row>
    <row r="647" spans="31:31">
      <c r="AE647" s="146"/>
    </row>
    <row r="648" spans="31:31">
      <c r="AE648" s="146"/>
    </row>
    <row r="649" spans="31:31">
      <c r="AE649" s="146"/>
    </row>
    <row r="650" spans="31:31">
      <c r="AE650" s="146"/>
    </row>
    <row r="651" spans="31:31">
      <c r="AE651" s="146"/>
    </row>
    <row r="652" spans="31:31">
      <c r="AE652" s="146"/>
    </row>
    <row r="653" spans="31:31">
      <c r="AE653" s="146"/>
    </row>
    <row r="654" spans="31:31">
      <c r="AE654" s="146"/>
    </row>
    <row r="655" spans="31:31">
      <c r="AE655" s="146"/>
    </row>
    <row r="656" spans="31:31">
      <c r="AE656" s="146"/>
    </row>
    <row r="657" spans="31:31">
      <c r="AE657" s="146"/>
    </row>
    <row r="658" spans="31:31">
      <c r="AE658" s="146"/>
    </row>
    <row r="659" spans="31:31">
      <c r="AE659" s="146"/>
    </row>
    <row r="660" spans="31:31">
      <c r="AE660" s="146"/>
    </row>
    <row r="661" spans="31:31">
      <c r="AE661" s="146"/>
    </row>
    <row r="662" spans="31:31">
      <c r="AE662" s="146"/>
    </row>
    <row r="663" spans="31:31">
      <c r="AE663" s="146"/>
    </row>
    <row r="664" spans="31:31">
      <c r="AE664" s="146"/>
    </row>
    <row r="665" spans="31:31">
      <c r="AE665" s="146"/>
    </row>
    <row r="666" spans="31:31">
      <c r="AE666" s="146"/>
    </row>
    <row r="667" spans="31:31">
      <c r="AE667" s="146"/>
    </row>
    <row r="668" spans="31:31">
      <c r="AE668" s="146"/>
    </row>
    <row r="669" spans="31:31">
      <c r="AE669" s="146"/>
    </row>
    <row r="670" spans="31:31">
      <c r="AE670" s="146"/>
    </row>
    <row r="671" spans="31:31">
      <c r="AE671" s="146"/>
    </row>
    <row r="672" spans="31:31">
      <c r="AE672" s="146"/>
    </row>
    <row r="673" spans="31:31">
      <c r="AE673" s="146"/>
    </row>
    <row r="674" spans="31:31">
      <c r="AE674" s="146"/>
    </row>
    <row r="675" spans="31:31">
      <c r="AE675" s="146"/>
    </row>
    <row r="676" spans="31:31">
      <c r="AE676" s="146"/>
    </row>
    <row r="677" spans="31:31">
      <c r="AE677" s="146"/>
    </row>
    <row r="678" spans="31:31">
      <c r="AE678" s="146"/>
    </row>
    <row r="679" spans="31:31">
      <c r="AE679" s="146"/>
    </row>
    <row r="680" spans="31:31">
      <c r="AE680" s="146"/>
    </row>
    <row r="681" spans="31:31">
      <c r="AE681" s="146"/>
    </row>
    <row r="682" spans="31:31">
      <c r="AE682" s="146"/>
    </row>
    <row r="683" spans="31:31">
      <c r="AE683" s="146"/>
    </row>
    <row r="684" spans="31:31">
      <c r="AE684" s="146"/>
    </row>
    <row r="685" spans="31:31">
      <c r="AE685" s="146"/>
    </row>
    <row r="686" spans="31:31">
      <c r="AE686" s="146"/>
    </row>
    <row r="687" spans="31:31">
      <c r="AE687" s="146"/>
    </row>
    <row r="688" spans="31:31">
      <c r="AE688" s="146"/>
    </row>
    <row r="689" spans="31:31">
      <c r="AE689" s="146"/>
    </row>
    <row r="690" spans="31:31">
      <c r="AE690" s="146"/>
    </row>
    <row r="691" spans="31:31">
      <c r="AE691" s="146"/>
    </row>
    <row r="692" spans="31:31">
      <c r="AE692" s="146"/>
    </row>
    <row r="693" spans="31:31">
      <c r="AE693" s="146"/>
    </row>
    <row r="694" spans="31:31">
      <c r="AE694" s="146"/>
    </row>
    <row r="695" spans="31:31">
      <c r="AE695" s="146"/>
    </row>
    <row r="696" spans="31:31">
      <c r="AE696" s="146"/>
    </row>
    <row r="697" spans="31:31">
      <c r="AE697" s="146"/>
    </row>
    <row r="698" spans="31:31">
      <c r="AE698" s="146"/>
    </row>
    <row r="699" spans="31:31">
      <c r="AE699" s="146"/>
    </row>
    <row r="700" spans="31:31">
      <c r="AE700" s="146"/>
    </row>
    <row r="701" spans="31:31">
      <c r="AE701" s="146"/>
    </row>
    <row r="702" spans="31:31">
      <c r="AE702" s="146"/>
    </row>
    <row r="703" spans="31:31">
      <c r="AE703" s="146"/>
    </row>
    <row r="704" spans="31:31">
      <c r="AE704" s="146"/>
    </row>
    <row r="705" spans="31:31">
      <c r="AE705" s="146"/>
    </row>
    <row r="706" spans="31:31">
      <c r="AE706" s="146"/>
    </row>
    <row r="707" spans="31:31">
      <c r="AE707" s="146"/>
    </row>
    <row r="708" spans="31:31">
      <c r="AE708" s="146"/>
    </row>
    <row r="709" spans="31:31">
      <c r="AE709" s="146"/>
    </row>
    <row r="710" spans="31:31">
      <c r="AE710" s="146"/>
    </row>
    <row r="711" spans="31:31">
      <c r="AE711" s="146"/>
    </row>
    <row r="712" spans="31:31">
      <c r="AE712" s="146"/>
    </row>
    <row r="713" spans="31:31">
      <c r="AE713" s="146"/>
    </row>
    <row r="714" spans="31:31">
      <c r="AE714" s="146"/>
    </row>
    <row r="715" spans="31:31">
      <c r="AE715" s="146"/>
    </row>
    <row r="716" spans="31:31">
      <c r="AE716" s="146"/>
    </row>
    <row r="717" spans="31:31">
      <c r="AE717" s="146"/>
    </row>
    <row r="718" spans="31:31">
      <c r="AE718" s="146"/>
    </row>
    <row r="719" spans="31:31">
      <c r="AE719" s="146"/>
    </row>
    <row r="720" spans="31:31">
      <c r="AE720" s="146"/>
    </row>
    <row r="721" spans="31:31">
      <c r="AE721" s="146"/>
    </row>
    <row r="722" spans="31:31">
      <c r="AE722" s="146"/>
    </row>
    <row r="723" spans="31:31">
      <c r="AE723" s="146"/>
    </row>
    <row r="724" spans="31:31">
      <c r="AE724" s="146"/>
    </row>
    <row r="725" spans="31:31">
      <c r="AE725" s="146"/>
    </row>
    <row r="726" spans="31:31">
      <c r="AE726" s="146"/>
    </row>
    <row r="727" spans="31:31">
      <c r="AE727" s="146"/>
    </row>
    <row r="728" spans="31:31">
      <c r="AE728" s="146"/>
    </row>
    <row r="729" spans="31:31">
      <c r="AE729" s="146"/>
    </row>
    <row r="730" spans="31:31">
      <c r="AE730" s="146"/>
    </row>
    <row r="731" spans="31:31">
      <c r="AE731" s="146"/>
    </row>
    <row r="732" spans="31:31">
      <c r="AE732" s="146"/>
    </row>
    <row r="733" spans="31:31">
      <c r="AE733" s="146"/>
    </row>
    <row r="734" spans="31:31">
      <c r="AE734" s="146"/>
    </row>
    <row r="735" spans="31:31">
      <c r="AE735" s="146"/>
    </row>
    <row r="736" spans="31:31">
      <c r="AE736" s="146"/>
    </row>
    <row r="737" spans="31:31">
      <c r="AE737" s="146"/>
    </row>
    <row r="738" spans="31:31">
      <c r="AE738" s="146"/>
    </row>
    <row r="739" spans="31:31">
      <c r="AE739" s="146"/>
    </row>
    <row r="740" spans="31:31">
      <c r="AE740" s="146"/>
    </row>
    <row r="741" spans="31:31">
      <c r="AE741" s="146"/>
    </row>
    <row r="742" spans="31:31">
      <c r="AE742" s="146"/>
    </row>
    <row r="743" spans="31:31">
      <c r="AE743" s="146"/>
    </row>
    <row r="744" spans="31:31">
      <c r="AE744" s="146"/>
    </row>
    <row r="745" spans="31:31">
      <c r="AE745" s="146"/>
    </row>
    <row r="746" spans="31:31">
      <c r="AE746" s="146"/>
    </row>
    <row r="747" spans="31:31">
      <c r="AE747" s="146"/>
    </row>
    <row r="748" spans="31:31">
      <c r="AE748" s="146"/>
    </row>
    <row r="749" spans="31:31">
      <c r="AE749" s="146"/>
    </row>
    <row r="750" spans="31:31">
      <c r="AE750" s="146"/>
    </row>
    <row r="751" spans="31:31">
      <c r="AE751" s="146"/>
    </row>
    <row r="752" spans="31:31">
      <c r="AE752" s="146"/>
    </row>
    <row r="753" spans="31:31">
      <c r="AE753" s="146"/>
    </row>
    <row r="754" spans="31:31">
      <c r="AE754" s="146"/>
    </row>
    <row r="755" spans="31:31">
      <c r="AE755" s="146"/>
    </row>
    <row r="756" spans="31:31">
      <c r="AE756" s="146"/>
    </row>
    <row r="757" spans="31:31">
      <c r="AE757" s="146"/>
    </row>
    <row r="758" spans="31:31">
      <c r="AE758" s="146"/>
    </row>
    <row r="759" spans="31:31">
      <c r="AE759" s="146"/>
    </row>
    <row r="760" spans="31:31">
      <c r="AE760" s="146"/>
    </row>
    <row r="761" spans="31:31">
      <c r="AE761" s="146"/>
    </row>
    <row r="762" spans="31:31">
      <c r="AE762" s="146"/>
    </row>
    <row r="763" spans="31:31">
      <c r="AE763" s="146"/>
    </row>
    <row r="764" spans="31:31">
      <c r="AE764" s="146"/>
    </row>
    <row r="765" spans="31:31">
      <c r="AE765" s="146"/>
    </row>
    <row r="766" spans="31:31">
      <c r="AE766" s="146"/>
    </row>
    <row r="767" spans="31:31">
      <c r="AE767" s="146"/>
    </row>
    <row r="768" spans="31:31">
      <c r="AE768" s="146"/>
    </row>
    <row r="769" spans="31:31">
      <c r="AE769" s="146"/>
    </row>
    <row r="770" spans="31:31">
      <c r="AE770" s="146"/>
    </row>
    <row r="771" spans="31:31">
      <c r="AE771" s="146"/>
    </row>
    <row r="772" spans="31:31">
      <c r="AE772" s="146"/>
    </row>
    <row r="773" spans="31:31">
      <c r="AE773" s="146"/>
    </row>
    <row r="774" spans="31:31">
      <c r="AE774" s="146"/>
    </row>
    <row r="775" spans="31:31">
      <c r="AE775" s="146"/>
    </row>
    <row r="776" spans="31:31">
      <c r="AE776" s="146"/>
    </row>
    <row r="777" spans="31:31">
      <c r="AE777" s="146"/>
    </row>
    <row r="778" spans="31:31">
      <c r="AE778" s="146"/>
    </row>
    <row r="779" spans="31:31">
      <c r="AE779" s="146"/>
    </row>
    <row r="780" spans="31:31">
      <c r="AE780" s="146"/>
    </row>
    <row r="781" spans="31:31">
      <c r="AE781" s="146"/>
    </row>
    <row r="782" spans="31:31">
      <c r="AE782" s="146"/>
    </row>
    <row r="783" spans="31:31">
      <c r="AE783" s="146"/>
    </row>
    <row r="784" spans="31:31">
      <c r="AE784" s="146"/>
    </row>
    <row r="785" spans="31:31">
      <c r="AE785" s="146"/>
    </row>
    <row r="786" spans="31:31">
      <c r="AE786" s="146"/>
    </row>
    <row r="787" spans="31:31">
      <c r="AE787" s="146"/>
    </row>
    <row r="788" spans="31:31">
      <c r="AE788" s="146"/>
    </row>
    <row r="789" spans="31:31">
      <c r="AE789" s="146"/>
    </row>
    <row r="790" spans="31:31">
      <c r="AE790" s="146"/>
    </row>
    <row r="791" spans="31:31">
      <c r="AE791" s="146"/>
    </row>
    <row r="792" spans="31:31">
      <c r="AE792" s="146"/>
    </row>
    <row r="793" spans="31:31">
      <c r="AE793" s="146"/>
    </row>
    <row r="794" spans="31:31">
      <c r="AE794" s="146"/>
    </row>
    <row r="795" spans="31:31">
      <c r="AE795" s="146"/>
    </row>
    <row r="796" spans="31:31">
      <c r="AE796" s="146"/>
    </row>
    <row r="797" spans="31:31">
      <c r="AE797" s="146"/>
    </row>
    <row r="798" spans="31:31">
      <c r="AE798" s="146"/>
    </row>
    <row r="799" spans="31:31">
      <c r="AE799" s="146"/>
    </row>
    <row r="800" spans="31:31">
      <c r="AE800" s="146"/>
    </row>
    <row r="801" spans="31:31">
      <c r="AE801" s="146"/>
    </row>
    <row r="802" spans="31:31">
      <c r="AE802" s="146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1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120</v>
      </c>
      <c r="M1" s="19" t="s">
        <v>171</v>
      </c>
      <c r="N1" s="19" t="s">
        <v>152</v>
      </c>
      <c r="O1" s="19" t="s">
        <v>9</v>
      </c>
      <c r="P1" s="19" t="s">
        <v>10</v>
      </c>
      <c r="Q1" s="19" t="s">
        <v>172</v>
      </c>
      <c r="R1" s="19" t="s">
        <v>11</v>
      </c>
      <c r="S1" s="19" t="s">
        <v>12</v>
      </c>
      <c r="T1" s="139" t="s">
        <v>14</v>
      </c>
      <c r="U1" s="19" t="s">
        <v>15</v>
      </c>
      <c r="V1" s="19" t="s">
        <v>145</v>
      </c>
      <c r="W1" s="19" t="s">
        <v>146</v>
      </c>
      <c r="X1" s="19" t="s">
        <v>129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4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4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4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4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4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4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4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4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4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4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4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4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4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4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4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4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4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4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1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165</v>
      </c>
      <c r="D1" s="19" t="s">
        <v>166</v>
      </c>
      <c r="E1" s="19" t="s">
        <v>167</v>
      </c>
      <c r="F1" s="19" t="s">
        <v>5</v>
      </c>
      <c r="G1" s="19" t="s">
        <v>168</v>
      </c>
      <c r="H1" s="19" t="s">
        <v>6</v>
      </c>
      <c r="I1" s="19" t="s">
        <v>7</v>
      </c>
      <c r="J1" s="19" t="s">
        <v>120</v>
      </c>
      <c r="K1" s="19" t="s">
        <v>169</v>
      </c>
      <c r="L1" s="19" t="s">
        <v>10</v>
      </c>
      <c r="M1" s="19" t="s">
        <v>11</v>
      </c>
      <c r="N1" s="19" t="s">
        <v>12</v>
      </c>
      <c r="O1" s="139" t="s">
        <v>14</v>
      </c>
      <c r="P1" s="19" t="s">
        <v>15</v>
      </c>
      <c r="Q1" s="19" t="s">
        <v>130</v>
      </c>
      <c r="R1" s="19" t="s">
        <v>18</v>
      </c>
      <c r="S1" s="19" t="s">
        <v>170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0"/>
      <c r="E2" s="18"/>
      <c r="F2" s="20"/>
      <c r="G2" s="20"/>
      <c r="H2" s="18"/>
      <c r="I2" s="18"/>
      <c r="J2" s="20"/>
      <c r="K2" s="20"/>
      <c r="M2" s="18"/>
      <c r="N2" s="20"/>
      <c r="O2" s="144"/>
      <c r="P2" s="20"/>
      <c r="R2" s="20"/>
      <c r="S2" s="20"/>
      <c r="T2" s="20"/>
      <c r="U2" s="20"/>
      <c r="V2" s="20"/>
    </row>
    <row r="3" spans="1:22">
      <c r="A3" s="20"/>
      <c r="B3" s="20"/>
      <c r="C3" s="20"/>
      <c r="E3" s="18"/>
      <c r="F3" s="20"/>
      <c r="G3" s="20"/>
      <c r="H3" s="18"/>
      <c r="I3" s="18"/>
      <c r="J3" s="20"/>
      <c r="K3" s="20"/>
      <c r="M3" s="18"/>
      <c r="N3" s="20"/>
      <c r="O3" s="144"/>
      <c r="P3" s="20"/>
      <c r="R3" s="20"/>
      <c r="T3" s="20"/>
      <c r="U3" s="20"/>
      <c r="V3" s="20"/>
    </row>
    <row r="4" spans="1:22">
      <c r="A4" s="20"/>
      <c r="B4" s="20"/>
      <c r="C4" s="20"/>
      <c r="E4" s="18"/>
      <c r="F4" s="20"/>
      <c r="G4" s="20"/>
      <c r="H4" s="18"/>
      <c r="I4" s="18"/>
      <c r="J4" s="20"/>
      <c r="K4" s="20"/>
      <c r="M4" s="18"/>
      <c r="N4" s="20"/>
      <c r="O4" s="144"/>
      <c r="P4" s="20"/>
      <c r="R4" s="20"/>
      <c r="T4" s="20"/>
      <c r="U4" s="20"/>
      <c r="V4" s="20"/>
    </row>
    <row r="5" spans="1:22">
      <c r="A5" s="20"/>
      <c r="B5" s="20"/>
      <c r="C5" s="20"/>
      <c r="E5" s="18"/>
      <c r="F5" s="20"/>
      <c r="G5" s="20"/>
      <c r="H5" s="18"/>
      <c r="I5" s="18"/>
      <c r="J5" s="20"/>
      <c r="K5" s="20"/>
      <c r="M5" s="18"/>
      <c r="N5" s="20"/>
      <c r="O5" s="144"/>
      <c r="P5" s="20"/>
      <c r="R5" s="20"/>
      <c r="T5" s="20"/>
      <c r="U5" s="20"/>
      <c r="V5" s="20"/>
    </row>
    <row r="6" spans="1:22">
      <c r="A6" s="20"/>
      <c r="B6" s="20"/>
      <c r="C6" s="20"/>
      <c r="E6" s="18"/>
      <c r="F6" s="20"/>
      <c r="G6" s="20"/>
      <c r="H6" s="18"/>
      <c r="I6" s="18"/>
      <c r="J6" s="20"/>
      <c r="K6" s="20"/>
      <c r="M6" s="18"/>
      <c r="N6" s="20"/>
      <c r="O6" s="144"/>
      <c r="P6" s="20"/>
      <c r="R6" s="20"/>
      <c r="T6" s="20"/>
      <c r="U6" s="20"/>
      <c r="V6" s="20"/>
    </row>
    <row r="7" spans="1:22">
      <c r="A7" s="20"/>
      <c r="B7" s="20"/>
      <c r="C7" s="20"/>
      <c r="E7" s="18"/>
      <c r="F7" s="20"/>
      <c r="G7" s="20"/>
      <c r="H7" s="18"/>
      <c r="I7" s="18"/>
      <c r="J7" s="20"/>
      <c r="K7" s="20"/>
      <c r="M7" s="18"/>
      <c r="N7" s="20"/>
      <c r="O7" s="144"/>
      <c r="P7" s="20"/>
      <c r="R7" s="20"/>
      <c r="S7" s="20"/>
      <c r="T7" s="20"/>
      <c r="U7" s="20"/>
      <c r="V7" s="20"/>
    </row>
    <row r="8" spans="1:22">
      <c r="A8" s="20"/>
      <c r="B8" s="20"/>
      <c r="C8" s="20"/>
      <c r="E8" s="18"/>
      <c r="F8" s="20"/>
      <c r="G8" s="20"/>
      <c r="H8" s="18"/>
      <c r="I8" s="18"/>
      <c r="J8" s="20"/>
      <c r="K8" s="20"/>
      <c r="M8" s="18"/>
      <c r="N8" s="20"/>
      <c r="O8" s="144"/>
      <c r="P8" s="20"/>
      <c r="R8" s="20"/>
      <c r="S8" s="20"/>
      <c r="T8" s="20"/>
      <c r="U8" s="20"/>
      <c r="V8" s="20"/>
    </row>
    <row r="9" spans="1:22">
      <c r="A9" s="20"/>
      <c r="B9" s="20"/>
      <c r="C9" s="20"/>
      <c r="E9" s="18"/>
      <c r="F9" s="20"/>
      <c r="G9" s="20"/>
      <c r="H9" s="18"/>
      <c r="I9" s="18"/>
      <c r="J9" s="20"/>
      <c r="K9" s="20"/>
      <c r="M9" s="18"/>
      <c r="N9" s="20"/>
      <c r="O9" s="144"/>
      <c r="P9" s="20"/>
      <c r="R9" s="20"/>
      <c r="S9" s="20"/>
      <c r="T9" s="20"/>
      <c r="U9" s="20"/>
      <c r="V9" s="20"/>
    </row>
    <row r="10" spans="1:22">
      <c r="A10" s="20"/>
      <c r="B10" s="20"/>
      <c r="C10" s="20"/>
      <c r="E10" s="18"/>
      <c r="F10" s="20"/>
      <c r="G10" s="20"/>
      <c r="H10" s="18"/>
      <c r="I10" s="18"/>
      <c r="J10" s="20"/>
      <c r="K10" s="20"/>
      <c r="M10" s="18"/>
      <c r="N10" s="20"/>
      <c r="O10" s="144"/>
      <c r="P10" s="20"/>
      <c r="R10" s="20"/>
      <c r="S10" s="20"/>
      <c r="T10" s="20"/>
      <c r="U10" s="20"/>
      <c r="V10" s="20"/>
    </row>
    <row r="11" spans="1:22">
      <c r="A11" s="20"/>
      <c r="B11" s="20"/>
      <c r="C11" s="20"/>
      <c r="E11" s="18"/>
      <c r="F11" s="20"/>
      <c r="G11" s="20"/>
      <c r="H11" s="18"/>
      <c r="I11" s="18"/>
      <c r="J11" s="20"/>
      <c r="K11" s="20"/>
      <c r="M11" s="18"/>
      <c r="N11" s="20"/>
      <c r="O11" s="144"/>
      <c r="P11" s="20"/>
      <c r="R11" s="20"/>
      <c r="S11" s="20"/>
      <c r="T11" s="20"/>
      <c r="U11" s="20"/>
      <c r="V11" s="20"/>
    </row>
    <row r="12" spans="1:22">
      <c r="A12" s="20"/>
      <c r="B12" s="20"/>
      <c r="C12" s="20"/>
      <c r="E12" s="18"/>
      <c r="F12" s="20"/>
      <c r="G12" s="20"/>
      <c r="H12" s="18"/>
      <c r="I12" s="18"/>
      <c r="J12" s="20"/>
      <c r="K12" s="20"/>
      <c r="M12" s="18"/>
      <c r="N12" s="20"/>
      <c r="O12" s="144"/>
      <c r="P12" s="20"/>
      <c r="R12" s="20"/>
      <c r="S12" s="20"/>
      <c r="T12" s="20"/>
      <c r="U12" s="20"/>
      <c r="V12" s="20"/>
    </row>
    <row r="13" spans="1:22">
      <c r="A13" s="20"/>
      <c r="B13" s="20"/>
      <c r="C13" s="20"/>
      <c r="E13" s="18"/>
      <c r="F13" s="20"/>
      <c r="G13" s="20"/>
      <c r="H13" s="18"/>
      <c r="I13" s="18"/>
      <c r="J13" s="20"/>
      <c r="K13" s="20"/>
      <c r="M13" s="18"/>
      <c r="N13" s="20"/>
      <c r="O13" s="144"/>
      <c r="P13" s="20"/>
      <c r="R13" s="20"/>
      <c r="S13" s="20"/>
      <c r="T13" s="20"/>
      <c r="U13" s="20"/>
      <c r="V13" s="20"/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4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4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4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4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4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4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P3" sqref="P3"/>
    </sheetView>
  </sheetViews>
  <sheetFormatPr defaultColWidth="9" defaultRowHeight="14.25"/>
  <cols>
    <col min="1" max="2" width="11.625" style="2" customWidth="1"/>
    <col min="3" max="3" width="24.25" style="2" customWidth="1"/>
    <col min="4" max="9" width="11.625" style="2" customWidth="1"/>
    <col min="10" max="10" width="19.5" style="2" customWidth="1"/>
    <col min="11" max="13" width="11.625" style="2" customWidth="1"/>
    <col min="14" max="14" width="24" style="2" customWidth="1"/>
    <col min="15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150</v>
      </c>
      <c r="D1" s="19" t="s">
        <v>5</v>
      </c>
      <c r="E1" s="19" t="s">
        <v>151</v>
      </c>
      <c r="F1" s="19" t="s">
        <v>120</v>
      </c>
      <c r="G1" s="179" t="s">
        <v>152</v>
      </c>
      <c r="H1" s="19" t="s">
        <v>153</v>
      </c>
      <c r="I1" s="19" t="s">
        <v>154</v>
      </c>
      <c r="J1" s="19" t="s">
        <v>155</v>
      </c>
      <c r="K1" s="188" t="s">
        <v>156</v>
      </c>
      <c r="L1" s="19" t="s">
        <v>157</v>
      </c>
      <c r="M1" s="19" t="s">
        <v>145</v>
      </c>
      <c r="N1" s="19" t="s">
        <v>158</v>
      </c>
      <c r="O1" s="19" t="s">
        <v>146</v>
      </c>
      <c r="P1" s="179" t="s">
        <v>129</v>
      </c>
      <c r="Q1" s="19" t="s">
        <v>11</v>
      </c>
      <c r="R1" s="19" t="s">
        <v>159</v>
      </c>
      <c r="S1" s="19" t="s">
        <v>20</v>
      </c>
      <c r="T1" s="19" t="s">
        <v>21</v>
      </c>
      <c r="U1" s="19" t="s">
        <v>160</v>
      </c>
      <c r="V1" s="19" t="s">
        <v>22</v>
      </c>
      <c r="W1" s="163" t="s">
        <v>24</v>
      </c>
      <c r="X1" s="163" t="s">
        <v>25</v>
      </c>
    </row>
    <row r="2" spans="1:24">
      <c r="A2" s="20">
        <v>337</v>
      </c>
      <c r="B2" s="20">
        <v>9963</v>
      </c>
      <c r="C2" s="20" t="s">
        <v>161</v>
      </c>
      <c r="D2" s="20" t="s">
        <v>162</v>
      </c>
      <c r="E2" s="20"/>
      <c r="F2" s="20" t="s">
        <v>134</v>
      </c>
      <c r="G2" s="180" t="s">
        <v>163</v>
      </c>
      <c r="H2" s="20" t="s">
        <v>164</v>
      </c>
      <c r="I2" s="20" t="s">
        <v>164</v>
      </c>
      <c r="J2" s="16" t="s">
        <v>2890</v>
      </c>
      <c r="K2" s="20"/>
      <c r="L2" s="20" t="s">
        <v>164</v>
      </c>
      <c r="M2" s="20" t="s">
        <v>893</v>
      </c>
      <c r="N2" s="16" t="s">
        <v>2891</v>
      </c>
      <c r="O2" s="20" t="s">
        <v>895</v>
      </c>
      <c r="P2" s="180">
        <v>46022</v>
      </c>
      <c r="Q2" s="18" t="s">
        <v>34</v>
      </c>
      <c r="R2" s="153">
        <v>5100</v>
      </c>
      <c r="S2" s="153">
        <v>5100</v>
      </c>
      <c r="T2" s="20"/>
      <c r="U2" s="20"/>
      <c r="V2" s="20" t="s">
        <v>36</v>
      </c>
      <c r="W2" s="172">
        <v>1</v>
      </c>
      <c r="X2" s="172">
        <v>4.7440742968685497E-3</v>
      </c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141</v>
      </c>
      <c r="E1" s="19" t="s">
        <v>142</v>
      </c>
      <c r="F1" s="19" t="s">
        <v>3</v>
      </c>
      <c r="G1" s="19" t="s">
        <v>4</v>
      </c>
      <c r="H1" s="19" t="s">
        <v>143</v>
      </c>
      <c r="I1" s="19" t="s">
        <v>5</v>
      </c>
      <c r="J1" s="19" t="s">
        <v>6</v>
      </c>
      <c r="K1" s="19" t="s">
        <v>7</v>
      </c>
      <c r="L1" s="19" t="s">
        <v>144</v>
      </c>
      <c r="M1" s="19" t="s">
        <v>120</v>
      </c>
      <c r="N1" s="19" t="s">
        <v>11</v>
      </c>
      <c r="O1" s="19" t="s">
        <v>145</v>
      </c>
      <c r="P1" s="19" t="s">
        <v>146</v>
      </c>
      <c r="Q1" s="19" t="s">
        <v>129</v>
      </c>
      <c r="R1" s="19" t="s">
        <v>147</v>
      </c>
      <c r="S1" s="19" t="s">
        <v>148</v>
      </c>
      <c r="T1" s="19" t="s">
        <v>149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8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6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0"/>
  <sheetViews>
    <sheetView rightToLeft="1" topLeftCell="B1" zoomScale="70" zoomScaleNormal="70" workbookViewId="0">
      <selection activeCell="G43" sqref="G43"/>
    </sheetView>
  </sheetViews>
  <sheetFormatPr defaultColWidth="9" defaultRowHeight="14.25"/>
  <cols>
    <col min="1" max="2" width="11.625" style="2" customWidth="1"/>
    <col min="3" max="3" width="13.75" style="2" customWidth="1"/>
    <col min="4" max="18" width="11.625" style="2" customWidth="1"/>
    <col min="19" max="19" width="10.75" style="2" customWidth="1"/>
    <col min="20" max="16384" width="9" style="2"/>
  </cols>
  <sheetData>
    <row r="1" spans="1:20" ht="66.75" customHeight="1">
      <c r="A1" s="19" t="s">
        <v>0</v>
      </c>
      <c r="B1" s="19" t="s">
        <v>1</v>
      </c>
      <c r="C1" s="19" t="s">
        <v>126</v>
      </c>
      <c r="D1" s="19" t="s">
        <v>127</v>
      </c>
      <c r="E1" s="19" t="s">
        <v>5</v>
      </c>
      <c r="F1" s="19" t="s">
        <v>6</v>
      </c>
      <c r="G1" s="19" t="s">
        <v>7</v>
      </c>
      <c r="H1" s="19" t="s">
        <v>120</v>
      </c>
      <c r="I1" s="179" t="s">
        <v>128</v>
      </c>
      <c r="J1" s="19" t="s">
        <v>11</v>
      </c>
      <c r="K1" s="179" t="s">
        <v>129</v>
      </c>
      <c r="L1" s="19" t="s">
        <v>130</v>
      </c>
      <c r="M1" s="157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20">
      <c r="A2" s="20">
        <v>337</v>
      </c>
      <c r="B2" s="20">
        <v>1405</v>
      </c>
      <c r="C2" s="26" t="s">
        <v>131</v>
      </c>
      <c r="D2" s="26" t="s">
        <v>132</v>
      </c>
      <c r="E2" s="26" t="s">
        <v>133</v>
      </c>
      <c r="F2" s="18" t="s">
        <v>30</v>
      </c>
      <c r="G2" s="18" t="s">
        <v>30</v>
      </c>
      <c r="H2" s="20" t="s">
        <v>134</v>
      </c>
      <c r="I2" s="20"/>
      <c r="J2" s="18" t="s">
        <v>34</v>
      </c>
      <c r="K2" s="180" t="s">
        <v>135</v>
      </c>
      <c r="L2" s="151">
        <v>-18.489999999999998</v>
      </c>
      <c r="M2" s="173">
        <v>1</v>
      </c>
      <c r="N2" s="153">
        <v>-18.489999999999998</v>
      </c>
      <c r="O2" s="20"/>
      <c r="P2" s="18" t="s">
        <v>36</v>
      </c>
      <c r="Q2" s="172">
        <v>0.95708887623582994</v>
      </c>
      <c r="R2" s="172">
        <v>-2.0176883414728848E-3</v>
      </c>
      <c r="T2" s="146"/>
    </row>
    <row r="3" spans="1:20">
      <c r="A3" s="20">
        <v>337</v>
      </c>
      <c r="B3" s="20">
        <v>1405</v>
      </c>
      <c r="C3" s="26" t="s">
        <v>136</v>
      </c>
      <c r="D3" s="20" t="s">
        <v>137</v>
      </c>
      <c r="E3" s="26" t="s">
        <v>133</v>
      </c>
      <c r="F3" s="18" t="s">
        <v>30</v>
      </c>
      <c r="G3" s="18" t="s">
        <v>30</v>
      </c>
      <c r="H3" s="20" t="s">
        <v>134</v>
      </c>
      <c r="I3" s="20"/>
      <c r="J3" s="18" t="s">
        <v>34</v>
      </c>
      <c r="K3" s="180" t="s">
        <v>135</v>
      </c>
      <c r="L3" s="151">
        <v>0.11</v>
      </c>
      <c r="M3" s="173">
        <v>1</v>
      </c>
      <c r="N3" s="153">
        <v>0.11</v>
      </c>
      <c r="O3" s="20"/>
      <c r="P3" s="18" t="s">
        <v>36</v>
      </c>
      <c r="Q3" s="172">
        <v>-5.69387649464258E-3</v>
      </c>
      <c r="R3" s="172">
        <v>1.2003554221850588E-5</v>
      </c>
      <c r="S3" s="164"/>
      <c r="T3" s="146"/>
    </row>
    <row r="4" spans="1:20">
      <c r="A4" s="20">
        <v>337</v>
      </c>
      <c r="B4" s="20">
        <v>1405</v>
      </c>
      <c r="C4" s="26" t="s">
        <v>138</v>
      </c>
      <c r="D4" s="20" t="s">
        <v>139</v>
      </c>
      <c r="E4" s="26" t="s">
        <v>140</v>
      </c>
      <c r="F4" s="18" t="s">
        <v>30</v>
      </c>
      <c r="G4" s="18" t="s">
        <v>30</v>
      </c>
      <c r="H4" s="20" t="s">
        <v>134</v>
      </c>
      <c r="I4" s="20"/>
      <c r="J4" s="18" t="s">
        <v>34</v>
      </c>
      <c r="K4" s="180" t="s">
        <v>135</v>
      </c>
      <c r="L4" s="151">
        <v>-0.93899999999999995</v>
      </c>
      <c r="M4" s="173">
        <v>1</v>
      </c>
      <c r="N4" s="153">
        <v>-0.93899999999999995</v>
      </c>
      <c r="O4" s="20"/>
      <c r="P4" s="18" t="s">
        <v>36</v>
      </c>
      <c r="Q4" s="172">
        <v>4.8635849619326099E-2</v>
      </c>
      <c r="R4" s="172">
        <v>-1.0246670376652455E-4</v>
      </c>
      <c r="T4" s="146"/>
    </row>
    <row r="5" spans="1:20">
      <c r="A5" s="20">
        <v>337</v>
      </c>
      <c r="B5" s="20">
        <v>1477</v>
      </c>
      <c r="C5" s="26" t="s">
        <v>136</v>
      </c>
      <c r="D5" s="20" t="s">
        <v>137</v>
      </c>
      <c r="E5" s="26" t="s">
        <v>133</v>
      </c>
      <c r="F5" s="18" t="s">
        <v>30</v>
      </c>
      <c r="G5" s="18" t="s">
        <v>30</v>
      </c>
      <c r="H5" s="20" t="s">
        <v>134</v>
      </c>
      <c r="I5" s="20"/>
      <c r="J5" s="18" t="s">
        <v>34</v>
      </c>
      <c r="K5" s="180" t="s">
        <v>135</v>
      </c>
      <c r="L5" s="151">
        <v>-28.236000000000001</v>
      </c>
      <c r="M5" s="173">
        <v>1</v>
      </c>
      <c r="N5" s="153">
        <v>-28.236000000000001</v>
      </c>
      <c r="O5" s="20"/>
      <c r="P5" s="18" t="s">
        <v>36</v>
      </c>
      <c r="Q5" s="172">
        <v>1</v>
      </c>
      <c r="R5" s="172">
        <v>-1.8010972409925466E-3</v>
      </c>
      <c r="S5" s="212"/>
      <c r="T5" s="146"/>
    </row>
    <row r="6" spans="1:20">
      <c r="A6" s="20">
        <v>337</v>
      </c>
      <c r="B6" s="20">
        <v>9962</v>
      </c>
      <c r="C6" s="26" t="s">
        <v>131</v>
      </c>
      <c r="D6" s="20" t="s">
        <v>132</v>
      </c>
      <c r="E6" s="26" t="s">
        <v>133</v>
      </c>
      <c r="F6" s="18" t="s">
        <v>30</v>
      </c>
      <c r="G6" s="18" t="s">
        <v>30</v>
      </c>
      <c r="H6" s="20" t="s">
        <v>134</v>
      </c>
      <c r="I6" s="20"/>
      <c r="J6" s="18" t="s">
        <v>34</v>
      </c>
      <c r="K6" s="180" t="s">
        <v>135</v>
      </c>
      <c r="L6" s="151">
        <v>-67.454999999999998</v>
      </c>
      <c r="M6" s="173">
        <v>1</v>
      </c>
      <c r="N6" s="153">
        <v>-67.454999999999998</v>
      </c>
      <c r="O6" s="20"/>
      <c r="P6" s="18" t="s">
        <v>36</v>
      </c>
      <c r="Q6" s="172">
        <v>0.72384376006009232</v>
      </c>
      <c r="R6" s="172">
        <v>-1.7667240752159174E-3</v>
      </c>
      <c r="S6" s="151"/>
      <c r="T6" s="164"/>
    </row>
    <row r="7" spans="1:20">
      <c r="A7" s="20">
        <v>337</v>
      </c>
      <c r="B7" s="20">
        <v>9962</v>
      </c>
      <c r="C7" s="26" t="s">
        <v>136</v>
      </c>
      <c r="D7" s="20" t="s">
        <v>137</v>
      </c>
      <c r="E7" s="26" t="s">
        <v>133</v>
      </c>
      <c r="F7" s="18" t="s">
        <v>30</v>
      </c>
      <c r="G7" s="18" t="s">
        <v>30</v>
      </c>
      <c r="H7" s="20" t="s">
        <v>134</v>
      </c>
      <c r="I7" s="20"/>
      <c r="J7" s="18" t="s">
        <v>34</v>
      </c>
      <c r="K7" s="180" t="s">
        <v>135</v>
      </c>
      <c r="L7" s="151">
        <v>0.51</v>
      </c>
      <c r="M7" s="173">
        <v>1</v>
      </c>
      <c r="N7" s="153">
        <v>0.51</v>
      </c>
      <c r="O7" s="20"/>
      <c r="P7" s="18" t="s">
        <v>36</v>
      </c>
      <c r="Q7" s="172">
        <v>-5.4726902028114609E-3</v>
      </c>
      <c r="R7" s="172">
        <v>1.3357486892893305E-5</v>
      </c>
      <c r="T7" s="146"/>
    </row>
    <row r="8" spans="1:20">
      <c r="A8" s="20">
        <v>337</v>
      </c>
      <c r="B8" s="20">
        <v>9962</v>
      </c>
      <c r="C8" s="26" t="s">
        <v>138</v>
      </c>
      <c r="D8" s="20" t="s">
        <v>139</v>
      </c>
      <c r="E8" s="26" t="s">
        <v>140</v>
      </c>
      <c r="F8" s="18" t="s">
        <v>30</v>
      </c>
      <c r="G8" s="18" t="s">
        <v>30</v>
      </c>
      <c r="H8" s="20" t="s">
        <v>134</v>
      </c>
      <c r="I8" s="20"/>
      <c r="J8" s="18" t="s">
        <v>34</v>
      </c>
      <c r="K8" s="180" t="s">
        <v>135</v>
      </c>
      <c r="L8" s="151">
        <v>-26.245000000000001</v>
      </c>
      <c r="M8" s="173">
        <v>1</v>
      </c>
      <c r="N8" s="153">
        <v>-26.245000000000001</v>
      </c>
      <c r="O8" s="20"/>
      <c r="P8" s="18" t="s">
        <v>36</v>
      </c>
      <c r="Q8" s="172">
        <v>0.28164233431341001</v>
      </c>
      <c r="R8" s="172">
        <v>-6.8738675196859764E-4</v>
      </c>
      <c r="T8" s="146"/>
    </row>
    <row r="9" spans="1:20">
      <c r="A9" s="20">
        <v>337</v>
      </c>
      <c r="B9" s="20">
        <v>9963</v>
      </c>
      <c r="C9" s="26" t="s">
        <v>131</v>
      </c>
      <c r="D9" s="20" t="s">
        <v>132</v>
      </c>
      <c r="E9" s="26" t="s">
        <v>133</v>
      </c>
      <c r="F9" s="18" t="s">
        <v>30</v>
      </c>
      <c r="G9" s="18" t="s">
        <v>30</v>
      </c>
      <c r="H9" s="20" t="s">
        <v>134</v>
      </c>
      <c r="I9" s="20"/>
      <c r="J9" s="18" t="s">
        <v>34</v>
      </c>
      <c r="K9" s="180" t="s">
        <v>135</v>
      </c>
      <c r="L9" s="151">
        <v>-2403.16</v>
      </c>
      <c r="M9" s="173">
        <v>1</v>
      </c>
      <c r="N9" s="153">
        <v>-2403.16</v>
      </c>
      <c r="O9" s="20"/>
      <c r="P9" s="18" t="s">
        <v>36</v>
      </c>
      <c r="Q9" s="172">
        <v>0.93543768796063265</v>
      </c>
      <c r="R9" s="172">
        <v>-2.2485432180989169E-3</v>
      </c>
      <c r="T9" s="146"/>
    </row>
    <row r="10" spans="1:20">
      <c r="A10" s="20">
        <v>337</v>
      </c>
      <c r="B10" s="20">
        <v>9963</v>
      </c>
      <c r="C10" s="26" t="s">
        <v>136</v>
      </c>
      <c r="D10" s="20" t="s">
        <v>137</v>
      </c>
      <c r="E10" s="26" t="s">
        <v>133</v>
      </c>
      <c r="F10" s="18" t="s">
        <v>30</v>
      </c>
      <c r="G10" s="18" t="s">
        <v>30</v>
      </c>
      <c r="H10" s="20" t="s">
        <v>134</v>
      </c>
      <c r="I10" s="20"/>
      <c r="J10" s="18" t="s">
        <v>34</v>
      </c>
      <c r="K10" s="180" t="s">
        <v>135</v>
      </c>
      <c r="L10" s="151">
        <v>13.396000000000001</v>
      </c>
      <c r="M10" s="173">
        <v>1</v>
      </c>
      <c r="N10" s="153">
        <v>13.396000000000001</v>
      </c>
      <c r="O10" s="20"/>
      <c r="P10" s="18" t="s">
        <v>36</v>
      </c>
      <c r="Q10" s="172">
        <v>-5.2144356879777606E-3</v>
      </c>
      <c r="R10" s="172">
        <v>1.2534115476977434E-5</v>
      </c>
      <c r="T10" s="146"/>
    </row>
    <row r="11" spans="1:20">
      <c r="A11" s="20">
        <v>337</v>
      </c>
      <c r="B11" s="20">
        <v>9963</v>
      </c>
      <c r="C11" s="26" t="s">
        <v>138</v>
      </c>
      <c r="D11" s="20" t="s">
        <v>139</v>
      </c>
      <c r="E11" s="26" t="s">
        <v>140</v>
      </c>
      <c r="F11" s="18" t="s">
        <v>30</v>
      </c>
      <c r="G11" s="18" t="s">
        <v>30</v>
      </c>
      <c r="H11" s="20" t="s">
        <v>134</v>
      </c>
      <c r="I11" s="20"/>
      <c r="J11" s="18" t="s">
        <v>34</v>
      </c>
      <c r="K11" s="180" t="s">
        <v>135</v>
      </c>
      <c r="L11" s="151">
        <v>-179.25800000000001</v>
      </c>
      <c r="M11" s="173">
        <v>1</v>
      </c>
      <c r="N11" s="153">
        <v>-179.25800000000001</v>
      </c>
      <c r="O11" s="20"/>
      <c r="P11" s="18" t="s">
        <v>36</v>
      </c>
      <c r="Q11" s="172">
        <v>6.9776747727345281E-2</v>
      </c>
      <c r="R11" s="172">
        <v>-1.6772472918572865E-4</v>
      </c>
      <c r="T11" s="146"/>
    </row>
    <row r="12" spans="1:20">
      <c r="A12" s="20">
        <v>337</v>
      </c>
      <c r="B12" s="20">
        <v>9964</v>
      </c>
      <c r="C12" s="26" t="s">
        <v>131</v>
      </c>
      <c r="D12" s="20" t="s">
        <v>132</v>
      </c>
      <c r="E12" s="26" t="s">
        <v>133</v>
      </c>
      <c r="F12" s="18" t="s">
        <v>30</v>
      </c>
      <c r="G12" s="18" t="s">
        <v>30</v>
      </c>
      <c r="H12" s="20" t="s">
        <v>134</v>
      </c>
      <c r="I12" s="20"/>
      <c r="J12" s="18" t="s">
        <v>34</v>
      </c>
      <c r="K12" s="180" t="s">
        <v>135</v>
      </c>
      <c r="L12" s="151">
        <v>-52.845199999999998</v>
      </c>
      <c r="M12" s="173">
        <v>1</v>
      </c>
      <c r="N12" s="153">
        <v>-52.845199999999998</v>
      </c>
      <c r="O12" s="20"/>
      <c r="P12" s="18" t="s">
        <v>36</v>
      </c>
      <c r="Q12" s="172">
        <v>1.0072045010978288</v>
      </c>
      <c r="R12" s="172">
        <v>-1.44238243601978E-3</v>
      </c>
      <c r="T12" s="146"/>
    </row>
    <row r="13" spans="1:20">
      <c r="A13" s="20">
        <v>337</v>
      </c>
      <c r="B13" s="20">
        <v>9964</v>
      </c>
      <c r="C13" s="26" t="s">
        <v>136</v>
      </c>
      <c r="D13" s="20" t="s">
        <v>137</v>
      </c>
      <c r="E13" s="26" t="s">
        <v>133</v>
      </c>
      <c r="F13" s="18" t="s">
        <v>30</v>
      </c>
      <c r="G13" s="18" t="s">
        <v>30</v>
      </c>
      <c r="H13" s="20" t="s">
        <v>134</v>
      </c>
      <c r="I13" s="20"/>
      <c r="J13" s="18" t="s">
        <v>34</v>
      </c>
      <c r="K13" s="180" t="s">
        <v>135</v>
      </c>
      <c r="L13" s="151">
        <v>0.68600000000000005</v>
      </c>
      <c r="M13" s="173">
        <v>1</v>
      </c>
      <c r="N13" s="153">
        <v>0.68600000000000005</v>
      </c>
      <c r="O13" s="20"/>
      <c r="P13" s="18" t="s">
        <v>36</v>
      </c>
      <c r="Q13" s="172">
        <v>-1.3074835325689194E-2</v>
      </c>
      <c r="R13" s="172">
        <v>1.8724015636416728E-5</v>
      </c>
      <c r="T13" s="146"/>
    </row>
    <row r="14" spans="1:20">
      <c r="A14" s="20">
        <v>337</v>
      </c>
      <c r="B14" s="20">
        <v>9964</v>
      </c>
      <c r="C14" s="26" t="s">
        <v>138</v>
      </c>
      <c r="D14" s="20" t="s">
        <v>139</v>
      </c>
      <c r="E14" s="26" t="s">
        <v>140</v>
      </c>
      <c r="F14" s="18" t="s">
        <v>30</v>
      </c>
      <c r="G14" s="18" t="s">
        <v>30</v>
      </c>
      <c r="H14" s="20" t="s">
        <v>134</v>
      </c>
      <c r="I14" s="20"/>
      <c r="J14" s="18" t="s">
        <v>34</v>
      </c>
      <c r="K14" s="180" t="s">
        <v>135</v>
      </c>
      <c r="L14" s="151">
        <v>-0.308</v>
      </c>
      <c r="M14" s="173">
        <v>1</v>
      </c>
      <c r="N14" s="153">
        <v>-0.308</v>
      </c>
      <c r="O14" s="20"/>
      <c r="P14" s="18" t="s">
        <v>36</v>
      </c>
      <c r="Q14" s="172">
        <v>5.8710473731999396E-3</v>
      </c>
      <c r="R14" s="172">
        <v>-8.4067008979830195E-6</v>
      </c>
      <c r="T14" s="146"/>
    </row>
    <row r="15" spans="1:20">
      <c r="A15" s="20">
        <v>337</v>
      </c>
      <c r="B15" s="20">
        <v>15372</v>
      </c>
      <c r="C15" s="26" t="s">
        <v>136</v>
      </c>
      <c r="D15" s="20" t="s">
        <v>137</v>
      </c>
      <c r="E15" s="26" t="s">
        <v>133</v>
      </c>
      <c r="F15" s="18" t="s">
        <v>30</v>
      </c>
      <c r="G15" s="18" t="s">
        <v>30</v>
      </c>
      <c r="H15" s="20" t="s">
        <v>134</v>
      </c>
      <c r="I15" s="20"/>
      <c r="J15" s="18" t="s">
        <v>34</v>
      </c>
      <c r="K15" s="180" t="s">
        <v>135</v>
      </c>
      <c r="L15" s="151">
        <v>-11.32</v>
      </c>
      <c r="M15" s="173">
        <v>1</v>
      </c>
      <c r="N15" s="153">
        <v>-11.32</v>
      </c>
      <c r="O15" s="20"/>
      <c r="P15" s="18" t="s">
        <v>36</v>
      </c>
      <c r="Q15" s="172">
        <v>1</v>
      </c>
      <c r="R15" s="172">
        <v>-1.8311481618455128E-3</v>
      </c>
      <c r="T15" s="146"/>
    </row>
    <row r="16" spans="1:20">
      <c r="A16" s="20"/>
      <c r="B16" s="20"/>
      <c r="C16" s="26"/>
      <c r="D16" s="20"/>
      <c r="E16" s="26"/>
      <c r="F16" s="18"/>
      <c r="G16" s="18"/>
      <c r="H16" s="20"/>
      <c r="I16" s="20"/>
      <c r="J16" s="18"/>
      <c r="K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6"/>
      <c r="D17" s="20"/>
      <c r="E17" s="26"/>
      <c r="F17" s="18"/>
      <c r="G17" s="18"/>
      <c r="H17" s="20"/>
      <c r="I17" s="20"/>
      <c r="J17" s="18"/>
      <c r="K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6"/>
      <c r="D18" s="20"/>
      <c r="E18" s="26"/>
      <c r="F18" s="18"/>
      <c r="G18" s="18"/>
      <c r="H18" s="20"/>
      <c r="I18" s="20"/>
      <c r="J18" s="18"/>
      <c r="K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6"/>
      <c r="D19" s="20"/>
      <c r="E19" s="26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6"/>
      <c r="F20" s="18"/>
      <c r="G20" s="18"/>
      <c r="H20" s="20"/>
      <c r="P20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1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115</v>
      </c>
      <c r="D1" s="19" t="s">
        <v>116</v>
      </c>
      <c r="E1" s="19" t="s">
        <v>117</v>
      </c>
      <c r="F1" s="19" t="s">
        <v>118</v>
      </c>
      <c r="G1" s="19" t="s">
        <v>119</v>
      </c>
      <c r="H1" s="19" t="s">
        <v>6</v>
      </c>
      <c r="I1" s="19" t="s">
        <v>7</v>
      </c>
      <c r="J1" s="19" t="s">
        <v>120</v>
      </c>
      <c r="K1" s="19" t="s">
        <v>9</v>
      </c>
      <c r="L1" s="19" t="s">
        <v>10</v>
      </c>
      <c r="M1" s="19" t="s">
        <v>121</v>
      </c>
      <c r="N1" s="19" t="s">
        <v>11</v>
      </c>
      <c r="O1" s="19" t="s">
        <v>18</v>
      </c>
      <c r="P1" s="139" t="s">
        <v>14</v>
      </c>
      <c r="Q1" s="19" t="s">
        <v>122</v>
      </c>
      <c r="R1" s="19" t="s">
        <v>123</v>
      </c>
      <c r="S1" s="19" t="s">
        <v>124</v>
      </c>
      <c r="T1" s="19" t="s">
        <v>125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0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8"/>
  <sheetViews>
    <sheetView rightToLeft="1" zoomScale="70" zoomScaleNormal="70" workbookViewId="0">
      <selection activeCell="K16" sqref="K16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188</v>
      </c>
      <c r="E1" s="19" t="s">
        <v>189</v>
      </c>
      <c r="F1" s="19" t="s">
        <v>190</v>
      </c>
      <c r="G1" s="19" t="s">
        <v>191</v>
      </c>
      <c r="H1" s="19" t="s">
        <v>192</v>
      </c>
      <c r="I1" s="19" t="s">
        <v>193</v>
      </c>
      <c r="J1" s="19" t="s">
        <v>11</v>
      </c>
      <c r="K1" s="19" t="s">
        <v>194</v>
      </c>
      <c r="L1" s="19" t="s">
        <v>195</v>
      </c>
      <c r="M1" s="19" t="s">
        <v>196</v>
      </c>
      <c r="N1" s="19" t="s">
        <v>197</v>
      </c>
      <c r="O1" s="19" t="s">
        <v>198</v>
      </c>
      <c r="P1" s="19" t="s">
        <v>199</v>
      </c>
      <c r="Q1" s="19" t="s">
        <v>200</v>
      </c>
    </row>
    <row r="2" spans="1:22" ht="14.1" customHeight="1">
      <c r="A2" s="2">
        <v>337</v>
      </c>
      <c r="B2" s="2">
        <v>9963</v>
      </c>
      <c r="C2" s="2" t="s">
        <v>1029</v>
      </c>
      <c r="D2" s="2" t="s">
        <v>2892</v>
      </c>
      <c r="E2" s="2" t="s">
        <v>2893</v>
      </c>
      <c r="F2" s="20" t="s">
        <v>310</v>
      </c>
      <c r="G2" s="2" t="s">
        <v>2894</v>
      </c>
      <c r="H2" s="2">
        <v>62000698</v>
      </c>
      <c r="I2" s="20" t="s">
        <v>33</v>
      </c>
      <c r="J2" s="2" t="s">
        <v>84</v>
      </c>
      <c r="K2" s="214">
        <v>42793</v>
      </c>
      <c r="L2" s="2">
        <v>1200000</v>
      </c>
      <c r="M2" s="2">
        <v>4461.6000000000004</v>
      </c>
      <c r="N2" s="2">
        <v>341559.33999999991</v>
      </c>
      <c r="O2" s="2">
        <v>1269.9176261199996</v>
      </c>
      <c r="P2" s="20">
        <v>0.28463278333333319</v>
      </c>
      <c r="Q2" s="215">
        <v>46424</v>
      </c>
      <c r="R2" s="11"/>
      <c r="V2" s="18"/>
    </row>
    <row r="3" spans="1:22" ht="14.1" customHeight="1">
      <c r="A3" s="2">
        <v>337</v>
      </c>
      <c r="B3" s="2">
        <v>9963</v>
      </c>
      <c r="C3" s="2" t="s">
        <v>1028</v>
      </c>
      <c r="D3" s="2" t="s">
        <v>2895</v>
      </c>
      <c r="E3" s="2" t="s">
        <v>2896</v>
      </c>
      <c r="F3" s="20" t="s">
        <v>310</v>
      </c>
      <c r="G3" s="2" t="s">
        <v>2897</v>
      </c>
      <c r="H3" s="2">
        <v>62000073</v>
      </c>
      <c r="I3" s="20" t="s">
        <v>33</v>
      </c>
      <c r="J3" s="2" t="s">
        <v>84</v>
      </c>
      <c r="K3" s="211">
        <v>42758</v>
      </c>
      <c r="L3" s="2">
        <v>1327000</v>
      </c>
      <c r="M3" s="2">
        <v>4933.7860000000001</v>
      </c>
      <c r="N3" s="2">
        <v>67000</v>
      </c>
      <c r="O3" s="2">
        <v>249.10599999999999</v>
      </c>
      <c r="P3" s="20">
        <v>5.0489826676714394E-2</v>
      </c>
      <c r="Q3" s="215">
        <v>45655</v>
      </c>
      <c r="V3" s="18"/>
    </row>
    <row r="4" spans="1:22" ht="13.5" customHeight="1">
      <c r="A4" s="2">
        <v>337</v>
      </c>
      <c r="B4" s="2">
        <v>9963</v>
      </c>
      <c r="C4" s="2" t="s">
        <v>1026</v>
      </c>
      <c r="D4" s="2" t="s">
        <v>2898</v>
      </c>
      <c r="E4" s="2">
        <v>2030</v>
      </c>
      <c r="F4" s="20" t="s">
        <v>310</v>
      </c>
      <c r="G4" s="2" t="s">
        <v>2899</v>
      </c>
      <c r="H4" s="2">
        <v>60397874</v>
      </c>
      <c r="I4" s="20" t="s">
        <v>33</v>
      </c>
      <c r="J4" s="2" t="s">
        <v>84</v>
      </c>
      <c r="K4" s="211">
        <v>42354</v>
      </c>
      <c r="L4" s="2">
        <v>880000</v>
      </c>
      <c r="M4" s="2">
        <v>3271.84</v>
      </c>
      <c r="N4" s="2">
        <v>209626.27</v>
      </c>
      <c r="O4" s="2">
        <v>779.39047185999993</v>
      </c>
      <c r="P4" s="20">
        <v>0.23821167045454542</v>
      </c>
      <c r="Q4" s="215"/>
      <c r="V4" s="18"/>
    </row>
    <row r="5" spans="1:22" ht="13.5" customHeight="1">
      <c r="A5" s="2">
        <v>337</v>
      </c>
      <c r="B5" s="2">
        <v>9963</v>
      </c>
      <c r="C5" s="2" t="s">
        <v>1029</v>
      </c>
      <c r="D5" s="2" t="s">
        <v>2900</v>
      </c>
      <c r="E5" s="2">
        <v>540303633</v>
      </c>
      <c r="F5" s="20" t="s">
        <v>309</v>
      </c>
      <c r="G5" s="2" t="s">
        <v>2605</v>
      </c>
      <c r="H5" s="2">
        <v>62020128</v>
      </c>
      <c r="I5" s="20" t="s">
        <v>33</v>
      </c>
      <c r="J5" s="2" t="s">
        <v>84</v>
      </c>
      <c r="K5" s="211">
        <v>44581</v>
      </c>
      <c r="L5" s="2">
        <v>300000</v>
      </c>
      <c r="M5" s="2">
        <v>1115.4000000000001</v>
      </c>
      <c r="N5" s="2">
        <v>204083</v>
      </c>
      <c r="O5" s="2">
        <v>758.78059400000006</v>
      </c>
      <c r="P5" s="20">
        <v>0.68027666666666664</v>
      </c>
      <c r="Q5" s="215">
        <v>45572</v>
      </c>
      <c r="V5" s="18"/>
    </row>
    <row r="6" spans="1:22" ht="14.1" customHeight="1">
      <c r="A6" s="2">
        <v>337</v>
      </c>
      <c r="B6" s="2">
        <v>9963</v>
      </c>
      <c r="C6" s="2" t="s">
        <v>1027</v>
      </c>
      <c r="D6" s="2" t="s">
        <v>2901</v>
      </c>
      <c r="E6" s="2">
        <v>362595</v>
      </c>
      <c r="F6" s="20" t="s">
        <v>310</v>
      </c>
      <c r="G6" s="2" t="s">
        <v>2610</v>
      </c>
      <c r="H6" s="2">
        <v>62019567</v>
      </c>
      <c r="I6" s="20" t="s">
        <v>33</v>
      </c>
      <c r="J6" s="2" t="s">
        <v>84</v>
      </c>
      <c r="K6" s="211">
        <v>44481</v>
      </c>
      <c r="L6" s="2">
        <v>450000</v>
      </c>
      <c r="M6" s="2">
        <v>1673.1</v>
      </c>
      <c r="N6" s="2">
        <v>41621.999999999971</v>
      </c>
      <c r="O6" s="2">
        <v>154.75059599999992</v>
      </c>
      <c r="P6" s="20">
        <v>9.2493333333333289E-2</v>
      </c>
      <c r="Q6" s="215">
        <v>45616</v>
      </c>
      <c r="V6" s="18"/>
    </row>
    <row r="7" spans="1:22" ht="14.1" customHeight="1">
      <c r="A7" s="2">
        <v>337</v>
      </c>
      <c r="B7" s="2">
        <v>9963</v>
      </c>
      <c r="C7" s="2" t="s">
        <v>1027</v>
      </c>
      <c r="D7" s="2" t="s">
        <v>2901</v>
      </c>
      <c r="E7" s="2">
        <v>362595</v>
      </c>
      <c r="F7" s="20" t="s">
        <v>310</v>
      </c>
      <c r="G7" s="2" t="s">
        <v>2612</v>
      </c>
      <c r="H7" s="2">
        <v>62019575</v>
      </c>
      <c r="I7" s="20" t="s">
        <v>33</v>
      </c>
      <c r="J7" s="2" t="s">
        <v>84</v>
      </c>
      <c r="K7" s="211">
        <v>44481</v>
      </c>
      <c r="L7" s="2">
        <v>450000</v>
      </c>
      <c r="M7" s="2">
        <v>1673.1</v>
      </c>
      <c r="N7" s="2">
        <v>41621.999999999971</v>
      </c>
      <c r="O7" s="2">
        <v>154.75059599999992</v>
      </c>
      <c r="P7" s="20">
        <v>9.2493333333333289E-2</v>
      </c>
      <c r="Q7" s="215">
        <v>45616</v>
      </c>
      <c r="V7" s="18"/>
    </row>
    <row r="8" spans="1:22" ht="14.1" customHeight="1">
      <c r="A8" s="2">
        <v>337</v>
      </c>
      <c r="B8" s="2">
        <v>9963</v>
      </c>
      <c r="C8" s="2" t="s">
        <v>1029</v>
      </c>
      <c r="D8" s="2" t="s">
        <v>2902</v>
      </c>
      <c r="E8" s="2" t="s">
        <v>2903</v>
      </c>
      <c r="F8" s="20" t="s">
        <v>310</v>
      </c>
      <c r="G8" s="2" t="s">
        <v>2615</v>
      </c>
      <c r="H8" s="2">
        <v>62017934</v>
      </c>
      <c r="I8" s="20" t="s">
        <v>33</v>
      </c>
      <c r="J8" s="2" t="s">
        <v>84</v>
      </c>
      <c r="K8" s="211">
        <v>44262</v>
      </c>
      <c r="L8" s="2">
        <v>1000000</v>
      </c>
      <c r="M8" s="2">
        <v>3718</v>
      </c>
      <c r="N8" s="2">
        <v>199120.12</v>
      </c>
      <c r="O8" s="2">
        <v>740.32860615999994</v>
      </c>
      <c r="P8" s="20">
        <v>0.19912011999999998</v>
      </c>
      <c r="Q8" s="215">
        <v>46819</v>
      </c>
      <c r="V8" s="18"/>
    </row>
    <row r="9" spans="1:22" ht="14.1" customHeight="1">
      <c r="A9" s="2">
        <v>337</v>
      </c>
      <c r="B9" s="2">
        <v>9963</v>
      </c>
      <c r="C9" s="2" t="s">
        <v>1027</v>
      </c>
      <c r="D9" s="2" t="s">
        <v>2904</v>
      </c>
      <c r="E9" s="2">
        <v>3935</v>
      </c>
      <c r="F9" s="20" t="s">
        <v>310</v>
      </c>
      <c r="G9" s="2" t="s">
        <v>2535</v>
      </c>
      <c r="H9" s="2">
        <v>62019286</v>
      </c>
      <c r="I9" s="20" t="s">
        <v>33</v>
      </c>
      <c r="J9" s="2" t="s">
        <v>84</v>
      </c>
      <c r="K9" s="211">
        <v>44441</v>
      </c>
      <c r="L9" s="2">
        <v>950000</v>
      </c>
      <c r="M9" s="2">
        <v>3532.1</v>
      </c>
      <c r="N9" s="2">
        <v>341946.65</v>
      </c>
      <c r="O9" s="2">
        <v>1271.3576447</v>
      </c>
      <c r="P9" s="20">
        <v>0.3599438421052632</v>
      </c>
      <c r="Q9" s="215">
        <v>45987</v>
      </c>
      <c r="V9" s="18"/>
    </row>
    <row r="10" spans="1:22" ht="14.1" customHeight="1">
      <c r="A10" s="2">
        <v>337</v>
      </c>
      <c r="B10" s="2">
        <v>9963</v>
      </c>
      <c r="C10" s="2" t="s">
        <v>1028</v>
      </c>
      <c r="D10" s="2" t="s">
        <v>2905</v>
      </c>
      <c r="E10" s="2" t="s">
        <v>2906</v>
      </c>
      <c r="F10" s="20" t="s">
        <v>310</v>
      </c>
      <c r="G10" s="2" t="s">
        <v>2618</v>
      </c>
      <c r="H10" s="2">
        <v>62019765</v>
      </c>
      <c r="I10" s="20" t="s">
        <v>33</v>
      </c>
      <c r="J10" s="2" t="s">
        <v>1177</v>
      </c>
      <c r="K10" s="211">
        <v>44525</v>
      </c>
      <c r="L10" s="2">
        <v>585100</v>
      </c>
      <c r="M10" s="2">
        <v>2353.21369</v>
      </c>
      <c r="N10" s="2">
        <v>22208.000000000029</v>
      </c>
      <c r="O10" s="2">
        <v>89.318355200000113</v>
      </c>
      <c r="P10" s="20">
        <v>3.7955904973508849E-2</v>
      </c>
      <c r="Q10" s="215">
        <v>47118</v>
      </c>
      <c r="V10" s="18"/>
    </row>
    <row r="11" spans="1:22" ht="14.1" customHeight="1">
      <c r="A11" s="2">
        <v>337</v>
      </c>
      <c r="B11" s="2">
        <v>9963</v>
      </c>
      <c r="C11" s="2" t="s">
        <v>1029</v>
      </c>
      <c r="D11" s="2" t="s">
        <v>2907</v>
      </c>
      <c r="E11" s="2" t="s">
        <v>2908</v>
      </c>
      <c r="F11" s="20" t="s">
        <v>310</v>
      </c>
      <c r="G11" s="2" t="s">
        <v>2909</v>
      </c>
      <c r="H11" s="2">
        <v>62021078</v>
      </c>
      <c r="I11" s="20" t="s">
        <v>33</v>
      </c>
      <c r="J11" s="2" t="s">
        <v>84</v>
      </c>
      <c r="K11" s="211">
        <v>45099</v>
      </c>
      <c r="L11" s="2">
        <v>900000</v>
      </c>
      <c r="M11" s="2">
        <v>3346.2</v>
      </c>
      <c r="N11" s="2">
        <v>630000</v>
      </c>
      <c r="O11" s="2">
        <v>2342.34</v>
      </c>
      <c r="P11" s="2">
        <v>0.70000000000000007</v>
      </c>
      <c r="Q11" s="215">
        <v>46607</v>
      </c>
    </row>
    <row r="12" spans="1:22" ht="14.1" customHeight="1">
      <c r="A12" s="2">
        <v>337</v>
      </c>
      <c r="B12" s="2">
        <v>9963</v>
      </c>
      <c r="C12" s="2" t="s">
        <v>1028</v>
      </c>
      <c r="D12" s="2" t="s">
        <v>2910</v>
      </c>
      <c r="E12" s="2" t="s">
        <v>2911</v>
      </c>
      <c r="F12" s="20" t="s">
        <v>310</v>
      </c>
      <c r="G12" s="2" t="s">
        <v>2631</v>
      </c>
      <c r="H12" s="2">
        <v>62020359</v>
      </c>
      <c r="I12" s="20" t="s">
        <v>33</v>
      </c>
      <c r="J12" s="2" t="s">
        <v>84</v>
      </c>
      <c r="K12" s="211">
        <v>44635</v>
      </c>
      <c r="L12" s="2">
        <v>2500000</v>
      </c>
      <c r="M12" s="2">
        <v>9295</v>
      </c>
      <c r="N12" s="2">
        <v>918568</v>
      </c>
      <c r="O12" s="2">
        <v>3415.2358239999999</v>
      </c>
      <c r="P12" s="2">
        <v>0.36742720000000001</v>
      </c>
      <c r="Q12" s="215">
        <v>47208</v>
      </c>
    </row>
    <row r="13" spans="1:22" ht="14.1" customHeight="1">
      <c r="A13" s="2">
        <v>337</v>
      </c>
      <c r="B13" s="2">
        <v>9963</v>
      </c>
      <c r="C13" s="2" t="s">
        <v>1028</v>
      </c>
      <c r="D13" s="2" t="s">
        <v>2912</v>
      </c>
      <c r="E13" s="2">
        <v>516190006</v>
      </c>
      <c r="F13" s="20" t="s">
        <v>308</v>
      </c>
      <c r="G13" s="2" t="s">
        <v>2913</v>
      </c>
      <c r="H13" s="2">
        <v>62018528</v>
      </c>
      <c r="I13" s="20" t="s">
        <v>33</v>
      </c>
      <c r="J13" s="2" t="s">
        <v>1177</v>
      </c>
      <c r="K13" s="211">
        <v>44382</v>
      </c>
      <c r="L13" s="2">
        <v>580000</v>
      </c>
      <c r="M13" s="2">
        <v>2332.7019999999993</v>
      </c>
      <c r="N13" s="2">
        <v>95197.999999999956</v>
      </c>
      <c r="O13" s="2">
        <v>382.87683619999979</v>
      </c>
      <c r="P13" s="2">
        <v>0.16413448275862064</v>
      </c>
      <c r="Q13" s="215">
        <v>46939</v>
      </c>
    </row>
    <row r="14" spans="1:22" ht="14.1" customHeight="1">
      <c r="A14" s="2">
        <v>337</v>
      </c>
      <c r="B14" s="2">
        <v>9963</v>
      </c>
      <c r="C14" s="2" t="s">
        <v>1028</v>
      </c>
      <c r="D14" s="2" t="s">
        <v>2914</v>
      </c>
      <c r="E14" s="2">
        <v>515527968</v>
      </c>
      <c r="F14" s="20" t="s">
        <v>308</v>
      </c>
      <c r="G14" s="2" t="s">
        <v>2643</v>
      </c>
      <c r="H14" s="2">
        <v>62017942</v>
      </c>
      <c r="I14" s="20" t="s">
        <v>33</v>
      </c>
      <c r="J14" s="2" t="s">
        <v>1177</v>
      </c>
      <c r="K14" s="211">
        <v>44262</v>
      </c>
      <c r="L14" s="2">
        <v>1200000</v>
      </c>
      <c r="M14" s="2">
        <v>4826.2799999999988</v>
      </c>
      <c r="N14" s="2">
        <v>7401.9999999999245</v>
      </c>
      <c r="O14" s="2">
        <v>29.770103799999692</v>
      </c>
      <c r="P14" s="2">
        <v>6.1683333333332714E-3</v>
      </c>
      <c r="Q14" s="215">
        <v>45814</v>
      </c>
    </row>
    <row r="15" spans="1:22" ht="14.1" customHeight="1">
      <c r="A15" s="2">
        <v>337</v>
      </c>
      <c r="B15" s="2">
        <v>9963</v>
      </c>
      <c r="C15" s="2" t="s">
        <v>1025</v>
      </c>
      <c r="D15" s="2" t="s">
        <v>2915</v>
      </c>
      <c r="E15" s="2" t="s">
        <v>2916</v>
      </c>
      <c r="F15" s="20" t="s">
        <v>310</v>
      </c>
      <c r="G15" s="2" t="s">
        <v>2917</v>
      </c>
      <c r="H15" s="2">
        <v>62018891</v>
      </c>
      <c r="I15" s="20" t="s">
        <v>33</v>
      </c>
      <c r="J15" s="2" t="s">
        <v>1177</v>
      </c>
      <c r="K15" s="211">
        <v>44417</v>
      </c>
      <c r="L15" s="2">
        <v>1150000</v>
      </c>
      <c r="M15" s="2">
        <v>4625.1849999999995</v>
      </c>
      <c r="N15" s="2">
        <v>129731.67999999998</v>
      </c>
      <c r="O15" s="2">
        <v>521.76784379199989</v>
      </c>
      <c r="P15" s="2">
        <v>0.11281015652173912</v>
      </c>
      <c r="Q15" s="215">
        <v>46688</v>
      </c>
    </row>
    <row r="16" spans="1:22" ht="14.1" customHeight="1">
      <c r="A16" s="2">
        <v>337</v>
      </c>
      <c r="B16" s="2">
        <v>9963</v>
      </c>
      <c r="C16" s="2" t="s">
        <v>1029</v>
      </c>
      <c r="D16" s="2" t="s">
        <v>2918</v>
      </c>
      <c r="E16" s="2">
        <v>104909</v>
      </c>
      <c r="F16" s="20" t="s">
        <v>310</v>
      </c>
      <c r="G16" s="2" t="s">
        <v>2919</v>
      </c>
      <c r="H16" s="2">
        <v>62018734</v>
      </c>
      <c r="I16" s="20" t="s">
        <v>33</v>
      </c>
      <c r="J16" s="2" t="s">
        <v>84</v>
      </c>
      <c r="K16" s="211">
        <v>44403</v>
      </c>
      <c r="L16" s="2">
        <v>650000</v>
      </c>
      <c r="M16" s="2">
        <v>2416.6999999999998</v>
      </c>
      <c r="N16" s="2">
        <v>130000</v>
      </c>
      <c r="O16" s="2">
        <v>483.34</v>
      </c>
      <c r="P16" s="2">
        <v>0.2</v>
      </c>
      <c r="Q16" s="215">
        <v>46948</v>
      </c>
    </row>
    <row r="17" spans="1:17" ht="14.1" customHeight="1">
      <c r="A17" s="2">
        <v>337</v>
      </c>
      <c r="B17" s="2">
        <v>9963</v>
      </c>
      <c r="C17" s="2" t="s">
        <v>1029</v>
      </c>
      <c r="D17" s="2" t="s">
        <v>2920</v>
      </c>
      <c r="E17" s="2" t="s">
        <v>2908</v>
      </c>
      <c r="F17" s="20" t="s">
        <v>310</v>
      </c>
      <c r="G17" s="2" t="s">
        <v>2921</v>
      </c>
      <c r="H17" s="2">
        <v>62014352</v>
      </c>
      <c r="I17" s="20" t="s">
        <v>33</v>
      </c>
      <c r="J17" s="2" t="s">
        <v>84</v>
      </c>
      <c r="K17" s="211">
        <v>43765</v>
      </c>
      <c r="L17" s="2">
        <v>1000000</v>
      </c>
      <c r="M17" s="2">
        <v>3718</v>
      </c>
      <c r="N17" s="2">
        <v>225000</v>
      </c>
      <c r="O17" s="2">
        <v>836.55</v>
      </c>
      <c r="P17" s="2">
        <v>0.22499999999999998</v>
      </c>
      <c r="Q17" s="215">
        <v>47392</v>
      </c>
    </row>
    <row r="18" spans="1:17" ht="14.1" customHeight="1">
      <c r="A18" s="2">
        <v>337</v>
      </c>
      <c r="B18" s="2">
        <v>9963</v>
      </c>
      <c r="C18" s="2" t="s">
        <v>1029</v>
      </c>
      <c r="D18" s="2" t="s">
        <v>2907</v>
      </c>
      <c r="E18" s="2" t="s">
        <v>2908</v>
      </c>
      <c r="F18" s="20" t="s">
        <v>310</v>
      </c>
      <c r="G18" s="2" t="s">
        <v>2922</v>
      </c>
      <c r="H18" s="2">
        <v>62015433</v>
      </c>
      <c r="I18" s="20" t="s">
        <v>33</v>
      </c>
      <c r="J18" s="2" t="s">
        <v>84</v>
      </c>
      <c r="K18" s="211">
        <v>43865</v>
      </c>
      <c r="L18" s="2">
        <v>1750000</v>
      </c>
      <c r="M18" s="2">
        <v>6506.5</v>
      </c>
      <c r="N18" s="2">
        <v>350000</v>
      </c>
      <c r="O18" s="2">
        <v>1301.3</v>
      </c>
      <c r="P18" s="2">
        <v>0.19999999999999998</v>
      </c>
      <c r="Q18" s="215">
        <v>47392</v>
      </c>
    </row>
    <row r="19" spans="1:17" ht="14.1" customHeight="1">
      <c r="A19" s="2">
        <v>337</v>
      </c>
      <c r="B19" s="2">
        <v>9963</v>
      </c>
      <c r="C19" s="2" t="s">
        <v>1027</v>
      </c>
      <c r="D19" s="2" t="s">
        <v>2923</v>
      </c>
      <c r="E19" s="2">
        <v>6196719</v>
      </c>
      <c r="F19" s="20" t="s">
        <v>310</v>
      </c>
      <c r="G19" s="2" t="s">
        <v>2924</v>
      </c>
      <c r="H19" s="2">
        <v>62021076</v>
      </c>
      <c r="I19" s="20" t="s">
        <v>33</v>
      </c>
      <c r="J19" s="2" t="s">
        <v>84</v>
      </c>
      <c r="K19" s="211">
        <v>44938</v>
      </c>
      <c r="L19" s="2">
        <v>1000000</v>
      </c>
      <c r="M19" s="2">
        <v>3718</v>
      </c>
      <c r="N19" s="2">
        <v>150000</v>
      </c>
      <c r="O19" s="2">
        <v>557.70000000000005</v>
      </c>
      <c r="P19" s="2">
        <v>0.15000000000000002</v>
      </c>
      <c r="Q19" s="215">
        <v>46203</v>
      </c>
    </row>
    <row r="20" spans="1:17" ht="14.1" customHeight="1">
      <c r="A20" s="2">
        <v>337</v>
      </c>
      <c r="B20" s="2">
        <v>9963</v>
      </c>
      <c r="C20" s="2" t="s">
        <v>1029</v>
      </c>
      <c r="D20" s="2" t="s">
        <v>2925</v>
      </c>
      <c r="E20" s="2">
        <v>515333862</v>
      </c>
      <c r="F20" s="20" t="s">
        <v>308</v>
      </c>
      <c r="G20" s="2" t="s">
        <v>2926</v>
      </c>
      <c r="H20" s="2">
        <v>62000395</v>
      </c>
      <c r="I20" s="20" t="s">
        <v>33</v>
      </c>
      <c r="J20" s="2" t="s">
        <v>84</v>
      </c>
      <c r="K20" s="215">
        <v>42762</v>
      </c>
      <c r="L20" s="2">
        <v>1200000</v>
      </c>
      <c r="M20" s="2">
        <v>4461.6000000000004</v>
      </c>
      <c r="N20" s="2">
        <v>66000</v>
      </c>
      <c r="O20" s="2">
        <v>245.38800000000001</v>
      </c>
      <c r="P20" s="2">
        <v>5.4999999999999993E-2</v>
      </c>
      <c r="Q20" s="215">
        <v>46006</v>
      </c>
    </row>
    <row r="21" spans="1:17" ht="14.1" customHeight="1">
      <c r="A21" s="2">
        <v>337</v>
      </c>
      <c r="B21" s="2">
        <v>9963</v>
      </c>
      <c r="C21" s="2" t="s">
        <v>1029</v>
      </c>
      <c r="D21" s="2" t="s">
        <v>2927</v>
      </c>
      <c r="E21" s="2">
        <v>540285145</v>
      </c>
      <c r="F21" s="2" t="s">
        <v>309</v>
      </c>
      <c r="G21" s="2" t="s">
        <v>2546</v>
      </c>
      <c r="H21" s="2">
        <v>62018080</v>
      </c>
      <c r="I21" s="2" t="s">
        <v>33</v>
      </c>
      <c r="J21" s="2" t="s">
        <v>84</v>
      </c>
      <c r="K21" s="215">
        <v>43572</v>
      </c>
      <c r="L21" s="2">
        <v>875000</v>
      </c>
      <c r="M21" s="2">
        <v>3253.25</v>
      </c>
      <c r="N21" s="2">
        <v>268945.00000000006</v>
      </c>
      <c r="O21" s="2">
        <v>999.9375100000002</v>
      </c>
      <c r="P21" s="2">
        <v>0.30736571428571435</v>
      </c>
      <c r="Q21" s="215">
        <v>46112</v>
      </c>
    </row>
    <row r="22" spans="1:17" ht="14.1" customHeight="1">
      <c r="A22" s="2">
        <v>337</v>
      </c>
      <c r="B22" s="2">
        <v>9963</v>
      </c>
      <c r="C22" s="2" t="s">
        <v>1029</v>
      </c>
      <c r="D22" s="2" t="s">
        <v>2928</v>
      </c>
      <c r="E22" s="2" t="s">
        <v>2549</v>
      </c>
      <c r="F22" s="2" t="s">
        <v>310</v>
      </c>
      <c r="G22" s="2" t="s">
        <v>2929</v>
      </c>
      <c r="H22" s="2">
        <v>50000967</v>
      </c>
      <c r="I22" s="2" t="s">
        <v>33</v>
      </c>
      <c r="J22" s="2" t="s">
        <v>34</v>
      </c>
      <c r="K22" s="215">
        <v>43782</v>
      </c>
      <c r="L22" s="2">
        <v>3600000</v>
      </c>
      <c r="M22" s="2">
        <v>3600</v>
      </c>
      <c r="N22" s="2">
        <v>1080000</v>
      </c>
      <c r="O22" s="2">
        <v>1080</v>
      </c>
      <c r="P22" s="2">
        <v>0.3</v>
      </c>
      <c r="Q22" s="215">
        <v>46691</v>
      </c>
    </row>
    <row r="23" spans="1:17" ht="14.1" customHeight="1">
      <c r="A23" s="2">
        <v>337</v>
      </c>
      <c r="B23" s="2">
        <v>9963</v>
      </c>
      <c r="C23" s="2" t="s">
        <v>1029</v>
      </c>
      <c r="D23" s="2" t="s">
        <v>2548</v>
      </c>
      <c r="E23" s="2" t="s">
        <v>2930</v>
      </c>
      <c r="F23" s="2" t="s">
        <v>310</v>
      </c>
      <c r="G23" s="2" t="s">
        <v>2931</v>
      </c>
      <c r="H23" s="2">
        <v>50007947</v>
      </c>
      <c r="I23" s="2" t="s">
        <v>33</v>
      </c>
      <c r="J23" s="2" t="s">
        <v>34</v>
      </c>
      <c r="K23" s="215">
        <v>45039</v>
      </c>
      <c r="L23" s="2">
        <v>5000000</v>
      </c>
      <c r="M23" s="2">
        <v>5000</v>
      </c>
      <c r="N23" s="2">
        <v>3500000</v>
      </c>
      <c r="O23" s="2">
        <v>3500</v>
      </c>
      <c r="P23" s="2">
        <v>0.7</v>
      </c>
      <c r="Q23" s="215">
        <v>47923</v>
      </c>
    </row>
    <row r="24" spans="1:17" ht="14.1" customHeight="1">
      <c r="A24" s="2">
        <v>337</v>
      </c>
      <c r="B24" s="2">
        <v>9963</v>
      </c>
      <c r="C24" s="2" t="s">
        <v>1024</v>
      </c>
      <c r="D24" s="2" t="s">
        <v>2932</v>
      </c>
      <c r="E24" s="2">
        <v>4352472</v>
      </c>
      <c r="F24" s="2" t="s">
        <v>310</v>
      </c>
      <c r="G24" s="2" t="s">
        <v>2682</v>
      </c>
      <c r="H24" s="2">
        <v>62019021</v>
      </c>
      <c r="I24" s="2" t="s">
        <v>33</v>
      </c>
      <c r="J24" s="2" t="s">
        <v>84</v>
      </c>
      <c r="K24" s="216">
        <v>44431</v>
      </c>
      <c r="L24" s="2">
        <v>1500000</v>
      </c>
      <c r="M24" s="2">
        <v>5577</v>
      </c>
      <c r="N24" s="2">
        <v>503980.1</v>
      </c>
      <c r="O24" s="2">
        <v>1873.7980118</v>
      </c>
      <c r="P24" s="2">
        <v>0.33598673333333334</v>
      </c>
      <c r="Q24" s="215">
        <v>46727</v>
      </c>
    </row>
    <row r="25" spans="1:17" ht="14.1" customHeight="1">
      <c r="A25" s="2">
        <v>337</v>
      </c>
      <c r="B25" s="2">
        <v>9963</v>
      </c>
      <c r="C25" s="2" t="s">
        <v>1029</v>
      </c>
      <c r="D25" s="2" t="s">
        <v>2933</v>
      </c>
      <c r="E25" s="2">
        <v>11744</v>
      </c>
      <c r="F25" s="2" t="s">
        <v>310</v>
      </c>
      <c r="G25" s="2" t="s">
        <v>2686</v>
      </c>
      <c r="H25" s="2">
        <v>62010970</v>
      </c>
      <c r="I25" s="2" t="s">
        <v>33</v>
      </c>
      <c r="J25" s="2" t="s">
        <v>84</v>
      </c>
      <c r="K25" s="216">
        <v>43507</v>
      </c>
      <c r="L25" s="2">
        <v>1300000</v>
      </c>
      <c r="M25" s="2">
        <v>4833.3999999999996</v>
      </c>
      <c r="N25" s="2">
        <v>74467.790000000139</v>
      </c>
      <c r="O25" s="2">
        <v>276.87124322000051</v>
      </c>
      <c r="P25" s="2">
        <v>5.7282915384615496E-2</v>
      </c>
      <c r="Q25" s="215">
        <v>47119</v>
      </c>
    </row>
    <row r="26" spans="1:17" ht="14.1" customHeight="1">
      <c r="A26" s="2">
        <v>337</v>
      </c>
      <c r="B26" s="2">
        <v>9963</v>
      </c>
      <c r="C26" s="2" t="s">
        <v>1027</v>
      </c>
      <c r="D26" s="2" t="s">
        <v>2934</v>
      </c>
      <c r="E26" s="2">
        <v>6589505</v>
      </c>
      <c r="F26" s="2" t="s">
        <v>310</v>
      </c>
      <c r="G26" s="2" t="s">
        <v>2690</v>
      </c>
      <c r="H26" s="2">
        <v>62021001</v>
      </c>
      <c r="I26" s="2" t="s">
        <v>33</v>
      </c>
      <c r="J26" s="2" t="s">
        <v>84</v>
      </c>
      <c r="K26" s="216">
        <v>44887</v>
      </c>
      <c r="L26" s="2">
        <v>1000000</v>
      </c>
      <c r="M26" s="2">
        <v>3718</v>
      </c>
      <c r="N26" s="2">
        <v>445220.98</v>
      </c>
      <c r="O26" s="2">
        <v>1655.3316036399999</v>
      </c>
      <c r="P26" s="2">
        <v>0.44522097999999999</v>
      </c>
      <c r="Q26" s="215">
        <v>46608</v>
      </c>
    </row>
    <row r="27" spans="1:17" ht="14.1" customHeight="1">
      <c r="A27" s="2">
        <v>337</v>
      </c>
      <c r="B27" s="2">
        <v>9963</v>
      </c>
      <c r="C27" s="2" t="s">
        <v>1028</v>
      </c>
      <c r="D27" s="2" t="s">
        <v>2694</v>
      </c>
      <c r="E27" s="2">
        <v>6858778</v>
      </c>
      <c r="F27" s="2" t="s">
        <v>310</v>
      </c>
      <c r="G27" s="2" t="s">
        <v>2694</v>
      </c>
      <c r="H27" s="2">
        <v>62021175</v>
      </c>
      <c r="I27" s="2" t="s">
        <v>33</v>
      </c>
      <c r="J27" s="2" t="s">
        <v>84</v>
      </c>
      <c r="K27" s="215">
        <v>45057</v>
      </c>
      <c r="L27" s="2">
        <v>800000</v>
      </c>
      <c r="M27" s="2">
        <v>2974.4</v>
      </c>
      <c r="N27" s="2">
        <v>472373.88</v>
      </c>
      <c r="O27" s="2">
        <v>1756.2860858400002</v>
      </c>
      <c r="P27" s="2">
        <v>0.59046735000000006</v>
      </c>
      <c r="Q27" s="215">
        <v>45747</v>
      </c>
    </row>
    <row r="28" spans="1:17" ht="14.1" customHeight="1">
      <c r="A28" s="2">
        <v>337</v>
      </c>
      <c r="B28" s="2">
        <v>9963</v>
      </c>
      <c r="C28" s="2" t="s">
        <v>1024</v>
      </c>
      <c r="D28" s="2" t="s">
        <v>2935</v>
      </c>
      <c r="E28" s="2">
        <v>310223474</v>
      </c>
      <c r="F28" s="2" t="s">
        <v>310</v>
      </c>
      <c r="G28" s="2" t="s">
        <v>2936</v>
      </c>
      <c r="H28" s="2">
        <v>62019740</v>
      </c>
      <c r="I28" s="2" t="s">
        <v>33</v>
      </c>
      <c r="J28" s="2" t="s">
        <v>84</v>
      </c>
      <c r="K28" s="216">
        <v>44518</v>
      </c>
      <c r="L28" s="2">
        <v>1250000</v>
      </c>
      <c r="M28" s="2">
        <v>4647.5</v>
      </c>
      <c r="N28" s="2">
        <v>55302.000000000036</v>
      </c>
      <c r="O28" s="2">
        <v>205.61283600000013</v>
      </c>
      <c r="P28" s="2">
        <v>4.4241600000000027E-2</v>
      </c>
      <c r="Q28" s="215">
        <v>49041</v>
      </c>
    </row>
    <row r="29" spans="1:17" ht="14.1" customHeight="1">
      <c r="A29" s="2">
        <v>337</v>
      </c>
      <c r="B29" s="2">
        <v>9963</v>
      </c>
      <c r="C29" s="2" t="s">
        <v>1025</v>
      </c>
      <c r="D29" s="2" t="s">
        <v>2937</v>
      </c>
      <c r="E29" s="2" t="s">
        <v>2938</v>
      </c>
      <c r="F29" s="2" t="s">
        <v>310</v>
      </c>
      <c r="G29" s="2" t="s">
        <v>2709</v>
      </c>
      <c r="H29" s="2">
        <v>62021282</v>
      </c>
      <c r="I29" s="2" t="s">
        <v>33</v>
      </c>
      <c r="J29" s="2" t="s">
        <v>84</v>
      </c>
      <c r="K29" s="215">
        <v>45132</v>
      </c>
      <c r="L29" s="2">
        <v>650000</v>
      </c>
      <c r="M29" s="2">
        <v>2416.6999999999998</v>
      </c>
      <c r="N29" s="2">
        <v>242133</v>
      </c>
      <c r="O29" s="2">
        <v>900.250494</v>
      </c>
      <c r="P29" s="2">
        <v>0.3725123076923077</v>
      </c>
      <c r="Q29" s="215">
        <v>46310</v>
      </c>
    </row>
    <row r="30" spans="1:17" ht="14.1" customHeight="1">
      <c r="A30" s="2">
        <v>337</v>
      </c>
      <c r="B30" s="2">
        <v>9963</v>
      </c>
      <c r="C30" s="2" t="s">
        <v>1029</v>
      </c>
      <c r="D30" s="2" t="s">
        <v>2939</v>
      </c>
      <c r="E30" s="2">
        <v>540297413</v>
      </c>
      <c r="F30" s="2" t="s">
        <v>309</v>
      </c>
      <c r="G30" s="2" t="s">
        <v>2940</v>
      </c>
      <c r="H30" s="2">
        <v>62018569</v>
      </c>
      <c r="I30" s="2" t="s">
        <v>33</v>
      </c>
      <c r="J30" s="2" t="s">
        <v>84</v>
      </c>
      <c r="K30" s="215">
        <v>44384</v>
      </c>
      <c r="L30" s="2">
        <v>600000</v>
      </c>
      <c r="M30" s="2">
        <v>2230.8000000000002</v>
      </c>
      <c r="N30" s="2">
        <v>162506</v>
      </c>
      <c r="O30" s="2">
        <v>604.19730799999991</v>
      </c>
      <c r="P30" s="2">
        <v>0.27084333333333327</v>
      </c>
      <c r="Q30" s="215">
        <v>45549</v>
      </c>
    </row>
    <row r="31" spans="1:17" ht="14.1" customHeight="1">
      <c r="A31" s="2">
        <v>337</v>
      </c>
      <c r="B31" s="2">
        <v>9963</v>
      </c>
      <c r="C31" s="2" t="s">
        <v>1024</v>
      </c>
      <c r="D31" s="2" t="s">
        <v>2941</v>
      </c>
      <c r="E31" s="2" t="s">
        <v>2942</v>
      </c>
      <c r="F31" s="2" t="s">
        <v>310</v>
      </c>
      <c r="G31" s="2" t="s">
        <v>2943</v>
      </c>
      <c r="H31" s="2">
        <v>62014592</v>
      </c>
      <c r="I31" s="2" t="s">
        <v>33</v>
      </c>
      <c r="J31" s="2" t="s">
        <v>84</v>
      </c>
      <c r="K31" s="215">
        <v>43787</v>
      </c>
      <c r="L31" s="2">
        <v>1000000</v>
      </c>
      <c r="M31" s="2">
        <v>3718</v>
      </c>
      <c r="N31" s="2">
        <v>86750.999999999971</v>
      </c>
      <c r="O31" s="2">
        <v>322.54021799999987</v>
      </c>
      <c r="P31" s="2">
        <v>8.6750999999999967E-2</v>
      </c>
      <c r="Q31" s="215">
        <v>46997</v>
      </c>
    </row>
    <row r="32" spans="1:17" ht="14.1" customHeight="1">
      <c r="A32" s="2">
        <v>337</v>
      </c>
      <c r="B32" s="2">
        <v>9963</v>
      </c>
      <c r="C32" s="2" t="s">
        <v>1029</v>
      </c>
      <c r="D32" s="2" t="s">
        <v>2944</v>
      </c>
      <c r="E32" s="2">
        <v>111401</v>
      </c>
      <c r="F32" s="2" t="s">
        <v>310</v>
      </c>
      <c r="G32" s="2" t="s">
        <v>2945</v>
      </c>
      <c r="H32" s="2">
        <v>62018254</v>
      </c>
      <c r="I32" s="2" t="s">
        <v>33</v>
      </c>
      <c r="J32" s="2" t="s">
        <v>84</v>
      </c>
      <c r="K32" s="215">
        <v>44327</v>
      </c>
      <c r="L32" s="2">
        <v>450000</v>
      </c>
      <c r="M32" s="2">
        <v>1673.1</v>
      </c>
      <c r="N32" s="2">
        <v>67500</v>
      </c>
      <c r="O32" s="2">
        <v>250.965</v>
      </c>
      <c r="P32" s="2">
        <v>0.15000000000000002</v>
      </c>
      <c r="Q32" s="215">
        <v>45775</v>
      </c>
    </row>
    <row r="33" spans="1:17" ht="14.1" customHeight="1">
      <c r="A33" s="2">
        <v>337</v>
      </c>
      <c r="B33" s="2">
        <v>9963</v>
      </c>
      <c r="C33" s="2" t="s">
        <v>1029</v>
      </c>
      <c r="D33" s="2" t="s">
        <v>2946</v>
      </c>
      <c r="E33" s="2">
        <v>550256168</v>
      </c>
      <c r="F33" s="2" t="s">
        <v>309</v>
      </c>
      <c r="G33" s="2" t="s">
        <v>2724</v>
      </c>
      <c r="H33" s="2">
        <v>60407392</v>
      </c>
      <c r="I33" s="2" t="s">
        <v>33</v>
      </c>
      <c r="J33" s="2" t="s">
        <v>84</v>
      </c>
      <c r="K33" s="215">
        <v>42516</v>
      </c>
      <c r="L33" s="2">
        <v>425000</v>
      </c>
      <c r="M33" s="2">
        <v>1580.15</v>
      </c>
      <c r="N33" s="2">
        <v>3187.0000000000164</v>
      </c>
      <c r="O33" s="2">
        <v>11.849266000000062</v>
      </c>
      <c r="P33" s="2">
        <v>7.4988235294118034E-3</v>
      </c>
      <c r="Q33" s="215">
        <v>44469</v>
      </c>
    </row>
    <row r="34" spans="1:17" ht="14.1" customHeight="1">
      <c r="A34" s="2">
        <v>337</v>
      </c>
      <c r="B34" s="2">
        <v>9963</v>
      </c>
      <c r="C34" s="2" t="s">
        <v>1028</v>
      </c>
      <c r="D34" s="2" t="s">
        <v>2947</v>
      </c>
      <c r="E34" s="2" t="s">
        <v>2948</v>
      </c>
      <c r="F34" s="2" t="s">
        <v>310</v>
      </c>
      <c r="G34" s="2" t="s">
        <v>2726</v>
      </c>
      <c r="H34" s="2">
        <v>620211181</v>
      </c>
      <c r="I34" s="2" t="s">
        <v>33</v>
      </c>
      <c r="J34" s="2" t="s">
        <v>1180</v>
      </c>
      <c r="K34" s="215">
        <v>44950</v>
      </c>
      <c r="L34" s="2">
        <v>750000</v>
      </c>
      <c r="M34" s="2">
        <v>3608.1000000000004</v>
      </c>
      <c r="N34" s="2">
        <v>602601.15</v>
      </c>
      <c r="O34" s="2">
        <v>2898.9936124200003</v>
      </c>
      <c r="P34" s="2">
        <v>0.80346819999999997</v>
      </c>
      <c r="Q34" s="215">
        <v>45939</v>
      </c>
    </row>
    <row r="35" spans="1:17" ht="14.1" customHeight="1">
      <c r="A35" s="2">
        <v>337</v>
      </c>
      <c r="B35" s="2">
        <v>9963</v>
      </c>
      <c r="C35" s="2" t="s">
        <v>1029</v>
      </c>
      <c r="D35" s="2" t="s">
        <v>2949</v>
      </c>
      <c r="E35" s="2" t="s">
        <v>2950</v>
      </c>
      <c r="F35" s="2" t="s">
        <v>310</v>
      </c>
      <c r="G35" s="2" t="s">
        <v>2732</v>
      </c>
      <c r="H35" s="2">
        <v>62019716</v>
      </c>
      <c r="I35" s="2" t="s">
        <v>33</v>
      </c>
      <c r="J35" s="2" t="s">
        <v>1177</v>
      </c>
      <c r="K35" s="215">
        <v>44508</v>
      </c>
      <c r="L35" s="2">
        <v>650000</v>
      </c>
      <c r="M35" s="2">
        <v>2614.2349999999997</v>
      </c>
      <c r="N35" s="2">
        <v>77999.999999999942</v>
      </c>
      <c r="O35" s="2">
        <v>313.70819999999969</v>
      </c>
      <c r="P35" s="2">
        <v>0.1199999999999999</v>
      </c>
      <c r="Q35" s="215">
        <v>47066</v>
      </c>
    </row>
    <row r="36" spans="1:17" ht="14.1" customHeight="1">
      <c r="A36" s="2">
        <v>337</v>
      </c>
      <c r="B36" s="2">
        <v>9963</v>
      </c>
      <c r="C36" s="2" t="s">
        <v>1029</v>
      </c>
      <c r="D36" s="2" t="s">
        <v>2951</v>
      </c>
      <c r="E36" s="2">
        <v>107746</v>
      </c>
      <c r="F36" s="2" t="s">
        <v>310</v>
      </c>
      <c r="G36" s="2" t="s">
        <v>2734</v>
      </c>
      <c r="H36" s="2">
        <v>62018965</v>
      </c>
      <c r="I36" s="2" t="s">
        <v>33</v>
      </c>
      <c r="J36" s="2" t="s">
        <v>84</v>
      </c>
      <c r="K36" s="215">
        <v>44431</v>
      </c>
      <c r="L36" s="2">
        <v>800000</v>
      </c>
      <c r="M36" s="2">
        <v>2974.4</v>
      </c>
      <c r="N36" s="2">
        <v>140000</v>
      </c>
      <c r="O36" s="2">
        <v>520.52</v>
      </c>
      <c r="P36" s="2">
        <v>0.17499999999999999</v>
      </c>
      <c r="Q36" s="215">
        <v>46023</v>
      </c>
    </row>
    <row r="37" spans="1:17" ht="14.1" customHeight="1">
      <c r="A37" s="2">
        <v>337</v>
      </c>
      <c r="B37" s="2">
        <v>9963</v>
      </c>
      <c r="C37" s="2" t="s">
        <v>1029</v>
      </c>
      <c r="D37" s="2" t="s">
        <v>2952</v>
      </c>
      <c r="E37" s="2" t="s">
        <v>2953</v>
      </c>
      <c r="F37" s="2" t="s">
        <v>310</v>
      </c>
      <c r="G37" s="2" t="s">
        <v>2738</v>
      </c>
      <c r="H37" s="2">
        <v>62018098</v>
      </c>
      <c r="I37" s="2" t="s">
        <v>33</v>
      </c>
      <c r="J37" s="2" t="s">
        <v>84</v>
      </c>
      <c r="K37" s="215">
        <v>44286</v>
      </c>
      <c r="L37" s="2">
        <v>850000</v>
      </c>
      <c r="M37" s="2">
        <v>3160.3</v>
      </c>
      <c r="N37" s="2">
        <v>21636.189999999933</v>
      </c>
      <c r="O37" s="2">
        <v>80.44335441999975</v>
      </c>
      <c r="P37" s="2">
        <v>2.5454341176470507E-2</v>
      </c>
      <c r="Q37" s="215">
        <v>46843</v>
      </c>
    </row>
    <row r="38" spans="1:17" ht="14.1" customHeight="1">
      <c r="A38" s="2">
        <v>337</v>
      </c>
      <c r="B38" s="2">
        <v>9963</v>
      </c>
      <c r="C38" s="2" t="s">
        <v>1027</v>
      </c>
      <c r="D38" s="2" t="s">
        <v>2954</v>
      </c>
      <c r="E38" s="2">
        <v>540327830</v>
      </c>
      <c r="F38" s="2" t="s">
        <v>309</v>
      </c>
      <c r="G38" s="2" t="s">
        <v>2740</v>
      </c>
      <c r="H38" s="2">
        <v>62020938</v>
      </c>
      <c r="I38" s="2" t="s">
        <v>33</v>
      </c>
      <c r="J38" s="2" t="s">
        <v>84</v>
      </c>
      <c r="K38" s="215">
        <v>44858</v>
      </c>
      <c r="L38" s="2">
        <v>536911</v>
      </c>
      <c r="M38" s="2">
        <v>1996.2350980000001</v>
      </c>
      <c r="N38" s="2">
        <v>280428</v>
      </c>
      <c r="O38" s="2">
        <v>1042.631304</v>
      </c>
      <c r="P38" s="2">
        <v>0.52229885400001119</v>
      </c>
      <c r="Q38" s="215">
        <v>47026</v>
      </c>
    </row>
    <row r="39" spans="1:17" ht="14.1" customHeight="1">
      <c r="A39" s="2">
        <v>337</v>
      </c>
      <c r="B39" s="2">
        <v>9963</v>
      </c>
      <c r="C39" s="2" t="s">
        <v>1029</v>
      </c>
      <c r="D39" s="2" t="s">
        <v>2955</v>
      </c>
      <c r="E39" s="2">
        <v>382566</v>
      </c>
      <c r="F39" s="2" t="s">
        <v>310</v>
      </c>
      <c r="G39" s="2" t="s">
        <v>2956</v>
      </c>
      <c r="H39" s="2">
        <v>62020284</v>
      </c>
      <c r="I39" s="2" t="s">
        <v>33</v>
      </c>
      <c r="J39" s="2" t="s">
        <v>84</v>
      </c>
      <c r="K39" s="215">
        <v>44620</v>
      </c>
      <c r="L39" s="2">
        <v>750000</v>
      </c>
      <c r="M39" s="2">
        <v>2788.5</v>
      </c>
      <c r="N39" s="2">
        <v>388125</v>
      </c>
      <c r="O39" s="2">
        <v>1443.0487499999999</v>
      </c>
      <c r="P39" s="2">
        <v>0.51749999999999996</v>
      </c>
      <c r="Q39" s="215">
        <v>46739</v>
      </c>
    </row>
    <row r="40" spans="1:17" ht="14.1" customHeight="1">
      <c r="A40" s="2">
        <v>337</v>
      </c>
      <c r="B40" s="2">
        <v>9963</v>
      </c>
      <c r="C40" s="2" t="s">
        <v>1028</v>
      </c>
      <c r="D40" s="2" t="s">
        <v>2957</v>
      </c>
      <c r="E40" s="2">
        <v>550257125</v>
      </c>
      <c r="F40" s="2" t="s">
        <v>309</v>
      </c>
      <c r="G40" s="2" t="s">
        <v>2958</v>
      </c>
      <c r="H40" s="2">
        <v>50006691</v>
      </c>
      <c r="I40" s="2" t="s">
        <v>33</v>
      </c>
      <c r="J40" s="2" t="s">
        <v>34</v>
      </c>
      <c r="K40" s="215">
        <v>43801</v>
      </c>
      <c r="L40" s="2">
        <v>4800000</v>
      </c>
      <c r="M40" s="2">
        <v>4800</v>
      </c>
      <c r="N40" s="2">
        <v>1423512</v>
      </c>
      <c r="O40" s="2">
        <v>1423.5119999999999</v>
      </c>
      <c r="P40" s="2">
        <v>0.29656499999999997</v>
      </c>
      <c r="Q40" s="215">
        <v>46721</v>
      </c>
    </row>
    <row r="41" spans="1:17" ht="14.1" customHeight="1">
      <c r="A41" s="2">
        <v>337</v>
      </c>
      <c r="B41" s="2">
        <v>9963</v>
      </c>
      <c r="C41" s="2" t="s">
        <v>1024</v>
      </c>
      <c r="D41" s="2" t="s">
        <v>2959</v>
      </c>
      <c r="E41" s="2" t="s">
        <v>2960</v>
      </c>
      <c r="F41" s="2" t="s">
        <v>310</v>
      </c>
      <c r="G41" s="2" t="s">
        <v>2961</v>
      </c>
      <c r="H41" s="2">
        <v>62014261</v>
      </c>
      <c r="I41" s="2" t="s">
        <v>33</v>
      </c>
      <c r="J41" s="2" t="s">
        <v>84</v>
      </c>
      <c r="K41" s="215">
        <v>43762</v>
      </c>
      <c r="L41" s="2">
        <v>1750000</v>
      </c>
      <c r="M41" s="2">
        <v>6506.5</v>
      </c>
      <c r="N41" s="2">
        <v>511460.00000000006</v>
      </c>
      <c r="O41" s="2">
        <v>1901.6082800000001</v>
      </c>
      <c r="P41" s="2">
        <v>0.29226285714285716</v>
      </c>
      <c r="Q41" s="215">
        <v>47392</v>
      </c>
    </row>
    <row r="42" spans="1:17" ht="14.1" customHeight="1">
      <c r="A42" s="2">
        <v>337</v>
      </c>
      <c r="B42" s="2">
        <v>9963</v>
      </c>
      <c r="C42" s="2" t="s">
        <v>1029</v>
      </c>
      <c r="D42" s="2" t="s">
        <v>2962</v>
      </c>
      <c r="E42" s="2">
        <v>516445962</v>
      </c>
      <c r="F42" s="2" t="s">
        <v>308</v>
      </c>
      <c r="G42" s="2" t="s">
        <v>2574</v>
      </c>
      <c r="H42" s="2">
        <v>62020158</v>
      </c>
      <c r="I42" s="2" t="s">
        <v>33</v>
      </c>
      <c r="J42" s="2" t="s">
        <v>34</v>
      </c>
      <c r="K42" s="215">
        <v>44598</v>
      </c>
      <c r="L42" s="2">
        <v>4770559</v>
      </c>
      <c r="M42" s="2">
        <v>4770.5590000000002</v>
      </c>
      <c r="N42" s="2">
        <v>1717713</v>
      </c>
      <c r="O42" s="2">
        <v>1717.713</v>
      </c>
      <c r="P42" s="2">
        <v>0.36006535083205132</v>
      </c>
      <c r="Q42" s="215">
        <v>46284</v>
      </c>
    </row>
    <row r="43" spans="1:17" ht="14.1" customHeight="1">
      <c r="A43" s="2">
        <v>337</v>
      </c>
      <c r="B43" s="2">
        <v>9963</v>
      </c>
      <c r="C43" s="2" t="s">
        <v>1028</v>
      </c>
      <c r="D43" s="2" t="s">
        <v>2963</v>
      </c>
      <c r="E43" s="2">
        <v>0</v>
      </c>
      <c r="F43" s="2" t="s">
        <v>310</v>
      </c>
      <c r="G43" s="2" t="s">
        <v>2964</v>
      </c>
      <c r="H43" s="2">
        <v>9840688</v>
      </c>
      <c r="I43" s="2" t="s">
        <v>33</v>
      </c>
      <c r="J43" s="2" t="s">
        <v>1177</v>
      </c>
      <c r="K43" s="215">
        <v>41988</v>
      </c>
      <c r="L43" s="2">
        <v>500000</v>
      </c>
      <c r="M43" s="2">
        <v>2010.9499999999998</v>
      </c>
      <c r="N43" s="2">
        <v>45000.000000000007</v>
      </c>
      <c r="O43" s="2">
        <v>180.9855</v>
      </c>
      <c r="P43" s="2">
        <v>9.0000000000000011E-2</v>
      </c>
      <c r="Q43" s="215"/>
    </row>
    <row r="44" spans="1:17" ht="14.1" customHeight="1">
      <c r="A44" s="2">
        <v>337</v>
      </c>
      <c r="B44" s="2">
        <v>9963</v>
      </c>
      <c r="C44" s="2" t="s">
        <v>1029</v>
      </c>
      <c r="D44" s="2" t="s">
        <v>2965</v>
      </c>
      <c r="E44" s="2">
        <v>540294501</v>
      </c>
      <c r="F44" s="2" t="s">
        <v>309</v>
      </c>
      <c r="G44" s="2" t="s">
        <v>2966</v>
      </c>
      <c r="H44" s="2">
        <v>62017520</v>
      </c>
      <c r="I44" s="2" t="s">
        <v>33</v>
      </c>
      <c r="J44" s="2" t="s">
        <v>84</v>
      </c>
      <c r="K44" s="215">
        <v>44117</v>
      </c>
      <c r="L44" s="2">
        <v>1200000</v>
      </c>
      <c r="M44" s="2">
        <v>4461.6000000000004</v>
      </c>
      <c r="N44" s="2">
        <v>168000</v>
      </c>
      <c r="O44" s="2">
        <v>624.62400000000002</v>
      </c>
      <c r="P44" s="2">
        <v>0.13999999999999999</v>
      </c>
      <c r="Q44" s="215">
        <v>46996</v>
      </c>
    </row>
    <row r="45" spans="1:17" ht="14.1" customHeight="1">
      <c r="A45" s="2">
        <v>337</v>
      </c>
      <c r="B45" s="2">
        <v>9963</v>
      </c>
      <c r="C45" s="2" t="s">
        <v>1025</v>
      </c>
      <c r="D45" s="2" t="s">
        <v>2967</v>
      </c>
      <c r="E45" s="2">
        <v>1987624</v>
      </c>
      <c r="F45" s="2" t="s">
        <v>310</v>
      </c>
      <c r="G45" s="2" t="s">
        <v>2602</v>
      </c>
      <c r="I45" s="2" t="s">
        <v>33</v>
      </c>
      <c r="J45" s="2" t="s">
        <v>84</v>
      </c>
      <c r="K45" s="215">
        <v>45107</v>
      </c>
      <c r="L45" s="2">
        <v>850000</v>
      </c>
      <c r="M45" s="2">
        <v>3160.3</v>
      </c>
      <c r="N45" s="2">
        <v>850000</v>
      </c>
      <c r="O45" s="2">
        <v>3160.3</v>
      </c>
      <c r="P45" s="2">
        <v>1</v>
      </c>
      <c r="Q45" s="215">
        <v>47299</v>
      </c>
    </row>
    <row r="46" spans="1:17" ht="14.1" customHeight="1">
      <c r="A46" s="2">
        <v>337</v>
      </c>
      <c r="B46" s="2">
        <v>9963</v>
      </c>
      <c r="C46" s="2" t="s">
        <v>1026</v>
      </c>
      <c r="D46" s="2" t="s">
        <v>2968</v>
      </c>
      <c r="E46" s="2">
        <v>530225416</v>
      </c>
      <c r="F46" s="2" t="s">
        <v>308</v>
      </c>
      <c r="G46" s="2" t="s">
        <v>2969</v>
      </c>
      <c r="H46" s="2">
        <v>50008341</v>
      </c>
      <c r="I46" s="2" t="s">
        <v>33</v>
      </c>
      <c r="J46" s="2" t="s">
        <v>34</v>
      </c>
      <c r="K46" s="215">
        <v>45652</v>
      </c>
      <c r="L46" s="2">
        <v>2600000</v>
      </c>
      <c r="M46" s="2">
        <v>2600</v>
      </c>
      <c r="N46" s="2">
        <v>2600000</v>
      </c>
      <c r="O46" s="2">
        <v>2600</v>
      </c>
      <c r="P46" s="2">
        <v>1</v>
      </c>
      <c r="Q46" s="215"/>
    </row>
    <row r="47" spans="1:17" ht="14.1" customHeight="1">
      <c r="A47" s="2">
        <v>337</v>
      </c>
      <c r="B47" s="2">
        <v>9962</v>
      </c>
      <c r="C47" s="2" t="s">
        <v>1027</v>
      </c>
      <c r="D47" s="2" t="s">
        <v>2904</v>
      </c>
      <c r="E47" s="2">
        <v>3935</v>
      </c>
      <c r="F47" s="2" t="s">
        <v>310</v>
      </c>
      <c r="G47" s="2" t="s">
        <v>2535</v>
      </c>
      <c r="H47" s="2">
        <v>62019286</v>
      </c>
      <c r="I47" s="2" t="s">
        <v>33</v>
      </c>
      <c r="J47" s="2" t="s">
        <v>84</v>
      </c>
      <c r="K47" s="215">
        <v>44441</v>
      </c>
      <c r="L47" s="2">
        <v>20000</v>
      </c>
      <c r="M47" s="2">
        <v>74.36</v>
      </c>
      <c r="N47" s="2">
        <v>7199.63</v>
      </c>
      <c r="O47" s="2">
        <v>26.768000000000001</v>
      </c>
      <c r="P47" s="2">
        <v>0.35997848305540614</v>
      </c>
      <c r="Q47" s="215">
        <v>45987</v>
      </c>
    </row>
    <row r="48" spans="1:17" ht="14.1" customHeight="1">
      <c r="A48" s="2">
        <v>337</v>
      </c>
      <c r="B48" s="2">
        <v>9964</v>
      </c>
      <c r="C48" s="2" t="s">
        <v>1027</v>
      </c>
      <c r="D48" s="2" t="s">
        <v>2904</v>
      </c>
      <c r="E48" s="2">
        <v>3935</v>
      </c>
      <c r="F48" s="2" t="s">
        <v>310</v>
      </c>
      <c r="G48" s="2" t="s">
        <v>2535</v>
      </c>
      <c r="H48" s="2">
        <v>62019286</v>
      </c>
      <c r="I48" s="2" t="s">
        <v>33</v>
      </c>
      <c r="J48" s="2" t="s">
        <v>84</v>
      </c>
      <c r="K48" s="215">
        <v>44441</v>
      </c>
      <c r="L48" s="2">
        <v>30000</v>
      </c>
      <c r="M48" s="2">
        <v>111.54</v>
      </c>
      <c r="N48" s="2">
        <v>10798.45</v>
      </c>
      <c r="O48" s="2">
        <v>40.148000000000003</v>
      </c>
      <c r="P48" s="2">
        <v>0.35994262148108302</v>
      </c>
      <c r="Q48" s="215">
        <v>45987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49" customFormat="1" ht="45">
      <c r="A1" s="48" t="s">
        <v>201</v>
      </c>
      <c r="B1" s="48" t="s">
        <v>202</v>
      </c>
      <c r="C1" s="48" t="s">
        <v>203</v>
      </c>
      <c r="D1" s="48" t="s">
        <v>204</v>
      </c>
    </row>
    <row r="2" spans="1:5">
      <c r="A2" s="83"/>
      <c r="B2" s="83" t="s">
        <v>205</v>
      </c>
      <c r="C2" s="21" t="s">
        <v>30</v>
      </c>
      <c r="D2" s="21"/>
    </row>
    <row r="3" spans="1:5">
      <c r="A3" s="84"/>
      <c r="B3" s="84"/>
      <c r="C3" s="21" t="s">
        <v>79</v>
      </c>
      <c r="D3" s="21"/>
    </row>
    <row r="4" spans="1:5" ht="42.75">
      <c r="A4" s="76"/>
      <c r="B4" s="97" t="s">
        <v>206</v>
      </c>
      <c r="C4" s="22" t="s">
        <v>30</v>
      </c>
      <c r="D4" s="22"/>
    </row>
    <row r="5" spans="1:5">
      <c r="A5" s="77"/>
      <c r="B5" s="98"/>
      <c r="C5" s="22" t="s">
        <v>207</v>
      </c>
      <c r="D5" s="22"/>
    </row>
    <row r="6" spans="1:5">
      <c r="A6" s="77"/>
      <c r="B6" s="98"/>
      <c r="C6" s="22" t="s">
        <v>208</v>
      </c>
      <c r="D6" s="22"/>
    </row>
    <row r="7" spans="1:5">
      <c r="A7" s="77"/>
      <c r="B7" s="98"/>
      <c r="C7" s="22" t="s">
        <v>209</v>
      </c>
      <c r="D7" s="22"/>
    </row>
    <row r="8" spans="1:5">
      <c r="A8" s="77"/>
      <c r="B8" s="98"/>
      <c r="C8" s="22" t="s">
        <v>210</v>
      </c>
      <c r="D8" s="22"/>
    </row>
    <row r="9" spans="1:5">
      <c r="A9" s="77"/>
      <c r="B9" s="98"/>
      <c r="C9" s="22" t="s">
        <v>211</v>
      </c>
      <c r="D9" s="22"/>
    </row>
    <row r="10" spans="1:5">
      <c r="A10" s="77"/>
      <c r="B10" s="98"/>
      <c r="C10" s="22" t="s">
        <v>212</v>
      </c>
      <c r="D10" s="22"/>
    </row>
    <row r="11" spans="1:5">
      <c r="A11" s="77"/>
      <c r="B11" s="98"/>
      <c r="C11" s="22" t="s">
        <v>213</v>
      </c>
      <c r="D11" s="22"/>
      <c r="E11" t="s">
        <v>214</v>
      </c>
    </row>
    <row r="12" spans="1:5">
      <c r="A12" s="77"/>
      <c r="B12" s="98"/>
      <c r="C12" s="22" t="s">
        <v>215</v>
      </c>
      <c r="D12" s="22"/>
      <c r="E12" t="s">
        <v>214</v>
      </c>
    </row>
    <row r="13" spans="1:5">
      <c r="A13" s="77"/>
      <c r="B13" s="98"/>
      <c r="C13" s="22" t="s">
        <v>216</v>
      </c>
      <c r="D13" s="22"/>
    </row>
    <row r="14" spans="1:5">
      <c r="A14" s="77"/>
      <c r="B14" s="98"/>
      <c r="C14" s="22" t="s">
        <v>217</v>
      </c>
      <c r="D14" s="22"/>
    </row>
    <row r="15" spans="1:5">
      <c r="A15" s="77"/>
      <c r="B15" s="98"/>
      <c r="C15" s="22" t="s">
        <v>218</v>
      </c>
      <c r="D15" s="22"/>
    </row>
    <row r="16" spans="1:5">
      <c r="A16" s="77"/>
      <c r="B16" s="98"/>
      <c r="C16" s="22" t="s">
        <v>219</v>
      </c>
      <c r="D16" s="22"/>
    </row>
    <row r="17" spans="1:4">
      <c r="A17" s="77"/>
      <c r="B17" s="98"/>
      <c r="C17" s="22" t="s">
        <v>220</v>
      </c>
      <c r="D17" s="22"/>
    </row>
    <row r="18" spans="1:4">
      <c r="A18" s="77"/>
      <c r="B18" s="98"/>
      <c r="C18" s="22" t="s">
        <v>221</v>
      </c>
      <c r="D18" s="22"/>
    </row>
    <row r="19" spans="1:4">
      <c r="A19" s="77"/>
      <c r="B19" s="98"/>
      <c r="C19" s="22" t="s">
        <v>222</v>
      </c>
      <c r="D19" s="22"/>
    </row>
    <row r="20" spans="1:4">
      <c r="A20" s="77"/>
      <c r="B20" s="98"/>
      <c r="C20" s="22" t="s">
        <v>223</v>
      </c>
      <c r="D20" s="22"/>
    </row>
    <row r="21" spans="1:4">
      <c r="A21" s="77"/>
      <c r="B21" s="98"/>
      <c r="C21" s="22" t="s">
        <v>80</v>
      </c>
      <c r="D21" s="22"/>
    </row>
    <row r="22" spans="1:4">
      <c r="A22" s="77"/>
      <c r="B22" s="98"/>
      <c r="C22" s="22" t="s">
        <v>224</v>
      </c>
      <c r="D22" s="22"/>
    </row>
    <row r="23" spans="1:4">
      <c r="A23" s="77"/>
      <c r="B23" s="98"/>
      <c r="C23" s="22" t="s">
        <v>225</v>
      </c>
      <c r="D23" s="22"/>
    </row>
    <row r="24" spans="1:4">
      <c r="A24" s="77"/>
      <c r="B24" s="98"/>
      <c r="C24" s="22" t="s">
        <v>226</v>
      </c>
      <c r="D24" s="22"/>
    </row>
    <row r="25" spans="1:4">
      <c r="A25" s="77"/>
      <c r="B25" s="98"/>
      <c r="C25" s="22" t="s">
        <v>227</v>
      </c>
      <c r="D25" s="22"/>
    </row>
    <row r="26" spans="1:4">
      <c r="A26" s="77"/>
      <c r="B26" s="98"/>
      <c r="C26" s="22" t="s">
        <v>228</v>
      </c>
      <c r="D26" s="22"/>
    </row>
    <row r="27" spans="1:4">
      <c r="A27" s="77"/>
      <c r="B27" s="98"/>
      <c r="C27" s="22" t="s">
        <v>229</v>
      </c>
      <c r="D27" s="22"/>
    </row>
    <row r="28" spans="1:4">
      <c r="A28" s="77"/>
      <c r="B28" s="98"/>
      <c r="C28" s="22" t="s">
        <v>230</v>
      </c>
      <c r="D28" s="22"/>
    </row>
    <row r="29" spans="1:4">
      <c r="A29" s="77"/>
      <c r="B29" s="98"/>
      <c r="C29" s="22" t="s">
        <v>231</v>
      </c>
      <c r="D29" s="22"/>
    </row>
    <row r="30" spans="1:4">
      <c r="A30" s="77"/>
      <c r="B30" s="98"/>
      <c r="C30" s="22" t="s">
        <v>232</v>
      </c>
      <c r="D30" s="22"/>
    </row>
    <row r="31" spans="1:4">
      <c r="A31" s="77"/>
      <c r="B31" s="98"/>
      <c r="C31" s="22" t="s">
        <v>233</v>
      </c>
      <c r="D31" s="22"/>
    </row>
    <row r="32" spans="1:4">
      <c r="A32" s="77"/>
      <c r="B32" s="98"/>
      <c r="C32" s="22" t="s">
        <v>234</v>
      </c>
      <c r="D32" s="22"/>
    </row>
    <row r="33" spans="1:5">
      <c r="A33" s="77"/>
      <c r="B33" s="98"/>
      <c r="C33" s="22" t="s">
        <v>235</v>
      </c>
      <c r="D33" s="22"/>
    </row>
    <row r="34" spans="1:5">
      <c r="A34" s="77"/>
      <c r="B34" s="98"/>
      <c r="C34" s="22" t="s">
        <v>236</v>
      </c>
      <c r="D34" s="22"/>
    </row>
    <row r="35" spans="1:5">
      <c r="A35" s="77"/>
      <c r="B35" s="98"/>
      <c r="C35" s="22" t="s">
        <v>237</v>
      </c>
      <c r="D35" s="22"/>
    </row>
    <row r="36" spans="1:5">
      <c r="A36" s="77"/>
      <c r="B36" s="98"/>
      <c r="C36" s="22" t="s">
        <v>238</v>
      </c>
      <c r="D36" s="22"/>
      <c r="E36" t="s">
        <v>214</v>
      </c>
    </row>
    <row r="37" spans="1:5">
      <c r="A37" s="77"/>
      <c r="B37" s="98"/>
      <c r="C37" s="11" t="s">
        <v>239</v>
      </c>
      <c r="D37" s="22"/>
      <c r="E37" t="s">
        <v>214</v>
      </c>
    </row>
    <row r="38" spans="1:5">
      <c r="A38" s="77"/>
      <c r="B38" s="98"/>
      <c r="C38" s="22" t="s">
        <v>240</v>
      </c>
      <c r="D38" s="22"/>
    </row>
    <row r="39" spans="1:5">
      <c r="A39" s="77"/>
      <c r="B39" s="98"/>
      <c r="C39" s="22" t="s">
        <v>241</v>
      </c>
      <c r="D39" s="22"/>
    </row>
    <row r="40" spans="1:5">
      <c r="A40" s="77"/>
      <c r="B40" s="98"/>
      <c r="C40" s="22" t="s">
        <v>242</v>
      </c>
      <c r="D40" s="22"/>
      <c r="E40" t="s">
        <v>214</v>
      </c>
    </row>
    <row r="41" spans="1:5">
      <c r="A41" s="77"/>
      <c r="B41" s="98"/>
      <c r="C41" s="22" t="s">
        <v>243</v>
      </c>
      <c r="D41" s="22"/>
    </row>
    <row r="42" spans="1:5">
      <c r="A42" s="77"/>
      <c r="B42" s="98"/>
      <c r="C42" s="22" t="s">
        <v>244</v>
      </c>
      <c r="D42" s="22"/>
    </row>
    <row r="43" spans="1:5">
      <c r="A43" s="77"/>
      <c r="B43" s="98"/>
      <c r="C43" s="22" t="s">
        <v>245</v>
      </c>
      <c r="D43" s="22"/>
    </row>
    <row r="44" spans="1:5">
      <c r="A44" s="77"/>
      <c r="B44" s="98"/>
      <c r="C44" s="22" t="s">
        <v>246</v>
      </c>
      <c r="D44" s="22"/>
    </row>
    <row r="45" spans="1:5">
      <c r="A45" s="77"/>
      <c r="B45" s="98"/>
      <c r="C45" s="22" t="s">
        <v>247</v>
      </c>
      <c r="D45" s="22"/>
    </row>
    <row r="46" spans="1:5">
      <c r="A46" s="77"/>
      <c r="B46" s="98"/>
      <c r="C46" s="22" t="s">
        <v>248</v>
      </c>
      <c r="D46" s="22"/>
      <c r="E46" t="s">
        <v>214</v>
      </c>
    </row>
    <row r="47" spans="1:5">
      <c r="A47" s="77"/>
      <c r="B47" s="98"/>
      <c r="C47" s="22" t="s">
        <v>249</v>
      </c>
      <c r="D47" s="22"/>
    </row>
    <row r="48" spans="1:5">
      <c r="A48" s="77"/>
      <c r="B48" s="98"/>
      <c r="C48" s="22" t="s">
        <v>250</v>
      </c>
      <c r="D48" s="22"/>
    </row>
    <row r="49" spans="1:5">
      <c r="A49" s="77"/>
      <c r="B49" s="98"/>
      <c r="C49" s="22" t="s">
        <v>251</v>
      </c>
      <c r="D49" s="22"/>
    </row>
    <row r="50" spans="1:5">
      <c r="A50" s="77"/>
      <c r="B50" s="98"/>
      <c r="C50" s="22" t="s">
        <v>252</v>
      </c>
      <c r="D50" s="22"/>
    </row>
    <row r="51" spans="1:5">
      <c r="A51" s="77"/>
      <c r="B51" s="98"/>
      <c r="C51" s="22" t="s">
        <v>253</v>
      </c>
      <c r="D51" s="22"/>
    </row>
    <row r="52" spans="1:5">
      <c r="A52" s="77"/>
      <c r="B52" s="98"/>
      <c r="C52" s="22" t="s">
        <v>254</v>
      </c>
      <c r="D52" s="22"/>
    </row>
    <row r="53" spans="1:5">
      <c r="A53" s="77"/>
      <c r="B53" s="98"/>
      <c r="C53" s="22" t="s">
        <v>255</v>
      </c>
      <c r="D53" s="22"/>
    </row>
    <row r="54" spans="1:5">
      <c r="A54" s="77"/>
      <c r="B54" s="98"/>
      <c r="C54" s="22" t="s">
        <v>256</v>
      </c>
      <c r="D54" s="22"/>
    </row>
    <row r="55" spans="1:5">
      <c r="A55" s="77"/>
      <c r="B55" s="98"/>
      <c r="C55" s="22" t="s">
        <v>257</v>
      </c>
      <c r="D55" s="22"/>
    </row>
    <row r="56" spans="1:5">
      <c r="A56" s="77"/>
      <c r="B56" s="98"/>
      <c r="C56" s="22" t="s">
        <v>258</v>
      </c>
      <c r="D56" s="22"/>
    </row>
    <row r="57" spans="1:5">
      <c r="A57" s="77"/>
      <c r="B57" s="98"/>
      <c r="C57" s="22" t="s">
        <v>259</v>
      </c>
      <c r="D57" s="22"/>
    </row>
    <row r="58" spans="1:5">
      <c r="A58" s="77"/>
      <c r="B58" s="98"/>
      <c r="C58" s="22" t="s">
        <v>260</v>
      </c>
      <c r="D58" s="22"/>
    </row>
    <row r="59" spans="1:5">
      <c r="A59" s="77"/>
      <c r="B59" s="98"/>
      <c r="C59" s="22" t="s">
        <v>261</v>
      </c>
      <c r="D59" s="22"/>
    </row>
    <row r="60" spans="1:5">
      <c r="A60" s="77"/>
      <c r="B60" s="98"/>
      <c r="C60" s="22" t="s">
        <v>262</v>
      </c>
      <c r="D60" s="22"/>
    </row>
    <row r="61" spans="1:5">
      <c r="A61" s="77"/>
      <c r="B61" s="98"/>
      <c r="C61" s="22" t="s">
        <v>263</v>
      </c>
      <c r="D61" s="22"/>
    </row>
    <row r="62" spans="1:5">
      <c r="A62" s="77"/>
      <c r="B62" s="98"/>
      <c r="C62" s="22" t="s">
        <v>264</v>
      </c>
      <c r="D62" s="22"/>
    </row>
    <row r="63" spans="1:5">
      <c r="A63" s="77"/>
      <c r="B63" s="98"/>
      <c r="C63" s="22" t="s">
        <v>265</v>
      </c>
      <c r="D63" s="22"/>
      <c r="E63" t="s">
        <v>214</v>
      </c>
    </row>
    <row r="64" spans="1:5">
      <c r="A64" s="77"/>
      <c r="B64" s="98"/>
      <c r="C64" s="22" t="s">
        <v>266</v>
      </c>
      <c r="D64" s="22"/>
    </row>
    <row r="65" spans="1:4">
      <c r="A65" s="77"/>
      <c r="B65" s="98"/>
      <c r="C65" s="22" t="s">
        <v>267</v>
      </c>
      <c r="D65" s="22"/>
    </row>
    <row r="66" spans="1:4">
      <c r="A66" s="77"/>
      <c r="B66" s="98"/>
      <c r="C66" s="22" t="s">
        <v>268</v>
      </c>
      <c r="D66" s="22"/>
    </row>
    <row r="67" spans="1:4">
      <c r="A67" s="77"/>
      <c r="B67" s="98"/>
      <c r="C67" s="22" t="s">
        <v>269</v>
      </c>
      <c r="D67" s="22"/>
    </row>
    <row r="68" spans="1:4">
      <c r="A68" s="77"/>
      <c r="B68" s="98"/>
      <c r="C68" s="22" t="s">
        <v>270</v>
      </c>
      <c r="D68" s="22"/>
    </row>
    <row r="69" spans="1:4">
      <c r="A69" s="77"/>
      <c r="B69" s="98"/>
      <c r="C69" s="22" t="s">
        <v>271</v>
      </c>
      <c r="D69" s="22"/>
    </row>
    <row r="70" spans="1:4">
      <c r="A70" s="77"/>
      <c r="B70" s="98"/>
      <c r="C70" s="22" t="s">
        <v>272</v>
      </c>
      <c r="D70" s="22"/>
    </row>
    <row r="71" spans="1:4">
      <c r="A71" s="77"/>
      <c r="B71" s="98"/>
      <c r="C71" s="22" t="s">
        <v>273</v>
      </c>
      <c r="D71" s="22"/>
    </row>
    <row r="72" spans="1:4">
      <c r="A72" s="77"/>
      <c r="B72" s="98"/>
      <c r="C72" s="22" t="s">
        <v>274</v>
      </c>
      <c r="D72" s="22"/>
    </row>
    <row r="73" spans="1:4">
      <c r="A73" s="77"/>
      <c r="B73" s="98"/>
      <c r="C73" s="22" t="s">
        <v>275</v>
      </c>
      <c r="D73" s="22"/>
    </row>
    <row r="74" spans="1:4">
      <c r="A74" s="77"/>
      <c r="B74" s="98"/>
      <c r="C74" s="22" t="s">
        <v>276</v>
      </c>
      <c r="D74" s="22"/>
    </row>
    <row r="75" spans="1:4">
      <c r="A75" s="77"/>
      <c r="B75" s="98"/>
      <c r="C75" s="22" t="s">
        <v>277</v>
      </c>
      <c r="D75" s="22"/>
    </row>
    <row r="76" spans="1:4">
      <c r="A76" s="77"/>
      <c r="B76" s="98"/>
      <c r="C76" s="22" t="s">
        <v>278</v>
      </c>
      <c r="D76" s="22"/>
    </row>
    <row r="77" spans="1:4">
      <c r="A77" s="77"/>
      <c r="B77" s="98"/>
      <c r="C77" s="22" t="s">
        <v>279</v>
      </c>
      <c r="D77" s="22"/>
    </row>
    <row r="78" spans="1:4">
      <c r="A78" s="77"/>
      <c r="B78" s="98"/>
      <c r="C78" s="22" t="s">
        <v>280</v>
      </c>
      <c r="D78" s="22"/>
    </row>
    <row r="79" spans="1:4">
      <c r="A79" s="77"/>
      <c r="B79" s="98"/>
      <c r="C79" s="22" t="s">
        <v>281</v>
      </c>
      <c r="D79" s="22"/>
    </row>
    <row r="80" spans="1:4">
      <c r="A80" s="77"/>
      <c r="B80" s="98"/>
      <c r="C80" s="22" t="s">
        <v>282</v>
      </c>
      <c r="D80" s="22"/>
    </row>
    <row r="81" spans="1:5">
      <c r="A81" s="77"/>
      <c r="B81" s="98"/>
      <c r="C81" s="22" t="s">
        <v>283</v>
      </c>
      <c r="D81" s="22"/>
    </row>
    <row r="82" spans="1:5">
      <c r="A82" s="77"/>
      <c r="B82" s="98"/>
      <c r="C82" s="22" t="s">
        <v>284</v>
      </c>
      <c r="D82" s="22"/>
    </row>
    <row r="83" spans="1:5">
      <c r="A83" s="77"/>
      <c r="B83" s="98"/>
      <c r="C83" s="22" t="s">
        <v>285</v>
      </c>
      <c r="D83" s="22"/>
    </row>
    <row r="84" spans="1:5">
      <c r="A84" s="77"/>
      <c r="B84" s="98"/>
      <c r="C84" s="22" t="s">
        <v>286</v>
      </c>
      <c r="D84" s="22"/>
    </row>
    <row r="85" spans="1:5">
      <c r="A85" s="77"/>
      <c r="B85" s="98"/>
      <c r="C85" s="22" t="s">
        <v>287</v>
      </c>
      <c r="D85" s="22"/>
    </row>
    <row r="86" spans="1:5">
      <c r="A86" s="77"/>
      <c r="B86" s="98"/>
      <c r="C86" s="22" t="s">
        <v>288</v>
      </c>
      <c r="D86" s="22"/>
    </row>
    <row r="87" spans="1:5">
      <c r="A87" s="77"/>
      <c r="B87" s="98"/>
      <c r="C87" s="22" t="s">
        <v>289</v>
      </c>
      <c r="D87" s="22"/>
    </row>
    <row r="88" spans="1:5">
      <c r="A88" s="77"/>
      <c r="B88" s="98"/>
      <c r="C88" s="22" t="s">
        <v>290</v>
      </c>
      <c r="D88" s="22"/>
    </row>
    <row r="89" spans="1:5">
      <c r="A89" s="77"/>
      <c r="B89" s="98"/>
      <c r="C89" s="22" t="s">
        <v>291</v>
      </c>
      <c r="D89" s="22"/>
    </row>
    <row r="90" spans="1:5">
      <c r="A90" s="77"/>
      <c r="B90" s="98"/>
      <c r="C90" s="22" t="s">
        <v>292</v>
      </c>
      <c r="D90" s="22"/>
    </row>
    <row r="91" spans="1:5">
      <c r="A91" s="77"/>
      <c r="B91" s="98"/>
      <c r="C91" s="22" t="s">
        <v>293</v>
      </c>
      <c r="D91" s="22"/>
    </row>
    <row r="92" spans="1:5">
      <c r="A92" s="77"/>
      <c r="B92" s="98"/>
      <c r="C92" s="22" t="s">
        <v>294</v>
      </c>
      <c r="D92" s="22"/>
    </row>
    <row r="93" spans="1:5">
      <c r="A93" s="77"/>
      <c r="B93" s="98"/>
      <c r="C93" s="22" t="s">
        <v>295</v>
      </c>
      <c r="D93" s="22"/>
    </row>
    <row r="94" spans="1:5">
      <c r="A94" s="77"/>
      <c r="B94" s="98"/>
      <c r="C94" s="22" t="s">
        <v>296</v>
      </c>
      <c r="D94" s="22" t="s">
        <v>297</v>
      </c>
      <c r="E94" t="s">
        <v>214</v>
      </c>
    </row>
    <row r="95" spans="1:5">
      <c r="A95" s="77"/>
      <c r="B95" s="98"/>
      <c r="C95" s="22" t="s">
        <v>298</v>
      </c>
      <c r="D95" s="22" t="s">
        <v>299</v>
      </c>
      <c r="E95" t="s">
        <v>214</v>
      </c>
    </row>
    <row r="96" spans="1:5">
      <c r="A96" s="77"/>
      <c r="B96" s="98"/>
      <c r="C96" s="22" t="s">
        <v>300</v>
      </c>
      <c r="D96" s="22" t="s">
        <v>299</v>
      </c>
      <c r="E96" t="s">
        <v>214</v>
      </c>
    </row>
    <row r="97" spans="1:5">
      <c r="A97" s="77"/>
      <c r="B97" s="98"/>
      <c r="C97" s="22" t="s">
        <v>301</v>
      </c>
      <c r="D97" s="22" t="s">
        <v>299</v>
      </c>
      <c r="E97" t="s">
        <v>214</v>
      </c>
    </row>
    <row r="98" spans="1:5">
      <c r="A98" s="77"/>
      <c r="B98" s="98"/>
      <c r="C98" s="22" t="s">
        <v>302</v>
      </c>
      <c r="D98" s="22" t="s">
        <v>299</v>
      </c>
      <c r="E98" t="s">
        <v>214</v>
      </c>
    </row>
    <row r="99" spans="1:5">
      <c r="A99" s="77"/>
      <c r="B99" s="98"/>
      <c r="C99" s="22" t="s">
        <v>303</v>
      </c>
      <c r="D99" s="22" t="s">
        <v>299</v>
      </c>
      <c r="E99" t="s">
        <v>214</v>
      </c>
    </row>
    <row r="100" spans="1:5">
      <c r="A100" s="77"/>
      <c r="B100" s="98"/>
      <c r="C100" s="22" t="s">
        <v>304</v>
      </c>
      <c r="D100" s="22" t="s">
        <v>299</v>
      </c>
      <c r="E100" t="s">
        <v>214</v>
      </c>
    </row>
    <row r="101" spans="1:5">
      <c r="A101" s="77"/>
      <c r="B101" s="98"/>
      <c r="C101" s="22" t="s">
        <v>305</v>
      </c>
      <c r="D101" s="22" t="s">
        <v>299</v>
      </c>
      <c r="E101" t="s">
        <v>214</v>
      </c>
    </row>
    <row r="102" spans="1:5">
      <c r="A102" s="77"/>
      <c r="B102" s="98"/>
      <c r="C102" s="22" t="s">
        <v>306</v>
      </c>
      <c r="D102" s="22" t="s">
        <v>299</v>
      </c>
      <c r="E102" t="s">
        <v>214</v>
      </c>
    </row>
    <row r="103" spans="1:5">
      <c r="A103" s="77"/>
      <c r="B103" s="98"/>
      <c r="C103" s="22" t="s">
        <v>307</v>
      </c>
      <c r="D103" s="22" t="s">
        <v>299</v>
      </c>
      <c r="E103" t="s">
        <v>214</v>
      </c>
    </row>
    <row r="104" spans="1:5">
      <c r="A104" s="72"/>
      <c r="B104" s="72" t="s">
        <v>142</v>
      </c>
      <c r="C104" s="21" t="s">
        <v>308</v>
      </c>
      <c r="D104" s="21"/>
    </row>
    <row r="105" spans="1:5">
      <c r="A105" s="73"/>
      <c r="B105" s="73"/>
      <c r="C105" s="21" t="s">
        <v>141</v>
      </c>
      <c r="D105" s="21"/>
    </row>
    <row r="106" spans="1:5">
      <c r="A106" s="73"/>
      <c r="B106" s="73"/>
      <c r="C106" s="21" t="s">
        <v>309</v>
      </c>
      <c r="D106" s="21"/>
    </row>
    <row r="107" spans="1:5">
      <c r="A107" s="73"/>
      <c r="B107" s="73"/>
      <c r="C107" s="21" t="s">
        <v>310</v>
      </c>
      <c r="D107" s="21"/>
    </row>
    <row r="108" spans="1:5">
      <c r="A108" s="73"/>
      <c r="B108" s="73"/>
      <c r="C108" s="21" t="s">
        <v>33</v>
      </c>
      <c r="D108" s="21"/>
    </row>
    <row r="109" spans="1:5">
      <c r="A109" s="73"/>
      <c r="B109" s="73"/>
      <c r="C109" s="21" t="s">
        <v>311</v>
      </c>
      <c r="D109" s="21"/>
    </row>
    <row r="110" spans="1:5">
      <c r="A110" s="74"/>
      <c r="B110" s="74"/>
      <c r="C110" s="21" t="s">
        <v>164</v>
      </c>
      <c r="D110" s="21"/>
    </row>
    <row r="111" spans="1:5">
      <c r="A111" s="77"/>
      <c r="B111" s="63" t="s">
        <v>167</v>
      </c>
      <c r="C111" s="22" t="s">
        <v>308</v>
      </c>
      <c r="D111" s="22"/>
    </row>
    <row r="112" spans="1:5">
      <c r="A112" s="77"/>
      <c r="B112" s="64"/>
      <c r="C112" s="22" t="s">
        <v>312</v>
      </c>
      <c r="D112" s="22"/>
    </row>
    <row r="113" spans="1:4">
      <c r="A113" s="77"/>
      <c r="B113" s="65"/>
      <c r="C113" s="22" t="s">
        <v>313</v>
      </c>
      <c r="D113" s="22"/>
    </row>
    <row r="114" spans="1:4">
      <c r="A114" s="90"/>
      <c r="B114" s="90" t="s">
        <v>314</v>
      </c>
      <c r="C114" s="21" t="s">
        <v>308</v>
      </c>
      <c r="D114" s="21"/>
    </row>
    <row r="115" spans="1:4">
      <c r="A115" s="90"/>
      <c r="B115" s="90"/>
      <c r="C115" s="21" t="s">
        <v>309</v>
      </c>
      <c r="D115" s="21"/>
    </row>
    <row r="116" spans="1:4">
      <c r="A116" s="90"/>
      <c r="B116" s="90"/>
      <c r="C116" s="21" t="s">
        <v>310</v>
      </c>
      <c r="D116" s="21"/>
    </row>
    <row r="117" spans="1:4">
      <c r="A117" s="90"/>
      <c r="B117" s="90"/>
      <c r="C117" s="21" t="s">
        <v>311</v>
      </c>
      <c r="D117" s="21"/>
    </row>
    <row r="118" spans="1:4">
      <c r="A118" s="76"/>
      <c r="B118" s="91" t="s">
        <v>116</v>
      </c>
      <c r="C118" s="22" t="s">
        <v>308</v>
      </c>
      <c r="D118" s="22"/>
    </row>
    <row r="119" spans="1:4">
      <c r="A119" s="12"/>
      <c r="B119" s="109"/>
      <c r="C119" s="22" t="s">
        <v>315</v>
      </c>
      <c r="D119" s="22"/>
    </row>
    <row r="120" spans="1:4">
      <c r="A120" s="12"/>
      <c r="B120" s="109"/>
      <c r="C120" s="22" t="s">
        <v>310</v>
      </c>
      <c r="D120" s="22"/>
    </row>
    <row r="121" spans="1:4">
      <c r="A121" s="12"/>
      <c r="B121" s="109"/>
      <c r="C121" s="22" t="s">
        <v>33</v>
      </c>
      <c r="D121" s="22"/>
    </row>
    <row r="122" spans="1:4">
      <c r="A122" s="12"/>
      <c r="B122" s="109"/>
      <c r="C122" s="22" t="s">
        <v>309</v>
      </c>
      <c r="D122" s="22"/>
    </row>
    <row r="123" spans="1:4">
      <c r="A123" s="12"/>
      <c r="B123" s="109"/>
      <c r="C123" s="22" t="s">
        <v>316</v>
      </c>
      <c r="D123" s="22"/>
    </row>
    <row r="124" spans="1:4">
      <c r="A124" s="12"/>
      <c r="B124" s="109"/>
      <c r="C124" s="22" t="s">
        <v>317</v>
      </c>
      <c r="D124" s="22"/>
    </row>
    <row r="125" spans="1:4">
      <c r="A125" s="12"/>
      <c r="B125" s="109"/>
      <c r="C125" s="22" t="s">
        <v>311</v>
      </c>
      <c r="D125" s="22"/>
    </row>
    <row r="126" spans="1:4">
      <c r="A126" s="77"/>
      <c r="B126" s="92"/>
      <c r="C126" s="22" t="s">
        <v>164</v>
      </c>
      <c r="D126" s="22"/>
    </row>
    <row r="127" spans="1:4">
      <c r="A127" s="72"/>
      <c r="B127" s="72" t="s">
        <v>143</v>
      </c>
      <c r="C127" s="21" t="s">
        <v>318</v>
      </c>
      <c r="D127" s="21"/>
    </row>
    <row r="128" spans="1:4">
      <c r="A128" s="73"/>
      <c r="B128" s="73"/>
      <c r="C128" s="21" t="s">
        <v>319</v>
      </c>
      <c r="D128" s="21"/>
    </row>
    <row r="129" spans="1:5">
      <c r="A129" s="73"/>
      <c r="B129" s="73"/>
      <c r="C129" s="21" t="s">
        <v>320</v>
      </c>
      <c r="D129" s="21"/>
    </row>
    <row r="130" spans="1:5">
      <c r="A130" s="73"/>
      <c r="B130" s="73"/>
      <c r="C130" s="21" t="s">
        <v>321</v>
      </c>
      <c r="D130" s="21"/>
    </row>
    <row r="131" spans="1:5">
      <c r="A131" s="73"/>
      <c r="B131" s="73"/>
      <c r="C131" s="21" t="s">
        <v>33</v>
      </c>
      <c r="D131" s="21"/>
    </row>
    <row r="132" spans="1:5">
      <c r="A132" s="77"/>
      <c r="B132" s="64" t="s">
        <v>322</v>
      </c>
      <c r="C132" s="22" t="s">
        <v>318</v>
      </c>
      <c r="D132" s="22"/>
    </row>
    <row r="133" spans="1:5">
      <c r="A133" s="77"/>
      <c r="B133" s="64"/>
      <c r="C133" s="22" t="s">
        <v>33</v>
      </c>
      <c r="D133" s="22"/>
    </row>
    <row r="134" spans="1:5">
      <c r="A134" s="78"/>
      <c r="B134" s="65"/>
      <c r="C134" s="22" t="s">
        <v>164</v>
      </c>
      <c r="D134" s="22"/>
    </row>
    <row r="135" spans="1:5">
      <c r="A135" s="79"/>
      <c r="B135" s="79" t="s">
        <v>323</v>
      </c>
      <c r="C135" s="21" t="s">
        <v>324</v>
      </c>
      <c r="D135" s="21"/>
    </row>
    <row r="136" spans="1:5">
      <c r="A136" s="80"/>
      <c r="B136" s="80"/>
      <c r="C136" s="21" t="s">
        <v>325</v>
      </c>
      <c r="D136" s="21"/>
      <c r="E136" t="s">
        <v>214</v>
      </c>
    </row>
    <row r="137" spans="1:5">
      <c r="A137" s="80"/>
      <c r="B137" s="80"/>
      <c r="C137" s="21" t="s">
        <v>326</v>
      </c>
      <c r="D137" s="21" t="s">
        <v>327</v>
      </c>
    </row>
    <row r="138" spans="1:5">
      <c r="A138" s="80"/>
      <c r="B138" s="80"/>
      <c r="C138" s="21" t="s">
        <v>328</v>
      </c>
      <c r="D138" s="21" t="s">
        <v>329</v>
      </c>
    </row>
    <row r="139" spans="1:5">
      <c r="A139" s="80"/>
      <c r="B139" s="80"/>
      <c r="C139" s="21" t="s">
        <v>330</v>
      </c>
      <c r="D139" s="21"/>
    </row>
    <row r="140" spans="1:5">
      <c r="A140" s="80"/>
      <c r="B140" s="80"/>
      <c r="C140" s="21" t="s">
        <v>331</v>
      </c>
      <c r="D140" s="21"/>
    </row>
    <row r="141" spans="1:5">
      <c r="A141" s="80"/>
      <c r="B141" s="80"/>
      <c r="C141" s="21" t="s">
        <v>332</v>
      </c>
      <c r="D141" s="21"/>
    </row>
    <row r="142" spans="1:5">
      <c r="A142" s="80"/>
      <c r="B142" s="80"/>
      <c r="C142" s="21" t="s">
        <v>333</v>
      </c>
      <c r="D142" s="21"/>
    </row>
    <row r="143" spans="1:5">
      <c r="A143" s="80"/>
      <c r="B143" s="80"/>
      <c r="C143" s="21" t="s">
        <v>334</v>
      </c>
      <c r="D143" s="21"/>
    </row>
    <row r="144" spans="1:5">
      <c r="A144" s="80"/>
      <c r="B144" s="80"/>
      <c r="C144" s="21" t="s">
        <v>335</v>
      </c>
      <c r="D144" s="21"/>
    </row>
    <row r="145" spans="1:4">
      <c r="A145" s="80"/>
      <c r="B145" s="80"/>
      <c r="C145" s="21" t="s">
        <v>164</v>
      </c>
      <c r="D145" s="21"/>
    </row>
    <row r="146" spans="1:4">
      <c r="A146" s="76"/>
      <c r="B146" s="69" t="s">
        <v>336</v>
      </c>
      <c r="C146" s="22" t="s">
        <v>337</v>
      </c>
      <c r="D146" s="22"/>
    </row>
    <row r="147" spans="1:4">
      <c r="A147" s="78"/>
      <c r="B147" s="71"/>
      <c r="C147" s="22" t="s">
        <v>134</v>
      </c>
      <c r="D147" s="22"/>
    </row>
    <row r="148" spans="1:4">
      <c r="A148" s="58"/>
      <c r="B148" s="108" t="s">
        <v>8</v>
      </c>
      <c r="C148" s="21" t="s">
        <v>41</v>
      </c>
      <c r="D148" s="21" t="s">
        <v>338</v>
      </c>
    </row>
    <row r="149" spans="1:4">
      <c r="A149" s="59"/>
      <c r="B149" s="59"/>
      <c r="C149" s="21" t="s">
        <v>339</v>
      </c>
      <c r="D149" s="21" t="s">
        <v>340</v>
      </c>
    </row>
    <row r="150" spans="1:4">
      <c r="A150" s="59"/>
      <c r="B150" s="59"/>
      <c r="C150" s="21" t="s">
        <v>341</v>
      </c>
      <c r="D150" s="21" t="s">
        <v>342</v>
      </c>
    </row>
    <row r="151" spans="1:4">
      <c r="A151" s="59"/>
      <c r="B151" s="59"/>
      <c r="C151" s="21" t="s">
        <v>343</v>
      </c>
      <c r="D151" s="21" t="s">
        <v>344</v>
      </c>
    </row>
    <row r="152" spans="1:4">
      <c r="A152" s="59"/>
      <c r="B152" s="59"/>
      <c r="C152" s="21" t="s">
        <v>345</v>
      </c>
      <c r="D152" s="21" t="s">
        <v>346</v>
      </c>
    </row>
    <row r="153" spans="1:4">
      <c r="A153" s="59"/>
      <c r="B153" s="59"/>
      <c r="C153" s="21" t="s">
        <v>347</v>
      </c>
      <c r="D153" s="21" t="s">
        <v>348</v>
      </c>
    </row>
    <row r="154" spans="1:4">
      <c r="A154" s="59"/>
      <c r="B154" s="59"/>
      <c r="C154" s="21" t="s">
        <v>349</v>
      </c>
      <c r="D154" s="21" t="s">
        <v>350</v>
      </c>
    </row>
    <row r="155" spans="1:4">
      <c r="A155" s="59"/>
      <c r="B155" s="59"/>
      <c r="C155" s="21" t="s">
        <v>351</v>
      </c>
      <c r="D155" s="21" t="s">
        <v>352</v>
      </c>
    </row>
    <row r="156" spans="1:4">
      <c r="A156" s="59"/>
      <c r="B156" s="59"/>
      <c r="C156" s="21" t="s">
        <v>353</v>
      </c>
      <c r="D156" s="21" t="s">
        <v>354</v>
      </c>
    </row>
    <row r="157" spans="1:4">
      <c r="A157" s="59"/>
      <c r="B157" s="59"/>
      <c r="C157" s="21" t="s">
        <v>355</v>
      </c>
      <c r="D157" s="21" t="s">
        <v>356</v>
      </c>
    </row>
    <row r="158" spans="1:4">
      <c r="A158" s="59"/>
      <c r="B158" s="59"/>
      <c r="C158" s="21" t="s">
        <v>357</v>
      </c>
      <c r="D158" s="21" t="s">
        <v>358</v>
      </c>
    </row>
    <row r="159" spans="1:4">
      <c r="A159" s="59"/>
      <c r="B159" s="59"/>
      <c r="C159" s="21" t="s">
        <v>359</v>
      </c>
      <c r="D159" s="21" t="s">
        <v>360</v>
      </c>
    </row>
    <row r="160" spans="1:4">
      <c r="A160" s="59"/>
      <c r="B160" s="59"/>
      <c r="C160" s="21" t="s">
        <v>361</v>
      </c>
      <c r="D160" s="21" t="s">
        <v>362</v>
      </c>
    </row>
    <row r="161" spans="1:4">
      <c r="A161" s="59"/>
      <c r="B161" s="59"/>
      <c r="C161" s="21" t="s">
        <v>363</v>
      </c>
      <c r="D161" s="21" t="s">
        <v>364</v>
      </c>
    </row>
    <row r="162" spans="1:4">
      <c r="A162" s="59"/>
      <c r="B162" s="59"/>
      <c r="C162" s="21" t="s">
        <v>365</v>
      </c>
      <c r="D162" s="21" t="s">
        <v>366</v>
      </c>
    </row>
    <row r="163" spans="1:4">
      <c r="A163" s="59"/>
      <c r="B163" s="59"/>
      <c r="C163" s="21" t="s">
        <v>367</v>
      </c>
      <c r="D163" s="21" t="s">
        <v>368</v>
      </c>
    </row>
    <row r="164" spans="1:4">
      <c r="A164" s="59"/>
      <c r="B164" s="59"/>
      <c r="C164" s="21" t="s">
        <v>369</v>
      </c>
      <c r="D164" s="21" t="s">
        <v>370</v>
      </c>
    </row>
    <row r="165" spans="1:4">
      <c r="A165" s="59"/>
      <c r="B165" s="59"/>
      <c r="C165" s="21" t="s">
        <v>371</v>
      </c>
      <c r="D165" s="21" t="s">
        <v>372</v>
      </c>
    </row>
    <row r="166" spans="1:4">
      <c r="A166" s="59"/>
      <c r="B166" s="59"/>
      <c r="C166" s="21" t="s">
        <v>373</v>
      </c>
      <c r="D166" s="21" t="s">
        <v>374</v>
      </c>
    </row>
    <row r="167" spans="1:4">
      <c r="A167" s="59"/>
      <c r="B167" s="59"/>
      <c r="C167" s="21" t="s">
        <v>375</v>
      </c>
      <c r="D167" s="21" t="s">
        <v>376</v>
      </c>
    </row>
    <row r="168" spans="1:4">
      <c r="A168" s="59"/>
      <c r="B168" s="59"/>
      <c r="C168" s="21" t="s">
        <v>377</v>
      </c>
      <c r="D168" s="21" t="s">
        <v>378</v>
      </c>
    </row>
    <row r="169" spans="1:4">
      <c r="A169" s="59"/>
      <c r="B169" s="59"/>
      <c r="C169" s="21" t="s">
        <v>379</v>
      </c>
      <c r="D169" s="21" t="s">
        <v>380</v>
      </c>
    </row>
    <row r="170" spans="1:4">
      <c r="A170" s="59"/>
      <c r="B170" s="59"/>
      <c r="C170" s="21" t="s">
        <v>381</v>
      </c>
      <c r="D170" s="21" t="s">
        <v>382</v>
      </c>
    </row>
    <row r="171" spans="1:4">
      <c r="A171" s="59"/>
      <c r="B171" s="59"/>
      <c r="C171" s="21" t="s">
        <v>383</v>
      </c>
      <c r="D171" s="21" t="s">
        <v>384</v>
      </c>
    </row>
    <row r="172" spans="1:4">
      <c r="A172" s="59"/>
      <c r="B172" s="59"/>
      <c r="C172" s="21" t="s">
        <v>385</v>
      </c>
      <c r="D172" s="21" t="s">
        <v>386</v>
      </c>
    </row>
    <row r="173" spans="1:4">
      <c r="A173" s="59"/>
      <c r="B173" s="59"/>
      <c r="C173" s="21" t="s">
        <v>387</v>
      </c>
      <c r="D173" s="21" t="s">
        <v>388</v>
      </c>
    </row>
    <row r="174" spans="1:4">
      <c r="A174" s="59"/>
      <c r="B174" s="59"/>
      <c r="C174" s="21" t="s">
        <v>389</v>
      </c>
      <c r="D174" s="21" t="s">
        <v>390</v>
      </c>
    </row>
    <row r="175" spans="1:4">
      <c r="A175" s="59"/>
      <c r="B175" s="59"/>
      <c r="C175" s="21" t="s">
        <v>391</v>
      </c>
      <c r="D175" s="21" t="s">
        <v>392</v>
      </c>
    </row>
    <row r="176" spans="1:4">
      <c r="A176" s="59"/>
      <c r="B176" s="59"/>
      <c r="C176" s="21" t="s">
        <v>393</v>
      </c>
      <c r="D176" s="21" t="s">
        <v>394</v>
      </c>
    </row>
    <row r="177" spans="1:5">
      <c r="A177" s="59"/>
      <c r="B177" s="59"/>
      <c r="C177" s="21" t="s">
        <v>395</v>
      </c>
      <c r="D177" s="21" t="s">
        <v>396</v>
      </c>
    </row>
    <row r="178" spans="1:5">
      <c r="A178" s="59"/>
      <c r="B178" s="59"/>
      <c r="C178" s="21" t="s">
        <v>397</v>
      </c>
      <c r="D178" s="21" t="s">
        <v>398</v>
      </c>
    </row>
    <row r="179" spans="1:5">
      <c r="A179" s="59"/>
      <c r="B179" s="59"/>
      <c r="C179" s="21" t="s">
        <v>399</v>
      </c>
      <c r="D179" s="21" t="s">
        <v>400</v>
      </c>
    </row>
    <row r="180" spans="1:5">
      <c r="A180" s="59"/>
      <c r="B180" s="59"/>
      <c r="C180" s="21" t="s">
        <v>81</v>
      </c>
      <c r="D180" s="21" t="s">
        <v>401</v>
      </c>
      <c r="E180" t="s">
        <v>214</v>
      </c>
    </row>
    <row r="181" spans="1:5">
      <c r="A181" s="59"/>
      <c r="B181" s="59"/>
      <c r="C181" s="21" t="s">
        <v>164</v>
      </c>
      <c r="D181" s="21" t="s">
        <v>164</v>
      </c>
    </row>
    <row r="182" spans="1:5">
      <c r="A182" s="76"/>
      <c r="B182" s="69" t="s">
        <v>402</v>
      </c>
      <c r="C182" s="51" t="s">
        <v>403</v>
      </c>
      <c r="D182" s="51"/>
    </row>
    <row r="183" spans="1:5">
      <c r="A183" s="77"/>
      <c r="B183" s="70"/>
      <c r="C183" s="51" t="s">
        <v>404</v>
      </c>
      <c r="D183" s="51"/>
    </row>
    <row r="184" spans="1:5">
      <c r="A184" s="77"/>
      <c r="B184" s="70"/>
      <c r="C184" s="51" t="s">
        <v>405</v>
      </c>
      <c r="D184" s="51"/>
    </row>
    <row r="185" spans="1:5">
      <c r="A185" s="78"/>
      <c r="B185" s="71"/>
      <c r="C185" s="52" t="s">
        <v>406</v>
      </c>
      <c r="D185" s="52"/>
    </row>
    <row r="186" spans="1:5">
      <c r="A186" s="72"/>
      <c r="B186" s="72" t="s">
        <v>407</v>
      </c>
      <c r="C186" s="50" t="s">
        <v>408</v>
      </c>
      <c r="D186" s="50"/>
    </row>
    <row r="187" spans="1:5">
      <c r="A187" s="73"/>
      <c r="B187" s="73"/>
      <c r="C187" s="50" t="s">
        <v>409</v>
      </c>
      <c r="D187" s="50"/>
    </row>
    <row r="188" spans="1:5">
      <c r="A188" s="76"/>
      <c r="B188" s="69" t="s">
        <v>10</v>
      </c>
      <c r="C188" s="52" t="s">
        <v>410</v>
      </c>
      <c r="D188" s="52" t="s">
        <v>411</v>
      </c>
    </row>
    <row r="189" spans="1:5">
      <c r="A189" s="77"/>
      <c r="B189" s="70"/>
      <c r="C189" s="52" t="s">
        <v>412</v>
      </c>
      <c r="D189" s="52" t="s">
        <v>413</v>
      </c>
    </row>
    <row r="190" spans="1:5">
      <c r="A190" s="77"/>
      <c r="B190" s="70"/>
      <c r="C190" s="52" t="s">
        <v>33</v>
      </c>
      <c r="D190" s="52" t="s">
        <v>33</v>
      </c>
    </row>
    <row r="191" spans="1:5">
      <c r="A191" s="77"/>
      <c r="B191" s="70"/>
      <c r="C191" s="52" t="s">
        <v>414</v>
      </c>
      <c r="D191" s="52" t="s">
        <v>415</v>
      </c>
    </row>
    <row r="192" spans="1:5">
      <c r="A192" s="77"/>
      <c r="B192" s="70"/>
      <c r="C192" s="52" t="s">
        <v>416</v>
      </c>
      <c r="D192" s="52" t="s">
        <v>417</v>
      </c>
    </row>
    <row r="193" spans="1:4">
      <c r="A193" s="77"/>
      <c r="B193" s="70"/>
      <c r="C193" s="52" t="s">
        <v>418</v>
      </c>
      <c r="D193" s="52" t="s">
        <v>419</v>
      </c>
    </row>
    <row r="194" spans="1:4">
      <c r="A194" s="77"/>
      <c r="B194" s="70"/>
      <c r="C194" s="52" t="s">
        <v>83</v>
      </c>
      <c r="D194" s="52" t="s">
        <v>420</v>
      </c>
    </row>
    <row r="195" spans="1:4">
      <c r="A195" s="77"/>
      <c r="B195" s="70"/>
      <c r="C195" s="52" t="s">
        <v>421</v>
      </c>
      <c r="D195" s="52" t="s">
        <v>422</v>
      </c>
    </row>
    <row r="196" spans="1:4">
      <c r="A196" s="77"/>
      <c r="B196" s="70"/>
      <c r="C196" s="52" t="s">
        <v>423</v>
      </c>
      <c r="D196" s="52" t="s">
        <v>424</v>
      </c>
    </row>
    <row r="197" spans="1:4">
      <c r="A197" s="77"/>
      <c r="B197" s="70"/>
      <c r="C197" s="52" t="s">
        <v>425</v>
      </c>
      <c r="D197" s="52" t="s">
        <v>426</v>
      </c>
    </row>
    <row r="198" spans="1:4">
      <c r="A198" s="77"/>
      <c r="B198" s="70"/>
      <c r="C198" s="52" t="s">
        <v>427</v>
      </c>
      <c r="D198" s="52" t="s">
        <v>428</v>
      </c>
    </row>
    <row r="199" spans="1:4">
      <c r="A199" s="77"/>
      <c r="B199" s="70"/>
      <c r="C199" s="52" t="s">
        <v>429</v>
      </c>
      <c r="D199" s="52" t="s">
        <v>430</v>
      </c>
    </row>
    <row r="200" spans="1:4">
      <c r="A200" s="77"/>
      <c r="B200" s="70"/>
      <c r="C200" s="52" t="s">
        <v>164</v>
      </c>
      <c r="D200" s="52" t="s">
        <v>164</v>
      </c>
    </row>
    <row r="201" spans="1:4">
      <c r="A201" s="78"/>
      <c r="B201" s="71"/>
      <c r="C201" s="52" t="s">
        <v>406</v>
      </c>
      <c r="D201" s="52" t="s">
        <v>431</v>
      </c>
    </row>
    <row r="202" spans="1:4">
      <c r="A202" s="108"/>
      <c r="B202" s="108" t="s">
        <v>144</v>
      </c>
      <c r="C202" s="21" t="s">
        <v>432</v>
      </c>
      <c r="D202" s="21"/>
    </row>
    <row r="203" spans="1:4">
      <c r="A203" s="59"/>
      <c r="B203" s="59"/>
      <c r="C203" s="21" t="s">
        <v>433</v>
      </c>
      <c r="D203" s="21"/>
    </row>
    <row r="204" spans="1:4">
      <c r="A204" s="59"/>
      <c r="B204" s="59"/>
      <c r="C204" s="21" t="s">
        <v>434</v>
      </c>
      <c r="D204" s="21"/>
    </row>
    <row r="205" spans="1:4">
      <c r="A205" s="59"/>
      <c r="B205" s="59"/>
      <c r="C205" s="21" t="s">
        <v>435</v>
      </c>
      <c r="D205" s="21"/>
    </row>
    <row r="206" spans="1:4">
      <c r="A206" s="59"/>
      <c r="B206" s="59"/>
      <c r="C206" s="21" t="s">
        <v>436</v>
      </c>
      <c r="D206" s="21"/>
    </row>
    <row r="207" spans="1:4">
      <c r="A207" s="59"/>
      <c r="B207" s="59"/>
      <c r="C207" s="21" t="s">
        <v>437</v>
      </c>
      <c r="D207" s="21"/>
    </row>
    <row r="208" spans="1:4">
      <c r="A208" s="59"/>
      <c r="B208" s="59"/>
      <c r="C208" s="21" t="s">
        <v>438</v>
      </c>
      <c r="D208" s="21"/>
    </row>
    <row r="209" spans="1:5">
      <c r="A209" s="59"/>
      <c r="B209" s="59"/>
      <c r="C209" s="21" t="s">
        <v>439</v>
      </c>
      <c r="D209" s="21"/>
    </row>
    <row r="210" spans="1:5">
      <c r="A210" s="59"/>
      <c r="B210" s="59"/>
      <c r="C210" s="21" t="s">
        <v>440</v>
      </c>
      <c r="D210" s="21"/>
    </row>
    <row r="211" spans="1:5">
      <c r="A211" s="59"/>
      <c r="B211" s="59"/>
      <c r="C211" s="21" t="s">
        <v>441</v>
      </c>
      <c r="D211" s="21"/>
    </row>
    <row r="212" spans="1:5">
      <c r="A212" s="59"/>
      <c r="B212" s="59"/>
      <c r="C212" s="21" t="s">
        <v>442</v>
      </c>
      <c r="D212" s="21"/>
    </row>
    <row r="213" spans="1:5">
      <c r="A213" s="59"/>
      <c r="B213" s="59"/>
      <c r="C213" s="21" t="s">
        <v>443</v>
      </c>
      <c r="D213" s="21"/>
    </row>
    <row r="214" spans="1:5">
      <c r="A214" s="59"/>
      <c r="B214" s="59"/>
      <c r="C214" s="21" t="s">
        <v>444</v>
      </c>
      <c r="D214" s="21"/>
    </row>
    <row r="215" spans="1:5">
      <c r="A215" s="59"/>
      <c r="B215" s="59"/>
      <c r="C215" s="21" t="s">
        <v>445</v>
      </c>
      <c r="D215" s="21"/>
    </row>
    <row r="216" spans="1:5">
      <c r="A216" s="59"/>
      <c r="B216" s="59"/>
      <c r="C216" s="21" t="s">
        <v>446</v>
      </c>
      <c r="D216" s="21"/>
    </row>
    <row r="217" spans="1:5">
      <c r="A217" s="59"/>
      <c r="B217" s="59"/>
      <c r="C217" s="21" t="s">
        <v>447</v>
      </c>
      <c r="D217" s="21"/>
    </row>
    <row r="218" spans="1:5">
      <c r="A218" s="59"/>
      <c r="B218" s="59"/>
      <c r="C218" s="21" t="s">
        <v>448</v>
      </c>
      <c r="D218" s="21" t="s">
        <v>449</v>
      </c>
      <c r="E218" t="s">
        <v>214</v>
      </c>
    </row>
    <row r="219" spans="1:5">
      <c r="A219" s="59"/>
      <c r="B219" s="59"/>
      <c r="C219" s="21" t="s">
        <v>450</v>
      </c>
      <c r="D219" s="21"/>
    </row>
    <row r="220" spans="1:5">
      <c r="A220" s="59"/>
      <c r="B220" s="59"/>
      <c r="C220" s="21" t="s">
        <v>451</v>
      </c>
      <c r="D220" s="21"/>
    </row>
    <row r="221" spans="1:5">
      <c r="A221" s="59"/>
      <c r="B221" s="59"/>
      <c r="C221" s="21" t="s">
        <v>452</v>
      </c>
      <c r="D221" s="21"/>
    </row>
    <row r="222" spans="1:5">
      <c r="A222" s="59"/>
      <c r="B222" s="59"/>
      <c r="C222" s="21" t="s">
        <v>453</v>
      </c>
      <c r="D222" s="21"/>
    </row>
    <row r="223" spans="1:5">
      <c r="A223" s="59"/>
      <c r="B223" s="59"/>
      <c r="C223" s="21" t="s">
        <v>454</v>
      </c>
      <c r="D223" s="21"/>
    </row>
    <row r="224" spans="1:5">
      <c r="A224" s="59"/>
      <c r="B224" s="59"/>
      <c r="C224" s="21" t="s">
        <v>455</v>
      </c>
      <c r="D224" s="21"/>
    </row>
    <row r="225" spans="1:4">
      <c r="A225" s="59"/>
      <c r="B225" s="59"/>
      <c r="C225" s="21" t="s">
        <v>456</v>
      </c>
      <c r="D225" s="21"/>
    </row>
    <row r="226" spans="1:4">
      <c r="A226" s="59"/>
      <c r="B226" s="59"/>
      <c r="C226" s="21" t="s">
        <v>457</v>
      </c>
      <c r="D226" s="21"/>
    </row>
    <row r="227" spans="1:4">
      <c r="A227" s="59"/>
      <c r="B227" s="59"/>
      <c r="C227" s="21" t="s">
        <v>458</v>
      </c>
      <c r="D227" s="21"/>
    </row>
    <row r="228" spans="1:4">
      <c r="A228" s="59"/>
      <c r="B228" s="59"/>
      <c r="C228" s="21" t="s">
        <v>459</v>
      </c>
      <c r="D228" s="21"/>
    </row>
    <row r="229" spans="1:4">
      <c r="A229" s="59"/>
      <c r="B229" s="59"/>
      <c r="C229" s="21" t="s">
        <v>460</v>
      </c>
      <c r="D229" s="21"/>
    </row>
    <row r="230" spans="1:4">
      <c r="A230" s="59"/>
      <c r="B230" s="59"/>
      <c r="C230" s="21" t="s">
        <v>461</v>
      </c>
      <c r="D230" s="21"/>
    </row>
    <row r="231" spans="1:4">
      <c r="A231" s="59"/>
      <c r="B231" s="59"/>
      <c r="C231" s="21" t="s">
        <v>462</v>
      </c>
      <c r="D231" s="21"/>
    </row>
    <row r="232" spans="1:4">
      <c r="A232" s="59"/>
      <c r="B232" s="59"/>
      <c r="C232" s="21" t="s">
        <v>463</v>
      </c>
      <c r="D232" s="21"/>
    </row>
    <row r="233" spans="1:4">
      <c r="A233" s="59"/>
      <c r="B233" s="59"/>
      <c r="C233" s="21" t="s">
        <v>464</v>
      </c>
      <c r="D233" s="21"/>
    </row>
    <row r="234" spans="1:4">
      <c r="A234" s="59"/>
      <c r="B234" s="59"/>
      <c r="C234" s="21" t="s">
        <v>465</v>
      </c>
      <c r="D234" s="21"/>
    </row>
    <row r="235" spans="1:4">
      <c r="A235" s="59"/>
      <c r="B235" s="59"/>
      <c r="C235" s="21" t="s">
        <v>466</v>
      </c>
      <c r="D235" s="21"/>
    </row>
    <row r="236" spans="1:4">
      <c r="A236" s="59"/>
      <c r="B236" s="59"/>
      <c r="C236" s="21" t="s">
        <v>467</v>
      </c>
      <c r="D236" s="21"/>
    </row>
    <row r="237" spans="1:4">
      <c r="A237" s="59"/>
      <c r="B237" s="59"/>
      <c r="C237" s="21" t="s">
        <v>468</v>
      </c>
      <c r="D237" s="21"/>
    </row>
    <row r="238" spans="1:4">
      <c r="A238" s="59"/>
      <c r="B238" s="59"/>
      <c r="C238" s="21" t="s">
        <v>469</v>
      </c>
      <c r="D238" s="21"/>
    </row>
    <row r="239" spans="1:4">
      <c r="A239" s="59"/>
      <c r="B239" s="59"/>
      <c r="C239" s="21" t="s">
        <v>470</v>
      </c>
      <c r="D239" s="21"/>
    </row>
    <row r="240" spans="1:4">
      <c r="A240" s="59"/>
      <c r="B240" s="59"/>
      <c r="C240" s="21" t="s">
        <v>471</v>
      </c>
      <c r="D240" s="21"/>
    </row>
    <row r="241" spans="1:4">
      <c r="A241" s="59"/>
      <c r="B241" s="59"/>
      <c r="C241" s="21" t="s">
        <v>472</v>
      </c>
      <c r="D241" s="21"/>
    </row>
    <row r="242" spans="1:4">
      <c r="A242" s="59"/>
      <c r="B242" s="59"/>
      <c r="C242" s="21" t="s">
        <v>473</v>
      </c>
      <c r="D242" s="21"/>
    </row>
    <row r="243" spans="1:4">
      <c r="A243" s="59"/>
      <c r="B243" s="59"/>
      <c r="C243" s="21" t="s">
        <v>474</v>
      </c>
      <c r="D243" s="21"/>
    </row>
    <row r="244" spans="1:4">
      <c r="A244" s="59"/>
      <c r="B244" s="59"/>
      <c r="C244" s="21" t="s">
        <v>475</v>
      </c>
      <c r="D244" s="21"/>
    </row>
    <row r="245" spans="1:4">
      <c r="A245" s="59"/>
      <c r="B245" s="59"/>
      <c r="C245" s="21" t="s">
        <v>476</v>
      </c>
      <c r="D245" s="21"/>
    </row>
    <row r="246" spans="1:4">
      <c r="A246" s="59"/>
      <c r="B246" s="59"/>
      <c r="C246" s="21" t="s">
        <v>477</v>
      </c>
      <c r="D246" s="21"/>
    </row>
    <row r="247" spans="1:4">
      <c r="A247" s="59"/>
      <c r="B247" s="59"/>
      <c r="C247" s="21" t="s">
        <v>478</v>
      </c>
      <c r="D247" s="21"/>
    </row>
    <row r="248" spans="1:4">
      <c r="A248" s="59"/>
      <c r="B248" s="59"/>
      <c r="C248" s="21" t="s">
        <v>479</v>
      </c>
      <c r="D248" s="21"/>
    </row>
    <row r="249" spans="1:4">
      <c r="A249" s="59"/>
      <c r="B249" s="59"/>
      <c r="C249" s="21" t="s">
        <v>480</v>
      </c>
      <c r="D249" s="21"/>
    </row>
    <row r="250" spans="1:4">
      <c r="A250" s="59"/>
      <c r="B250" s="59"/>
      <c r="C250" s="21" t="s">
        <v>481</v>
      </c>
      <c r="D250" s="21"/>
    </row>
    <row r="251" spans="1:4">
      <c r="A251" s="59"/>
      <c r="B251" s="59"/>
      <c r="C251" s="21" t="s">
        <v>482</v>
      </c>
      <c r="D251" s="21"/>
    </row>
    <row r="252" spans="1:4">
      <c r="A252" s="59"/>
      <c r="B252" s="59"/>
      <c r="C252" s="21" t="s">
        <v>164</v>
      </c>
      <c r="D252" s="21"/>
    </row>
    <row r="253" spans="1:4">
      <c r="A253" s="59"/>
      <c r="B253" s="59"/>
      <c r="C253" s="21" t="s">
        <v>483</v>
      </c>
      <c r="D253" s="21"/>
    </row>
    <row r="254" spans="1:4">
      <c r="A254" s="59"/>
      <c r="B254" s="59"/>
      <c r="C254" s="21" t="s">
        <v>484</v>
      </c>
      <c r="D254" s="21"/>
    </row>
    <row r="255" spans="1:4">
      <c r="A255" s="59"/>
      <c r="B255" s="59"/>
      <c r="C255" s="21" t="s">
        <v>485</v>
      </c>
      <c r="D255" s="21"/>
    </row>
    <row r="256" spans="1:4">
      <c r="A256" s="59"/>
      <c r="B256" s="59"/>
      <c r="C256" s="21" t="s">
        <v>486</v>
      </c>
      <c r="D256" s="21"/>
    </row>
    <row r="257" spans="1:5">
      <c r="A257" s="59"/>
      <c r="B257" s="59"/>
      <c r="C257" s="21" t="s">
        <v>487</v>
      </c>
      <c r="D257" s="21"/>
    </row>
    <row r="258" spans="1:5">
      <c r="A258" s="59"/>
      <c r="B258" s="59"/>
      <c r="C258" s="21" t="s">
        <v>488</v>
      </c>
      <c r="D258" s="21"/>
    </row>
    <row r="259" spans="1:5">
      <c r="A259" s="59"/>
      <c r="B259" s="59"/>
      <c r="C259" s="21" t="s">
        <v>489</v>
      </c>
      <c r="D259" s="21"/>
    </row>
    <row r="260" spans="1:5">
      <c r="A260" s="59"/>
      <c r="B260" s="59"/>
      <c r="C260" s="21" t="s">
        <v>490</v>
      </c>
      <c r="D260" s="21"/>
    </row>
    <row r="261" spans="1:5">
      <c r="A261" s="59"/>
      <c r="B261" s="59"/>
      <c r="C261" s="21" t="s">
        <v>491</v>
      </c>
      <c r="D261" s="21"/>
    </row>
    <row r="262" spans="1:5">
      <c r="A262" s="59"/>
      <c r="B262" s="59"/>
      <c r="C262" s="21" t="s">
        <v>492</v>
      </c>
      <c r="D262" s="21"/>
    </row>
    <row r="263" spans="1:5">
      <c r="A263" s="59"/>
      <c r="B263" s="59"/>
      <c r="C263" s="21" t="s">
        <v>493</v>
      </c>
      <c r="D263" s="21"/>
    </row>
    <row r="264" spans="1:5">
      <c r="A264" s="59"/>
      <c r="B264" s="59"/>
      <c r="C264" s="21" t="s">
        <v>494</v>
      </c>
      <c r="D264" s="21"/>
    </row>
    <row r="265" spans="1:5">
      <c r="A265" s="59"/>
      <c r="B265" s="59"/>
      <c r="C265" s="21" t="s">
        <v>495</v>
      </c>
      <c r="D265" s="21"/>
    </row>
    <row r="266" spans="1:5">
      <c r="A266" s="59"/>
      <c r="B266" s="59"/>
      <c r="C266" s="21" t="s">
        <v>496</v>
      </c>
      <c r="D266" s="21"/>
    </row>
    <row r="267" spans="1:5">
      <c r="A267" s="59"/>
      <c r="B267" s="59"/>
      <c r="C267" s="21" t="s">
        <v>497</v>
      </c>
      <c r="D267" s="21"/>
    </row>
    <row r="268" spans="1:5">
      <c r="A268" s="59"/>
      <c r="B268" s="59"/>
      <c r="C268" s="21" t="s">
        <v>498</v>
      </c>
      <c r="D268" s="21"/>
    </row>
    <row r="269" spans="1:5">
      <c r="A269" s="59"/>
      <c r="B269" s="59"/>
      <c r="C269" s="21" t="s">
        <v>499</v>
      </c>
      <c r="D269" s="21"/>
    </row>
    <row r="270" spans="1:5">
      <c r="A270" s="59"/>
      <c r="B270" s="59"/>
      <c r="C270" s="21" t="s">
        <v>500</v>
      </c>
      <c r="D270" s="21" t="s">
        <v>501</v>
      </c>
      <c r="E270" t="s">
        <v>214</v>
      </c>
    </row>
    <row r="271" spans="1:5">
      <c r="A271" s="59"/>
      <c r="B271" s="59"/>
      <c r="C271" s="21" t="s">
        <v>502</v>
      </c>
      <c r="D271" s="21" t="s">
        <v>503</v>
      </c>
      <c r="E271" t="s">
        <v>214</v>
      </c>
    </row>
    <row r="272" spans="1:5">
      <c r="A272" s="59"/>
      <c r="B272" s="59"/>
      <c r="C272" s="21" t="s">
        <v>504</v>
      </c>
      <c r="D272" s="21" t="s">
        <v>505</v>
      </c>
      <c r="E272" t="s">
        <v>214</v>
      </c>
    </row>
    <row r="273" spans="1:5">
      <c r="A273" s="59"/>
      <c r="B273" s="59"/>
      <c r="C273" s="21" t="s">
        <v>506</v>
      </c>
      <c r="D273" s="21"/>
    </row>
    <row r="274" spans="1:5">
      <c r="A274" s="59"/>
      <c r="B274" s="59"/>
      <c r="C274" s="21" t="s">
        <v>507</v>
      </c>
      <c r="D274" s="21" t="s">
        <v>508</v>
      </c>
      <c r="E274" t="s">
        <v>214</v>
      </c>
    </row>
    <row r="275" spans="1:5">
      <c r="A275" s="59"/>
      <c r="B275" s="59"/>
      <c r="C275" s="21" t="s">
        <v>509</v>
      </c>
      <c r="D275" s="21"/>
    </row>
    <row r="276" spans="1:5">
      <c r="A276" s="59"/>
      <c r="B276" s="59"/>
      <c r="C276" s="21" t="s">
        <v>510</v>
      </c>
      <c r="D276" s="21"/>
    </row>
    <row r="277" spans="1:5">
      <c r="A277" s="59"/>
      <c r="B277" s="59"/>
      <c r="C277" s="21" t="s">
        <v>511</v>
      </c>
      <c r="D277" s="21"/>
    </row>
    <row r="278" spans="1:5">
      <c r="A278" s="59"/>
      <c r="B278" s="59"/>
      <c r="C278" s="21" t="s">
        <v>512</v>
      </c>
      <c r="D278" s="21"/>
    </row>
    <row r="279" spans="1:5">
      <c r="A279" s="59"/>
      <c r="B279" s="59"/>
      <c r="C279" s="21" t="s">
        <v>513</v>
      </c>
      <c r="D279" s="21"/>
    </row>
    <row r="280" spans="1:5">
      <c r="A280" s="59"/>
      <c r="B280" s="59"/>
      <c r="C280" s="21" t="s">
        <v>514</v>
      </c>
      <c r="D280" s="21"/>
    </row>
    <row r="281" spans="1:5">
      <c r="A281" s="59"/>
      <c r="B281" s="59"/>
      <c r="C281" s="21" t="s">
        <v>515</v>
      </c>
      <c r="D281" s="21"/>
    </row>
    <row r="282" spans="1:5">
      <c r="A282" s="59"/>
      <c r="B282" s="59"/>
      <c r="C282" s="21" t="s">
        <v>516</v>
      </c>
      <c r="D282" s="21" t="s">
        <v>517</v>
      </c>
      <c r="E282" t="s">
        <v>214</v>
      </c>
    </row>
    <row r="283" spans="1:5">
      <c r="A283" s="59"/>
      <c r="B283" s="59"/>
      <c r="C283" s="21" t="s">
        <v>518</v>
      </c>
      <c r="D283" s="21"/>
    </row>
    <row r="284" spans="1:5">
      <c r="A284" s="59"/>
      <c r="B284" s="59"/>
      <c r="C284" s="21" t="s">
        <v>519</v>
      </c>
      <c r="D284" s="21" t="s">
        <v>520</v>
      </c>
      <c r="E284" t="s">
        <v>214</v>
      </c>
    </row>
    <row r="285" spans="1:5">
      <c r="A285" s="59"/>
      <c r="B285" s="59"/>
      <c r="C285" s="21" t="s">
        <v>521</v>
      </c>
      <c r="D285" s="21"/>
    </row>
    <row r="286" spans="1:5">
      <c r="A286" s="59"/>
      <c r="B286" s="59"/>
      <c r="C286" s="21" t="s">
        <v>522</v>
      </c>
      <c r="D286" s="21"/>
    </row>
    <row r="287" spans="1:5">
      <c r="A287" s="59"/>
      <c r="B287" s="59"/>
      <c r="C287" s="21" t="s">
        <v>523</v>
      </c>
      <c r="D287" s="21"/>
    </row>
    <row r="288" spans="1:5">
      <c r="A288" s="59"/>
      <c r="B288" s="59"/>
      <c r="C288" s="21" t="s">
        <v>524</v>
      </c>
      <c r="D288" s="21"/>
    </row>
    <row r="289" spans="1:5">
      <c r="A289" s="59"/>
      <c r="B289" s="59"/>
      <c r="C289" s="21" t="s">
        <v>525</v>
      </c>
      <c r="D289" s="21" t="s">
        <v>526</v>
      </c>
      <c r="E289" t="s">
        <v>214</v>
      </c>
    </row>
    <row r="290" spans="1:5">
      <c r="A290" s="59"/>
      <c r="B290" s="59"/>
      <c r="C290" s="21" t="s">
        <v>527</v>
      </c>
      <c r="D290" s="21"/>
    </row>
    <row r="291" spans="1:5">
      <c r="A291" s="59"/>
      <c r="B291" s="59"/>
      <c r="C291" s="21" t="s">
        <v>528</v>
      </c>
      <c r="D291" s="21"/>
    </row>
    <row r="292" spans="1:5">
      <c r="A292" s="59"/>
      <c r="B292" s="59"/>
      <c r="C292" s="21" t="s">
        <v>529</v>
      </c>
      <c r="D292" s="21"/>
    </row>
    <row r="293" spans="1:5">
      <c r="A293" s="59"/>
      <c r="B293" s="59"/>
      <c r="C293" s="21" t="s">
        <v>530</v>
      </c>
      <c r="D293" s="21"/>
    </row>
    <row r="294" spans="1:5">
      <c r="A294" s="59"/>
      <c r="B294" s="59"/>
      <c r="C294" s="21" t="s">
        <v>531</v>
      </c>
      <c r="D294" s="21"/>
    </row>
    <row r="295" spans="1:5">
      <c r="A295" s="59"/>
      <c r="B295" s="59"/>
      <c r="C295" s="21" t="s">
        <v>532</v>
      </c>
      <c r="D295" s="21"/>
    </row>
    <row r="296" spans="1:5">
      <c r="A296" s="59"/>
      <c r="B296" s="59"/>
      <c r="C296" s="21" t="s">
        <v>533</v>
      </c>
      <c r="D296" s="21"/>
    </row>
    <row r="297" spans="1:5">
      <c r="A297" s="59"/>
      <c r="B297" s="59"/>
      <c r="C297" s="21" t="s">
        <v>534</v>
      </c>
      <c r="D297" s="21" t="s">
        <v>535</v>
      </c>
      <c r="E297" t="s">
        <v>214</v>
      </c>
    </row>
    <row r="298" spans="1:5">
      <c r="A298" s="59"/>
      <c r="B298" s="59"/>
      <c r="C298" s="21" t="s">
        <v>536</v>
      </c>
      <c r="D298" s="21"/>
    </row>
    <row r="299" spans="1:5">
      <c r="A299" s="59"/>
      <c r="B299" s="59"/>
      <c r="C299" s="21" t="s">
        <v>537</v>
      </c>
      <c r="D299" s="21"/>
    </row>
    <row r="300" spans="1:5">
      <c r="A300" s="59"/>
      <c r="B300" s="59"/>
      <c r="C300" s="127" t="s">
        <v>538</v>
      </c>
      <c r="D300" s="21"/>
      <c r="E300" t="s">
        <v>214</v>
      </c>
    </row>
    <row r="301" spans="1:5">
      <c r="A301" s="59"/>
      <c r="B301" s="59"/>
      <c r="C301" s="21" t="s">
        <v>539</v>
      </c>
      <c r="D301" s="21"/>
    </row>
    <row r="302" spans="1:5">
      <c r="A302" s="59"/>
      <c r="B302" s="59"/>
      <c r="C302" s="21" t="s">
        <v>540</v>
      </c>
      <c r="D302" s="21"/>
    </row>
    <row r="303" spans="1:5">
      <c r="A303" s="59"/>
      <c r="B303" s="59"/>
      <c r="C303" s="21" t="s">
        <v>541</v>
      </c>
      <c r="D303" s="21"/>
    </row>
    <row r="304" spans="1:5">
      <c r="A304" s="59"/>
      <c r="B304" s="59"/>
      <c r="C304" s="21" t="s">
        <v>542</v>
      </c>
      <c r="D304" s="21"/>
    </row>
    <row r="305" spans="1:5">
      <c r="A305" s="59"/>
      <c r="B305" s="59"/>
      <c r="C305" s="21" t="s">
        <v>543</v>
      </c>
      <c r="D305" s="21"/>
    </row>
    <row r="306" spans="1:5">
      <c r="A306" s="59"/>
      <c r="B306" s="59"/>
      <c r="C306" s="21" t="s">
        <v>544</v>
      </c>
      <c r="D306" s="21"/>
    </row>
    <row r="307" spans="1:5">
      <c r="A307" s="59"/>
      <c r="B307" s="59"/>
      <c r="C307" s="21" t="s">
        <v>545</v>
      </c>
      <c r="D307" s="21"/>
    </row>
    <row r="308" spans="1:5">
      <c r="A308" s="59"/>
      <c r="B308" s="59"/>
      <c r="C308" s="21" t="s">
        <v>546</v>
      </c>
      <c r="D308" s="21"/>
    </row>
    <row r="309" spans="1:5">
      <c r="A309" s="59"/>
      <c r="B309" s="59"/>
      <c r="C309" s="21" t="s">
        <v>547</v>
      </c>
      <c r="D309" s="21"/>
    </row>
    <row r="310" spans="1:5">
      <c r="A310" s="59"/>
      <c r="B310" s="59"/>
      <c r="C310" s="127" t="s">
        <v>548</v>
      </c>
      <c r="D310" s="21"/>
      <c r="E310" t="s">
        <v>214</v>
      </c>
    </row>
    <row r="311" spans="1:5">
      <c r="A311" s="59"/>
      <c r="B311" s="59"/>
      <c r="C311" s="127" t="s">
        <v>549</v>
      </c>
      <c r="D311" s="21"/>
      <c r="E311" t="s">
        <v>214</v>
      </c>
    </row>
    <row r="312" spans="1:5">
      <c r="A312" s="59"/>
      <c r="B312" s="59"/>
      <c r="C312" s="127" t="s">
        <v>550</v>
      </c>
      <c r="D312" s="21"/>
      <c r="E312" t="s">
        <v>214</v>
      </c>
    </row>
    <row r="313" spans="1:5">
      <c r="A313" s="59"/>
      <c r="B313" s="59"/>
      <c r="C313" s="21" t="s">
        <v>551</v>
      </c>
      <c r="D313" s="21"/>
    </row>
    <row r="314" spans="1:5">
      <c r="A314" s="59"/>
      <c r="B314" s="59"/>
      <c r="C314" s="21" t="s">
        <v>552</v>
      </c>
      <c r="D314" s="21"/>
    </row>
    <row r="315" spans="1:5">
      <c r="A315" s="59"/>
      <c r="B315" s="59"/>
      <c r="C315" s="21" t="s">
        <v>553</v>
      </c>
      <c r="D315" s="21"/>
    </row>
    <row r="316" spans="1:5">
      <c r="A316" s="59"/>
      <c r="B316" s="59"/>
      <c r="C316" s="21" t="s">
        <v>554</v>
      </c>
      <c r="D316" s="21"/>
    </row>
    <row r="317" spans="1:5">
      <c r="A317" s="59"/>
      <c r="B317" s="59"/>
      <c r="C317" s="21" t="s">
        <v>555</v>
      </c>
      <c r="D317" s="21"/>
    </row>
    <row r="318" spans="1:5">
      <c r="A318" s="59"/>
      <c r="B318" s="59"/>
      <c r="C318" s="21" t="s">
        <v>556</v>
      </c>
      <c r="D318" s="122" t="s">
        <v>557</v>
      </c>
      <c r="E318" t="s">
        <v>214</v>
      </c>
    </row>
    <row r="319" spans="1:5">
      <c r="A319" s="59"/>
      <c r="B319" s="59"/>
      <c r="C319" s="21" t="s">
        <v>558</v>
      </c>
      <c r="D319" s="21"/>
    </row>
    <row r="320" spans="1:5">
      <c r="A320" s="59"/>
      <c r="B320" s="59"/>
      <c r="C320" s="21" t="s">
        <v>559</v>
      </c>
      <c r="D320" s="21"/>
    </row>
    <row r="321" spans="1:5">
      <c r="A321" s="59"/>
      <c r="B321" s="59"/>
      <c r="C321" s="21" t="s">
        <v>560</v>
      </c>
      <c r="D321" s="21"/>
    </row>
    <row r="322" spans="1:5">
      <c r="A322" s="59"/>
      <c r="B322" s="59"/>
      <c r="C322" s="21" t="s">
        <v>561</v>
      </c>
      <c r="D322" s="21"/>
    </row>
    <row r="323" spans="1:5">
      <c r="A323" s="59"/>
      <c r="B323" s="59"/>
      <c r="C323" s="21" t="s">
        <v>562</v>
      </c>
      <c r="D323" s="21"/>
    </row>
    <row r="324" spans="1:5">
      <c r="A324" s="59"/>
      <c r="B324" s="59"/>
      <c r="C324" s="21" t="s">
        <v>563</v>
      </c>
      <c r="D324" s="21"/>
    </row>
    <row r="325" spans="1:5">
      <c r="A325" s="59"/>
      <c r="B325" s="59"/>
      <c r="C325" s="21" t="s">
        <v>564</v>
      </c>
      <c r="D325" s="21"/>
    </row>
    <row r="326" spans="1:5">
      <c r="A326" s="59"/>
      <c r="B326" s="59"/>
      <c r="C326" s="21" t="s">
        <v>565</v>
      </c>
      <c r="D326" s="21"/>
    </row>
    <row r="327" spans="1:5">
      <c r="A327" s="59"/>
      <c r="B327" s="59"/>
      <c r="C327" s="21" t="s">
        <v>566</v>
      </c>
      <c r="D327" s="21"/>
    </row>
    <row r="328" spans="1:5">
      <c r="A328" s="76"/>
      <c r="B328" s="66" t="s">
        <v>567</v>
      </c>
      <c r="C328" s="52" t="s">
        <v>568</v>
      </c>
      <c r="D328" s="52"/>
      <c r="E328" t="s">
        <v>214</v>
      </c>
    </row>
    <row r="329" spans="1:5">
      <c r="A329" s="77"/>
      <c r="B329" s="67"/>
      <c r="C329" s="52" t="s">
        <v>569</v>
      </c>
      <c r="D329" s="52"/>
      <c r="E329" t="s">
        <v>214</v>
      </c>
    </row>
    <row r="330" spans="1:5">
      <c r="A330" s="77"/>
      <c r="B330" s="67"/>
      <c r="C330" s="124" t="s">
        <v>570</v>
      </c>
      <c r="D330" s="52"/>
      <c r="E330" t="s">
        <v>214</v>
      </c>
    </row>
    <row r="331" spans="1:5">
      <c r="A331" s="77"/>
      <c r="B331" s="67"/>
      <c r="C331" s="123" t="s">
        <v>571</v>
      </c>
      <c r="D331" s="52"/>
      <c r="E331" t="s">
        <v>214</v>
      </c>
    </row>
    <row r="332" spans="1:5">
      <c r="A332" s="77"/>
      <c r="B332" s="67"/>
      <c r="C332" s="123" t="s">
        <v>572</v>
      </c>
      <c r="D332" s="52"/>
      <c r="E332" t="s">
        <v>214</v>
      </c>
    </row>
    <row r="333" spans="1:5">
      <c r="A333" s="77"/>
      <c r="B333" s="67"/>
      <c r="C333" s="123" t="s">
        <v>573</v>
      </c>
      <c r="D333" s="52"/>
      <c r="E333" t="s">
        <v>214</v>
      </c>
    </row>
    <row r="334" spans="1:5">
      <c r="A334" s="77"/>
      <c r="B334" s="67"/>
      <c r="C334" s="123" t="s">
        <v>574</v>
      </c>
      <c r="D334" s="52"/>
      <c r="E334" t="s">
        <v>214</v>
      </c>
    </row>
    <row r="335" spans="1:5">
      <c r="A335" s="77"/>
      <c r="B335" s="67"/>
      <c r="C335" s="52" t="s">
        <v>575</v>
      </c>
      <c r="D335" s="52"/>
      <c r="E335" t="s">
        <v>214</v>
      </c>
    </row>
    <row r="336" spans="1:5">
      <c r="A336" s="77"/>
      <c r="B336" s="67"/>
      <c r="C336" s="52" t="s">
        <v>576</v>
      </c>
      <c r="D336" s="52"/>
      <c r="E336" t="s">
        <v>214</v>
      </c>
    </row>
    <row r="337" spans="1:5">
      <c r="A337" s="77"/>
      <c r="B337" s="67"/>
      <c r="C337" s="52" t="s">
        <v>577</v>
      </c>
      <c r="D337" s="52"/>
      <c r="E337" t="s">
        <v>214</v>
      </c>
    </row>
    <row r="338" spans="1:5">
      <c r="A338" s="77"/>
      <c r="B338" s="67"/>
      <c r="C338" s="52" t="s">
        <v>578</v>
      </c>
      <c r="D338" s="52"/>
      <c r="E338" t="s">
        <v>214</v>
      </c>
    </row>
    <row r="339" spans="1:5">
      <c r="A339" s="77"/>
      <c r="B339" s="67"/>
      <c r="C339" s="52" t="s">
        <v>579</v>
      </c>
      <c r="D339" s="52"/>
      <c r="E339" t="s">
        <v>214</v>
      </c>
    </row>
    <row r="340" spans="1:5">
      <c r="A340" s="77"/>
      <c r="B340" s="67"/>
      <c r="C340" s="52" t="s">
        <v>580</v>
      </c>
      <c r="D340" s="52"/>
      <c r="E340" t="s">
        <v>214</v>
      </c>
    </row>
    <row r="341" spans="1:5">
      <c r="A341" s="77"/>
      <c r="B341" s="67"/>
      <c r="C341" s="52" t="s">
        <v>581</v>
      </c>
      <c r="D341" s="52"/>
      <c r="E341" t="s">
        <v>214</v>
      </c>
    </row>
    <row r="342" spans="1:5">
      <c r="A342" s="77"/>
      <c r="B342" s="67"/>
      <c r="C342" s="52" t="s">
        <v>582</v>
      </c>
      <c r="D342" s="52"/>
      <c r="E342" t="s">
        <v>214</v>
      </c>
    </row>
    <row r="343" spans="1:5">
      <c r="A343" s="77"/>
      <c r="B343" s="67"/>
      <c r="C343" s="52" t="s">
        <v>583</v>
      </c>
      <c r="D343" s="52"/>
      <c r="E343" t="s">
        <v>214</v>
      </c>
    </row>
    <row r="344" spans="1:5">
      <c r="A344" s="77"/>
      <c r="B344" s="67"/>
      <c r="C344" s="52" t="s">
        <v>584</v>
      </c>
      <c r="D344" s="52"/>
      <c r="E344" t="s">
        <v>214</v>
      </c>
    </row>
    <row r="345" spans="1:5">
      <c r="A345" s="77"/>
      <c r="B345" s="67"/>
      <c r="C345" s="52" t="s">
        <v>585</v>
      </c>
      <c r="D345" s="52"/>
      <c r="E345" t="s">
        <v>214</v>
      </c>
    </row>
    <row r="346" spans="1:5">
      <c r="A346" s="77"/>
      <c r="B346" s="67"/>
      <c r="C346" s="52" t="s">
        <v>586</v>
      </c>
      <c r="D346" s="52"/>
      <c r="E346" t="s">
        <v>214</v>
      </c>
    </row>
    <row r="347" spans="1:5">
      <c r="A347" s="77"/>
      <c r="B347" s="67"/>
      <c r="C347" s="52" t="s">
        <v>587</v>
      </c>
      <c r="D347" s="52"/>
      <c r="E347" t="s">
        <v>214</v>
      </c>
    </row>
    <row r="348" spans="1:5">
      <c r="A348" s="77"/>
      <c r="B348" s="67"/>
      <c r="C348" s="52" t="s">
        <v>588</v>
      </c>
      <c r="D348" s="52"/>
      <c r="E348" t="s">
        <v>214</v>
      </c>
    </row>
    <row r="349" spans="1:5">
      <c r="A349" s="77"/>
      <c r="B349" s="67"/>
      <c r="C349" s="52" t="s">
        <v>589</v>
      </c>
      <c r="D349" s="52"/>
      <c r="E349" t="s">
        <v>214</v>
      </c>
    </row>
    <row r="350" spans="1:5">
      <c r="A350" s="77"/>
      <c r="B350" s="67"/>
      <c r="C350" s="52" t="s">
        <v>590</v>
      </c>
      <c r="D350" s="52"/>
      <c r="E350" t="s">
        <v>214</v>
      </c>
    </row>
    <row r="351" spans="1:5">
      <c r="A351" s="77"/>
      <c r="B351" s="67"/>
      <c r="C351" s="52" t="s">
        <v>591</v>
      </c>
      <c r="D351" s="52"/>
      <c r="E351" t="s">
        <v>214</v>
      </c>
    </row>
    <row r="352" spans="1:5">
      <c r="A352" s="77"/>
      <c r="B352" s="67"/>
      <c r="C352" s="52" t="s">
        <v>592</v>
      </c>
      <c r="D352" s="52"/>
      <c r="E352" t="s">
        <v>214</v>
      </c>
    </row>
    <row r="353" spans="1:5">
      <c r="A353" s="77"/>
      <c r="B353" s="67"/>
      <c r="C353" s="52" t="s">
        <v>593</v>
      </c>
      <c r="D353" s="52"/>
      <c r="E353" t="s">
        <v>214</v>
      </c>
    </row>
    <row r="354" spans="1:5">
      <c r="A354" s="77"/>
      <c r="B354" s="67"/>
      <c r="C354" s="52" t="s">
        <v>594</v>
      </c>
      <c r="D354" s="52"/>
      <c r="E354" t="s">
        <v>214</v>
      </c>
    </row>
    <row r="355" spans="1:5">
      <c r="A355" s="77"/>
      <c r="B355" s="67"/>
      <c r="C355" s="52" t="s">
        <v>595</v>
      </c>
      <c r="D355" s="52"/>
      <c r="E355" t="s">
        <v>214</v>
      </c>
    </row>
    <row r="356" spans="1:5">
      <c r="A356" s="77"/>
      <c r="B356" s="67"/>
      <c r="C356" s="52" t="s">
        <v>596</v>
      </c>
      <c r="D356" s="52"/>
      <c r="E356" t="s">
        <v>214</v>
      </c>
    </row>
    <row r="357" spans="1:5">
      <c r="A357" s="77"/>
      <c r="B357" s="67"/>
      <c r="C357" s="52" t="s">
        <v>597</v>
      </c>
      <c r="D357" s="52"/>
      <c r="E357" t="s">
        <v>214</v>
      </c>
    </row>
    <row r="358" spans="1:5">
      <c r="A358" s="77"/>
      <c r="B358" s="67"/>
      <c r="C358" s="52" t="s">
        <v>598</v>
      </c>
      <c r="D358" s="52"/>
      <c r="E358" t="s">
        <v>214</v>
      </c>
    </row>
    <row r="359" spans="1:5">
      <c r="A359" s="77"/>
      <c r="B359" s="67"/>
      <c r="C359" s="52" t="s">
        <v>599</v>
      </c>
      <c r="D359" s="52"/>
      <c r="E359" t="s">
        <v>214</v>
      </c>
    </row>
    <row r="360" spans="1:5">
      <c r="A360" s="77"/>
      <c r="B360" s="67"/>
      <c r="C360" s="52" t="s">
        <v>600</v>
      </c>
      <c r="D360" s="52"/>
      <c r="E360" t="s">
        <v>214</v>
      </c>
    </row>
    <row r="361" spans="1:5">
      <c r="A361" s="77"/>
      <c r="B361" s="67"/>
      <c r="C361" s="52" t="s">
        <v>601</v>
      </c>
      <c r="D361" s="52"/>
      <c r="E361" t="s">
        <v>214</v>
      </c>
    </row>
    <row r="362" spans="1:5">
      <c r="A362" s="77"/>
      <c r="B362" s="67"/>
      <c r="C362" s="52" t="s">
        <v>602</v>
      </c>
      <c r="D362" s="52"/>
      <c r="E362" t="s">
        <v>214</v>
      </c>
    </row>
    <row r="363" spans="1:5">
      <c r="A363" s="77"/>
      <c r="B363" s="67"/>
      <c r="C363" s="52" t="s">
        <v>603</v>
      </c>
      <c r="D363" s="52"/>
      <c r="E363" t="s">
        <v>214</v>
      </c>
    </row>
    <row r="364" spans="1:5">
      <c r="A364" s="77"/>
      <c r="B364" s="67"/>
      <c r="C364" s="52" t="s">
        <v>604</v>
      </c>
      <c r="D364" s="52"/>
      <c r="E364" t="s">
        <v>214</v>
      </c>
    </row>
    <row r="365" spans="1:5">
      <c r="A365" s="77"/>
      <c r="B365" s="67"/>
      <c r="C365" s="52" t="s">
        <v>605</v>
      </c>
      <c r="D365" s="52"/>
      <c r="E365" t="s">
        <v>214</v>
      </c>
    </row>
    <row r="366" spans="1:5">
      <c r="A366" s="77"/>
      <c r="B366" s="67"/>
      <c r="C366" s="52" t="s">
        <v>606</v>
      </c>
      <c r="D366" s="52"/>
      <c r="E366" t="s">
        <v>214</v>
      </c>
    </row>
    <row r="367" spans="1:5">
      <c r="A367" s="77"/>
      <c r="B367" s="67"/>
      <c r="C367" s="52" t="s">
        <v>607</v>
      </c>
      <c r="D367" s="52"/>
      <c r="E367" t="s">
        <v>214</v>
      </c>
    </row>
    <row r="368" spans="1:5">
      <c r="A368" s="77"/>
      <c r="B368" s="67"/>
      <c r="C368" s="52" t="s">
        <v>608</v>
      </c>
      <c r="D368" s="52"/>
      <c r="E368" t="s">
        <v>214</v>
      </c>
    </row>
    <row r="369" spans="1:5">
      <c r="A369" s="77"/>
      <c r="B369" s="67"/>
      <c r="C369" s="52" t="s">
        <v>609</v>
      </c>
      <c r="D369" s="52"/>
      <c r="E369" t="s">
        <v>214</v>
      </c>
    </row>
    <row r="370" spans="1:5">
      <c r="A370" s="77"/>
      <c r="B370" s="67"/>
      <c r="C370" s="52" t="s">
        <v>610</v>
      </c>
      <c r="D370" s="52"/>
      <c r="E370" t="s">
        <v>214</v>
      </c>
    </row>
    <row r="371" spans="1:5">
      <c r="A371" s="77"/>
      <c r="B371" s="67"/>
      <c r="C371" s="52" t="s">
        <v>611</v>
      </c>
      <c r="D371" s="52"/>
      <c r="E371" t="s">
        <v>214</v>
      </c>
    </row>
    <row r="372" spans="1:5">
      <c r="A372" s="77"/>
      <c r="B372" s="67"/>
      <c r="C372" s="52" t="s">
        <v>612</v>
      </c>
      <c r="D372" s="52"/>
      <c r="E372" t="s">
        <v>214</v>
      </c>
    </row>
    <row r="373" spans="1:5">
      <c r="A373" s="77"/>
      <c r="B373" s="67"/>
      <c r="C373" s="52" t="s">
        <v>613</v>
      </c>
      <c r="D373" s="52"/>
      <c r="E373" t="s">
        <v>214</v>
      </c>
    </row>
    <row r="374" spans="1:5">
      <c r="A374" s="77"/>
      <c r="B374" s="67"/>
      <c r="C374" s="52" t="s">
        <v>614</v>
      </c>
      <c r="D374" s="52"/>
      <c r="E374" t="s">
        <v>214</v>
      </c>
    </row>
    <row r="375" spans="1:5">
      <c r="A375" s="77"/>
      <c r="B375" s="67"/>
      <c r="C375" s="52" t="s">
        <v>615</v>
      </c>
      <c r="D375" s="52"/>
      <c r="E375" t="s">
        <v>214</v>
      </c>
    </row>
    <row r="376" spans="1:5">
      <c r="A376" s="77"/>
      <c r="B376" s="67"/>
      <c r="C376" s="52" t="s">
        <v>616</v>
      </c>
      <c r="D376" s="52"/>
      <c r="E376" t="s">
        <v>214</v>
      </c>
    </row>
    <row r="377" spans="1:5">
      <c r="A377" s="77"/>
      <c r="B377" s="67"/>
      <c r="C377" s="52" t="s">
        <v>617</v>
      </c>
      <c r="D377" s="52"/>
      <c r="E377" t="s">
        <v>214</v>
      </c>
    </row>
    <row r="378" spans="1:5">
      <c r="A378" s="77"/>
      <c r="B378" s="67"/>
      <c r="C378" s="52" t="s">
        <v>618</v>
      </c>
      <c r="D378" s="52"/>
      <c r="E378" t="s">
        <v>214</v>
      </c>
    </row>
    <row r="379" spans="1:5">
      <c r="A379" s="77"/>
      <c r="B379" s="67"/>
      <c r="C379" s="52" t="s">
        <v>619</v>
      </c>
      <c r="D379" s="52"/>
      <c r="E379" t="s">
        <v>214</v>
      </c>
    </row>
    <row r="380" spans="1:5">
      <c r="A380" s="77"/>
      <c r="B380" s="67"/>
      <c r="C380" s="52" t="s">
        <v>620</v>
      </c>
      <c r="D380" s="52"/>
      <c r="E380" t="s">
        <v>214</v>
      </c>
    </row>
    <row r="381" spans="1:5">
      <c r="A381" s="77"/>
      <c r="B381" s="67"/>
      <c r="C381" s="52" t="s">
        <v>621</v>
      </c>
      <c r="D381" s="52"/>
      <c r="E381" t="s">
        <v>214</v>
      </c>
    </row>
    <row r="382" spans="1:5">
      <c r="A382" s="77"/>
      <c r="B382" s="67"/>
      <c r="C382" s="52" t="s">
        <v>622</v>
      </c>
      <c r="D382" s="52"/>
      <c r="E382" t="s">
        <v>214</v>
      </c>
    </row>
    <row r="383" spans="1:5">
      <c r="A383" s="77"/>
      <c r="B383" s="67"/>
      <c r="C383" s="52" t="s">
        <v>623</v>
      </c>
      <c r="D383" s="52"/>
      <c r="E383" t="s">
        <v>214</v>
      </c>
    </row>
    <row r="384" spans="1:5">
      <c r="A384" s="77"/>
      <c r="B384" s="67"/>
      <c r="C384" s="52" t="s">
        <v>624</v>
      </c>
      <c r="D384" s="52"/>
      <c r="E384" t="s">
        <v>214</v>
      </c>
    </row>
    <row r="385" spans="1:5">
      <c r="A385" s="77"/>
      <c r="B385" s="67"/>
      <c r="C385" s="52" t="s">
        <v>625</v>
      </c>
      <c r="D385" s="52"/>
      <c r="E385" t="s">
        <v>214</v>
      </c>
    </row>
    <row r="386" spans="1:5">
      <c r="A386" s="77"/>
      <c r="B386" s="67"/>
      <c r="C386" s="52" t="s">
        <v>626</v>
      </c>
      <c r="D386" s="52"/>
      <c r="E386" t="s">
        <v>214</v>
      </c>
    </row>
    <row r="387" spans="1:5">
      <c r="A387" s="77"/>
      <c r="B387" s="67"/>
      <c r="C387" s="52" t="s">
        <v>627</v>
      </c>
      <c r="D387" s="52"/>
      <c r="E387" t="s">
        <v>214</v>
      </c>
    </row>
    <row r="388" spans="1:5">
      <c r="A388" s="77"/>
      <c r="B388" s="67"/>
      <c r="C388" s="52" t="s">
        <v>628</v>
      </c>
      <c r="D388" s="52"/>
      <c r="E388" t="s">
        <v>214</v>
      </c>
    </row>
    <row r="389" spans="1:5">
      <c r="A389" s="77"/>
      <c r="B389" s="67"/>
      <c r="C389" s="52" t="s">
        <v>629</v>
      </c>
      <c r="D389" s="52"/>
      <c r="E389" t="s">
        <v>214</v>
      </c>
    </row>
    <row r="390" spans="1:5">
      <c r="A390" s="77"/>
      <c r="B390" s="67"/>
      <c r="C390" s="52" t="s">
        <v>630</v>
      </c>
      <c r="D390" s="52"/>
      <c r="E390" t="s">
        <v>214</v>
      </c>
    </row>
    <row r="391" spans="1:5">
      <c r="A391" s="77"/>
      <c r="B391" s="67"/>
      <c r="C391" s="52" t="s">
        <v>631</v>
      </c>
      <c r="D391" s="52"/>
      <c r="E391" t="s">
        <v>214</v>
      </c>
    </row>
    <row r="392" spans="1:5">
      <c r="A392" s="77"/>
      <c r="B392" s="67"/>
      <c r="C392" s="52" t="s">
        <v>632</v>
      </c>
      <c r="D392" s="52"/>
      <c r="E392" t="s">
        <v>214</v>
      </c>
    </row>
    <row r="393" spans="1:5">
      <c r="A393" s="77"/>
      <c r="B393" s="67"/>
      <c r="C393" s="52" t="s">
        <v>633</v>
      </c>
      <c r="D393" s="52"/>
      <c r="E393" t="s">
        <v>214</v>
      </c>
    </row>
    <row r="394" spans="1:5">
      <c r="A394" s="77"/>
      <c r="B394" s="67"/>
      <c r="C394" s="52" t="s">
        <v>634</v>
      </c>
      <c r="D394" s="52"/>
      <c r="E394" t="s">
        <v>214</v>
      </c>
    </row>
    <row r="395" spans="1:5">
      <c r="A395" s="77"/>
      <c r="B395" s="67"/>
      <c r="C395" s="52" t="s">
        <v>635</v>
      </c>
      <c r="D395" s="52"/>
      <c r="E395" t="s">
        <v>214</v>
      </c>
    </row>
    <row r="396" spans="1:5">
      <c r="A396" s="77"/>
      <c r="B396" s="67"/>
      <c r="C396" s="52" t="s">
        <v>636</v>
      </c>
      <c r="D396" s="52"/>
      <c r="E396" t="s">
        <v>214</v>
      </c>
    </row>
    <row r="397" spans="1:5">
      <c r="A397" s="77"/>
      <c r="B397" s="67"/>
      <c r="C397" s="52" t="s">
        <v>637</v>
      </c>
      <c r="D397" s="52"/>
      <c r="E397" t="s">
        <v>214</v>
      </c>
    </row>
    <row r="398" spans="1:5">
      <c r="A398" s="77"/>
      <c r="B398" s="67"/>
      <c r="C398" s="52" t="s">
        <v>638</v>
      </c>
      <c r="D398" s="52"/>
      <c r="E398" t="s">
        <v>214</v>
      </c>
    </row>
    <row r="399" spans="1:5">
      <c r="A399" s="77"/>
      <c r="B399" s="67"/>
      <c r="C399" s="52" t="s">
        <v>639</v>
      </c>
      <c r="D399" s="52"/>
      <c r="E399" t="s">
        <v>214</v>
      </c>
    </row>
    <row r="400" spans="1:5">
      <c r="A400" s="77"/>
      <c r="B400" s="67"/>
      <c r="C400" s="52" t="s">
        <v>640</v>
      </c>
      <c r="D400" s="52"/>
      <c r="E400" t="s">
        <v>214</v>
      </c>
    </row>
    <row r="401" spans="1:5">
      <c r="A401" s="77"/>
      <c r="B401" s="67"/>
      <c r="C401" s="52" t="s">
        <v>641</v>
      </c>
      <c r="D401" s="52"/>
      <c r="E401" t="s">
        <v>214</v>
      </c>
    </row>
    <row r="402" spans="1:5">
      <c r="A402" s="77"/>
      <c r="B402" s="67"/>
      <c r="C402" s="52" t="s">
        <v>642</v>
      </c>
      <c r="D402" s="52"/>
      <c r="E402" t="s">
        <v>214</v>
      </c>
    </row>
    <row r="403" spans="1:5">
      <c r="A403" s="77"/>
      <c r="B403" s="67"/>
      <c r="C403" s="52" t="s">
        <v>643</v>
      </c>
      <c r="D403" s="52"/>
      <c r="E403" t="s">
        <v>214</v>
      </c>
    </row>
    <row r="404" spans="1:5">
      <c r="A404" s="77"/>
      <c r="B404" s="67"/>
      <c r="C404" s="52" t="s">
        <v>644</v>
      </c>
      <c r="D404" s="52"/>
      <c r="E404" t="s">
        <v>214</v>
      </c>
    </row>
    <row r="405" spans="1:5">
      <c r="A405" s="77"/>
      <c r="B405" s="67"/>
      <c r="C405" s="52" t="s">
        <v>645</v>
      </c>
      <c r="D405" s="52"/>
      <c r="E405" t="s">
        <v>214</v>
      </c>
    </row>
    <row r="406" spans="1:5">
      <c r="A406" s="77"/>
      <c r="B406" s="67"/>
      <c r="C406" s="52" t="s">
        <v>646</v>
      </c>
      <c r="D406" s="52"/>
      <c r="E406" t="s">
        <v>214</v>
      </c>
    </row>
    <row r="407" spans="1:5">
      <c r="A407" s="77"/>
      <c r="B407" s="67"/>
      <c r="C407" s="52" t="s">
        <v>647</v>
      </c>
      <c r="D407" s="52"/>
      <c r="E407" t="s">
        <v>214</v>
      </c>
    </row>
    <row r="408" spans="1:5">
      <c r="A408" s="77"/>
      <c r="B408" s="67"/>
      <c r="C408" s="52" t="s">
        <v>648</v>
      </c>
      <c r="D408" s="52"/>
      <c r="E408" t="s">
        <v>214</v>
      </c>
    </row>
    <row r="409" spans="1:5">
      <c r="A409" s="77"/>
      <c r="B409" s="67"/>
      <c r="C409" s="52" t="s">
        <v>649</v>
      </c>
      <c r="D409" s="52"/>
      <c r="E409" t="s">
        <v>214</v>
      </c>
    </row>
    <row r="410" spans="1:5">
      <c r="A410" s="77"/>
      <c r="B410" s="67"/>
      <c r="C410" s="52" t="s">
        <v>650</v>
      </c>
      <c r="D410" s="52"/>
      <c r="E410" t="s">
        <v>214</v>
      </c>
    </row>
    <row r="411" spans="1:5">
      <c r="A411" s="77"/>
      <c r="B411" s="67"/>
      <c r="C411" s="52" t="s">
        <v>651</v>
      </c>
      <c r="D411" s="52"/>
      <c r="E411" t="s">
        <v>214</v>
      </c>
    </row>
    <row r="412" spans="1:5">
      <c r="A412" s="77"/>
      <c r="B412" s="67"/>
      <c r="C412" s="52" t="s">
        <v>652</v>
      </c>
      <c r="D412" s="52"/>
      <c r="E412" t="s">
        <v>214</v>
      </c>
    </row>
    <row r="413" spans="1:5">
      <c r="A413" s="77"/>
      <c r="B413" s="67"/>
      <c r="C413" s="52" t="s">
        <v>653</v>
      </c>
      <c r="D413" s="52"/>
      <c r="E413" t="s">
        <v>214</v>
      </c>
    </row>
    <row r="414" spans="1:5">
      <c r="A414" s="77"/>
      <c r="B414" s="67"/>
      <c r="C414" s="52" t="s">
        <v>654</v>
      </c>
      <c r="D414" s="52"/>
      <c r="E414" t="s">
        <v>214</v>
      </c>
    </row>
    <row r="415" spans="1:5">
      <c r="A415" s="77"/>
      <c r="B415" s="67"/>
      <c r="C415" s="52" t="s">
        <v>655</v>
      </c>
      <c r="D415" s="52"/>
      <c r="E415" t="s">
        <v>214</v>
      </c>
    </row>
    <row r="416" spans="1:5">
      <c r="A416" s="77"/>
      <c r="B416" s="67"/>
      <c r="C416" s="52" t="s">
        <v>656</v>
      </c>
      <c r="D416" s="52"/>
      <c r="E416" t="s">
        <v>214</v>
      </c>
    </row>
    <row r="417" spans="1:5">
      <c r="A417" s="77"/>
      <c r="B417" s="67"/>
      <c r="C417" s="52" t="s">
        <v>657</v>
      </c>
      <c r="D417" s="52"/>
      <c r="E417" t="s">
        <v>214</v>
      </c>
    </row>
    <row r="418" spans="1:5">
      <c r="A418" s="77"/>
      <c r="B418" s="67"/>
      <c r="C418" s="52" t="s">
        <v>658</v>
      </c>
      <c r="D418" s="52"/>
      <c r="E418" t="s">
        <v>214</v>
      </c>
    </row>
    <row r="419" spans="1:5">
      <c r="A419" s="77"/>
      <c r="B419" s="67"/>
      <c r="C419" s="52" t="s">
        <v>659</v>
      </c>
      <c r="D419" s="52"/>
      <c r="E419" t="s">
        <v>214</v>
      </c>
    </row>
    <row r="420" spans="1:5">
      <c r="A420" s="77"/>
      <c r="B420" s="67"/>
      <c r="C420" s="52" t="s">
        <v>660</v>
      </c>
      <c r="D420" s="52"/>
      <c r="E420" t="s">
        <v>214</v>
      </c>
    </row>
    <row r="421" spans="1:5">
      <c r="A421" s="77"/>
      <c r="B421" s="67"/>
      <c r="C421" s="52" t="s">
        <v>661</v>
      </c>
      <c r="D421" s="52"/>
      <c r="E421" t="s">
        <v>214</v>
      </c>
    </row>
    <row r="422" spans="1:5">
      <c r="A422" s="77"/>
      <c r="B422" s="67"/>
      <c r="C422" s="52" t="s">
        <v>662</v>
      </c>
      <c r="D422" s="52"/>
      <c r="E422" t="s">
        <v>214</v>
      </c>
    </row>
    <row r="423" spans="1:5">
      <c r="A423" s="77"/>
      <c r="B423" s="67"/>
      <c r="C423" s="52" t="s">
        <v>663</v>
      </c>
      <c r="D423" s="52"/>
      <c r="E423" t="s">
        <v>214</v>
      </c>
    </row>
    <row r="424" spans="1:5">
      <c r="A424" s="77"/>
      <c r="B424" s="67"/>
      <c r="C424" s="52" t="s">
        <v>664</v>
      </c>
      <c r="D424" s="52"/>
      <c r="E424" t="s">
        <v>214</v>
      </c>
    </row>
    <row r="425" spans="1:5">
      <c r="A425" s="77"/>
      <c r="B425" s="67"/>
      <c r="C425" s="52" t="s">
        <v>665</v>
      </c>
      <c r="D425" s="52"/>
      <c r="E425" t="s">
        <v>214</v>
      </c>
    </row>
    <row r="426" spans="1:5">
      <c r="A426" s="77"/>
      <c r="B426" s="67"/>
      <c r="C426" s="52" t="s">
        <v>666</v>
      </c>
      <c r="D426" s="52"/>
      <c r="E426" t="s">
        <v>214</v>
      </c>
    </row>
    <row r="427" spans="1:5">
      <c r="A427" s="77"/>
      <c r="B427" s="67"/>
      <c r="C427" s="52" t="s">
        <v>667</v>
      </c>
      <c r="D427" s="52"/>
      <c r="E427" t="s">
        <v>214</v>
      </c>
    </row>
    <row r="428" spans="1:5">
      <c r="A428" s="77"/>
      <c r="B428" s="67"/>
      <c r="C428" s="52" t="s">
        <v>668</v>
      </c>
      <c r="D428" s="52"/>
      <c r="E428" t="s">
        <v>214</v>
      </c>
    </row>
    <row r="429" spans="1:5">
      <c r="A429" s="77"/>
      <c r="B429" s="67"/>
      <c r="C429" s="52" t="s">
        <v>669</v>
      </c>
      <c r="D429" s="52"/>
      <c r="E429" t="s">
        <v>214</v>
      </c>
    </row>
    <row r="430" spans="1:5">
      <c r="A430" s="77"/>
      <c r="B430" s="67"/>
      <c r="C430" s="52" t="s">
        <v>670</v>
      </c>
      <c r="D430" s="52"/>
      <c r="E430" t="s">
        <v>214</v>
      </c>
    </row>
    <row r="431" spans="1:5">
      <c r="A431" s="77"/>
      <c r="B431" s="67"/>
      <c r="C431" s="52" t="s">
        <v>671</v>
      </c>
      <c r="D431" s="52"/>
      <c r="E431" t="s">
        <v>214</v>
      </c>
    </row>
    <row r="432" spans="1:5">
      <c r="A432" s="77"/>
      <c r="B432" s="67"/>
      <c r="C432" s="52" t="s">
        <v>672</v>
      </c>
      <c r="D432" s="52"/>
      <c r="E432" t="s">
        <v>214</v>
      </c>
    </row>
    <row r="433" spans="1:5">
      <c r="A433" s="77"/>
      <c r="B433" s="67"/>
      <c r="C433" s="52" t="s">
        <v>673</v>
      </c>
      <c r="D433" s="52"/>
      <c r="E433" t="s">
        <v>214</v>
      </c>
    </row>
    <row r="434" spans="1:5">
      <c r="A434" s="77"/>
      <c r="B434" s="67"/>
      <c r="C434" s="52" t="s">
        <v>674</v>
      </c>
      <c r="D434" s="52"/>
      <c r="E434" t="s">
        <v>214</v>
      </c>
    </row>
    <row r="435" spans="1:5">
      <c r="A435" s="77"/>
      <c r="B435" s="67"/>
      <c r="C435" s="52" t="s">
        <v>675</v>
      </c>
      <c r="D435" s="52"/>
      <c r="E435" t="s">
        <v>214</v>
      </c>
    </row>
    <row r="436" spans="1:5">
      <c r="A436" s="77"/>
      <c r="B436" s="67"/>
      <c r="C436" s="52" t="s">
        <v>676</v>
      </c>
      <c r="D436" s="52"/>
      <c r="E436" t="s">
        <v>214</v>
      </c>
    </row>
    <row r="437" spans="1:5">
      <c r="A437" s="77"/>
      <c r="B437" s="67"/>
      <c r="C437" s="52" t="s">
        <v>677</v>
      </c>
      <c r="D437" s="52"/>
      <c r="E437" t="s">
        <v>214</v>
      </c>
    </row>
    <row r="438" spans="1:5">
      <c r="A438" s="77"/>
      <c r="B438" s="67"/>
      <c r="C438" s="52" t="s">
        <v>678</v>
      </c>
      <c r="D438" s="52"/>
      <c r="E438" t="s">
        <v>214</v>
      </c>
    </row>
    <row r="439" spans="1:5">
      <c r="A439" s="77"/>
      <c r="B439" s="67"/>
      <c r="C439" s="52" t="s">
        <v>679</v>
      </c>
      <c r="D439" s="52"/>
      <c r="E439" t="s">
        <v>214</v>
      </c>
    </row>
    <row r="440" spans="1:5">
      <c r="A440" s="77"/>
      <c r="B440" s="67"/>
      <c r="C440" s="52" t="s">
        <v>680</v>
      </c>
      <c r="D440" s="52"/>
      <c r="E440" t="s">
        <v>214</v>
      </c>
    </row>
    <row r="441" spans="1:5">
      <c r="A441" s="77"/>
      <c r="B441" s="67"/>
      <c r="C441" s="52" t="s">
        <v>681</v>
      </c>
      <c r="D441" s="52"/>
      <c r="E441" t="s">
        <v>214</v>
      </c>
    </row>
    <row r="442" spans="1:5">
      <c r="A442" s="77"/>
      <c r="B442" s="67"/>
      <c r="C442" s="52" t="s">
        <v>682</v>
      </c>
      <c r="D442" s="52"/>
      <c r="E442" t="s">
        <v>214</v>
      </c>
    </row>
    <row r="443" spans="1:5">
      <c r="A443" s="77"/>
      <c r="B443" s="67"/>
      <c r="C443" s="52" t="s">
        <v>683</v>
      </c>
      <c r="D443" s="52"/>
      <c r="E443" t="s">
        <v>214</v>
      </c>
    </row>
    <row r="444" spans="1:5">
      <c r="A444" s="77"/>
      <c r="B444" s="67"/>
      <c r="C444" s="52" t="s">
        <v>684</v>
      </c>
      <c r="D444" s="52"/>
      <c r="E444" t="s">
        <v>214</v>
      </c>
    </row>
    <row r="445" spans="1:5">
      <c r="A445" s="77"/>
      <c r="B445" s="67"/>
      <c r="C445" s="52" t="s">
        <v>685</v>
      </c>
      <c r="D445" s="52"/>
      <c r="E445" t="s">
        <v>214</v>
      </c>
    </row>
    <row r="446" spans="1:5">
      <c r="A446" s="77"/>
      <c r="B446" s="67"/>
      <c r="C446" s="52" t="s">
        <v>686</v>
      </c>
      <c r="D446" s="52"/>
      <c r="E446" t="s">
        <v>214</v>
      </c>
    </row>
    <row r="447" spans="1:5">
      <c r="A447" s="77"/>
      <c r="B447" s="67"/>
      <c r="C447" s="52" t="s">
        <v>687</v>
      </c>
      <c r="D447" s="52"/>
      <c r="E447" t="s">
        <v>214</v>
      </c>
    </row>
    <row r="448" spans="1:5">
      <c r="A448" s="77"/>
      <c r="B448" s="67"/>
      <c r="C448" s="52" t="s">
        <v>688</v>
      </c>
      <c r="D448" s="52"/>
      <c r="E448" t="s">
        <v>214</v>
      </c>
    </row>
    <row r="449" spans="1:5">
      <c r="A449" s="77"/>
      <c r="B449" s="67"/>
      <c r="C449" s="52" t="s">
        <v>689</v>
      </c>
      <c r="D449" s="52"/>
      <c r="E449" t="s">
        <v>214</v>
      </c>
    </row>
    <row r="450" spans="1:5">
      <c r="A450" s="77"/>
      <c r="B450" s="67"/>
      <c r="C450" s="52" t="s">
        <v>690</v>
      </c>
      <c r="D450" s="52"/>
      <c r="E450" t="s">
        <v>214</v>
      </c>
    </row>
    <row r="451" spans="1:5">
      <c r="A451" s="77"/>
      <c r="B451" s="67"/>
      <c r="C451" s="52" t="s">
        <v>691</v>
      </c>
      <c r="D451" s="52"/>
      <c r="E451" t="s">
        <v>214</v>
      </c>
    </row>
    <row r="452" spans="1:5">
      <c r="A452" s="77"/>
      <c r="B452" s="67"/>
      <c r="C452" s="52" t="s">
        <v>692</v>
      </c>
      <c r="D452" s="52"/>
      <c r="E452" t="s">
        <v>214</v>
      </c>
    </row>
    <row r="453" spans="1:5">
      <c r="A453" s="77"/>
      <c r="B453" s="67"/>
      <c r="C453" s="52" t="s">
        <v>693</v>
      </c>
      <c r="D453" s="52"/>
      <c r="E453" t="s">
        <v>214</v>
      </c>
    </row>
    <row r="454" spans="1:5">
      <c r="A454" s="77"/>
      <c r="B454" s="67"/>
      <c r="C454" s="52" t="s">
        <v>694</v>
      </c>
      <c r="D454" s="52"/>
      <c r="E454" t="s">
        <v>214</v>
      </c>
    </row>
    <row r="455" spans="1:5">
      <c r="A455" s="77"/>
      <c r="B455" s="67"/>
      <c r="C455" s="52" t="s">
        <v>695</v>
      </c>
      <c r="D455" s="52"/>
      <c r="E455" t="s">
        <v>214</v>
      </c>
    </row>
    <row r="456" spans="1:5">
      <c r="A456" s="77"/>
      <c r="B456" s="67"/>
      <c r="C456" s="52" t="s">
        <v>696</v>
      </c>
      <c r="D456" s="52"/>
      <c r="E456" t="s">
        <v>214</v>
      </c>
    </row>
    <row r="457" spans="1:5">
      <c r="A457" s="77"/>
      <c r="B457" s="67"/>
      <c r="C457" s="52" t="s">
        <v>697</v>
      </c>
      <c r="D457" s="52"/>
      <c r="E457" t="s">
        <v>214</v>
      </c>
    </row>
    <row r="458" spans="1:5">
      <c r="A458" s="77"/>
      <c r="B458" s="67"/>
      <c r="C458" s="52" t="s">
        <v>698</v>
      </c>
      <c r="D458" s="52"/>
      <c r="E458" t="s">
        <v>214</v>
      </c>
    </row>
    <row r="459" spans="1:5">
      <c r="A459" s="77"/>
      <c r="B459" s="67"/>
      <c r="C459" s="52" t="s">
        <v>699</v>
      </c>
      <c r="D459" s="52"/>
      <c r="E459" t="s">
        <v>214</v>
      </c>
    </row>
    <row r="460" spans="1:5">
      <c r="A460" s="77"/>
      <c r="B460" s="67"/>
      <c r="C460" s="52" t="s">
        <v>700</v>
      </c>
      <c r="D460" s="52"/>
      <c r="E460" t="s">
        <v>214</v>
      </c>
    </row>
    <row r="461" spans="1:5">
      <c r="A461" s="77"/>
      <c r="B461" s="67"/>
      <c r="C461" s="52" t="s">
        <v>701</v>
      </c>
      <c r="D461" s="52"/>
      <c r="E461" t="s">
        <v>214</v>
      </c>
    </row>
    <row r="462" spans="1:5">
      <c r="A462" s="77"/>
      <c r="B462" s="67"/>
      <c r="C462" s="52" t="s">
        <v>702</v>
      </c>
      <c r="D462" s="52"/>
      <c r="E462" t="s">
        <v>214</v>
      </c>
    </row>
    <row r="463" spans="1:5">
      <c r="A463" s="77"/>
      <c r="B463" s="67"/>
      <c r="C463" s="52" t="s">
        <v>703</v>
      </c>
      <c r="D463" s="52"/>
      <c r="E463" t="s">
        <v>214</v>
      </c>
    </row>
    <row r="464" spans="1:5">
      <c r="A464" s="77"/>
      <c r="B464" s="67"/>
      <c r="C464" s="52" t="s">
        <v>704</v>
      </c>
      <c r="D464" s="52"/>
      <c r="E464" t="s">
        <v>214</v>
      </c>
    </row>
    <row r="465" spans="1:5">
      <c r="A465" s="77"/>
      <c r="B465" s="67"/>
      <c r="C465" s="52" t="s">
        <v>705</v>
      </c>
      <c r="D465" s="52"/>
      <c r="E465" t="s">
        <v>214</v>
      </c>
    </row>
    <row r="466" spans="1:5">
      <c r="A466" s="77"/>
      <c r="B466" s="67"/>
      <c r="C466" s="52" t="s">
        <v>706</v>
      </c>
      <c r="D466" s="52"/>
      <c r="E466" t="s">
        <v>214</v>
      </c>
    </row>
    <row r="467" spans="1:5">
      <c r="A467" s="77"/>
      <c r="B467" s="67"/>
      <c r="C467" s="52" t="s">
        <v>707</v>
      </c>
      <c r="D467" s="52"/>
      <c r="E467" t="s">
        <v>214</v>
      </c>
    </row>
    <row r="468" spans="1:5">
      <c r="A468" s="77"/>
      <c r="B468" s="67"/>
      <c r="C468" s="52" t="s">
        <v>708</v>
      </c>
      <c r="D468" s="52"/>
      <c r="E468" t="s">
        <v>214</v>
      </c>
    </row>
    <row r="469" spans="1:5">
      <c r="A469" s="77"/>
      <c r="B469" s="67"/>
      <c r="C469" s="52" t="s">
        <v>709</v>
      </c>
      <c r="D469" s="52"/>
      <c r="E469" t="s">
        <v>214</v>
      </c>
    </row>
    <row r="470" spans="1:5">
      <c r="A470" s="77"/>
      <c r="B470" s="67"/>
      <c r="C470" s="52" t="s">
        <v>710</v>
      </c>
      <c r="D470" s="52"/>
      <c r="E470" t="s">
        <v>214</v>
      </c>
    </row>
    <row r="471" spans="1:5">
      <c r="A471" s="77"/>
      <c r="B471" s="67"/>
      <c r="C471" s="52" t="s">
        <v>711</v>
      </c>
      <c r="D471" s="52"/>
      <c r="E471" t="s">
        <v>214</v>
      </c>
    </row>
    <row r="472" spans="1:5">
      <c r="A472" s="77"/>
      <c r="B472" s="67"/>
      <c r="C472" s="52" t="s">
        <v>712</v>
      </c>
      <c r="D472" s="52"/>
      <c r="E472" t="s">
        <v>214</v>
      </c>
    </row>
    <row r="473" spans="1:5">
      <c r="A473" s="77"/>
      <c r="B473" s="67"/>
      <c r="C473" s="52" t="s">
        <v>713</v>
      </c>
      <c r="D473" s="52"/>
      <c r="E473" t="s">
        <v>214</v>
      </c>
    </row>
    <row r="474" spans="1:5">
      <c r="A474" s="77"/>
      <c r="B474" s="67"/>
      <c r="C474" s="52" t="s">
        <v>714</v>
      </c>
      <c r="D474" s="52"/>
      <c r="E474" t="s">
        <v>214</v>
      </c>
    </row>
    <row r="475" spans="1:5">
      <c r="A475" s="77"/>
      <c r="B475" s="67"/>
      <c r="C475" s="52" t="s">
        <v>715</v>
      </c>
      <c r="D475" s="52"/>
      <c r="E475" t="s">
        <v>214</v>
      </c>
    </row>
    <row r="476" spans="1:5">
      <c r="A476" s="77"/>
      <c r="B476" s="67"/>
      <c r="C476" s="52" t="s">
        <v>716</v>
      </c>
      <c r="D476" s="52"/>
      <c r="E476" t="s">
        <v>214</v>
      </c>
    </row>
    <row r="477" spans="1:5">
      <c r="A477" s="77"/>
      <c r="B477" s="67"/>
      <c r="C477" s="52" t="s">
        <v>717</v>
      </c>
      <c r="D477" s="52"/>
      <c r="E477" t="s">
        <v>214</v>
      </c>
    </row>
    <row r="478" spans="1:5">
      <c r="A478" s="77"/>
      <c r="B478" s="67"/>
      <c r="C478" s="52" t="s">
        <v>718</v>
      </c>
      <c r="D478" s="52"/>
      <c r="E478" t="s">
        <v>214</v>
      </c>
    </row>
    <row r="479" spans="1:5">
      <c r="A479" s="77"/>
      <c r="B479" s="67"/>
      <c r="C479" s="52" t="s">
        <v>719</v>
      </c>
      <c r="D479" s="52"/>
      <c r="E479" t="s">
        <v>214</v>
      </c>
    </row>
    <row r="480" spans="1:5">
      <c r="A480" s="77"/>
      <c r="B480" s="67"/>
      <c r="C480" s="52" t="s">
        <v>720</v>
      </c>
      <c r="D480" s="52"/>
      <c r="E480" t="s">
        <v>214</v>
      </c>
    </row>
    <row r="481" spans="1:5">
      <c r="A481" s="77"/>
      <c r="B481" s="67"/>
      <c r="C481" s="52" t="s">
        <v>721</v>
      </c>
      <c r="D481" s="52"/>
      <c r="E481" t="s">
        <v>214</v>
      </c>
    </row>
    <row r="482" spans="1:5">
      <c r="A482" s="77"/>
      <c r="B482" s="67"/>
      <c r="C482" s="52" t="s">
        <v>722</v>
      </c>
      <c r="D482" s="52"/>
      <c r="E482" t="s">
        <v>214</v>
      </c>
    </row>
    <row r="483" spans="1:5">
      <c r="A483" s="77"/>
      <c r="B483" s="67"/>
      <c r="C483" s="52" t="s">
        <v>723</v>
      </c>
      <c r="D483" s="52"/>
      <c r="E483" t="s">
        <v>214</v>
      </c>
    </row>
    <row r="484" spans="1:5">
      <c r="A484" s="77"/>
      <c r="B484" s="67"/>
      <c r="C484" s="52" t="s">
        <v>724</v>
      </c>
      <c r="D484" s="52"/>
      <c r="E484" t="s">
        <v>214</v>
      </c>
    </row>
    <row r="485" spans="1:5">
      <c r="A485" s="77"/>
      <c r="B485" s="67"/>
      <c r="C485" s="52" t="s">
        <v>725</v>
      </c>
      <c r="D485" s="52"/>
      <c r="E485" t="s">
        <v>214</v>
      </c>
    </row>
    <row r="486" spans="1:5">
      <c r="A486" s="77"/>
      <c r="B486" s="67"/>
      <c r="C486" s="52" t="s">
        <v>726</v>
      </c>
      <c r="D486" s="52"/>
      <c r="E486" t="s">
        <v>214</v>
      </c>
    </row>
    <row r="487" spans="1:5">
      <c r="A487" s="77"/>
      <c r="B487" s="67"/>
      <c r="C487" s="52" t="s">
        <v>727</v>
      </c>
      <c r="D487" s="52"/>
      <c r="E487" t="s">
        <v>214</v>
      </c>
    </row>
    <row r="488" spans="1:5">
      <c r="A488" s="77"/>
      <c r="B488" s="67"/>
      <c r="C488" s="52" t="s">
        <v>728</v>
      </c>
      <c r="D488" s="52"/>
      <c r="E488" t="s">
        <v>214</v>
      </c>
    </row>
    <row r="489" spans="1:5">
      <c r="A489" s="77"/>
      <c r="B489" s="67"/>
      <c r="C489" s="52" t="s">
        <v>164</v>
      </c>
      <c r="D489" s="52"/>
    </row>
    <row r="490" spans="1:5">
      <c r="A490" s="77"/>
      <c r="B490" s="67"/>
      <c r="C490" s="52" t="s">
        <v>729</v>
      </c>
      <c r="D490" s="52"/>
    </row>
    <row r="491" spans="1:5">
      <c r="A491" s="77"/>
      <c r="B491" s="67"/>
      <c r="C491" s="52" t="s">
        <v>730</v>
      </c>
      <c r="D491" s="52"/>
    </row>
    <row r="492" spans="1:5">
      <c r="A492" s="77"/>
      <c r="B492" s="67"/>
      <c r="C492" s="52" t="s">
        <v>731</v>
      </c>
      <c r="D492" s="52"/>
    </row>
    <row r="493" spans="1:5">
      <c r="A493" s="77"/>
      <c r="B493" s="67"/>
      <c r="C493" s="52" t="s">
        <v>732</v>
      </c>
      <c r="D493" s="52"/>
    </row>
    <row r="494" spans="1:5">
      <c r="A494" s="77"/>
      <c r="B494" s="67"/>
      <c r="C494" s="52" t="s">
        <v>733</v>
      </c>
      <c r="D494" s="52"/>
    </row>
    <row r="495" spans="1:5">
      <c r="A495" s="77"/>
      <c r="B495" s="67"/>
      <c r="C495" s="52" t="s">
        <v>734</v>
      </c>
      <c r="D495" s="52"/>
    </row>
    <row r="496" spans="1:5">
      <c r="A496" s="77"/>
      <c r="B496" s="67"/>
      <c r="C496" s="52" t="s">
        <v>735</v>
      </c>
      <c r="D496" s="52"/>
    </row>
    <row r="497" spans="1:4">
      <c r="A497" s="77"/>
      <c r="B497" s="67"/>
      <c r="C497" s="52" t="s">
        <v>736</v>
      </c>
      <c r="D497" s="52"/>
    </row>
    <row r="498" spans="1:4">
      <c r="A498" s="78"/>
      <c r="B498" s="68"/>
      <c r="C498" s="52" t="s">
        <v>566</v>
      </c>
      <c r="D498" s="52"/>
    </row>
    <row r="499" spans="1:4">
      <c r="A499" s="108"/>
      <c r="B499" s="112" t="s">
        <v>737</v>
      </c>
      <c r="C499" s="50" t="s">
        <v>436</v>
      </c>
      <c r="D499" s="50"/>
    </row>
    <row r="500" spans="1:4">
      <c r="A500" s="59"/>
      <c r="B500" s="112"/>
      <c r="C500" s="50" t="s">
        <v>738</v>
      </c>
      <c r="D500" s="50"/>
    </row>
    <row r="501" spans="1:4">
      <c r="A501" s="59"/>
      <c r="B501" s="112"/>
      <c r="C501" s="50" t="s">
        <v>739</v>
      </c>
      <c r="D501" s="50"/>
    </row>
    <row r="502" spans="1:4">
      <c r="A502" s="59"/>
      <c r="B502" s="112"/>
      <c r="C502" s="50" t="s">
        <v>740</v>
      </c>
      <c r="D502" s="50"/>
    </row>
    <row r="503" spans="1:4">
      <c r="A503" s="59"/>
      <c r="B503" s="112"/>
      <c r="C503" s="50" t="s">
        <v>741</v>
      </c>
      <c r="D503" s="50"/>
    </row>
    <row r="504" spans="1:4">
      <c r="A504" s="59"/>
      <c r="B504" s="112"/>
      <c r="C504" s="50" t="s">
        <v>742</v>
      </c>
      <c r="D504" s="50"/>
    </row>
    <row r="505" spans="1:4">
      <c r="A505" s="59"/>
      <c r="B505" s="112"/>
      <c r="C505" s="50" t="s">
        <v>743</v>
      </c>
      <c r="D505" s="50"/>
    </row>
    <row r="506" spans="1:4">
      <c r="A506" s="59"/>
      <c r="B506" s="112"/>
      <c r="C506" s="50" t="s">
        <v>744</v>
      </c>
      <c r="D506" s="50"/>
    </row>
    <row r="507" spans="1:4">
      <c r="A507" s="59"/>
      <c r="B507" s="112"/>
      <c r="C507" s="50" t="s">
        <v>745</v>
      </c>
      <c r="D507" s="50"/>
    </row>
    <row r="508" spans="1:4">
      <c r="A508" s="59"/>
      <c r="B508" s="112"/>
      <c r="C508" s="50" t="s">
        <v>746</v>
      </c>
      <c r="D508" s="50"/>
    </row>
    <row r="509" spans="1:4">
      <c r="A509" s="59"/>
      <c r="B509" s="112"/>
      <c r="C509" s="50" t="s">
        <v>747</v>
      </c>
      <c r="D509" s="50"/>
    </row>
    <row r="510" spans="1:4">
      <c r="A510" s="59"/>
      <c r="B510" s="112"/>
      <c r="C510" s="50" t="s">
        <v>748</v>
      </c>
      <c r="D510" s="50"/>
    </row>
    <row r="511" spans="1:4">
      <c r="A511" s="59"/>
      <c r="B511" s="112"/>
      <c r="C511" s="50" t="s">
        <v>749</v>
      </c>
      <c r="D511" s="50"/>
    </row>
    <row r="512" spans="1:4">
      <c r="A512" s="59"/>
      <c r="B512" s="112"/>
      <c r="C512" s="50" t="s">
        <v>482</v>
      </c>
      <c r="D512" s="50"/>
    </row>
    <row r="513" spans="1:4">
      <c r="A513" s="59"/>
      <c r="B513" s="112"/>
      <c r="C513" s="50" t="s">
        <v>164</v>
      </c>
      <c r="D513" s="50"/>
    </row>
    <row r="514" spans="1:4">
      <c r="A514" s="77"/>
      <c r="B514" s="63" t="s">
        <v>750</v>
      </c>
      <c r="C514" s="52" t="s">
        <v>337</v>
      </c>
      <c r="D514" s="52"/>
    </row>
    <row r="515" spans="1:4">
      <c r="A515" s="78"/>
      <c r="B515" s="65"/>
      <c r="C515" s="52" t="s">
        <v>134</v>
      </c>
      <c r="D515" s="52"/>
    </row>
    <row r="516" spans="1:4">
      <c r="A516" s="59"/>
      <c r="B516" s="112" t="s">
        <v>751</v>
      </c>
      <c r="C516" s="50" t="s">
        <v>752</v>
      </c>
      <c r="D516" s="50"/>
    </row>
    <row r="517" spans="1:4">
      <c r="A517" s="59"/>
      <c r="B517" s="112"/>
      <c r="C517" s="50" t="s">
        <v>753</v>
      </c>
      <c r="D517" s="50"/>
    </row>
    <row r="518" spans="1:4">
      <c r="A518" s="59"/>
      <c r="B518" s="112"/>
      <c r="C518" s="50" t="s">
        <v>754</v>
      </c>
      <c r="D518" s="50"/>
    </row>
    <row r="519" spans="1:4">
      <c r="A519" s="59"/>
      <c r="B519" s="112"/>
      <c r="C519" s="50" t="s">
        <v>755</v>
      </c>
      <c r="D519" s="50"/>
    </row>
    <row r="520" spans="1:4">
      <c r="A520" s="110"/>
      <c r="B520" s="63" t="s">
        <v>756</v>
      </c>
      <c r="C520" s="52" t="s">
        <v>757</v>
      </c>
      <c r="D520" s="52"/>
    </row>
    <row r="521" spans="1:4">
      <c r="A521" s="75"/>
      <c r="B521" s="64"/>
      <c r="C521" s="52" t="s">
        <v>758</v>
      </c>
      <c r="D521" s="52"/>
    </row>
    <row r="522" spans="1:4">
      <c r="A522" s="75"/>
      <c r="B522" s="64"/>
      <c r="C522" s="52" t="s">
        <v>759</v>
      </c>
      <c r="D522" s="52"/>
    </row>
    <row r="523" spans="1:4">
      <c r="A523" s="75"/>
      <c r="B523" s="64"/>
      <c r="C523" s="52" t="s">
        <v>760</v>
      </c>
      <c r="D523" s="52"/>
    </row>
    <row r="524" spans="1:4">
      <c r="A524" s="75"/>
      <c r="B524" s="64"/>
      <c r="C524" s="52" t="s">
        <v>761</v>
      </c>
      <c r="D524" s="52"/>
    </row>
    <row r="525" spans="1:4">
      <c r="A525" s="75"/>
      <c r="B525" s="64"/>
      <c r="C525" s="52" t="s">
        <v>762</v>
      </c>
      <c r="D525" s="52"/>
    </row>
    <row r="526" spans="1:4">
      <c r="A526" s="75"/>
      <c r="B526" s="64"/>
      <c r="C526" s="52" t="s">
        <v>763</v>
      </c>
      <c r="D526" s="52"/>
    </row>
    <row r="527" spans="1:4">
      <c r="A527" s="75"/>
      <c r="B527" s="64"/>
      <c r="C527" s="52" t="s">
        <v>764</v>
      </c>
      <c r="D527" s="52"/>
    </row>
    <row r="528" spans="1:4">
      <c r="A528" s="75"/>
      <c r="B528" s="64"/>
      <c r="C528" s="52" t="s">
        <v>765</v>
      </c>
      <c r="D528" s="52"/>
    </row>
    <row r="529" spans="1:4">
      <c r="A529" s="75"/>
      <c r="B529" s="64"/>
      <c r="C529" s="52" t="s">
        <v>746</v>
      </c>
      <c r="D529" s="52"/>
    </row>
    <row r="530" spans="1:4">
      <c r="B530" s="64"/>
      <c r="C530" s="52" t="s">
        <v>766</v>
      </c>
      <c r="D530" s="52"/>
    </row>
    <row r="531" spans="1:4" ht="15">
      <c r="A531" s="75"/>
      <c r="B531" s="64"/>
      <c r="C531" s="52" t="s">
        <v>767</v>
      </c>
      <c r="D531" s="52" t="s">
        <v>768</v>
      </c>
    </row>
    <row r="532" spans="1:4" ht="15">
      <c r="A532" s="75"/>
      <c r="B532" s="64"/>
      <c r="C532" s="52" t="s">
        <v>769</v>
      </c>
      <c r="D532" s="52" t="s">
        <v>768</v>
      </c>
    </row>
    <row r="533" spans="1:4" ht="15">
      <c r="A533" s="75"/>
      <c r="B533" s="64"/>
      <c r="C533" s="52" t="s">
        <v>770</v>
      </c>
      <c r="D533" s="52" t="s">
        <v>768</v>
      </c>
    </row>
    <row r="534" spans="1:4">
      <c r="A534" s="75"/>
      <c r="B534" s="64"/>
      <c r="C534" s="52" t="s">
        <v>771</v>
      </c>
      <c r="D534" s="52"/>
    </row>
    <row r="535" spans="1:4">
      <c r="A535" s="75"/>
      <c r="B535" s="64"/>
      <c r="C535" s="52" t="s">
        <v>772</v>
      </c>
      <c r="D535" s="52"/>
    </row>
    <row r="536" spans="1:4">
      <c r="A536" s="75"/>
      <c r="B536" s="64"/>
      <c r="C536" s="52" t="s">
        <v>773</v>
      </c>
      <c r="D536" s="52"/>
    </row>
    <row r="537" spans="1:4">
      <c r="A537" s="75"/>
      <c r="B537" s="64"/>
      <c r="C537" s="52" t="s">
        <v>774</v>
      </c>
      <c r="D537" s="52"/>
    </row>
    <row r="538" spans="1:4">
      <c r="A538" s="75"/>
      <c r="B538" s="64"/>
      <c r="C538" s="52" t="s">
        <v>775</v>
      </c>
      <c r="D538" s="52"/>
    </row>
    <row r="539" spans="1:4">
      <c r="A539" s="75"/>
      <c r="B539" s="64"/>
      <c r="C539" s="52" t="s">
        <v>776</v>
      </c>
      <c r="D539" s="52"/>
    </row>
    <row r="540" spans="1:4">
      <c r="A540" s="75"/>
      <c r="B540" s="64"/>
      <c r="C540" s="52" t="s">
        <v>777</v>
      </c>
      <c r="D540" s="52"/>
    </row>
    <row r="541" spans="1:4">
      <c r="A541" s="75"/>
      <c r="B541" s="64"/>
      <c r="C541" s="52" t="s">
        <v>778</v>
      </c>
      <c r="D541" s="52"/>
    </row>
    <row r="542" spans="1:4">
      <c r="A542" s="75"/>
      <c r="B542" s="64"/>
      <c r="C542" s="52" t="s">
        <v>482</v>
      </c>
      <c r="D542" s="52"/>
    </row>
    <row r="543" spans="1:4">
      <c r="A543" s="75"/>
      <c r="B543" s="64"/>
      <c r="C543" s="52" t="s">
        <v>164</v>
      </c>
      <c r="D543" s="53"/>
    </row>
    <row r="544" spans="1:4">
      <c r="A544" s="81"/>
      <c r="B544" s="54" t="s">
        <v>779</v>
      </c>
      <c r="C544" s="50" t="s">
        <v>337</v>
      </c>
      <c r="D544" s="50"/>
    </row>
    <row r="545" spans="1:4">
      <c r="A545" s="82"/>
      <c r="B545" s="111"/>
      <c r="C545" s="50" t="s">
        <v>134</v>
      </c>
      <c r="D545" s="50"/>
    </row>
    <row r="546" spans="1:4">
      <c r="A546" s="75"/>
      <c r="B546" s="63" t="s">
        <v>780</v>
      </c>
      <c r="C546" s="52" t="s">
        <v>781</v>
      </c>
      <c r="D546" s="52"/>
    </row>
    <row r="547" spans="1:4">
      <c r="A547" s="75"/>
      <c r="B547" s="64"/>
      <c r="C547" s="52" t="s">
        <v>782</v>
      </c>
      <c r="D547" s="52"/>
    </row>
    <row r="548" spans="1:4">
      <c r="A548" s="75"/>
      <c r="B548" s="64"/>
      <c r="C548" s="52" t="s">
        <v>783</v>
      </c>
      <c r="D548" s="52"/>
    </row>
    <row r="549" spans="1:4">
      <c r="A549" s="75"/>
      <c r="B549" s="64"/>
      <c r="C549" s="52" t="s">
        <v>784</v>
      </c>
      <c r="D549" s="52"/>
    </row>
    <row r="550" spans="1:4">
      <c r="A550" s="75"/>
      <c r="B550" s="64"/>
      <c r="C550" s="52" t="s">
        <v>785</v>
      </c>
      <c r="D550" s="52"/>
    </row>
    <row r="551" spans="1:4">
      <c r="A551" s="81"/>
      <c r="B551" s="54" t="s">
        <v>786</v>
      </c>
      <c r="C551" s="50" t="s">
        <v>337</v>
      </c>
      <c r="D551" s="50"/>
    </row>
    <row r="552" spans="1:4">
      <c r="A552" s="82"/>
      <c r="B552" s="111"/>
      <c r="C552" s="50" t="s">
        <v>134</v>
      </c>
      <c r="D552" s="50"/>
    </row>
    <row r="553" spans="1:4">
      <c r="A553" s="60"/>
      <c r="B553" s="63" t="s">
        <v>787</v>
      </c>
      <c r="C553" s="52" t="s">
        <v>788</v>
      </c>
      <c r="D553" s="52"/>
    </row>
    <row r="554" spans="1:4">
      <c r="A554" s="61"/>
      <c r="B554" s="61"/>
      <c r="C554" s="52" t="s">
        <v>789</v>
      </c>
      <c r="D554" s="52"/>
    </row>
    <row r="555" spans="1:4">
      <c r="A555" s="61"/>
      <c r="B555" s="61"/>
      <c r="C555" s="52" t="s">
        <v>790</v>
      </c>
      <c r="D555" s="52"/>
    </row>
    <row r="556" spans="1:4">
      <c r="A556" s="61"/>
      <c r="B556" s="61"/>
      <c r="C556" s="52" t="s">
        <v>791</v>
      </c>
      <c r="D556" s="52"/>
    </row>
    <row r="557" spans="1:4">
      <c r="A557" s="61"/>
      <c r="B557" s="61"/>
      <c r="C557" s="52" t="s">
        <v>792</v>
      </c>
      <c r="D557" s="52"/>
    </row>
    <row r="558" spans="1:4">
      <c r="A558" s="61"/>
      <c r="B558" s="61"/>
      <c r="C558" s="52" t="s">
        <v>793</v>
      </c>
      <c r="D558" s="52"/>
    </row>
    <row r="559" spans="1:4">
      <c r="A559" s="61"/>
      <c r="B559" s="61"/>
      <c r="C559" s="52" t="s">
        <v>794</v>
      </c>
      <c r="D559" s="52"/>
    </row>
    <row r="560" spans="1:4">
      <c r="A560" s="61"/>
      <c r="B560" s="61"/>
      <c r="C560" s="52" t="s">
        <v>795</v>
      </c>
      <c r="D560" s="52"/>
    </row>
    <row r="561" spans="1:4">
      <c r="A561" s="61"/>
      <c r="B561" s="61"/>
      <c r="C561" s="52" t="s">
        <v>796</v>
      </c>
      <c r="D561" s="52"/>
    </row>
    <row r="562" spans="1:4">
      <c r="A562" s="61"/>
      <c r="B562" s="61"/>
      <c r="C562" s="52" t="s">
        <v>797</v>
      </c>
      <c r="D562" s="52"/>
    </row>
    <row r="563" spans="1:4">
      <c r="A563" s="61"/>
      <c r="B563" s="61"/>
      <c r="C563" s="52" t="s">
        <v>798</v>
      </c>
      <c r="D563" s="52"/>
    </row>
    <row r="564" spans="1:4">
      <c r="A564" s="61"/>
      <c r="B564" s="61"/>
      <c r="C564" s="52" t="s">
        <v>799</v>
      </c>
      <c r="D564" s="52"/>
    </row>
    <row r="565" spans="1:4">
      <c r="A565" s="61"/>
      <c r="B565" s="61"/>
      <c r="C565" s="52" t="s">
        <v>800</v>
      </c>
      <c r="D565" s="52"/>
    </row>
    <row r="566" spans="1:4">
      <c r="A566" s="61"/>
      <c r="B566" s="61"/>
      <c r="C566" s="52" t="s">
        <v>801</v>
      </c>
      <c r="D566" s="52"/>
    </row>
    <row r="567" spans="1:4">
      <c r="A567" s="61"/>
      <c r="B567" s="61"/>
      <c r="C567" s="52" t="s">
        <v>802</v>
      </c>
      <c r="D567" s="52"/>
    </row>
    <row r="568" spans="1:4">
      <c r="A568" s="61"/>
      <c r="B568" s="61"/>
      <c r="C568" s="52" t="s">
        <v>803</v>
      </c>
      <c r="D568" s="52"/>
    </row>
    <row r="569" spans="1:4">
      <c r="A569" s="61"/>
      <c r="B569" s="61"/>
      <c r="C569" s="52" t="s">
        <v>804</v>
      </c>
      <c r="D569" s="52"/>
    </row>
    <row r="570" spans="1:4">
      <c r="A570" s="61"/>
      <c r="B570" s="61"/>
      <c r="C570" s="52" t="s">
        <v>805</v>
      </c>
      <c r="D570" s="52"/>
    </row>
    <row r="571" spans="1:4">
      <c r="A571" s="61"/>
      <c r="B571" s="61"/>
      <c r="C571" s="52" t="s">
        <v>806</v>
      </c>
      <c r="D571" s="52"/>
    </row>
    <row r="572" spans="1:4">
      <c r="A572" s="61"/>
      <c r="B572" s="61"/>
      <c r="C572" s="52" t="s">
        <v>807</v>
      </c>
      <c r="D572" s="52"/>
    </row>
    <row r="573" spans="1:4">
      <c r="A573" s="61"/>
      <c r="B573" s="61"/>
      <c r="C573" s="52" t="s">
        <v>808</v>
      </c>
      <c r="D573" s="52"/>
    </row>
    <row r="574" spans="1:4">
      <c r="A574" s="61"/>
      <c r="B574" s="61"/>
      <c r="C574" s="52" t="s">
        <v>809</v>
      </c>
      <c r="D574" s="52"/>
    </row>
    <row r="575" spans="1:4">
      <c r="A575" s="61"/>
      <c r="B575" s="61"/>
      <c r="C575" s="52" t="s">
        <v>810</v>
      </c>
      <c r="D575" s="52"/>
    </row>
    <row r="576" spans="1:4">
      <c r="A576" s="61"/>
      <c r="B576" s="61"/>
      <c r="C576" s="52" t="s">
        <v>811</v>
      </c>
      <c r="D576" s="52"/>
    </row>
    <row r="577" spans="1:5">
      <c r="A577" s="61"/>
      <c r="B577" s="61"/>
      <c r="C577" s="52" t="s">
        <v>812</v>
      </c>
      <c r="D577" s="52"/>
    </row>
    <row r="578" spans="1:5">
      <c r="A578" s="61"/>
      <c r="B578" s="61"/>
      <c r="C578" s="52" t="s">
        <v>813</v>
      </c>
      <c r="D578" s="52"/>
    </row>
    <row r="579" spans="1:5">
      <c r="A579" s="61"/>
      <c r="B579" s="61"/>
      <c r="C579" s="52" t="s">
        <v>814</v>
      </c>
      <c r="D579" s="52"/>
    </row>
    <row r="580" spans="1:5">
      <c r="A580" s="61"/>
      <c r="B580" s="61"/>
      <c r="C580" s="52" t="s">
        <v>815</v>
      </c>
      <c r="D580" s="52"/>
      <c r="E580" t="s">
        <v>214</v>
      </c>
    </row>
    <row r="581" spans="1:5">
      <c r="A581" s="61"/>
      <c r="B581" s="61"/>
      <c r="C581" s="52" t="s">
        <v>816</v>
      </c>
      <c r="D581" s="52"/>
      <c r="E581" t="s">
        <v>214</v>
      </c>
    </row>
    <row r="582" spans="1:5">
      <c r="A582" s="61"/>
      <c r="B582" s="61"/>
      <c r="C582" s="52" t="s">
        <v>817</v>
      </c>
      <c r="D582" s="52"/>
    </row>
    <row r="583" spans="1:5">
      <c r="A583" s="61"/>
      <c r="B583" s="61"/>
      <c r="C583" s="52" t="s">
        <v>818</v>
      </c>
      <c r="D583" s="52"/>
    </row>
    <row r="584" spans="1:5">
      <c r="A584" s="61"/>
      <c r="B584" s="61"/>
      <c r="C584" s="52" t="s">
        <v>819</v>
      </c>
      <c r="D584" s="52"/>
    </row>
    <row r="585" spans="1:5">
      <c r="A585" s="61"/>
      <c r="B585" s="61"/>
      <c r="C585" s="52" t="s">
        <v>820</v>
      </c>
      <c r="D585" s="52"/>
    </row>
    <row r="586" spans="1:5">
      <c r="A586" s="61"/>
      <c r="B586" s="61"/>
      <c r="C586" s="52" t="s">
        <v>821</v>
      </c>
      <c r="D586" s="52"/>
    </row>
    <row r="587" spans="1:5">
      <c r="A587" s="61"/>
      <c r="B587" s="61"/>
      <c r="C587" s="52" t="s">
        <v>822</v>
      </c>
      <c r="D587" s="52"/>
    </row>
    <row r="588" spans="1:5">
      <c r="A588" s="61"/>
      <c r="B588" s="61"/>
      <c r="C588" s="52" t="s">
        <v>823</v>
      </c>
      <c r="D588" s="52"/>
    </row>
    <row r="589" spans="1:5">
      <c r="A589" s="61"/>
      <c r="B589" s="61"/>
      <c r="C589" s="52" t="s">
        <v>824</v>
      </c>
      <c r="D589" s="52"/>
    </row>
    <row r="590" spans="1:5">
      <c r="A590" s="61"/>
      <c r="B590" s="61"/>
      <c r="C590" s="52" t="s">
        <v>825</v>
      </c>
      <c r="D590" s="52"/>
    </row>
    <row r="591" spans="1:5">
      <c r="A591" s="62"/>
      <c r="B591" s="62"/>
      <c r="C591" s="52" t="s">
        <v>826</v>
      </c>
      <c r="D591" s="52"/>
    </row>
    <row r="592" spans="1:5">
      <c r="A592" s="59"/>
      <c r="B592" s="112" t="s">
        <v>122</v>
      </c>
      <c r="C592" s="50" t="s">
        <v>827</v>
      </c>
      <c r="D592" s="50"/>
    </row>
    <row r="593" spans="1:4">
      <c r="A593" s="59"/>
      <c r="B593" s="112"/>
      <c r="C593" s="50" t="s">
        <v>828</v>
      </c>
      <c r="D593" s="50"/>
    </row>
    <row r="594" spans="1:4">
      <c r="A594" s="59"/>
      <c r="B594" s="112"/>
      <c r="C594" s="50" t="s">
        <v>164</v>
      </c>
      <c r="D594" s="50"/>
    </row>
    <row r="595" spans="1:4">
      <c r="A595" s="63"/>
      <c r="B595" s="69" t="s">
        <v>829</v>
      </c>
      <c r="C595" s="52" t="s">
        <v>337</v>
      </c>
      <c r="D595" s="52"/>
    </row>
    <row r="596" spans="1:4">
      <c r="A596" s="113"/>
      <c r="B596" s="115"/>
      <c r="C596" s="114" t="s">
        <v>134</v>
      </c>
      <c r="D596" s="52"/>
    </row>
    <row r="597" spans="1:4">
      <c r="A597" s="108"/>
      <c r="B597" s="108" t="s">
        <v>830</v>
      </c>
      <c r="C597" s="50" t="s">
        <v>831</v>
      </c>
      <c r="D597" s="50"/>
    </row>
    <row r="598" spans="1:4">
      <c r="A598" s="59"/>
      <c r="B598" s="59"/>
      <c r="C598" s="50" t="s">
        <v>832</v>
      </c>
      <c r="D598" s="50"/>
    </row>
    <row r="599" spans="1:4">
      <c r="A599" s="59"/>
      <c r="B599" s="59"/>
      <c r="C599" s="50" t="s">
        <v>833</v>
      </c>
      <c r="D599" s="50"/>
    </row>
    <row r="600" spans="1:4">
      <c r="A600" s="59"/>
      <c r="B600" s="59"/>
      <c r="C600" s="50" t="s">
        <v>834</v>
      </c>
      <c r="D600" s="50"/>
    </row>
    <row r="601" spans="1:4">
      <c r="A601" s="59"/>
      <c r="B601" s="59"/>
      <c r="C601" s="50" t="s">
        <v>835</v>
      </c>
      <c r="D601" s="50"/>
    </row>
    <row r="602" spans="1:4">
      <c r="A602" s="59"/>
      <c r="B602" s="59"/>
      <c r="C602" s="50" t="s">
        <v>836</v>
      </c>
      <c r="D602" s="50"/>
    </row>
    <row r="603" spans="1:4">
      <c r="A603" s="59"/>
      <c r="B603" s="59"/>
      <c r="C603" s="50" t="s">
        <v>837</v>
      </c>
      <c r="D603" s="50"/>
    </row>
    <row r="604" spans="1:4">
      <c r="A604" s="59"/>
      <c r="B604" s="59"/>
      <c r="C604" s="50" t="s">
        <v>838</v>
      </c>
      <c r="D604" s="50"/>
    </row>
    <row r="605" spans="1:4">
      <c r="A605" s="59"/>
      <c r="B605" s="59"/>
      <c r="C605" s="50" t="s">
        <v>839</v>
      </c>
      <c r="D605" s="50"/>
    </row>
    <row r="606" spans="1:4">
      <c r="A606" s="59"/>
      <c r="B606" s="59"/>
      <c r="C606" s="50" t="s">
        <v>840</v>
      </c>
      <c r="D606" s="50"/>
    </row>
    <row r="607" spans="1:4">
      <c r="A607" s="59"/>
      <c r="B607" s="59"/>
      <c r="C607" s="50" t="s">
        <v>841</v>
      </c>
      <c r="D607" s="50"/>
    </row>
    <row r="608" spans="1:4">
      <c r="A608" s="59"/>
      <c r="B608" s="59"/>
      <c r="C608" s="50" t="s">
        <v>842</v>
      </c>
      <c r="D608" s="50"/>
    </row>
    <row r="609" spans="1:5">
      <c r="A609" s="59"/>
      <c r="B609" s="59"/>
      <c r="C609" s="50" t="s">
        <v>843</v>
      </c>
      <c r="D609" s="50"/>
    </row>
    <row r="610" spans="1:5">
      <c r="A610" s="59"/>
      <c r="B610" s="59"/>
      <c r="C610" s="50" t="s">
        <v>844</v>
      </c>
      <c r="D610" s="50"/>
    </row>
    <row r="611" spans="1:5">
      <c r="A611" s="59"/>
      <c r="B611" s="59"/>
      <c r="C611" s="50" t="s">
        <v>845</v>
      </c>
      <c r="D611" s="50"/>
    </row>
    <row r="612" spans="1:5">
      <c r="A612" s="59"/>
      <c r="B612" s="59"/>
      <c r="C612" s="50" t="s">
        <v>846</v>
      </c>
      <c r="D612" s="50"/>
    </row>
    <row r="613" spans="1:5">
      <c r="A613" s="59"/>
      <c r="B613" s="59"/>
      <c r="C613" s="50" t="s">
        <v>847</v>
      </c>
      <c r="D613" s="50"/>
    </row>
    <row r="614" spans="1:5">
      <c r="A614" s="59"/>
      <c r="B614" s="59"/>
      <c r="C614" s="50" t="s">
        <v>848</v>
      </c>
      <c r="D614" s="50"/>
    </row>
    <row r="615" spans="1:5">
      <c r="A615" s="59"/>
      <c r="B615" s="59"/>
      <c r="C615" s="50" t="s">
        <v>849</v>
      </c>
      <c r="D615" s="50"/>
    </row>
    <row r="616" spans="1:5">
      <c r="A616" s="59"/>
      <c r="B616" s="59"/>
      <c r="C616" s="50" t="s">
        <v>850</v>
      </c>
      <c r="D616" s="50"/>
    </row>
    <row r="617" spans="1:5">
      <c r="A617" s="59"/>
      <c r="B617" s="59"/>
      <c r="C617" s="50" t="s">
        <v>851</v>
      </c>
      <c r="D617" s="50"/>
    </row>
    <row r="618" spans="1:5">
      <c r="A618" s="59"/>
      <c r="B618" s="59"/>
      <c r="C618" s="50" t="s">
        <v>852</v>
      </c>
      <c r="D618" s="50"/>
    </row>
    <row r="619" spans="1:5">
      <c r="A619" s="59"/>
      <c r="B619" s="59"/>
      <c r="C619" s="50" t="s">
        <v>853</v>
      </c>
      <c r="D619" s="50"/>
    </row>
    <row r="620" spans="1:5">
      <c r="A620" s="59"/>
      <c r="B620" s="59"/>
      <c r="C620" s="50" t="s">
        <v>566</v>
      </c>
      <c r="D620" s="50"/>
    </row>
    <row r="621" spans="1:5">
      <c r="A621" s="59"/>
      <c r="B621" s="59"/>
      <c r="C621" s="50" t="s">
        <v>854</v>
      </c>
      <c r="D621" s="50"/>
      <c r="E621" t="s">
        <v>214</v>
      </c>
    </row>
    <row r="622" spans="1:5">
      <c r="A622" s="63"/>
      <c r="B622" s="63" t="s">
        <v>153</v>
      </c>
      <c r="C622" s="52" t="s">
        <v>855</v>
      </c>
      <c r="D622" s="52"/>
    </row>
    <row r="623" spans="1:5">
      <c r="A623" s="64"/>
      <c r="B623" s="64"/>
      <c r="C623" s="52" t="s">
        <v>856</v>
      </c>
      <c r="D623" s="52"/>
    </row>
    <row r="624" spans="1:5">
      <c r="A624" s="64"/>
      <c r="B624" s="64"/>
      <c r="C624" s="52" t="s">
        <v>857</v>
      </c>
      <c r="D624" s="52"/>
    </row>
    <row r="625" spans="1:5">
      <c r="A625" s="64"/>
      <c r="B625" s="64"/>
      <c r="C625" s="52" t="s">
        <v>858</v>
      </c>
      <c r="D625" s="52"/>
    </row>
    <row r="626" spans="1:5">
      <c r="A626" s="64"/>
      <c r="B626" s="64"/>
      <c r="C626" s="52" t="s">
        <v>859</v>
      </c>
      <c r="D626" s="52"/>
      <c r="E626" t="s">
        <v>214</v>
      </c>
    </row>
    <row r="627" spans="1:5">
      <c r="A627" s="64"/>
      <c r="B627" s="64"/>
      <c r="C627" s="52" t="s">
        <v>860</v>
      </c>
      <c r="D627" s="52"/>
    </row>
    <row r="628" spans="1:5">
      <c r="A628" s="64"/>
      <c r="B628" s="64"/>
      <c r="C628" s="52" t="s">
        <v>861</v>
      </c>
      <c r="D628" s="52"/>
    </row>
    <row r="629" spans="1:5">
      <c r="A629" s="64"/>
      <c r="B629" s="64"/>
      <c r="C629" s="52" t="s">
        <v>458</v>
      </c>
      <c r="D629" s="52"/>
    </row>
    <row r="630" spans="1:5">
      <c r="A630" s="64"/>
      <c r="B630" s="64"/>
      <c r="C630" s="52" t="s">
        <v>862</v>
      </c>
      <c r="D630" s="52"/>
    </row>
    <row r="631" spans="1:5">
      <c r="A631" s="64"/>
      <c r="B631" s="64"/>
      <c r="C631" s="52" t="s">
        <v>863</v>
      </c>
      <c r="D631" s="52"/>
    </row>
    <row r="632" spans="1:5">
      <c r="A632" s="64"/>
      <c r="B632" s="64"/>
      <c r="C632" s="52" t="s">
        <v>864</v>
      </c>
      <c r="D632" s="52"/>
    </row>
    <row r="633" spans="1:5">
      <c r="A633" s="65"/>
      <c r="B633" s="65"/>
      <c r="C633" s="52" t="s">
        <v>164</v>
      </c>
      <c r="D633" s="52"/>
    </row>
    <row r="634" spans="1:5">
      <c r="A634" s="59"/>
      <c r="B634" s="112" t="s">
        <v>154</v>
      </c>
      <c r="C634" s="50" t="s">
        <v>865</v>
      </c>
      <c r="D634" s="50" t="s">
        <v>866</v>
      </c>
    </row>
    <row r="635" spans="1:5">
      <c r="A635" s="59"/>
      <c r="B635" s="112"/>
      <c r="C635" s="50" t="s">
        <v>867</v>
      </c>
      <c r="D635" s="50" t="s">
        <v>868</v>
      </c>
    </row>
    <row r="636" spans="1:5">
      <c r="A636" s="59"/>
      <c r="B636" s="112"/>
      <c r="C636" s="50" t="s">
        <v>869</v>
      </c>
      <c r="D636" s="50" t="s">
        <v>870</v>
      </c>
    </row>
    <row r="637" spans="1:5">
      <c r="A637" s="59"/>
      <c r="B637" s="112"/>
      <c r="C637" s="50" t="s">
        <v>871</v>
      </c>
      <c r="D637" s="50" t="s">
        <v>872</v>
      </c>
    </row>
    <row r="638" spans="1:5">
      <c r="A638" s="59"/>
      <c r="B638" s="112"/>
      <c r="C638" s="50" t="s">
        <v>873</v>
      </c>
      <c r="D638" s="50" t="s">
        <v>874</v>
      </c>
    </row>
    <row r="639" spans="1:5">
      <c r="A639" s="59"/>
      <c r="B639" s="112"/>
      <c r="C639" s="50" t="s">
        <v>875</v>
      </c>
      <c r="D639" s="50" t="s">
        <v>876</v>
      </c>
    </row>
    <row r="640" spans="1:5">
      <c r="A640" s="59"/>
      <c r="B640" s="112"/>
      <c r="C640" s="50" t="s">
        <v>877</v>
      </c>
      <c r="D640" s="50" t="s">
        <v>878</v>
      </c>
    </row>
    <row r="641" spans="1:4">
      <c r="A641" s="59"/>
      <c r="B641" s="112"/>
      <c r="C641" s="50" t="s">
        <v>879</v>
      </c>
      <c r="D641" s="50" t="s">
        <v>879</v>
      </c>
    </row>
    <row r="642" spans="1:4">
      <c r="A642" s="59"/>
      <c r="B642" s="112"/>
      <c r="C642" s="50" t="s">
        <v>164</v>
      </c>
      <c r="D642" s="50"/>
    </row>
    <row r="643" spans="1:4">
      <c r="A643" s="66"/>
      <c r="B643" s="66" t="s">
        <v>880</v>
      </c>
      <c r="C643" s="52" t="s">
        <v>881</v>
      </c>
      <c r="D643" s="52" t="s">
        <v>882</v>
      </c>
    </row>
    <row r="644" spans="1:4">
      <c r="A644" s="67"/>
      <c r="B644" s="67"/>
      <c r="C644" s="52" t="s">
        <v>883</v>
      </c>
      <c r="D644" s="52" t="s">
        <v>884</v>
      </c>
    </row>
    <row r="645" spans="1:4">
      <c r="A645" s="67"/>
      <c r="B645" s="67"/>
      <c r="C645" s="52" t="s">
        <v>885</v>
      </c>
      <c r="D645" s="52" t="s">
        <v>886</v>
      </c>
    </row>
    <row r="646" spans="1:4">
      <c r="A646" s="67"/>
      <c r="B646" s="67"/>
      <c r="C646" s="52" t="s">
        <v>887</v>
      </c>
      <c r="D646" s="52" t="s">
        <v>888</v>
      </c>
    </row>
    <row r="647" spans="1:4">
      <c r="A647" s="67"/>
      <c r="B647" s="67"/>
      <c r="C647" s="52" t="s">
        <v>889</v>
      </c>
      <c r="D647" s="52"/>
    </row>
    <row r="648" spans="1:4">
      <c r="A648" s="68"/>
      <c r="B648" s="68"/>
      <c r="C648" s="52" t="s">
        <v>164</v>
      </c>
      <c r="D648" s="52"/>
    </row>
    <row r="649" spans="1:4">
      <c r="A649" s="59"/>
      <c r="B649" s="112" t="s">
        <v>145</v>
      </c>
      <c r="C649" s="50" t="s">
        <v>890</v>
      </c>
      <c r="D649" s="50"/>
    </row>
    <row r="650" spans="1:4">
      <c r="A650" s="59"/>
      <c r="B650" s="112"/>
      <c r="C650" s="50" t="s">
        <v>891</v>
      </c>
      <c r="D650" s="50"/>
    </row>
    <row r="651" spans="1:4">
      <c r="A651" s="59"/>
      <c r="B651" s="112"/>
      <c r="C651" s="50" t="s">
        <v>892</v>
      </c>
      <c r="D651" s="50"/>
    </row>
    <row r="652" spans="1:4">
      <c r="A652" s="59"/>
      <c r="B652" s="112"/>
      <c r="C652" s="50" t="s">
        <v>893</v>
      </c>
      <c r="D652" s="50"/>
    </row>
    <row r="653" spans="1:4">
      <c r="A653" s="59"/>
      <c r="B653" s="112"/>
      <c r="C653" s="50" t="s">
        <v>164</v>
      </c>
      <c r="D653" s="50"/>
    </row>
    <row r="654" spans="1:4">
      <c r="A654" s="66"/>
      <c r="B654" s="66" t="s">
        <v>146</v>
      </c>
      <c r="C654" s="52" t="s">
        <v>894</v>
      </c>
      <c r="D654" s="52"/>
    </row>
    <row r="655" spans="1:4">
      <c r="A655" s="67"/>
      <c r="B655" s="67"/>
      <c r="C655" s="52" t="s">
        <v>895</v>
      </c>
      <c r="D655" s="52"/>
    </row>
    <row r="656" spans="1:4">
      <c r="A656" s="59"/>
      <c r="B656" s="112" t="s">
        <v>22</v>
      </c>
      <c r="C656" s="50" t="s">
        <v>36</v>
      </c>
      <c r="D656" s="50"/>
    </row>
    <row r="657" spans="1:6">
      <c r="A657" s="59"/>
      <c r="B657" s="112"/>
      <c r="C657" s="50" t="s">
        <v>896</v>
      </c>
      <c r="D657" s="50"/>
    </row>
    <row r="658" spans="1:6">
      <c r="A658" s="66"/>
      <c r="B658" s="66" t="s">
        <v>897</v>
      </c>
      <c r="C658" s="52" t="s">
        <v>898</v>
      </c>
      <c r="D658" s="52"/>
    </row>
    <row r="659" spans="1:6">
      <c r="A659" s="67"/>
      <c r="B659" s="67"/>
      <c r="C659" s="52" t="s">
        <v>899</v>
      </c>
      <c r="D659" s="52"/>
    </row>
    <row r="660" spans="1:6">
      <c r="A660" s="67"/>
      <c r="B660" s="67"/>
      <c r="C660" s="52" t="s">
        <v>900</v>
      </c>
      <c r="D660" s="52"/>
    </row>
    <row r="661" spans="1:6">
      <c r="A661" s="67"/>
      <c r="B661" s="67"/>
      <c r="C661" s="52" t="s">
        <v>901</v>
      </c>
      <c r="D661" s="52"/>
    </row>
    <row r="662" spans="1:6">
      <c r="A662" s="67"/>
      <c r="B662" s="67"/>
      <c r="C662" s="52" t="s">
        <v>902</v>
      </c>
      <c r="D662" s="52"/>
    </row>
    <row r="663" spans="1:6">
      <c r="A663" s="67"/>
      <c r="B663" s="67"/>
      <c r="C663" s="52" t="s">
        <v>903</v>
      </c>
      <c r="D663" s="52"/>
    </row>
    <row r="664" spans="1:6">
      <c r="A664" s="67"/>
      <c r="B664" s="67"/>
      <c r="C664" s="52" t="s">
        <v>164</v>
      </c>
      <c r="D664" s="52"/>
    </row>
    <row r="665" spans="1:6">
      <c r="A665" s="68"/>
      <c r="B665" s="68"/>
      <c r="C665" s="52" t="s">
        <v>904</v>
      </c>
      <c r="D665" s="52"/>
    </row>
    <row r="666" spans="1:6">
      <c r="A666" s="59"/>
      <c r="B666" s="112" t="s">
        <v>905</v>
      </c>
      <c r="C666" s="50" t="s">
        <v>906</v>
      </c>
      <c r="D666" s="50"/>
    </row>
    <row r="667" spans="1:6">
      <c r="A667" s="59"/>
      <c r="B667" s="112"/>
      <c r="C667" s="50" t="s">
        <v>907</v>
      </c>
      <c r="D667" s="50"/>
      <c r="F667" s="8"/>
    </row>
    <row r="668" spans="1:6">
      <c r="A668" s="66"/>
      <c r="B668" s="66" t="s">
        <v>908</v>
      </c>
      <c r="C668" s="52" t="s">
        <v>909</v>
      </c>
      <c r="D668" s="52"/>
    </row>
    <row r="669" spans="1:6">
      <c r="A669" s="67"/>
      <c r="B669" s="67"/>
      <c r="C669" s="52" t="s">
        <v>910</v>
      </c>
      <c r="D669" s="52"/>
    </row>
    <row r="670" spans="1:6">
      <c r="A670" s="67"/>
      <c r="B670" s="67"/>
      <c r="C670" s="52" t="s">
        <v>911</v>
      </c>
      <c r="D670" s="52"/>
    </row>
    <row r="671" spans="1:6">
      <c r="A671" s="67"/>
      <c r="B671" s="67"/>
      <c r="C671" s="52" t="s">
        <v>912</v>
      </c>
      <c r="D671" s="52"/>
    </row>
    <row r="672" spans="1:6">
      <c r="A672" s="67"/>
      <c r="B672" s="67"/>
      <c r="C672" s="52" t="s">
        <v>913</v>
      </c>
      <c r="D672" s="52"/>
    </row>
    <row r="673" spans="1:4">
      <c r="A673" s="67"/>
      <c r="B673" s="67"/>
      <c r="C673" s="52" t="s">
        <v>914</v>
      </c>
      <c r="D673" s="52"/>
    </row>
    <row r="674" spans="1:4">
      <c r="A674" s="67"/>
      <c r="B674" s="67"/>
      <c r="C674" s="52" t="s">
        <v>915</v>
      </c>
      <c r="D674" s="52"/>
    </row>
    <row r="675" spans="1:4">
      <c r="A675" s="67"/>
      <c r="B675" s="67"/>
      <c r="C675" s="52" t="s">
        <v>916</v>
      </c>
      <c r="D675" s="52"/>
    </row>
    <row r="676" spans="1:4">
      <c r="A676" s="67"/>
      <c r="B676" s="67"/>
      <c r="C676" s="52" t="s">
        <v>917</v>
      </c>
      <c r="D676" s="52"/>
    </row>
    <row r="677" spans="1:4">
      <c r="A677" s="67"/>
      <c r="B677" s="67"/>
      <c r="C677" s="52" t="s">
        <v>918</v>
      </c>
      <c r="D677" s="52"/>
    </row>
    <row r="678" spans="1:4">
      <c r="A678" s="67"/>
      <c r="B678" s="67"/>
      <c r="C678" s="52" t="s">
        <v>566</v>
      </c>
      <c r="D678" s="52"/>
    </row>
    <row r="679" spans="1:4">
      <c r="A679" s="68"/>
      <c r="B679" s="68"/>
      <c r="C679" s="52" t="s">
        <v>904</v>
      </c>
      <c r="D679" s="52"/>
    </row>
    <row r="680" spans="1:4">
      <c r="A680" s="88"/>
      <c r="B680" s="88" t="s">
        <v>919</v>
      </c>
      <c r="C680" s="50" t="s">
        <v>898</v>
      </c>
      <c r="D680" s="50"/>
    </row>
    <row r="681" spans="1:4">
      <c r="A681" s="90"/>
      <c r="B681" s="90"/>
      <c r="C681" s="50" t="s">
        <v>899</v>
      </c>
      <c r="D681" s="50"/>
    </row>
    <row r="682" spans="1:4">
      <c r="A682" s="90"/>
      <c r="B682" s="90"/>
      <c r="C682" s="50" t="s">
        <v>900</v>
      </c>
      <c r="D682" s="50"/>
    </row>
    <row r="683" spans="1:4">
      <c r="A683" s="90"/>
      <c r="B683" s="90"/>
      <c r="C683" s="50" t="s">
        <v>901</v>
      </c>
      <c r="D683" s="50"/>
    </row>
    <row r="684" spans="1:4">
      <c r="A684" s="90"/>
      <c r="B684" s="90"/>
      <c r="C684" s="50" t="s">
        <v>902</v>
      </c>
      <c r="D684" s="50"/>
    </row>
    <row r="685" spans="1:4">
      <c r="A685" s="90"/>
      <c r="B685" s="90"/>
      <c r="C685" s="50" t="s">
        <v>903</v>
      </c>
      <c r="D685" s="50"/>
    </row>
    <row r="686" spans="1:4">
      <c r="A686" s="90"/>
      <c r="B686" s="90"/>
      <c r="C686" s="50" t="s">
        <v>164</v>
      </c>
      <c r="D686" s="50"/>
    </row>
    <row r="687" spans="1:4">
      <c r="A687" s="90"/>
      <c r="B687" s="90"/>
      <c r="C687" s="50" t="s">
        <v>904</v>
      </c>
      <c r="D687" s="50"/>
    </row>
    <row r="688" spans="1:4">
      <c r="A688" s="66"/>
      <c r="B688" s="63" t="s">
        <v>920</v>
      </c>
      <c r="C688" s="52" t="s">
        <v>921</v>
      </c>
      <c r="D688" s="52"/>
    </row>
    <row r="689" spans="1:4">
      <c r="A689" s="67"/>
      <c r="B689" s="65"/>
      <c r="C689" s="52" t="s">
        <v>922</v>
      </c>
      <c r="D689" s="52"/>
    </row>
    <row r="690" spans="1:4">
      <c r="A690" s="88"/>
      <c r="B690" s="88" t="s">
        <v>923</v>
      </c>
      <c r="C690" s="50" t="s">
        <v>924</v>
      </c>
      <c r="D690" s="50"/>
    </row>
    <row r="691" spans="1:4">
      <c r="A691" s="90"/>
      <c r="B691" s="90"/>
      <c r="C691" s="50" t="s">
        <v>925</v>
      </c>
      <c r="D691" s="50"/>
    </row>
    <row r="692" spans="1:4">
      <c r="A692" s="66"/>
      <c r="B692" s="66" t="s">
        <v>926</v>
      </c>
      <c r="C692" s="52" t="s">
        <v>927</v>
      </c>
      <c r="D692" s="52"/>
    </row>
    <row r="693" spans="1:4">
      <c r="A693" s="67"/>
      <c r="B693" s="67"/>
      <c r="C693" s="52" t="s">
        <v>743</v>
      </c>
      <c r="D693" s="52"/>
    </row>
    <row r="694" spans="1:4">
      <c r="A694" s="67"/>
      <c r="B694" s="67"/>
      <c r="C694" s="52" t="s">
        <v>928</v>
      </c>
      <c r="D694" s="52"/>
    </row>
    <row r="695" spans="1:4">
      <c r="A695" s="67"/>
      <c r="B695" s="67"/>
      <c r="C695" s="52" t="s">
        <v>929</v>
      </c>
      <c r="D695" s="52"/>
    </row>
    <row r="696" spans="1:4">
      <c r="A696" s="67"/>
      <c r="B696" s="67"/>
      <c r="C696" s="52" t="s">
        <v>930</v>
      </c>
      <c r="D696" s="52"/>
    </row>
    <row r="697" spans="1:4">
      <c r="A697" s="67"/>
      <c r="B697" s="67"/>
      <c r="C697" s="52" t="s">
        <v>144</v>
      </c>
      <c r="D697" s="52"/>
    </row>
    <row r="698" spans="1:4">
      <c r="A698" s="67"/>
      <c r="B698" s="67"/>
      <c r="C698" s="52" t="s">
        <v>931</v>
      </c>
      <c r="D698" s="52"/>
    </row>
    <row r="699" spans="1:4">
      <c r="A699" s="67"/>
      <c r="B699" s="67"/>
      <c r="C699" s="52" t="s">
        <v>932</v>
      </c>
      <c r="D699" s="52"/>
    </row>
    <row r="700" spans="1:4">
      <c r="A700" s="67"/>
      <c r="B700" s="67"/>
      <c r="C700" s="52" t="s">
        <v>164</v>
      </c>
      <c r="D700" s="52"/>
    </row>
    <row r="701" spans="1:4">
      <c r="A701" s="88"/>
      <c r="B701" s="88" t="s">
        <v>933</v>
      </c>
      <c r="C701" s="50" t="s">
        <v>432</v>
      </c>
      <c r="D701" s="50"/>
    </row>
    <row r="702" spans="1:4">
      <c r="A702" s="90"/>
      <c r="B702" s="90"/>
      <c r="C702" s="50" t="s">
        <v>433</v>
      </c>
      <c r="D702" s="50"/>
    </row>
    <row r="703" spans="1:4">
      <c r="A703" s="90"/>
      <c r="B703" s="90"/>
      <c r="C703" s="50" t="s">
        <v>434</v>
      </c>
      <c r="D703" s="50"/>
    </row>
    <row r="704" spans="1:4">
      <c r="A704" s="90"/>
      <c r="B704" s="90"/>
      <c r="C704" s="50" t="s">
        <v>435</v>
      </c>
      <c r="D704" s="50"/>
    </row>
    <row r="705" spans="1:5">
      <c r="A705" s="90"/>
      <c r="B705" s="90"/>
      <c r="C705" s="50" t="s">
        <v>436</v>
      </c>
      <c r="D705" s="50"/>
    </row>
    <row r="706" spans="1:5">
      <c r="A706" s="90"/>
      <c r="B706" s="90"/>
      <c r="C706" s="50" t="s">
        <v>437</v>
      </c>
      <c r="D706" s="50"/>
    </row>
    <row r="707" spans="1:5">
      <c r="A707" s="90"/>
      <c r="B707" s="90"/>
      <c r="C707" s="50" t="s">
        <v>439</v>
      </c>
      <c r="D707" s="50"/>
    </row>
    <row r="708" spans="1:5">
      <c r="A708" s="90"/>
      <c r="B708" s="90"/>
      <c r="C708" s="50" t="s">
        <v>440</v>
      </c>
      <c r="D708" s="50"/>
    </row>
    <row r="709" spans="1:5">
      <c r="A709" s="90"/>
      <c r="B709" s="90"/>
      <c r="C709" s="50" t="s">
        <v>441</v>
      </c>
      <c r="D709" s="50"/>
    </row>
    <row r="710" spans="1:5">
      <c r="A710" s="90"/>
      <c r="B710" s="90"/>
      <c r="C710" s="50" t="s">
        <v>442</v>
      </c>
      <c r="D710" s="50"/>
    </row>
    <row r="711" spans="1:5">
      <c r="A711" s="90"/>
      <c r="B711" s="90"/>
      <c r="C711" s="50" t="s">
        <v>443</v>
      </c>
      <c r="D711" s="50"/>
    </row>
    <row r="712" spans="1:5">
      <c r="A712" s="90"/>
      <c r="B712" s="90"/>
      <c r="C712" s="50" t="s">
        <v>444</v>
      </c>
      <c r="D712" s="50"/>
    </row>
    <row r="713" spans="1:5">
      <c r="A713" s="90"/>
      <c r="B713" s="90"/>
      <c r="C713" s="50" t="s">
        <v>445</v>
      </c>
      <c r="D713" s="50"/>
    </row>
    <row r="714" spans="1:5">
      <c r="A714" s="90"/>
      <c r="B714" s="90"/>
      <c r="C714" s="50" t="s">
        <v>446</v>
      </c>
      <c r="D714" s="50"/>
    </row>
    <row r="715" spans="1:5">
      <c r="A715" s="90"/>
      <c r="B715" s="90"/>
      <c r="C715" s="50" t="s">
        <v>447</v>
      </c>
      <c r="D715" s="50"/>
    </row>
    <row r="716" spans="1:5">
      <c r="A716" s="90"/>
      <c r="B716" s="90"/>
      <c r="C716" s="50" t="s">
        <v>448</v>
      </c>
      <c r="D716" s="50" t="s">
        <v>449</v>
      </c>
      <c r="E716" t="s">
        <v>214</v>
      </c>
    </row>
    <row r="717" spans="1:5">
      <c r="A717" s="90"/>
      <c r="B717" s="90"/>
      <c r="C717" s="50" t="s">
        <v>450</v>
      </c>
      <c r="D717" s="50"/>
    </row>
    <row r="718" spans="1:5">
      <c r="A718" s="90"/>
      <c r="B718" s="90"/>
      <c r="C718" s="50" t="s">
        <v>451</v>
      </c>
      <c r="D718" s="50"/>
    </row>
    <row r="719" spans="1:5">
      <c r="A719" s="90"/>
      <c r="B719" s="90"/>
      <c r="C719" s="50" t="s">
        <v>452</v>
      </c>
      <c r="D719" s="50"/>
    </row>
    <row r="720" spans="1:5">
      <c r="A720" s="90"/>
      <c r="B720" s="90"/>
      <c r="C720" s="50" t="s">
        <v>453</v>
      </c>
      <c r="D720" s="50"/>
    </row>
    <row r="721" spans="1:4">
      <c r="A721" s="90"/>
      <c r="B721" s="90"/>
      <c r="C721" s="50" t="s">
        <v>454</v>
      </c>
      <c r="D721" s="50"/>
    </row>
    <row r="722" spans="1:4">
      <c r="A722" s="90"/>
      <c r="B722" s="90"/>
      <c r="C722" s="50" t="s">
        <v>455</v>
      </c>
      <c r="D722" s="50"/>
    </row>
    <row r="723" spans="1:4">
      <c r="A723" s="90"/>
      <c r="B723" s="90"/>
      <c r="C723" s="50" t="s">
        <v>456</v>
      </c>
      <c r="D723" s="50"/>
    </row>
    <row r="724" spans="1:4">
      <c r="A724" s="90"/>
      <c r="B724" s="90"/>
      <c r="C724" s="50" t="s">
        <v>457</v>
      </c>
      <c r="D724" s="50"/>
    </row>
    <row r="725" spans="1:4">
      <c r="A725" s="90"/>
      <c r="B725" s="90"/>
      <c r="C725" s="50" t="s">
        <v>458</v>
      </c>
      <c r="D725" s="50"/>
    </row>
    <row r="726" spans="1:4">
      <c r="A726" s="90"/>
      <c r="B726" s="90"/>
      <c r="C726" s="50" t="s">
        <v>459</v>
      </c>
      <c r="D726" s="50"/>
    </row>
    <row r="727" spans="1:4">
      <c r="A727" s="90"/>
      <c r="B727" s="90"/>
      <c r="C727" s="50" t="s">
        <v>460</v>
      </c>
      <c r="D727" s="50"/>
    </row>
    <row r="728" spans="1:4">
      <c r="A728" s="90"/>
      <c r="B728" s="90"/>
      <c r="C728" s="50" t="s">
        <v>461</v>
      </c>
      <c r="D728" s="50"/>
    </row>
    <row r="729" spans="1:4">
      <c r="A729" s="90"/>
      <c r="B729" s="90"/>
      <c r="C729" s="50" t="s">
        <v>462</v>
      </c>
      <c r="D729" s="50"/>
    </row>
    <row r="730" spans="1:4">
      <c r="A730" s="90"/>
      <c r="B730" s="90"/>
      <c r="C730" s="50" t="s">
        <v>463</v>
      </c>
      <c r="D730" s="50"/>
    </row>
    <row r="731" spans="1:4">
      <c r="A731" s="90"/>
      <c r="B731" s="90"/>
      <c r="C731" s="50" t="s">
        <v>464</v>
      </c>
      <c r="D731" s="50"/>
    </row>
    <row r="732" spans="1:4">
      <c r="A732" s="90"/>
      <c r="B732" s="90"/>
      <c r="C732" s="50" t="s">
        <v>465</v>
      </c>
      <c r="D732" s="50"/>
    </row>
    <row r="733" spans="1:4">
      <c r="A733" s="90"/>
      <c r="B733" s="90"/>
      <c r="C733" s="50" t="s">
        <v>466</v>
      </c>
      <c r="D733" s="50"/>
    </row>
    <row r="734" spans="1:4">
      <c r="A734" s="90"/>
      <c r="B734" s="90"/>
      <c r="C734" s="50" t="s">
        <v>467</v>
      </c>
      <c r="D734" s="50"/>
    </row>
    <row r="735" spans="1:4">
      <c r="A735" s="90"/>
      <c r="B735" s="90"/>
      <c r="C735" s="50" t="s">
        <v>468</v>
      </c>
      <c r="D735" s="50"/>
    </row>
    <row r="736" spans="1:4">
      <c r="A736" s="90"/>
      <c r="B736" s="90"/>
      <c r="C736" s="50" t="s">
        <v>469</v>
      </c>
      <c r="D736" s="50"/>
    </row>
    <row r="737" spans="1:4">
      <c r="A737" s="90"/>
      <c r="B737" s="90"/>
      <c r="C737" s="50" t="s">
        <v>470</v>
      </c>
      <c r="D737" s="50"/>
    </row>
    <row r="738" spans="1:4">
      <c r="A738" s="90"/>
      <c r="B738" s="90"/>
      <c r="C738" s="50" t="s">
        <v>471</v>
      </c>
      <c r="D738" s="50"/>
    </row>
    <row r="739" spans="1:4">
      <c r="A739" s="90"/>
      <c r="B739" s="90"/>
      <c r="C739" s="50" t="s">
        <v>472</v>
      </c>
      <c r="D739" s="50"/>
    </row>
    <row r="740" spans="1:4">
      <c r="A740" s="90"/>
      <c r="B740" s="90"/>
      <c r="C740" s="50" t="s">
        <v>473</v>
      </c>
      <c r="D740" s="50"/>
    </row>
    <row r="741" spans="1:4">
      <c r="A741" s="90"/>
      <c r="B741" s="90"/>
      <c r="C741" s="50" t="s">
        <v>474</v>
      </c>
      <c r="D741" s="50"/>
    </row>
    <row r="742" spans="1:4">
      <c r="A742" s="90"/>
      <c r="B742" s="90"/>
      <c r="C742" s="50" t="s">
        <v>475</v>
      </c>
      <c r="D742" s="50"/>
    </row>
    <row r="743" spans="1:4">
      <c r="A743" s="90"/>
      <c r="B743" s="90"/>
      <c r="C743" s="50" t="s">
        <v>476</v>
      </c>
      <c r="D743" s="50"/>
    </row>
    <row r="744" spans="1:4">
      <c r="A744" s="90"/>
      <c r="B744" s="90"/>
      <c r="C744" s="50" t="s">
        <v>477</v>
      </c>
      <c r="D744" s="50"/>
    </row>
    <row r="745" spans="1:4">
      <c r="A745" s="90"/>
      <c r="B745" s="90"/>
      <c r="C745" s="50" t="s">
        <v>478</v>
      </c>
      <c r="D745" s="50"/>
    </row>
    <row r="746" spans="1:4">
      <c r="A746" s="90"/>
      <c r="B746" s="90"/>
      <c r="C746" s="50" t="s">
        <v>479</v>
      </c>
      <c r="D746" s="50"/>
    </row>
    <row r="747" spans="1:4">
      <c r="A747" s="90"/>
      <c r="B747" s="90"/>
      <c r="C747" s="50" t="s">
        <v>480</v>
      </c>
      <c r="D747" s="50"/>
    </row>
    <row r="748" spans="1:4">
      <c r="A748" s="90"/>
      <c r="B748" s="90"/>
      <c r="C748" s="50" t="s">
        <v>481</v>
      </c>
      <c r="D748" s="50"/>
    </row>
    <row r="749" spans="1:4">
      <c r="A749" s="90"/>
      <c r="B749" s="90"/>
      <c r="C749" s="50" t="s">
        <v>482</v>
      </c>
      <c r="D749" s="50"/>
    </row>
    <row r="750" spans="1:4">
      <c r="A750" s="90"/>
      <c r="B750" s="90"/>
      <c r="C750" s="50" t="s">
        <v>30</v>
      </c>
      <c r="D750" s="50"/>
    </row>
    <row r="751" spans="1:4">
      <c r="A751" s="90"/>
      <c r="B751" s="90"/>
      <c r="C751" s="50" t="s">
        <v>207</v>
      </c>
      <c r="D751" s="50"/>
    </row>
    <row r="752" spans="1:4">
      <c r="A752" s="90"/>
      <c r="B752" s="90"/>
      <c r="C752" s="50" t="s">
        <v>208</v>
      </c>
      <c r="D752" s="50"/>
    </row>
    <row r="753" spans="1:4">
      <c r="A753" s="90"/>
      <c r="B753" s="90"/>
      <c r="C753" s="50" t="s">
        <v>209</v>
      </c>
      <c r="D753" s="50"/>
    </row>
    <row r="754" spans="1:4">
      <c r="A754" s="90"/>
      <c r="B754" s="90"/>
      <c r="C754" s="50" t="s">
        <v>210</v>
      </c>
      <c r="D754" s="50"/>
    </row>
    <row r="755" spans="1:4">
      <c r="A755" s="90"/>
      <c r="B755" s="90"/>
      <c r="C755" s="50" t="s">
        <v>211</v>
      </c>
      <c r="D755" s="50"/>
    </row>
    <row r="756" spans="1:4">
      <c r="A756" s="90"/>
      <c r="B756" s="90"/>
      <c r="C756" s="50" t="s">
        <v>212</v>
      </c>
      <c r="D756" s="50"/>
    </row>
    <row r="757" spans="1:4">
      <c r="A757" s="90"/>
      <c r="B757" s="90"/>
      <c r="C757" s="50" t="s">
        <v>213</v>
      </c>
      <c r="D757" s="50"/>
    </row>
    <row r="758" spans="1:4">
      <c r="A758" s="90"/>
      <c r="B758" s="90"/>
      <c r="C758" s="50" t="s">
        <v>215</v>
      </c>
      <c r="D758" s="50"/>
    </row>
    <row r="759" spans="1:4">
      <c r="A759" s="90"/>
      <c r="B759" s="90"/>
      <c r="C759" s="50" t="s">
        <v>216</v>
      </c>
      <c r="D759" s="50"/>
    </row>
    <row r="760" spans="1:4">
      <c r="A760" s="90"/>
      <c r="B760" s="90"/>
      <c r="C760" s="50" t="s">
        <v>217</v>
      </c>
      <c r="D760" s="50"/>
    </row>
    <row r="761" spans="1:4">
      <c r="A761" s="90"/>
      <c r="B761" s="90"/>
      <c r="C761" s="50" t="s">
        <v>218</v>
      </c>
      <c r="D761" s="50"/>
    </row>
    <row r="762" spans="1:4">
      <c r="A762" s="90"/>
      <c r="B762" s="90"/>
      <c r="C762" s="50" t="s">
        <v>219</v>
      </c>
      <c r="D762" s="50"/>
    </row>
    <row r="763" spans="1:4">
      <c r="A763" s="90"/>
      <c r="B763" s="90"/>
      <c r="C763" s="50" t="s">
        <v>220</v>
      </c>
      <c r="D763" s="50"/>
    </row>
    <row r="764" spans="1:4">
      <c r="A764" s="90"/>
      <c r="B764" s="90"/>
      <c r="C764" s="50" t="s">
        <v>221</v>
      </c>
      <c r="D764" s="50"/>
    </row>
    <row r="765" spans="1:4">
      <c r="A765" s="90"/>
      <c r="B765" s="90"/>
      <c r="C765" s="50" t="s">
        <v>222</v>
      </c>
      <c r="D765" s="50"/>
    </row>
    <row r="766" spans="1:4">
      <c r="A766" s="90"/>
      <c r="B766" s="90"/>
      <c r="C766" s="50" t="s">
        <v>223</v>
      </c>
      <c r="D766" s="50"/>
    </row>
    <row r="767" spans="1:4">
      <c r="A767" s="90"/>
      <c r="B767" s="90"/>
      <c r="C767" s="50" t="s">
        <v>80</v>
      </c>
      <c r="D767" s="50"/>
    </row>
    <row r="768" spans="1:4">
      <c r="A768" s="90"/>
      <c r="B768" s="90"/>
      <c r="C768" s="50" t="s">
        <v>224</v>
      </c>
      <c r="D768" s="50"/>
    </row>
    <row r="769" spans="1:5">
      <c r="A769" s="90"/>
      <c r="B769" s="90"/>
      <c r="C769" s="50" t="s">
        <v>225</v>
      </c>
      <c r="D769" s="50"/>
    </row>
    <row r="770" spans="1:5">
      <c r="A770" s="90"/>
      <c r="B770" s="90"/>
      <c r="C770" s="50" t="s">
        <v>226</v>
      </c>
      <c r="D770" s="50"/>
    </row>
    <row r="771" spans="1:5">
      <c r="A771" s="90"/>
      <c r="B771" s="90"/>
      <c r="C771" s="50" t="s">
        <v>227</v>
      </c>
      <c r="D771" s="50"/>
    </row>
    <row r="772" spans="1:5">
      <c r="A772" s="90"/>
      <c r="B772" s="90"/>
      <c r="C772" s="50" t="s">
        <v>228</v>
      </c>
      <c r="D772" s="50"/>
    </row>
    <row r="773" spans="1:5">
      <c r="A773" s="90"/>
      <c r="B773" s="90"/>
      <c r="C773" s="50" t="s">
        <v>229</v>
      </c>
      <c r="D773" s="50"/>
    </row>
    <row r="774" spans="1:5">
      <c r="A774" s="90"/>
      <c r="B774" s="90"/>
      <c r="C774" s="50" t="s">
        <v>230</v>
      </c>
      <c r="D774" s="50"/>
    </row>
    <row r="775" spans="1:5">
      <c r="A775" s="90"/>
      <c r="B775" s="90"/>
      <c r="C775" s="50" t="s">
        <v>231</v>
      </c>
      <c r="D775" s="50"/>
    </row>
    <row r="776" spans="1:5">
      <c r="A776" s="90"/>
      <c r="B776" s="90"/>
      <c r="C776" s="50" t="s">
        <v>232</v>
      </c>
      <c r="D776" s="50"/>
    </row>
    <row r="777" spans="1:5">
      <c r="A777" s="90"/>
      <c r="B777" s="90"/>
      <c r="C777" s="50" t="s">
        <v>233</v>
      </c>
      <c r="D777" s="50"/>
    </row>
    <row r="778" spans="1:5">
      <c r="A778" s="90"/>
      <c r="B778" s="90"/>
      <c r="C778" s="50" t="s">
        <v>234</v>
      </c>
      <c r="D778" s="50"/>
    </row>
    <row r="779" spans="1:5">
      <c r="A779" s="90"/>
      <c r="B779" s="90"/>
      <c r="C779" s="50" t="s">
        <v>235</v>
      </c>
      <c r="D779" s="50"/>
    </row>
    <row r="780" spans="1:5">
      <c r="A780" s="90"/>
      <c r="B780" s="90"/>
      <c r="C780" s="50" t="s">
        <v>236</v>
      </c>
      <c r="D780" s="50"/>
    </row>
    <row r="781" spans="1:5">
      <c r="A781" s="90"/>
      <c r="B781" s="90"/>
      <c r="C781" s="50" t="s">
        <v>237</v>
      </c>
      <c r="D781" s="50"/>
    </row>
    <row r="782" spans="1:5">
      <c r="A782" s="90"/>
      <c r="B782" s="90"/>
      <c r="C782" s="50" t="s">
        <v>238</v>
      </c>
      <c r="D782" s="50"/>
      <c r="E782" t="s">
        <v>214</v>
      </c>
    </row>
    <row r="783" spans="1:5">
      <c r="A783" s="90"/>
      <c r="B783" s="90"/>
      <c r="C783" s="50" t="s">
        <v>239</v>
      </c>
      <c r="D783" s="50"/>
      <c r="E783" t="s">
        <v>214</v>
      </c>
    </row>
    <row r="784" spans="1:5">
      <c r="A784" s="90"/>
      <c r="B784" s="90"/>
      <c r="C784" s="50" t="s">
        <v>242</v>
      </c>
      <c r="D784" s="50"/>
      <c r="E784" t="s">
        <v>214</v>
      </c>
    </row>
    <row r="785" spans="1:5">
      <c r="A785" s="90"/>
      <c r="B785" s="90"/>
      <c r="C785" s="50" t="s">
        <v>243</v>
      </c>
      <c r="D785" s="50"/>
    </row>
    <row r="786" spans="1:5">
      <c r="A786" s="90"/>
      <c r="B786" s="90"/>
      <c r="C786" s="50" t="s">
        <v>244</v>
      </c>
      <c r="D786" s="50"/>
    </row>
    <row r="787" spans="1:5">
      <c r="A787" s="90"/>
      <c r="B787" s="90"/>
      <c r="C787" s="50" t="s">
        <v>245</v>
      </c>
      <c r="D787" s="50"/>
    </row>
    <row r="788" spans="1:5">
      <c r="A788" s="90"/>
      <c r="B788" s="90"/>
      <c r="C788" s="50" t="s">
        <v>246</v>
      </c>
      <c r="D788" s="50"/>
    </row>
    <row r="789" spans="1:5">
      <c r="A789" s="90"/>
      <c r="B789" s="90"/>
      <c r="C789" s="50" t="s">
        <v>247</v>
      </c>
      <c r="D789" s="50"/>
    </row>
    <row r="790" spans="1:5">
      <c r="A790" s="90"/>
      <c r="B790" s="90"/>
      <c r="C790" s="50" t="s">
        <v>248</v>
      </c>
      <c r="D790" s="50"/>
      <c r="E790" t="s">
        <v>214</v>
      </c>
    </row>
    <row r="791" spans="1:5">
      <c r="A791" s="90"/>
      <c r="B791" s="90"/>
      <c r="C791" s="50" t="s">
        <v>249</v>
      </c>
      <c r="D791" s="50"/>
    </row>
    <row r="792" spans="1:5">
      <c r="A792" s="90"/>
      <c r="B792" s="90"/>
      <c r="C792" s="50" t="s">
        <v>250</v>
      </c>
      <c r="D792" s="50"/>
    </row>
    <row r="793" spans="1:5">
      <c r="A793" s="90"/>
      <c r="B793" s="90"/>
      <c r="C793" s="50" t="s">
        <v>251</v>
      </c>
      <c r="D793" s="50"/>
    </row>
    <row r="794" spans="1:5">
      <c r="A794" s="90"/>
      <c r="B794" s="90"/>
      <c r="C794" s="50" t="s">
        <v>934</v>
      </c>
      <c r="D794" s="50"/>
    </row>
    <row r="795" spans="1:5">
      <c r="A795" s="90"/>
      <c r="B795" s="90"/>
      <c r="C795" s="50" t="s">
        <v>252</v>
      </c>
      <c r="D795" s="50"/>
    </row>
    <row r="796" spans="1:5">
      <c r="A796" s="90"/>
      <c r="B796" s="90"/>
      <c r="C796" s="50" t="s">
        <v>253</v>
      </c>
      <c r="D796" s="50"/>
    </row>
    <row r="797" spans="1:5">
      <c r="A797" s="90"/>
      <c r="B797" s="90"/>
      <c r="C797" s="50" t="s">
        <v>254</v>
      </c>
      <c r="D797" s="50"/>
    </row>
    <row r="798" spans="1:5">
      <c r="A798" s="90"/>
      <c r="B798" s="90"/>
      <c r="C798" s="50" t="s">
        <v>255</v>
      </c>
      <c r="D798" s="50"/>
    </row>
    <row r="799" spans="1:5">
      <c r="A799" s="90"/>
      <c r="B799" s="90"/>
      <c r="C799" s="50" t="s">
        <v>256</v>
      </c>
      <c r="D799" s="50"/>
    </row>
    <row r="800" spans="1:5">
      <c r="A800" s="90"/>
      <c r="B800" s="90"/>
      <c r="C800" s="50" t="s">
        <v>257</v>
      </c>
      <c r="D800" s="50"/>
    </row>
    <row r="801" spans="1:5">
      <c r="A801" s="90"/>
      <c r="B801" s="90"/>
      <c r="C801" s="50" t="s">
        <v>258</v>
      </c>
      <c r="D801" s="50"/>
    </row>
    <row r="802" spans="1:5">
      <c r="A802" s="90"/>
      <c r="B802" s="90"/>
      <c r="C802" s="50" t="s">
        <v>259</v>
      </c>
      <c r="D802" s="50"/>
    </row>
    <row r="803" spans="1:5">
      <c r="A803" s="90"/>
      <c r="B803" s="90"/>
      <c r="C803" s="50" t="s">
        <v>260</v>
      </c>
      <c r="D803" s="50"/>
    </row>
    <row r="804" spans="1:5">
      <c r="A804" s="90"/>
      <c r="B804" s="90"/>
      <c r="C804" s="50" t="s">
        <v>261</v>
      </c>
      <c r="D804" s="50"/>
    </row>
    <row r="805" spans="1:5">
      <c r="A805" s="90"/>
      <c r="B805" s="90"/>
      <c r="C805" s="50" t="s">
        <v>262</v>
      </c>
      <c r="D805" s="50"/>
    </row>
    <row r="806" spans="1:5">
      <c r="A806" s="90"/>
      <c r="B806" s="90"/>
      <c r="C806" s="50" t="s">
        <v>263</v>
      </c>
      <c r="D806" s="50"/>
    </row>
    <row r="807" spans="1:5">
      <c r="A807" s="90"/>
      <c r="B807" s="90"/>
      <c r="C807" s="50" t="s">
        <v>264</v>
      </c>
      <c r="D807" s="50"/>
    </row>
    <row r="808" spans="1:5">
      <c r="A808" s="90"/>
      <c r="B808" s="90"/>
      <c r="C808" s="50" t="s">
        <v>266</v>
      </c>
      <c r="D808" s="50"/>
    </row>
    <row r="809" spans="1:5">
      <c r="A809" s="90"/>
      <c r="B809" s="90"/>
      <c r="C809" s="50" t="s">
        <v>265</v>
      </c>
      <c r="D809" s="50"/>
      <c r="E809" t="s">
        <v>214</v>
      </c>
    </row>
    <row r="810" spans="1:5">
      <c r="A810" s="90"/>
      <c r="B810" s="90"/>
      <c r="C810" s="50" t="s">
        <v>267</v>
      </c>
      <c r="D810" s="50"/>
    </row>
    <row r="811" spans="1:5">
      <c r="A811" s="90"/>
      <c r="B811" s="90"/>
      <c r="C811" s="50" t="s">
        <v>268</v>
      </c>
      <c r="D811" s="50"/>
    </row>
    <row r="812" spans="1:5">
      <c r="A812" s="90"/>
      <c r="B812" s="90"/>
      <c r="C812" s="50" t="s">
        <v>269</v>
      </c>
      <c r="D812" s="50"/>
    </row>
    <row r="813" spans="1:5">
      <c r="A813" s="90"/>
      <c r="B813" s="90"/>
      <c r="C813" s="50" t="s">
        <v>270</v>
      </c>
      <c r="D813" s="50"/>
    </row>
    <row r="814" spans="1:5">
      <c r="A814" s="90"/>
      <c r="B814" s="90"/>
      <c r="C814" s="50" t="s">
        <v>271</v>
      </c>
      <c r="D814" s="50"/>
    </row>
    <row r="815" spans="1:5">
      <c r="A815" s="90"/>
      <c r="B815" s="90"/>
      <c r="C815" s="50" t="s">
        <v>272</v>
      </c>
      <c r="D815" s="50"/>
    </row>
    <row r="816" spans="1:5">
      <c r="A816" s="90"/>
      <c r="B816" s="90"/>
      <c r="C816" s="50" t="s">
        <v>273</v>
      </c>
      <c r="D816" s="50"/>
    </row>
    <row r="817" spans="1:4">
      <c r="A817" s="90"/>
      <c r="B817" s="90"/>
      <c r="C817" s="50" t="s">
        <v>274</v>
      </c>
      <c r="D817" s="50"/>
    </row>
    <row r="818" spans="1:4">
      <c r="A818" s="90"/>
      <c r="B818" s="90"/>
      <c r="C818" s="50" t="s">
        <v>275</v>
      </c>
      <c r="D818" s="50"/>
    </row>
    <row r="819" spans="1:4">
      <c r="A819" s="90"/>
      <c r="B819" s="90"/>
      <c r="C819" s="50" t="s">
        <v>276</v>
      </c>
      <c r="D819" s="50"/>
    </row>
    <row r="820" spans="1:4">
      <c r="A820" s="90"/>
      <c r="B820" s="90"/>
      <c r="C820" s="50" t="s">
        <v>277</v>
      </c>
      <c r="D820" s="50"/>
    </row>
    <row r="821" spans="1:4">
      <c r="A821" s="90"/>
      <c r="B821" s="90"/>
      <c r="C821" s="50" t="s">
        <v>278</v>
      </c>
      <c r="D821" s="50"/>
    </row>
    <row r="822" spans="1:4">
      <c r="A822" s="90"/>
      <c r="B822" s="90"/>
      <c r="C822" s="50" t="s">
        <v>279</v>
      </c>
      <c r="D822" s="50"/>
    </row>
    <row r="823" spans="1:4">
      <c r="A823" s="90"/>
      <c r="B823" s="90"/>
      <c r="C823" s="50" t="s">
        <v>280</v>
      </c>
      <c r="D823" s="50"/>
    </row>
    <row r="824" spans="1:4">
      <c r="A824" s="90"/>
      <c r="B824" s="90"/>
      <c r="C824" s="50" t="s">
        <v>281</v>
      </c>
      <c r="D824" s="50"/>
    </row>
    <row r="825" spans="1:4">
      <c r="A825" s="90"/>
      <c r="B825" s="90"/>
      <c r="C825" s="50" t="s">
        <v>282</v>
      </c>
      <c r="D825" s="50"/>
    </row>
    <row r="826" spans="1:4">
      <c r="A826" s="90"/>
      <c r="B826" s="90"/>
      <c r="C826" s="50" t="s">
        <v>283</v>
      </c>
      <c r="D826" s="50"/>
    </row>
    <row r="827" spans="1:4">
      <c r="A827" s="90"/>
      <c r="B827" s="90"/>
      <c r="C827" s="50" t="s">
        <v>284</v>
      </c>
      <c r="D827" s="50"/>
    </row>
    <row r="828" spans="1:4">
      <c r="A828" s="90"/>
      <c r="B828" s="90"/>
      <c r="C828" s="50" t="s">
        <v>285</v>
      </c>
      <c r="D828" s="50"/>
    </row>
    <row r="829" spans="1:4">
      <c r="A829" s="90"/>
      <c r="B829" s="90"/>
      <c r="C829" s="50" t="s">
        <v>286</v>
      </c>
      <c r="D829" s="50"/>
    </row>
    <row r="830" spans="1:4">
      <c r="A830" s="90"/>
      <c r="B830" s="90"/>
      <c r="C830" s="50" t="s">
        <v>287</v>
      </c>
      <c r="D830" s="50"/>
    </row>
    <row r="831" spans="1:4">
      <c r="A831" s="90"/>
      <c r="B831" s="90"/>
      <c r="C831" s="50" t="s">
        <v>935</v>
      </c>
      <c r="D831" s="120" t="s">
        <v>936</v>
      </c>
    </row>
    <row r="832" spans="1:4">
      <c r="A832" s="90"/>
      <c r="B832" s="90"/>
      <c r="C832" s="50" t="s">
        <v>937</v>
      </c>
      <c r="D832" s="120" t="s">
        <v>299</v>
      </c>
    </row>
    <row r="833" spans="1:4">
      <c r="A833" s="90"/>
      <c r="B833" s="90"/>
      <c r="C833" s="50" t="s">
        <v>938</v>
      </c>
      <c r="D833" s="120" t="s">
        <v>299</v>
      </c>
    </row>
    <row r="834" spans="1:4" ht="15">
      <c r="A834" s="90"/>
      <c r="B834" s="90"/>
      <c r="C834" s="50" t="s">
        <v>939</v>
      </c>
      <c r="D834" s="118"/>
    </row>
    <row r="835" spans="1:4">
      <c r="A835" s="90"/>
      <c r="B835" s="90"/>
      <c r="C835" s="50" t="s">
        <v>295</v>
      </c>
      <c r="D835" s="50"/>
    </row>
    <row r="836" spans="1:4">
      <c r="A836" s="90"/>
      <c r="B836" s="90"/>
      <c r="C836" s="50" t="s">
        <v>290</v>
      </c>
      <c r="D836" s="50"/>
    </row>
    <row r="837" spans="1:4">
      <c r="A837" s="90"/>
      <c r="B837" s="90"/>
      <c r="C837" s="50" t="s">
        <v>291</v>
      </c>
      <c r="D837" s="50"/>
    </row>
    <row r="838" spans="1:4">
      <c r="A838" s="90"/>
      <c r="B838" s="90"/>
      <c r="C838" s="50" t="s">
        <v>288</v>
      </c>
      <c r="D838" s="50"/>
    </row>
    <row r="839" spans="1:4">
      <c r="A839" s="90"/>
      <c r="B839" s="90"/>
      <c r="C839" s="50" t="s">
        <v>292</v>
      </c>
      <c r="D839" s="50"/>
    </row>
    <row r="840" spans="1:4">
      <c r="A840" s="90"/>
      <c r="B840" s="90"/>
      <c r="C840" s="50" t="s">
        <v>289</v>
      </c>
      <c r="D840" s="50"/>
    </row>
    <row r="841" spans="1:4">
      <c r="A841" s="90"/>
      <c r="B841" s="90"/>
      <c r="C841" s="50" t="s">
        <v>293</v>
      </c>
      <c r="D841" s="50"/>
    </row>
    <row r="842" spans="1:4">
      <c r="A842" s="90"/>
      <c r="B842" s="90"/>
      <c r="C842" s="50" t="s">
        <v>940</v>
      </c>
      <c r="D842" s="50"/>
    </row>
    <row r="843" spans="1:4">
      <c r="A843" s="90"/>
      <c r="B843" s="90"/>
      <c r="C843" s="50" t="s">
        <v>941</v>
      </c>
      <c r="D843" s="50"/>
    </row>
    <row r="844" spans="1:4">
      <c r="A844" s="90"/>
      <c r="B844" s="90"/>
      <c r="C844" s="50" t="s">
        <v>942</v>
      </c>
      <c r="D844" s="50"/>
    </row>
    <row r="845" spans="1:4">
      <c r="A845" s="90"/>
      <c r="B845" s="90"/>
      <c r="C845" s="50" t="s">
        <v>943</v>
      </c>
      <c r="D845" s="50"/>
    </row>
    <row r="846" spans="1:4">
      <c r="A846" s="90"/>
      <c r="B846" s="90"/>
      <c r="C846" s="50" t="s">
        <v>944</v>
      </c>
      <c r="D846" s="50"/>
    </row>
    <row r="847" spans="1:4">
      <c r="A847" s="90"/>
      <c r="B847" s="90"/>
      <c r="C847" s="50" t="s">
        <v>945</v>
      </c>
      <c r="D847" s="50"/>
    </row>
    <row r="848" spans="1:4">
      <c r="A848" s="90"/>
      <c r="B848" s="90"/>
      <c r="C848" s="50" t="s">
        <v>946</v>
      </c>
      <c r="D848" s="50"/>
    </row>
    <row r="849" spans="1:4">
      <c r="A849" s="90"/>
      <c r="B849" s="90"/>
      <c r="C849" s="50" t="s">
        <v>947</v>
      </c>
      <c r="D849" s="50"/>
    </row>
    <row r="850" spans="1:4">
      <c r="A850" s="90"/>
      <c r="B850" s="90"/>
      <c r="C850" s="50" t="s">
        <v>164</v>
      </c>
      <c r="D850" s="50"/>
    </row>
    <row r="851" spans="1:4">
      <c r="A851" s="63" t="s">
        <v>948</v>
      </c>
      <c r="B851" s="63"/>
      <c r="C851" s="52" t="s">
        <v>337</v>
      </c>
      <c r="D851" s="52"/>
    </row>
    <row r="852" spans="1:4">
      <c r="A852" s="64"/>
      <c r="B852" s="64"/>
      <c r="C852" s="52" t="s">
        <v>134</v>
      </c>
      <c r="D852" s="52"/>
    </row>
    <row r="853" spans="1:4">
      <c r="A853" s="90" t="s">
        <v>949</v>
      </c>
      <c r="B853" s="90" t="s">
        <v>5</v>
      </c>
      <c r="C853" s="50" t="s">
        <v>950</v>
      </c>
      <c r="D853" s="50"/>
    </row>
    <row r="854" spans="1:4">
      <c r="A854" s="90"/>
      <c r="B854" s="90"/>
      <c r="C854" s="50" t="s">
        <v>951</v>
      </c>
      <c r="D854" s="50"/>
    </row>
    <row r="855" spans="1:4">
      <c r="A855" s="90"/>
      <c r="B855" s="90"/>
      <c r="C855" s="50" t="s">
        <v>952</v>
      </c>
      <c r="D855" s="50"/>
    </row>
    <row r="856" spans="1:4">
      <c r="A856" s="90"/>
      <c r="B856" s="90"/>
      <c r="C856" s="50" t="s">
        <v>953</v>
      </c>
      <c r="D856" s="50"/>
    </row>
    <row r="857" spans="1:4">
      <c r="A857" s="90"/>
      <c r="B857" s="90"/>
      <c r="C857" s="50" t="s">
        <v>954</v>
      </c>
      <c r="D857" s="50"/>
    </row>
    <row r="858" spans="1:4">
      <c r="A858" s="90"/>
      <c r="B858" s="90"/>
      <c r="C858" s="50" t="s">
        <v>955</v>
      </c>
      <c r="D858" s="50"/>
    </row>
    <row r="859" spans="1:4">
      <c r="A859" s="90"/>
      <c r="B859" s="90"/>
      <c r="C859" s="50" t="s">
        <v>956</v>
      </c>
      <c r="D859" s="50"/>
    </row>
    <row r="860" spans="1:4">
      <c r="A860" s="90"/>
      <c r="B860" s="90"/>
      <c r="C860" s="50" t="s">
        <v>957</v>
      </c>
      <c r="D860" s="50"/>
    </row>
    <row r="861" spans="1:4">
      <c r="A861" s="90"/>
      <c r="B861" s="90"/>
      <c r="C861" s="50" t="s">
        <v>958</v>
      </c>
      <c r="D861" s="50"/>
    </row>
    <row r="862" spans="1:4">
      <c r="A862" s="63" t="s">
        <v>959</v>
      </c>
      <c r="B862" s="63" t="s">
        <v>5</v>
      </c>
      <c r="C862" s="52" t="s">
        <v>40</v>
      </c>
      <c r="D862" s="52"/>
    </row>
    <row r="863" spans="1:4">
      <c r="A863" s="64"/>
      <c r="B863" s="64"/>
      <c r="C863" s="52" t="s">
        <v>960</v>
      </c>
      <c r="D863" s="52"/>
    </row>
    <row r="864" spans="1:4">
      <c r="A864" s="64"/>
      <c r="B864" s="64"/>
      <c r="C864" s="52" t="s">
        <v>49</v>
      </c>
      <c r="D864" s="52"/>
    </row>
    <row r="865" spans="1:4">
      <c r="A865" s="64"/>
      <c r="B865" s="64"/>
      <c r="C865" s="52" t="s">
        <v>98</v>
      </c>
      <c r="D865" s="52"/>
    </row>
    <row r="866" spans="1:4">
      <c r="A866" s="64"/>
      <c r="B866" s="64"/>
      <c r="C866" s="52" t="s">
        <v>78</v>
      </c>
      <c r="D866" s="52"/>
    </row>
    <row r="867" spans="1:4">
      <c r="A867" s="64"/>
      <c r="B867" s="64"/>
      <c r="C867" s="52" t="s">
        <v>961</v>
      </c>
      <c r="D867" s="52"/>
    </row>
    <row r="868" spans="1:4">
      <c r="A868" s="64"/>
      <c r="B868" s="64"/>
      <c r="C868" s="52" t="s">
        <v>29</v>
      </c>
      <c r="D868" s="52"/>
    </row>
    <row r="869" spans="1:4">
      <c r="A869" s="64"/>
      <c r="B869" s="64"/>
      <c r="C869" s="52" t="s">
        <v>962</v>
      </c>
      <c r="D869" s="52"/>
    </row>
    <row r="870" spans="1:4">
      <c r="A870" s="90" t="s">
        <v>963</v>
      </c>
      <c r="B870" s="90" t="s">
        <v>5</v>
      </c>
      <c r="C870" s="50" t="s">
        <v>40</v>
      </c>
      <c r="D870" s="50"/>
    </row>
    <row r="871" spans="1:4">
      <c r="A871" s="90"/>
      <c r="B871" s="90"/>
      <c r="C871" s="50" t="s">
        <v>49</v>
      </c>
      <c r="D871" s="50"/>
    </row>
    <row r="872" spans="1:4">
      <c r="A872" s="90"/>
      <c r="B872" s="90"/>
      <c r="C872" s="50" t="s">
        <v>78</v>
      </c>
      <c r="D872" s="50"/>
    </row>
    <row r="873" spans="1:4">
      <c r="A873" s="90"/>
      <c r="B873" s="90"/>
      <c r="C873" s="50" t="s">
        <v>164</v>
      </c>
      <c r="D873" s="50"/>
    </row>
    <row r="874" spans="1:4">
      <c r="A874" s="63" t="s">
        <v>964</v>
      </c>
      <c r="B874" s="63" t="s">
        <v>5</v>
      </c>
      <c r="C874" s="52" t="s">
        <v>965</v>
      </c>
      <c r="D874" s="52"/>
    </row>
    <row r="875" spans="1:4">
      <c r="A875" s="64"/>
      <c r="B875" s="64"/>
      <c r="C875" s="52" t="s">
        <v>753</v>
      </c>
      <c r="D875" s="52"/>
    </row>
    <row r="876" spans="1:4">
      <c r="A876" s="64"/>
      <c r="B876" s="64"/>
      <c r="C876" s="52" t="s">
        <v>754</v>
      </c>
      <c r="D876" s="52"/>
    </row>
    <row r="877" spans="1:4">
      <c r="A877" s="64"/>
      <c r="B877" s="64"/>
      <c r="C877" s="52" t="s">
        <v>755</v>
      </c>
      <c r="D877" s="52"/>
    </row>
    <row r="878" spans="1:4">
      <c r="A878" s="64"/>
      <c r="B878" s="64"/>
      <c r="C878" s="52" t="s">
        <v>966</v>
      </c>
      <c r="D878" s="52"/>
    </row>
    <row r="879" spans="1:4">
      <c r="A879" s="64"/>
      <c r="B879" s="64"/>
      <c r="C879" s="52" t="s">
        <v>967</v>
      </c>
      <c r="D879" s="52"/>
    </row>
    <row r="880" spans="1:4">
      <c r="A880" s="64"/>
      <c r="B880" s="64"/>
      <c r="C880" s="52" t="s">
        <v>968</v>
      </c>
      <c r="D880" s="52"/>
    </row>
    <row r="881" spans="1:5">
      <c r="A881" s="64"/>
      <c r="B881" s="64"/>
      <c r="C881" s="52" t="s">
        <v>969</v>
      </c>
      <c r="D881" s="52"/>
    </row>
    <row r="882" spans="1:5">
      <c r="A882" s="64"/>
      <c r="B882" s="64"/>
      <c r="C882" s="52" t="s">
        <v>970</v>
      </c>
      <c r="D882" s="52" t="s">
        <v>970</v>
      </c>
      <c r="E882" t="s">
        <v>214</v>
      </c>
    </row>
    <row r="883" spans="1:5">
      <c r="A883" s="65"/>
      <c r="B883" s="65"/>
      <c r="C883" s="52" t="s">
        <v>164</v>
      </c>
      <c r="D883" s="52"/>
    </row>
    <row r="884" spans="1:5">
      <c r="A884" s="79" t="s">
        <v>971</v>
      </c>
      <c r="B884" s="79" t="s">
        <v>5</v>
      </c>
      <c r="C884" s="50" t="s">
        <v>930</v>
      </c>
      <c r="D884" s="50"/>
    </row>
    <row r="885" spans="1:5">
      <c r="A885" s="80"/>
      <c r="B885" s="80"/>
      <c r="C885" s="50" t="s">
        <v>972</v>
      </c>
      <c r="D885" s="50"/>
    </row>
    <row r="886" spans="1:5">
      <c r="A886" s="80"/>
      <c r="B886" s="80"/>
      <c r="C886" s="50" t="s">
        <v>973</v>
      </c>
      <c r="D886" s="50"/>
    </row>
    <row r="887" spans="1:5">
      <c r="A887" s="80"/>
      <c r="B887" s="80"/>
      <c r="C887" s="50" t="s">
        <v>974</v>
      </c>
      <c r="D887" s="50"/>
    </row>
    <row r="888" spans="1:5">
      <c r="A888" s="80"/>
      <c r="B888" s="80"/>
      <c r="C888" s="50" t="s">
        <v>975</v>
      </c>
      <c r="D888" s="50"/>
    </row>
    <row r="889" spans="1:5">
      <c r="A889" s="80"/>
      <c r="B889" s="80"/>
      <c r="C889" s="50" t="s">
        <v>976</v>
      </c>
      <c r="D889" s="50" t="s">
        <v>977</v>
      </c>
    </row>
    <row r="890" spans="1:5">
      <c r="A890" s="80"/>
      <c r="B890" s="80"/>
      <c r="C890" s="50" t="s">
        <v>978</v>
      </c>
      <c r="D890" s="50"/>
    </row>
    <row r="891" spans="1:5">
      <c r="A891" s="63" t="s">
        <v>469</v>
      </c>
      <c r="B891" s="63" t="s">
        <v>5</v>
      </c>
      <c r="C891" s="52" t="s">
        <v>979</v>
      </c>
      <c r="D891" s="52"/>
    </row>
    <row r="892" spans="1:5">
      <c r="A892" s="64"/>
      <c r="B892" s="64"/>
      <c r="C892" s="52" t="s">
        <v>980</v>
      </c>
      <c r="D892" s="52"/>
    </row>
    <row r="893" spans="1:5">
      <c r="A893" s="64"/>
      <c r="B893" s="64"/>
      <c r="C893" s="52" t="s">
        <v>981</v>
      </c>
      <c r="D893" s="52"/>
    </row>
    <row r="894" spans="1:5">
      <c r="A894" s="64"/>
      <c r="B894" s="64"/>
      <c r="C894" s="52" t="s">
        <v>982</v>
      </c>
      <c r="D894" s="52"/>
    </row>
    <row r="895" spans="1:5">
      <c r="A895" s="64"/>
      <c r="B895" s="64"/>
      <c r="C895" s="52" t="s">
        <v>983</v>
      </c>
      <c r="D895" s="52"/>
    </row>
    <row r="896" spans="1:5">
      <c r="A896" s="64"/>
      <c r="B896" s="64"/>
      <c r="C896" s="52" t="s">
        <v>164</v>
      </c>
      <c r="D896" s="52"/>
    </row>
    <row r="897" spans="1:4">
      <c r="A897" s="79" t="s">
        <v>984</v>
      </c>
      <c r="B897" s="79" t="s">
        <v>5</v>
      </c>
      <c r="C897" s="50" t="s">
        <v>985</v>
      </c>
      <c r="D897" s="50"/>
    </row>
    <row r="898" spans="1:4">
      <c r="A898" s="80"/>
      <c r="B898" s="80"/>
      <c r="C898" s="50" t="s">
        <v>986</v>
      </c>
      <c r="D898" s="50"/>
    </row>
    <row r="899" spans="1:4">
      <c r="A899" s="80"/>
      <c r="B899" s="80"/>
      <c r="C899" s="50" t="s">
        <v>930</v>
      </c>
      <c r="D899" s="50"/>
    </row>
    <row r="900" spans="1:4">
      <c r="A900" s="80"/>
      <c r="B900" s="80"/>
      <c r="C900" s="50" t="s">
        <v>164</v>
      </c>
      <c r="D900" s="50"/>
    </row>
    <row r="901" spans="1:4">
      <c r="A901" s="63" t="s">
        <v>987</v>
      </c>
      <c r="B901" s="63" t="s">
        <v>5</v>
      </c>
      <c r="C901" s="52" t="s">
        <v>988</v>
      </c>
      <c r="D901" s="52"/>
    </row>
    <row r="902" spans="1:4">
      <c r="A902" s="64"/>
      <c r="B902" s="64"/>
      <c r="C902" s="52" t="s">
        <v>989</v>
      </c>
      <c r="D902" s="52"/>
    </row>
    <row r="903" spans="1:4">
      <c r="A903" s="64"/>
      <c r="B903" s="64"/>
      <c r="C903" s="52" t="s">
        <v>744</v>
      </c>
      <c r="D903" s="52"/>
    </row>
    <row r="904" spans="1:4">
      <c r="A904" s="64"/>
      <c r="B904" s="64"/>
      <c r="C904" s="52" t="s">
        <v>990</v>
      </c>
      <c r="D904" s="52"/>
    </row>
    <row r="905" spans="1:4">
      <c r="A905" s="64"/>
      <c r="B905" s="64"/>
      <c r="C905" s="52" t="s">
        <v>991</v>
      </c>
      <c r="D905" s="52"/>
    </row>
    <row r="906" spans="1:4">
      <c r="A906" s="89" t="s">
        <v>992</v>
      </c>
      <c r="B906" s="89" t="s">
        <v>5</v>
      </c>
      <c r="C906" s="55" t="s">
        <v>993</v>
      </c>
      <c r="D906" s="55"/>
    </row>
    <row r="907" spans="1:4">
      <c r="A907" s="90"/>
      <c r="B907" s="90"/>
      <c r="C907" s="55" t="s">
        <v>994</v>
      </c>
      <c r="D907" s="55"/>
    </row>
    <row r="908" spans="1:4">
      <c r="A908" s="90"/>
      <c r="B908" s="90"/>
      <c r="C908" s="50" t="s">
        <v>995</v>
      </c>
      <c r="D908" s="50"/>
    </row>
    <row r="909" spans="1:4">
      <c r="A909" s="90"/>
      <c r="B909" s="90"/>
      <c r="C909" s="50" t="s">
        <v>996</v>
      </c>
      <c r="D909" s="50"/>
    </row>
    <row r="910" spans="1:4">
      <c r="A910" s="90"/>
      <c r="B910" s="90"/>
      <c r="C910" s="50" t="s">
        <v>997</v>
      </c>
      <c r="D910" s="50"/>
    </row>
    <row r="911" spans="1:4">
      <c r="A911" s="90"/>
      <c r="B911" s="90"/>
      <c r="C911" s="50" t="s">
        <v>998</v>
      </c>
      <c r="D911" s="50"/>
    </row>
    <row r="912" spans="1:4">
      <c r="A912" s="85" t="s">
        <v>999</v>
      </c>
      <c r="B912" s="85" t="s">
        <v>5</v>
      </c>
      <c r="C912" s="57" t="s">
        <v>40</v>
      </c>
      <c r="D912" s="57"/>
    </row>
    <row r="913" spans="1:5">
      <c r="A913" s="67"/>
      <c r="B913" s="67"/>
      <c r="C913" s="57" t="s">
        <v>960</v>
      </c>
      <c r="D913" s="57"/>
    </row>
    <row r="914" spans="1:5">
      <c r="A914" s="67"/>
      <c r="B914" s="67"/>
      <c r="C914" s="52" t="s">
        <v>49</v>
      </c>
      <c r="D914" s="52"/>
    </row>
    <row r="915" spans="1:5">
      <c r="A915" s="67"/>
      <c r="B915" s="67"/>
      <c r="C915" s="52" t="s">
        <v>98</v>
      </c>
      <c r="D915" s="52"/>
    </row>
    <row r="916" spans="1:5">
      <c r="A916" s="67"/>
      <c r="B916" s="67"/>
      <c r="C916" s="52" t="s">
        <v>78</v>
      </c>
      <c r="D916" s="52"/>
    </row>
    <row r="917" spans="1:5">
      <c r="A917" s="67"/>
      <c r="B917" s="67"/>
      <c r="C917" s="52" t="s">
        <v>961</v>
      </c>
      <c r="D917" s="52"/>
    </row>
    <row r="918" spans="1:5">
      <c r="A918" s="67"/>
      <c r="B918" s="67"/>
      <c r="C918" s="57" t="s">
        <v>29</v>
      </c>
      <c r="D918" s="57"/>
    </row>
    <row r="919" spans="1:5">
      <c r="A919" s="67"/>
      <c r="B919" s="67"/>
      <c r="C919" s="57" t="s">
        <v>962</v>
      </c>
      <c r="D919" s="57"/>
    </row>
    <row r="920" spans="1:5" ht="15">
      <c r="A920" s="89" t="s">
        <v>1000</v>
      </c>
      <c r="B920" s="89" t="s">
        <v>5</v>
      </c>
      <c r="C920" s="55" t="s">
        <v>1001</v>
      </c>
      <c r="D920" s="55"/>
      <c r="E920" s="56"/>
    </row>
    <row r="921" spans="1:5" ht="15">
      <c r="A921" s="90"/>
      <c r="B921" s="90"/>
      <c r="C921" s="55" t="s">
        <v>1002</v>
      </c>
      <c r="D921" s="55"/>
      <c r="E921" s="56"/>
    </row>
    <row r="922" spans="1:5" ht="15">
      <c r="A922" s="90"/>
      <c r="B922" s="90"/>
      <c r="C922" s="50" t="s">
        <v>1003</v>
      </c>
      <c r="D922" s="50"/>
      <c r="E922" s="56"/>
    </row>
    <row r="923" spans="1:5" ht="15">
      <c r="A923" s="90"/>
      <c r="B923" s="90"/>
      <c r="C923" s="50" t="s">
        <v>1004</v>
      </c>
      <c r="D923" s="50"/>
      <c r="E923" s="56"/>
    </row>
    <row r="924" spans="1:5" ht="15">
      <c r="A924" s="90"/>
      <c r="B924" s="90"/>
      <c r="C924" s="50" t="s">
        <v>1005</v>
      </c>
      <c r="D924" s="50"/>
      <c r="E924" s="56"/>
    </row>
    <row r="925" spans="1:5">
      <c r="A925" s="90"/>
      <c r="B925" s="90"/>
      <c r="C925" s="50" t="s">
        <v>164</v>
      </c>
      <c r="D925" s="50"/>
    </row>
    <row r="926" spans="1:5">
      <c r="A926" s="85" t="s">
        <v>1006</v>
      </c>
      <c r="B926" s="85" t="s">
        <v>5</v>
      </c>
      <c r="C926" s="52" t="s">
        <v>1007</v>
      </c>
      <c r="D926" s="52"/>
    </row>
    <row r="927" spans="1:5">
      <c r="A927" s="67"/>
      <c r="B927" s="67"/>
      <c r="C927" s="52" t="s">
        <v>1008</v>
      </c>
      <c r="D927" s="52"/>
    </row>
    <row r="928" spans="1:5">
      <c r="A928" s="67"/>
      <c r="B928" s="67"/>
      <c r="C928" s="52" t="s">
        <v>1009</v>
      </c>
      <c r="D928" s="52"/>
    </row>
    <row r="929" spans="1:5">
      <c r="A929" s="86" t="s">
        <v>1010</v>
      </c>
      <c r="B929" s="86" t="s">
        <v>5</v>
      </c>
      <c r="C929" s="55" t="s">
        <v>1011</v>
      </c>
      <c r="D929" s="55"/>
    </row>
    <row r="930" spans="1:5">
      <c r="A930" s="87"/>
      <c r="B930" s="87"/>
      <c r="C930" s="55" t="s">
        <v>753</v>
      </c>
      <c r="D930" s="55"/>
    </row>
    <row r="931" spans="1:5">
      <c r="A931" s="87"/>
      <c r="B931" s="87"/>
      <c r="C931" s="50" t="s">
        <v>965</v>
      </c>
      <c r="D931" s="50"/>
    </row>
    <row r="932" spans="1:5">
      <c r="A932" s="87"/>
      <c r="B932" s="87"/>
      <c r="C932" s="50" t="s">
        <v>754</v>
      </c>
      <c r="D932" s="50"/>
    </row>
    <row r="933" spans="1:5">
      <c r="A933" s="87"/>
      <c r="B933" s="87"/>
      <c r="C933" s="50" t="s">
        <v>164</v>
      </c>
      <c r="D933" s="50"/>
    </row>
    <row r="934" spans="1:5">
      <c r="A934" s="93" t="s">
        <v>1012</v>
      </c>
      <c r="B934" s="93" t="s">
        <v>5</v>
      </c>
      <c r="C934" s="57" t="s">
        <v>965</v>
      </c>
      <c r="D934" s="57"/>
    </row>
    <row r="935" spans="1:5">
      <c r="A935" s="94"/>
      <c r="B935" s="94"/>
      <c r="C935" s="57" t="s">
        <v>753</v>
      </c>
      <c r="D935" s="57"/>
    </row>
    <row r="936" spans="1:5">
      <c r="A936" s="94"/>
      <c r="B936" s="94"/>
      <c r="C936" s="52" t="s">
        <v>754</v>
      </c>
      <c r="D936" s="52"/>
    </row>
    <row r="937" spans="1:5">
      <c r="A937" s="94"/>
      <c r="B937" s="94"/>
      <c r="C937" s="52" t="s">
        <v>755</v>
      </c>
      <c r="D937" s="52"/>
    </row>
    <row r="938" spans="1:5">
      <c r="A938" s="94"/>
      <c r="B938" s="94"/>
      <c r="C938" s="52" t="s">
        <v>1013</v>
      </c>
      <c r="D938" s="52"/>
    </row>
    <row r="939" spans="1:5">
      <c r="A939" s="94"/>
      <c r="B939" s="94"/>
      <c r="C939" s="57" t="s">
        <v>1013</v>
      </c>
      <c r="D939" s="57"/>
    </row>
    <row r="940" spans="1:5">
      <c r="A940" s="94"/>
      <c r="B940" s="94"/>
      <c r="C940" s="57" t="s">
        <v>967</v>
      </c>
      <c r="D940" s="57"/>
    </row>
    <row r="941" spans="1:5">
      <c r="A941" s="94"/>
      <c r="B941" s="94"/>
      <c r="C941" s="52" t="s">
        <v>968</v>
      </c>
      <c r="D941" s="52"/>
    </row>
    <row r="942" spans="1:5">
      <c r="A942" s="94"/>
      <c r="B942" s="94"/>
      <c r="C942" s="57" t="s">
        <v>969</v>
      </c>
      <c r="D942" s="57"/>
    </row>
    <row r="943" spans="1:5">
      <c r="A943" s="94"/>
      <c r="B943" s="94"/>
      <c r="C943" s="57" t="s">
        <v>1011</v>
      </c>
      <c r="D943" s="57"/>
    </row>
    <row r="944" spans="1:5">
      <c r="A944" s="94"/>
      <c r="B944" s="94"/>
      <c r="C944" s="52" t="s">
        <v>1014</v>
      </c>
      <c r="D944" s="52" t="s">
        <v>1014</v>
      </c>
      <c r="E944" t="s">
        <v>214</v>
      </c>
    </row>
    <row r="945" spans="1:4">
      <c r="A945" s="116"/>
      <c r="B945" s="116"/>
      <c r="C945" s="52" t="s">
        <v>164</v>
      </c>
      <c r="D945" s="52"/>
    </row>
    <row r="946" spans="1:4" ht="14.25" customHeight="1">
      <c r="A946" s="86" t="s">
        <v>1015</v>
      </c>
      <c r="B946" s="86" t="s">
        <v>5</v>
      </c>
      <c r="C946" s="55" t="s">
        <v>1016</v>
      </c>
      <c r="D946" s="55"/>
    </row>
    <row r="947" spans="1:4">
      <c r="A947" s="87"/>
      <c r="B947" s="87"/>
      <c r="C947" s="55" t="s">
        <v>1017</v>
      </c>
      <c r="D947" s="55"/>
    </row>
    <row r="948" spans="1:4">
      <c r="A948" s="87"/>
      <c r="B948" s="87"/>
      <c r="C948" s="50" t="s">
        <v>1018</v>
      </c>
      <c r="D948" s="50"/>
    </row>
    <row r="949" spans="1:4">
      <c r="A949" s="87"/>
      <c r="B949" s="87"/>
      <c r="C949" s="50" t="s">
        <v>1019</v>
      </c>
      <c r="D949" s="50"/>
    </row>
    <row r="950" spans="1:4">
      <c r="A950" s="87"/>
      <c r="B950" s="87"/>
      <c r="C950" s="50" t="s">
        <v>1020</v>
      </c>
      <c r="D950" s="50"/>
    </row>
    <row r="951" spans="1:4">
      <c r="A951" s="87"/>
      <c r="B951" s="87"/>
      <c r="C951" s="55" t="s">
        <v>765</v>
      </c>
      <c r="D951" s="55"/>
    </row>
    <row r="952" spans="1:4">
      <c r="A952" s="87"/>
      <c r="B952" s="87"/>
      <c r="C952" s="55" t="s">
        <v>1011</v>
      </c>
      <c r="D952" s="55"/>
    </row>
    <row r="953" spans="1:4">
      <c r="A953" s="87"/>
      <c r="B953" s="87"/>
      <c r="C953" s="50" t="s">
        <v>1021</v>
      </c>
      <c r="D953" s="50" t="s">
        <v>1022</v>
      </c>
    </row>
    <row r="954" spans="1:4">
      <c r="A954" s="87"/>
      <c r="B954" s="87"/>
      <c r="C954" s="50" t="s">
        <v>976</v>
      </c>
      <c r="D954" s="50" t="s">
        <v>977</v>
      </c>
    </row>
    <row r="955" spans="1:4">
      <c r="A955" s="87"/>
      <c r="B955" s="87"/>
      <c r="C955" s="50" t="s">
        <v>164</v>
      </c>
      <c r="D955" s="50"/>
    </row>
    <row r="956" spans="1:4">
      <c r="A956" s="93" t="s">
        <v>773</v>
      </c>
      <c r="B956" s="93" t="s">
        <v>5</v>
      </c>
      <c r="C956" s="52" t="s">
        <v>1023</v>
      </c>
      <c r="D956" s="52"/>
    </row>
    <row r="957" spans="1:4">
      <c r="A957" s="94"/>
      <c r="B957" s="94"/>
      <c r="C957" s="52" t="s">
        <v>1024</v>
      </c>
      <c r="D957" s="52"/>
    </row>
    <row r="958" spans="1:4">
      <c r="A958" s="94"/>
      <c r="B958" s="94"/>
      <c r="C958" s="52" t="s">
        <v>1025</v>
      </c>
      <c r="D958" s="52"/>
    </row>
    <row r="959" spans="1:4">
      <c r="A959" s="94"/>
      <c r="B959" s="94"/>
      <c r="C959" s="52" t="s">
        <v>1026</v>
      </c>
      <c r="D959" s="52"/>
    </row>
    <row r="960" spans="1:4">
      <c r="A960" s="94"/>
      <c r="B960" s="94"/>
      <c r="C960" s="52" t="s">
        <v>1027</v>
      </c>
      <c r="D960" s="52"/>
    </row>
    <row r="961" spans="1:5">
      <c r="A961" s="94"/>
      <c r="B961" s="94"/>
      <c r="C961" s="52" t="s">
        <v>1028</v>
      </c>
      <c r="D961" s="52"/>
    </row>
    <row r="962" spans="1:5">
      <c r="A962" s="94"/>
      <c r="B962" s="94"/>
      <c r="C962" s="52" t="s">
        <v>1029</v>
      </c>
      <c r="D962" s="52"/>
    </row>
    <row r="963" spans="1:5">
      <c r="A963" s="94"/>
      <c r="B963" s="94"/>
      <c r="C963" s="52" t="s">
        <v>854</v>
      </c>
      <c r="D963" s="52"/>
      <c r="E963" t="s">
        <v>214</v>
      </c>
    </row>
    <row r="964" spans="1:5">
      <c r="A964" s="95" t="s">
        <v>1030</v>
      </c>
      <c r="B964" s="86" t="s">
        <v>5</v>
      </c>
      <c r="C964" s="50" t="s">
        <v>988</v>
      </c>
      <c r="D964" s="50"/>
    </row>
    <row r="965" spans="1:5">
      <c r="A965" s="96"/>
      <c r="B965" s="87"/>
      <c r="C965" s="50" t="s">
        <v>989</v>
      </c>
      <c r="D965" s="50"/>
    </row>
    <row r="966" spans="1:5">
      <c r="A966" s="96"/>
      <c r="B966" s="87"/>
      <c r="C966" s="50" t="s">
        <v>744</v>
      </c>
      <c r="D966" s="50"/>
    </row>
    <row r="967" spans="1:5">
      <c r="A967" s="96"/>
      <c r="B967" s="87"/>
      <c r="C967" s="50" t="s">
        <v>990</v>
      </c>
      <c r="D967" s="50"/>
    </row>
    <row r="968" spans="1:5">
      <c r="A968" s="96"/>
      <c r="B968" s="87"/>
      <c r="C968" s="50" t="s">
        <v>991</v>
      </c>
      <c r="D968" s="50"/>
    </row>
    <row r="969" spans="1:5">
      <c r="A969" s="96"/>
      <c r="B969" s="87"/>
      <c r="C969" s="50" t="s">
        <v>1031</v>
      </c>
      <c r="D969" s="50"/>
      <c r="E969" t="s">
        <v>214</v>
      </c>
    </row>
    <row r="970" spans="1:5">
      <c r="A970" s="97" t="s">
        <v>1032</v>
      </c>
      <c r="B970" s="93" t="s">
        <v>5</v>
      </c>
      <c r="C970" s="52" t="s">
        <v>1033</v>
      </c>
      <c r="D970" s="52"/>
    </row>
    <row r="971" spans="1:5">
      <c r="A971" s="98"/>
      <c r="B971" s="94"/>
      <c r="C971" s="52" t="s">
        <v>1034</v>
      </c>
      <c r="D971" s="52"/>
    </row>
    <row r="972" spans="1:5">
      <c r="A972" s="98"/>
      <c r="B972" s="94"/>
      <c r="C972" s="52" t="s">
        <v>1035</v>
      </c>
      <c r="D972" s="52"/>
    </row>
    <row r="973" spans="1:5">
      <c r="A973" s="98"/>
      <c r="B973" s="94"/>
      <c r="C973" s="52" t="s">
        <v>1036</v>
      </c>
      <c r="D973" s="52"/>
    </row>
    <row r="974" spans="1:5">
      <c r="A974" s="98"/>
      <c r="B974" s="94"/>
      <c r="C974" s="52" t="s">
        <v>1037</v>
      </c>
      <c r="D974" s="52"/>
    </row>
    <row r="975" spans="1:5">
      <c r="A975" s="98"/>
      <c r="B975" s="94"/>
      <c r="C975" s="52" t="s">
        <v>1038</v>
      </c>
      <c r="D975" s="52"/>
    </row>
    <row r="976" spans="1:5">
      <c r="A976" s="117"/>
      <c r="B976" s="116"/>
      <c r="C976" s="52" t="s">
        <v>164</v>
      </c>
      <c r="D976" s="52"/>
    </row>
    <row r="977" spans="1:5">
      <c r="A977" s="86" t="s">
        <v>1039</v>
      </c>
      <c r="B977" s="86" t="s">
        <v>5</v>
      </c>
      <c r="C977" s="50" t="s">
        <v>1040</v>
      </c>
      <c r="D977" s="50"/>
      <c r="E977" t="s">
        <v>1041</v>
      </c>
    </row>
    <row r="978" spans="1:5">
      <c r="A978" s="87"/>
      <c r="B978" s="87"/>
      <c r="C978" s="50" t="s">
        <v>1042</v>
      </c>
      <c r="D978" s="50"/>
    </row>
    <row r="979" spans="1:5">
      <c r="A979" s="87"/>
      <c r="B979" s="87"/>
      <c r="C979" s="50" t="s">
        <v>1043</v>
      </c>
      <c r="D979" s="50"/>
    </row>
    <row r="980" spans="1:5">
      <c r="A980" s="87"/>
      <c r="B980" s="87"/>
      <c r="C980" s="50" t="s">
        <v>1044</v>
      </c>
      <c r="D980" s="50"/>
    </row>
    <row r="981" spans="1:5">
      <c r="A981" s="87"/>
      <c r="B981" s="87"/>
      <c r="C981" s="50" t="s">
        <v>1045</v>
      </c>
      <c r="D981" s="50"/>
    </row>
    <row r="982" spans="1:5">
      <c r="A982" s="87"/>
      <c r="B982" s="87"/>
      <c r="C982" s="50" t="s">
        <v>1046</v>
      </c>
      <c r="D982" s="50"/>
    </row>
    <row r="983" spans="1:5">
      <c r="A983" s="87"/>
      <c r="B983" s="87"/>
      <c r="C983" s="50" t="s">
        <v>1047</v>
      </c>
      <c r="D983" s="50"/>
    </row>
    <row r="984" spans="1:5">
      <c r="A984" s="87"/>
      <c r="B984" s="87"/>
      <c r="C984" s="50" t="s">
        <v>1048</v>
      </c>
      <c r="D984" s="50"/>
    </row>
    <row r="985" spans="1:5">
      <c r="A985" s="87"/>
      <c r="B985" s="87"/>
      <c r="C985" s="50" t="s">
        <v>1049</v>
      </c>
      <c r="D985" s="50" t="s">
        <v>1050</v>
      </c>
      <c r="E985" t="s">
        <v>214</v>
      </c>
    </row>
    <row r="986" spans="1:5">
      <c r="A986" s="97" t="s">
        <v>1051</v>
      </c>
      <c r="B986" s="93" t="s">
        <v>5</v>
      </c>
      <c r="C986" s="52" t="s">
        <v>993</v>
      </c>
      <c r="D986" s="52"/>
    </row>
    <row r="987" spans="1:5">
      <c r="A987" s="98"/>
      <c r="B987" s="94"/>
      <c r="C987" s="52" t="s">
        <v>994</v>
      </c>
      <c r="D987" s="52"/>
    </row>
    <row r="988" spans="1:5">
      <c r="A988" s="98"/>
      <c r="B988" s="94"/>
      <c r="C988" s="52" t="s">
        <v>1052</v>
      </c>
      <c r="D988" s="52"/>
    </row>
    <row r="989" spans="1:5">
      <c r="A989" s="98"/>
      <c r="B989" s="94"/>
      <c r="C989" s="52" t="s">
        <v>1053</v>
      </c>
      <c r="D989" s="52"/>
    </row>
    <row r="990" spans="1:5">
      <c r="A990" s="98"/>
      <c r="B990" s="94"/>
      <c r="C990" s="52" t="s">
        <v>1054</v>
      </c>
      <c r="D990" s="52"/>
    </row>
    <row r="991" spans="1:5">
      <c r="A991" s="98"/>
      <c r="B991" s="94"/>
      <c r="C991" s="52" t="s">
        <v>1055</v>
      </c>
      <c r="D991" s="52"/>
    </row>
    <row r="992" spans="1:5">
      <c r="A992" s="86" t="s">
        <v>1056</v>
      </c>
      <c r="B992" s="86" t="s">
        <v>5</v>
      </c>
      <c r="C992" s="50" t="s">
        <v>753</v>
      </c>
      <c r="D992" s="50"/>
    </row>
    <row r="993" spans="1:5">
      <c r="A993" s="87"/>
      <c r="B993" s="87"/>
      <c r="C993" s="50" t="s">
        <v>965</v>
      </c>
      <c r="D993" s="50"/>
    </row>
    <row r="994" spans="1:5">
      <c r="A994" s="87"/>
      <c r="B994" s="87"/>
      <c r="C994" s="50" t="s">
        <v>962</v>
      </c>
      <c r="D994" s="50"/>
    </row>
    <row r="995" spans="1:5">
      <c r="A995" s="87"/>
      <c r="B995" s="87"/>
      <c r="C995" s="50" t="s">
        <v>754</v>
      </c>
      <c r="D995" s="50"/>
    </row>
    <row r="996" spans="1:5">
      <c r="A996" s="87"/>
      <c r="B996" s="87"/>
      <c r="C996" s="50" t="s">
        <v>1057</v>
      </c>
      <c r="D996" s="50" t="s">
        <v>1058</v>
      </c>
    </row>
    <row r="997" spans="1:5">
      <c r="A997" s="87"/>
      <c r="B997" s="87"/>
      <c r="C997" s="50" t="s">
        <v>164</v>
      </c>
      <c r="D997" s="50"/>
    </row>
    <row r="998" spans="1:5">
      <c r="A998" s="93" t="s">
        <v>1059</v>
      </c>
      <c r="B998" s="93" t="s">
        <v>5</v>
      </c>
      <c r="C998" s="52" t="s">
        <v>1060</v>
      </c>
      <c r="D998" s="52"/>
      <c r="E998" t="s">
        <v>1041</v>
      </c>
    </row>
    <row r="999" spans="1:5">
      <c r="A999" s="94"/>
      <c r="B999" s="94"/>
      <c r="C999" s="52" t="s">
        <v>162</v>
      </c>
      <c r="D999" s="52"/>
    </row>
    <row r="1000" spans="1:5">
      <c r="A1000" s="86" t="s">
        <v>1061</v>
      </c>
      <c r="B1000" s="86" t="s">
        <v>5</v>
      </c>
      <c r="C1000" s="50" t="s">
        <v>1062</v>
      </c>
      <c r="D1000" s="50"/>
    </row>
    <row r="1001" spans="1:5">
      <c r="A1001" s="87"/>
      <c r="B1001" s="87"/>
      <c r="C1001" s="50" t="s">
        <v>1063</v>
      </c>
      <c r="D1001" s="50"/>
    </row>
    <row r="1002" spans="1:5">
      <c r="A1002" s="87"/>
      <c r="B1002" s="87"/>
      <c r="C1002" s="50" t="s">
        <v>1064</v>
      </c>
      <c r="D1002" s="50"/>
    </row>
    <row r="1003" spans="1:5">
      <c r="A1003" s="87"/>
      <c r="B1003" s="87"/>
      <c r="C1003" s="50" t="s">
        <v>1065</v>
      </c>
      <c r="D1003" s="50"/>
      <c r="E1003" t="s">
        <v>214</v>
      </c>
    </row>
    <row r="1004" spans="1:5">
      <c r="A1004" s="87"/>
      <c r="B1004" s="87"/>
      <c r="C1004" s="50" t="s">
        <v>1066</v>
      </c>
      <c r="D1004" s="50"/>
    </row>
    <row r="1005" spans="1:5">
      <c r="A1005" s="87"/>
      <c r="B1005" s="87"/>
      <c r="C1005" s="50" t="s">
        <v>1067</v>
      </c>
      <c r="D1005" s="50"/>
    </row>
    <row r="1006" spans="1:5">
      <c r="A1006" s="87"/>
      <c r="B1006" s="87"/>
      <c r="C1006" s="50" t="s">
        <v>1068</v>
      </c>
      <c r="D1006" s="50"/>
      <c r="E1006" t="s">
        <v>214</v>
      </c>
    </row>
    <row r="1007" spans="1:5">
      <c r="A1007" s="87"/>
      <c r="B1007" s="87"/>
      <c r="C1007" s="50" t="s">
        <v>1069</v>
      </c>
      <c r="D1007" s="50"/>
    </row>
    <row r="1008" spans="1:5">
      <c r="A1008" s="87"/>
      <c r="B1008" s="87"/>
      <c r="C1008" s="50" t="s">
        <v>1070</v>
      </c>
      <c r="D1008" s="50"/>
    </row>
    <row r="1009" spans="1:4">
      <c r="A1009" s="87"/>
      <c r="B1009" s="87"/>
      <c r="C1009" s="50" t="s">
        <v>1071</v>
      </c>
      <c r="D1009" s="50"/>
    </row>
    <row r="1010" spans="1:4">
      <c r="A1010" s="87"/>
      <c r="B1010" s="87"/>
      <c r="C1010" s="50" t="s">
        <v>1072</v>
      </c>
      <c r="D1010" s="50"/>
    </row>
    <row r="1011" spans="1:4">
      <c r="A1011" s="87"/>
      <c r="B1011" s="87"/>
      <c r="C1011" s="50" t="s">
        <v>1073</v>
      </c>
      <c r="D1011" s="50"/>
    </row>
    <row r="1012" spans="1:4">
      <c r="A1012" s="87"/>
      <c r="B1012" s="87"/>
      <c r="C1012" s="50" t="s">
        <v>1074</v>
      </c>
      <c r="D1012" s="50"/>
    </row>
    <row r="1013" spans="1:4">
      <c r="A1013" s="87"/>
      <c r="B1013" s="87"/>
      <c r="C1013" s="50" t="s">
        <v>1075</v>
      </c>
      <c r="D1013" s="50"/>
    </row>
    <row r="1014" spans="1:4">
      <c r="A1014" s="87"/>
      <c r="B1014" s="87"/>
      <c r="C1014" s="50" t="s">
        <v>1076</v>
      </c>
      <c r="D1014" s="50"/>
    </row>
    <row r="1015" spans="1:4">
      <c r="A1015" s="87"/>
      <c r="B1015" s="87"/>
      <c r="C1015" s="50" t="s">
        <v>133</v>
      </c>
      <c r="D1015" s="50"/>
    </row>
    <row r="1016" spans="1:4">
      <c r="A1016" s="87"/>
      <c r="B1016" s="87"/>
      <c r="C1016" s="50" t="s">
        <v>1077</v>
      </c>
      <c r="D1016" s="50"/>
    </row>
    <row r="1017" spans="1:4">
      <c r="A1017" s="87"/>
      <c r="B1017" s="87"/>
      <c r="C1017" s="50" t="s">
        <v>140</v>
      </c>
      <c r="D1017" s="50"/>
    </row>
    <row r="1018" spans="1:4">
      <c r="A1018" s="87"/>
      <c r="B1018" s="87"/>
      <c r="C1018" s="50" t="s">
        <v>1078</v>
      </c>
      <c r="D1018" s="50"/>
    </row>
    <row r="1019" spans="1:4">
      <c r="A1019" s="87"/>
      <c r="B1019" s="87"/>
      <c r="C1019" s="50" t="s">
        <v>1079</v>
      </c>
      <c r="D1019" s="50"/>
    </row>
    <row r="1020" spans="1:4">
      <c r="A1020" s="87"/>
      <c r="B1020" s="87"/>
      <c r="C1020" s="50" t="s">
        <v>1080</v>
      </c>
      <c r="D1020" s="50"/>
    </row>
    <row r="1021" spans="1:4">
      <c r="A1021" s="87"/>
      <c r="B1021" s="87"/>
      <c r="C1021" s="50" t="s">
        <v>1081</v>
      </c>
      <c r="D1021" s="50"/>
    </row>
    <row r="1022" spans="1:4">
      <c r="A1022" s="87"/>
      <c r="B1022" s="87"/>
      <c r="C1022" s="50" t="s">
        <v>1082</v>
      </c>
      <c r="D1022" s="50"/>
    </row>
    <row r="1023" spans="1:4">
      <c r="A1023" s="87"/>
      <c r="B1023" s="87"/>
      <c r="C1023" s="50" t="s">
        <v>1083</v>
      </c>
      <c r="D1023" s="50"/>
    </row>
    <row r="1024" spans="1:4">
      <c r="A1024" s="87"/>
      <c r="B1024" s="87"/>
      <c r="C1024" s="50" t="s">
        <v>1084</v>
      </c>
      <c r="D1024" s="50"/>
    </row>
    <row r="1025" spans="1:5">
      <c r="A1025" s="87"/>
      <c r="B1025" s="87"/>
      <c r="C1025" s="50" t="s">
        <v>1085</v>
      </c>
      <c r="D1025" s="50"/>
    </row>
    <row r="1026" spans="1:5">
      <c r="A1026" s="87"/>
      <c r="B1026" s="87"/>
      <c r="C1026" s="50" t="s">
        <v>1086</v>
      </c>
      <c r="D1026" s="50"/>
    </row>
    <row r="1027" spans="1:5">
      <c r="A1027" s="87"/>
      <c r="B1027" s="87"/>
      <c r="C1027" s="50" t="s">
        <v>1087</v>
      </c>
      <c r="D1027" s="50"/>
    </row>
    <row r="1028" spans="1:5">
      <c r="A1028" s="87"/>
      <c r="B1028" s="87"/>
      <c r="C1028" s="50" t="s">
        <v>1088</v>
      </c>
      <c r="D1028" s="50"/>
    </row>
    <row r="1029" spans="1:5">
      <c r="A1029" s="87"/>
      <c r="B1029" s="87"/>
      <c r="C1029" s="50" t="s">
        <v>1089</v>
      </c>
      <c r="D1029" s="50"/>
    </row>
    <row r="1030" spans="1:5">
      <c r="A1030" s="87"/>
      <c r="B1030" s="87"/>
      <c r="C1030" s="50" t="s">
        <v>1090</v>
      </c>
      <c r="D1030" s="50"/>
    </row>
    <row r="1031" spans="1:5">
      <c r="A1031" s="87"/>
      <c r="B1031" s="87"/>
      <c r="C1031" s="126" t="s">
        <v>1091</v>
      </c>
      <c r="D1031" s="50"/>
      <c r="E1031" t="s">
        <v>214</v>
      </c>
    </row>
    <row r="1032" spans="1:5">
      <c r="A1032" s="87"/>
      <c r="B1032" s="87"/>
      <c r="C1032" s="50" t="s">
        <v>1092</v>
      </c>
      <c r="D1032" s="50"/>
    </row>
    <row r="1033" spans="1:5">
      <c r="A1033" s="87"/>
      <c r="B1033" s="87"/>
      <c r="C1033" s="50" t="s">
        <v>164</v>
      </c>
      <c r="D1033" s="50"/>
    </row>
    <row r="1034" spans="1:5">
      <c r="A1034" s="63" t="s">
        <v>1093</v>
      </c>
      <c r="B1034" s="63" t="s">
        <v>5</v>
      </c>
      <c r="C1034" s="52" t="s">
        <v>1094</v>
      </c>
      <c r="D1034" s="52"/>
      <c r="E1034" t="s">
        <v>1041</v>
      </c>
    </row>
    <row r="1035" spans="1:5">
      <c r="A1035" s="64"/>
      <c r="B1035" s="64"/>
      <c r="C1035" s="52" t="s">
        <v>1095</v>
      </c>
      <c r="D1035" s="52"/>
    </row>
    <row r="1036" spans="1:5">
      <c r="A1036" s="64"/>
      <c r="B1036" s="64"/>
      <c r="C1036" s="52" t="s">
        <v>164</v>
      </c>
      <c r="D1036" s="52"/>
    </row>
    <row r="1037" spans="1:5">
      <c r="A1037" s="86" t="s">
        <v>1096</v>
      </c>
      <c r="B1037" s="86" t="s">
        <v>5</v>
      </c>
      <c r="C1037" s="50" t="s">
        <v>1097</v>
      </c>
      <c r="D1037" s="50"/>
    </row>
    <row r="1038" spans="1:5">
      <c r="A1038" s="87"/>
      <c r="B1038" s="87"/>
      <c r="C1038" s="50" t="s">
        <v>1098</v>
      </c>
      <c r="D1038" s="50" t="s">
        <v>1099</v>
      </c>
    </row>
    <row r="1039" spans="1:5">
      <c r="A1039" s="87"/>
      <c r="B1039" s="87"/>
      <c r="C1039" s="50" t="s">
        <v>1100</v>
      </c>
      <c r="D1039" s="50" t="s">
        <v>1101</v>
      </c>
    </row>
    <row r="1040" spans="1:5">
      <c r="A1040" s="87"/>
      <c r="B1040" s="87"/>
      <c r="C1040" s="50" t="s">
        <v>1102</v>
      </c>
      <c r="D1040" s="50" t="s">
        <v>1103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39"/>
    </row>
    <row r="1075" spans="1:3" s="11" customFormat="1">
      <c r="C1075" s="15"/>
    </row>
    <row r="1076" spans="1:3" s="11" customFormat="1">
      <c r="C1076" s="15" t="s">
        <v>308</v>
      </c>
    </row>
    <row r="1077" spans="1:3" s="11" customFormat="1">
      <c r="C1077" s="15" t="s">
        <v>141</v>
      </c>
    </row>
    <row r="1078" spans="1:3" s="11" customFormat="1">
      <c r="C1078" s="15" t="s">
        <v>309</v>
      </c>
    </row>
    <row r="1079" spans="1:3" s="11" customFormat="1">
      <c r="C1079" s="15" t="s">
        <v>311</v>
      </c>
    </row>
    <row r="1080" spans="1:3" s="11" customFormat="1">
      <c r="C1080" s="15"/>
    </row>
    <row r="1081" spans="1:3" s="11" customFormat="1">
      <c r="C1081" s="15" t="s">
        <v>308</v>
      </c>
    </row>
    <row r="1082" spans="1:3" s="11" customFormat="1">
      <c r="C1082" s="15" t="s">
        <v>141</v>
      </c>
    </row>
    <row r="1083" spans="1:3" s="11" customFormat="1">
      <c r="C1083" s="15" t="s">
        <v>309</v>
      </c>
    </row>
    <row r="1084" spans="1:3" s="11" customFormat="1">
      <c r="C1084" s="15" t="s">
        <v>311</v>
      </c>
    </row>
    <row r="1085" spans="1:3" s="11" customFormat="1">
      <c r="C1085" s="15" t="s">
        <v>310</v>
      </c>
    </row>
    <row r="1086" spans="1:3" s="11" customFormat="1">
      <c r="C1086" s="15"/>
    </row>
    <row r="1087" spans="1:3" s="11" customFormat="1">
      <c r="C1087" s="15" t="s">
        <v>308</v>
      </c>
    </row>
    <row r="1088" spans="1:3" s="11" customFormat="1">
      <c r="C1088" s="15" t="s">
        <v>141</v>
      </c>
    </row>
    <row r="1089" spans="3:3" s="11" customFormat="1">
      <c r="C1089" s="15" t="s">
        <v>311</v>
      </c>
    </row>
    <row r="1090" spans="3:3" s="11" customFormat="1">
      <c r="C1090" s="15"/>
    </row>
    <row r="1091" spans="3:3" s="11" customFormat="1">
      <c r="C1091" s="15" t="s">
        <v>892</v>
      </c>
    </row>
    <row r="1092" spans="3:3" s="11" customFormat="1">
      <c r="C1092" s="15" t="s">
        <v>164</v>
      </c>
    </row>
    <row r="1093" spans="3:3" s="11" customFormat="1">
      <c r="C1093" s="15"/>
    </row>
    <row r="1094" spans="3:3" s="11" customFormat="1">
      <c r="C1094" s="15" t="s">
        <v>436</v>
      </c>
    </row>
    <row r="1095" spans="3:3" s="11" customFormat="1">
      <c r="C1095" s="15" t="s">
        <v>738</v>
      </c>
    </row>
    <row r="1096" spans="3:3" s="11" customFormat="1">
      <c r="C1096" s="15" t="s">
        <v>739</v>
      </c>
    </row>
    <row r="1097" spans="3:3" s="11" customFormat="1">
      <c r="C1097" s="15" t="s">
        <v>742</v>
      </c>
    </row>
    <row r="1098" spans="3:3" s="11" customFormat="1">
      <c r="C1098" s="15" t="s">
        <v>743</v>
      </c>
    </row>
    <row r="1099" spans="3:3" s="11" customFormat="1">
      <c r="C1099" s="15" t="s">
        <v>744</v>
      </c>
    </row>
    <row r="1100" spans="3:3" s="11" customFormat="1">
      <c r="C1100" s="15" t="s">
        <v>745</v>
      </c>
    </row>
    <row r="1101" spans="3:3" s="11" customFormat="1">
      <c r="C1101" s="15" t="s">
        <v>746</v>
      </c>
    </row>
    <row r="1102" spans="3:3" s="11" customFormat="1">
      <c r="C1102" s="15" t="s">
        <v>747</v>
      </c>
    </row>
    <row r="1103" spans="3:3" s="11" customFormat="1">
      <c r="C1103" s="15" t="s">
        <v>749</v>
      </c>
    </row>
    <row r="1104" spans="3:3" s="11" customFormat="1">
      <c r="C1104" s="15" t="s">
        <v>482</v>
      </c>
    </row>
    <row r="1105" spans="3:3" s="11" customFormat="1">
      <c r="C1105" s="15" t="s">
        <v>164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890</v>
      </c>
    </row>
    <row r="1109" spans="3:3" s="11" customFormat="1">
      <c r="C1109" s="15" t="s">
        <v>891</v>
      </c>
    </row>
    <row r="1110" spans="3:3" s="11" customFormat="1">
      <c r="C1110" s="15" t="s">
        <v>893</v>
      </c>
    </row>
    <row r="1111" spans="3:3" s="11" customFormat="1">
      <c r="C1111" s="15" t="s">
        <v>164</v>
      </c>
    </row>
    <row r="1112" spans="3:3" s="11" customFormat="1">
      <c r="C1112" s="15"/>
    </row>
    <row r="1113" spans="3:3" s="11" customFormat="1">
      <c r="C1113" s="15" t="s">
        <v>318</v>
      </c>
    </row>
    <row r="1114" spans="3:3" s="11" customFormat="1">
      <c r="C1114" s="15" t="s">
        <v>319</v>
      </c>
    </row>
    <row r="1115" spans="3:3" s="11" customFormat="1">
      <c r="C1115" s="15" t="s">
        <v>33</v>
      </c>
    </row>
    <row r="1116" spans="3:3" s="11" customFormat="1">
      <c r="C1116" s="15" t="s">
        <v>164</v>
      </c>
    </row>
    <row r="1117" spans="3:3" s="11" customFormat="1">
      <c r="C1117" s="15"/>
    </row>
    <row r="1118" spans="3:3" s="11" customFormat="1">
      <c r="C1118" s="15" t="s">
        <v>324</v>
      </c>
    </row>
    <row r="1119" spans="3:3" s="11" customFormat="1">
      <c r="C1119" s="15" t="s">
        <v>1104</v>
      </c>
    </row>
    <row r="1120" spans="3:3" s="11" customFormat="1">
      <c r="C1120" s="15"/>
    </row>
    <row r="1121" spans="3:3">
      <c r="C1121" s="15" t="s">
        <v>324</v>
      </c>
    </row>
    <row r="1122" spans="3:3" s="11" customFormat="1">
      <c r="C1122" s="15" t="s">
        <v>326</v>
      </c>
    </row>
    <row r="1123" spans="3:3" s="11" customFormat="1">
      <c r="C1123" s="15" t="s">
        <v>328</v>
      </c>
    </row>
    <row r="1124" spans="3:3" s="11" customFormat="1">
      <c r="C1124" s="15" t="s">
        <v>330</v>
      </c>
    </row>
    <row r="1125" spans="3:3">
      <c r="C1125" s="15" t="s">
        <v>335</v>
      </c>
    </row>
    <row r="1126" spans="3:3">
      <c r="C1126" s="15" t="s">
        <v>164</v>
      </c>
    </row>
    <row r="1129" spans="3:3">
      <c r="C1129" s="15" t="s">
        <v>432</v>
      </c>
    </row>
    <row r="1130" spans="3:3">
      <c r="C1130" s="15" t="s">
        <v>433</v>
      </c>
    </row>
    <row r="1131" spans="3:3">
      <c r="C1131" s="15" t="s">
        <v>435</v>
      </c>
    </row>
    <row r="1132" spans="3:3">
      <c r="C1132" s="15" t="s">
        <v>436</v>
      </c>
    </row>
    <row r="1133" spans="3:3">
      <c r="C1133" s="15" t="s">
        <v>437</v>
      </c>
    </row>
    <row r="1134" spans="3:3">
      <c r="C1134" s="15" t="s">
        <v>439</v>
      </c>
    </row>
    <row r="1135" spans="3:3">
      <c r="C1135" s="15" t="s">
        <v>440</v>
      </c>
    </row>
    <row r="1136" spans="3:3">
      <c r="C1136" s="15" t="s">
        <v>441</v>
      </c>
    </row>
    <row r="1137" spans="3:3">
      <c r="C1137" s="15" t="s">
        <v>442</v>
      </c>
    </row>
    <row r="1138" spans="3:3">
      <c r="C1138" s="15" t="s">
        <v>443</v>
      </c>
    </row>
    <row r="1139" spans="3:3">
      <c r="C1139" s="15" t="s">
        <v>444</v>
      </c>
    </row>
    <row r="1140" spans="3:3">
      <c r="C1140" s="15" t="s">
        <v>445</v>
      </c>
    </row>
    <row r="1141" spans="3:3">
      <c r="C1141" s="15" t="s">
        <v>446</v>
      </c>
    </row>
    <row r="1142" spans="3:3">
      <c r="C1142" s="15" t="s">
        <v>447</v>
      </c>
    </row>
    <row r="1143" spans="3:3">
      <c r="C1143" s="15" t="s">
        <v>448</v>
      </c>
    </row>
    <row r="1144" spans="3:3">
      <c r="C1144" s="15" t="s">
        <v>450</v>
      </c>
    </row>
    <row r="1145" spans="3:3">
      <c r="C1145" s="15" t="s">
        <v>451</v>
      </c>
    </row>
    <row r="1146" spans="3:3">
      <c r="C1146" s="15" t="s">
        <v>452</v>
      </c>
    </row>
    <row r="1147" spans="3:3">
      <c r="C1147" s="15" t="s">
        <v>454</v>
      </c>
    </row>
    <row r="1148" spans="3:3">
      <c r="C1148" s="15" t="s">
        <v>455</v>
      </c>
    </row>
    <row r="1149" spans="3:3">
      <c r="C1149" s="15" t="s">
        <v>456</v>
      </c>
    </row>
    <row r="1150" spans="3:3">
      <c r="C1150" s="15" t="s">
        <v>457</v>
      </c>
    </row>
    <row r="1151" spans="3:3">
      <c r="C1151" s="15" t="s">
        <v>458</v>
      </c>
    </row>
    <row r="1152" spans="3:3">
      <c r="C1152" s="15" t="s">
        <v>459</v>
      </c>
    </row>
    <row r="1153" spans="3:3">
      <c r="C1153" s="15" t="s">
        <v>460</v>
      </c>
    </row>
    <row r="1154" spans="3:3">
      <c r="C1154" s="15" t="s">
        <v>461</v>
      </c>
    </row>
    <row r="1155" spans="3:3">
      <c r="C1155" s="15" t="s">
        <v>462</v>
      </c>
    </row>
    <row r="1156" spans="3:3">
      <c r="C1156" s="15" t="s">
        <v>463</v>
      </c>
    </row>
    <row r="1157" spans="3:3">
      <c r="C1157" s="15" t="s">
        <v>464</v>
      </c>
    </row>
    <row r="1158" spans="3:3">
      <c r="C1158" s="15" t="s">
        <v>465</v>
      </c>
    </row>
    <row r="1159" spans="3:3">
      <c r="C1159" s="15" t="s">
        <v>466</v>
      </c>
    </row>
    <row r="1160" spans="3:3">
      <c r="C1160" s="15" t="s">
        <v>467</v>
      </c>
    </row>
    <row r="1161" spans="3:3">
      <c r="C1161" s="15" t="s">
        <v>468</v>
      </c>
    </row>
    <row r="1162" spans="3:3">
      <c r="C1162" s="15" t="s">
        <v>469</v>
      </c>
    </row>
    <row r="1163" spans="3:3" ht="14.45" customHeight="1">
      <c r="C1163" s="15" t="s">
        <v>470</v>
      </c>
    </row>
    <row r="1164" spans="3:3">
      <c r="C1164" s="15" t="s">
        <v>472</v>
      </c>
    </row>
    <row r="1165" spans="3:3">
      <c r="C1165" s="15" t="s">
        <v>473</v>
      </c>
    </row>
    <row r="1166" spans="3:3">
      <c r="C1166" s="15" t="s">
        <v>474</v>
      </c>
    </row>
    <row r="1167" spans="3:3">
      <c r="C1167" s="15" t="s">
        <v>475</v>
      </c>
    </row>
    <row r="1168" spans="3:3">
      <c r="C1168" s="15" t="s">
        <v>477</v>
      </c>
    </row>
    <row r="1169" spans="3:3">
      <c r="C1169" s="15" t="s">
        <v>481</v>
      </c>
    </row>
    <row r="1170" spans="3:3">
      <c r="C1170" s="15" t="s">
        <v>164</v>
      </c>
    </row>
    <row r="1171" spans="3:3">
      <c r="C1171" s="15" t="s">
        <v>483</v>
      </c>
    </row>
    <row r="1172" spans="3:3">
      <c r="C1172" s="15" t="s">
        <v>484</v>
      </c>
    </row>
    <row r="1173" spans="3:3">
      <c r="C1173" s="15" t="s">
        <v>485</v>
      </c>
    </row>
    <row r="1174" spans="3:3">
      <c r="C1174" s="15" t="s">
        <v>486</v>
      </c>
    </row>
    <row r="1175" spans="3:3">
      <c r="C1175" s="15" t="s">
        <v>487</v>
      </c>
    </row>
    <row r="1176" spans="3:3">
      <c r="C1176" s="15" t="s">
        <v>488</v>
      </c>
    </row>
    <row r="1177" spans="3:3">
      <c r="C1177" s="15" t="s">
        <v>489</v>
      </c>
    </row>
    <row r="1178" spans="3:3">
      <c r="C1178" s="15" t="s">
        <v>490</v>
      </c>
    </row>
    <row r="1179" spans="3:3">
      <c r="C1179" s="15" t="s">
        <v>491</v>
      </c>
    </row>
    <row r="1180" spans="3:3">
      <c r="C1180" s="15" t="s">
        <v>492</v>
      </c>
    </row>
    <row r="1181" spans="3:3">
      <c r="C1181" s="15" t="s">
        <v>493</v>
      </c>
    </row>
    <row r="1182" spans="3:3">
      <c r="C1182" s="15" t="s">
        <v>494</v>
      </c>
    </row>
    <row r="1183" spans="3:3">
      <c r="C1183" s="15" t="s">
        <v>495</v>
      </c>
    </row>
    <row r="1184" spans="3:3">
      <c r="C1184" s="15" t="s">
        <v>496</v>
      </c>
    </row>
    <row r="1185" spans="3:3">
      <c r="C1185" s="15" t="s">
        <v>497</v>
      </c>
    </row>
    <row r="1186" spans="3:3">
      <c r="C1186" s="15" t="s">
        <v>498</v>
      </c>
    </row>
    <row r="1187" spans="3:3">
      <c r="C1187" s="15" t="s">
        <v>499</v>
      </c>
    </row>
    <row r="1188" spans="3:3">
      <c r="C1188" s="15" t="s">
        <v>500</v>
      </c>
    </row>
    <row r="1189" spans="3:3">
      <c r="C1189" s="15" t="s">
        <v>502</v>
      </c>
    </row>
    <row r="1190" spans="3:3">
      <c r="C1190" s="15" t="s">
        <v>504</v>
      </c>
    </row>
    <row r="1191" spans="3:3">
      <c r="C1191" s="15" t="s">
        <v>506</v>
      </c>
    </row>
    <row r="1192" spans="3:3">
      <c r="C1192" s="125" t="s">
        <v>507</v>
      </c>
    </row>
    <row r="1193" spans="3:3">
      <c r="C1193" s="15" t="s">
        <v>509</v>
      </c>
    </row>
    <row r="1194" spans="3:3">
      <c r="C1194" s="15" t="s">
        <v>510</v>
      </c>
    </row>
    <row r="1195" spans="3:3">
      <c r="C1195" s="15" t="s">
        <v>511</v>
      </c>
    </row>
    <row r="1196" spans="3:3">
      <c r="C1196" s="15" t="s">
        <v>512</v>
      </c>
    </row>
    <row r="1197" spans="3:3">
      <c r="C1197" s="15" t="s">
        <v>513</v>
      </c>
    </row>
    <row r="1198" spans="3:3">
      <c r="C1198" s="15" t="s">
        <v>514</v>
      </c>
    </row>
    <row r="1199" spans="3:3">
      <c r="C1199" s="15" t="s">
        <v>515</v>
      </c>
    </row>
    <row r="1200" spans="3:3">
      <c r="C1200" s="15" t="s">
        <v>516</v>
      </c>
    </row>
    <row r="1201" spans="3:3">
      <c r="C1201" s="15" t="s">
        <v>518</v>
      </c>
    </row>
    <row r="1202" spans="3:3">
      <c r="C1202" s="15" t="s">
        <v>519</v>
      </c>
    </row>
    <row r="1203" spans="3:3">
      <c r="C1203" s="15" t="s">
        <v>521</v>
      </c>
    </row>
    <row r="1204" spans="3:3">
      <c r="C1204" s="15" t="s">
        <v>522</v>
      </c>
    </row>
    <row r="1205" spans="3:3">
      <c r="C1205" s="15" t="s">
        <v>523</v>
      </c>
    </row>
    <row r="1206" spans="3:3">
      <c r="C1206" s="15" t="s">
        <v>524</v>
      </c>
    </row>
    <row r="1207" spans="3:3">
      <c r="C1207" s="15" t="s">
        <v>525</v>
      </c>
    </row>
    <row r="1208" spans="3:3">
      <c r="C1208" s="15" t="s">
        <v>527</v>
      </c>
    </row>
    <row r="1209" spans="3:3">
      <c r="C1209" s="15" t="s">
        <v>528</v>
      </c>
    </row>
    <row r="1210" spans="3:3">
      <c r="C1210" s="15" t="s">
        <v>529</v>
      </c>
    </row>
    <row r="1211" spans="3:3">
      <c r="C1211" s="15" t="s">
        <v>530</v>
      </c>
    </row>
    <row r="1212" spans="3:3">
      <c r="C1212" s="15" t="s">
        <v>531</v>
      </c>
    </row>
    <row r="1213" spans="3:3">
      <c r="C1213" s="15" t="s">
        <v>532</v>
      </c>
    </row>
    <row r="1214" spans="3:3">
      <c r="C1214" s="15" t="s">
        <v>533</v>
      </c>
    </row>
    <row r="1215" spans="3:3">
      <c r="C1215" s="15" t="s">
        <v>534</v>
      </c>
    </row>
    <row r="1216" spans="3:3">
      <c r="C1216" s="15" t="s">
        <v>536</v>
      </c>
    </row>
    <row r="1217" spans="3:3">
      <c r="C1217" s="15" t="s">
        <v>537</v>
      </c>
    </row>
    <row r="1218" spans="3:3">
      <c r="C1218" s="15" t="s">
        <v>538</v>
      </c>
    </row>
    <row r="1219" spans="3:3">
      <c r="C1219" s="15" t="s">
        <v>539</v>
      </c>
    </row>
    <row r="1220" spans="3:3">
      <c r="C1220" s="15" t="s">
        <v>540</v>
      </c>
    </row>
    <row r="1221" spans="3:3">
      <c r="C1221" s="15" t="s">
        <v>541</v>
      </c>
    </row>
    <row r="1222" spans="3:3">
      <c r="C1222" s="15" t="s">
        <v>542</v>
      </c>
    </row>
    <row r="1223" spans="3:3">
      <c r="C1223" s="15" t="s">
        <v>543</v>
      </c>
    </row>
    <row r="1224" spans="3:3">
      <c r="C1224" s="15" t="s">
        <v>544</v>
      </c>
    </row>
    <row r="1225" spans="3:3">
      <c r="C1225" s="15" t="s">
        <v>545</v>
      </c>
    </row>
    <row r="1226" spans="3:3">
      <c r="C1226" s="15" t="s">
        <v>546</v>
      </c>
    </row>
    <row r="1227" spans="3:3">
      <c r="C1227" s="15" t="s">
        <v>547</v>
      </c>
    </row>
    <row r="1228" spans="3:3">
      <c r="C1228" s="15" t="s">
        <v>548</v>
      </c>
    </row>
    <row r="1229" spans="3:3">
      <c r="C1229" s="15" t="s">
        <v>549</v>
      </c>
    </row>
    <row r="1230" spans="3:3">
      <c r="C1230" s="15" t="s">
        <v>550</v>
      </c>
    </row>
    <row r="1231" spans="3:3">
      <c r="C1231" s="15" t="s">
        <v>551</v>
      </c>
    </row>
    <row r="1232" spans="3:3">
      <c r="C1232" s="15" t="s">
        <v>552</v>
      </c>
    </row>
    <row r="1233" spans="3:3">
      <c r="C1233" s="15" t="s">
        <v>553</v>
      </c>
    </row>
    <row r="1234" spans="3:3">
      <c r="C1234" s="15" t="s">
        <v>554</v>
      </c>
    </row>
    <row r="1235" spans="3:3">
      <c r="C1235" s="15" t="s">
        <v>555</v>
      </c>
    </row>
    <row r="1236" spans="3:3">
      <c r="C1236" s="15" t="s">
        <v>556</v>
      </c>
    </row>
    <row r="1237" spans="3:3">
      <c r="C1237" s="15" t="s">
        <v>558</v>
      </c>
    </row>
    <row r="1238" spans="3:3">
      <c r="C1238" s="15" t="s">
        <v>559</v>
      </c>
    </row>
    <row r="1239" spans="3:3">
      <c r="C1239" s="15" t="s">
        <v>560</v>
      </c>
    </row>
    <row r="1240" spans="3:3">
      <c r="C1240" s="15" t="s">
        <v>561</v>
      </c>
    </row>
    <row r="1241" spans="3:3">
      <c r="C1241" s="15" t="s">
        <v>562</v>
      </c>
    </row>
    <row r="1242" spans="3:3">
      <c r="C1242" s="15" t="s">
        <v>563</v>
      </c>
    </row>
    <row r="1243" spans="3:3">
      <c r="C1243" s="15" t="s">
        <v>564</v>
      </c>
    </row>
    <row r="1244" spans="3:3">
      <c r="C1244" s="15" t="s">
        <v>565</v>
      </c>
    </row>
    <row r="1245" spans="3:3">
      <c r="C1245" s="15" t="s">
        <v>566</v>
      </c>
    </row>
    <row r="1248" spans="3:3">
      <c r="C1248" s="15" t="s">
        <v>325</v>
      </c>
    </row>
    <row r="1249" spans="3:3">
      <c r="C1249" s="15" t="s">
        <v>326</v>
      </c>
    </row>
    <row r="1250" spans="3:3">
      <c r="C1250" s="15" t="s">
        <v>328</v>
      </c>
    </row>
    <row r="1251" spans="3:3">
      <c r="C1251" s="15" t="s">
        <v>331</v>
      </c>
    </row>
    <row r="1252" spans="3:3">
      <c r="C1252" s="15" t="s">
        <v>333</v>
      </c>
    </row>
    <row r="1253" spans="3:3">
      <c r="C1253" s="15" t="s">
        <v>164</v>
      </c>
    </row>
    <row r="1255" spans="3:3">
      <c r="C1255" s="15" t="s">
        <v>325</v>
      </c>
    </row>
    <row r="1256" spans="3:3">
      <c r="C1256" s="15" t="s">
        <v>330</v>
      </c>
    </row>
    <row r="1257" spans="3:3">
      <c r="C1257" s="15" t="s">
        <v>335</v>
      </c>
    </row>
    <row r="1258" spans="3:3">
      <c r="C1258" s="15" t="s">
        <v>326</v>
      </c>
    </row>
    <row r="1259" spans="3:3">
      <c r="C1259" s="15" t="s">
        <v>164</v>
      </c>
    </row>
    <row r="1261" spans="3:3">
      <c r="C1261" s="15" t="s">
        <v>324</v>
      </c>
    </row>
    <row r="1262" spans="3:3">
      <c r="C1262" s="15" t="s">
        <v>326</v>
      </c>
    </row>
    <row r="1263" spans="3:3">
      <c r="C1263" s="15" t="s">
        <v>333</v>
      </c>
    </row>
    <row r="1264" spans="3:3">
      <c r="C1264" s="15" t="s">
        <v>331</v>
      </c>
    </row>
    <row r="1265" spans="3:3">
      <c r="C1265" s="15" t="s">
        <v>164</v>
      </c>
    </row>
    <row r="1267" spans="3:3">
      <c r="C1267" s="15" t="s">
        <v>325</v>
      </c>
    </row>
    <row r="1268" spans="3:3">
      <c r="C1268" s="15" t="s">
        <v>326</v>
      </c>
    </row>
    <row r="1269" spans="3:3">
      <c r="C1269" s="15" t="s">
        <v>164</v>
      </c>
    </row>
    <row r="1272" spans="3:3">
      <c r="C1272" s="15" t="s">
        <v>324</v>
      </c>
    </row>
    <row r="1273" spans="3:3">
      <c r="C1273" s="15" t="s">
        <v>326</v>
      </c>
    </row>
    <row r="1274" spans="3:3">
      <c r="C1274" s="15" t="s">
        <v>328</v>
      </c>
    </row>
    <row r="1275" spans="3:3">
      <c r="C1275" s="15" t="s">
        <v>330</v>
      </c>
    </row>
    <row r="1276" spans="3:3">
      <c r="C1276" s="15" t="s">
        <v>331</v>
      </c>
    </row>
    <row r="1277" spans="3:3">
      <c r="C1277" s="15" t="s">
        <v>332</v>
      </c>
    </row>
    <row r="1278" spans="3:3">
      <c r="C1278" s="15" t="s">
        <v>333</v>
      </c>
    </row>
    <row r="1279" spans="3:3">
      <c r="C1279" s="15" t="s">
        <v>334</v>
      </c>
    </row>
    <row r="1280" spans="3:3">
      <c r="C1280" s="15" t="s">
        <v>335</v>
      </c>
    </row>
    <row r="1281" spans="3:3">
      <c r="C1281" s="15" t="s">
        <v>164</v>
      </c>
    </row>
    <row r="1283" spans="3:3">
      <c r="C1283" s="15" t="s">
        <v>41</v>
      </c>
    </row>
    <row r="1284" spans="3:3">
      <c r="C1284" s="15" t="s">
        <v>339</v>
      </c>
    </row>
    <row r="1285" spans="3:3">
      <c r="C1285" s="15" t="s">
        <v>341</v>
      </c>
    </row>
    <row r="1286" spans="3:3">
      <c r="C1286" s="15" t="s">
        <v>343</v>
      </c>
    </row>
    <row r="1287" spans="3:3">
      <c r="C1287" s="15" t="s">
        <v>345</v>
      </c>
    </row>
    <row r="1288" spans="3:3">
      <c r="C1288" s="15" t="s">
        <v>347</v>
      </c>
    </row>
    <row r="1289" spans="3:3">
      <c r="C1289" s="15" t="s">
        <v>349</v>
      </c>
    </row>
    <row r="1290" spans="3:3">
      <c r="C1290" s="15" t="s">
        <v>351</v>
      </c>
    </row>
    <row r="1291" spans="3:3">
      <c r="C1291" s="15" t="s">
        <v>353</v>
      </c>
    </row>
    <row r="1292" spans="3:3">
      <c r="C1292" s="15" t="s">
        <v>355</v>
      </c>
    </row>
    <row r="1293" spans="3:3">
      <c r="C1293" s="15" t="s">
        <v>357</v>
      </c>
    </row>
    <row r="1294" spans="3:3">
      <c r="C1294" s="15" t="s">
        <v>359</v>
      </c>
    </row>
    <row r="1295" spans="3:3">
      <c r="C1295" s="15" t="s">
        <v>361</v>
      </c>
    </row>
    <row r="1296" spans="3:3">
      <c r="C1296" s="15" t="s">
        <v>363</v>
      </c>
    </row>
    <row r="1297" spans="3:3">
      <c r="C1297" s="15" t="s">
        <v>365</v>
      </c>
    </row>
    <row r="1298" spans="3:3">
      <c r="C1298" s="15" t="s">
        <v>367</v>
      </c>
    </row>
    <row r="1299" spans="3:3">
      <c r="C1299" s="15" t="s">
        <v>369</v>
      </c>
    </row>
    <row r="1300" spans="3:3">
      <c r="C1300" s="15" t="s">
        <v>371</v>
      </c>
    </row>
    <row r="1301" spans="3:3">
      <c r="C1301" s="15" t="s">
        <v>373</v>
      </c>
    </row>
    <row r="1302" spans="3:3">
      <c r="C1302" s="15" t="s">
        <v>375</v>
      </c>
    </row>
    <row r="1303" spans="3:3">
      <c r="C1303" s="15" t="s">
        <v>377</v>
      </c>
    </row>
    <row r="1304" spans="3:3">
      <c r="C1304" s="15" t="s">
        <v>379</v>
      </c>
    </row>
    <row r="1305" spans="3:3">
      <c r="C1305" s="15" t="s">
        <v>381</v>
      </c>
    </row>
    <row r="1306" spans="3:3">
      <c r="C1306" s="15" t="s">
        <v>383</v>
      </c>
    </row>
    <row r="1307" spans="3:3">
      <c r="C1307" s="15" t="s">
        <v>385</v>
      </c>
    </row>
    <row r="1308" spans="3:3">
      <c r="C1308" s="15" t="s">
        <v>387</v>
      </c>
    </row>
    <row r="1309" spans="3:3">
      <c r="C1309" s="15" t="s">
        <v>389</v>
      </c>
    </row>
    <row r="1310" spans="3:3">
      <c r="C1310" s="15" t="s">
        <v>391</v>
      </c>
    </row>
    <row r="1311" spans="3:3">
      <c r="C1311" s="15" t="s">
        <v>393</v>
      </c>
    </row>
    <row r="1312" spans="3:3">
      <c r="C1312" s="15" t="s">
        <v>395</v>
      </c>
    </row>
    <row r="1313" spans="3:3">
      <c r="C1313" s="15" t="s">
        <v>397</v>
      </c>
    </row>
    <row r="1314" spans="3:3">
      <c r="C1314" s="15" t="s">
        <v>399</v>
      </c>
    </row>
    <row r="1315" spans="3:3">
      <c r="C1315" s="15" t="s">
        <v>164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6" customWidth="1"/>
    <col min="2" max="2" width="48.75" style="56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3" t="s">
        <v>1105</v>
      </c>
      <c r="B1" s="104" t="s">
        <v>1106</v>
      </c>
      <c r="C1" s="104" t="s">
        <v>1107</v>
      </c>
      <c r="D1" s="105" t="s">
        <v>1108</v>
      </c>
      <c r="E1" s="119"/>
    </row>
    <row r="2" spans="1:5" ht="15.75" outlineLevel="1">
      <c r="A2" s="35" t="s">
        <v>949</v>
      </c>
      <c r="B2" s="36" t="s">
        <v>0</v>
      </c>
      <c r="C2" s="35">
        <v>5.0999999999999996</v>
      </c>
      <c r="D2" s="107"/>
    </row>
    <row r="3" spans="1:5" ht="15.75" outlineLevel="1">
      <c r="A3" s="35" t="s">
        <v>949</v>
      </c>
      <c r="B3" s="36" t="s">
        <v>1</v>
      </c>
      <c r="C3" s="35">
        <v>5.2</v>
      </c>
      <c r="D3" s="107"/>
    </row>
    <row r="4" spans="1:5" ht="15.75" outlineLevel="1">
      <c r="A4" s="35" t="s">
        <v>949</v>
      </c>
      <c r="B4" s="36" t="s">
        <v>165</v>
      </c>
      <c r="C4" s="35">
        <v>5.4</v>
      </c>
      <c r="D4" s="107"/>
    </row>
    <row r="5" spans="1:5" ht="15.75" outlineLevel="1">
      <c r="A5" s="35" t="s">
        <v>949</v>
      </c>
      <c r="B5" s="36" t="s">
        <v>166</v>
      </c>
      <c r="C5" s="35">
        <v>5.7</v>
      </c>
      <c r="D5" s="107"/>
    </row>
    <row r="6" spans="1:5" ht="15.75" outlineLevel="1">
      <c r="A6" s="35" t="s">
        <v>949</v>
      </c>
      <c r="B6" s="36" t="s">
        <v>167</v>
      </c>
      <c r="C6" s="35">
        <v>5.1100000000000003</v>
      </c>
      <c r="D6" s="107"/>
    </row>
    <row r="7" spans="1:5" ht="15.75" outlineLevel="1">
      <c r="A7" s="35" t="s">
        <v>949</v>
      </c>
      <c r="B7" s="36" t="s">
        <v>5</v>
      </c>
      <c r="C7" s="35">
        <v>5.26</v>
      </c>
      <c r="D7" s="107"/>
    </row>
    <row r="8" spans="1:5" ht="15.75" outlineLevel="1">
      <c r="A8" s="35" t="s">
        <v>949</v>
      </c>
      <c r="B8" s="36" t="s">
        <v>6</v>
      </c>
      <c r="C8" s="35">
        <v>5.27</v>
      </c>
      <c r="D8" s="107"/>
    </row>
    <row r="9" spans="1:5" ht="15.75" outlineLevel="1">
      <c r="A9" s="35" t="s">
        <v>949</v>
      </c>
      <c r="B9" s="36" t="s">
        <v>120</v>
      </c>
      <c r="C9" s="35">
        <v>5.36</v>
      </c>
      <c r="D9" s="107"/>
    </row>
    <row r="10" spans="1:5" ht="15.75" outlineLevel="1">
      <c r="A10" s="35" t="s">
        <v>949</v>
      </c>
      <c r="B10" s="36" t="s">
        <v>169</v>
      </c>
      <c r="C10" s="37">
        <v>5.5</v>
      </c>
      <c r="D10" s="107"/>
    </row>
    <row r="11" spans="1:5" ht="15.75" outlineLevel="1">
      <c r="A11" s="35" t="s">
        <v>949</v>
      </c>
      <c r="B11" s="36" t="s">
        <v>10</v>
      </c>
      <c r="C11" s="35">
        <v>5.51</v>
      </c>
      <c r="D11" s="107"/>
    </row>
    <row r="12" spans="1:5" ht="15.75" outlineLevel="1">
      <c r="A12" s="35" t="s">
        <v>949</v>
      </c>
      <c r="B12" s="36" t="s">
        <v>11</v>
      </c>
      <c r="C12" s="35">
        <v>5.53</v>
      </c>
      <c r="D12" s="107"/>
    </row>
    <row r="13" spans="1:5" ht="15.75" outlineLevel="1">
      <c r="A13" s="35" t="s">
        <v>949</v>
      </c>
      <c r="B13" s="36" t="s">
        <v>130</v>
      </c>
      <c r="C13" s="35">
        <v>5.59</v>
      </c>
      <c r="D13" s="107"/>
    </row>
    <row r="14" spans="1:5" ht="15.75" outlineLevel="1">
      <c r="A14" s="35" t="s">
        <v>949</v>
      </c>
      <c r="B14" s="36" t="s">
        <v>18</v>
      </c>
      <c r="C14" s="35">
        <v>5.54</v>
      </c>
      <c r="D14" s="107"/>
    </row>
    <row r="15" spans="1:5" ht="15.75" outlineLevel="1">
      <c r="A15" s="35" t="s">
        <v>949</v>
      </c>
      <c r="B15" s="36" t="s">
        <v>14</v>
      </c>
      <c r="C15" s="37">
        <v>5.7</v>
      </c>
      <c r="D15" s="106" t="s">
        <v>1109</v>
      </c>
    </row>
    <row r="16" spans="1:5" ht="15.75" outlineLevel="1">
      <c r="A16" s="35" t="s">
        <v>949</v>
      </c>
      <c r="B16" s="36" t="s">
        <v>20</v>
      </c>
      <c r="C16" s="35">
        <v>5.63</v>
      </c>
      <c r="D16" s="107"/>
    </row>
    <row r="17" spans="1:4" ht="15.75" outlineLevel="1">
      <c r="A17" s="35" t="s">
        <v>949</v>
      </c>
      <c r="B17" s="36" t="s">
        <v>24</v>
      </c>
      <c r="C17" s="35">
        <v>5.47</v>
      </c>
      <c r="D17" s="107"/>
    </row>
    <row r="18" spans="1:4" ht="15.75" outlineLevel="1">
      <c r="A18" s="35" t="s">
        <v>949</v>
      </c>
      <c r="B18" s="36" t="s">
        <v>25</v>
      </c>
      <c r="C18" s="35">
        <v>5.48</v>
      </c>
      <c r="D18" s="107"/>
    </row>
    <row r="19" spans="1:4" ht="15.75">
      <c r="A19" s="41" t="s">
        <v>949</v>
      </c>
      <c r="B19" s="36"/>
      <c r="C19" s="35"/>
      <c r="D19" s="107"/>
    </row>
    <row r="20" spans="1:4" ht="15.75" outlineLevel="1">
      <c r="A20" s="35" t="s">
        <v>959</v>
      </c>
      <c r="B20" s="36" t="s">
        <v>0</v>
      </c>
      <c r="C20" s="35">
        <v>5.0999999999999996</v>
      </c>
      <c r="D20" s="107"/>
    </row>
    <row r="21" spans="1:4" ht="15.75" outlineLevel="1">
      <c r="A21" s="35" t="s">
        <v>959</v>
      </c>
      <c r="B21" s="36" t="s">
        <v>1</v>
      </c>
      <c r="C21" s="35">
        <v>5.2</v>
      </c>
      <c r="D21" s="107"/>
    </row>
    <row r="22" spans="1:4" ht="15.75" outlineLevel="1">
      <c r="A22" s="35" t="s">
        <v>959</v>
      </c>
      <c r="B22" s="36" t="s">
        <v>2</v>
      </c>
      <c r="C22" s="35">
        <v>5.3</v>
      </c>
      <c r="D22" s="107"/>
    </row>
    <row r="23" spans="1:4" ht="15.75" outlineLevel="1">
      <c r="A23" s="35" t="s">
        <v>959</v>
      </c>
      <c r="B23" s="36" t="s">
        <v>1110</v>
      </c>
      <c r="C23" s="35">
        <v>5.14</v>
      </c>
      <c r="D23" s="107"/>
    </row>
    <row r="24" spans="1:4" ht="15.75" outlineLevel="1">
      <c r="A24" s="35" t="s">
        <v>959</v>
      </c>
      <c r="B24" s="36" t="s">
        <v>4</v>
      </c>
      <c r="C24" s="35">
        <v>5.19</v>
      </c>
      <c r="D24" s="107"/>
    </row>
    <row r="25" spans="1:4" ht="15.75" outlineLevel="1">
      <c r="A25" s="35" t="s">
        <v>959</v>
      </c>
      <c r="B25" s="36" t="s">
        <v>5</v>
      </c>
      <c r="C25" s="35">
        <v>5.26</v>
      </c>
      <c r="D25" s="107"/>
    </row>
    <row r="26" spans="1:4" ht="15.75" outlineLevel="1">
      <c r="A26" s="35" t="s">
        <v>959</v>
      </c>
      <c r="B26" s="36" t="s">
        <v>6</v>
      </c>
      <c r="C26" s="35">
        <v>5.27</v>
      </c>
      <c r="D26" s="107"/>
    </row>
    <row r="27" spans="1:4" ht="15.75" outlineLevel="1">
      <c r="A27" s="35" t="s">
        <v>959</v>
      </c>
      <c r="B27" s="36" t="s">
        <v>7</v>
      </c>
      <c r="C27" s="35">
        <v>5.28</v>
      </c>
      <c r="D27" s="107"/>
    </row>
    <row r="28" spans="1:4" ht="15.75" outlineLevel="1">
      <c r="A28" s="35" t="s">
        <v>959</v>
      </c>
      <c r="B28" s="36" t="s">
        <v>8</v>
      </c>
      <c r="C28" s="37">
        <v>5.3</v>
      </c>
      <c r="D28" s="107"/>
    </row>
    <row r="29" spans="1:4" ht="15.75" outlineLevel="1">
      <c r="A29" s="35" t="s">
        <v>959</v>
      </c>
      <c r="B29" s="36" t="s">
        <v>9</v>
      </c>
      <c r="C29" s="35">
        <v>5.49</v>
      </c>
      <c r="D29" s="107"/>
    </row>
    <row r="30" spans="1:4" ht="15.75" outlineLevel="1">
      <c r="A30" s="35" t="s">
        <v>959</v>
      </c>
      <c r="B30" s="36" t="s">
        <v>10</v>
      </c>
      <c r="C30" s="35">
        <v>5.51</v>
      </c>
      <c r="D30" s="107"/>
    </row>
    <row r="31" spans="1:4" ht="15.75" outlineLevel="1">
      <c r="A31" s="35" t="s">
        <v>959</v>
      </c>
      <c r="B31" s="36" t="s">
        <v>11</v>
      </c>
      <c r="C31" s="35">
        <v>5.53</v>
      </c>
      <c r="D31" s="107"/>
    </row>
    <row r="32" spans="1:4" ht="15.75" outlineLevel="1">
      <c r="A32" s="35" t="s">
        <v>959</v>
      </c>
      <c r="B32" s="36" t="s">
        <v>12</v>
      </c>
      <c r="C32" s="35">
        <v>5.69</v>
      </c>
      <c r="D32" s="107"/>
    </row>
    <row r="33" spans="1:4" ht="15.75" outlineLevel="1">
      <c r="A33" s="35" t="s">
        <v>959</v>
      </c>
      <c r="B33" s="36" t="s">
        <v>13</v>
      </c>
      <c r="C33" s="35">
        <v>5.75</v>
      </c>
      <c r="D33" s="107"/>
    </row>
    <row r="34" spans="1:4" ht="15.75" outlineLevel="1">
      <c r="A34" s="35" t="s">
        <v>959</v>
      </c>
      <c r="B34" s="36" t="s">
        <v>14</v>
      </c>
      <c r="C34" s="37">
        <v>5.7</v>
      </c>
      <c r="D34" s="107"/>
    </row>
    <row r="35" spans="1:4" ht="15.75" outlineLevel="1">
      <c r="A35" s="35" t="s">
        <v>959</v>
      </c>
      <c r="B35" s="36" t="s">
        <v>15</v>
      </c>
      <c r="C35" s="35">
        <v>5.74</v>
      </c>
      <c r="D35" s="107"/>
    </row>
    <row r="36" spans="1:4" ht="15.75" outlineLevel="1">
      <c r="A36" s="35" t="s">
        <v>959</v>
      </c>
      <c r="B36" s="36" t="s">
        <v>16</v>
      </c>
      <c r="C36" s="35">
        <v>5.62</v>
      </c>
      <c r="D36" s="107"/>
    </row>
    <row r="37" spans="1:4" ht="15.75" outlineLevel="1">
      <c r="A37" s="35" t="s">
        <v>959</v>
      </c>
      <c r="B37" s="36" t="s">
        <v>17</v>
      </c>
      <c r="C37" s="35">
        <v>5.58</v>
      </c>
      <c r="D37" s="107"/>
    </row>
    <row r="38" spans="1:4" ht="15.75" outlineLevel="1">
      <c r="A38" s="35" t="s">
        <v>959</v>
      </c>
      <c r="B38" s="36" t="s">
        <v>18</v>
      </c>
      <c r="C38" s="35">
        <v>5.54</v>
      </c>
      <c r="D38" s="107"/>
    </row>
    <row r="39" spans="1:4" ht="15.75" outlineLevel="1">
      <c r="A39" s="35" t="s">
        <v>959</v>
      </c>
      <c r="B39" s="36" t="s">
        <v>19</v>
      </c>
      <c r="C39" s="35">
        <v>5.55</v>
      </c>
      <c r="D39" s="107"/>
    </row>
    <row r="40" spans="1:4" ht="15.75" outlineLevel="1">
      <c r="A40" s="35" t="s">
        <v>959</v>
      </c>
      <c r="B40" s="36" t="s">
        <v>20</v>
      </c>
      <c r="C40" s="35">
        <v>5.63</v>
      </c>
      <c r="D40" s="107"/>
    </row>
    <row r="41" spans="1:4" ht="15.75" outlineLevel="1">
      <c r="A41" s="35" t="s">
        <v>959</v>
      </c>
      <c r="B41" s="36" t="s">
        <v>21</v>
      </c>
      <c r="C41" s="35">
        <v>5.65</v>
      </c>
      <c r="D41" s="107"/>
    </row>
    <row r="42" spans="1:4" ht="15.75" outlineLevel="1">
      <c r="A42" s="35" t="s">
        <v>959</v>
      </c>
      <c r="B42" s="36" t="s">
        <v>22</v>
      </c>
      <c r="C42" s="35">
        <v>5.68</v>
      </c>
      <c r="D42" s="107"/>
    </row>
    <row r="43" spans="1:4" ht="15.75" outlineLevel="1">
      <c r="A43" s="35" t="s">
        <v>959</v>
      </c>
      <c r="B43" s="36" t="s">
        <v>23</v>
      </c>
      <c r="C43" s="35">
        <v>5.45</v>
      </c>
      <c r="D43" s="107"/>
    </row>
    <row r="44" spans="1:4" ht="15.75" outlineLevel="1">
      <c r="A44" s="35" t="s">
        <v>959</v>
      </c>
      <c r="B44" s="36" t="s">
        <v>24</v>
      </c>
      <c r="C44" s="35">
        <v>5.47</v>
      </c>
      <c r="D44" s="107"/>
    </row>
    <row r="45" spans="1:4" ht="15.75" outlineLevel="1">
      <c r="A45" s="35" t="s">
        <v>959</v>
      </c>
      <c r="B45" s="36" t="s">
        <v>25</v>
      </c>
      <c r="C45" s="35">
        <v>5.48</v>
      </c>
      <c r="D45" s="107"/>
    </row>
    <row r="46" spans="1:4" ht="15.75">
      <c r="A46" s="41" t="s">
        <v>959</v>
      </c>
      <c r="B46" s="36"/>
      <c r="C46" s="35"/>
      <c r="D46" s="107"/>
    </row>
    <row r="47" spans="1:4" ht="15.75" outlineLevel="1">
      <c r="A47" s="35" t="s">
        <v>963</v>
      </c>
      <c r="B47" s="36" t="s">
        <v>0</v>
      </c>
      <c r="C47" s="35">
        <v>5.0999999999999996</v>
      </c>
      <c r="D47" s="107"/>
    </row>
    <row r="48" spans="1:4" ht="15.75" outlineLevel="1">
      <c r="A48" s="35" t="s">
        <v>963</v>
      </c>
      <c r="B48" s="36" t="s">
        <v>1</v>
      </c>
      <c r="C48" s="35">
        <v>5.2</v>
      </c>
      <c r="D48" s="107"/>
    </row>
    <row r="49" spans="1:4" ht="15.75" outlineLevel="1">
      <c r="A49" s="35" t="s">
        <v>963</v>
      </c>
      <c r="B49" s="36" t="s">
        <v>2</v>
      </c>
      <c r="C49" s="35">
        <v>5.3</v>
      </c>
      <c r="D49" s="107"/>
    </row>
    <row r="50" spans="1:4" ht="15.75" outlineLevel="1">
      <c r="A50" s="35" t="s">
        <v>963</v>
      </c>
      <c r="B50" s="36" t="s">
        <v>141</v>
      </c>
      <c r="C50" s="35">
        <v>5.6</v>
      </c>
      <c r="D50" s="107"/>
    </row>
    <row r="51" spans="1:4" ht="15.75" outlineLevel="1">
      <c r="A51" s="35" t="s">
        <v>963</v>
      </c>
      <c r="B51" s="36" t="s">
        <v>1111</v>
      </c>
      <c r="C51" s="37">
        <v>5.0999999999999996</v>
      </c>
      <c r="D51" s="107"/>
    </row>
    <row r="52" spans="1:4" ht="15.75" outlineLevel="1">
      <c r="A52" s="35" t="s">
        <v>963</v>
      </c>
      <c r="B52" s="36" t="s">
        <v>1110</v>
      </c>
      <c r="C52" s="35">
        <v>5.14</v>
      </c>
      <c r="D52" s="107"/>
    </row>
    <row r="53" spans="1:4" ht="15.75" outlineLevel="1">
      <c r="A53" s="35" t="s">
        <v>963</v>
      </c>
      <c r="B53" s="36" t="s">
        <v>4</v>
      </c>
      <c r="C53" s="35">
        <v>5.19</v>
      </c>
      <c r="D53" s="107"/>
    </row>
    <row r="54" spans="1:4" ht="15.75" outlineLevel="1">
      <c r="A54" s="35" t="s">
        <v>963</v>
      </c>
      <c r="B54" s="36" t="s">
        <v>143</v>
      </c>
      <c r="C54" s="35">
        <v>5.24</v>
      </c>
      <c r="D54" s="107"/>
    </row>
    <row r="55" spans="1:4" ht="15.75" outlineLevel="1">
      <c r="A55" s="35" t="s">
        <v>963</v>
      </c>
      <c r="B55" s="36" t="s">
        <v>5</v>
      </c>
      <c r="C55" s="35">
        <v>5.26</v>
      </c>
      <c r="D55" s="107"/>
    </row>
    <row r="56" spans="1:4" ht="15.75" outlineLevel="1">
      <c r="A56" s="35" t="s">
        <v>963</v>
      </c>
      <c r="B56" s="36" t="s">
        <v>6</v>
      </c>
      <c r="C56" s="35">
        <v>5.27</v>
      </c>
      <c r="D56" s="107"/>
    </row>
    <row r="57" spans="1:4" ht="15.75" outlineLevel="1">
      <c r="A57" s="35" t="s">
        <v>963</v>
      </c>
      <c r="B57" s="36" t="s">
        <v>7</v>
      </c>
      <c r="C57" s="35">
        <v>5.28</v>
      </c>
      <c r="D57" s="107"/>
    </row>
    <row r="58" spans="1:4" ht="15.75" outlineLevel="1">
      <c r="A58" s="35" t="s">
        <v>963</v>
      </c>
      <c r="B58" s="36" t="s">
        <v>8</v>
      </c>
      <c r="C58" s="37">
        <v>5.3</v>
      </c>
      <c r="D58" s="107"/>
    </row>
    <row r="59" spans="1:4" ht="15.75" outlineLevel="1">
      <c r="A59" s="35" t="s">
        <v>963</v>
      </c>
      <c r="B59" s="36" t="s">
        <v>144</v>
      </c>
      <c r="C59" s="35">
        <v>5.31</v>
      </c>
      <c r="D59" s="107"/>
    </row>
    <row r="60" spans="1:4" ht="15.75" outlineLevel="1">
      <c r="A60" s="35" t="s">
        <v>963</v>
      </c>
      <c r="B60" s="36" t="s">
        <v>120</v>
      </c>
      <c r="C60" s="35">
        <v>5.36</v>
      </c>
      <c r="D60" s="107"/>
    </row>
    <row r="61" spans="1:4" ht="15.75" outlineLevel="1">
      <c r="A61" s="35" t="s">
        <v>963</v>
      </c>
      <c r="B61" s="36" t="s">
        <v>9</v>
      </c>
      <c r="C61" s="35">
        <v>5.49</v>
      </c>
      <c r="D61" s="107"/>
    </row>
    <row r="62" spans="1:4" ht="15.75" outlineLevel="1">
      <c r="A62" s="35" t="s">
        <v>963</v>
      </c>
      <c r="B62" s="36" t="s">
        <v>10</v>
      </c>
      <c r="C62" s="35">
        <v>5.51</v>
      </c>
      <c r="D62" s="107"/>
    </row>
    <row r="63" spans="1:4" ht="15.75" outlineLevel="1">
      <c r="A63" s="35" t="s">
        <v>963</v>
      </c>
      <c r="B63" s="36" t="s">
        <v>1112</v>
      </c>
      <c r="C63" s="35">
        <v>5.52</v>
      </c>
      <c r="D63" s="107"/>
    </row>
    <row r="64" spans="1:4" ht="15.75" outlineLevel="1">
      <c r="A64" s="35" t="s">
        <v>963</v>
      </c>
      <c r="B64" s="36" t="s">
        <v>11</v>
      </c>
      <c r="C64" s="35">
        <v>5.53</v>
      </c>
      <c r="D64" s="107"/>
    </row>
    <row r="65" spans="1:4" ht="15.75" outlineLevel="1">
      <c r="A65" s="35" t="s">
        <v>963</v>
      </c>
      <c r="B65" s="36" t="s">
        <v>12</v>
      </c>
      <c r="C65" s="35">
        <v>5.69</v>
      </c>
      <c r="D65" s="107"/>
    </row>
    <row r="66" spans="1:4" ht="15.75" outlineLevel="1">
      <c r="A66" s="35" t="s">
        <v>963</v>
      </c>
      <c r="B66" s="36" t="s">
        <v>908</v>
      </c>
      <c r="C66" s="37">
        <v>5.72</v>
      </c>
      <c r="D66" s="107"/>
    </row>
    <row r="67" spans="1:4" ht="15.75" outlineLevel="1">
      <c r="A67" s="35" t="s">
        <v>963</v>
      </c>
      <c r="B67" s="36" t="s">
        <v>13</v>
      </c>
      <c r="C67" s="35">
        <v>5.75</v>
      </c>
      <c r="D67" s="107"/>
    </row>
    <row r="68" spans="1:4" ht="15.75" outlineLevel="1">
      <c r="A68" s="35" t="s">
        <v>963</v>
      </c>
      <c r="B68" s="36" t="s">
        <v>14</v>
      </c>
      <c r="C68" s="37">
        <v>5.7</v>
      </c>
      <c r="D68" s="107"/>
    </row>
    <row r="69" spans="1:4" ht="15.75" outlineLevel="1">
      <c r="A69" s="35" t="s">
        <v>963</v>
      </c>
      <c r="B69" s="36" t="s">
        <v>15</v>
      </c>
      <c r="C69" s="35">
        <v>5.74</v>
      </c>
      <c r="D69" s="107"/>
    </row>
    <row r="70" spans="1:4" ht="15.75" outlineLevel="1">
      <c r="A70" s="35" t="s">
        <v>963</v>
      </c>
      <c r="B70" s="36" t="s">
        <v>407</v>
      </c>
      <c r="C70" s="35">
        <v>5.76</v>
      </c>
      <c r="D70" s="107"/>
    </row>
    <row r="71" spans="1:4" ht="15.75" outlineLevel="1">
      <c r="A71" s="35" t="s">
        <v>963</v>
      </c>
      <c r="B71" s="36" t="s">
        <v>829</v>
      </c>
      <c r="C71" s="35">
        <v>5.89</v>
      </c>
      <c r="D71" s="106" t="s">
        <v>1109</v>
      </c>
    </row>
    <row r="72" spans="1:4" ht="15.75" outlineLevel="1">
      <c r="A72" s="35" t="s">
        <v>963</v>
      </c>
      <c r="B72" s="36" t="s">
        <v>17</v>
      </c>
      <c r="C72" s="35">
        <v>5.58</v>
      </c>
      <c r="D72" s="107"/>
    </row>
    <row r="73" spans="1:4" ht="15.75" outlineLevel="1">
      <c r="A73" s="35" t="s">
        <v>963</v>
      </c>
      <c r="B73" s="36" t="s">
        <v>16</v>
      </c>
      <c r="C73" s="35">
        <v>5.62</v>
      </c>
      <c r="D73" s="107"/>
    </row>
    <row r="74" spans="1:4" ht="15.75" outlineLevel="1">
      <c r="A74" s="35" t="s">
        <v>963</v>
      </c>
      <c r="B74" s="36" t="s">
        <v>18</v>
      </c>
      <c r="C74" s="35">
        <v>5.54</v>
      </c>
      <c r="D74" s="107"/>
    </row>
    <row r="75" spans="1:4" ht="15.75" outlineLevel="1">
      <c r="A75" s="35" t="s">
        <v>963</v>
      </c>
      <c r="B75" s="36" t="s">
        <v>19</v>
      </c>
      <c r="C75" s="35">
        <v>5.55</v>
      </c>
      <c r="D75" s="107"/>
    </row>
    <row r="76" spans="1:4" ht="15.75" outlineLevel="1">
      <c r="A76" s="35" t="s">
        <v>963</v>
      </c>
      <c r="B76" s="36" t="s">
        <v>20</v>
      </c>
      <c r="C76" s="35">
        <v>5.63</v>
      </c>
      <c r="D76" s="107"/>
    </row>
    <row r="77" spans="1:4" ht="15.75" outlineLevel="1">
      <c r="A77" s="35" t="s">
        <v>963</v>
      </c>
      <c r="B77" s="36" t="s">
        <v>21</v>
      </c>
      <c r="C77" s="35">
        <v>5.65</v>
      </c>
      <c r="D77" s="107"/>
    </row>
    <row r="78" spans="1:4" ht="15.75" outlineLevel="1">
      <c r="A78" s="35" t="s">
        <v>963</v>
      </c>
      <c r="B78" s="36" t="s">
        <v>160</v>
      </c>
      <c r="C78" s="35">
        <v>5.66</v>
      </c>
      <c r="D78" s="107"/>
    </row>
    <row r="79" spans="1:4" ht="15.75" outlineLevel="1">
      <c r="A79" s="35" t="s">
        <v>963</v>
      </c>
      <c r="B79" s="36" t="s">
        <v>22</v>
      </c>
      <c r="C79" s="35">
        <v>5.68</v>
      </c>
      <c r="D79" s="107"/>
    </row>
    <row r="80" spans="1:4" ht="15.75" outlineLevel="1">
      <c r="A80" s="35" t="s">
        <v>963</v>
      </c>
      <c r="B80" s="36" t="s">
        <v>23</v>
      </c>
      <c r="C80" s="35">
        <v>5.45</v>
      </c>
      <c r="D80" s="107"/>
    </row>
    <row r="81" spans="1:4" ht="15.75" outlineLevel="1">
      <c r="A81" s="35" t="s">
        <v>963</v>
      </c>
      <c r="B81" s="36" t="s">
        <v>24</v>
      </c>
      <c r="C81" s="35">
        <v>5.47</v>
      </c>
      <c r="D81" s="107"/>
    </row>
    <row r="82" spans="1:4" ht="15.75" outlineLevel="1">
      <c r="A82" s="35" t="s">
        <v>963</v>
      </c>
      <c r="B82" s="36" t="s">
        <v>25</v>
      </c>
      <c r="C82" s="35">
        <v>5.48</v>
      </c>
      <c r="D82" s="107"/>
    </row>
    <row r="83" spans="1:4" ht="15.75">
      <c r="A83" s="41" t="s">
        <v>963</v>
      </c>
      <c r="B83" s="36"/>
      <c r="C83" s="35"/>
      <c r="D83" s="107"/>
    </row>
    <row r="84" spans="1:4" ht="15.75" outlineLevel="1">
      <c r="A84" s="35" t="s">
        <v>964</v>
      </c>
      <c r="B84" s="36" t="s">
        <v>0</v>
      </c>
      <c r="C84" s="35">
        <v>5.0999999999999996</v>
      </c>
      <c r="D84" s="107"/>
    </row>
    <row r="85" spans="1:4" ht="15.75" outlineLevel="1">
      <c r="A85" s="35" t="s">
        <v>964</v>
      </c>
      <c r="B85" s="36" t="s">
        <v>1</v>
      </c>
      <c r="C85" s="35">
        <v>5.2</v>
      </c>
      <c r="D85" s="107"/>
    </row>
    <row r="86" spans="1:4" ht="15.75" outlineLevel="1">
      <c r="A86" s="35" t="s">
        <v>964</v>
      </c>
      <c r="B86" s="36" t="s">
        <v>2</v>
      </c>
      <c r="C86" s="35">
        <v>5.3</v>
      </c>
      <c r="D86" s="107"/>
    </row>
    <row r="87" spans="1:4" ht="15.75" outlineLevel="1">
      <c r="A87" s="35" t="s">
        <v>964</v>
      </c>
      <c r="B87" s="36" t="s">
        <v>141</v>
      </c>
      <c r="C87" s="35">
        <v>5.6</v>
      </c>
      <c r="D87" s="107"/>
    </row>
    <row r="88" spans="1:4" ht="15.75" outlineLevel="1">
      <c r="A88" s="35" t="s">
        <v>964</v>
      </c>
      <c r="B88" s="36" t="s">
        <v>1111</v>
      </c>
      <c r="C88" s="37">
        <v>5.0999999999999996</v>
      </c>
      <c r="D88" s="107"/>
    </row>
    <row r="89" spans="1:4" ht="15.75" outlineLevel="1">
      <c r="A89" s="35" t="s">
        <v>964</v>
      </c>
      <c r="B89" s="36" t="s">
        <v>1110</v>
      </c>
      <c r="C89" s="35">
        <v>5.14</v>
      </c>
      <c r="D89" s="107"/>
    </row>
    <row r="90" spans="1:4" ht="15.75" outlineLevel="1">
      <c r="A90" s="35" t="s">
        <v>964</v>
      </c>
      <c r="B90" s="36" t="s">
        <v>4</v>
      </c>
      <c r="C90" s="35">
        <v>5.19</v>
      </c>
      <c r="D90" s="107"/>
    </row>
    <row r="91" spans="1:4" ht="15.75" outlineLevel="1">
      <c r="A91" s="35" t="s">
        <v>964</v>
      </c>
      <c r="B91" s="36" t="s">
        <v>143</v>
      </c>
      <c r="C91" s="35">
        <v>5.24</v>
      </c>
      <c r="D91" s="107"/>
    </row>
    <row r="92" spans="1:4" ht="15.75" outlineLevel="1">
      <c r="A92" s="35" t="s">
        <v>964</v>
      </c>
      <c r="B92" s="36" t="s">
        <v>5</v>
      </c>
      <c r="C92" s="35">
        <v>5.26</v>
      </c>
      <c r="D92" s="107"/>
    </row>
    <row r="93" spans="1:4" ht="15.75" outlineLevel="1">
      <c r="A93" s="35" t="s">
        <v>964</v>
      </c>
      <c r="B93" s="36" t="s">
        <v>6</v>
      </c>
      <c r="C93" s="35">
        <v>5.27</v>
      </c>
      <c r="D93" s="107"/>
    </row>
    <row r="94" spans="1:4" ht="15.75" outlineLevel="1">
      <c r="A94" s="35" t="s">
        <v>964</v>
      </c>
      <c r="B94" s="36" t="s">
        <v>7</v>
      </c>
      <c r="C94" s="35">
        <v>5.28</v>
      </c>
      <c r="D94" s="107"/>
    </row>
    <row r="95" spans="1:4" ht="15.75" outlineLevel="1">
      <c r="A95" s="35" t="s">
        <v>964</v>
      </c>
      <c r="B95" s="36" t="s">
        <v>323</v>
      </c>
      <c r="C95" s="35">
        <v>5.29</v>
      </c>
      <c r="D95" s="107"/>
    </row>
    <row r="96" spans="1:4" ht="15.75" outlineLevel="1">
      <c r="A96" s="35" t="s">
        <v>964</v>
      </c>
      <c r="B96" s="36" t="s">
        <v>8</v>
      </c>
      <c r="C96" s="37">
        <v>5.3</v>
      </c>
      <c r="D96" s="107"/>
    </row>
    <row r="97" spans="1:4" ht="15.75" outlineLevel="1">
      <c r="A97" s="35" t="s">
        <v>964</v>
      </c>
      <c r="B97" s="36" t="s">
        <v>144</v>
      </c>
      <c r="C97" s="35">
        <v>5.31</v>
      </c>
      <c r="D97" s="107"/>
    </row>
    <row r="98" spans="1:4" ht="15.75" outlineLevel="1">
      <c r="A98" s="35" t="s">
        <v>964</v>
      </c>
      <c r="B98" s="36" t="s">
        <v>120</v>
      </c>
      <c r="C98" s="35">
        <v>5.36</v>
      </c>
      <c r="D98" s="107"/>
    </row>
    <row r="99" spans="1:4" ht="15.75" outlineLevel="1">
      <c r="A99" s="35" t="s">
        <v>964</v>
      </c>
      <c r="B99" s="36" t="s">
        <v>9</v>
      </c>
      <c r="C99" s="35">
        <v>5.49</v>
      </c>
      <c r="D99" s="107"/>
    </row>
    <row r="100" spans="1:4" ht="15.75" outlineLevel="1">
      <c r="A100" s="35" t="s">
        <v>964</v>
      </c>
      <c r="B100" s="36" t="s">
        <v>10</v>
      </c>
      <c r="C100" s="35">
        <v>5.51</v>
      </c>
      <c r="D100" s="107"/>
    </row>
    <row r="101" spans="1:4" ht="15.75" outlineLevel="1">
      <c r="A101" s="35" t="s">
        <v>964</v>
      </c>
      <c r="B101" s="36" t="s">
        <v>1112</v>
      </c>
      <c r="C101" s="35">
        <v>5.52</v>
      </c>
      <c r="D101" s="107"/>
    </row>
    <row r="102" spans="1:4" ht="15.75" outlineLevel="1">
      <c r="A102" s="35" t="s">
        <v>964</v>
      </c>
      <c r="B102" s="36" t="s">
        <v>11</v>
      </c>
      <c r="C102" s="35">
        <v>5.53</v>
      </c>
      <c r="D102" s="107"/>
    </row>
    <row r="103" spans="1:4" ht="15.75" outlineLevel="1">
      <c r="A103" s="35" t="s">
        <v>964</v>
      </c>
      <c r="B103" s="36" t="s">
        <v>12</v>
      </c>
      <c r="C103" s="35">
        <v>5.69</v>
      </c>
      <c r="D103" s="107"/>
    </row>
    <row r="104" spans="1:4" ht="15.75" outlineLevel="1">
      <c r="A104" s="35" t="s">
        <v>964</v>
      </c>
      <c r="B104" s="36" t="s">
        <v>13</v>
      </c>
      <c r="C104" s="35">
        <v>5.75</v>
      </c>
      <c r="D104" s="107"/>
    </row>
    <row r="105" spans="1:4" ht="15.75" outlineLevel="1">
      <c r="A105" s="35" t="s">
        <v>964</v>
      </c>
      <c r="B105" s="36" t="s">
        <v>14</v>
      </c>
      <c r="C105" s="37">
        <v>5.7</v>
      </c>
      <c r="D105" s="107"/>
    </row>
    <row r="106" spans="1:4" ht="15.75" outlineLevel="1">
      <c r="A106" s="35" t="s">
        <v>964</v>
      </c>
      <c r="B106" s="36" t="s">
        <v>15</v>
      </c>
      <c r="C106" s="35">
        <v>5.74</v>
      </c>
      <c r="D106" s="107"/>
    </row>
    <row r="107" spans="1:4" ht="15.75" outlineLevel="1">
      <c r="A107" s="35" t="s">
        <v>964</v>
      </c>
      <c r="B107" s="36" t="s">
        <v>407</v>
      </c>
      <c r="C107" s="35">
        <v>5.76</v>
      </c>
      <c r="D107" s="107"/>
    </row>
    <row r="108" spans="1:4" ht="15.75" outlineLevel="1">
      <c r="A108" s="35" t="s">
        <v>964</v>
      </c>
      <c r="B108" s="36" t="s">
        <v>829</v>
      </c>
      <c r="C108" s="35">
        <v>5.89</v>
      </c>
      <c r="D108" s="106" t="s">
        <v>1109</v>
      </c>
    </row>
    <row r="109" spans="1:4" ht="15.75" outlineLevel="1">
      <c r="A109" s="35" t="s">
        <v>964</v>
      </c>
      <c r="B109" s="36" t="s">
        <v>17</v>
      </c>
      <c r="C109" s="35">
        <v>5.58</v>
      </c>
      <c r="D109" s="107"/>
    </row>
    <row r="110" spans="1:4" ht="15.75" outlineLevel="1">
      <c r="A110" s="35" t="s">
        <v>964</v>
      </c>
      <c r="B110" s="36" t="s">
        <v>16</v>
      </c>
      <c r="C110" s="35">
        <v>5.62</v>
      </c>
      <c r="D110" s="107"/>
    </row>
    <row r="111" spans="1:4" ht="15.75" outlineLevel="1">
      <c r="A111" s="35" t="s">
        <v>964</v>
      </c>
      <c r="B111" s="36" t="s">
        <v>18</v>
      </c>
      <c r="C111" s="35">
        <v>5.54</v>
      </c>
      <c r="D111" s="107"/>
    </row>
    <row r="112" spans="1:4" ht="15.75" outlineLevel="1">
      <c r="A112" s="35" t="s">
        <v>964</v>
      </c>
      <c r="B112" s="36" t="s">
        <v>19</v>
      </c>
      <c r="C112" s="35">
        <v>5.55</v>
      </c>
      <c r="D112" s="107"/>
    </row>
    <row r="113" spans="1:4" ht="15.75" outlineLevel="1">
      <c r="A113" s="35" t="s">
        <v>964</v>
      </c>
      <c r="B113" s="36" t="s">
        <v>21</v>
      </c>
      <c r="C113" s="35">
        <v>5.65</v>
      </c>
      <c r="D113" s="107"/>
    </row>
    <row r="114" spans="1:4" ht="15.75" outlineLevel="1">
      <c r="A114" s="35" t="s">
        <v>964</v>
      </c>
      <c r="B114" s="36" t="s">
        <v>160</v>
      </c>
      <c r="C114" s="35">
        <v>5.66</v>
      </c>
      <c r="D114" s="107"/>
    </row>
    <row r="115" spans="1:4" ht="15.75" outlineLevel="1">
      <c r="A115" s="35" t="s">
        <v>964</v>
      </c>
      <c r="B115" s="36" t="s">
        <v>22</v>
      </c>
      <c r="C115" s="35">
        <v>5.68</v>
      </c>
      <c r="D115" s="107"/>
    </row>
    <row r="116" spans="1:4" ht="15.75" outlineLevel="1">
      <c r="A116" s="35" t="s">
        <v>964</v>
      </c>
      <c r="B116" s="36" t="s">
        <v>23</v>
      </c>
      <c r="C116" s="35">
        <v>5.45</v>
      </c>
      <c r="D116" s="107"/>
    </row>
    <row r="117" spans="1:4" ht="15.75" outlineLevel="1">
      <c r="A117" s="35" t="s">
        <v>964</v>
      </c>
      <c r="B117" s="36" t="s">
        <v>24</v>
      </c>
      <c r="C117" s="35">
        <v>5.47</v>
      </c>
      <c r="D117" s="107"/>
    </row>
    <row r="118" spans="1:4" ht="15.75" outlineLevel="1">
      <c r="A118" s="35" t="s">
        <v>964</v>
      </c>
      <c r="B118" s="36" t="s">
        <v>25</v>
      </c>
      <c r="C118" s="35">
        <v>5.48</v>
      </c>
      <c r="D118" s="107"/>
    </row>
    <row r="119" spans="1:4" ht="15.75">
      <c r="A119" s="41" t="s">
        <v>964</v>
      </c>
      <c r="B119" s="36"/>
      <c r="C119" s="35"/>
      <c r="D119" s="107"/>
    </row>
    <row r="120" spans="1:4" ht="15.75" outlineLevel="1">
      <c r="A120" s="35" t="s">
        <v>1113</v>
      </c>
      <c r="B120" s="36" t="s">
        <v>0</v>
      </c>
      <c r="C120" s="35">
        <v>5.0999999999999996</v>
      </c>
      <c r="D120" s="107"/>
    </row>
    <row r="121" spans="1:4" ht="15.75" outlineLevel="1">
      <c r="A121" s="35" t="s">
        <v>1113</v>
      </c>
      <c r="B121" s="36" t="s">
        <v>1</v>
      </c>
      <c r="C121" s="35">
        <v>5.2</v>
      </c>
      <c r="D121" s="107"/>
    </row>
    <row r="122" spans="1:4" ht="15.75" outlineLevel="1">
      <c r="A122" s="35" t="s">
        <v>1113</v>
      </c>
      <c r="B122" s="36" t="s">
        <v>2</v>
      </c>
      <c r="C122" s="35">
        <v>5.3</v>
      </c>
      <c r="D122" s="107"/>
    </row>
    <row r="123" spans="1:4" ht="15.75" outlineLevel="1">
      <c r="A123" s="35" t="s">
        <v>1113</v>
      </c>
      <c r="B123" s="36" t="s">
        <v>141</v>
      </c>
      <c r="C123" s="35">
        <v>5.6</v>
      </c>
      <c r="D123" s="107"/>
    </row>
    <row r="124" spans="1:4" ht="15.75" outlineLevel="1">
      <c r="A124" s="35" t="s">
        <v>1113</v>
      </c>
      <c r="B124" s="36" t="s">
        <v>1111</v>
      </c>
      <c r="C124" s="37">
        <v>5.0999999999999996</v>
      </c>
      <c r="D124" s="107"/>
    </row>
    <row r="125" spans="1:4" ht="15.75" outlineLevel="1">
      <c r="A125" s="35" t="s">
        <v>1113</v>
      </c>
      <c r="B125" s="36" t="s">
        <v>1110</v>
      </c>
      <c r="C125" s="35">
        <v>5.14</v>
      </c>
      <c r="D125" s="107"/>
    </row>
    <row r="126" spans="1:4" ht="15.75" outlineLevel="1">
      <c r="A126" s="35" t="s">
        <v>1113</v>
      </c>
      <c r="B126" s="36" t="s">
        <v>4</v>
      </c>
      <c r="C126" s="35">
        <v>5.19</v>
      </c>
      <c r="D126" s="107"/>
    </row>
    <row r="127" spans="1:4" ht="15.75" outlineLevel="1">
      <c r="A127" s="35" t="s">
        <v>1113</v>
      </c>
      <c r="B127" s="36" t="s">
        <v>143</v>
      </c>
      <c r="C127" s="35">
        <v>5.24</v>
      </c>
      <c r="D127" s="107"/>
    </row>
    <row r="128" spans="1:4" ht="15.75" outlineLevel="1">
      <c r="A128" s="35" t="s">
        <v>1113</v>
      </c>
      <c r="B128" s="36" t="s">
        <v>5</v>
      </c>
      <c r="C128" s="35">
        <v>5.26</v>
      </c>
      <c r="D128" s="107"/>
    </row>
    <row r="129" spans="1:4" ht="15.75" outlineLevel="1">
      <c r="A129" s="35" t="s">
        <v>1113</v>
      </c>
      <c r="B129" s="36" t="s">
        <v>6</v>
      </c>
      <c r="C129" s="35">
        <v>5.27</v>
      </c>
      <c r="D129" s="107"/>
    </row>
    <row r="130" spans="1:4" ht="15.75" outlineLevel="1">
      <c r="A130" s="35" t="s">
        <v>1113</v>
      </c>
      <c r="B130" s="36" t="s">
        <v>7</v>
      </c>
      <c r="C130" s="35">
        <v>5.28</v>
      </c>
      <c r="D130" s="107"/>
    </row>
    <row r="131" spans="1:4" ht="15.75" outlineLevel="1">
      <c r="A131" s="35" t="s">
        <v>1113</v>
      </c>
      <c r="B131" s="36" t="s">
        <v>323</v>
      </c>
      <c r="C131" s="35">
        <v>5.29</v>
      </c>
      <c r="D131" s="107"/>
    </row>
    <row r="132" spans="1:4" ht="15.75" outlineLevel="1">
      <c r="A132" s="35" t="s">
        <v>1113</v>
      </c>
      <c r="B132" s="36" t="s">
        <v>8</v>
      </c>
      <c r="C132" s="37">
        <v>5.3</v>
      </c>
      <c r="D132" s="107"/>
    </row>
    <row r="133" spans="1:4" ht="15.75" outlineLevel="1">
      <c r="A133" s="35" t="s">
        <v>1113</v>
      </c>
      <c r="B133" s="36" t="s">
        <v>144</v>
      </c>
      <c r="C133" s="35">
        <v>5.31</v>
      </c>
      <c r="D133" s="107"/>
    </row>
    <row r="134" spans="1:4" ht="15.75" outlineLevel="1">
      <c r="A134" s="35" t="s">
        <v>1113</v>
      </c>
      <c r="B134" s="36" t="s">
        <v>120</v>
      </c>
      <c r="C134" s="35">
        <v>5.36</v>
      </c>
      <c r="D134" s="107"/>
    </row>
    <row r="135" spans="1:4" ht="15.75" outlineLevel="1">
      <c r="A135" s="35" t="s">
        <v>1113</v>
      </c>
      <c r="B135" s="36" t="s">
        <v>11</v>
      </c>
      <c r="C135" s="35">
        <v>5.53</v>
      </c>
      <c r="D135" s="107"/>
    </row>
    <row r="136" spans="1:4" ht="15.75" outlineLevel="1">
      <c r="A136" s="35" t="s">
        <v>1113</v>
      </c>
      <c r="B136" s="36" t="s">
        <v>17</v>
      </c>
      <c r="C136" s="35">
        <v>5.58</v>
      </c>
      <c r="D136" s="107"/>
    </row>
    <row r="137" spans="1:4" ht="15.75" outlineLevel="1">
      <c r="A137" s="35" t="s">
        <v>1113</v>
      </c>
      <c r="B137" s="36" t="s">
        <v>16</v>
      </c>
      <c r="C137" s="35">
        <v>5.62</v>
      </c>
      <c r="D137" s="107"/>
    </row>
    <row r="138" spans="1:4" ht="15.75" outlineLevel="1">
      <c r="A138" s="35" t="s">
        <v>1113</v>
      </c>
      <c r="B138" s="36" t="s">
        <v>18</v>
      </c>
      <c r="C138" s="35">
        <v>5.54</v>
      </c>
      <c r="D138" s="107"/>
    </row>
    <row r="139" spans="1:4" ht="15.75" outlineLevel="1">
      <c r="A139" s="35" t="s">
        <v>1113</v>
      </c>
      <c r="B139" s="36" t="s">
        <v>19</v>
      </c>
      <c r="C139" s="35">
        <v>5.55</v>
      </c>
      <c r="D139" s="107"/>
    </row>
    <row r="140" spans="1:4" ht="15.75" outlineLevel="1">
      <c r="A140" s="35" t="s">
        <v>1113</v>
      </c>
      <c r="B140" s="36" t="s">
        <v>20</v>
      </c>
      <c r="C140" s="35">
        <v>5.63</v>
      </c>
      <c r="D140" s="107"/>
    </row>
    <row r="141" spans="1:4" ht="15.75" outlineLevel="1">
      <c r="A141" s="35" t="s">
        <v>1113</v>
      </c>
      <c r="B141" s="36" t="s">
        <v>23</v>
      </c>
      <c r="C141" s="35">
        <v>5.45</v>
      </c>
      <c r="D141" s="107"/>
    </row>
    <row r="142" spans="1:4" ht="15.75" outlineLevel="1">
      <c r="A142" s="35" t="s">
        <v>1113</v>
      </c>
      <c r="B142" s="36" t="s">
        <v>24</v>
      </c>
      <c r="C142" s="35">
        <v>5.47</v>
      </c>
      <c r="D142" s="107"/>
    </row>
    <row r="143" spans="1:4" ht="15.75" outlineLevel="1">
      <c r="A143" s="35" t="s">
        <v>1113</v>
      </c>
      <c r="B143" s="36" t="s">
        <v>25</v>
      </c>
      <c r="C143" s="35">
        <v>5.48</v>
      </c>
      <c r="D143" s="107"/>
    </row>
    <row r="144" spans="1:4" ht="15.75">
      <c r="A144" s="41" t="s">
        <v>1113</v>
      </c>
      <c r="B144" s="36"/>
      <c r="C144" s="35"/>
      <c r="D144" s="107"/>
    </row>
    <row r="145" spans="1:4" ht="15.75" outlineLevel="1">
      <c r="A145" s="35" t="s">
        <v>469</v>
      </c>
      <c r="B145" s="36" t="s">
        <v>0</v>
      </c>
      <c r="C145" s="35">
        <v>5.0999999999999996</v>
      </c>
      <c r="D145" s="107"/>
    </row>
    <row r="146" spans="1:4" ht="15.75" outlineLevel="1">
      <c r="A146" s="35" t="s">
        <v>469</v>
      </c>
      <c r="B146" s="36" t="s">
        <v>1</v>
      </c>
      <c r="C146" s="35">
        <v>5.2</v>
      </c>
      <c r="D146" s="107"/>
    </row>
    <row r="147" spans="1:4" ht="15.75" outlineLevel="1">
      <c r="A147" s="35" t="s">
        <v>469</v>
      </c>
      <c r="B147" s="36" t="s">
        <v>2</v>
      </c>
      <c r="C147" s="35">
        <v>5.3</v>
      </c>
      <c r="D147" s="107"/>
    </row>
    <row r="148" spans="1:4" ht="15.75" outlineLevel="1">
      <c r="A148" s="35" t="s">
        <v>469</v>
      </c>
      <c r="B148" s="36" t="s">
        <v>141</v>
      </c>
      <c r="C148" s="35">
        <v>5.6</v>
      </c>
      <c r="D148" s="107"/>
    </row>
    <row r="149" spans="1:4" ht="15.75" outlineLevel="1">
      <c r="A149" s="35" t="s">
        <v>469</v>
      </c>
      <c r="B149" s="36" t="s">
        <v>1111</v>
      </c>
      <c r="C149" s="37">
        <v>5.0999999999999996</v>
      </c>
      <c r="D149" s="107"/>
    </row>
    <row r="150" spans="1:4" ht="15.75" outlineLevel="1">
      <c r="A150" s="35" t="s">
        <v>469</v>
      </c>
      <c r="B150" s="36" t="s">
        <v>1110</v>
      </c>
      <c r="C150" s="35">
        <v>5.14</v>
      </c>
      <c r="D150" s="107"/>
    </row>
    <row r="151" spans="1:4" ht="15.75" outlineLevel="1">
      <c r="A151" s="35" t="s">
        <v>469</v>
      </c>
      <c r="B151" s="36" t="s">
        <v>4</v>
      </c>
      <c r="C151" s="35">
        <v>5.19</v>
      </c>
      <c r="D151" s="107"/>
    </row>
    <row r="152" spans="1:4" ht="15.75" outlineLevel="1">
      <c r="A152" s="35" t="s">
        <v>469</v>
      </c>
      <c r="B152" s="36" t="s">
        <v>143</v>
      </c>
      <c r="C152" s="35">
        <v>5.24</v>
      </c>
      <c r="D152" s="107"/>
    </row>
    <row r="153" spans="1:4" ht="15.75" outlineLevel="1">
      <c r="A153" s="35" t="s">
        <v>469</v>
      </c>
      <c r="B153" s="36" t="s">
        <v>5</v>
      </c>
      <c r="C153" s="35">
        <v>5.26</v>
      </c>
      <c r="D153" s="107"/>
    </row>
    <row r="154" spans="1:4" ht="15.75" outlineLevel="1">
      <c r="A154" s="35" t="s">
        <v>469</v>
      </c>
      <c r="B154" s="36" t="s">
        <v>6</v>
      </c>
      <c r="C154" s="35">
        <v>5.27</v>
      </c>
      <c r="D154" s="107"/>
    </row>
    <row r="155" spans="1:4" ht="15.75" outlineLevel="1">
      <c r="A155" s="35" t="s">
        <v>469</v>
      </c>
      <c r="B155" s="36" t="s">
        <v>7</v>
      </c>
      <c r="C155" s="35">
        <v>5.28</v>
      </c>
      <c r="D155" s="107"/>
    </row>
    <row r="156" spans="1:4" ht="15.75" outlineLevel="1">
      <c r="A156" s="35" t="s">
        <v>469</v>
      </c>
      <c r="B156" s="36" t="s">
        <v>8</v>
      </c>
      <c r="C156" s="37">
        <v>5.3</v>
      </c>
      <c r="D156" s="107"/>
    </row>
    <row r="157" spans="1:4" ht="15.75" outlineLevel="1">
      <c r="A157" s="35" t="s">
        <v>469</v>
      </c>
      <c r="B157" s="36" t="s">
        <v>567</v>
      </c>
      <c r="C157" s="35">
        <v>5.32</v>
      </c>
      <c r="D157" s="107"/>
    </row>
    <row r="158" spans="1:4" ht="15.75" outlineLevel="1">
      <c r="A158" s="35" t="s">
        <v>469</v>
      </c>
      <c r="B158" s="36" t="s">
        <v>120</v>
      </c>
      <c r="C158" s="35">
        <v>5.36</v>
      </c>
      <c r="D158" s="107"/>
    </row>
    <row r="159" spans="1:4" ht="15.75" outlineLevel="1">
      <c r="A159" s="35" t="s">
        <v>469</v>
      </c>
      <c r="B159" s="36" t="s">
        <v>11</v>
      </c>
      <c r="C159" s="35">
        <v>5.53</v>
      </c>
      <c r="D159" s="107"/>
    </row>
    <row r="160" spans="1:4" ht="15.75" outlineLevel="1">
      <c r="A160" s="35" t="s">
        <v>469</v>
      </c>
      <c r="B160" s="36" t="s">
        <v>17</v>
      </c>
      <c r="C160" s="35">
        <v>5.58</v>
      </c>
      <c r="D160" s="107"/>
    </row>
    <row r="161" spans="1:5" ht="15.75" outlineLevel="1">
      <c r="A161" s="35" t="s">
        <v>469</v>
      </c>
      <c r="B161" s="36" t="s">
        <v>18</v>
      </c>
      <c r="C161" s="35">
        <v>5.54</v>
      </c>
      <c r="D161" s="107"/>
    </row>
    <row r="162" spans="1:5" ht="15.75" outlineLevel="1">
      <c r="A162" s="35" t="s">
        <v>469</v>
      </c>
      <c r="B162" s="36" t="s">
        <v>19</v>
      </c>
      <c r="C162" s="35">
        <v>5.55</v>
      </c>
      <c r="D162" s="107"/>
    </row>
    <row r="163" spans="1:5" ht="15.75" outlineLevel="1">
      <c r="A163" s="35" t="s">
        <v>469</v>
      </c>
      <c r="B163" s="36" t="s">
        <v>16</v>
      </c>
      <c r="C163" s="35">
        <v>5.62</v>
      </c>
      <c r="D163" s="107"/>
      <c r="E163" t="s">
        <v>1114</v>
      </c>
    </row>
    <row r="164" spans="1:5" ht="15.75" outlineLevel="1">
      <c r="A164" s="35" t="s">
        <v>469</v>
      </c>
      <c r="B164" s="36" t="s">
        <v>20</v>
      </c>
      <c r="C164" s="35">
        <v>5.63</v>
      </c>
      <c r="D164" s="107"/>
    </row>
    <row r="165" spans="1:5" ht="15.75" outlineLevel="1">
      <c r="A165" s="35" t="s">
        <v>469</v>
      </c>
      <c r="B165" s="36" t="s">
        <v>23</v>
      </c>
      <c r="C165" s="35">
        <v>5.45</v>
      </c>
      <c r="D165" s="107"/>
    </row>
    <row r="166" spans="1:5" ht="15.75" outlineLevel="1">
      <c r="A166" s="35" t="s">
        <v>469</v>
      </c>
      <c r="B166" s="36" t="s">
        <v>24</v>
      </c>
      <c r="C166" s="35">
        <v>5.47</v>
      </c>
      <c r="D166" s="107"/>
    </row>
    <row r="167" spans="1:5" ht="15.75" outlineLevel="1">
      <c r="A167" s="35" t="s">
        <v>469</v>
      </c>
      <c r="B167" s="36" t="s">
        <v>25</v>
      </c>
      <c r="C167" s="35">
        <v>5.48</v>
      </c>
      <c r="D167" s="107"/>
    </row>
    <row r="168" spans="1:5" ht="15.75">
      <c r="A168" s="41" t="s">
        <v>469</v>
      </c>
      <c r="B168" s="36"/>
      <c r="C168" s="35"/>
      <c r="D168" s="107"/>
    </row>
    <row r="169" spans="1:5" ht="15.75" outlineLevel="1">
      <c r="A169" s="35" t="s">
        <v>984</v>
      </c>
      <c r="B169" s="36" t="s">
        <v>0</v>
      </c>
      <c r="C169" s="35">
        <v>5.0999999999999996</v>
      </c>
      <c r="D169" s="107"/>
    </row>
    <row r="170" spans="1:5" ht="15.75" outlineLevel="1">
      <c r="A170" s="35" t="s">
        <v>984</v>
      </c>
      <c r="B170" s="36" t="s">
        <v>1</v>
      </c>
      <c r="C170" s="35">
        <v>5.2</v>
      </c>
      <c r="D170" s="107"/>
    </row>
    <row r="171" spans="1:5" ht="15.75" outlineLevel="1">
      <c r="A171" s="35" t="s">
        <v>984</v>
      </c>
      <c r="B171" s="36" t="s">
        <v>2</v>
      </c>
      <c r="C171" s="35">
        <v>5.3</v>
      </c>
      <c r="D171" s="107"/>
    </row>
    <row r="172" spans="1:5" ht="15.75" outlineLevel="1">
      <c r="A172" s="35" t="s">
        <v>984</v>
      </c>
      <c r="B172" s="36" t="s">
        <v>141</v>
      </c>
      <c r="C172" s="35">
        <v>5.6</v>
      </c>
      <c r="D172" s="107"/>
    </row>
    <row r="173" spans="1:5" ht="15.75" outlineLevel="1">
      <c r="A173" s="35" t="s">
        <v>984</v>
      </c>
      <c r="B173" s="36" t="s">
        <v>1111</v>
      </c>
      <c r="C173" s="37">
        <v>5.0999999999999996</v>
      </c>
      <c r="D173" s="107"/>
    </row>
    <row r="174" spans="1:5" ht="15.75" outlineLevel="1">
      <c r="A174" s="35" t="s">
        <v>984</v>
      </c>
      <c r="B174" s="36" t="s">
        <v>1110</v>
      </c>
      <c r="C174" s="35">
        <v>5.14</v>
      </c>
      <c r="D174" s="107"/>
    </row>
    <row r="175" spans="1:5" ht="15.75" outlineLevel="1">
      <c r="A175" s="35" t="s">
        <v>984</v>
      </c>
      <c r="B175" s="36" t="s">
        <v>4</v>
      </c>
      <c r="C175" s="35">
        <v>5.19</v>
      </c>
      <c r="D175" s="107"/>
    </row>
    <row r="176" spans="1:5" ht="15.75" outlineLevel="1">
      <c r="A176" s="35" t="s">
        <v>984</v>
      </c>
      <c r="B176" s="36" t="s">
        <v>143</v>
      </c>
      <c r="C176" s="35">
        <v>5.24</v>
      </c>
      <c r="D176" s="107"/>
    </row>
    <row r="177" spans="1:4" ht="15.75" outlineLevel="1">
      <c r="A177" s="35" t="s">
        <v>984</v>
      </c>
      <c r="B177" s="36" t="s">
        <v>5</v>
      </c>
      <c r="C177" s="35">
        <v>5.26</v>
      </c>
      <c r="D177" s="107"/>
    </row>
    <row r="178" spans="1:4" ht="15.75" outlineLevel="1">
      <c r="A178" s="35" t="s">
        <v>984</v>
      </c>
      <c r="B178" s="36" t="s">
        <v>6</v>
      </c>
      <c r="C178" s="35">
        <v>5.27</v>
      </c>
      <c r="D178" s="107"/>
    </row>
    <row r="179" spans="1:4" ht="15.75" outlineLevel="1">
      <c r="A179" s="35" t="s">
        <v>984</v>
      </c>
      <c r="B179" s="36" t="s">
        <v>7</v>
      </c>
      <c r="C179" s="35">
        <v>5.28</v>
      </c>
      <c r="D179" s="107"/>
    </row>
    <row r="180" spans="1:4" ht="15.75" outlineLevel="1">
      <c r="A180" s="35" t="s">
        <v>984</v>
      </c>
      <c r="B180" s="36" t="s">
        <v>323</v>
      </c>
      <c r="C180" s="35">
        <v>5.29</v>
      </c>
      <c r="D180" s="107"/>
    </row>
    <row r="181" spans="1:4" ht="15.75" outlineLevel="1">
      <c r="A181" s="35" t="s">
        <v>984</v>
      </c>
      <c r="B181" s="36" t="s">
        <v>8</v>
      </c>
      <c r="C181" s="37">
        <v>5.3</v>
      </c>
      <c r="D181" s="107"/>
    </row>
    <row r="182" spans="1:4" ht="15.75" outlineLevel="1">
      <c r="A182" s="35" t="s">
        <v>984</v>
      </c>
      <c r="B182" s="36" t="s">
        <v>567</v>
      </c>
      <c r="C182" s="35">
        <v>5.32</v>
      </c>
      <c r="D182" s="107"/>
    </row>
    <row r="183" spans="1:4" ht="15.75" outlineLevel="1">
      <c r="A183" s="35" t="s">
        <v>984</v>
      </c>
      <c r="B183" s="36" t="s">
        <v>120</v>
      </c>
      <c r="C183" s="35">
        <v>5.36</v>
      </c>
      <c r="D183" s="107"/>
    </row>
    <row r="184" spans="1:4" ht="15.75" outlineLevel="1">
      <c r="A184" s="35" t="s">
        <v>984</v>
      </c>
      <c r="B184" s="36" t="s">
        <v>11</v>
      </c>
      <c r="C184" s="35">
        <v>5.53</v>
      </c>
      <c r="D184" s="107"/>
    </row>
    <row r="185" spans="1:4" ht="15.75" outlineLevel="1">
      <c r="A185" s="35" t="s">
        <v>984</v>
      </c>
      <c r="B185" s="36" t="s">
        <v>17</v>
      </c>
      <c r="C185" s="35">
        <v>5.58</v>
      </c>
      <c r="D185" s="107"/>
    </row>
    <row r="186" spans="1:4" ht="15.75" outlineLevel="1">
      <c r="A186" s="35" t="s">
        <v>984</v>
      </c>
      <c r="B186" s="36" t="s">
        <v>18</v>
      </c>
      <c r="C186" s="35">
        <v>5.54</v>
      </c>
      <c r="D186" s="107"/>
    </row>
    <row r="187" spans="1:4" ht="15.75" outlineLevel="1">
      <c r="A187" s="35" t="s">
        <v>984</v>
      </c>
      <c r="B187" s="36" t="s">
        <v>19</v>
      </c>
      <c r="C187" s="35">
        <v>5.55</v>
      </c>
      <c r="D187" s="107"/>
    </row>
    <row r="188" spans="1:4" ht="15.75" outlineLevel="1">
      <c r="A188" s="35" t="s">
        <v>984</v>
      </c>
      <c r="B188" s="36" t="s">
        <v>20</v>
      </c>
      <c r="C188" s="35">
        <v>5.63</v>
      </c>
      <c r="D188" s="107"/>
    </row>
    <row r="189" spans="1:4" ht="15.75" outlineLevel="1">
      <c r="A189" s="35" t="s">
        <v>984</v>
      </c>
      <c r="B189" s="36" t="s">
        <v>23</v>
      </c>
      <c r="C189" s="35">
        <v>5.45</v>
      </c>
      <c r="D189" s="107"/>
    </row>
    <row r="190" spans="1:4" ht="15.75" outlineLevel="1">
      <c r="A190" s="35" t="s">
        <v>984</v>
      </c>
      <c r="B190" s="36" t="s">
        <v>24</v>
      </c>
      <c r="C190" s="35">
        <v>5.47</v>
      </c>
      <c r="D190" s="107"/>
    </row>
    <row r="191" spans="1:4" ht="15.75" outlineLevel="1">
      <c r="A191" s="35" t="s">
        <v>984</v>
      </c>
      <c r="B191" s="36" t="s">
        <v>25</v>
      </c>
      <c r="C191" s="35">
        <v>5.48</v>
      </c>
      <c r="D191" s="107"/>
    </row>
    <row r="192" spans="1:4" ht="15.75">
      <c r="A192" s="41" t="s">
        <v>984</v>
      </c>
      <c r="B192" s="36"/>
      <c r="C192" s="35"/>
      <c r="D192" s="107"/>
    </row>
    <row r="193" spans="1:4" ht="15.75" outlineLevel="1">
      <c r="A193" s="35" t="s">
        <v>1115</v>
      </c>
      <c r="B193" s="36" t="s">
        <v>0</v>
      </c>
      <c r="C193" s="35">
        <v>5.0999999999999996</v>
      </c>
      <c r="D193" s="107"/>
    </row>
    <row r="194" spans="1:4" ht="15.75" outlineLevel="1">
      <c r="A194" s="35" t="s">
        <v>1115</v>
      </c>
      <c r="B194" s="36" t="s">
        <v>1</v>
      </c>
      <c r="C194" s="35">
        <v>5.2</v>
      </c>
      <c r="D194" s="107"/>
    </row>
    <row r="195" spans="1:4" ht="15.75" outlineLevel="1">
      <c r="A195" s="35" t="s">
        <v>1115</v>
      </c>
      <c r="B195" s="36" t="s">
        <v>2</v>
      </c>
      <c r="C195" s="35">
        <v>5.3</v>
      </c>
      <c r="D195" s="107"/>
    </row>
    <row r="196" spans="1:4" ht="15.75" outlineLevel="1">
      <c r="A196" s="35" t="s">
        <v>1115</v>
      </c>
      <c r="B196" s="36" t="s">
        <v>141</v>
      </c>
      <c r="C196" s="35">
        <v>5.6</v>
      </c>
      <c r="D196" s="107"/>
    </row>
    <row r="197" spans="1:4" ht="15.75" outlineLevel="1">
      <c r="A197" s="35" t="s">
        <v>1115</v>
      </c>
      <c r="B197" s="36" t="s">
        <v>1111</v>
      </c>
      <c r="C197" s="37">
        <v>5.0999999999999996</v>
      </c>
      <c r="D197" s="107"/>
    </row>
    <row r="198" spans="1:4" ht="15.75" outlineLevel="1">
      <c r="A198" s="35" t="s">
        <v>1115</v>
      </c>
      <c r="B198" s="36" t="s">
        <v>1110</v>
      </c>
      <c r="C198" s="35">
        <v>5.14</v>
      </c>
      <c r="D198" s="107"/>
    </row>
    <row r="199" spans="1:4" ht="15.75" outlineLevel="1">
      <c r="A199" s="35" t="s">
        <v>1115</v>
      </c>
      <c r="B199" s="36" t="s">
        <v>4</v>
      </c>
      <c r="C199" s="35">
        <v>5.19</v>
      </c>
      <c r="D199" s="107"/>
    </row>
    <row r="200" spans="1:4" ht="15.75" outlineLevel="1">
      <c r="A200" s="35" t="s">
        <v>1115</v>
      </c>
      <c r="B200" s="36" t="s">
        <v>143</v>
      </c>
      <c r="C200" s="35">
        <v>5.24</v>
      </c>
      <c r="D200" s="107"/>
    </row>
    <row r="201" spans="1:4" ht="15.75" outlineLevel="1">
      <c r="A201" s="35" t="s">
        <v>1115</v>
      </c>
      <c r="B201" s="36" t="s">
        <v>6</v>
      </c>
      <c r="C201" s="35">
        <v>5.27</v>
      </c>
      <c r="D201" s="107"/>
    </row>
    <row r="202" spans="1:4" ht="15.75" outlineLevel="1">
      <c r="A202" s="35" t="s">
        <v>1115</v>
      </c>
      <c r="B202" s="36" t="s">
        <v>7</v>
      </c>
      <c r="C202" s="35">
        <v>5.28</v>
      </c>
      <c r="D202" s="107"/>
    </row>
    <row r="203" spans="1:4" ht="15.75" outlineLevel="1">
      <c r="A203" s="35" t="s">
        <v>1115</v>
      </c>
      <c r="B203" s="36" t="s">
        <v>323</v>
      </c>
      <c r="C203" s="35">
        <v>5.29</v>
      </c>
      <c r="D203" s="107"/>
    </row>
    <row r="204" spans="1:4" ht="15.75" outlineLevel="1">
      <c r="A204" s="35" t="s">
        <v>1115</v>
      </c>
      <c r="B204" s="36" t="s">
        <v>8</v>
      </c>
      <c r="C204" s="37">
        <v>5.3</v>
      </c>
      <c r="D204" s="107"/>
    </row>
    <row r="205" spans="1:4" ht="15.75" outlineLevel="1">
      <c r="A205" s="35" t="s">
        <v>1115</v>
      </c>
      <c r="B205" s="36" t="s">
        <v>1116</v>
      </c>
      <c r="C205" s="35">
        <v>5.34</v>
      </c>
      <c r="D205" s="107"/>
    </row>
    <row r="206" spans="1:4" ht="15.75" outlineLevel="1">
      <c r="A206" s="35" t="s">
        <v>1115</v>
      </c>
      <c r="B206" s="36" t="s">
        <v>144</v>
      </c>
      <c r="C206" s="35">
        <v>5.31</v>
      </c>
      <c r="D206" s="107"/>
    </row>
    <row r="207" spans="1:4" ht="15.75" outlineLevel="1">
      <c r="A207" s="35" t="s">
        <v>1115</v>
      </c>
      <c r="B207" s="36" t="s">
        <v>1117</v>
      </c>
      <c r="C207" s="35">
        <v>5.101</v>
      </c>
      <c r="D207" s="107"/>
    </row>
    <row r="208" spans="1:4" ht="15.75" outlineLevel="1">
      <c r="A208" s="35" t="s">
        <v>1115</v>
      </c>
      <c r="B208" s="36" t="s">
        <v>120</v>
      </c>
      <c r="C208" s="35">
        <v>5.36</v>
      </c>
      <c r="D208" s="107"/>
    </row>
    <row r="209" spans="1:4" ht="15.75" outlineLevel="1">
      <c r="A209" s="35" t="s">
        <v>1115</v>
      </c>
      <c r="B209" s="36" t="s">
        <v>11</v>
      </c>
      <c r="C209" s="35">
        <v>5.53</v>
      </c>
      <c r="D209" s="107"/>
    </row>
    <row r="210" spans="1:4" ht="15.75" outlineLevel="1">
      <c r="A210" s="35" t="s">
        <v>1115</v>
      </c>
      <c r="B210" s="36" t="s">
        <v>1118</v>
      </c>
      <c r="C210" s="35">
        <v>5.1020000000000003</v>
      </c>
      <c r="D210" s="107"/>
    </row>
    <row r="211" spans="1:4" ht="15.75" outlineLevel="1">
      <c r="A211" s="35" t="s">
        <v>1115</v>
      </c>
      <c r="B211" s="36" t="s">
        <v>1119</v>
      </c>
      <c r="C211" s="38">
        <v>5.0999999999999996</v>
      </c>
      <c r="D211" s="107"/>
    </row>
    <row r="212" spans="1:4" ht="15.75" outlineLevel="1">
      <c r="A212" s="35" t="s">
        <v>1115</v>
      </c>
      <c r="B212" s="36" t="s">
        <v>17</v>
      </c>
      <c r="C212" s="35">
        <v>5.58</v>
      </c>
      <c r="D212" s="107"/>
    </row>
    <row r="213" spans="1:4" ht="15.75" outlineLevel="1">
      <c r="A213" s="35" t="s">
        <v>1115</v>
      </c>
      <c r="B213" s="36" t="s">
        <v>18</v>
      </c>
      <c r="C213" s="35">
        <v>5.54</v>
      </c>
      <c r="D213" s="107"/>
    </row>
    <row r="214" spans="1:4" ht="15.75" outlineLevel="1">
      <c r="A214" s="35" t="s">
        <v>1115</v>
      </c>
      <c r="B214" s="36" t="s">
        <v>19</v>
      </c>
      <c r="C214" s="35">
        <v>5.55</v>
      </c>
      <c r="D214" s="107"/>
    </row>
    <row r="215" spans="1:4" ht="15.75" outlineLevel="1">
      <c r="A215" s="35" t="s">
        <v>1115</v>
      </c>
      <c r="B215" s="36" t="s">
        <v>20</v>
      </c>
      <c r="C215" s="35">
        <v>5.63</v>
      </c>
      <c r="D215" s="107"/>
    </row>
    <row r="216" spans="1:4" ht="15.75" outlineLevel="1">
      <c r="A216" s="35" t="s">
        <v>1115</v>
      </c>
      <c r="B216" s="36" t="s">
        <v>24</v>
      </c>
      <c r="C216" s="35">
        <v>5.47</v>
      </c>
      <c r="D216" s="107"/>
    </row>
    <row r="217" spans="1:4" ht="15.75" outlineLevel="1">
      <c r="A217" s="35" t="s">
        <v>1115</v>
      </c>
      <c r="B217" s="36" t="s">
        <v>25</v>
      </c>
      <c r="C217" s="35">
        <v>5.48</v>
      </c>
      <c r="D217" s="107"/>
    </row>
    <row r="218" spans="1:4" ht="15.75">
      <c r="A218" s="41" t="s">
        <v>1115</v>
      </c>
      <c r="B218" s="36"/>
      <c r="C218" s="35"/>
      <c r="D218" s="107"/>
    </row>
    <row r="219" spans="1:4" ht="15.75" outlineLevel="1">
      <c r="A219" s="35" t="s">
        <v>987</v>
      </c>
      <c r="B219" s="36" t="s">
        <v>0</v>
      </c>
      <c r="C219" s="35">
        <v>5.0999999999999996</v>
      </c>
      <c r="D219" s="107"/>
    </row>
    <row r="220" spans="1:4" ht="15.75" outlineLevel="1">
      <c r="A220" s="35" t="s">
        <v>987</v>
      </c>
      <c r="B220" s="36" t="s">
        <v>1</v>
      </c>
      <c r="C220" s="35">
        <v>5.2</v>
      </c>
      <c r="D220" s="107"/>
    </row>
    <row r="221" spans="1:4" ht="15.75" outlineLevel="1">
      <c r="A221" s="35" t="s">
        <v>987</v>
      </c>
      <c r="B221" s="36" t="s">
        <v>2</v>
      </c>
      <c r="C221" s="35">
        <v>5.3</v>
      </c>
      <c r="D221" s="107"/>
    </row>
    <row r="222" spans="1:4" ht="15.75" outlineLevel="1">
      <c r="A222" s="35" t="s">
        <v>987</v>
      </c>
      <c r="B222" s="36" t="s">
        <v>141</v>
      </c>
      <c r="C222" s="35">
        <v>5.6</v>
      </c>
      <c r="D222" s="107"/>
    </row>
    <row r="223" spans="1:4" ht="15.75" outlineLevel="1">
      <c r="A223" s="35" t="s">
        <v>987</v>
      </c>
      <c r="B223" s="36" t="s">
        <v>1111</v>
      </c>
      <c r="C223" s="37">
        <v>5.0999999999999996</v>
      </c>
      <c r="D223" s="107"/>
    </row>
    <row r="224" spans="1:4" ht="15.75" outlineLevel="1">
      <c r="A224" s="35" t="s">
        <v>987</v>
      </c>
      <c r="B224" s="36" t="s">
        <v>1110</v>
      </c>
      <c r="C224" s="35">
        <v>5.14</v>
      </c>
      <c r="D224" s="107"/>
    </row>
    <row r="225" spans="1:4" ht="15.75" outlineLevel="1">
      <c r="A225" s="35" t="s">
        <v>987</v>
      </c>
      <c r="B225" s="36" t="s">
        <v>4</v>
      </c>
      <c r="C225" s="35">
        <v>5.19</v>
      </c>
      <c r="D225" s="107"/>
    </row>
    <row r="226" spans="1:4" ht="15.75" outlineLevel="1">
      <c r="A226" s="35" t="s">
        <v>987</v>
      </c>
      <c r="B226" s="36" t="s">
        <v>143</v>
      </c>
      <c r="C226" s="35">
        <v>5.24</v>
      </c>
      <c r="D226" s="107"/>
    </row>
    <row r="227" spans="1:4" ht="15.75" outlineLevel="1">
      <c r="A227" s="35" t="s">
        <v>987</v>
      </c>
      <c r="B227" s="36" t="s">
        <v>5</v>
      </c>
      <c r="C227" s="35">
        <v>5.26</v>
      </c>
      <c r="D227" s="107"/>
    </row>
    <row r="228" spans="1:4" ht="15.75" outlineLevel="1">
      <c r="A228" s="35" t="s">
        <v>987</v>
      </c>
      <c r="B228" s="36" t="s">
        <v>6</v>
      </c>
      <c r="C228" s="35">
        <v>5.27</v>
      </c>
      <c r="D228" s="107"/>
    </row>
    <row r="229" spans="1:4" ht="15.75" outlineLevel="1">
      <c r="A229" s="35" t="s">
        <v>987</v>
      </c>
      <c r="B229" s="36" t="s">
        <v>7</v>
      </c>
      <c r="C229" s="35">
        <v>5.28</v>
      </c>
      <c r="D229" s="107"/>
    </row>
    <row r="230" spans="1:4" ht="15.75" outlineLevel="1">
      <c r="A230" s="35" t="s">
        <v>987</v>
      </c>
      <c r="B230" s="36" t="s">
        <v>323</v>
      </c>
      <c r="C230" s="35">
        <v>5.29</v>
      </c>
      <c r="D230" s="107"/>
    </row>
    <row r="231" spans="1:4" ht="15.75" outlineLevel="1">
      <c r="A231" s="35" t="s">
        <v>987</v>
      </c>
      <c r="B231" s="36" t="s">
        <v>8</v>
      </c>
      <c r="C231" s="37">
        <v>5.3</v>
      </c>
      <c r="D231" s="107"/>
    </row>
    <row r="232" spans="1:4" ht="15.75" outlineLevel="1">
      <c r="A232" s="35" t="s">
        <v>987</v>
      </c>
      <c r="B232" s="36" t="s">
        <v>144</v>
      </c>
      <c r="C232" s="35">
        <v>5.31</v>
      </c>
      <c r="D232" s="107"/>
    </row>
    <row r="233" spans="1:4" ht="15.75" outlineLevel="1">
      <c r="A233" s="35" t="s">
        <v>987</v>
      </c>
      <c r="B233" s="36" t="s">
        <v>171</v>
      </c>
      <c r="C233" s="35">
        <v>5.33</v>
      </c>
      <c r="D233" s="107"/>
    </row>
    <row r="234" spans="1:4" ht="15.75" outlineLevel="1">
      <c r="A234" s="35" t="s">
        <v>987</v>
      </c>
      <c r="B234" s="36" t="s">
        <v>1117</v>
      </c>
      <c r="C234" s="35">
        <v>5.101</v>
      </c>
      <c r="D234" s="107"/>
    </row>
    <row r="235" spans="1:4" ht="15.75" outlineLevel="1">
      <c r="A235" s="35" t="s">
        <v>987</v>
      </c>
      <c r="B235" s="36" t="s">
        <v>120</v>
      </c>
      <c r="C235" s="35">
        <v>5.36</v>
      </c>
      <c r="D235" s="107"/>
    </row>
    <row r="236" spans="1:4" ht="15.75" outlineLevel="1">
      <c r="A236" s="35" t="s">
        <v>987</v>
      </c>
      <c r="B236" s="36" t="s">
        <v>11</v>
      </c>
      <c r="C236" s="35">
        <v>5.53</v>
      </c>
      <c r="D236" s="107"/>
    </row>
    <row r="237" spans="1:4" ht="15.75" outlineLevel="1">
      <c r="A237" s="35" t="s">
        <v>987</v>
      </c>
      <c r="B237" s="36" t="s">
        <v>1118</v>
      </c>
      <c r="C237" s="35">
        <v>5.1020000000000003</v>
      </c>
      <c r="D237" s="107"/>
    </row>
    <row r="238" spans="1:4" ht="15.75" outlineLevel="1">
      <c r="A238" s="35" t="s">
        <v>987</v>
      </c>
      <c r="B238" s="36" t="s">
        <v>17</v>
      </c>
      <c r="C238" s="35">
        <v>5.58</v>
      </c>
      <c r="D238" s="107"/>
    </row>
    <row r="239" spans="1:4" ht="15.75" outlineLevel="1">
      <c r="A239" s="35" t="s">
        <v>987</v>
      </c>
      <c r="B239" s="36" t="s">
        <v>18</v>
      </c>
      <c r="C239" s="35">
        <v>5.54</v>
      </c>
      <c r="D239" s="107"/>
    </row>
    <row r="240" spans="1:4" ht="15.75" outlineLevel="1">
      <c r="A240" s="35" t="s">
        <v>987</v>
      </c>
      <c r="B240" s="36" t="s">
        <v>19</v>
      </c>
      <c r="C240" s="35">
        <v>5.55</v>
      </c>
      <c r="D240" s="107"/>
    </row>
    <row r="241" spans="1:4" ht="15.75" outlineLevel="1">
      <c r="A241" s="35" t="s">
        <v>987</v>
      </c>
      <c r="B241" s="36" t="s">
        <v>20</v>
      </c>
      <c r="C241" s="35">
        <v>5.63</v>
      </c>
      <c r="D241" s="107"/>
    </row>
    <row r="242" spans="1:4" ht="15.75" outlineLevel="1">
      <c r="A242" s="35" t="s">
        <v>987</v>
      </c>
      <c r="B242" s="36" t="s">
        <v>24</v>
      </c>
      <c r="C242" s="35">
        <v>5.47</v>
      </c>
      <c r="D242" s="107"/>
    </row>
    <row r="243" spans="1:4" ht="15.75" outlineLevel="1">
      <c r="A243" s="35" t="s">
        <v>987</v>
      </c>
      <c r="B243" s="36" t="s">
        <v>25</v>
      </c>
      <c r="C243" s="35">
        <v>5.48</v>
      </c>
      <c r="D243" s="107"/>
    </row>
    <row r="244" spans="1:4" ht="15.75">
      <c r="A244" s="41" t="s">
        <v>987</v>
      </c>
      <c r="B244" s="36"/>
      <c r="C244" s="35"/>
      <c r="D244" s="107"/>
    </row>
    <row r="245" spans="1:4" ht="15.75" outlineLevel="1">
      <c r="A245" s="35" t="s">
        <v>1120</v>
      </c>
      <c r="B245" s="36" t="s">
        <v>0</v>
      </c>
      <c r="C245" s="35">
        <v>5.0999999999999996</v>
      </c>
      <c r="D245" s="107"/>
    </row>
    <row r="246" spans="1:4" ht="15.75" outlineLevel="1">
      <c r="A246" s="35" t="s">
        <v>1120</v>
      </c>
      <c r="B246" s="36" t="s">
        <v>1</v>
      </c>
      <c r="C246" s="35">
        <v>5.2</v>
      </c>
      <c r="D246" s="107"/>
    </row>
    <row r="247" spans="1:4" ht="15.75" outlineLevel="1">
      <c r="A247" s="35" t="s">
        <v>1120</v>
      </c>
      <c r="B247" s="36" t="s">
        <v>2</v>
      </c>
      <c r="C247" s="35">
        <v>5.3</v>
      </c>
      <c r="D247" s="107"/>
    </row>
    <row r="248" spans="1:4" ht="15.75" outlineLevel="1">
      <c r="A248" s="35" t="s">
        <v>1120</v>
      </c>
      <c r="B248" s="36" t="s">
        <v>141</v>
      </c>
      <c r="C248" s="35">
        <v>5.6</v>
      </c>
      <c r="D248" s="107"/>
    </row>
    <row r="249" spans="1:4" ht="15.75" outlineLevel="1">
      <c r="A249" s="35" t="s">
        <v>1120</v>
      </c>
      <c r="B249" s="36" t="s">
        <v>1111</v>
      </c>
      <c r="C249" s="37">
        <v>5.0999999999999996</v>
      </c>
      <c r="D249" s="107"/>
    </row>
    <row r="250" spans="1:4" ht="15.75" outlineLevel="1">
      <c r="A250" s="35" t="s">
        <v>1120</v>
      </c>
      <c r="B250" s="36" t="s">
        <v>1110</v>
      </c>
      <c r="C250" s="35">
        <v>5.14</v>
      </c>
      <c r="D250" s="107"/>
    </row>
    <row r="251" spans="1:4" ht="15.75" outlineLevel="1">
      <c r="A251" s="35" t="s">
        <v>1120</v>
      </c>
      <c r="B251" s="36" t="s">
        <v>4</v>
      </c>
      <c r="C251" s="35">
        <v>5.19</v>
      </c>
      <c r="D251" s="107"/>
    </row>
    <row r="252" spans="1:4" ht="15.75" outlineLevel="1">
      <c r="A252" s="35" t="s">
        <v>1120</v>
      </c>
      <c r="B252" s="36" t="s">
        <v>143</v>
      </c>
      <c r="C252" s="35">
        <v>5.24</v>
      </c>
      <c r="D252" s="107"/>
    </row>
    <row r="253" spans="1:4" ht="15.75" outlineLevel="1">
      <c r="A253" s="35" t="s">
        <v>1120</v>
      </c>
      <c r="B253" s="36" t="s">
        <v>6</v>
      </c>
      <c r="C253" s="35">
        <v>5.27</v>
      </c>
      <c r="D253" s="107"/>
    </row>
    <row r="254" spans="1:4" ht="15.75" outlineLevel="1">
      <c r="A254" s="35" t="s">
        <v>1120</v>
      </c>
      <c r="B254" s="36" t="s">
        <v>7</v>
      </c>
      <c r="C254" s="35">
        <v>5.28</v>
      </c>
      <c r="D254" s="107"/>
    </row>
    <row r="255" spans="1:4" ht="15.75" outlineLevel="1">
      <c r="A255" s="35" t="s">
        <v>1120</v>
      </c>
      <c r="B255" s="36" t="s">
        <v>8</v>
      </c>
      <c r="C255" s="37">
        <v>5.3</v>
      </c>
      <c r="D255" s="107"/>
    </row>
    <row r="256" spans="1:4" ht="15.75" outlineLevel="1">
      <c r="A256" s="35" t="s">
        <v>1120</v>
      </c>
      <c r="B256" s="36" t="s">
        <v>171</v>
      </c>
      <c r="C256" s="35">
        <v>5.33</v>
      </c>
      <c r="D256" s="107"/>
    </row>
    <row r="257" spans="1:4" ht="15.75" outlineLevel="1">
      <c r="A257" s="35" t="s">
        <v>1120</v>
      </c>
      <c r="B257" s="36" t="s">
        <v>120</v>
      </c>
      <c r="C257" s="35">
        <v>5.36</v>
      </c>
      <c r="D257" s="107"/>
    </row>
    <row r="258" spans="1:4" ht="15.75" outlineLevel="1">
      <c r="A258" s="35" t="s">
        <v>1120</v>
      </c>
      <c r="B258" s="36" t="s">
        <v>11</v>
      </c>
      <c r="C258" s="35">
        <v>5.53</v>
      </c>
      <c r="D258" s="107"/>
    </row>
    <row r="259" spans="1:4" ht="15.75" outlineLevel="1">
      <c r="A259" s="35" t="s">
        <v>1120</v>
      </c>
      <c r="B259" s="36" t="s">
        <v>17</v>
      </c>
      <c r="C259" s="35">
        <v>5.58</v>
      </c>
      <c r="D259" s="107"/>
    </row>
    <row r="260" spans="1:4" ht="15.75" outlineLevel="1">
      <c r="A260" s="35" t="s">
        <v>1120</v>
      </c>
      <c r="B260" s="36" t="s">
        <v>18</v>
      </c>
      <c r="C260" s="35">
        <v>5.54</v>
      </c>
      <c r="D260" s="107"/>
    </row>
    <row r="261" spans="1:4" ht="15.75" outlineLevel="1">
      <c r="A261" s="35" t="s">
        <v>1120</v>
      </c>
      <c r="B261" s="36" t="s">
        <v>19</v>
      </c>
      <c r="C261" s="35">
        <v>5.55</v>
      </c>
      <c r="D261" s="107"/>
    </row>
    <row r="262" spans="1:4" ht="15.75" outlineLevel="1">
      <c r="A262" s="35" t="s">
        <v>1120</v>
      </c>
      <c r="B262" s="36" t="s">
        <v>20</v>
      </c>
      <c r="C262" s="35">
        <v>5.63</v>
      </c>
      <c r="D262" s="107"/>
    </row>
    <row r="263" spans="1:4" ht="15.75" outlineLevel="1">
      <c r="A263" s="35" t="s">
        <v>1120</v>
      </c>
      <c r="B263" s="36" t="s">
        <v>24</v>
      </c>
      <c r="C263" s="35">
        <v>5.47</v>
      </c>
      <c r="D263" s="107"/>
    </row>
    <row r="264" spans="1:4" ht="15.75" outlineLevel="1">
      <c r="A264" s="35" t="s">
        <v>1120</v>
      </c>
      <c r="B264" s="36" t="s">
        <v>25</v>
      </c>
      <c r="C264" s="35">
        <v>5.48</v>
      </c>
      <c r="D264" s="107"/>
    </row>
    <row r="265" spans="1:4" ht="15.75">
      <c r="A265" s="41" t="s">
        <v>1120</v>
      </c>
      <c r="B265" s="36"/>
      <c r="C265" s="35"/>
      <c r="D265" s="107"/>
    </row>
    <row r="266" spans="1:4" ht="15.75" outlineLevel="1">
      <c r="A266" s="35" t="s">
        <v>992</v>
      </c>
      <c r="B266" s="36" t="s">
        <v>0</v>
      </c>
      <c r="C266" s="35">
        <v>5.0999999999999996</v>
      </c>
      <c r="D266" s="107"/>
    </row>
    <row r="267" spans="1:4" ht="15.75" outlineLevel="1">
      <c r="A267" s="35" t="s">
        <v>992</v>
      </c>
      <c r="B267" s="36" t="s">
        <v>1</v>
      </c>
      <c r="C267" s="35">
        <v>5.2</v>
      </c>
      <c r="D267" s="107"/>
    </row>
    <row r="268" spans="1:4" ht="15.75" outlineLevel="1">
      <c r="A268" s="35" t="s">
        <v>992</v>
      </c>
      <c r="B268" s="36" t="s">
        <v>2</v>
      </c>
      <c r="C268" s="35">
        <v>5.3</v>
      </c>
      <c r="D268" s="107"/>
    </row>
    <row r="269" spans="1:4" ht="15.75" outlineLevel="1">
      <c r="A269" s="35" t="s">
        <v>992</v>
      </c>
      <c r="B269" s="36" t="s">
        <v>141</v>
      </c>
      <c r="C269" s="35">
        <v>5.6</v>
      </c>
      <c r="D269" s="107"/>
    </row>
    <row r="270" spans="1:4" ht="15.75" outlineLevel="1">
      <c r="A270" s="35" t="s">
        <v>992</v>
      </c>
      <c r="B270" s="36" t="s">
        <v>1111</v>
      </c>
      <c r="C270" s="37">
        <v>5.0999999999999996</v>
      </c>
      <c r="D270" s="107"/>
    </row>
    <row r="271" spans="1:4" ht="15.75" outlineLevel="1">
      <c r="A271" s="35" t="s">
        <v>992</v>
      </c>
      <c r="B271" s="36" t="s">
        <v>1110</v>
      </c>
      <c r="C271" s="35">
        <v>5.14</v>
      </c>
      <c r="D271" s="107"/>
    </row>
    <row r="272" spans="1:4" ht="15.75" outlineLevel="1">
      <c r="A272" s="35" t="s">
        <v>992</v>
      </c>
      <c r="B272" s="36" t="s">
        <v>4</v>
      </c>
      <c r="C272" s="35">
        <v>5.19</v>
      </c>
      <c r="D272" s="107"/>
    </row>
    <row r="273" spans="1:4" ht="15.75" outlineLevel="1">
      <c r="A273" s="35" t="s">
        <v>992</v>
      </c>
      <c r="B273" s="36" t="s">
        <v>143</v>
      </c>
      <c r="C273" s="35">
        <v>5.24</v>
      </c>
      <c r="D273" s="107"/>
    </row>
    <row r="274" spans="1:4" ht="15.75" outlineLevel="1">
      <c r="A274" s="35" t="s">
        <v>992</v>
      </c>
      <c r="B274" s="36" t="s">
        <v>5</v>
      </c>
      <c r="C274" s="35">
        <v>5.26</v>
      </c>
      <c r="D274" s="107"/>
    </row>
    <row r="275" spans="1:4" ht="15.75" outlineLevel="1">
      <c r="A275" s="35" t="s">
        <v>992</v>
      </c>
      <c r="B275" s="36" t="s">
        <v>6</v>
      </c>
      <c r="C275" s="35">
        <v>5.27</v>
      </c>
      <c r="D275" s="107"/>
    </row>
    <row r="276" spans="1:4" ht="15.75" outlineLevel="1">
      <c r="A276" s="35" t="s">
        <v>992</v>
      </c>
      <c r="B276" s="36" t="s">
        <v>7</v>
      </c>
      <c r="C276" s="35">
        <v>5.28</v>
      </c>
      <c r="D276" s="107"/>
    </row>
    <row r="277" spans="1:4" ht="15.75" outlineLevel="1">
      <c r="A277" s="35" t="s">
        <v>992</v>
      </c>
      <c r="B277" s="36" t="s">
        <v>323</v>
      </c>
      <c r="C277" s="35">
        <v>5.29</v>
      </c>
      <c r="D277" s="107"/>
    </row>
    <row r="278" spans="1:4" ht="15.75" outlineLevel="1">
      <c r="A278" s="35" t="s">
        <v>992</v>
      </c>
      <c r="B278" s="36" t="s">
        <v>8</v>
      </c>
      <c r="C278" s="37">
        <v>5.3</v>
      </c>
      <c r="D278" s="107"/>
    </row>
    <row r="279" spans="1:4" ht="15.75" outlineLevel="1">
      <c r="A279" s="35" t="s">
        <v>992</v>
      </c>
      <c r="B279" s="36" t="s">
        <v>171</v>
      </c>
      <c r="C279" s="35">
        <v>5.33</v>
      </c>
      <c r="D279" s="107"/>
    </row>
    <row r="280" spans="1:4" ht="15.75" outlineLevel="1">
      <c r="A280" s="35" t="s">
        <v>992</v>
      </c>
      <c r="B280" s="36" t="s">
        <v>120</v>
      </c>
      <c r="C280" s="35">
        <v>5.36</v>
      </c>
      <c r="D280" s="107"/>
    </row>
    <row r="281" spans="1:4" ht="15.75" outlineLevel="1">
      <c r="A281" s="35" t="s">
        <v>992</v>
      </c>
      <c r="B281" s="36" t="s">
        <v>12</v>
      </c>
      <c r="C281" s="35">
        <v>5.69</v>
      </c>
      <c r="D281" s="107"/>
    </row>
    <row r="282" spans="1:4" ht="15.75" outlineLevel="1">
      <c r="A282" s="35" t="s">
        <v>992</v>
      </c>
      <c r="B282" s="36" t="s">
        <v>14</v>
      </c>
      <c r="C282" s="37">
        <v>5.7</v>
      </c>
      <c r="D282" s="107"/>
    </row>
    <row r="283" spans="1:4" ht="15.75" outlineLevel="1">
      <c r="A283" s="35" t="s">
        <v>992</v>
      </c>
      <c r="B283" s="36" t="s">
        <v>15</v>
      </c>
      <c r="C283" s="35">
        <v>5.74</v>
      </c>
      <c r="D283" s="107"/>
    </row>
    <row r="284" spans="1:4" ht="15.75" outlineLevel="1">
      <c r="A284" s="35" t="s">
        <v>992</v>
      </c>
      <c r="B284" s="36" t="s">
        <v>9</v>
      </c>
      <c r="C284" s="35">
        <v>5.49</v>
      </c>
      <c r="D284" s="107"/>
    </row>
    <row r="285" spans="1:4" ht="15.75" outlineLevel="1">
      <c r="A285" s="35" t="s">
        <v>992</v>
      </c>
      <c r="B285" s="36" t="s">
        <v>10</v>
      </c>
      <c r="C285" s="35">
        <v>5.51</v>
      </c>
      <c r="D285" s="107"/>
    </row>
    <row r="286" spans="1:4" ht="15.75" outlineLevel="1">
      <c r="A286" s="35" t="s">
        <v>992</v>
      </c>
      <c r="B286" s="36" t="s">
        <v>1112</v>
      </c>
      <c r="C286" s="35">
        <v>5.52</v>
      </c>
      <c r="D286" s="107"/>
    </row>
    <row r="287" spans="1:4" ht="15.75" outlineLevel="1">
      <c r="A287" s="35" t="s">
        <v>992</v>
      </c>
      <c r="B287" s="36" t="s">
        <v>11</v>
      </c>
      <c r="C287" s="35">
        <v>5.53</v>
      </c>
      <c r="D287" s="107"/>
    </row>
    <row r="288" spans="1:4" ht="15.75" outlineLevel="1">
      <c r="A288" s="35" t="s">
        <v>992</v>
      </c>
      <c r="B288" s="36" t="s">
        <v>17</v>
      </c>
      <c r="C288" s="35">
        <v>5.58</v>
      </c>
      <c r="D288" s="107"/>
    </row>
    <row r="289" spans="1:4" ht="15.75" outlineLevel="1">
      <c r="A289" s="35" t="s">
        <v>992</v>
      </c>
      <c r="B289" s="36" t="s">
        <v>18</v>
      </c>
      <c r="C289" s="35">
        <v>5.54</v>
      </c>
      <c r="D289" s="107"/>
    </row>
    <row r="290" spans="1:4" ht="15.75" outlineLevel="1">
      <c r="A290" s="35" t="s">
        <v>992</v>
      </c>
      <c r="B290" s="36" t="s">
        <v>19</v>
      </c>
      <c r="C290" s="35">
        <v>5.55</v>
      </c>
      <c r="D290" s="107"/>
    </row>
    <row r="291" spans="1:4" ht="15.75" outlineLevel="1">
      <c r="A291" s="35" t="s">
        <v>992</v>
      </c>
      <c r="B291" s="36" t="s">
        <v>20</v>
      </c>
      <c r="C291" s="35">
        <v>5.63</v>
      </c>
      <c r="D291" s="107"/>
    </row>
    <row r="292" spans="1:4" ht="15.75" outlineLevel="1">
      <c r="A292" s="35" t="s">
        <v>992</v>
      </c>
      <c r="B292" s="36" t="s">
        <v>24</v>
      </c>
      <c r="C292" s="35">
        <v>5.47</v>
      </c>
      <c r="D292" s="107"/>
    </row>
    <row r="293" spans="1:4" ht="15.75" outlineLevel="1">
      <c r="A293" s="35" t="s">
        <v>992</v>
      </c>
      <c r="B293" s="36" t="s">
        <v>25</v>
      </c>
      <c r="C293" s="35">
        <v>5.48</v>
      </c>
      <c r="D293" s="107"/>
    </row>
    <row r="294" spans="1:4" ht="15.75">
      <c r="A294" s="41" t="s">
        <v>992</v>
      </c>
      <c r="B294" s="36"/>
      <c r="C294" s="35"/>
      <c r="D294" s="107"/>
    </row>
    <row r="295" spans="1:4" ht="31.5" outlineLevel="1">
      <c r="A295" s="35" t="s">
        <v>999</v>
      </c>
      <c r="B295" s="36" t="s">
        <v>0</v>
      </c>
      <c r="C295" s="35">
        <v>5.0999999999999996</v>
      </c>
      <c r="D295" s="107"/>
    </row>
    <row r="296" spans="1:4" ht="31.5" outlineLevel="1">
      <c r="A296" s="35" t="s">
        <v>999</v>
      </c>
      <c r="B296" s="36" t="s">
        <v>1</v>
      </c>
      <c r="C296" s="35">
        <v>5.2</v>
      </c>
      <c r="D296" s="107"/>
    </row>
    <row r="297" spans="1:4" ht="31.5" outlineLevel="1">
      <c r="A297" s="35" t="s">
        <v>999</v>
      </c>
      <c r="B297" s="36" t="s">
        <v>2</v>
      </c>
      <c r="C297" s="35">
        <v>5.3</v>
      </c>
      <c r="D297" s="107"/>
    </row>
    <row r="298" spans="1:4" ht="31.5" outlineLevel="1">
      <c r="A298" s="35" t="s">
        <v>999</v>
      </c>
      <c r="B298" s="36" t="s">
        <v>1110</v>
      </c>
      <c r="C298" s="35">
        <v>5.14</v>
      </c>
      <c r="D298" s="107"/>
    </row>
    <row r="299" spans="1:4" ht="31.5" outlineLevel="1">
      <c r="A299" s="35" t="s">
        <v>999</v>
      </c>
      <c r="B299" s="36" t="s">
        <v>4</v>
      </c>
      <c r="C299" s="35">
        <v>5.19</v>
      </c>
      <c r="D299" s="107"/>
    </row>
    <row r="300" spans="1:4" ht="31.5" outlineLevel="1">
      <c r="A300" s="35" t="s">
        <v>999</v>
      </c>
      <c r="B300" s="36" t="s">
        <v>143</v>
      </c>
      <c r="C300" s="35">
        <v>5.24</v>
      </c>
      <c r="D300" s="107"/>
    </row>
    <row r="301" spans="1:4" ht="31.5" outlineLevel="1">
      <c r="A301" s="35" t="s">
        <v>999</v>
      </c>
      <c r="B301" s="36" t="s">
        <v>5</v>
      </c>
      <c r="C301" s="35">
        <v>5.26</v>
      </c>
      <c r="D301" s="107"/>
    </row>
    <row r="302" spans="1:4" ht="31.5" outlineLevel="1">
      <c r="A302" s="35" t="s">
        <v>999</v>
      </c>
      <c r="B302" s="36" t="s">
        <v>6</v>
      </c>
      <c r="C302" s="35">
        <v>5.27</v>
      </c>
      <c r="D302" s="107"/>
    </row>
    <row r="303" spans="1:4" ht="31.5" outlineLevel="1">
      <c r="A303" s="35" t="s">
        <v>999</v>
      </c>
      <c r="B303" s="36" t="s">
        <v>7</v>
      </c>
      <c r="C303" s="35">
        <v>5.28</v>
      </c>
      <c r="D303" s="107"/>
    </row>
    <row r="304" spans="1:4" ht="31.5" outlineLevel="1">
      <c r="A304" s="35" t="s">
        <v>999</v>
      </c>
      <c r="B304" s="36" t="s">
        <v>152</v>
      </c>
      <c r="C304" s="35">
        <v>5.37</v>
      </c>
      <c r="D304" s="107"/>
    </row>
    <row r="305" spans="1:4" ht="31.5" outlineLevel="1">
      <c r="A305" s="35" t="s">
        <v>999</v>
      </c>
      <c r="B305" s="36" t="s">
        <v>9</v>
      </c>
      <c r="C305" s="35">
        <v>5.49</v>
      </c>
      <c r="D305" s="107"/>
    </row>
    <row r="306" spans="1:4" ht="31.5" outlineLevel="1">
      <c r="A306" s="35" t="s">
        <v>999</v>
      </c>
      <c r="B306" s="36" t="s">
        <v>10</v>
      </c>
      <c r="C306" s="35">
        <v>5.51</v>
      </c>
      <c r="D306" s="107"/>
    </row>
    <row r="307" spans="1:4" ht="31.5" outlineLevel="1">
      <c r="A307" s="35" t="s">
        <v>999</v>
      </c>
      <c r="B307" s="36" t="s">
        <v>11</v>
      </c>
      <c r="C307" s="35">
        <v>5.53</v>
      </c>
      <c r="D307" s="107"/>
    </row>
    <row r="308" spans="1:4" ht="31.5" outlineLevel="1">
      <c r="A308" s="35" t="s">
        <v>999</v>
      </c>
      <c r="B308" s="36" t="s">
        <v>12</v>
      </c>
      <c r="C308" s="35">
        <v>5.69</v>
      </c>
      <c r="D308" s="107"/>
    </row>
    <row r="309" spans="1:4" ht="31.5" outlineLevel="1">
      <c r="A309" s="35" t="s">
        <v>999</v>
      </c>
      <c r="B309" s="36" t="s">
        <v>13</v>
      </c>
      <c r="C309" s="35">
        <v>5.75</v>
      </c>
      <c r="D309" s="107"/>
    </row>
    <row r="310" spans="1:4" ht="31.5" outlineLevel="1">
      <c r="A310" s="35" t="s">
        <v>999</v>
      </c>
      <c r="B310" s="36" t="s">
        <v>14</v>
      </c>
      <c r="C310" s="37">
        <v>5.7</v>
      </c>
      <c r="D310" s="107"/>
    </row>
    <row r="311" spans="1:4" ht="31.5" outlineLevel="1">
      <c r="A311" s="35" t="s">
        <v>999</v>
      </c>
      <c r="B311" s="36" t="s">
        <v>15</v>
      </c>
      <c r="C311" s="35">
        <v>5.74</v>
      </c>
      <c r="D311" s="107"/>
    </row>
    <row r="312" spans="1:4" ht="31.5" outlineLevel="1">
      <c r="A312" s="35" t="s">
        <v>999</v>
      </c>
      <c r="B312" s="36" t="s">
        <v>17</v>
      </c>
      <c r="C312" s="35">
        <v>5.58</v>
      </c>
      <c r="D312" s="107"/>
    </row>
    <row r="313" spans="1:4" ht="31.5" outlineLevel="1">
      <c r="A313" s="35" t="s">
        <v>999</v>
      </c>
      <c r="B313" s="36" t="s">
        <v>18</v>
      </c>
      <c r="C313" s="35">
        <v>5.54</v>
      </c>
      <c r="D313" s="107"/>
    </row>
    <row r="314" spans="1:4" ht="31.5" outlineLevel="1">
      <c r="A314" s="35" t="s">
        <v>999</v>
      </c>
      <c r="B314" s="36" t="s">
        <v>19</v>
      </c>
      <c r="C314" s="35">
        <v>5.55</v>
      </c>
      <c r="D314" s="107"/>
    </row>
    <row r="315" spans="1:4" ht="31.5" outlineLevel="1">
      <c r="A315" s="35" t="s">
        <v>999</v>
      </c>
      <c r="B315" s="36" t="s">
        <v>20</v>
      </c>
      <c r="C315" s="35">
        <v>5.63</v>
      </c>
      <c r="D315" s="107"/>
    </row>
    <row r="316" spans="1:4" ht="31.5" outlineLevel="1">
      <c r="A316" s="35" t="s">
        <v>999</v>
      </c>
      <c r="B316" s="36" t="s">
        <v>21</v>
      </c>
      <c r="C316" s="35">
        <v>5.65</v>
      </c>
      <c r="D316" s="107"/>
    </row>
    <row r="317" spans="1:4" ht="31.5" outlineLevel="1">
      <c r="A317" s="35" t="s">
        <v>999</v>
      </c>
      <c r="B317" s="36" t="s">
        <v>22</v>
      </c>
      <c r="C317" s="35">
        <v>5.68</v>
      </c>
      <c r="D317" s="107"/>
    </row>
    <row r="318" spans="1:4" ht="31.5" outlineLevel="1">
      <c r="A318" s="35" t="s">
        <v>999</v>
      </c>
      <c r="B318" s="36" t="s">
        <v>24</v>
      </c>
      <c r="C318" s="35">
        <v>5.47</v>
      </c>
      <c r="D318" s="107"/>
    </row>
    <row r="319" spans="1:4" ht="31.5" outlineLevel="1">
      <c r="A319" s="35" t="s">
        <v>999</v>
      </c>
      <c r="B319" s="36" t="s">
        <v>25</v>
      </c>
      <c r="C319" s="35">
        <v>5.48</v>
      </c>
      <c r="D319" s="107"/>
    </row>
    <row r="320" spans="1:4" ht="31.5">
      <c r="A320" s="41" t="s">
        <v>999</v>
      </c>
      <c r="B320" s="36"/>
      <c r="C320" s="35"/>
      <c r="D320" s="107"/>
    </row>
    <row r="321" spans="1:4" ht="31.5" outlineLevel="1">
      <c r="A321" s="35" t="s">
        <v>1000</v>
      </c>
      <c r="B321" s="36" t="s">
        <v>0</v>
      </c>
      <c r="C321" s="35">
        <v>5.0999999999999996</v>
      </c>
      <c r="D321" s="107"/>
    </row>
    <row r="322" spans="1:4" ht="31.5" outlineLevel="1">
      <c r="A322" s="35" t="s">
        <v>1000</v>
      </c>
      <c r="B322" s="36" t="s">
        <v>1</v>
      </c>
      <c r="C322" s="35">
        <v>5.2</v>
      </c>
      <c r="D322" s="107"/>
    </row>
    <row r="323" spans="1:4" ht="31.5" outlineLevel="1">
      <c r="A323" s="35" t="s">
        <v>1000</v>
      </c>
      <c r="B323" s="36" t="s">
        <v>5</v>
      </c>
      <c r="C323" s="35">
        <v>5.26</v>
      </c>
      <c r="D323" s="107"/>
    </row>
    <row r="324" spans="1:4" ht="31.5" outlineLevel="1">
      <c r="A324" s="35" t="s">
        <v>1000</v>
      </c>
      <c r="B324" s="36" t="s">
        <v>1110</v>
      </c>
      <c r="C324" s="35">
        <v>5.14</v>
      </c>
      <c r="D324" s="107"/>
    </row>
    <row r="325" spans="1:4" ht="31.5" outlineLevel="1">
      <c r="A325" s="35" t="s">
        <v>1000</v>
      </c>
      <c r="B325" s="36" t="s">
        <v>4</v>
      </c>
      <c r="C325" s="35">
        <v>5.19</v>
      </c>
      <c r="D325" s="107"/>
    </row>
    <row r="326" spans="1:4" ht="31.5" outlineLevel="1">
      <c r="A326" s="35" t="s">
        <v>1000</v>
      </c>
      <c r="B326" s="36" t="s">
        <v>152</v>
      </c>
      <c r="C326" s="35">
        <v>5.37</v>
      </c>
      <c r="D326" s="107"/>
    </row>
    <row r="327" spans="1:4" ht="31.5" outlineLevel="1">
      <c r="A327" s="35" t="s">
        <v>1000</v>
      </c>
      <c r="B327" s="36" t="s">
        <v>12</v>
      </c>
      <c r="C327" s="35">
        <v>5.69</v>
      </c>
      <c r="D327" s="107"/>
    </row>
    <row r="328" spans="1:4" ht="31.5" outlineLevel="1">
      <c r="A328" s="35" t="s">
        <v>1000</v>
      </c>
      <c r="B328" s="36" t="s">
        <v>751</v>
      </c>
      <c r="C328" s="37">
        <v>5.8</v>
      </c>
      <c r="D328" s="107"/>
    </row>
    <row r="329" spans="1:4" ht="31.5" outlineLevel="1">
      <c r="A329" s="35" t="s">
        <v>1000</v>
      </c>
      <c r="B329" s="36" t="s">
        <v>13</v>
      </c>
      <c r="C329" s="35">
        <v>5.75</v>
      </c>
      <c r="D329" s="107"/>
    </row>
    <row r="330" spans="1:4" ht="31.5" outlineLevel="1">
      <c r="A330" s="35" t="s">
        <v>1000</v>
      </c>
      <c r="B330" s="36" t="s">
        <v>14</v>
      </c>
      <c r="C330" s="37">
        <v>5.7</v>
      </c>
      <c r="D330" s="107"/>
    </row>
    <row r="331" spans="1:4" ht="31.5" outlineLevel="1">
      <c r="A331" s="35" t="s">
        <v>1000</v>
      </c>
      <c r="B331" s="36" t="s">
        <v>15</v>
      </c>
      <c r="C331" s="35">
        <v>5.74</v>
      </c>
      <c r="D331" s="107"/>
    </row>
    <row r="332" spans="1:4" ht="31.5" outlineLevel="1">
      <c r="A332" s="35" t="s">
        <v>1000</v>
      </c>
      <c r="B332" s="36" t="s">
        <v>17</v>
      </c>
      <c r="C332" s="35">
        <v>5.58</v>
      </c>
      <c r="D332" s="107"/>
    </row>
    <row r="333" spans="1:4" ht="31.5" outlineLevel="1">
      <c r="A333" s="35" t="s">
        <v>1000</v>
      </c>
      <c r="B333" s="36" t="s">
        <v>19</v>
      </c>
      <c r="C333" s="35">
        <v>5.55</v>
      </c>
      <c r="D333" s="107"/>
    </row>
    <row r="334" spans="1:4" ht="31.5" outlineLevel="1">
      <c r="A334" s="35" t="s">
        <v>1000</v>
      </c>
      <c r="B334" s="36" t="s">
        <v>20</v>
      </c>
      <c r="C334" s="35">
        <v>5.63</v>
      </c>
      <c r="D334" s="107"/>
    </row>
    <row r="335" spans="1:4" ht="31.5" outlineLevel="1">
      <c r="A335" s="35" t="s">
        <v>1000</v>
      </c>
      <c r="B335" s="36" t="s">
        <v>21</v>
      </c>
      <c r="C335" s="35">
        <v>5.65</v>
      </c>
      <c r="D335" s="107"/>
    </row>
    <row r="336" spans="1:4" ht="31.5" outlineLevel="1">
      <c r="A336" s="35" t="s">
        <v>1000</v>
      </c>
      <c r="B336" s="36" t="s">
        <v>22</v>
      </c>
      <c r="C336" s="35">
        <v>5.68</v>
      </c>
      <c r="D336" s="107"/>
    </row>
    <row r="337" spans="1:4" ht="31.5" outlineLevel="1">
      <c r="A337" s="35" t="s">
        <v>1000</v>
      </c>
      <c r="B337" s="36" t="s">
        <v>24</v>
      </c>
      <c r="C337" s="35">
        <v>5.47</v>
      </c>
      <c r="D337" s="107"/>
    </row>
    <row r="338" spans="1:4" ht="31.5" outlineLevel="1">
      <c r="A338" s="35" t="s">
        <v>1000</v>
      </c>
      <c r="B338" s="36" t="s">
        <v>25</v>
      </c>
      <c r="C338" s="35">
        <v>5.48</v>
      </c>
      <c r="D338" s="107"/>
    </row>
    <row r="339" spans="1:4" ht="31.5">
      <c r="A339" s="41" t="s">
        <v>1000</v>
      </c>
      <c r="B339" s="36"/>
      <c r="C339" s="35"/>
      <c r="D339" s="107"/>
    </row>
    <row r="340" spans="1:4" ht="31.5" outlineLevel="1">
      <c r="A340" s="35" t="s">
        <v>1006</v>
      </c>
      <c r="B340" s="36" t="s">
        <v>1121</v>
      </c>
      <c r="C340" s="35">
        <v>5.0999999999999996</v>
      </c>
      <c r="D340" s="107"/>
    </row>
    <row r="341" spans="1:4" ht="31.5" outlineLevel="1">
      <c r="A341" s="35" t="s">
        <v>1006</v>
      </c>
      <c r="B341" s="36" t="s">
        <v>1</v>
      </c>
      <c r="C341" s="35">
        <v>5.2</v>
      </c>
      <c r="D341" s="107"/>
    </row>
    <row r="342" spans="1:4" ht="31.5" outlineLevel="1">
      <c r="A342" s="35" t="s">
        <v>1006</v>
      </c>
      <c r="B342" s="36" t="s">
        <v>5</v>
      </c>
      <c r="C342" s="35">
        <v>5.26</v>
      </c>
      <c r="D342" s="107"/>
    </row>
    <row r="343" spans="1:4" ht="31.5" outlineLevel="1">
      <c r="A343" s="35" t="s">
        <v>1006</v>
      </c>
      <c r="B343" s="36" t="s">
        <v>1122</v>
      </c>
      <c r="C343" s="35">
        <v>5.38</v>
      </c>
      <c r="D343" s="107"/>
    </row>
    <row r="344" spans="1:4" ht="31.5" outlineLevel="1">
      <c r="A344" s="35" t="s">
        <v>1006</v>
      </c>
      <c r="B344" s="36" t="s">
        <v>1123</v>
      </c>
      <c r="C344" s="35">
        <v>5.39</v>
      </c>
      <c r="D344" s="107"/>
    </row>
    <row r="345" spans="1:4" ht="31.5" outlineLevel="1">
      <c r="A345" s="35" t="s">
        <v>1006</v>
      </c>
      <c r="B345" s="36" t="s">
        <v>1124</v>
      </c>
      <c r="C345" s="37">
        <v>5.6</v>
      </c>
      <c r="D345" s="107"/>
    </row>
    <row r="346" spans="1:4" ht="31.5" outlineLevel="1">
      <c r="A346" s="35" t="s">
        <v>1006</v>
      </c>
      <c r="B346" s="36" t="s">
        <v>25</v>
      </c>
      <c r="C346" s="35">
        <v>5.48</v>
      </c>
      <c r="D346" s="107"/>
    </row>
    <row r="347" spans="1:4" ht="31.5">
      <c r="A347" s="41" t="s">
        <v>1006</v>
      </c>
      <c r="B347" s="36"/>
      <c r="C347" s="35"/>
      <c r="D347" s="107"/>
    </row>
    <row r="348" spans="1:4" ht="31.5" outlineLevel="1">
      <c r="A348" s="35" t="s">
        <v>1010</v>
      </c>
      <c r="B348" s="36" t="s">
        <v>0</v>
      </c>
      <c r="C348" s="35">
        <v>5.0999999999999996</v>
      </c>
      <c r="D348" s="107"/>
    </row>
    <row r="349" spans="1:4" ht="31.5" outlineLevel="1">
      <c r="A349" s="35" t="s">
        <v>1010</v>
      </c>
      <c r="B349" s="36" t="s">
        <v>1</v>
      </c>
      <c r="C349" s="35">
        <v>5.2</v>
      </c>
      <c r="D349" s="107"/>
    </row>
    <row r="350" spans="1:4" ht="31.5" outlineLevel="1">
      <c r="A350" s="35" t="s">
        <v>1010</v>
      </c>
      <c r="B350" s="36" t="s">
        <v>2</v>
      </c>
      <c r="C350" s="35">
        <v>5.3</v>
      </c>
      <c r="D350" s="107"/>
    </row>
    <row r="351" spans="1:4" ht="31.5" outlineLevel="1">
      <c r="A351" s="35" t="s">
        <v>1010</v>
      </c>
      <c r="B351" s="36" t="s">
        <v>141</v>
      </c>
      <c r="C351" s="35">
        <v>5.6</v>
      </c>
      <c r="D351" s="107"/>
    </row>
    <row r="352" spans="1:4" ht="31.5" outlineLevel="1">
      <c r="A352" s="35" t="s">
        <v>1010</v>
      </c>
      <c r="B352" s="36" t="s">
        <v>1111</v>
      </c>
      <c r="C352" s="37">
        <v>5.0999999999999996</v>
      </c>
      <c r="D352" s="107"/>
    </row>
    <row r="353" spans="1:4" ht="31.5" outlineLevel="1">
      <c r="A353" s="35" t="s">
        <v>1010</v>
      </c>
      <c r="B353" s="36" t="s">
        <v>1110</v>
      </c>
      <c r="C353" s="35">
        <v>5.14</v>
      </c>
      <c r="D353" s="107"/>
    </row>
    <row r="354" spans="1:4" ht="31.5" outlineLevel="1">
      <c r="A354" s="35" t="s">
        <v>1010</v>
      </c>
      <c r="B354" s="36" t="s">
        <v>4</v>
      </c>
      <c r="C354" s="35">
        <v>5.19</v>
      </c>
      <c r="D354" s="107"/>
    </row>
    <row r="355" spans="1:4" ht="31.5" outlineLevel="1">
      <c r="A355" s="35" t="s">
        <v>1010</v>
      </c>
      <c r="B355" s="36" t="s">
        <v>143</v>
      </c>
      <c r="C355" s="35">
        <v>5.24</v>
      </c>
      <c r="D355" s="107"/>
    </row>
    <row r="356" spans="1:4" ht="31.5" outlineLevel="1">
      <c r="A356" s="35" t="s">
        <v>1010</v>
      </c>
      <c r="B356" s="36" t="s">
        <v>5</v>
      </c>
      <c r="C356" s="35">
        <v>5.26</v>
      </c>
      <c r="D356" s="107"/>
    </row>
    <row r="357" spans="1:4" ht="31.5" outlineLevel="1">
      <c r="A357" s="35" t="s">
        <v>1010</v>
      </c>
      <c r="B357" s="36" t="s">
        <v>6</v>
      </c>
      <c r="C357" s="35">
        <v>5.27</v>
      </c>
      <c r="D357" s="107"/>
    </row>
    <row r="358" spans="1:4" ht="31.5" outlineLevel="1">
      <c r="A358" s="35" t="s">
        <v>1010</v>
      </c>
      <c r="B358" s="36" t="s">
        <v>7</v>
      </c>
      <c r="C358" s="35">
        <v>5.28</v>
      </c>
      <c r="D358" s="107"/>
    </row>
    <row r="359" spans="1:4" ht="31.5" outlineLevel="1">
      <c r="A359" s="35" t="s">
        <v>1010</v>
      </c>
      <c r="B359" s="36" t="s">
        <v>144</v>
      </c>
      <c r="C359" s="35">
        <v>5.31</v>
      </c>
      <c r="D359" s="107"/>
    </row>
    <row r="360" spans="1:4" ht="31.5" outlineLevel="1">
      <c r="A360" s="35" t="s">
        <v>1010</v>
      </c>
      <c r="B360" s="36" t="s">
        <v>120</v>
      </c>
      <c r="C360" s="35">
        <v>5.36</v>
      </c>
      <c r="D360" s="107"/>
    </row>
    <row r="361" spans="1:4" ht="31.5" outlineLevel="1">
      <c r="A361" s="35" t="s">
        <v>1010</v>
      </c>
      <c r="B361" s="36" t="s">
        <v>152</v>
      </c>
      <c r="C361" s="35">
        <v>5.37</v>
      </c>
      <c r="D361" s="107"/>
    </row>
    <row r="362" spans="1:4" ht="31.5" outlineLevel="1">
      <c r="A362" s="35" t="s">
        <v>1010</v>
      </c>
      <c r="B362" s="36" t="s">
        <v>9</v>
      </c>
      <c r="C362" s="35">
        <v>5.49</v>
      </c>
      <c r="D362" s="107"/>
    </row>
    <row r="363" spans="1:4" ht="31.5" outlineLevel="1">
      <c r="A363" s="35" t="s">
        <v>1010</v>
      </c>
      <c r="B363" s="36" t="s">
        <v>10</v>
      </c>
      <c r="C363" s="35">
        <v>5.51</v>
      </c>
      <c r="D363" s="107"/>
    </row>
    <row r="364" spans="1:4" ht="31.5" outlineLevel="1">
      <c r="A364" s="35" t="s">
        <v>1010</v>
      </c>
      <c r="B364" s="36" t="s">
        <v>1112</v>
      </c>
      <c r="C364" s="35">
        <v>5.52</v>
      </c>
      <c r="D364" s="107"/>
    </row>
    <row r="365" spans="1:4" ht="31.5" outlineLevel="1">
      <c r="A365" s="35" t="s">
        <v>1010</v>
      </c>
      <c r="B365" s="36" t="s">
        <v>11</v>
      </c>
      <c r="C365" s="35">
        <v>5.53</v>
      </c>
      <c r="D365" s="107"/>
    </row>
    <row r="366" spans="1:4" ht="31.5" outlineLevel="1">
      <c r="A366" s="35" t="s">
        <v>1010</v>
      </c>
      <c r="B366" s="36" t="s">
        <v>12</v>
      </c>
      <c r="C366" s="35">
        <v>5.69</v>
      </c>
      <c r="D366" s="107"/>
    </row>
    <row r="367" spans="1:4" ht="31.5" outlineLevel="1">
      <c r="A367" s="35" t="s">
        <v>1010</v>
      </c>
      <c r="B367" s="36" t="s">
        <v>751</v>
      </c>
      <c r="C367" s="37">
        <v>5.8</v>
      </c>
      <c r="D367" s="107"/>
    </row>
    <row r="368" spans="1:4" ht="31.5" outlineLevel="1">
      <c r="A368" s="35" t="s">
        <v>1010</v>
      </c>
      <c r="B368" s="36" t="s">
        <v>908</v>
      </c>
      <c r="C368" s="37">
        <v>5.72</v>
      </c>
      <c r="D368" s="107"/>
    </row>
    <row r="369" spans="1:4" ht="31.5" outlineLevel="1">
      <c r="A369" s="35" t="s">
        <v>1010</v>
      </c>
      <c r="B369" s="36" t="s">
        <v>13</v>
      </c>
      <c r="C369" s="35">
        <v>5.75</v>
      </c>
      <c r="D369" s="107"/>
    </row>
    <row r="370" spans="1:4" ht="31.5" outlineLevel="1">
      <c r="A370" s="35" t="s">
        <v>1010</v>
      </c>
      <c r="B370" s="36" t="s">
        <v>14</v>
      </c>
      <c r="C370" s="37">
        <v>5.7</v>
      </c>
      <c r="D370" s="107"/>
    </row>
    <row r="371" spans="1:4" ht="31.5" outlineLevel="1">
      <c r="A371" s="35" t="s">
        <v>1010</v>
      </c>
      <c r="B371" s="36" t="s">
        <v>15</v>
      </c>
      <c r="C371" s="35">
        <v>5.74</v>
      </c>
      <c r="D371" s="107"/>
    </row>
    <row r="372" spans="1:4" ht="31.5" outlineLevel="1">
      <c r="A372" s="35" t="s">
        <v>1010</v>
      </c>
      <c r="B372" s="36" t="s">
        <v>407</v>
      </c>
      <c r="C372" s="35">
        <v>5.76</v>
      </c>
      <c r="D372" s="107"/>
    </row>
    <row r="373" spans="1:4" ht="31.5" outlineLevel="1">
      <c r="A373" s="35" t="s">
        <v>1010</v>
      </c>
      <c r="B373" s="36" t="s">
        <v>829</v>
      </c>
      <c r="C373" s="35">
        <v>5.89</v>
      </c>
      <c r="D373" s="106" t="s">
        <v>1109</v>
      </c>
    </row>
    <row r="374" spans="1:4" ht="31.5" outlineLevel="1">
      <c r="A374" s="35" t="s">
        <v>1010</v>
      </c>
      <c r="B374" s="36" t="s">
        <v>145</v>
      </c>
      <c r="C374" s="35">
        <v>5.109</v>
      </c>
      <c r="D374" s="106"/>
    </row>
    <row r="375" spans="1:4" ht="31.5" outlineLevel="1">
      <c r="A375" s="35" t="s">
        <v>1010</v>
      </c>
      <c r="B375" s="36" t="s">
        <v>146</v>
      </c>
      <c r="C375" s="35">
        <v>5.1109999999999998</v>
      </c>
      <c r="D375" s="107"/>
    </row>
    <row r="376" spans="1:4" ht="31.5" outlineLevel="1">
      <c r="A376" s="35" t="s">
        <v>1010</v>
      </c>
      <c r="B376" s="36" t="s">
        <v>129</v>
      </c>
      <c r="C376" s="35">
        <v>5.1120000000000001</v>
      </c>
      <c r="D376" s="107"/>
    </row>
    <row r="377" spans="1:4" ht="31.5" outlineLevel="1">
      <c r="A377" s="35" t="s">
        <v>1010</v>
      </c>
      <c r="B377" s="36" t="s">
        <v>1125</v>
      </c>
      <c r="C377" s="35">
        <v>5.1130000000000004</v>
      </c>
      <c r="D377" s="107"/>
    </row>
    <row r="378" spans="1:4" ht="31.5" outlineLevel="1">
      <c r="A378" s="35" t="s">
        <v>1010</v>
      </c>
      <c r="B378" s="36" t="s">
        <v>17</v>
      </c>
      <c r="C378" s="35">
        <v>5.58</v>
      </c>
      <c r="D378" s="107"/>
    </row>
    <row r="379" spans="1:4" ht="31.5" outlineLevel="1">
      <c r="A379" s="35" t="s">
        <v>1010</v>
      </c>
      <c r="B379" s="36" t="s">
        <v>18</v>
      </c>
      <c r="C379" s="35">
        <v>5.54</v>
      </c>
      <c r="D379" s="107"/>
    </row>
    <row r="380" spans="1:4" ht="31.5" outlineLevel="1">
      <c r="A380" s="35" t="s">
        <v>1010</v>
      </c>
      <c r="B380" s="36" t="s">
        <v>19</v>
      </c>
      <c r="C380" s="35">
        <v>5.55</v>
      </c>
      <c r="D380" s="107"/>
    </row>
    <row r="381" spans="1:4" ht="31.5" outlineLevel="1">
      <c r="A381" s="35" t="s">
        <v>1010</v>
      </c>
      <c r="B381" s="36" t="s">
        <v>20</v>
      </c>
      <c r="C381" s="35">
        <v>5.63</v>
      </c>
      <c r="D381" s="107"/>
    </row>
    <row r="382" spans="1:4" ht="31.5" outlineLevel="1">
      <c r="A382" s="35" t="s">
        <v>1010</v>
      </c>
      <c r="B382" s="36" t="s">
        <v>21</v>
      </c>
      <c r="C382" s="35">
        <v>5.65</v>
      </c>
      <c r="D382" s="107"/>
    </row>
    <row r="383" spans="1:4" ht="31.5" outlineLevel="1">
      <c r="A383" s="35" t="s">
        <v>1010</v>
      </c>
      <c r="B383" s="36" t="s">
        <v>160</v>
      </c>
      <c r="C383" s="35">
        <v>5.66</v>
      </c>
      <c r="D383" s="107"/>
    </row>
    <row r="384" spans="1:4" ht="31.5" outlineLevel="1">
      <c r="A384" s="35" t="s">
        <v>1010</v>
      </c>
      <c r="B384" s="36" t="s">
        <v>22</v>
      </c>
      <c r="C384" s="35">
        <v>5.68</v>
      </c>
      <c r="D384" s="107"/>
    </row>
    <row r="385" spans="1:4" ht="31.5" outlineLevel="1">
      <c r="A385" s="35" t="s">
        <v>1010</v>
      </c>
      <c r="B385" s="36" t="s">
        <v>24</v>
      </c>
      <c r="C385" s="35">
        <v>5.47</v>
      </c>
      <c r="D385" s="107"/>
    </row>
    <row r="386" spans="1:4" ht="31.5" outlineLevel="1">
      <c r="A386" s="35" t="s">
        <v>1010</v>
      </c>
      <c r="B386" s="36" t="s">
        <v>25</v>
      </c>
      <c r="C386" s="35">
        <v>5.48</v>
      </c>
      <c r="D386" s="107"/>
    </row>
    <row r="387" spans="1:4" ht="31.5">
      <c r="A387" s="41" t="s">
        <v>1010</v>
      </c>
      <c r="B387" s="36"/>
      <c r="C387" s="35"/>
      <c r="D387" s="107"/>
    </row>
    <row r="388" spans="1:4" ht="15.75" outlineLevel="1">
      <c r="A388" s="35" t="s">
        <v>1012</v>
      </c>
      <c r="B388" s="36" t="s">
        <v>0</v>
      </c>
      <c r="C388" s="35">
        <v>5.0999999999999996</v>
      </c>
      <c r="D388" s="107"/>
    </row>
    <row r="389" spans="1:4" ht="15.75" outlineLevel="1">
      <c r="A389" s="35" t="s">
        <v>1012</v>
      </c>
      <c r="B389" s="36" t="s">
        <v>1</v>
      </c>
      <c r="C389" s="35">
        <v>5.2</v>
      </c>
      <c r="D389" s="107"/>
    </row>
    <row r="390" spans="1:4" ht="15.75" outlineLevel="1">
      <c r="A390" s="35" t="s">
        <v>1012</v>
      </c>
      <c r="B390" s="36" t="s">
        <v>2</v>
      </c>
      <c r="C390" s="35">
        <v>5.3</v>
      </c>
      <c r="D390" s="107"/>
    </row>
    <row r="391" spans="1:4" ht="15.75" outlineLevel="1">
      <c r="A391" s="35" t="s">
        <v>1012</v>
      </c>
      <c r="B391" s="36" t="s">
        <v>141</v>
      </c>
      <c r="C391" s="35">
        <v>5.6</v>
      </c>
      <c r="D391" s="107"/>
    </row>
    <row r="392" spans="1:4" ht="15.75" outlineLevel="1">
      <c r="A392" s="35" t="s">
        <v>1012</v>
      </c>
      <c r="B392" s="36" t="s">
        <v>1111</v>
      </c>
      <c r="C392" s="37">
        <v>5.0999999999999996</v>
      </c>
      <c r="D392" s="107"/>
    </row>
    <row r="393" spans="1:4" ht="15.75" outlineLevel="1">
      <c r="A393" s="35" t="s">
        <v>1012</v>
      </c>
      <c r="B393" s="36" t="s">
        <v>1110</v>
      </c>
      <c r="C393" s="35">
        <v>5.14</v>
      </c>
      <c r="D393" s="107"/>
    </row>
    <row r="394" spans="1:4" ht="15.75" outlineLevel="1">
      <c r="A394" s="35" t="s">
        <v>1012</v>
      </c>
      <c r="B394" s="36" t="s">
        <v>4</v>
      </c>
      <c r="C394" s="35">
        <v>5.19</v>
      </c>
      <c r="D394" s="107"/>
    </row>
    <row r="395" spans="1:4" ht="15.75" outlineLevel="1">
      <c r="A395" s="35" t="s">
        <v>1012</v>
      </c>
      <c r="B395" s="36" t="s">
        <v>143</v>
      </c>
      <c r="C395" s="35">
        <v>5.24</v>
      </c>
      <c r="D395" s="107"/>
    </row>
    <row r="396" spans="1:4" ht="15.75" outlineLevel="1">
      <c r="A396" s="35" t="s">
        <v>1012</v>
      </c>
      <c r="B396" s="36" t="s">
        <v>5</v>
      </c>
      <c r="C396" s="35">
        <v>5.26</v>
      </c>
      <c r="D396" s="107"/>
    </row>
    <row r="397" spans="1:4" ht="15.75" outlineLevel="1">
      <c r="A397" s="35" t="s">
        <v>1012</v>
      </c>
      <c r="B397" s="36" t="s">
        <v>6</v>
      </c>
      <c r="C397" s="35">
        <v>5.27</v>
      </c>
      <c r="D397" s="107"/>
    </row>
    <row r="398" spans="1:4" ht="15.75" outlineLevel="1">
      <c r="A398" s="35" t="s">
        <v>1012</v>
      </c>
      <c r="B398" s="36" t="s">
        <v>7</v>
      </c>
      <c r="C398" s="35">
        <v>5.28</v>
      </c>
      <c r="D398" s="107"/>
    </row>
    <row r="399" spans="1:4" ht="15.75" outlineLevel="1">
      <c r="A399" s="35" t="s">
        <v>1012</v>
      </c>
      <c r="B399" s="36" t="s">
        <v>323</v>
      </c>
      <c r="C399" s="35">
        <v>5.29</v>
      </c>
      <c r="D399" s="107"/>
    </row>
    <row r="400" spans="1:4" ht="15.75" outlineLevel="1">
      <c r="A400" s="35" t="s">
        <v>1012</v>
      </c>
      <c r="B400" s="36" t="s">
        <v>144</v>
      </c>
      <c r="C400" s="35">
        <v>5.31</v>
      </c>
      <c r="D400" s="107"/>
    </row>
    <row r="401" spans="1:4" ht="15.75" outlineLevel="1">
      <c r="A401" s="35" t="s">
        <v>1012</v>
      </c>
      <c r="B401" s="36" t="s">
        <v>120</v>
      </c>
      <c r="C401" s="35">
        <v>5.36</v>
      </c>
      <c r="D401" s="107"/>
    </row>
    <row r="402" spans="1:4" ht="15.75" outlineLevel="1">
      <c r="A402" s="35" t="s">
        <v>1012</v>
      </c>
      <c r="B402" s="36" t="s">
        <v>152</v>
      </c>
      <c r="C402" s="35">
        <v>5.37</v>
      </c>
      <c r="D402" s="107"/>
    </row>
    <row r="403" spans="1:4" ht="15.75" outlineLevel="1">
      <c r="A403" s="35" t="s">
        <v>1012</v>
      </c>
      <c r="B403" s="36" t="s">
        <v>9</v>
      </c>
      <c r="C403" s="35">
        <v>5.49</v>
      </c>
      <c r="D403" s="107"/>
    </row>
    <row r="404" spans="1:4" ht="15.75" outlineLevel="1">
      <c r="A404" s="35" t="s">
        <v>1012</v>
      </c>
      <c r="B404" s="36" t="s">
        <v>10</v>
      </c>
      <c r="C404" s="35">
        <v>5.51</v>
      </c>
      <c r="D404" s="107"/>
    </row>
    <row r="405" spans="1:4" ht="15.75" outlineLevel="1">
      <c r="A405" s="35" t="s">
        <v>1012</v>
      </c>
      <c r="B405" s="36" t="s">
        <v>1112</v>
      </c>
      <c r="C405" s="35">
        <v>5.52</v>
      </c>
      <c r="D405" s="107"/>
    </row>
    <row r="406" spans="1:4" ht="15.75" outlineLevel="1">
      <c r="A406" s="35" t="s">
        <v>1012</v>
      </c>
      <c r="B406" s="36" t="s">
        <v>11</v>
      </c>
      <c r="C406" s="35">
        <v>5.53</v>
      </c>
      <c r="D406" s="107"/>
    </row>
    <row r="407" spans="1:4" ht="15.75" outlineLevel="1">
      <c r="A407" s="35" t="s">
        <v>1012</v>
      </c>
      <c r="B407" s="36" t="s">
        <v>12</v>
      </c>
      <c r="C407" s="35">
        <v>5.69</v>
      </c>
      <c r="D407" s="107"/>
    </row>
    <row r="408" spans="1:4" ht="15.75" outlineLevel="1">
      <c r="A408" s="35" t="s">
        <v>1012</v>
      </c>
      <c r="B408" s="36" t="s">
        <v>13</v>
      </c>
      <c r="C408" s="35">
        <v>5.75</v>
      </c>
      <c r="D408" s="107"/>
    </row>
    <row r="409" spans="1:4" ht="15.75" outlineLevel="1">
      <c r="A409" s="35" t="s">
        <v>1012</v>
      </c>
      <c r="B409" s="36" t="s">
        <v>15</v>
      </c>
      <c r="C409" s="35">
        <v>5.74</v>
      </c>
      <c r="D409" s="107"/>
    </row>
    <row r="410" spans="1:4" ht="15.75" outlineLevel="1">
      <c r="A410" s="35" t="s">
        <v>1012</v>
      </c>
      <c r="B410" s="36" t="s">
        <v>14</v>
      </c>
      <c r="C410" s="37">
        <v>5.7</v>
      </c>
      <c r="D410" s="107"/>
    </row>
    <row r="411" spans="1:4" ht="15.75" outlineLevel="1">
      <c r="A411" s="35" t="s">
        <v>1012</v>
      </c>
      <c r="B411" s="36" t="s">
        <v>407</v>
      </c>
      <c r="C411" s="35">
        <v>5.76</v>
      </c>
      <c r="D411" s="107"/>
    </row>
    <row r="412" spans="1:4" ht="15.75" outlineLevel="1">
      <c r="A412" s="35" t="s">
        <v>1012</v>
      </c>
      <c r="B412" s="36" t="s">
        <v>829</v>
      </c>
      <c r="C412" s="35">
        <v>5.89</v>
      </c>
      <c r="D412" s="106" t="s">
        <v>1109</v>
      </c>
    </row>
    <row r="413" spans="1:4" ht="15.75" outlineLevel="1">
      <c r="A413" s="35" t="s">
        <v>1012</v>
      </c>
      <c r="B413" s="36" t="s">
        <v>145</v>
      </c>
      <c r="C413" s="35">
        <v>5.109</v>
      </c>
      <c r="D413" s="107"/>
    </row>
    <row r="414" spans="1:4" ht="15.75" outlineLevel="1">
      <c r="A414" s="35" t="s">
        <v>1012</v>
      </c>
      <c r="B414" s="36" t="s">
        <v>146</v>
      </c>
      <c r="C414" s="35">
        <v>5.1109999999999998</v>
      </c>
      <c r="D414" s="107"/>
    </row>
    <row r="415" spans="1:4" ht="15.75" outlineLevel="1">
      <c r="A415" s="35" t="s">
        <v>1012</v>
      </c>
      <c r="B415" s="36" t="s">
        <v>129</v>
      </c>
      <c r="C415" s="35">
        <v>5.1120000000000001</v>
      </c>
      <c r="D415" s="107"/>
    </row>
    <row r="416" spans="1:4" ht="15.75" outlineLevel="1">
      <c r="A416" s="35" t="s">
        <v>1012</v>
      </c>
      <c r="B416" s="36" t="s">
        <v>1125</v>
      </c>
      <c r="C416" s="35">
        <v>5.1130000000000004</v>
      </c>
      <c r="D416" s="107"/>
    </row>
    <row r="417" spans="1:4" ht="15.75" outlineLevel="1">
      <c r="A417" s="35" t="s">
        <v>1012</v>
      </c>
      <c r="B417" s="36" t="s">
        <v>17</v>
      </c>
      <c r="C417" s="35">
        <v>5.58</v>
      </c>
      <c r="D417" s="107"/>
    </row>
    <row r="418" spans="1:4" ht="15.75" outlineLevel="1">
      <c r="A418" s="35" t="s">
        <v>1012</v>
      </c>
      <c r="B418" s="36" t="s">
        <v>18</v>
      </c>
      <c r="C418" s="35">
        <v>5.54</v>
      </c>
      <c r="D418" s="107"/>
    </row>
    <row r="419" spans="1:4" ht="15.75" outlineLevel="1">
      <c r="A419" s="35" t="s">
        <v>1012</v>
      </c>
      <c r="B419" s="36" t="s">
        <v>19</v>
      </c>
      <c r="C419" s="35">
        <v>5.55</v>
      </c>
      <c r="D419" s="107"/>
    </row>
    <row r="420" spans="1:4" ht="15.75" outlineLevel="1">
      <c r="A420" s="35" t="s">
        <v>1012</v>
      </c>
      <c r="B420" s="36" t="s">
        <v>20</v>
      </c>
      <c r="C420" s="35">
        <v>5.63</v>
      </c>
      <c r="D420" s="107"/>
    </row>
    <row r="421" spans="1:4" ht="15.75" outlineLevel="1">
      <c r="A421" s="35" t="s">
        <v>1012</v>
      </c>
      <c r="B421" s="36" t="s">
        <v>21</v>
      </c>
      <c r="C421" s="35">
        <v>5.65</v>
      </c>
      <c r="D421" s="107"/>
    </row>
    <row r="422" spans="1:4" ht="15.75" outlineLevel="1">
      <c r="A422" s="35" t="s">
        <v>1012</v>
      </c>
      <c r="B422" s="36" t="s">
        <v>160</v>
      </c>
      <c r="C422" s="35">
        <v>5.66</v>
      </c>
      <c r="D422" s="107"/>
    </row>
    <row r="423" spans="1:4" ht="15.75" outlineLevel="1">
      <c r="A423" s="35" t="s">
        <v>1012</v>
      </c>
      <c r="B423" s="36" t="s">
        <v>22</v>
      </c>
      <c r="C423" s="35">
        <v>5.68</v>
      </c>
      <c r="D423" s="107"/>
    </row>
    <row r="424" spans="1:4" ht="15.75" outlineLevel="1">
      <c r="A424" s="35" t="s">
        <v>1012</v>
      </c>
      <c r="B424" s="36" t="s">
        <v>24</v>
      </c>
      <c r="C424" s="35">
        <v>5.47</v>
      </c>
      <c r="D424" s="107"/>
    </row>
    <row r="425" spans="1:4" ht="15.75" outlineLevel="1">
      <c r="A425" s="35" t="s">
        <v>1012</v>
      </c>
      <c r="B425" s="36" t="s">
        <v>25</v>
      </c>
      <c r="C425" s="35">
        <v>5.48</v>
      </c>
      <c r="D425" s="107"/>
    </row>
    <row r="426" spans="1:4" ht="15.75">
      <c r="A426" s="41" t="s">
        <v>1012</v>
      </c>
      <c r="B426" s="36"/>
      <c r="C426" s="35"/>
      <c r="D426" s="107"/>
    </row>
    <row r="427" spans="1:4" ht="15.75" outlineLevel="1">
      <c r="A427" s="35" t="s">
        <v>1126</v>
      </c>
      <c r="B427" s="36" t="s">
        <v>0</v>
      </c>
      <c r="C427" s="35">
        <v>5.0999999999999996</v>
      </c>
      <c r="D427" s="107"/>
    </row>
    <row r="428" spans="1:4" ht="15.75" outlineLevel="1">
      <c r="A428" s="35" t="s">
        <v>1126</v>
      </c>
      <c r="B428" s="36" t="s">
        <v>1</v>
      </c>
      <c r="C428" s="35">
        <v>5.2</v>
      </c>
      <c r="D428" s="107"/>
    </row>
    <row r="429" spans="1:4" ht="15.75" outlineLevel="1">
      <c r="A429" s="35" t="s">
        <v>1126</v>
      </c>
      <c r="B429" s="36" t="s">
        <v>2</v>
      </c>
      <c r="C429" s="35">
        <v>5.3</v>
      </c>
      <c r="D429" s="107"/>
    </row>
    <row r="430" spans="1:4" ht="15.75" outlineLevel="1">
      <c r="A430" s="35" t="s">
        <v>1126</v>
      </c>
      <c r="B430" s="36" t="s">
        <v>141</v>
      </c>
      <c r="C430" s="35">
        <v>5.6</v>
      </c>
      <c r="D430" s="107"/>
    </row>
    <row r="431" spans="1:4" ht="15.75" outlineLevel="1">
      <c r="A431" s="35" t="s">
        <v>1126</v>
      </c>
      <c r="B431" s="36" t="s">
        <v>1111</v>
      </c>
      <c r="C431" s="37">
        <v>5.0999999999999996</v>
      </c>
      <c r="D431" s="107"/>
    </row>
    <row r="432" spans="1:4" ht="15.75" outlineLevel="1">
      <c r="A432" s="35" t="s">
        <v>1126</v>
      </c>
      <c r="B432" s="36" t="s">
        <v>1110</v>
      </c>
      <c r="C432" s="35">
        <v>5.14</v>
      </c>
      <c r="D432" s="107"/>
    </row>
    <row r="433" spans="1:4" ht="15.75" outlineLevel="1">
      <c r="A433" s="35" t="s">
        <v>1126</v>
      </c>
      <c r="B433" s="36" t="s">
        <v>4</v>
      </c>
      <c r="C433" s="35">
        <v>5.19</v>
      </c>
      <c r="D433" s="107"/>
    </row>
    <row r="434" spans="1:4" ht="15.75" outlineLevel="1">
      <c r="A434" s="35" t="s">
        <v>1126</v>
      </c>
      <c r="B434" s="36" t="s">
        <v>143</v>
      </c>
      <c r="C434" s="35">
        <v>5.24</v>
      </c>
      <c r="D434" s="107"/>
    </row>
    <row r="435" spans="1:4" ht="15.75" outlineLevel="1">
      <c r="A435" s="35" t="s">
        <v>1126</v>
      </c>
      <c r="B435" s="36" t="s">
        <v>5</v>
      </c>
      <c r="C435" s="35">
        <v>5.26</v>
      </c>
      <c r="D435" s="107"/>
    </row>
    <row r="436" spans="1:4" ht="15.75" outlineLevel="1">
      <c r="A436" s="35" t="s">
        <v>1126</v>
      </c>
      <c r="B436" s="36" t="s">
        <v>6</v>
      </c>
      <c r="C436" s="35">
        <v>5.27</v>
      </c>
      <c r="D436" s="107"/>
    </row>
    <row r="437" spans="1:4" ht="15.75" outlineLevel="1">
      <c r="A437" s="35" t="s">
        <v>1126</v>
      </c>
      <c r="B437" s="36" t="s">
        <v>7</v>
      </c>
      <c r="C437" s="35">
        <v>5.28</v>
      </c>
      <c r="D437" s="107"/>
    </row>
    <row r="438" spans="1:4" ht="15.75" outlineLevel="1">
      <c r="A438" s="35" t="s">
        <v>1126</v>
      </c>
      <c r="B438" s="36" t="s">
        <v>323</v>
      </c>
      <c r="C438" s="35">
        <v>5.29</v>
      </c>
      <c r="D438" s="107"/>
    </row>
    <row r="439" spans="1:4" ht="15.75" outlineLevel="1">
      <c r="A439" s="35" t="s">
        <v>1126</v>
      </c>
      <c r="B439" s="36" t="s">
        <v>144</v>
      </c>
      <c r="C439" s="35">
        <v>5.31</v>
      </c>
      <c r="D439" s="107"/>
    </row>
    <row r="440" spans="1:4" ht="15.75" outlineLevel="1">
      <c r="A440" s="35" t="s">
        <v>1126</v>
      </c>
      <c r="B440" s="36" t="s">
        <v>120</v>
      </c>
      <c r="C440" s="35">
        <v>5.36</v>
      </c>
      <c r="D440" s="107"/>
    </row>
    <row r="441" spans="1:4" ht="15.75" outlineLevel="1">
      <c r="A441" s="35" t="s">
        <v>1126</v>
      </c>
      <c r="B441" s="36" t="s">
        <v>152</v>
      </c>
      <c r="C441" s="35">
        <v>5.37</v>
      </c>
      <c r="D441" s="107"/>
    </row>
    <row r="442" spans="1:4" ht="15.75" outlineLevel="1">
      <c r="A442" s="35" t="s">
        <v>1126</v>
      </c>
      <c r="B442" s="36" t="s">
        <v>11</v>
      </c>
      <c r="C442" s="35">
        <v>5.53</v>
      </c>
      <c r="D442" s="107"/>
    </row>
    <row r="443" spans="1:4" ht="15.75" outlineLevel="1">
      <c r="A443" s="35" t="s">
        <v>1126</v>
      </c>
      <c r="B443" s="36" t="s">
        <v>145</v>
      </c>
      <c r="C443" s="35">
        <v>5.109</v>
      </c>
      <c r="D443" s="107"/>
    </row>
    <row r="444" spans="1:4" ht="15.75" outlineLevel="1">
      <c r="A444" s="35" t="s">
        <v>1126</v>
      </c>
      <c r="B444" s="36" t="s">
        <v>146</v>
      </c>
      <c r="C444" s="35">
        <v>5.1109999999999998</v>
      </c>
      <c r="D444" s="107"/>
    </row>
    <row r="445" spans="1:4" ht="15.75" outlineLevel="1">
      <c r="A445" s="35" t="s">
        <v>1126</v>
      </c>
      <c r="B445" s="36" t="s">
        <v>129</v>
      </c>
      <c r="C445" s="35">
        <v>5.1120000000000001</v>
      </c>
      <c r="D445" s="107"/>
    </row>
    <row r="446" spans="1:4" ht="15.75" outlineLevel="1">
      <c r="A446" s="35" t="s">
        <v>1126</v>
      </c>
      <c r="B446" s="36" t="s">
        <v>1125</v>
      </c>
      <c r="C446" s="35">
        <v>5.1130000000000004</v>
      </c>
      <c r="D446" s="107"/>
    </row>
    <row r="447" spans="1:4" ht="15.75" outlineLevel="1">
      <c r="A447" s="35" t="s">
        <v>1126</v>
      </c>
      <c r="B447" s="36" t="s">
        <v>17</v>
      </c>
      <c r="C447" s="35">
        <v>5.58</v>
      </c>
      <c r="D447" s="107"/>
    </row>
    <row r="448" spans="1:4" ht="15.75" outlineLevel="1">
      <c r="A448" s="35" t="s">
        <v>1126</v>
      </c>
      <c r="B448" s="36" t="s">
        <v>18</v>
      </c>
      <c r="C448" s="35">
        <v>5.54</v>
      </c>
      <c r="D448" s="107"/>
    </row>
    <row r="449" spans="1:4" ht="15.75" outlineLevel="1">
      <c r="A449" s="35" t="s">
        <v>1126</v>
      </c>
      <c r="B449" s="36" t="s">
        <v>19</v>
      </c>
      <c r="C449" s="35">
        <v>5.55</v>
      </c>
      <c r="D449" s="107"/>
    </row>
    <row r="450" spans="1:4" ht="15.75" outlineLevel="1">
      <c r="A450" s="35" t="s">
        <v>1126</v>
      </c>
      <c r="B450" s="36" t="s">
        <v>20</v>
      </c>
      <c r="C450" s="35">
        <v>5.63</v>
      </c>
      <c r="D450" s="107"/>
    </row>
    <row r="451" spans="1:4" ht="15.75" outlineLevel="1">
      <c r="A451" s="35" t="s">
        <v>1126</v>
      </c>
      <c r="B451" s="36" t="s">
        <v>24</v>
      </c>
      <c r="C451" s="35">
        <v>5.47</v>
      </c>
      <c r="D451" s="107"/>
    </row>
    <row r="452" spans="1:4" ht="15.75" outlineLevel="1">
      <c r="A452" s="35" t="s">
        <v>1126</v>
      </c>
      <c r="B452" s="36" t="s">
        <v>25</v>
      </c>
      <c r="C452" s="35">
        <v>5.48</v>
      </c>
      <c r="D452" s="107"/>
    </row>
    <row r="453" spans="1:4" ht="31.5">
      <c r="A453" s="41" t="s">
        <v>1126</v>
      </c>
      <c r="B453" s="36"/>
      <c r="C453" s="35"/>
      <c r="D453" s="107"/>
    </row>
    <row r="454" spans="1:4" ht="15.75" outlineLevel="1">
      <c r="A454" s="35" t="s">
        <v>773</v>
      </c>
      <c r="B454" s="36" t="s">
        <v>0</v>
      </c>
      <c r="C454" s="35">
        <v>5.0999999999999996</v>
      </c>
      <c r="D454" s="107"/>
    </row>
    <row r="455" spans="1:4" ht="15.75" outlineLevel="1">
      <c r="A455" s="35" t="s">
        <v>773</v>
      </c>
      <c r="B455" s="36" t="s">
        <v>1</v>
      </c>
      <c r="C455" s="35">
        <v>5.2</v>
      </c>
      <c r="D455" s="107"/>
    </row>
    <row r="456" spans="1:4" ht="15.75" outlineLevel="1">
      <c r="A456" s="35" t="s">
        <v>773</v>
      </c>
      <c r="B456" s="36" t="s">
        <v>188</v>
      </c>
      <c r="C456" s="35">
        <v>5.5</v>
      </c>
      <c r="D456" s="107"/>
    </row>
    <row r="457" spans="1:4" ht="15.75" outlineLevel="1">
      <c r="A457" s="35" t="s">
        <v>773</v>
      </c>
      <c r="B457" s="36" t="s">
        <v>189</v>
      </c>
      <c r="C457" s="35">
        <v>5.8</v>
      </c>
      <c r="D457" s="106" t="s">
        <v>1109</v>
      </c>
    </row>
    <row r="458" spans="1:4" ht="15.75" outlineLevel="1">
      <c r="A458" s="35" t="s">
        <v>773</v>
      </c>
      <c r="B458" s="36" t="s">
        <v>190</v>
      </c>
      <c r="C458" s="35">
        <v>5.12</v>
      </c>
      <c r="D458" s="106" t="s">
        <v>1109</v>
      </c>
    </row>
    <row r="459" spans="1:4" ht="15.75" outlineLevel="1">
      <c r="A459" s="35" t="s">
        <v>773</v>
      </c>
      <c r="B459" s="36" t="s">
        <v>191</v>
      </c>
      <c r="C459" s="35">
        <v>5.15</v>
      </c>
      <c r="D459" s="107"/>
    </row>
    <row r="460" spans="1:4" ht="15.75" outlineLevel="1">
      <c r="A460" s="35" t="s">
        <v>773</v>
      </c>
      <c r="B460" s="36" t="s">
        <v>192</v>
      </c>
      <c r="C460" s="37">
        <v>5.2</v>
      </c>
      <c r="D460" s="106"/>
    </row>
    <row r="461" spans="1:4" ht="15.75" outlineLevel="1">
      <c r="A461" s="35" t="s">
        <v>773</v>
      </c>
      <c r="B461" s="36" t="s">
        <v>193</v>
      </c>
      <c r="C461" s="35">
        <v>5.25</v>
      </c>
      <c r="D461" s="107"/>
    </row>
    <row r="462" spans="1:4" ht="15.75" outlineLevel="1">
      <c r="A462" s="35" t="s">
        <v>773</v>
      </c>
      <c r="B462" s="36" t="s">
        <v>5</v>
      </c>
      <c r="C462" s="35">
        <v>5.26</v>
      </c>
      <c r="D462" s="107"/>
    </row>
    <row r="463" spans="1:4" ht="15.75" outlineLevel="1">
      <c r="A463" s="35" t="s">
        <v>773</v>
      </c>
      <c r="B463" s="36" t="s">
        <v>830</v>
      </c>
      <c r="C463" s="35">
        <v>5.1139999999999999</v>
      </c>
      <c r="D463" s="106" t="s">
        <v>1109</v>
      </c>
    </row>
    <row r="464" spans="1:4" ht="15.75" outlineLevel="1">
      <c r="A464" s="35" t="s">
        <v>773</v>
      </c>
      <c r="B464" s="36" t="s">
        <v>6</v>
      </c>
      <c r="C464" s="35">
        <v>5.27</v>
      </c>
      <c r="D464" s="107"/>
    </row>
    <row r="465" spans="1:4" ht="15.75" outlineLevel="1">
      <c r="A465" s="35" t="s">
        <v>773</v>
      </c>
      <c r="B465" s="36" t="s">
        <v>1127</v>
      </c>
      <c r="C465" s="35">
        <v>5.1150000000000002</v>
      </c>
      <c r="D465" s="106" t="s">
        <v>1109</v>
      </c>
    </row>
    <row r="466" spans="1:4" ht="15.75" outlineLevel="1">
      <c r="A466" s="35" t="s">
        <v>773</v>
      </c>
      <c r="B466" s="36" t="s">
        <v>1128</v>
      </c>
      <c r="C466" s="35">
        <v>5.1159999999999997</v>
      </c>
      <c r="D466" s="106" t="s">
        <v>1109</v>
      </c>
    </row>
    <row r="467" spans="1:4" ht="15.75" outlineLevel="1">
      <c r="A467" s="35" t="s">
        <v>773</v>
      </c>
      <c r="B467" s="36" t="s">
        <v>7</v>
      </c>
      <c r="C467" s="35">
        <v>5.28</v>
      </c>
      <c r="D467" s="107"/>
    </row>
    <row r="468" spans="1:4" ht="15.75" outlineLevel="1">
      <c r="A468" s="35" t="s">
        <v>773</v>
      </c>
      <c r="B468" s="36" t="s">
        <v>120</v>
      </c>
      <c r="C468" s="35">
        <v>5.36</v>
      </c>
      <c r="D468" s="107"/>
    </row>
    <row r="469" spans="1:4" ht="15.75" outlineLevel="1">
      <c r="A469" s="35" t="s">
        <v>773</v>
      </c>
      <c r="B469" s="36" t="s">
        <v>152</v>
      </c>
      <c r="C469" s="35">
        <v>5.37</v>
      </c>
      <c r="D469" s="107"/>
    </row>
    <row r="470" spans="1:4" ht="15.75" outlineLevel="1">
      <c r="A470" s="35" t="s">
        <v>773</v>
      </c>
      <c r="B470" s="36" t="s">
        <v>11</v>
      </c>
      <c r="C470" s="35">
        <v>5.53</v>
      </c>
      <c r="D470" s="107"/>
    </row>
    <row r="471" spans="1:4" ht="15.75" outlineLevel="1">
      <c r="A471" s="35" t="s">
        <v>773</v>
      </c>
      <c r="B471" s="36" t="s">
        <v>145</v>
      </c>
      <c r="C471" s="35">
        <v>5.109</v>
      </c>
      <c r="D471" s="107"/>
    </row>
    <row r="472" spans="1:4" ht="15.75" outlineLevel="1">
      <c r="A472" s="35" t="s">
        <v>773</v>
      </c>
      <c r="B472" s="36" t="s">
        <v>146</v>
      </c>
      <c r="C472" s="35">
        <v>5.1109999999999998</v>
      </c>
      <c r="D472" s="107"/>
    </row>
    <row r="473" spans="1:4" ht="15.75" outlineLevel="1">
      <c r="A473" s="35" t="s">
        <v>773</v>
      </c>
      <c r="B473" s="36" t="s">
        <v>129</v>
      </c>
      <c r="C473" s="35">
        <v>5.1120000000000001</v>
      </c>
      <c r="D473" s="107"/>
    </row>
    <row r="474" spans="1:4" ht="15.75" outlineLevel="1">
      <c r="A474" s="35" t="s">
        <v>773</v>
      </c>
      <c r="B474" s="36" t="s">
        <v>18</v>
      </c>
      <c r="C474" s="35">
        <v>5.54</v>
      </c>
      <c r="D474" s="107"/>
    </row>
    <row r="475" spans="1:4" ht="15.75" outlineLevel="1">
      <c r="A475" s="35" t="s">
        <v>773</v>
      </c>
      <c r="B475" s="36" t="s">
        <v>1129</v>
      </c>
      <c r="C475" s="35">
        <v>5.61</v>
      </c>
      <c r="D475" s="107"/>
    </row>
    <row r="476" spans="1:4" ht="15.75" outlineLevel="1">
      <c r="A476" s="35" t="s">
        <v>773</v>
      </c>
      <c r="B476" s="36" t="s">
        <v>20</v>
      </c>
      <c r="C476" s="35">
        <v>5.63</v>
      </c>
      <c r="D476" s="107"/>
    </row>
    <row r="477" spans="1:4" ht="15.75" outlineLevel="1">
      <c r="A477" s="35" t="s">
        <v>773</v>
      </c>
      <c r="B477" s="36" t="s">
        <v>1130</v>
      </c>
      <c r="C477" s="35">
        <v>5.46</v>
      </c>
      <c r="D477" s="107"/>
    </row>
    <row r="478" spans="1:4" ht="15.75" outlineLevel="1">
      <c r="A478" s="35" t="s">
        <v>773</v>
      </c>
      <c r="B478" s="36" t="s">
        <v>24</v>
      </c>
      <c r="C478" s="35">
        <v>5.47</v>
      </c>
      <c r="D478" s="107"/>
    </row>
    <row r="479" spans="1:4" ht="15.75" outlineLevel="1">
      <c r="A479" s="35" t="s">
        <v>773</v>
      </c>
      <c r="B479" s="36" t="s">
        <v>25</v>
      </c>
      <c r="C479" s="35">
        <v>5.48</v>
      </c>
      <c r="D479" s="107"/>
    </row>
    <row r="480" spans="1:4" ht="15.75">
      <c r="A480" s="41" t="s">
        <v>773</v>
      </c>
      <c r="B480" s="36"/>
      <c r="C480" s="35"/>
      <c r="D480" s="107"/>
    </row>
    <row r="481" spans="1:4" ht="15.75" outlineLevel="1">
      <c r="A481" s="35" t="s">
        <v>1131</v>
      </c>
      <c r="B481" s="36" t="s">
        <v>0</v>
      </c>
      <c r="C481" s="35">
        <v>5.0999999999999996</v>
      </c>
      <c r="D481" s="107"/>
    </row>
    <row r="482" spans="1:4" ht="15.75" outlineLevel="1">
      <c r="A482" s="35" t="s">
        <v>1131</v>
      </c>
      <c r="B482" s="36" t="s">
        <v>1</v>
      </c>
      <c r="C482" s="35">
        <v>5.2</v>
      </c>
      <c r="D482" s="107"/>
    </row>
    <row r="483" spans="1:4" ht="15.75" outlineLevel="1">
      <c r="A483" s="35" t="s">
        <v>1131</v>
      </c>
      <c r="B483" s="36" t="s">
        <v>2</v>
      </c>
      <c r="C483" s="35">
        <v>5.3</v>
      </c>
      <c r="D483" s="107"/>
    </row>
    <row r="484" spans="1:4" ht="15.75" outlineLevel="1">
      <c r="A484" s="35" t="s">
        <v>1131</v>
      </c>
      <c r="B484" s="36" t="s">
        <v>141</v>
      </c>
      <c r="C484" s="35">
        <v>5.6</v>
      </c>
      <c r="D484" s="107"/>
    </row>
    <row r="485" spans="1:4" ht="15.75" outlineLevel="1">
      <c r="A485" s="35" t="s">
        <v>1131</v>
      </c>
      <c r="B485" s="36" t="s">
        <v>1111</v>
      </c>
      <c r="C485" s="37">
        <v>5.0999999999999996</v>
      </c>
      <c r="D485" s="107"/>
    </row>
    <row r="486" spans="1:4" ht="15.75" outlineLevel="1">
      <c r="A486" s="35" t="s">
        <v>1131</v>
      </c>
      <c r="B486" s="36" t="s">
        <v>1110</v>
      </c>
      <c r="C486" s="35">
        <v>5.14</v>
      </c>
      <c r="D486" s="107"/>
    </row>
    <row r="487" spans="1:4" ht="15.75" outlineLevel="1">
      <c r="A487" s="35" t="s">
        <v>1131</v>
      </c>
      <c r="B487" s="36" t="s">
        <v>4</v>
      </c>
      <c r="C487" s="35">
        <v>5.19</v>
      </c>
      <c r="D487" s="107"/>
    </row>
    <row r="488" spans="1:4" ht="15.75" outlineLevel="1">
      <c r="A488" s="35" t="s">
        <v>1131</v>
      </c>
      <c r="B488" s="36" t="s">
        <v>143</v>
      </c>
      <c r="C488" s="35">
        <v>5.24</v>
      </c>
      <c r="D488" s="107"/>
    </row>
    <row r="489" spans="1:4" ht="15.75" outlineLevel="1">
      <c r="A489" s="35" t="s">
        <v>1131</v>
      </c>
      <c r="B489" s="36" t="s">
        <v>6</v>
      </c>
      <c r="C489" s="35">
        <v>5.27</v>
      </c>
      <c r="D489" s="107"/>
    </row>
    <row r="490" spans="1:4" ht="15.75" outlineLevel="1">
      <c r="A490" s="35" t="s">
        <v>1131</v>
      </c>
      <c r="B490" s="36" t="s">
        <v>7</v>
      </c>
      <c r="C490" s="35">
        <v>5.28</v>
      </c>
      <c r="D490" s="107"/>
    </row>
    <row r="491" spans="1:4" ht="15.75" outlineLevel="1">
      <c r="A491" s="35" t="s">
        <v>1131</v>
      </c>
      <c r="B491" s="36" t="s">
        <v>323</v>
      </c>
      <c r="C491" s="35">
        <v>5.29</v>
      </c>
      <c r="D491" s="107"/>
    </row>
    <row r="492" spans="1:4" ht="15.75" outlineLevel="1">
      <c r="A492" s="35" t="s">
        <v>1131</v>
      </c>
      <c r="B492" s="36" t="s">
        <v>1116</v>
      </c>
      <c r="C492" s="35">
        <v>5.34</v>
      </c>
      <c r="D492" s="107"/>
    </row>
    <row r="493" spans="1:4" ht="15.75" outlineLevel="1">
      <c r="A493" s="35" t="s">
        <v>1131</v>
      </c>
      <c r="B493" s="36" t="s">
        <v>144</v>
      </c>
      <c r="C493" s="35">
        <v>5.31</v>
      </c>
      <c r="D493" s="107"/>
    </row>
    <row r="494" spans="1:4" ht="15.75" outlineLevel="1">
      <c r="A494" s="35" t="s">
        <v>1131</v>
      </c>
      <c r="B494" s="36" t="s">
        <v>1117</v>
      </c>
      <c r="C494" s="35">
        <v>5.101</v>
      </c>
      <c r="D494" s="107"/>
    </row>
    <row r="495" spans="1:4" ht="15.75" outlineLevel="1">
      <c r="A495" s="35" t="s">
        <v>1131</v>
      </c>
      <c r="B495" s="36" t="s">
        <v>120</v>
      </c>
      <c r="C495" s="35">
        <v>5.36</v>
      </c>
      <c r="D495" s="107"/>
    </row>
    <row r="496" spans="1:4" ht="15.75" outlineLevel="1">
      <c r="A496" s="35" t="s">
        <v>1131</v>
      </c>
      <c r="B496" s="36" t="s">
        <v>152</v>
      </c>
      <c r="C496" s="35">
        <v>5.37</v>
      </c>
      <c r="D496" s="107"/>
    </row>
    <row r="497" spans="1:4" ht="15.75" outlineLevel="1">
      <c r="A497" s="35" t="s">
        <v>1131</v>
      </c>
      <c r="B497" s="36" t="s">
        <v>11</v>
      </c>
      <c r="C497" s="35">
        <v>5.53</v>
      </c>
      <c r="D497" s="107"/>
    </row>
    <row r="498" spans="1:4" ht="15.75" outlineLevel="1">
      <c r="A498" s="35" t="s">
        <v>1131</v>
      </c>
      <c r="B498" s="36" t="s">
        <v>145</v>
      </c>
      <c r="C498" s="35">
        <v>5.109</v>
      </c>
      <c r="D498" s="107"/>
    </row>
    <row r="499" spans="1:4" ht="15.75" outlineLevel="1">
      <c r="A499" s="35" t="s">
        <v>1131</v>
      </c>
      <c r="B499" s="36" t="s">
        <v>146</v>
      </c>
      <c r="C499" s="35">
        <v>5.1109999999999998</v>
      </c>
      <c r="D499" s="107"/>
    </row>
    <row r="500" spans="1:4" ht="15.75" outlineLevel="1">
      <c r="A500" s="35" t="s">
        <v>1131</v>
      </c>
      <c r="B500" s="36" t="s">
        <v>129</v>
      </c>
      <c r="C500" s="35">
        <v>5.1120000000000001</v>
      </c>
      <c r="D500" s="107"/>
    </row>
    <row r="501" spans="1:4" ht="15.75" outlineLevel="1">
      <c r="A501" s="35" t="s">
        <v>1131</v>
      </c>
      <c r="B501" s="36" t="s">
        <v>1118</v>
      </c>
      <c r="C501" s="35">
        <v>5.1020000000000003</v>
      </c>
      <c r="D501" s="107"/>
    </row>
    <row r="502" spans="1:4" ht="15.75" outlineLevel="1">
      <c r="A502" s="35" t="s">
        <v>1131</v>
      </c>
      <c r="B502" s="36" t="s">
        <v>1119</v>
      </c>
      <c r="C502" s="38">
        <v>5.0999999999999996</v>
      </c>
      <c r="D502" s="107"/>
    </row>
    <row r="503" spans="1:4" ht="15.75" outlineLevel="1">
      <c r="A503" s="35" t="s">
        <v>1131</v>
      </c>
      <c r="B503" s="36" t="s">
        <v>17</v>
      </c>
      <c r="C503" s="35">
        <v>5.58</v>
      </c>
      <c r="D503" s="107"/>
    </row>
    <row r="504" spans="1:4" ht="15.75" outlineLevel="1">
      <c r="A504" s="35" t="s">
        <v>1131</v>
      </c>
      <c r="B504" s="36" t="s">
        <v>19</v>
      </c>
      <c r="C504" s="35">
        <v>5.55</v>
      </c>
      <c r="D504" s="107"/>
    </row>
    <row r="505" spans="1:4" ht="15.75" outlineLevel="1">
      <c r="A505" s="35" t="s">
        <v>1131</v>
      </c>
      <c r="B505" s="36" t="s">
        <v>18</v>
      </c>
      <c r="C505" s="35">
        <v>5.54</v>
      </c>
      <c r="D505" s="107"/>
    </row>
    <row r="506" spans="1:4" ht="15.75" outlineLevel="1">
      <c r="A506" s="35" t="s">
        <v>1131</v>
      </c>
      <c r="B506" s="36" t="s">
        <v>20</v>
      </c>
      <c r="C506" s="35">
        <v>5.63</v>
      </c>
      <c r="D506" s="107"/>
    </row>
    <row r="507" spans="1:4" ht="15.75" outlineLevel="1">
      <c r="A507" s="35" t="s">
        <v>1131</v>
      </c>
      <c r="B507" s="36" t="s">
        <v>24</v>
      </c>
      <c r="C507" s="35">
        <v>5.47</v>
      </c>
      <c r="D507" s="107"/>
    </row>
    <row r="508" spans="1:4" ht="15.75" outlineLevel="1">
      <c r="A508" s="35" t="s">
        <v>1131</v>
      </c>
      <c r="B508" s="36" t="s">
        <v>25</v>
      </c>
      <c r="C508" s="35">
        <v>5.48</v>
      </c>
      <c r="D508" s="107"/>
    </row>
    <row r="509" spans="1:4" ht="15.75">
      <c r="A509" s="41" t="s">
        <v>1131</v>
      </c>
      <c r="B509" s="36"/>
      <c r="C509" s="35"/>
      <c r="D509" s="107"/>
    </row>
    <row r="510" spans="1:4" ht="15.75" outlineLevel="1">
      <c r="A510" s="35" t="s">
        <v>1030</v>
      </c>
      <c r="B510" s="36" t="s">
        <v>0</v>
      </c>
      <c r="C510" s="35">
        <v>5.0999999999999996</v>
      </c>
      <c r="D510" s="107"/>
    </row>
    <row r="511" spans="1:4" ht="15.75" outlineLevel="1">
      <c r="A511" s="35" t="s">
        <v>1030</v>
      </c>
      <c r="B511" s="36" t="s">
        <v>1</v>
      </c>
      <c r="C511" s="35">
        <v>5.2</v>
      </c>
      <c r="D511" s="107"/>
    </row>
    <row r="512" spans="1:4" ht="15.75" outlineLevel="1">
      <c r="A512" s="35" t="s">
        <v>1030</v>
      </c>
      <c r="B512" s="36" t="s">
        <v>2</v>
      </c>
      <c r="C512" s="35">
        <v>5.3</v>
      </c>
      <c r="D512" s="107"/>
    </row>
    <row r="513" spans="1:4" ht="15.75" outlineLevel="1">
      <c r="A513" s="35" t="s">
        <v>1030</v>
      </c>
      <c r="B513" s="36" t="s">
        <v>141</v>
      </c>
      <c r="C513" s="35">
        <v>5.6</v>
      </c>
      <c r="D513" s="107"/>
    </row>
    <row r="514" spans="1:4" ht="15.75" outlineLevel="1">
      <c r="A514" s="35" t="s">
        <v>1030</v>
      </c>
      <c r="B514" s="36" t="s">
        <v>1111</v>
      </c>
      <c r="C514" s="37">
        <v>5.0999999999999996</v>
      </c>
      <c r="D514" s="107"/>
    </row>
    <row r="515" spans="1:4" ht="15.75" outlineLevel="1">
      <c r="A515" s="35" t="s">
        <v>1030</v>
      </c>
      <c r="B515" s="36" t="s">
        <v>1110</v>
      </c>
      <c r="C515" s="35">
        <v>5.14</v>
      </c>
      <c r="D515" s="107"/>
    </row>
    <row r="516" spans="1:4" ht="15.75" outlineLevel="1">
      <c r="A516" s="35" t="s">
        <v>1030</v>
      </c>
      <c r="B516" s="36" t="s">
        <v>4</v>
      </c>
      <c r="C516" s="35">
        <v>5.19</v>
      </c>
      <c r="D516" s="107"/>
    </row>
    <row r="517" spans="1:4" ht="15.75" outlineLevel="1">
      <c r="A517" s="35" t="s">
        <v>1030</v>
      </c>
      <c r="B517" s="36" t="s">
        <v>143</v>
      </c>
      <c r="C517" s="35">
        <v>5.24</v>
      </c>
      <c r="D517" s="107"/>
    </row>
    <row r="518" spans="1:4" ht="15.75" outlineLevel="1">
      <c r="A518" s="35" t="s">
        <v>1030</v>
      </c>
      <c r="B518" s="36" t="s">
        <v>5</v>
      </c>
      <c r="C518" s="35">
        <v>5.26</v>
      </c>
      <c r="D518" s="107"/>
    </row>
    <row r="519" spans="1:4" ht="15.75" outlineLevel="1">
      <c r="A519" s="35" t="s">
        <v>1030</v>
      </c>
      <c r="B519" s="36" t="s">
        <v>6</v>
      </c>
      <c r="C519" s="35">
        <v>5.27</v>
      </c>
      <c r="D519" s="107"/>
    </row>
    <row r="520" spans="1:4" ht="15.75" outlineLevel="1">
      <c r="A520" s="35" t="s">
        <v>1030</v>
      </c>
      <c r="B520" s="36" t="s">
        <v>7</v>
      </c>
      <c r="C520" s="35">
        <v>5.28</v>
      </c>
      <c r="D520" s="107"/>
    </row>
    <row r="521" spans="1:4" ht="15.75" outlineLevel="1">
      <c r="A521" s="35" t="s">
        <v>1030</v>
      </c>
      <c r="B521" s="36" t="s">
        <v>144</v>
      </c>
      <c r="C521" s="35">
        <v>5.31</v>
      </c>
      <c r="D521" s="107"/>
    </row>
    <row r="522" spans="1:4" ht="15.75" outlineLevel="1">
      <c r="A522" s="35" t="s">
        <v>1030</v>
      </c>
      <c r="B522" s="36" t="s">
        <v>171</v>
      </c>
      <c r="C522" s="35">
        <v>5.33</v>
      </c>
      <c r="D522" s="107"/>
    </row>
    <row r="523" spans="1:4" ht="15.75" outlineLevel="1">
      <c r="A523" s="35" t="s">
        <v>1030</v>
      </c>
      <c r="B523" s="36" t="s">
        <v>1117</v>
      </c>
      <c r="C523" s="35">
        <v>5.101</v>
      </c>
      <c r="D523" s="107"/>
    </row>
    <row r="524" spans="1:4" ht="15.75" outlineLevel="1">
      <c r="A524" s="35" t="s">
        <v>1030</v>
      </c>
      <c r="B524" s="36" t="s">
        <v>120</v>
      </c>
      <c r="C524" s="35">
        <v>5.36</v>
      </c>
      <c r="D524" s="107"/>
    </row>
    <row r="525" spans="1:4" ht="15.75" outlineLevel="1">
      <c r="A525" s="35" t="s">
        <v>1030</v>
      </c>
      <c r="B525" s="36" t="s">
        <v>152</v>
      </c>
      <c r="C525" s="35">
        <v>5.37</v>
      </c>
      <c r="D525" s="107"/>
    </row>
    <row r="526" spans="1:4" ht="15.75" outlineLevel="1">
      <c r="A526" s="35" t="s">
        <v>1030</v>
      </c>
      <c r="B526" s="36" t="s">
        <v>11</v>
      </c>
      <c r="C526" s="35">
        <v>5.53</v>
      </c>
      <c r="D526" s="107"/>
    </row>
    <row r="527" spans="1:4" ht="15.75" outlineLevel="1">
      <c r="A527" s="35" t="s">
        <v>1030</v>
      </c>
      <c r="B527" s="36" t="s">
        <v>145</v>
      </c>
      <c r="C527" s="35">
        <v>5.109</v>
      </c>
      <c r="D527" s="107"/>
    </row>
    <row r="528" spans="1:4" ht="15.75" outlineLevel="1">
      <c r="A528" s="35" t="s">
        <v>1030</v>
      </c>
      <c r="B528" s="36" t="s">
        <v>146</v>
      </c>
      <c r="C528" s="35">
        <v>5.1109999999999998</v>
      </c>
      <c r="D528" s="107"/>
    </row>
    <row r="529" spans="1:4" ht="15.75" outlineLevel="1">
      <c r="A529" s="35" t="s">
        <v>1030</v>
      </c>
      <c r="B529" s="36" t="s">
        <v>129</v>
      </c>
      <c r="C529" s="35">
        <v>5.1120000000000001</v>
      </c>
      <c r="D529" s="107"/>
    </row>
    <row r="530" spans="1:4" ht="15.75" outlineLevel="1">
      <c r="A530" s="35" t="s">
        <v>1030</v>
      </c>
      <c r="B530" s="36" t="s">
        <v>1118</v>
      </c>
      <c r="C530" s="35">
        <v>5.1020000000000003</v>
      </c>
      <c r="D530" s="107"/>
    </row>
    <row r="531" spans="1:4" ht="15.75" outlineLevel="1">
      <c r="A531" s="35" t="s">
        <v>1030</v>
      </c>
      <c r="B531" s="36" t="s">
        <v>1119</v>
      </c>
      <c r="C531" s="38">
        <v>5.0999999999999996</v>
      </c>
      <c r="D531" s="107"/>
    </row>
    <row r="532" spans="1:4" ht="15.75" outlineLevel="1">
      <c r="A532" s="35" t="s">
        <v>1030</v>
      </c>
      <c r="B532" s="36" t="s">
        <v>17</v>
      </c>
      <c r="C532" s="35">
        <v>5.58</v>
      </c>
      <c r="D532" s="107"/>
    </row>
    <row r="533" spans="1:4" ht="15.75" outlineLevel="1">
      <c r="A533" s="35" t="s">
        <v>1030</v>
      </c>
      <c r="B533" s="36" t="s">
        <v>19</v>
      </c>
      <c r="C533" s="35">
        <v>5.55</v>
      </c>
      <c r="D533" s="107"/>
    </row>
    <row r="534" spans="1:4" ht="15.75" outlineLevel="1">
      <c r="A534" s="35" t="s">
        <v>1030</v>
      </c>
      <c r="B534" s="36" t="s">
        <v>18</v>
      </c>
      <c r="C534" s="35">
        <v>5.54</v>
      </c>
      <c r="D534" s="107"/>
    </row>
    <row r="535" spans="1:4" ht="15.75" outlineLevel="1">
      <c r="A535" s="35" t="s">
        <v>1030</v>
      </c>
      <c r="B535" s="36" t="s">
        <v>20</v>
      </c>
      <c r="C535" s="35">
        <v>5.63</v>
      </c>
      <c r="D535" s="107"/>
    </row>
    <row r="536" spans="1:4" ht="15.75" outlineLevel="1">
      <c r="A536" s="35" t="s">
        <v>1030</v>
      </c>
      <c r="B536" s="36" t="s">
        <v>24</v>
      </c>
      <c r="C536" s="35">
        <v>5.47</v>
      </c>
      <c r="D536" s="107"/>
    </row>
    <row r="537" spans="1:4" ht="15.75" outlineLevel="1">
      <c r="A537" s="35" t="s">
        <v>1030</v>
      </c>
      <c r="B537" s="36" t="s">
        <v>25</v>
      </c>
      <c r="C537" s="35">
        <v>5.48</v>
      </c>
      <c r="D537" s="107"/>
    </row>
    <row r="538" spans="1:4" ht="15.75">
      <c r="A538" s="41" t="s">
        <v>1030</v>
      </c>
      <c r="B538" s="36"/>
      <c r="C538" s="35"/>
      <c r="D538" s="107"/>
    </row>
    <row r="539" spans="1:4" ht="15.75" outlineLevel="1">
      <c r="A539" s="35" t="s">
        <v>1039</v>
      </c>
      <c r="B539" s="36" t="s">
        <v>0</v>
      </c>
      <c r="C539" s="35">
        <v>5.0999999999999996</v>
      </c>
      <c r="D539" s="107"/>
    </row>
    <row r="540" spans="1:4" ht="15.75" outlineLevel="1">
      <c r="A540" s="35" t="s">
        <v>1039</v>
      </c>
      <c r="B540" s="36" t="s">
        <v>1</v>
      </c>
      <c r="C540" s="35">
        <v>5.2</v>
      </c>
      <c r="D540" s="107"/>
    </row>
    <row r="541" spans="1:4" ht="15.75" outlineLevel="1">
      <c r="A541" s="35" t="s">
        <v>1039</v>
      </c>
      <c r="B541" s="36" t="s">
        <v>5</v>
      </c>
      <c r="C541" s="35">
        <v>5.26</v>
      </c>
      <c r="D541" s="107"/>
    </row>
    <row r="542" spans="1:4" ht="15.75" outlineLevel="1">
      <c r="A542" s="35" t="s">
        <v>1039</v>
      </c>
      <c r="B542" s="36" t="s">
        <v>1132</v>
      </c>
      <c r="C542" s="35">
        <v>5.21</v>
      </c>
      <c r="D542" s="107"/>
    </row>
    <row r="543" spans="1:4" ht="15.75" outlineLevel="1">
      <c r="A543" s="35" t="s">
        <v>1039</v>
      </c>
      <c r="B543" s="36" t="s">
        <v>1133</v>
      </c>
      <c r="C543" s="35">
        <v>5.53</v>
      </c>
      <c r="D543" s="107"/>
    </row>
    <row r="544" spans="1:4" ht="15.75" outlineLevel="1">
      <c r="A544" s="35" t="s">
        <v>1039</v>
      </c>
      <c r="B544" s="36" t="s">
        <v>18</v>
      </c>
      <c r="C544" s="35">
        <v>5.54</v>
      </c>
      <c r="D544" s="107"/>
    </row>
    <row r="545" spans="1:4" ht="15.75" outlineLevel="1">
      <c r="A545" s="35" t="s">
        <v>1039</v>
      </c>
      <c r="B545" s="36" t="s">
        <v>1134</v>
      </c>
      <c r="C545" s="35">
        <v>5.58</v>
      </c>
      <c r="D545" s="107"/>
    </row>
    <row r="546" spans="1:4" ht="15.75" outlineLevel="1">
      <c r="A546" s="35" t="s">
        <v>1039</v>
      </c>
      <c r="B546" s="36" t="s">
        <v>1135</v>
      </c>
      <c r="C546" s="35">
        <v>5.1180000000000003</v>
      </c>
      <c r="D546" s="107"/>
    </row>
    <row r="547" spans="1:4" ht="15.75" outlineLevel="1">
      <c r="A547" s="35" t="s">
        <v>1039</v>
      </c>
      <c r="B547" s="36" t="s">
        <v>1136</v>
      </c>
      <c r="C547" s="35">
        <v>5.47</v>
      </c>
      <c r="D547" s="107"/>
    </row>
    <row r="548" spans="1:4" ht="15.75" outlineLevel="1">
      <c r="A548" s="35" t="s">
        <v>1039</v>
      </c>
      <c r="B548" s="36" t="s">
        <v>1137</v>
      </c>
      <c r="C548" s="35">
        <v>5.48</v>
      </c>
      <c r="D548" s="107"/>
    </row>
    <row r="549" spans="1:4" ht="15.75" outlineLevel="1">
      <c r="A549" s="35" t="s">
        <v>1039</v>
      </c>
      <c r="B549" s="36" t="s">
        <v>1138</v>
      </c>
      <c r="C549" s="35">
        <v>5.21</v>
      </c>
      <c r="D549" s="107"/>
    </row>
    <row r="550" spans="1:4" ht="15.75" outlineLevel="1">
      <c r="A550" s="35" t="s">
        <v>1039</v>
      </c>
      <c r="B550" s="36" t="s">
        <v>1139</v>
      </c>
      <c r="C550" s="35">
        <v>5.53</v>
      </c>
      <c r="D550" s="107"/>
    </row>
    <row r="551" spans="1:4" ht="15.75" outlineLevel="1">
      <c r="A551" s="35" t="s">
        <v>1039</v>
      </c>
      <c r="B551" s="36" t="s">
        <v>18</v>
      </c>
      <c r="C551" s="35">
        <v>5.54</v>
      </c>
      <c r="D551" s="107"/>
    </row>
    <row r="552" spans="1:4" ht="15.75" outlineLevel="1">
      <c r="A552" s="35" t="s">
        <v>1039</v>
      </c>
      <c r="B552" s="36" t="s">
        <v>1140</v>
      </c>
      <c r="C552" s="35">
        <v>5.58</v>
      </c>
      <c r="D552" s="107"/>
    </row>
    <row r="553" spans="1:4" ht="15.75" outlineLevel="1">
      <c r="A553" s="35" t="s">
        <v>1039</v>
      </c>
      <c r="B553" s="36" t="s">
        <v>1141</v>
      </c>
      <c r="C553" s="35">
        <v>5.1180000000000003</v>
      </c>
      <c r="D553" s="107"/>
    </row>
    <row r="554" spans="1:4" ht="15.75" outlineLevel="1">
      <c r="A554" s="35" t="s">
        <v>1039</v>
      </c>
      <c r="B554" s="36" t="s">
        <v>1142</v>
      </c>
      <c r="C554" s="35">
        <v>5.47</v>
      </c>
      <c r="D554" s="107"/>
    </row>
    <row r="555" spans="1:4" ht="15.75" outlineLevel="1">
      <c r="A555" s="35" t="s">
        <v>1039</v>
      </c>
      <c r="B555" s="36" t="s">
        <v>1143</v>
      </c>
      <c r="C555" s="35">
        <v>5.48</v>
      </c>
      <c r="D555" s="107"/>
    </row>
    <row r="556" spans="1:4" ht="15.75" outlineLevel="1">
      <c r="A556" s="35" t="s">
        <v>1039</v>
      </c>
      <c r="B556" s="36" t="s">
        <v>1144</v>
      </c>
      <c r="C556" s="35">
        <v>5.63</v>
      </c>
      <c r="D556" s="107"/>
    </row>
    <row r="557" spans="1:4" ht="15.75" outlineLevel="1">
      <c r="A557" s="35" t="s">
        <v>1039</v>
      </c>
      <c r="B557" s="36" t="s">
        <v>6</v>
      </c>
      <c r="C557" s="35">
        <v>5.27</v>
      </c>
      <c r="D557" s="107"/>
    </row>
    <row r="558" spans="1:4" ht="15.75" outlineLevel="1">
      <c r="A558" s="35" t="s">
        <v>1039</v>
      </c>
      <c r="B558" s="36" t="s">
        <v>7</v>
      </c>
      <c r="C558" s="35">
        <v>5.28</v>
      </c>
      <c r="D558" s="107"/>
    </row>
    <row r="559" spans="1:4" ht="15.75" outlineLevel="1">
      <c r="A559" s="35" t="s">
        <v>1039</v>
      </c>
      <c r="B559" s="36" t="s">
        <v>1145</v>
      </c>
      <c r="C559" s="35">
        <v>5.35</v>
      </c>
      <c r="D559" s="107"/>
    </row>
    <row r="560" spans="1:4" ht="15.75" outlineLevel="1">
      <c r="A560" s="35" t="s">
        <v>1039</v>
      </c>
      <c r="B560" s="36" t="s">
        <v>926</v>
      </c>
      <c r="C560" s="35">
        <v>5.1189999999999998</v>
      </c>
      <c r="D560" s="107"/>
    </row>
    <row r="561" spans="1:4" ht="15.75" outlineLevel="1">
      <c r="A561" s="35" t="s">
        <v>1039</v>
      </c>
      <c r="B561" s="36" t="s">
        <v>933</v>
      </c>
      <c r="C561" s="38">
        <v>5.12</v>
      </c>
      <c r="D561" s="107"/>
    </row>
    <row r="562" spans="1:4" ht="15.75" outlineLevel="1">
      <c r="A562" s="35" t="s">
        <v>1039</v>
      </c>
      <c r="B562" s="36" t="s">
        <v>321</v>
      </c>
      <c r="C562" s="35">
        <v>5.1210000000000004</v>
      </c>
      <c r="D562" s="107"/>
    </row>
    <row r="563" spans="1:4" ht="15.75" outlineLevel="1">
      <c r="A563" s="35" t="s">
        <v>1039</v>
      </c>
      <c r="B563" s="36" t="s">
        <v>120</v>
      </c>
      <c r="C563" s="35">
        <v>5.36</v>
      </c>
      <c r="D563" s="107"/>
    </row>
    <row r="564" spans="1:4" ht="15.75" outlineLevel="1">
      <c r="A564" s="35" t="s">
        <v>1039</v>
      </c>
      <c r="B564" s="36" t="s">
        <v>1146</v>
      </c>
      <c r="C564" s="35">
        <v>5.1219999999999999</v>
      </c>
      <c r="D564" s="107"/>
    </row>
    <row r="565" spans="1:4" ht="15.75" outlineLevel="1">
      <c r="A565" s="35" t="s">
        <v>1039</v>
      </c>
      <c r="B565" s="36" t="s">
        <v>1147</v>
      </c>
      <c r="C565" s="35">
        <v>5.1230000000000002</v>
      </c>
      <c r="D565" s="107"/>
    </row>
    <row r="566" spans="1:4" ht="15.75" outlineLevel="1">
      <c r="A566" s="35" t="s">
        <v>1039</v>
      </c>
      <c r="B566" s="36" t="s">
        <v>897</v>
      </c>
      <c r="C566" s="35">
        <v>5.1239999999999997</v>
      </c>
      <c r="D566" s="107"/>
    </row>
    <row r="567" spans="1:4" ht="15.75" outlineLevel="1">
      <c r="A567" s="35" t="s">
        <v>1039</v>
      </c>
      <c r="B567" s="36" t="s">
        <v>905</v>
      </c>
      <c r="C567" s="35">
        <v>5.125</v>
      </c>
      <c r="D567" s="107"/>
    </row>
    <row r="568" spans="1:4" ht="15.75" outlineLevel="1">
      <c r="A568" s="35" t="s">
        <v>1039</v>
      </c>
      <c r="B568" s="36" t="s">
        <v>1148</v>
      </c>
      <c r="C568" s="35">
        <v>5.1260000000000003</v>
      </c>
      <c r="D568" s="107"/>
    </row>
    <row r="569" spans="1:4" ht="15.75" outlineLevel="1">
      <c r="A569" s="35" t="s">
        <v>1039</v>
      </c>
      <c r="B569" s="36" t="s">
        <v>923</v>
      </c>
      <c r="C569" s="35">
        <v>5.1269999999999998</v>
      </c>
      <c r="D569" s="107"/>
    </row>
    <row r="570" spans="1:4" ht="15.75" outlineLevel="1">
      <c r="A570" s="35" t="s">
        <v>1039</v>
      </c>
      <c r="B570" s="36" t="s">
        <v>908</v>
      </c>
      <c r="C570" s="37">
        <v>5.72</v>
      </c>
      <c r="D570" s="107"/>
    </row>
    <row r="571" spans="1:4" ht="15.75" outlineLevel="1">
      <c r="A571" s="35" t="s">
        <v>1039</v>
      </c>
      <c r="B571" s="36" t="s">
        <v>919</v>
      </c>
      <c r="C571" s="35">
        <v>5.1280000000000001</v>
      </c>
      <c r="D571" s="107"/>
    </row>
    <row r="572" spans="1:4" ht="15.75" outlineLevel="1">
      <c r="A572" s="35" t="s">
        <v>1039</v>
      </c>
      <c r="B572" s="36" t="s">
        <v>1149</v>
      </c>
      <c r="C572" s="35">
        <v>5.1289999999999996</v>
      </c>
      <c r="D572" s="106" t="s">
        <v>1109</v>
      </c>
    </row>
    <row r="573" spans="1:4" ht="15.75" outlineLevel="1">
      <c r="A573" s="35" t="s">
        <v>1039</v>
      </c>
      <c r="B573" s="36" t="s">
        <v>1150</v>
      </c>
      <c r="C573" s="35">
        <v>5.1310000000000002</v>
      </c>
      <c r="D573" s="107"/>
    </row>
    <row r="574" spans="1:4" ht="15.75" outlineLevel="1">
      <c r="A574" s="35" t="s">
        <v>1039</v>
      </c>
      <c r="B574" s="36" t="s">
        <v>1151</v>
      </c>
      <c r="C574" s="35">
        <v>5.1319999999999997</v>
      </c>
      <c r="D574" s="106" t="s">
        <v>1109</v>
      </c>
    </row>
    <row r="575" spans="1:4" ht="15.75" outlineLevel="1">
      <c r="A575" s="35" t="s">
        <v>1039</v>
      </c>
      <c r="B575" s="36" t="s">
        <v>948</v>
      </c>
      <c r="C575" s="35">
        <v>5.133</v>
      </c>
      <c r="D575" s="106" t="s">
        <v>1109</v>
      </c>
    </row>
    <row r="576" spans="1:4" ht="15.75" outlineLevel="1">
      <c r="A576" s="35" t="s">
        <v>1039</v>
      </c>
      <c r="B576" s="36" t="s">
        <v>1152</v>
      </c>
      <c r="C576" s="35">
        <v>5.1340000000000003</v>
      </c>
      <c r="D576" s="106" t="s">
        <v>1109</v>
      </c>
    </row>
    <row r="577" spans="1:4" ht="15.75" outlineLevel="1">
      <c r="A577" s="35" t="s">
        <v>1039</v>
      </c>
      <c r="B577" s="36" t="s">
        <v>1153</v>
      </c>
      <c r="C577" s="38">
        <v>5.13</v>
      </c>
      <c r="D577" s="107"/>
    </row>
    <row r="578" spans="1:4" ht="15.75" outlineLevel="1">
      <c r="A578" s="35" t="s">
        <v>1039</v>
      </c>
      <c r="B578" s="36" t="s">
        <v>24</v>
      </c>
      <c r="C578" s="35">
        <v>5.47</v>
      </c>
      <c r="D578" s="107"/>
    </row>
    <row r="579" spans="1:4" ht="15.75" outlineLevel="1">
      <c r="A579" s="35" t="s">
        <v>1039</v>
      </c>
      <c r="B579" s="36" t="s">
        <v>25</v>
      </c>
      <c r="C579" s="35">
        <v>5.48</v>
      </c>
      <c r="D579" s="107"/>
    </row>
    <row r="580" spans="1:4" ht="15.75">
      <c r="A580" s="41" t="s">
        <v>1039</v>
      </c>
      <c r="B580" s="36"/>
      <c r="C580" s="35"/>
      <c r="D580" s="107"/>
    </row>
    <row r="581" spans="1:4" ht="15.75" outlineLevel="1">
      <c r="A581" s="35" t="s">
        <v>1032</v>
      </c>
      <c r="B581" s="36" t="s">
        <v>0</v>
      </c>
      <c r="C581" s="35">
        <v>5.0999999999999996</v>
      </c>
      <c r="D581" s="107"/>
    </row>
    <row r="582" spans="1:4" ht="15.75" outlineLevel="1">
      <c r="A582" s="35" t="s">
        <v>1032</v>
      </c>
      <c r="B582" s="36" t="s">
        <v>1</v>
      </c>
      <c r="C582" s="35">
        <v>5.2</v>
      </c>
      <c r="D582" s="107"/>
    </row>
    <row r="583" spans="1:4" ht="15.75" outlineLevel="1">
      <c r="A583" s="35" t="s">
        <v>1032</v>
      </c>
      <c r="B583" s="36" t="s">
        <v>115</v>
      </c>
      <c r="C583" s="35">
        <v>5.9</v>
      </c>
      <c r="D583" s="106" t="s">
        <v>1109</v>
      </c>
    </row>
    <row r="584" spans="1:4" ht="15.75" outlineLevel="1">
      <c r="A584" s="35" t="s">
        <v>1032</v>
      </c>
      <c r="B584" s="36" t="s">
        <v>116</v>
      </c>
      <c r="C584" s="35">
        <v>5.13</v>
      </c>
      <c r="D584" s="106" t="s">
        <v>1109</v>
      </c>
    </row>
    <row r="585" spans="1:4" ht="15.75" outlineLevel="1">
      <c r="A585" s="35" t="s">
        <v>1032</v>
      </c>
      <c r="B585" s="36" t="s">
        <v>117</v>
      </c>
      <c r="C585" s="35">
        <v>5.16</v>
      </c>
      <c r="D585" s="106" t="s">
        <v>1109</v>
      </c>
    </row>
    <row r="586" spans="1:4" ht="15.75" outlineLevel="1">
      <c r="A586" s="35" t="s">
        <v>1032</v>
      </c>
      <c r="B586" s="36" t="s">
        <v>118</v>
      </c>
      <c r="C586" s="35">
        <v>5.22</v>
      </c>
      <c r="D586" s="106"/>
    </row>
    <row r="587" spans="1:4" ht="15.75" outlineLevel="1">
      <c r="A587" s="35" t="s">
        <v>1032</v>
      </c>
      <c r="B587" s="36" t="s">
        <v>5</v>
      </c>
      <c r="C587" s="35">
        <v>5.26</v>
      </c>
      <c r="D587" s="107"/>
    </row>
    <row r="588" spans="1:4" ht="15.75" outlineLevel="1">
      <c r="A588" s="35" t="s">
        <v>1032</v>
      </c>
      <c r="B588" s="36" t="s">
        <v>1154</v>
      </c>
      <c r="C588" s="35">
        <v>5.77</v>
      </c>
      <c r="D588" s="107"/>
    </row>
    <row r="589" spans="1:4" ht="15.75" outlineLevel="1">
      <c r="A589" s="35" t="s">
        <v>1032</v>
      </c>
      <c r="B589" s="36" t="s">
        <v>6</v>
      </c>
      <c r="C589" s="35">
        <v>5.27</v>
      </c>
      <c r="D589" s="107"/>
    </row>
    <row r="590" spans="1:4" ht="15.75" outlineLevel="1">
      <c r="A590" s="35" t="s">
        <v>1032</v>
      </c>
      <c r="B590" s="36" t="s">
        <v>7</v>
      </c>
      <c r="C590" s="35">
        <v>5.28</v>
      </c>
      <c r="D590" s="106" t="s">
        <v>1109</v>
      </c>
    </row>
    <row r="591" spans="1:4" ht="15.75" outlineLevel="1">
      <c r="A591" s="35" t="s">
        <v>1032</v>
      </c>
      <c r="B591" s="36" t="s">
        <v>144</v>
      </c>
      <c r="C591" s="35">
        <v>5.31</v>
      </c>
      <c r="D591" s="107"/>
    </row>
    <row r="592" spans="1:4" ht="15.75" outlineLevel="1">
      <c r="A592" s="35" t="s">
        <v>1032</v>
      </c>
      <c r="B592" s="36" t="s">
        <v>120</v>
      </c>
      <c r="C592" s="35">
        <v>5.36</v>
      </c>
      <c r="D592" s="107"/>
    </row>
    <row r="593" spans="1:4" ht="15.75" outlineLevel="1">
      <c r="A593" s="35" t="s">
        <v>1032</v>
      </c>
      <c r="B593" s="36" t="s">
        <v>1155</v>
      </c>
      <c r="C593" s="35">
        <v>5.78</v>
      </c>
      <c r="D593" s="107"/>
    </row>
    <row r="594" spans="1:4" ht="15.75" outlineLevel="1">
      <c r="A594" s="35" t="s">
        <v>1032</v>
      </c>
      <c r="B594" s="36" t="s">
        <v>1156</v>
      </c>
      <c r="C594" s="35">
        <v>5.79</v>
      </c>
      <c r="D594" s="106" t="s">
        <v>1109</v>
      </c>
    </row>
    <row r="595" spans="1:4" ht="15.75" outlineLevel="1">
      <c r="A595" s="35" t="s">
        <v>1032</v>
      </c>
      <c r="B595" s="36" t="s">
        <v>1157</v>
      </c>
      <c r="C595" s="35">
        <v>5.41</v>
      </c>
      <c r="D595" s="107"/>
    </row>
    <row r="596" spans="1:4" ht="15.75" outlineLevel="1">
      <c r="A596" s="35" t="s">
        <v>1032</v>
      </c>
      <c r="B596" s="36" t="s">
        <v>9</v>
      </c>
      <c r="C596" s="35">
        <v>5.49</v>
      </c>
      <c r="D596" s="107"/>
    </row>
    <row r="597" spans="1:4" ht="15.75" outlineLevel="1">
      <c r="A597" s="35" t="s">
        <v>1032</v>
      </c>
      <c r="B597" s="36" t="s">
        <v>10</v>
      </c>
      <c r="C597" s="35">
        <v>5.51</v>
      </c>
      <c r="D597" s="107"/>
    </row>
    <row r="598" spans="1:4" ht="15.75" outlineLevel="1">
      <c r="A598" s="35" t="s">
        <v>1032</v>
      </c>
      <c r="B598" s="36" t="s">
        <v>1158</v>
      </c>
      <c r="C598" s="35">
        <v>5.52</v>
      </c>
      <c r="D598" s="107"/>
    </row>
    <row r="599" spans="1:4" ht="15.75" outlineLevel="1">
      <c r="A599" s="35" t="s">
        <v>1032</v>
      </c>
      <c r="B599" s="36" t="s">
        <v>11</v>
      </c>
      <c r="C599" s="35">
        <v>5.53</v>
      </c>
      <c r="D599" s="107"/>
    </row>
    <row r="600" spans="1:4" ht="15.75" outlineLevel="1">
      <c r="A600" s="35" t="s">
        <v>1032</v>
      </c>
      <c r="B600" s="36" t="s">
        <v>12</v>
      </c>
      <c r="C600" s="35">
        <v>5.69</v>
      </c>
      <c r="D600" s="107"/>
    </row>
    <row r="601" spans="1:4" ht="15.75" outlineLevel="1">
      <c r="A601" s="35" t="s">
        <v>1032</v>
      </c>
      <c r="B601" s="36" t="s">
        <v>122</v>
      </c>
      <c r="C601" s="35">
        <v>5.71</v>
      </c>
      <c r="D601" s="107"/>
    </row>
    <row r="602" spans="1:4" ht="15.75" outlineLevel="1">
      <c r="A602" s="35" t="s">
        <v>1032</v>
      </c>
      <c r="B602" s="36" t="s">
        <v>14</v>
      </c>
      <c r="C602" s="37">
        <v>5.7</v>
      </c>
      <c r="D602" s="107"/>
    </row>
    <row r="603" spans="1:4" ht="15.75" outlineLevel="1">
      <c r="A603" s="35" t="s">
        <v>1032</v>
      </c>
      <c r="B603" s="36" t="s">
        <v>751</v>
      </c>
      <c r="C603" s="37">
        <v>5.8</v>
      </c>
      <c r="D603" s="106" t="s">
        <v>1109</v>
      </c>
    </row>
    <row r="604" spans="1:4" ht="15.75" outlineLevel="1">
      <c r="A604" s="35" t="s">
        <v>1032</v>
      </c>
      <c r="B604" s="36" t="s">
        <v>908</v>
      </c>
      <c r="C604" s="37">
        <v>5.72</v>
      </c>
      <c r="D604" s="106" t="s">
        <v>1109</v>
      </c>
    </row>
    <row r="605" spans="1:4" ht="15.75" outlineLevel="1">
      <c r="A605" s="35" t="s">
        <v>1032</v>
      </c>
      <c r="B605" s="36" t="s">
        <v>1159</v>
      </c>
      <c r="C605" s="35">
        <v>5.73</v>
      </c>
      <c r="D605" s="106" t="s">
        <v>1109</v>
      </c>
    </row>
    <row r="606" spans="1:4" ht="15.75" outlineLevel="1">
      <c r="A606" s="35" t="s">
        <v>1032</v>
      </c>
      <c r="B606" s="36" t="s">
        <v>15</v>
      </c>
      <c r="C606" s="35">
        <v>5.74</v>
      </c>
      <c r="D606" s="107"/>
    </row>
    <row r="607" spans="1:4" ht="15.75" outlineLevel="1">
      <c r="A607" s="35" t="s">
        <v>1032</v>
      </c>
      <c r="B607" s="36" t="s">
        <v>13</v>
      </c>
      <c r="C607" s="35">
        <v>5.75</v>
      </c>
      <c r="D607" s="107"/>
    </row>
    <row r="608" spans="1:4" ht="15.75" outlineLevel="1">
      <c r="A608" s="35" t="s">
        <v>1032</v>
      </c>
      <c r="B608" s="36" t="s">
        <v>407</v>
      </c>
      <c r="C608" s="35">
        <v>5.76</v>
      </c>
      <c r="D608" s="107"/>
    </row>
    <row r="609" spans="1:4" ht="15.75" outlineLevel="1">
      <c r="A609" s="35" t="s">
        <v>1032</v>
      </c>
      <c r="B609" s="36" t="s">
        <v>756</v>
      </c>
      <c r="C609" s="35">
        <v>5.81</v>
      </c>
      <c r="D609" s="106" t="s">
        <v>1109</v>
      </c>
    </row>
    <row r="610" spans="1:4" ht="15.75" outlineLevel="1">
      <c r="A610" s="35" t="s">
        <v>1032</v>
      </c>
      <c r="B610" s="36" t="s">
        <v>1160</v>
      </c>
      <c r="C610" s="35">
        <v>5.82</v>
      </c>
      <c r="D610" s="106" t="s">
        <v>1109</v>
      </c>
    </row>
    <row r="611" spans="1:4" ht="15.75" outlineLevel="1">
      <c r="A611" s="35" t="s">
        <v>1032</v>
      </c>
      <c r="B611" s="36" t="s">
        <v>1161</v>
      </c>
      <c r="C611" s="35">
        <v>5.83</v>
      </c>
      <c r="D611" s="106" t="s">
        <v>1109</v>
      </c>
    </row>
    <row r="612" spans="1:4" ht="15.75" outlineLevel="1">
      <c r="A612" s="35" t="s">
        <v>1032</v>
      </c>
      <c r="B612" s="36" t="s">
        <v>1162</v>
      </c>
      <c r="C612" s="35">
        <v>5.84</v>
      </c>
      <c r="D612" s="107"/>
    </row>
    <row r="613" spans="1:4" ht="15.75" outlineLevel="1">
      <c r="A613" s="35" t="s">
        <v>1032</v>
      </c>
      <c r="B613" s="36" t="s">
        <v>779</v>
      </c>
      <c r="C613" s="35">
        <v>5.85</v>
      </c>
      <c r="D613" s="106" t="s">
        <v>1109</v>
      </c>
    </row>
    <row r="614" spans="1:4" ht="15.75" outlineLevel="1">
      <c r="A614" s="35" t="s">
        <v>1032</v>
      </c>
      <c r="B614" s="36" t="s">
        <v>780</v>
      </c>
      <c r="C614" s="35">
        <v>5.86</v>
      </c>
      <c r="D614" s="106" t="s">
        <v>1109</v>
      </c>
    </row>
    <row r="615" spans="1:4" ht="15.75" outlineLevel="1">
      <c r="A615" s="35" t="s">
        <v>1032</v>
      </c>
      <c r="B615" s="36" t="s">
        <v>1163</v>
      </c>
      <c r="C615" s="35">
        <v>5.88</v>
      </c>
      <c r="D615" s="106" t="s">
        <v>1109</v>
      </c>
    </row>
    <row r="616" spans="1:4" ht="15.75" outlineLevel="1">
      <c r="A616" s="35" t="s">
        <v>1032</v>
      </c>
      <c r="B616" s="36" t="s">
        <v>786</v>
      </c>
      <c r="C616" s="35">
        <v>5.87</v>
      </c>
      <c r="D616" s="107"/>
    </row>
    <row r="617" spans="1:4" ht="15.75" outlineLevel="1">
      <c r="A617" s="35" t="s">
        <v>1032</v>
      </c>
      <c r="B617" s="36" t="s">
        <v>145</v>
      </c>
      <c r="C617" s="35">
        <v>5.109</v>
      </c>
      <c r="D617" s="107"/>
    </row>
    <row r="618" spans="1:4" ht="15.75" outlineLevel="1">
      <c r="A618" s="35" t="s">
        <v>1032</v>
      </c>
      <c r="B618" s="36" t="s">
        <v>158</v>
      </c>
      <c r="C618" s="38">
        <v>5.1100000000000003</v>
      </c>
      <c r="D618" s="106" t="s">
        <v>1109</v>
      </c>
    </row>
    <row r="619" spans="1:4" ht="15.75" outlineLevel="1">
      <c r="A619" s="35" t="s">
        <v>1032</v>
      </c>
      <c r="B619" s="36" t="s">
        <v>146</v>
      </c>
      <c r="C619" s="35">
        <v>5.1109999999999998</v>
      </c>
      <c r="D619" s="107"/>
    </row>
    <row r="620" spans="1:4" ht="15.75" outlineLevel="1">
      <c r="A620" s="35" t="s">
        <v>1032</v>
      </c>
      <c r="B620" s="36" t="s">
        <v>129</v>
      </c>
      <c r="C620" s="35">
        <v>5.1120000000000001</v>
      </c>
      <c r="D620" s="107"/>
    </row>
    <row r="621" spans="1:4" ht="15.75" outlineLevel="1">
      <c r="A621" s="35" t="s">
        <v>1032</v>
      </c>
      <c r="B621" s="36" t="s">
        <v>1125</v>
      </c>
      <c r="C621" s="35">
        <v>5.1130000000000004</v>
      </c>
      <c r="D621" s="107"/>
    </row>
    <row r="622" spans="1:4" ht="15.75" outlineLevel="1">
      <c r="A622" s="35" t="s">
        <v>1032</v>
      </c>
      <c r="B622" s="36" t="s">
        <v>1164</v>
      </c>
      <c r="C622" s="35">
        <v>5.99</v>
      </c>
      <c r="D622" s="106" t="s">
        <v>1109</v>
      </c>
    </row>
    <row r="623" spans="1:4" ht="15.75" outlineLevel="1">
      <c r="A623" s="35" t="s">
        <v>1032</v>
      </c>
      <c r="B623" s="36" t="s">
        <v>1165</v>
      </c>
      <c r="C623" s="35">
        <v>5.58</v>
      </c>
      <c r="D623" s="106"/>
    </row>
    <row r="624" spans="1:4" ht="15.75" outlineLevel="1">
      <c r="A624" s="35" t="s">
        <v>1032</v>
      </c>
      <c r="B624" s="36" t="s">
        <v>18</v>
      </c>
      <c r="C624" s="35">
        <v>5.54</v>
      </c>
      <c r="D624" s="107"/>
    </row>
    <row r="625" spans="1:4" ht="15.75" outlineLevel="1">
      <c r="A625" s="35" t="s">
        <v>1032</v>
      </c>
      <c r="B625" s="36" t="s">
        <v>1166</v>
      </c>
      <c r="C625" s="35">
        <v>5.56</v>
      </c>
      <c r="D625" s="107"/>
    </row>
    <row r="626" spans="1:4" ht="15.75" outlineLevel="1">
      <c r="A626" s="35" t="s">
        <v>1032</v>
      </c>
      <c r="B626" s="36" t="s">
        <v>20</v>
      </c>
      <c r="C626" s="35">
        <v>5.63</v>
      </c>
      <c r="D626" s="107"/>
    </row>
    <row r="627" spans="1:4" ht="15.75" outlineLevel="1">
      <c r="A627" s="35" t="s">
        <v>1032</v>
      </c>
      <c r="B627" s="36" t="s">
        <v>159</v>
      </c>
      <c r="C627" s="35">
        <v>5.64</v>
      </c>
      <c r="D627" s="107"/>
    </row>
    <row r="628" spans="1:4" ht="15.75" outlineLevel="1">
      <c r="A628" s="35" t="s">
        <v>1032</v>
      </c>
      <c r="B628" s="36" t="s">
        <v>21</v>
      </c>
      <c r="C628" s="35">
        <v>5.65</v>
      </c>
      <c r="D628" s="107"/>
    </row>
    <row r="629" spans="1:4" ht="15.75" outlineLevel="1">
      <c r="A629" s="35" t="s">
        <v>1032</v>
      </c>
      <c r="B629" s="36" t="s">
        <v>160</v>
      </c>
      <c r="C629" s="35">
        <v>5.66</v>
      </c>
      <c r="D629" s="107"/>
    </row>
    <row r="630" spans="1:4" ht="15.75" outlineLevel="1">
      <c r="A630" s="35" t="s">
        <v>1032</v>
      </c>
      <c r="B630" s="36" t="s">
        <v>829</v>
      </c>
      <c r="C630" s="35">
        <v>5.89</v>
      </c>
      <c r="D630" s="106" t="s">
        <v>1109</v>
      </c>
    </row>
    <row r="631" spans="1:4" ht="15.75" outlineLevel="1">
      <c r="A631" s="35" t="s">
        <v>1032</v>
      </c>
      <c r="B631" s="36" t="s">
        <v>22</v>
      </c>
      <c r="C631" s="35">
        <v>5.68</v>
      </c>
      <c r="D631" s="107"/>
    </row>
    <row r="632" spans="1:4" ht="15.75" outlineLevel="1">
      <c r="A632" s="35" t="s">
        <v>1032</v>
      </c>
      <c r="B632" s="36" t="s">
        <v>24</v>
      </c>
      <c r="C632" s="35">
        <v>5.47</v>
      </c>
      <c r="D632" s="107"/>
    </row>
    <row r="633" spans="1:4" ht="15.75" outlineLevel="1">
      <c r="A633" s="35" t="s">
        <v>1032</v>
      </c>
      <c r="B633" s="36" t="s">
        <v>25</v>
      </c>
      <c r="C633" s="35">
        <v>5.48</v>
      </c>
      <c r="D633" s="107"/>
    </row>
    <row r="634" spans="1:4" ht="15.75">
      <c r="A634" s="41" t="s">
        <v>1032</v>
      </c>
      <c r="B634" s="36"/>
      <c r="C634" s="35"/>
      <c r="D634" s="107"/>
    </row>
    <row r="635" spans="1:4" ht="15.75" outlineLevel="1">
      <c r="A635" s="35" t="s">
        <v>1051</v>
      </c>
      <c r="B635" s="36" t="s">
        <v>0</v>
      </c>
      <c r="C635" s="35">
        <v>5.0999999999999996</v>
      </c>
      <c r="D635" s="107"/>
    </row>
    <row r="636" spans="1:4" ht="15.75" outlineLevel="1">
      <c r="A636" s="35" t="s">
        <v>1051</v>
      </c>
      <c r="B636" s="36" t="s">
        <v>1</v>
      </c>
      <c r="C636" s="35">
        <v>5.2</v>
      </c>
      <c r="D636" s="107"/>
    </row>
    <row r="637" spans="1:4" ht="15.75" outlineLevel="1">
      <c r="A637" s="35" t="s">
        <v>1051</v>
      </c>
      <c r="B637" s="36" t="s">
        <v>2</v>
      </c>
      <c r="C637" s="35">
        <v>5.3</v>
      </c>
      <c r="D637" s="107"/>
    </row>
    <row r="638" spans="1:4" ht="15.75" outlineLevel="1">
      <c r="A638" s="35" t="s">
        <v>1051</v>
      </c>
      <c r="B638" s="36" t="s">
        <v>141</v>
      </c>
      <c r="C638" s="35">
        <v>5.6</v>
      </c>
      <c r="D638" s="107"/>
    </row>
    <row r="639" spans="1:4" ht="15.75" outlineLevel="1">
      <c r="A639" s="35" t="s">
        <v>1051</v>
      </c>
      <c r="B639" s="36" t="s">
        <v>1111</v>
      </c>
      <c r="C639" s="37">
        <v>5.0999999999999996</v>
      </c>
      <c r="D639" s="107"/>
    </row>
    <row r="640" spans="1:4" ht="15.75" outlineLevel="1">
      <c r="A640" s="35" t="s">
        <v>1051</v>
      </c>
      <c r="B640" s="36" t="s">
        <v>1110</v>
      </c>
      <c r="C640" s="35">
        <v>5.14</v>
      </c>
      <c r="D640" s="107"/>
    </row>
    <row r="641" spans="1:4" ht="15.75" outlineLevel="1">
      <c r="A641" s="35" t="s">
        <v>1051</v>
      </c>
      <c r="B641" s="36" t="s">
        <v>4</v>
      </c>
      <c r="C641" s="35">
        <v>5.19</v>
      </c>
      <c r="D641" s="107"/>
    </row>
    <row r="642" spans="1:4" ht="15.75" outlineLevel="1">
      <c r="A642" s="35" t="s">
        <v>1051</v>
      </c>
      <c r="B642" s="36" t="s">
        <v>143</v>
      </c>
      <c r="C642" s="35">
        <v>5.24</v>
      </c>
      <c r="D642" s="107"/>
    </row>
    <row r="643" spans="1:4" ht="15.75" outlineLevel="1">
      <c r="A643" s="35" t="s">
        <v>1051</v>
      </c>
      <c r="B643" s="36" t="s">
        <v>5</v>
      </c>
      <c r="C643" s="35">
        <v>5.26</v>
      </c>
      <c r="D643" s="107"/>
    </row>
    <row r="644" spans="1:4" ht="15.75" outlineLevel="1">
      <c r="A644" s="35" t="s">
        <v>1051</v>
      </c>
      <c r="B644" s="36" t="s">
        <v>6</v>
      </c>
      <c r="C644" s="35">
        <v>5.27</v>
      </c>
      <c r="D644" s="107"/>
    </row>
    <row r="645" spans="1:4" ht="15.75" outlineLevel="1">
      <c r="A645" s="35" t="s">
        <v>1051</v>
      </c>
      <c r="B645" s="36" t="s">
        <v>7</v>
      </c>
      <c r="C645" s="35">
        <v>5.28</v>
      </c>
      <c r="D645" s="107"/>
    </row>
    <row r="646" spans="1:4" ht="15.75" outlineLevel="1">
      <c r="A646" s="35" t="s">
        <v>1051</v>
      </c>
      <c r="B646" s="36" t="s">
        <v>120</v>
      </c>
      <c r="C646" s="35">
        <v>5.36</v>
      </c>
      <c r="D646" s="107"/>
    </row>
    <row r="647" spans="1:4" ht="15.75" outlineLevel="1">
      <c r="A647" s="35" t="s">
        <v>1051</v>
      </c>
      <c r="B647" s="36" t="s">
        <v>171</v>
      </c>
      <c r="C647" s="35">
        <v>5.33</v>
      </c>
      <c r="D647" s="107"/>
    </row>
    <row r="648" spans="1:4" ht="15.75" outlineLevel="1">
      <c r="A648" s="35" t="s">
        <v>1051</v>
      </c>
      <c r="B648" s="36" t="s">
        <v>152</v>
      </c>
      <c r="C648" s="35">
        <v>5.37</v>
      </c>
      <c r="D648" s="107"/>
    </row>
    <row r="649" spans="1:4" ht="15.75" outlineLevel="1">
      <c r="A649" s="35" t="s">
        <v>1051</v>
      </c>
      <c r="B649" s="36" t="s">
        <v>9</v>
      </c>
      <c r="C649" s="35">
        <v>5.49</v>
      </c>
      <c r="D649" s="107"/>
    </row>
    <row r="650" spans="1:4" ht="15.75" outlineLevel="1">
      <c r="A650" s="35" t="s">
        <v>1051</v>
      </c>
      <c r="B650" s="36" t="s">
        <v>10</v>
      </c>
      <c r="C650" s="35">
        <v>5.51</v>
      </c>
      <c r="D650" s="107"/>
    </row>
    <row r="651" spans="1:4" ht="15.75" outlineLevel="1">
      <c r="A651" s="35" t="s">
        <v>1051</v>
      </c>
      <c r="B651" s="36" t="s">
        <v>1112</v>
      </c>
      <c r="C651" s="35">
        <v>5.52</v>
      </c>
      <c r="D651" s="107"/>
    </row>
    <row r="652" spans="1:4" ht="15.75" outlineLevel="1">
      <c r="A652" s="35" t="s">
        <v>1051</v>
      </c>
      <c r="B652" s="36" t="s">
        <v>11</v>
      </c>
      <c r="C652" s="35">
        <v>5.53</v>
      </c>
      <c r="D652" s="107"/>
    </row>
    <row r="653" spans="1:4" ht="15.75" outlineLevel="1">
      <c r="A653" s="35" t="s">
        <v>1051</v>
      </c>
      <c r="B653" s="36" t="s">
        <v>12</v>
      </c>
      <c r="C653" s="35">
        <v>5.69</v>
      </c>
      <c r="D653" s="107"/>
    </row>
    <row r="654" spans="1:4" ht="15.75" outlineLevel="1">
      <c r="A654" s="35" t="s">
        <v>1051</v>
      </c>
      <c r="B654" s="36" t="s">
        <v>14</v>
      </c>
      <c r="C654" s="37">
        <v>5.7</v>
      </c>
      <c r="D654" s="107"/>
    </row>
    <row r="655" spans="1:4" ht="15.75" outlineLevel="1">
      <c r="A655" s="35" t="s">
        <v>1051</v>
      </c>
      <c r="B655" s="36" t="s">
        <v>15</v>
      </c>
      <c r="C655" s="35">
        <v>5.74</v>
      </c>
      <c r="D655" s="107"/>
    </row>
    <row r="656" spans="1:4" ht="15.75" outlineLevel="1">
      <c r="A656" s="35" t="s">
        <v>1051</v>
      </c>
      <c r="B656" s="36" t="s">
        <v>145</v>
      </c>
      <c r="C656" s="35">
        <v>5.109</v>
      </c>
      <c r="D656" s="107"/>
    </row>
    <row r="657" spans="1:4" ht="15.75" outlineLevel="1">
      <c r="A657" s="35" t="s">
        <v>1051</v>
      </c>
      <c r="B657" s="36" t="s">
        <v>146</v>
      </c>
      <c r="C657" s="35">
        <v>5.1109999999999998</v>
      </c>
      <c r="D657" s="107"/>
    </row>
    <row r="658" spans="1:4" ht="15.75" outlineLevel="1">
      <c r="A658" s="35" t="s">
        <v>1051</v>
      </c>
      <c r="B658" s="36" t="s">
        <v>129</v>
      </c>
      <c r="C658" s="35">
        <v>5.1120000000000001</v>
      </c>
      <c r="D658" s="107"/>
    </row>
    <row r="659" spans="1:4" ht="15.75" outlineLevel="1">
      <c r="A659" s="35" t="s">
        <v>1051</v>
      </c>
      <c r="B659" s="36" t="s">
        <v>17</v>
      </c>
      <c r="C659" s="35">
        <v>5.58</v>
      </c>
      <c r="D659" s="107"/>
    </row>
    <row r="660" spans="1:4" ht="15.75" outlineLevel="1">
      <c r="A660" s="35" t="s">
        <v>1051</v>
      </c>
      <c r="B660" s="36" t="s">
        <v>18</v>
      </c>
      <c r="C660" s="35">
        <v>5.54</v>
      </c>
      <c r="D660" s="107"/>
    </row>
    <row r="661" spans="1:4" ht="15.75" outlineLevel="1">
      <c r="A661" s="35" t="s">
        <v>1051</v>
      </c>
      <c r="B661" s="36" t="s">
        <v>19</v>
      </c>
      <c r="C661" s="35">
        <v>5.55</v>
      </c>
      <c r="D661" s="107"/>
    </row>
    <row r="662" spans="1:4" ht="15.75" outlineLevel="1">
      <c r="A662" s="35" t="s">
        <v>1051</v>
      </c>
      <c r="B662" s="36" t="s">
        <v>20</v>
      </c>
      <c r="C662" s="35">
        <v>5.63</v>
      </c>
      <c r="D662" s="107"/>
    </row>
    <row r="663" spans="1:4" ht="15.75" outlineLevel="1">
      <c r="A663" s="35" t="s">
        <v>1051</v>
      </c>
      <c r="B663" s="36" t="s">
        <v>24</v>
      </c>
      <c r="C663" s="35">
        <v>5.47</v>
      </c>
      <c r="D663" s="107"/>
    </row>
    <row r="664" spans="1:4" ht="15.75" outlineLevel="1">
      <c r="A664" s="35" t="s">
        <v>1051</v>
      </c>
      <c r="B664" s="36" t="s">
        <v>25</v>
      </c>
      <c r="C664" s="35">
        <v>5.48</v>
      </c>
      <c r="D664" s="107"/>
    </row>
    <row r="665" spans="1:4" ht="15.75">
      <c r="A665" s="41" t="s">
        <v>1051</v>
      </c>
      <c r="B665" s="36"/>
      <c r="C665" s="35"/>
      <c r="D665" s="107"/>
    </row>
    <row r="666" spans="1:4" ht="15.75" outlineLevel="1">
      <c r="A666" s="35" t="s">
        <v>1056</v>
      </c>
      <c r="B666" s="36" t="s">
        <v>0</v>
      </c>
      <c r="C666" s="35">
        <v>5.0999999999999996</v>
      </c>
      <c r="D666" s="107"/>
    </row>
    <row r="667" spans="1:4" ht="15.75" outlineLevel="1">
      <c r="A667" s="35" t="s">
        <v>1056</v>
      </c>
      <c r="B667" s="36" t="s">
        <v>1</v>
      </c>
      <c r="C667" s="35">
        <v>5.2</v>
      </c>
      <c r="D667" s="107"/>
    </row>
    <row r="668" spans="1:4" ht="15.75" outlineLevel="1">
      <c r="A668" s="35" t="s">
        <v>1056</v>
      </c>
      <c r="B668" s="36" t="s">
        <v>165</v>
      </c>
      <c r="C668" s="35">
        <v>5.4</v>
      </c>
      <c r="D668" s="107"/>
    </row>
    <row r="669" spans="1:4" ht="15.75" outlineLevel="1">
      <c r="A669" s="35" t="s">
        <v>1056</v>
      </c>
      <c r="B669" s="36" t="s">
        <v>166</v>
      </c>
      <c r="C669" s="35">
        <v>5.7</v>
      </c>
      <c r="D669" s="107"/>
    </row>
    <row r="670" spans="1:4" ht="15.75" outlineLevel="1">
      <c r="A670" s="35" t="s">
        <v>1056</v>
      </c>
      <c r="B670" s="36" t="s">
        <v>167</v>
      </c>
      <c r="C670" s="35">
        <v>5.1100000000000003</v>
      </c>
      <c r="D670" s="107"/>
    </row>
    <row r="671" spans="1:4" ht="15.75" outlineLevel="1">
      <c r="A671" s="35" t="s">
        <v>1056</v>
      </c>
      <c r="B671" s="36" t="s">
        <v>5</v>
      </c>
      <c r="C671" s="35">
        <v>5.26</v>
      </c>
      <c r="D671" s="107"/>
    </row>
    <row r="672" spans="1:4" ht="15.75" outlineLevel="1">
      <c r="A672" s="35" t="s">
        <v>1056</v>
      </c>
      <c r="B672" s="36" t="s">
        <v>168</v>
      </c>
      <c r="C672" s="35">
        <v>5.43</v>
      </c>
      <c r="D672" s="107"/>
    </row>
    <row r="673" spans="1:4" ht="15.75" outlineLevel="1">
      <c r="A673" s="35" t="s">
        <v>1056</v>
      </c>
      <c r="B673" s="36" t="s">
        <v>6</v>
      </c>
      <c r="C673" s="35">
        <v>5.27</v>
      </c>
      <c r="D673" s="107"/>
    </row>
    <row r="674" spans="1:4" ht="15.75" outlineLevel="1">
      <c r="A674" s="35" t="s">
        <v>1056</v>
      </c>
      <c r="B674" s="36" t="s">
        <v>7</v>
      </c>
      <c r="C674" s="35">
        <v>5.28</v>
      </c>
      <c r="D674" s="107"/>
    </row>
    <row r="675" spans="1:4" ht="15.75" outlineLevel="1">
      <c r="A675" s="35" t="s">
        <v>1056</v>
      </c>
      <c r="B675" s="36" t="s">
        <v>120</v>
      </c>
      <c r="C675" s="35">
        <v>5.36</v>
      </c>
      <c r="D675" s="107"/>
    </row>
    <row r="676" spans="1:4" ht="15.75" outlineLevel="1">
      <c r="A676" s="35" t="s">
        <v>1056</v>
      </c>
      <c r="B676" s="36" t="s">
        <v>169</v>
      </c>
      <c r="C676" s="37">
        <v>5.5</v>
      </c>
      <c r="D676" s="107"/>
    </row>
    <row r="677" spans="1:4" ht="15.75" outlineLevel="1">
      <c r="A677" s="35" t="s">
        <v>1056</v>
      </c>
      <c r="B677" s="36" t="s">
        <v>10</v>
      </c>
      <c r="C677" s="35">
        <v>5.51</v>
      </c>
      <c r="D677" s="107"/>
    </row>
    <row r="678" spans="1:4" ht="15.75" outlineLevel="1">
      <c r="A678" s="35" t="s">
        <v>1056</v>
      </c>
      <c r="B678" s="36" t="s">
        <v>11</v>
      </c>
      <c r="C678" s="35">
        <v>5.53</v>
      </c>
      <c r="D678" s="107"/>
    </row>
    <row r="679" spans="1:4" ht="15.75" outlineLevel="1">
      <c r="A679" s="35" t="s">
        <v>1056</v>
      </c>
      <c r="B679" s="36" t="s">
        <v>12</v>
      </c>
      <c r="C679" s="35">
        <v>5.69</v>
      </c>
      <c r="D679" s="107"/>
    </row>
    <row r="680" spans="1:4" ht="15.75" outlineLevel="1">
      <c r="A680" s="35" t="s">
        <v>1056</v>
      </c>
      <c r="B680" s="36" t="s">
        <v>14</v>
      </c>
      <c r="C680" s="37">
        <v>5.7</v>
      </c>
      <c r="D680" s="106" t="s">
        <v>1109</v>
      </c>
    </row>
    <row r="681" spans="1:4" ht="15.75" outlineLevel="1">
      <c r="A681" s="35" t="s">
        <v>1056</v>
      </c>
      <c r="B681" s="36" t="s">
        <v>15</v>
      </c>
      <c r="C681" s="35">
        <v>5.74</v>
      </c>
      <c r="D681" s="107"/>
    </row>
    <row r="682" spans="1:4" ht="15.75" outlineLevel="1">
      <c r="A682" s="35" t="s">
        <v>1056</v>
      </c>
      <c r="B682" s="36" t="s">
        <v>130</v>
      </c>
      <c r="C682" s="35">
        <v>5.59</v>
      </c>
      <c r="D682" s="107"/>
    </row>
    <row r="683" spans="1:4" ht="15.75" outlineLevel="1">
      <c r="A683" s="35" t="s">
        <v>1056</v>
      </c>
      <c r="B683" s="36" t="s">
        <v>18</v>
      </c>
      <c r="C683" s="35">
        <v>5.54</v>
      </c>
      <c r="D683" s="107"/>
    </row>
    <row r="684" spans="1:4" ht="15.75" outlineLevel="1">
      <c r="A684" s="35" t="s">
        <v>1056</v>
      </c>
      <c r="B684" s="36" t="s">
        <v>170</v>
      </c>
      <c r="C684" s="35">
        <v>5.57</v>
      </c>
      <c r="D684" s="107"/>
    </row>
    <row r="685" spans="1:4" ht="15.75" outlineLevel="1">
      <c r="A685" s="35" t="s">
        <v>1056</v>
      </c>
      <c r="B685" s="36" t="s">
        <v>20</v>
      </c>
      <c r="C685" s="35">
        <v>5.63</v>
      </c>
      <c r="D685" s="107"/>
    </row>
    <row r="686" spans="1:4" ht="15.75" outlineLevel="1">
      <c r="A686" s="35" t="s">
        <v>1056</v>
      </c>
      <c r="B686" s="36" t="s">
        <v>24</v>
      </c>
      <c r="C686" s="35">
        <v>5.47</v>
      </c>
      <c r="D686" s="107"/>
    </row>
    <row r="687" spans="1:4" ht="15.75" outlineLevel="1">
      <c r="A687" s="35" t="s">
        <v>1056</v>
      </c>
      <c r="B687" s="36" t="s">
        <v>25</v>
      </c>
      <c r="C687" s="35">
        <v>5.48</v>
      </c>
      <c r="D687" s="107"/>
    </row>
    <row r="688" spans="1:4" ht="15.75">
      <c r="A688" s="41" t="s">
        <v>1056</v>
      </c>
      <c r="B688" s="36"/>
      <c r="C688" s="35"/>
      <c r="D688" s="107"/>
    </row>
    <row r="689" spans="1:4" ht="15.75" outlineLevel="1">
      <c r="A689" s="35" t="s">
        <v>1059</v>
      </c>
      <c r="B689" s="36" t="s">
        <v>0</v>
      </c>
      <c r="C689" s="35">
        <v>5.0999999999999996</v>
      </c>
      <c r="D689" s="107"/>
    </row>
    <row r="690" spans="1:4" ht="15.75" outlineLevel="1">
      <c r="A690" s="35" t="s">
        <v>1059</v>
      </c>
      <c r="B690" s="36" t="s">
        <v>1</v>
      </c>
      <c r="C690" s="35">
        <v>5.2</v>
      </c>
      <c r="D690" s="107"/>
    </row>
    <row r="691" spans="1:4" ht="15.75" outlineLevel="1">
      <c r="A691" s="35" t="s">
        <v>1059</v>
      </c>
      <c r="B691" s="36" t="s">
        <v>150</v>
      </c>
      <c r="C691" s="35">
        <v>5.17</v>
      </c>
      <c r="D691" s="107"/>
    </row>
    <row r="692" spans="1:4" ht="15.75" outlineLevel="1">
      <c r="A692" s="35" t="s">
        <v>1059</v>
      </c>
      <c r="B692" s="36" t="s">
        <v>5</v>
      </c>
      <c r="C692" s="35">
        <v>5.26</v>
      </c>
      <c r="D692" s="107"/>
    </row>
    <row r="693" spans="1:4" ht="15.75" outlineLevel="1">
      <c r="A693" s="35" t="s">
        <v>1059</v>
      </c>
      <c r="B693" s="36" t="s">
        <v>151</v>
      </c>
      <c r="C693" s="35">
        <v>5.1029999999999998</v>
      </c>
      <c r="D693" s="107"/>
    </row>
    <row r="694" spans="1:4" ht="15.75" outlineLevel="1">
      <c r="A694" s="35" t="s">
        <v>1059</v>
      </c>
      <c r="B694" s="36" t="s">
        <v>120</v>
      </c>
      <c r="C694" s="35">
        <v>5.36</v>
      </c>
      <c r="D694" s="107"/>
    </row>
    <row r="695" spans="1:4" ht="15.75" outlineLevel="1">
      <c r="A695" s="35" t="s">
        <v>1059</v>
      </c>
      <c r="B695" s="36" t="s">
        <v>152</v>
      </c>
      <c r="C695" s="35">
        <v>5.37</v>
      </c>
      <c r="D695" s="107"/>
    </row>
    <row r="696" spans="1:4" ht="15.75" outlineLevel="1">
      <c r="A696" s="35" t="s">
        <v>1059</v>
      </c>
      <c r="B696" s="36" t="s">
        <v>153</v>
      </c>
      <c r="C696" s="35">
        <v>5.1040000000000001</v>
      </c>
      <c r="D696" s="107"/>
    </row>
    <row r="697" spans="1:4" ht="15.75" outlineLevel="1">
      <c r="A697" s="35" t="s">
        <v>1059</v>
      </c>
      <c r="B697" s="36" t="s">
        <v>154</v>
      </c>
      <c r="C697" s="35">
        <v>5.1050000000000004</v>
      </c>
      <c r="D697" s="107"/>
    </row>
    <row r="698" spans="1:4" ht="15.75" outlineLevel="1">
      <c r="A698" s="35" t="s">
        <v>1059</v>
      </c>
      <c r="B698" s="36" t="s">
        <v>155</v>
      </c>
      <c r="C698" s="35">
        <v>5.1059999999999999</v>
      </c>
      <c r="D698" s="107"/>
    </row>
    <row r="699" spans="1:4" ht="15.75" outlineLevel="1">
      <c r="A699" s="35" t="s">
        <v>1059</v>
      </c>
      <c r="B699" s="36" t="s">
        <v>156</v>
      </c>
      <c r="C699" s="35">
        <v>5.1070000000000002</v>
      </c>
      <c r="D699" s="107"/>
    </row>
    <row r="700" spans="1:4" ht="15.75" outlineLevel="1">
      <c r="A700" s="35" t="s">
        <v>1059</v>
      </c>
      <c r="B700" s="36" t="s">
        <v>880</v>
      </c>
      <c r="C700" s="35">
        <v>5.1079999999999997</v>
      </c>
      <c r="D700" s="106" t="s">
        <v>1109</v>
      </c>
    </row>
    <row r="701" spans="1:4" ht="15.75" outlineLevel="1">
      <c r="A701" s="35" t="s">
        <v>1059</v>
      </c>
      <c r="B701" s="36" t="s">
        <v>145</v>
      </c>
      <c r="C701" s="35">
        <v>5.109</v>
      </c>
      <c r="D701" s="107"/>
    </row>
    <row r="702" spans="1:4" ht="15.75" outlineLevel="1">
      <c r="A702" s="35" t="s">
        <v>1059</v>
      </c>
      <c r="B702" s="36" t="s">
        <v>158</v>
      </c>
      <c r="C702" s="38">
        <v>5.1100000000000003</v>
      </c>
      <c r="D702" s="106" t="s">
        <v>1109</v>
      </c>
    </row>
    <row r="703" spans="1:4" ht="15.75" outlineLevel="1">
      <c r="A703" s="35" t="s">
        <v>1059</v>
      </c>
      <c r="B703" s="36" t="s">
        <v>146</v>
      </c>
      <c r="C703" s="35">
        <v>5.1109999999999998</v>
      </c>
      <c r="D703" s="107"/>
    </row>
    <row r="704" spans="1:4" ht="15.75" outlineLevel="1">
      <c r="A704" s="35" t="s">
        <v>1059</v>
      </c>
      <c r="B704" s="36" t="s">
        <v>129</v>
      </c>
      <c r="C704" s="35">
        <v>5.1120000000000001</v>
      </c>
      <c r="D704" s="107"/>
    </row>
    <row r="705" spans="1:4" ht="15.75" outlineLevel="1">
      <c r="A705" s="35" t="s">
        <v>1059</v>
      </c>
      <c r="B705" s="36" t="s">
        <v>11</v>
      </c>
      <c r="C705" s="35">
        <v>5.53</v>
      </c>
      <c r="D705" s="107"/>
    </row>
    <row r="706" spans="1:4" ht="15.75" outlineLevel="1">
      <c r="A706" s="35" t="s">
        <v>1059</v>
      </c>
      <c r="B706" s="36" t="s">
        <v>159</v>
      </c>
      <c r="C706" s="35">
        <v>5.64</v>
      </c>
      <c r="D706" s="107"/>
    </row>
    <row r="707" spans="1:4" ht="15.75" outlineLevel="1">
      <c r="A707" s="35" t="s">
        <v>1059</v>
      </c>
      <c r="B707" s="36" t="s">
        <v>20</v>
      </c>
      <c r="C707" s="35">
        <v>5.63</v>
      </c>
      <c r="D707" s="107"/>
    </row>
    <row r="708" spans="1:4" ht="15.75" outlineLevel="1">
      <c r="A708" s="35" t="s">
        <v>1059</v>
      </c>
      <c r="B708" s="36" t="s">
        <v>21</v>
      </c>
      <c r="C708" s="35">
        <v>5.65</v>
      </c>
      <c r="D708" s="107"/>
    </row>
    <row r="709" spans="1:4" ht="15.75" outlineLevel="1">
      <c r="A709" s="35" t="s">
        <v>1059</v>
      </c>
      <c r="B709" s="36" t="s">
        <v>160</v>
      </c>
      <c r="C709" s="35">
        <v>5.66</v>
      </c>
      <c r="D709" s="107"/>
    </row>
    <row r="710" spans="1:4" ht="15.75" outlineLevel="1">
      <c r="A710" s="35" t="s">
        <v>1059</v>
      </c>
      <c r="B710" s="36" t="s">
        <v>22</v>
      </c>
      <c r="C710" s="35">
        <v>5.68</v>
      </c>
      <c r="D710" s="107"/>
    </row>
    <row r="711" spans="1:4" ht="15.75" outlineLevel="1">
      <c r="A711" s="35" t="s">
        <v>1059</v>
      </c>
      <c r="B711" s="36" t="s">
        <v>24</v>
      </c>
      <c r="C711" s="35">
        <v>5.47</v>
      </c>
      <c r="D711" s="107"/>
    </row>
    <row r="712" spans="1:4" ht="15.75" outlineLevel="1">
      <c r="A712" s="35" t="s">
        <v>1059</v>
      </c>
      <c r="B712" s="36" t="s">
        <v>25</v>
      </c>
      <c r="C712" s="35">
        <v>5.48</v>
      </c>
      <c r="D712" s="107"/>
    </row>
    <row r="713" spans="1:4" ht="15.75">
      <c r="A713" s="41" t="s">
        <v>1059</v>
      </c>
      <c r="B713" s="36"/>
      <c r="C713" s="35"/>
      <c r="D713" s="107"/>
    </row>
    <row r="714" spans="1:4" ht="15.75" outlineLevel="1">
      <c r="A714" s="35" t="s">
        <v>1167</v>
      </c>
      <c r="B714" s="36" t="s">
        <v>0</v>
      </c>
      <c r="C714" s="35">
        <v>5.0999999999999996</v>
      </c>
      <c r="D714" s="107"/>
    </row>
    <row r="715" spans="1:4" ht="15.75" outlineLevel="1">
      <c r="A715" s="35" t="s">
        <v>1167</v>
      </c>
      <c r="B715" s="36" t="s">
        <v>1</v>
      </c>
      <c r="C715" s="35">
        <v>5.2</v>
      </c>
      <c r="D715" s="107"/>
    </row>
    <row r="716" spans="1:4" ht="15.75" outlineLevel="1">
      <c r="A716" s="35" t="s">
        <v>1167</v>
      </c>
      <c r="B716" s="36" t="s">
        <v>2</v>
      </c>
      <c r="C716" s="35">
        <v>5.3</v>
      </c>
      <c r="D716" s="107"/>
    </row>
    <row r="717" spans="1:4" ht="15.75" outlineLevel="1">
      <c r="A717" s="35" t="s">
        <v>1167</v>
      </c>
      <c r="B717" s="36" t="s">
        <v>141</v>
      </c>
      <c r="C717" s="35">
        <v>5.6</v>
      </c>
      <c r="D717" s="107"/>
    </row>
    <row r="718" spans="1:4" ht="15.75" outlineLevel="1">
      <c r="A718" s="35" t="s">
        <v>1167</v>
      </c>
      <c r="B718" s="36" t="s">
        <v>1111</v>
      </c>
      <c r="C718" s="37">
        <v>5.0999999999999996</v>
      </c>
      <c r="D718" s="107"/>
    </row>
    <row r="719" spans="1:4" ht="15.75" outlineLevel="1">
      <c r="A719" s="35" t="s">
        <v>1167</v>
      </c>
      <c r="B719" s="36" t="s">
        <v>1110</v>
      </c>
      <c r="C719" s="35">
        <v>5.14</v>
      </c>
      <c r="D719" s="107"/>
    </row>
    <row r="720" spans="1:4" ht="15.75" outlineLevel="1">
      <c r="A720" s="35" t="s">
        <v>1167</v>
      </c>
      <c r="B720" s="36" t="s">
        <v>4</v>
      </c>
      <c r="C720" s="35">
        <v>5.19</v>
      </c>
      <c r="D720" s="107"/>
    </row>
    <row r="721" spans="1:4" ht="15.75" outlineLevel="1">
      <c r="A721" s="35" t="s">
        <v>1167</v>
      </c>
      <c r="B721" s="36" t="s">
        <v>143</v>
      </c>
      <c r="C721" s="35">
        <v>5.24</v>
      </c>
      <c r="D721" s="107"/>
    </row>
    <row r="722" spans="1:4" ht="15.75" outlineLevel="1">
      <c r="A722" s="35" t="s">
        <v>1167</v>
      </c>
      <c r="B722" s="36" t="s">
        <v>5</v>
      </c>
      <c r="C722" s="35">
        <v>5.26</v>
      </c>
      <c r="D722" s="107"/>
    </row>
    <row r="723" spans="1:4" ht="15.75" outlineLevel="1">
      <c r="A723" s="35" t="s">
        <v>1167</v>
      </c>
      <c r="B723" s="36" t="s">
        <v>6</v>
      </c>
      <c r="C723" s="35">
        <v>5.27</v>
      </c>
      <c r="D723" s="107"/>
    </row>
    <row r="724" spans="1:4" ht="15.75" outlineLevel="1">
      <c r="A724" s="35" t="s">
        <v>1167</v>
      </c>
      <c r="B724" s="36" t="s">
        <v>7</v>
      </c>
      <c r="C724" s="35">
        <v>5.28</v>
      </c>
      <c r="D724" s="107"/>
    </row>
    <row r="725" spans="1:4" ht="15.75" outlineLevel="1">
      <c r="A725" s="35" t="s">
        <v>1167</v>
      </c>
      <c r="B725" s="36" t="s">
        <v>144</v>
      </c>
      <c r="C725" s="35">
        <v>5.31</v>
      </c>
      <c r="D725" s="107"/>
    </row>
    <row r="726" spans="1:4" ht="15.75" outlineLevel="1">
      <c r="A726" s="35" t="s">
        <v>1167</v>
      </c>
      <c r="B726" s="36" t="s">
        <v>120</v>
      </c>
      <c r="C726" s="35">
        <v>5.36</v>
      </c>
      <c r="D726" s="107"/>
    </row>
    <row r="727" spans="1:4" ht="15.75" outlineLevel="1">
      <c r="A727" s="35" t="s">
        <v>1167</v>
      </c>
      <c r="B727" s="36" t="s">
        <v>11</v>
      </c>
      <c r="C727" s="35">
        <v>5.53</v>
      </c>
      <c r="D727" s="107"/>
    </row>
    <row r="728" spans="1:4" ht="15.75" outlineLevel="1">
      <c r="A728" s="35" t="s">
        <v>1167</v>
      </c>
      <c r="B728" s="36" t="s">
        <v>145</v>
      </c>
      <c r="C728" s="35">
        <v>5.109</v>
      </c>
      <c r="D728" s="107"/>
    </row>
    <row r="729" spans="1:4" ht="15.75" outlineLevel="1">
      <c r="A729" s="35" t="s">
        <v>1167</v>
      </c>
      <c r="B729" s="36" t="s">
        <v>146</v>
      </c>
      <c r="C729" s="35">
        <v>5.1109999999999998</v>
      </c>
      <c r="D729" s="107"/>
    </row>
    <row r="730" spans="1:4" ht="15.75" outlineLevel="1">
      <c r="A730" s="35" t="s">
        <v>1167</v>
      </c>
      <c r="B730" s="36" t="s">
        <v>129</v>
      </c>
      <c r="C730" s="35">
        <v>5.1120000000000001</v>
      </c>
      <c r="D730" s="107"/>
    </row>
    <row r="731" spans="1:4" ht="15.75" outlineLevel="1">
      <c r="A731" s="35" t="s">
        <v>1167</v>
      </c>
      <c r="B731" s="36" t="s">
        <v>1125</v>
      </c>
      <c r="C731" s="35">
        <v>5.1130000000000004</v>
      </c>
      <c r="D731" s="107"/>
    </row>
    <row r="732" spans="1:4" ht="15.75" outlineLevel="1">
      <c r="A732" s="35" t="s">
        <v>1167</v>
      </c>
      <c r="B732" s="36" t="s">
        <v>148</v>
      </c>
      <c r="C732" s="35">
        <v>5.117</v>
      </c>
      <c r="D732" s="107"/>
    </row>
    <row r="733" spans="1:4" ht="15.75" outlineLevel="1">
      <c r="A733" s="35" t="s">
        <v>1167</v>
      </c>
      <c r="B733" s="36" t="s">
        <v>149</v>
      </c>
      <c r="C733" s="35">
        <v>5.67</v>
      </c>
      <c r="D733" s="107"/>
    </row>
    <row r="734" spans="1:4" ht="15.75" outlineLevel="1">
      <c r="A734" s="35" t="s">
        <v>1167</v>
      </c>
      <c r="B734" s="36" t="s">
        <v>20</v>
      </c>
      <c r="C734" s="35">
        <v>5.63</v>
      </c>
      <c r="D734" s="107"/>
    </row>
    <row r="735" spans="1:4" ht="15.75" outlineLevel="1">
      <c r="A735" s="35" t="s">
        <v>1167</v>
      </c>
      <c r="B735" s="36" t="s">
        <v>24</v>
      </c>
      <c r="C735" s="35">
        <v>5.47</v>
      </c>
      <c r="D735" s="107"/>
    </row>
    <row r="736" spans="1:4" ht="15.75" outlineLevel="1">
      <c r="A736" s="35" t="s">
        <v>1167</v>
      </c>
      <c r="B736" s="36" t="s">
        <v>25</v>
      </c>
      <c r="C736" s="35">
        <v>5.48</v>
      </c>
      <c r="D736" s="107"/>
    </row>
    <row r="737" spans="1:4" ht="15.75">
      <c r="A737" s="41" t="s">
        <v>1168</v>
      </c>
      <c r="B737" s="36"/>
      <c r="C737" s="35"/>
      <c r="D737" s="107"/>
    </row>
    <row r="738" spans="1:4" ht="15.75" outlineLevel="1">
      <c r="A738" s="35" t="s">
        <v>1061</v>
      </c>
      <c r="B738" s="36" t="s">
        <v>0</v>
      </c>
      <c r="C738" s="35">
        <v>5.0999999999999996</v>
      </c>
      <c r="D738" s="107"/>
    </row>
    <row r="739" spans="1:4" ht="15.75" outlineLevel="1">
      <c r="A739" s="35" t="s">
        <v>1061</v>
      </c>
      <c r="B739" s="36" t="s">
        <v>1</v>
      </c>
      <c r="C739" s="35">
        <v>5.2</v>
      </c>
      <c r="D739" s="107"/>
    </row>
    <row r="740" spans="1:4" ht="15.75" outlineLevel="1">
      <c r="A740" s="35" t="s">
        <v>1061</v>
      </c>
      <c r="B740" s="36" t="s">
        <v>126</v>
      </c>
      <c r="C740" s="35">
        <v>5.18</v>
      </c>
      <c r="D740" s="107"/>
    </row>
    <row r="741" spans="1:4" ht="15.75" outlineLevel="1">
      <c r="A741" s="35" t="s">
        <v>1061</v>
      </c>
      <c r="B741" s="36" t="s">
        <v>127</v>
      </c>
      <c r="C741" s="35">
        <v>5.23</v>
      </c>
      <c r="D741" s="107"/>
    </row>
    <row r="742" spans="1:4" ht="15.75" outlineLevel="1">
      <c r="A742" s="35" t="s">
        <v>1061</v>
      </c>
      <c r="B742" s="36" t="s">
        <v>5</v>
      </c>
      <c r="C742" s="35">
        <v>5.26</v>
      </c>
      <c r="D742" s="107"/>
    </row>
    <row r="743" spans="1:4" ht="15.75" outlineLevel="1">
      <c r="A743" s="35" t="s">
        <v>1061</v>
      </c>
      <c r="B743" s="36" t="s">
        <v>6</v>
      </c>
      <c r="C743" s="35">
        <v>5.27</v>
      </c>
      <c r="D743" s="107"/>
    </row>
    <row r="744" spans="1:4" ht="15.75" outlineLevel="1">
      <c r="A744" s="35" t="s">
        <v>1061</v>
      </c>
      <c r="B744" s="36" t="s">
        <v>7</v>
      </c>
      <c r="C744" s="35">
        <v>5.28</v>
      </c>
      <c r="D744" s="107"/>
    </row>
    <row r="745" spans="1:4" ht="15.75" outlineLevel="1">
      <c r="A745" s="35" t="s">
        <v>1061</v>
      </c>
      <c r="B745" s="36" t="s">
        <v>120</v>
      </c>
      <c r="C745" s="35">
        <v>5.36</v>
      </c>
      <c r="D745" s="107"/>
    </row>
    <row r="746" spans="1:4" ht="15.75" outlineLevel="1">
      <c r="A746" s="35" t="s">
        <v>1061</v>
      </c>
      <c r="B746" s="36" t="s">
        <v>128</v>
      </c>
      <c r="C746" s="35">
        <v>5.44</v>
      </c>
      <c r="D746" s="107"/>
    </row>
    <row r="747" spans="1:4" ht="15.75" outlineLevel="1">
      <c r="A747" s="35" t="s">
        <v>1061</v>
      </c>
      <c r="B747" s="36" t="s">
        <v>11</v>
      </c>
      <c r="C747" s="35">
        <v>5.53</v>
      </c>
      <c r="D747" s="107"/>
    </row>
    <row r="748" spans="1:4" ht="15.75" outlineLevel="1">
      <c r="A748" s="35" t="s">
        <v>1061</v>
      </c>
      <c r="B748" s="36" t="s">
        <v>129</v>
      </c>
      <c r="C748" s="35">
        <v>5.1120000000000001</v>
      </c>
      <c r="D748" s="107"/>
    </row>
    <row r="749" spans="1:4" ht="15.75" outlineLevel="1">
      <c r="A749" s="35" t="s">
        <v>1061</v>
      </c>
      <c r="B749" s="36" t="s">
        <v>130</v>
      </c>
      <c r="C749" s="35">
        <v>5.59</v>
      </c>
      <c r="D749" s="107"/>
    </row>
    <row r="750" spans="1:4" ht="15.75" outlineLevel="1">
      <c r="A750" s="35" t="s">
        <v>1061</v>
      </c>
      <c r="B750" s="36" t="s">
        <v>18</v>
      </c>
      <c r="C750" s="35">
        <v>5.54</v>
      </c>
      <c r="D750" s="107"/>
    </row>
    <row r="751" spans="1:4" ht="15.75" outlineLevel="1">
      <c r="A751" s="35" t="s">
        <v>1061</v>
      </c>
      <c r="B751" s="36" t="s">
        <v>20</v>
      </c>
      <c r="C751" s="35">
        <v>5.63</v>
      </c>
      <c r="D751" s="107"/>
    </row>
    <row r="752" spans="1:4" ht="15.75" outlineLevel="1">
      <c r="A752" s="35" t="s">
        <v>1061</v>
      </c>
      <c r="B752" s="36" t="s">
        <v>21</v>
      </c>
      <c r="C752" s="35">
        <v>5.65</v>
      </c>
      <c r="D752" s="107"/>
    </row>
    <row r="753" spans="1:4" ht="15.75" outlineLevel="1">
      <c r="A753" s="35" t="s">
        <v>1061</v>
      </c>
      <c r="B753" s="36" t="s">
        <v>22</v>
      </c>
      <c r="C753" s="35">
        <v>5.68</v>
      </c>
      <c r="D753" s="107"/>
    </row>
    <row r="754" spans="1:4" ht="15.75" outlineLevel="1">
      <c r="A754" s="35" t="s">
        <v>1061</v>
      </c>
      <c r="B754" s="36" t="s">
        <v>24</v>
      </c>
      <c r="C754" s="35">
        <v>5.47</v>
      </c>
      <c r="D754" s="107"/>
    </row>
    <row r="755" spans="1:4" ht="15.75" outlineLevel="1">
      <c r="A755" s="35" t="s">
        <v>1061</v>
      </c>
      <c r="B755" s="36" t="s">
        <v>25</v>
      </c>
      <c r="C755" s="35">
        <v>5.48</v>
      </c>
      <c r="D755" s="107"/>
    </row>
    <row r="756" spans="1:4" ht="15.75">
      <c r="A756" s="41" t="s">
        <v>1061</v>
      </c>
      <c r="B756" s="36"/>
      <c r="C756" s="35"/>
      <c r="D756" s="107"/>
    </row>
    <row r="757" spans="1:4" ht="15.75" outlineLevel="1">
      <c r="A757" s="35" t="s">
        <v>1169</v>
      </c>
      <c r="B757" s="36" t="s">
        <v>0</v>
      </c>
      <c r="C757" s="35">
        <v>5.0999999999999996</v>
      </c>
      <c r="D757" s="107"/>
    </row>
    <row r="758" spans="1:4" ht="15.75" outlineLevel="1">
      <c r="A758" s="35" t="s">
        <v>1169</v>
      </c>
      <c r="B758" s="36" t="s">
        <v>1</v>
      </c>
      <c r="C758" s="35">
        <v>5.2</v>
      </c>
      <c r="D758" s="107"/>
    </row>
    <row r="759" spans="1:4" ht="15.75" outlineLevel="1">
      <c r="A759" s="35" t="s">
        <v>1169</v>
      </c>
      <c r="B759" s="36" t="s">
        <v>115</v>
      </c>
      <c r="C759" s="35">
        <v>5.9</v>
      </c>
      <c r="D759" s="106" t="s">
        <v>1109</v>
      </c>
    </row>
    <row r="760" spans="1:4" ht="15.75" outlineLevel="1">
      <c r="A760" s="35" t="s">
        <v>1169</v>
      </c>
      <c r="B760" s="36" t="s">
        <v>116</v>
      </c>
      <c r="C760" s="35">
        <v>5.13</v>
      </c>
      <c r="D760" s="107"/>
    </row>
    <row r="761" spans="1:4" ht="15.75" outlineLevel="1">
      <c r="A761" s="35" t="s">
        <v>1169</v>
      </c>
      <c r="B761" s="36" t="s">
        <v>117</v>
      </c>
      <c r="C761" s="35">
        <v>5.16</v>
      </c>
      <c r="D761" s="106" t="s">
        <v>1109</v>
      </c>
    </row>
    <row r="762" spans="1:4" ht="15.75" outlineLevel="1">
      <c r="A762" s="35" t="s">
        <v>1169</v>
      </c>
      <c r="B762" s="36" t="s">
        <v>118</v>
      </c>
      <c r="C762" s="35">
        <v>5.22</v>
      </c>
      <c r="D762" s="106"/>
    </row>
    <row r="763" spans="1:4" ht="15.75" outlineLevel="1">
      <c r="A763" s="35" t="s">
        <v>1169</v>
      </c>
      <c r="B763" s="36" t="s">
        <v>119</v>
      </c>
      <c r="C763" s="35">
        <v>5.42</v>
      </c>
      <c r="D763" s="107"/>
    </row>
    <row r="764" spans="1:4" ht="15.75" outlineLevel="1">
      <c r="A764" s="35" t="s">
        <v>1169</v>
      </c>
      <c r="B764" s="36" t="s">
        <v>6</v>
      </c>
      <c r="C764" s="35">
        <v>5.27</v>
      </c>
      <c r="D764" s="107"/>
    </row>
    <row r="765" spans="1:4" ht="15.75" outlineLevel="1">
      <c r="A765" s="35" t="s">
        <v>1169</v>
      </c>
      <c r="B765" s="36" t="s">
        <v>7</v>
      </c>
      <c r="C765" s="35">
        <v>5.28</v>
      </c>
      <c r="D765" s="106" t="s">
        <v>1109</v>
      </c>
    </row>
    <row r="766" spans="1:4" ht="15.75" outlineLevel="1">
      <c r="A766" s="35" t="s">
        <v>1169</v>
      </c>
      <c r="B766" s="36" t="s">
        <v>120</v>
      </c>
      <c r="C766" s="35">
        <v>5.36</v>
      </c>
      <c r="D766" s="107"/>
    </row>
    <row r="767" spans="1:4" ht="15.75" outlineLevel="1">
      <c r="A767" s="35" t="s">
        <v>1169</v>
      </c>
      <c r="B767" s="36" t="s">
        <v>9</v>
      </c>
      <c r="C767" s="35">
        <v>5.49</v>
      </c>
      <c r="D767" s="107"/>
    </row>
    <row r="768" spans="1:4" ht="15.75" outlineLevel="1">
      <c r="A768" s="35" t="s">
        <v>1169</v>
      </c>
      <c r="B768" s="36" t="s">
        <v>10</v>
      </c>
      <c r="C768" s="35">
        <v>5.51</v>
      </c>
      <c r="D768" s="107"/>
    </row>
    <row r="769" spans="1:4" ht="15.75" outlineLevel="1">
      <c r="A769" s="35" t="s">
        <v>1169</v>
      </c>
      <c r="B769" s="36" t="s">
        <v>1158</v>
      </c>
      <c r="C769" s="35">
        <v>5.52</v>
      </c>
      <c r="D769" s="107"/>
    </row>
    <row r="770" spans="1:4" ht="15.75" outlineLevel="1">
      <c r="A770" s="35" t="s">
        <v>1169</v>
      </c>
      <c r="B770" s="36" t="s">
        <v>11</v>
      </c>
      <c r="C770" s="35">
        <v>5.53</v>
      </c>
      <c r="D770" s="107"/>
    </row>
    <row r="771" spans="1:4" ht="15.75" outlineLevel="1">
      <c r="A771" s="35" t="s">
        <v>1169</v>
      </c>
      <c r="B771" s="36" t="s">
        <v>18</v>
      </c>
      <c r="C771" s="35">
        <v>5.54</v>
      </c>
      <c r="D771" s="107"/>
    </row>
    <row r="772" spans="1:4" ht="15.75" outlineLevel="1">
      <c r="A772" s="35" t="s">
        <v>1169</v>
      </c>
      <c r="B772" s="36" t="s">
        <v>14</v>
      </c>
      <c r="C772" s="37">
        <v>5.7</v>
      </c>
      <c r="D772" s="107"/>
    </row>
    <row r="773" spans="1:4" ht="15.75" outlineLevel="1">
      <c r="A773" s="35" t="s">
        <v>1169</v>
      </c>
      <c r="B773" s="36" t="s">
        <v>122</v>
      </c>
      <c r="C773" s="35">
        <v>5.71</v>
      </c>
      <c r="D773" s="107"/>
    </row>
    <row r="774" spans="1:4" ht="15.75" outlineLevel="1">
      <c r="A774" s="35" t="s">
        <v>1169</v>
      </c>
      <c r="B774" s="36" t="s">
        <v>123</v>
      </c>
      <c r="C774" s="37">
        <v>5.9</v>
      </c>
      <c r="D774" s="107"/>
    </row>
    <row r="775" spans="1:4" ht="15.75" outlineLevel="1">
      <c r="A775" s="35" t="s">
        <v>1169</v>
      </c>
      <c r="B775" s="36" t="s">
        <v>124</v>
      </c>
      <c r="C775" s="35">
        <v>5.91</v>
      </c>
      <c r="D775" s="107"/>
    </row>
    <row r="776" spans="1:4" ht="15.75" outlineLevel="1">
      <c r="A776" s="35" t="s">
        <v>1169</v>
      </c>
      <c r="B776" s="36" t="s">
        <v>125</v>
      </c>
      <c r="C776" s="35">
        <v>5.97</v>
      </c>
      <c r="D776" s="107"/>
    </row>
    <row r="777" spans="1:4" ht="15.75">
      <c r="A777" s="41" t="s">
        <v>1169</v>
      </c>
      <c r="B777" s="36"/>
      <c r="C777" s="35"/>
      <c r="D777" s="107"/>
    </row>
    <row r="778" spans="1:4" ht="15.75" outlineLevel="1">
      <c r="A778" s="35" t="s">
        <v>1096</v>
      </c>
      <c r="B778" s="36" t="s">
        <v>0</v>
      </c>
      <c r="C778" s="35">
        <v>5.0999999999999996</v>
      </c>
      <c r="D778" s="107"/>
    </row>
    <row r="779" spans="1:4" ht="15.75" outlineLevel="1">
      <c r="A779" s="35" t="s">
        <v>1096</v>
      </c>
      <c r="B779" s="36" t="s">
        <v>1</v>
      </c>
      <c r="C779" s="35">
        <v>5.2</v>
      </c>
      <c r="D779" s="107"/>
    </row>
    <row r="780" spans="1:4" ht="15.75" outlineLevel="1">
      <c r="A780" s="35" t="s">
        <v>1096</v>
      </c>
      <c r="B780" s="36" t="s">
        <v>5</v>
      </c>
      <c r="C780" s="35">
        <v>5.26</v>
      </c>
      <c r="D780" s="107"/>
    </row>
    <row r="781" spans="1:4" ht="15.75" outlineLevel="1">
      <c r="A781" s="35" t="s">
        <v>1096</v>
      </c>
      <c r="B781" s="36" t="s">
        <v>188</v>
      </c>
      <c r="C781" s="35">
        <v>5.5</v>
      </c>
      <c r="D781" s="107"/>
    </row>
    <row r="782" spans="1:4" ht="15.75" outlineLevel="1">
      <c r="A782" s="35" t="s">
        <v>1096</v>
      </c>
      <c r="B782" s="36" t="s">
        <v>189</v>
      </c>
      <c r="C782" s="35">
        <v>5.8</v>
      </c>
      <c r="D782" s="106" t="s">
        <v>1109</v>
      </c>
    </row>
    <row r="783" spans="1:4" ht="15.75" outlineLevel="1">
      <c r="A783" s="35" t="s">
        <v>1096</v>
      </c>
      <c r="B783" s="36" t="s">
        <v>190</v>
      </c>
      <c r="C783" s="35">
        <v>5.12</v>
      </c>
      <c r="D783" s="35"/>
    </row>
    <row r="784" spans="1:4" ht="15.75" outlineLevel="1">
      <c r="A784" s="35" t="s">
        <v>1096</v>
      </c>
      <c r="B784" s="36" t="s">
        <v>191</v>
      </c>
      <c r="C784" s="35">
        <v>5.15</v>
      </c>
      <c r="D784" s="35"/>
    </row>
    <row r="785" spans="1:4" ht="15.75" outlineLevel="1">
      <c r="A785" s="35" t="s">
        <v>1096</v>
      </c>
      <c r="B785" s="36" t="s">
        <v>192</v>
      </c>
      <c r="C785" s="37">
        <v>5.2</v>
      </c>
      <c r="D785" s="106"/>
    </row>
    <row r="786" spans="1:4" ht="15.75" outlineLevel="1">
      <c r="A786" s="35" t="s">
        <v>1096</v>
      </c>
      <c r="B786" s="36" t="s">
        <v>193</v>
      </c>
      <c r="C786" s="35">
        <v>5.25</v>
      </c>
      <c r="D786" s="35"/>
    </row>
    <row r="787" spans="1:4" ht="15.75" outlineLevel="1">
      <c r="A787" s="35" t="s">
        <v>1096</v>
      </c>
      <c r="B787" s="36" t="s">
        <v>11</v>
      </c>
      <c r="C787" s="35">
        <v>5.53</v>
      </c>
      <c r="D787" s="35"/>
    </row>
    <row r="788" spans="1:4" ht="15.75" outlineLevel="1">
      <c r="A788" s="35" t="s">
        <v>1096</v>
      </c>
      <c r="B788" s="36" t="s">
        <v>194</v>
      </c>
      <c r="C788" s="37">
        <v>5.4</v>
      </c>
      <c r="D788" s="35"/>
    </row>
    <row r="789" spans="1:4" ht="31.5" outlineLevel="1">
      <c r="A789" s="35" t="s">
        <v>1096</v>
      </c>
      <c r="B789" s="36" t="s">
        <v>195</v>
      </c>
      <c r="C789" s="35">
        <v>5.92</v>
      </c>
      <c r="D789" s="35"/>
    </row>
    <row r="790" spans="1:4" ht="15.75" outlineLevel="1">
      <c r="A790" s="35" t="s">
        <v>1096</v>
      </c>
      <c r="B790" s="36" t="s">
        <v>196</v>
      </c>
      <c r="C790" s="35">
        <v>5.93</v>
      </c>
      <c r="D790" s="35"/>
    </row>
    <row r="791" spans="1:4" ht="31.5" outlineLevel="1">
      <c r="A791" s="35" t="s">
        <v>1096</v>
      </c>
      <c r="B791" s="36" t="s">
        <v>197</v>
      </c>
      <c r="C791" s="35">
        <v>5.94</v>
      </c>
      <c r="D791" s="35"/>
    </row>
    <row r="792" spans="1:4" ht="15.75" outlineLevel="1">
      <c r="A792" s="35" t="s">
        <v>1096</v>
      </c>
      <c r="B792" s="36" t="s">
        <v>198</v>
      </c>
      <c r="C792" s="35">
        <v>5.95</v>
      </c>
      <c r="D792" s="35"/>
    </row>
    <row r="793" spans="1:4" ht="15.75" outlineLevel="1">
      <c r="A793" s="35" t="s">
        <v>1096</v>
      </c>
      <c r="B793" s="36" t="s">
        <v>199</v>
      </c>
      <c r="C793" s="35">
        <v>5.98</v>
      </c>
      <c r="D793" s="35"/>
    </row>
    <row r="794" spans="1:4" ht="15.75" outlineLevel="1">
      <c r="A794" s="35" t="s">
        <v>1096</v>
      </c>
      <c r="B794" s="36" t="s">
        <v>200</v>
      </c>
      <c r="C794" s="35">
        <v>5.96</v>
      </c>
      <c r="D794" s="35"/>
    </row>
    <row r="795" spans="1:4" ht="31.5">
      <c r="A795" s="41" t="s">
        <v>1096</v>
      </c>
      <c r="B795" s="36"/>
      <c r="C795" s="35"/>
      <c r="D795" s="3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topLeftCell="A111" workbookViewId="0">
      <selection activeCell="A121" sqref="A121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1183</v>
      </c>
    </row>
    <row r="3" spans="1:2">
      <c r="A3" t="s">
        <v>1184</v>
      </c>
      <c r="B3" t="s">
        <v>1185</v>
      </c>
    </row>
    <row r="4" spans="1:2">
      <c r="A4" t="s">
        <v>175</v>
      </c>
      <c r="B4" t="s">
        <v>1186</v>
      </c>
    </row>
    <row r="5" spans="1:2">
      <c r="A5" t="s">
        <v>1187</v>
      </c>
      <c r="B5" t="s">
        <v>1188</v>
      </c>
    </row>
    <row r="6" spans="1:2">
      <c r="A6" t="s">
        <v>1189</v>
      </c>
      <c r="B6" t="s">
        <v>1190</v>
      </c>
    </row>
    <row r="7" spans="1:2">
      <c r="A7" t="s">
        <v>1191</v>
      </c>
      <c r="B7" t="s">
        <v>1192</v>
      </c>
    </row>
    <row r="8" spans="1:2">
      <c r="A8" t="s">
        <v>1193</v>
      </c>
      <c r="B8" t="s">
        <v>1194</v>
      </c>
    </row>
    <row r="10" spans="1:2" ht="15">
      <c r="A10" s="23" t="s">
        <v>1195</v>
      </c>
    </row>
    <row r="11" spans="1:2">
      <c r="A11" t="s">
        <v>1196</v>
      </c>
    </row>
    <row r="12" spans="1:2">
      <c r="A12" t="s">
        <v>1197</v>
      </c>
      <c r="B12" t="s">
        <v>1198</v>
      </c>
    </row>
    <row r="14" spans="1:2">
      <c r="A14" s="34"/>
    </row>
    <row r="15" spans="1:2" ht="15">
      <c r="A15" s="23" t="s">
        <v>1199</v>
      </c>
    </row>
    <row r="16" spans="1:2">
      <c r="A16" s="32" t="s">
        <v>1200</v>
      </c>
    </row>
    <row r="17" spans="1:2">
      <c r="A17" s="32" t="s">
        <v>1201</v>
      </c>
    </row>
    <row r="18" spans="1:2">
      <c r="A18" s="32" t="s">
        <v>1202</v>
      </c>
    </row>
    <row r="19" spans="1:2">
      <c r="A19" s="32" t="s">
        <v>1203</v>
      </c>
    </row>
    <row r="21" spans="1:2" ht="15">
      <c r="A21" s="33" t="s">
        <v>1204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1205</v>
      </c>
      <c r="B34" s="23" t="s">
        <v>308</v>
      </c>
    </row>
    <row r="35" spans="1:2">
      <c r="A35" s="15" t="s">
        <v>1206</v>
      </c>
      <c r="B35" s="40">
        <v>512310509</v>
      </c>
    </row>
    <row r="36" spans="1:2">
      <c r="A36" t="s">
        <v>1207</v>
      </c>
      <c r="B36" s="40">
        <v>513910703</v>
      </c>
    </row>
    <row r="37" spans="1:2">
      <c r="A37" t="s">
        <v>1208</v>
      </c>
      <c r="B37" s="40">
        <v>512304882</v>
      </c>
    </row>
    <row r="38" spans="1:2">
      <c r="A38" t="s">
        <v>1209</v>
      </c>
      <c r="B38" s="40">
        <v>520030677</v>
      </c>
    </row>
    <row r="39" spans="1:2">
      <c r="A39" t="s">
        <v>1210</v>
      </c>
      <c r="B39" s="40">
        <v>513621110</v>
      </c>
    </row>
    <row r="40" spans="1:2">
      <c r="A40" t="s">
        <v>1211</v>
      </c>
      <c r="B40" s="15">
        <v>513173393</v>
      </c>
    </row>
    <row r="41" spans="1:2">
      <c r="A41" t="s">
        <v>1212</v>
      </c>
      <c r="B41" s="15">
        <v>511880460</v>
      </c>
    </row>
    <row r="42" spans="1:2">
      <c r="A42" t="s">
        <v>1213</v>
      </c>
      <c r="B42" s="15">
        <v>510773922</v>
      </c>
    </row>
    <row r="43" spans="1:2">
      <c r="A43" t="s">
        <v>1214</v>
      </c>
      <c r="B43">
        <v>520021916</v>
      </c>
    </row>
    <row r="44" spans="1:2">
      <c r="A44" t="s">
        <v>1215</v>
      </c>
      <c r="B44">
        <v>520044025</v>
      </c>
    </row>
    <row r="45" spans="1:2">
      <c r="A45" t="s">
        <v>1216</v>
      </c>
      <c r="B45">
        <v>570003152</v>
      </c>
    </row>
    <row r="46" spans="1:2">
      <c r="A46" t="s">
        <v>1217</v>
      </c>
      <c r="B46" s="15">
        <v>520023094</v>
      </c>
    </row>
    <row r="47" spans="1:2">
      <c r="A47" t="s">
        <v>1218</v>
      </c>
      <c r="B47" s="15">
        <v>512711409</v>
      </c>
    </row>
    <row r="48" spans="1:2">
      <c r="A48" t="s">
        <v>1219</v>
      </c>
      <c r="B48">
        <v>515859379</v>
      </c>
    </row>
    <row r="49" spans="1:2">
      <c r="A49" t="s">
        <v>1220</v>
      </c>
      <c r="B49" s="15">
        <v>520030990</v>
      </c>
    </row>
    <row r="50" spans="1:2">
      <c r="A50" t="s">
        <v>1221</v>
      </c>
      <c r="B50" s="15">
        <v>520028812</v>
      </c>
    </row>
    <row r="51" spans="1:2">
      <c r="A51" t="s">
        <v>1222</v>
      </c>
      <c r="B51" s="15">
        <v>520034968</v>
      </c>
    </row>
    <row r="52" spans="1:2">
      <c r="A52" t="s">
        <v>1223</v>
      </c>
      <c r="B52" s="15">
        <v>520031824</v>
      </c>
    </row>
    <row r="53" spans="1:2">
      <c r="A53" t="s">
        <v>1224</v>
      </c>
      <c r="B53" s="15">
        <v>520005497</v>
      </c>
    </row>
    <row r="54" spans="1:2">
      <c r="A54" t="s">
        <v>1225</v>
      </c>
      <c r="B54" s="15">
        <v>520022518</v>
      </c>
    </row>
    <row r="55" spans="1:2">
      <c r="A55" t="s">
        <v>1226</v>
      </c>
      <c r="B55" s="15">
        <v>520028556</v>
      </c>
    </row>
    <row r="56" spans="1:2">
      <c r="A56" t="s">
        <v>1227</v>
      </c>
      <c r="B56" s="15">
        <v>520032269</v>
      </c>
    </row>
    <row r="57" spans="1:2">
      <c r="A57" t="s">
        <v>1228</v>
      </c>
      <c r="B57" s="15">
        <v>520027954</v>
      </c>
    </row>
    <row r="58" spans="1:2">
      <c r="A58" t="s">
        <v>1229</v>
      </c>
      <c r="B58">
        <v>520029620</v>
      </c>
    </row>
    <row r="59" spans="1:2">
      <c r="A59" t="s">
        <v>1230</v>
      </c>
      <c r="B59" s="15">
        <v>520028861</v>
      </c>
    </row>
    <row r="60" spans="1:2">
      <c r="A60" t="s">
        <v>1231</v>
      </c>
      <c r="B60" s="15">
        <v>520030743</v>
      </c>
    </row>
    <row r="61" spans="1:2">
      <c r="A61" t="s">
        <v>1232</v>
      </c>
      <c r="B61">
        <v>520042177</v>
      </c>
    </row>
    <row r="62" spans="1:2">
      <c r="A62" t="s">
        <v>1233</v>
      </c>
      <c r="B62" s="15">
        <v>515447035</v>
      </c>
    </row>
    <row r="63" spans="1:2">
      <c r="A63" t="s">
        <v>1234</v>
      </c>
      <c r="B63" s="15">
        <v>520042607</v>
      </c>
    </row>
    <row r="64" spans="1:2">
      <c r="A64" t="s">
        <v>1235</v>
      </c>
      <c r="B64" s="15">
        <v>513026484</v>
      </c>
    </row>
    <row r="65" spans="1:2">
      <c r="A65" t="s">
        <v>1236</v>
      </c>
      <c r="B65">
        <v>520023185</v>
      </c>
    </row>
    <row r="66" spans="1:2">
      <c r="A66" t="s">
        <v>1237</v>
      </c>
      <c r="B66">
        <v>520004078</v>
      </c>
    </row>
    <row r="67" spans="1:2">
      <c r="A67" t="s">
        <v>1238</v>
      </c>
      <c r="B67" s="15">
        <v>512267592</v>
      </c>
    </row>
    <row r="68" spans="1:2">
      <c r="A68" t="s">
        <v>1239</v>
      </c>
      <c r="B68">
        <v>515764868</v>
      </c>
    </row>
    <row r="69" spans="1:2">
      <c r="A69" t="s">
        <v>1240</v>
      </c>
      <c r="B69" s="15">
        <v>513452003</v>
      </c>
    </row>
    <row r="70" spans="1:2">
      <c r="A70" t="s">
        <v>1241</v>
      </c>
      <c r="B70" s="15">
        <v>510142789</v>
      </c>
    </row>
    <row r="71" spans="1:2">
      <c r="A71" t="s">
        <v>1242</v>
      </c>
      <c r="B71" s="15">
        <v>510960586</v>
      </c>
    </row>
    <row r="72" spans="1:2">
      <c r="A72" t="s">
        <v>1243</v>
      </c>
      <c r="B72" s="15">
        <v>510930670</v>
      </c>
    </row>
    <row r="73" spans="1:2">
      <c r="A73" t="s">
        <v>1244</v>
      </c>
      <c r="B73" s="15">
        <v>510927536</v>
      </c>
    </row>
    <row r="74" spans="1:2">
      <c r="A74" t="s">
        <v>1245</v>
      </c>
      <c r="B74" s="15">
        <v>510930654</v>
      </c>
    </row>
    <row r="75" spans="1:2">
      <c r="A75" t="s">
        <v>1246</v>
      </c>
      <c r="B75" s="15">
        <v>520032566</v>
      </c>
    </row>
    <row r="76" spans="1:2">
      <c r="A76" t="s">
        <v>1247</v>
      </c>
      <c r="B76" s="15">
        <v>513611509</v>
      </c>
    </row>
    <row r="77" spans="1:2">
      <c r="A77" t="s">
        <v>1248</v>
      </c>
      <c r="B77">
        <v>510888985</v>
      </c>
    </row>
    <row r="78" spans="1:2">
      <c r="A78" t="s">
        <v>1249</v>
      </c>
      <c r="B78">
        <v>520024647</v>
      </c>
    </row>
    <row r="79" spans="1:2">
      <c r="A79" t="s">
        <v>1250</v>
      </c>
      <c r="B79" s="15">
        <v>512244146</v>
      </c>
    </row>
    <row r="80" spans="1:2">
      <c r="A80" t="s">
        <v>1251</v>
      </c>
      <c r="B80" s="15">
        <v>510694821</v>
      </c>
    </row>
    <row r="81" spans="1:2">
      <c r="A81" t="s">
        <v>1252</v>
      </c>
      <c r="B81">
        <v>515761625</v>
      </c>
    </row>
    <row r="82" spans="1:2">
      <c r="A82" t="s">
        <v>1253</v>
      </c>
      <c r="B82" s="15">
        <v>511423048</v>
      </c>
    </row>
    <row r="83" spans="1:2">
      <c r="A83" t="s">
        <v>1254</v>
      </c>
      <c r="B83" s="15">
        <v>520019688</v>
      </c>
    </row>
    <row r="84" spans="1:2">
      <c r="A84" t="s">
        <v>1255</v>
      </c>
      <c r="B84">
        <v>520004896</v>
      </c>
    </row>
    <row r="85" spans="1:2">
      <c r="A85" t="s">
        <v>1256</v>
      </c>
      <c r="B85" s="15">
        <v>512237744</v>
      </c>
    </row>
    <row r="86" spans="1:2">
      <c r="A86" t="s">
        <v>1257</v>
      </c>
      <c r="B86" s="15">
        <v>514956465</v>
      </c>
    </row>
    <row r="87" spans="1:2">
      <c r="A87" t="s">
        <v>1258</v>
      </c>
      <c r="B87" s="15">
        <v>512362914</v>
      </c>
    </row>
    <row r="88" spans="1:2">
      <c r="A88" t="s">
        <v>1259</v>
      </c>
      <c r="B88" s="15">
        <v>520042615</v>
      </c>
    </row>
    <row r="89" spans="1:2">
      <c r="A89" t="s">
        <v>1260</v>
      </c>
      <c r="B89" s="15">
        <v>512065202</v>
      </c>
    </row>
    <row r="90" spans="1:2">
      <c r="A90" t="s">
        <v>1261</v>
      </c>
      <c r="B90">
        <v>520042540</v>
      </c>
    </row>
    <row r="91" spans="1:2">
      <c r="A91" t="s">
        <v>1262</v>
      </c>
      <c r="B91" s="15">
        <v>520027715</v>
      </c>
    </row>
    <row r="92" spans="1:2">
      <c r="A92" t="s">
        <v>1263</v>
      </c>
      <c r="B92" s="15">
        <v>512245812</v>
      </c>
    </row>
    <row r="93" spans="1:2">
      <c r="A93" t="s">
        <v>1264</v>
      </c>
      <c r="B93" s="15">
        <v>520022351</v>
      </c>
    </row>
    <row r="94" spans="1:2">
      <c r="A94" t="s">
        <v>1265</v>
      </c>
      <c r="B94" s="15">
        <v>514767490</v>
      </c>
    </row>
    <row r="95" spans="1:2">
      <c r="A95" t="s">
        <v>1266</v>
      </c>
      <c r="B95" s="15">
        <v>520024985</v>
      </c>
    </row>
    <row r="96" spans="1:2">
      <c r="A96" t="s">
        <v>1267</v>
      </c>
      <c r="B96" s="15">
        <v>520042573</v>
      </c>
    </row>
    <row r="97" spans="1:2">
      <c r="A97" t="s">
        <v>1268</v>
      </c>
      <c r="B97" s="15">
        <v>570009449</v>
      </c>
    </row>
    <row r="98" spans="1:2">
      <c r="A98" t="s">
        <v>1269</v>
      </c>
      <c r="B98" s="15">
        <v>520031659</v>
      </c>
    </row>
    <row r="99" spans="1:2">
      <c r="A99" t="s">
        <v>1270</v>
      </c>
      <c r="B99" s="15">
        <v>520042581</v>
      </c>
    </row>
    <row r="100" spans="1:2">
      <c r="A100" t="s">
        <v>1271</v>
      </c>
      <c r="B100">
        <v>520031030</v>
      </c>
    </row>
    <row r="101" spans="1:2">
      <c r="A101" t="s">
        <v>1272</v>
      </c>
      <c r="B101" s="15">
        <v>520030941</v>
      </c>
    </row>
    <row r="102" spans="1:2">
      <c r="A102" t="s">
        <v>1273</v>
      </c>
      <c r="B102" s="15">
        <v>512008335</v>
      </c>
    </row>
    <row r="103" spans="1:2">
      <c r="A103" t="s">
        <v>1274</v>
      </c>
      <c r="B103" s="15">
        <v>520022963</v>
      </c>
    </row>
    <row r="104" spans="1:2">
      <c r="A104" t="s">
        <v>1275</v>
      </c>
      <c r="B104" s="15">
        <v>570011767</v>
      </c>
    </row>
    <row r="105" spans="1:2">
      <c r="A105" t="s">
        <v>1276</v>
      </c>
      <c r="B105" s="15">
        <v>570014928</v>
      </c>
    </row>
    <row r="106" spans="1:2">
      <c r="A106" t="s">
        <v>1277</v>
      </c>
      <c r="B106" s="15">
        <v>570005959</v>
      </c>
    </row>
    <row r="107" spans="1:2">
      <c r="A107" t="s">
        <v>1278</v>
      </c>
      <c r="B107" s="15">
        <v>510800402</v>
      </c>
    </row>
    <row r="108" spans="1:2">
      <c r="A108" t="s">
        <v>1279</v>
      </c>
      <c r="B108" s="15">
        <v>570007476</v>
      </c>
    </row>
    <row r="109" spans="1:2">
      <c r="A109" t="s">
        <v>1280</v>
      </c>
      <c r="B109" s="15">
        <v>570005850</v>
      </c>
    </row>
    <row r="110" spans="1:2">
      <c r="A110" t="s">
        <v>1281</v>
      </c>
      <c r="B110" s="15">
        <v>520020504</v>
      </c>
    </row>
    <row r="111" spans="1:2">
      <c r="A111" t="s">
        <v>1282</v>
      </c>
      <c r="B111" s="15">
        <v>520020447</v>
      </c>
    </row>
    <row r="112" spans="1:2">
      <c r="A112" t="s">
        <v>1283</v>
      </c>
      <c r="B112" s="15">
        <v>511033060</v>
      </c>
    </row>
    <row r="113" spans="1:2">
      <c r="A113" t="s">
        <v>1284</v>
      </c>
      <c r="B113">
        <v>520027848</v>
      </c>
    </row>
    <row r="114" spans="1:2">
      <c r="A114" t="s">
        <v>1285</v>
      </c>
      <c r="B114" s="15">
        <v>570009852</v>
      </c>
    </row>
    <row r="115" spans="1:2">
      <c r="A115" t="s">
        <v>1286</v>
      </c>
      <c r="B115" s="15">
        <v>520027251</v>
      </c>
    </row>
    <row r="116" spans="1:2">
      <c r="A116" t="s">
        <v>1287</v>
      </c>
      <c r="B116" s="15">
        <v>520028390</v>
      </c>
    </row>
    <row r="117" spans="1:2">
      <c r="A117" t="s">
        <v>1288</v>
      </c>
      <c r="B117" s="15">
        <v>510806870</v>
      </c>
    </row>
    <row r="118" spans="1:2">
      <c r="A118" t="s">
        <v>1289</v>
      </c>
      <c r="B118">
        <v>513879189</v>
      </c>
    </row>
    <row r="119" spans="1:2">
      <c r="A119" t="s">
        <v>1290</v>
      </c>
      <c r="B119">
        <v>510015951</v>
      </c>
    </row>
    <row r="120" spans="1:2">
      <c r="A120" t="s">
        <v>1291</v>
      </c>
      <c r="B120" s="15">
        <v>520030693</v>
      </c>
    </row>
    <row r="121" spans="1:2">
      <c r="A121" t="s">
        <v>1292</v>
      </c>
      <c r="B121" s="15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2025-05-28T13:56:04Z</dcterms:modified>
</cp:coreProperties>
</file>