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03.2025\שליחה שניה אותות\"/>
    </mc:Choice>
  </mc:AlternateContent>
  <xr:revisionPtr revIDLastSave="0" documentId="13_ncr:1_{E4175F65-144E-44B1-A2BB-79B84FD536C6}" xr6:coauthVersionLast="36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8" i="2" l="1"/>
  <c r="B16" i="2" l="1"/>
  <c r="B23" i="2"/>
  <c r="B24" i="2" l="1"/>
  <c r="B29" i="2"/>
  <c r="B27" i="2"/>
  <c r="B26" i="2"/>
  <c r="B25" i="2"/>
  <c r="B22" i="2"/>
  <c r="B21" i="2"/>
  <c r="B20" i="2"/>
  <c r="B19" i="2"/>
  <c r="B18" i="2"/>
  <c r="B17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<sst xmlns="http://schemas.openxmlformats.org/spreadsheetml/2006/main" count="5236" uniqueCount="1384">
  <si>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</si>
  <si>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</si>
  <si>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</si>
  <si>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</si>
  <si>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</si>
  <si>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</si>
  <si>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</si>
  <si>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</si>
  <si>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</si>
  <si>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</si>
  <si>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</si>
  <si>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</si>
  <si>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</si>
  <si>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</si>
  <si>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</si>
  <si>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</si>
  <si>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</si>
  <si>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</si>
  <si>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</si>
  <si>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</si>
  <si>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</si>
  <si>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</si>
  <si>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</si>
  <si>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</si>
  <si>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</si>
  <si>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</si>
  <si>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</si>
  <si>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</si>
  <si>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</si>
  <si>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</si>
  <si>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</si>
  <si>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</si>
  <si>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</si>
  <si>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</si>
  <si>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</si>
  <si>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</si>
  <si>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</si>
  <si>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</si>
  <si>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</si>
  <si>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</si>
  <si>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</si>
  <si>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</si>
  <si>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</si>
  <si>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</si>
  <si>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</si>
  <si>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</si>
  <si>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</si>
  <si>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</si>
  <si>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</si>
  <si>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</si>
  <si>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</si>
  <si>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</si>
  <si>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</si>
  <si>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</si>
  <si>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</si>
  <si>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</si>
  <si>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</si>
  <si>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</si>
  <si>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</si>
  <si>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</si>
  <si>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</si>
  <si>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</si>
  <si>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</si>
  <si>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</si>
  <si>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</si>
  <si>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</si>
  <si>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</si>
  <si>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</si>
  <si>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</si>
  <si>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</si>
  <si>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</si>
  <si>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</si>
  <si>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</si>
  <si>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</si>
  <si>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</si>
  <si>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</si>
  <si>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</si>
  <si>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</si>
  <si>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</si>
  <si>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</si>
  <si>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</si>
  <si>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</si>
  <si>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</si>
  <si>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</si>
  <si>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</si>
  <si>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</si>
  <si>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</si>
  <si>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</si>
  <si>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</si>
  <si>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</si>
  <si>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</si>
  <si>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</si>
  <si>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</si>
  <si>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</si>
  <si>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</si>
  <si>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</si>
  <si>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</si>
  <si>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</si>
  <si>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</si>
  <si>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</si>
  <si>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</si>
  <si>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</si>
  <si>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</si>
  <si>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</si>
  <si>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</si>
  <si>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</si>
  <si>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</si>
  <si>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</si>
  <si>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</si>
  <si>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</si>
  <si>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</si>
  <si>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</si>
  <si>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</si>
  <si>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</si>
  <si>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</si>
  <si>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</si>
  <si>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</si>
  <si>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</si>
  <si>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</si>
  <si>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</si>
  <si>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</si>
  <si>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</si>
  <si>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</si>
  <si>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</si>
  <si>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</si>
  <si>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</si>
  <si>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</si>
  <si>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</si>
  <si>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</si>
  <si>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</si>
  <si>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</si>
  <si>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</si>
  <si>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</si>
  <si>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</si>
  <si>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</si>
  <si>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</si>
  <si>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</si>
  <si>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</si>
  <si>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</si>
  <si>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</si>
  <si>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</si>
  <si>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</si>
  <si>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</si>
  <si>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</si>
  <si>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</si>
  <si>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</si>
  <si>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</si>
  <si>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</si>
  <si>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</si>
  <si>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</si>
  <si>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</si>
  <si>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</si>
  <si>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</si>
  <si>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</si>
  <si>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</si>
  <si>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</si>
  <si>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</si>
  <si>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</si>
  <si>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</si>
  <si>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</si>
  <si>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</si>
  <si>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</si>
  <si>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</si>
  <si>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</si>
  <si>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</si>
  <si>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</si>
  <si>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</si>
  <si>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</si>
  <si>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</si>
  <si>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</si>
  <si>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</si>
  <si>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</si>
  <si>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</si>
  <si>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</si>
  <si>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</si>
  <si>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</si>
  <si>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</si>
  <si>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</si>
  <si>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</si>
  <si>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</si>
  <si>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</si>
  <si>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</si>
  <si>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</si>
  <si>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</si>
  <si>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</si>
  <si>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</si>
  <si>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</si>
  <si>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</si>
  <si>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</si>
  <si>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</si>
  <si>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</si>
  <si>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</si>
  <si>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</si>
  <si>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</si>
  <si>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</si>
  <si>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</si>
  <si>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</si>
  <si>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</si>
  <si>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</si>
  <si>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</si>
  <si>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</si>
  <si>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</si>
  <si>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</si>
  <si>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</si>
  <si>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</si>
  <si>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</si>
  <si>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</si>
  <si>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</si>
  <si>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</si>
  <si>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</si>
  <si>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</si>
  <si>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</si>
  <si>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</si>
  <si>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</si>
  <si>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</si>
  <si>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</si>
  <si>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</si>
  <si>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</si>
  <si>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</si>
  <si>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</si>
  <si>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</si>
  <si>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</si>
  <si>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</si>
  <si>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</si>
  <si>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</si>
  <si>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</si>
  <si>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</si>
  <si>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</si>
  <si>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</si>
  <si>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</si>
  <si>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</si>
  <si>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</si>
  <si>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</si>
  <si>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</si>
  <si>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</si>
  <si>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</si>
  <si>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</si>
  <si>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</si>
  <si>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</si>
  <si>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</si>
  <si>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</si>
  <si>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</si>
  <si>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</si>
  <si>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</si>
  <si>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</si>
  <si>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</si>
  <si>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</si>
  <si>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</si>
  <si>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</si>
  <si>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</si>
  <si>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</si>
  <si>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</si>
  <si>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</si>
  <si>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</si>
  <si>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</si>
  <si>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</si>
  <si>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</si>
  <si>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</si>
  <si>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</si>
  <si>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</si>
  <si>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</si>
  <si>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</si>
  <si>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</si>
  <si>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</si>
  <si>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</si>
  <si>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</si>
  <si>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</si>
  <si>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</si>
  <si>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</si>
  <si>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</si>
  <si>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</si>
  <si>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</si>
  <si>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</si>
  <si>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</si>
  <si>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</si>
  <si>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</si>
  <si>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</si>
  <si>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</si>
  <si>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</si>
  <si>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</si>
  <si>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</si>
  <si>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</si>
  <si>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</si>
  <si>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</si>
  <si>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</si>
  <si>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</si>
  <si>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</si>
  <si>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</si>
  <si>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</si>
  <si>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</si>
  <si>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</si>
  <si>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</si>
  <si>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</si>
  <si>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</si>
  <si>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</si>
  <si>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</si>
  <si>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</si>
  <si>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</si>
  <si>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</si>
  <si>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</si>
  <si>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</si>
  <si>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</si>
  <si>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</si>
  <si>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</si>
  <si>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</si>
  <si>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</si>
  <si>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</si>
  <si>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</si>
  <si>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</si>
  <si>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</si>
  <si>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</si>
  <si>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</si>
  <si>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</si>
  <si>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</si>
  <si>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</si>
  <si>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</si>
  <si>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</si>
  <si>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</si>
  <si>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</si>
  <si>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</si>
  <si>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</si>
  <si>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</si>
  <si>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</si>
  <si>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</si>
  <si>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</si>
  <si>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</si>
  <si>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</si>
  <si>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</si>
  <si>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</si>
  <si>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</si>
  <si>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</si>
  <si>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</si>
  <si>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</si>
  <si>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</si>
  <si>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</si>
  <si>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</si>
  <si>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</si>
  <si>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</si>
  <si>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</si>
  <si>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</si>
  <si>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</si>
  <si>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</si>
  <si>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</si>
  <si>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</si>
  <si>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</si>
  <si>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</si>
  <si>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</si>
  <si>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</si>
  <si>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</si>
  <si>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</si>
  <si>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</si>
  <si>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</si>
  <si>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</si>
  <si>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</si>
  <si>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</si>
  <si>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</si>
  <si>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</si>
  <si>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</si>
  <si>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</si>
  <si>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</si>
  <si>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</si>
  <si>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</si>
  <si>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</si>
  <si>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</si>
  <si>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</si>
  <si>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</si>
  <si>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</si>
  <si>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</si>
  <si>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</si>
  <si>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</si>
  <si>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</si>
  <si>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</si>
  <si>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</si>
  <si>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</si>
  <si>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</si>
  <si>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</si>
  <si>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</si>
  <si>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</si>
  <si>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</si>
  <si>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</si>
  <si>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</si>
  <si>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</si>
  <si>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</si>
  <si>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</si>
  <si>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</si>
  <si>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</si>
  <si>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</si>
  <si>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</si>
  <si>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</si>
  <si>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</si>
  <si>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</si>
  <si>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</si>
  <si>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</si>
  <si>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</si>
  <si>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</si>
  <si>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</si>
  <si>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</si>
  <si>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</si>
  <si>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</si>
  <si>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</si>
  <si>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</si>
  <si>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</si>
  <si>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</si>
  <si>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</si>
  <si>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</si>
  <si>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</si>
  <si>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</si>
  <si>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</si>
  <si>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</si>
  <si>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</si>
  <si>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</si>
  <si>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</si>
  <si>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</si>
  <si>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</si>
  <si>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</si>
  <si>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</si>
  <si>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</si>
  <si>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</si>
  <si>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</si>
  <si>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</si>
  <si>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</si>
  <si>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</si>
  <si>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</si>
  <si>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</si>
  <si>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</si>
  <si>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</si>
  <si>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</si>
  <si>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</si>
  <si>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</si>
  <si>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</si>
  <si>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</si>
  <si>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</si>
  <si>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</si>
  <si>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</si>
  <si>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</si>
  <si>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</si>
  <si>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</si>
  <si>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</si>
  <si>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</si>
  <si>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</si>
  <si>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</si>
  <si>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</si>
  <si>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</si>
  <si>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</si>
  <si>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</si>
  <si>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</si>
  <si>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</si>
  <si>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</si>
  <si>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</si>
  <si>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</si>
  <si>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</si>
  <si>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</si>
  <si>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</si>
  <si>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</si>
  <si>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</si>
  <si>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</si>
  <si>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</si>
  <si>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</si>
  <si>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</si>
  <si>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</si>
  <si>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</si>
  <si>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</si>
  <si>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</si>
  <si>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</si>
  <si>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</si>
  <si>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</si>
  <si>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</si>
  <si>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</si>
  <si>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</si>
  <si>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</si>
  <si>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</si>
  <si>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</si>
  <si>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</si>
  <si>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</si>
  <si>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</si>
  <si>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</si>
  <si>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</si>
  <si>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</si>
  <si>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</si>
  <si>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</si>
  <si>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</si>
  <si>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</si>
  <si>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</si>
  <si>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</si>
  <si>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</si>
  <si>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</si>
  <si>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</si>
  <si>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</si>
  <si>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</si>
  <si>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</si>
  <si>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</si>
  <si>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</si>
  <si>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</si>
  <si>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</si>
  <si>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</si>
  <si>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</si>
  <si>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</si>
  <si>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</si>
  <si>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</si>
  <si>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</si>
  <si>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</si>
  <si>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</si>
  <si>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</si>
  <si>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</si>
  <si>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</si>
  <si>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</si>
  <si>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</si>
  <si>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</si>
  <si>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</si>
  <si>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</si>
  <si>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</si>
  <si>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</si>
  <si>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</si>
  <si>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</si>
  <si>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</si>
  <si>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</si>
  <si>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</si>
  <si>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</si>
  <si>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</si>
  <si>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</si>
  <si>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</si>
  <si>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</si>
  <si>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</si>
  <si>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</si>
  <si>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</si>
  <si>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</si>
  <si>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</si>
  <si>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</si>
  <si>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</si>
  <si>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</si>
  <si>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</si>
  <si>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</si>
  <si>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</si>
  <si>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</si>
  <si>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</si>
  <si>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</si>
  <si>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</si>
  <si>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</si>
  <si>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</si>
  <si>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</si>
  <si>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</si>
  <si>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</si>
  <si>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</si>
  <si>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</si>
  <si>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</si>
  <si>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</si>
  <si>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</si>
  <si>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</si>
  <si>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</si>
  <si>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</si>
  <si>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</si>
  <si>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</si>
  <si>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</si>
  <si>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</si>
  <si>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</si>
  <si>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</si>
  <si>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</si>
  <si>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</si>
  <si>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</si>
  <si>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</si>
  <si>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</si>
  <si>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</si>
  <si>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</si>
  <si>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</si>
  <si>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</si>
  <si>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</si>
  <si>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</si>
  <si>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</si>
  <si>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</si>
  <si>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</si>
  <si>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</si>
  <si>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</si>
  <si>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</si>
  <si>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</si>
  <si>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</si>
  <si>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</si>
  <si>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</si>
  <si>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</si>
  <si>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</si>
  <si>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</si>
  <si>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</si>
  <si>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</si>
  <si>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</si>
  <si>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</si>
  <si>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</si>
  <si>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</si>
  <si>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</si>
  <si>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</si>
  <si>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</si>
  <si>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</si>
  <si>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</si>
  <si>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</si>
  <si>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</si>
  <si>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</si>
  <si>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</si>
  <si>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</si>
  <si>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</si>
  <si>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</si>
  <si>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</si>
  <si>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</si>
  <si>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</si>
  <si>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</si>
  <si>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</si>
  <si>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</si>
  <si>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</si>
  <si>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</si>
  <si>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</si>
  <si>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</si>
  <si>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</si>
  <si>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</si>
  <si>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</si>
  <si>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</si>
  <si>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</si>
  <si>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</si>
  <si>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</si>
  <si>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</si>
  <si>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</si>
  <si>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</si>
  <si>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</si>
  <si>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</si>
  <si>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</si>
  <si>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</si>
  <si>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</si>
  <si>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</si>
  <si>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</si>
  <si>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</si>
  <si>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</si>
  <si>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</si>
  <si>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</si>
  <si>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</si>
  <si>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</si>
  <si>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</si>
  <si>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</si>
  <si>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</si>
  <si>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</si>
  <si>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</si>
  <si>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</si>
  <si>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</si>
  <si>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</si>
  <si>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</si>
  <si>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</si>
  <si>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</si>
  <si>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</si>
  <si>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</si>
  <si>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</si>
  <si>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</si>
  <si>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</si>
  <si>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</si>
  <si>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</si>
  <si>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</si>
  <si>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</si>
  <si>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</si>
  <si>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</si>
  <si>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</si>
  <si>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</si>
  <si>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</si>
  <si>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</si>
  <si>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</si>
  <si>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</si>
  <si>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</si>
  <si>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</si>
  <si>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</si>
  <si>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</si>
  <si>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</si>
  <si>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</si>
  <si>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</si>
  <si>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</si>
  <si>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</si>
  <si>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</si>
  <si>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</si>
  <si>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</si>
  <si>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</si>
  <si>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</si>
  <si>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</si>
  <si>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</si>
  <si>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</si>
  <si>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</si>
  <si>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</si>
  <si>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</si>
  <si>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</si>
  <si>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</si>
  <si>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</si>
  <si>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</si>
  <si>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</si>
  <si>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</si>
  <si>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</si>
  <si>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</si>
  <si>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</si>
  <si>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</si>
  <si>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</si>
  <si>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</si>
  <si>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</si>
  <si>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</si>
  <si>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</si>
  <si>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</si>
  <si>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</si>
  <si>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</si>
  <si>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</si>
  <si>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</si>
  <si>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</si>
  <si>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</si>
  <si>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</si>
  <si>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</si>
  <si>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</si>
  <si>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</si>
  <si>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</si>
  <si>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</si>
  <si>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</si>
  <si>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</si>
  <si>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</si>
  <si>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</si>
  <si>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</si>
  <si>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</si>
  <si>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</si>
  <si>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</si>
  <si>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</si>
  <si>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</si>
  <si>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</si>
  <si>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</si>
  <si>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</si>
  <si>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</si>
  <si>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</si>
  <si>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</si>
  <si>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</si>
  <si>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</si>
  <si>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</si>
  <si>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</si>
  <si>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</si>
  <si>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</si>
  <si>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</si>
  <si>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</si>
  <si>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</si>
  <si>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</si>
  <si>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</si>
  <si>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</si>
  <si>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</si>
  <si>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</si>
  <si>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</si>
  <si>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</si>
  <si>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</si>
  <si>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</si>
  <si>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</si>
  <si>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</si>
  <si>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</si>
  <si>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</si>
  <si>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</si>
  <si>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</si>
  <si>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</si>
  <si>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</si>
  <si>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</si>
  <si>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</si>
  <si>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</si>
  <si>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</si>
  <si>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</si>
  <si>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</si>
  <si>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</si>
  <si>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</si>
  <si>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</si>
  <si>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</si>
  <si>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</si>
  <si>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</si>
  <si>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</si>
  <si>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</si>
  <si>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</si>
  <si>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</si>
  <si>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</si>
  <si>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</si>
  <si>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</si>
  <si>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</si>
  <si>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</si>
  <si>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</si>
  <si>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</si>
  <si>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</si>
  <si>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</si>
  <si>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</si>
  <si>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</si>
  <si>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</si>
  <si>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</si>
  <si>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</si>
  <si>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</si>
  <si>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</si>
  <si>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</si>
  <si>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</si>
  <si>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</si>
  <si>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</si>
  <si>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</si>
  <si>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</si>
  <si>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</si>
  <si>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</si>
  <si>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</si>
  <si>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</si>
  <si>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</si>
  <si>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</si>
  <si>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</si>
  <si>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</si>
  <si>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</si>
  <si>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</si>
  <si>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</si>
  <si>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</si>
  <si>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</si>
  <si>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</si>
  <si>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</si>
  <si>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</si>
  <si>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</si>
  <si>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</si>
  <si>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</si>
  <si>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</si>
  <si>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</si>
  <si>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</si>
  <si>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</si>
  <si>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</si>
  <si>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</si>
  <si>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</si>
  <si>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</si>
  <si>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</si>
  <si>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</si>
  <si>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</si>
  <si>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</si>
  <si>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</si>
  <si>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</si>
  <si>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</si>
  <si>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</si>
  <si>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</si>
  <si>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</si>
  <si>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</si>
  <si>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</si>
  <si>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</si>
  <si>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</si>
  <si>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</si>
  <si>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</si>
  <si>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</si>
  <si>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</si>
  <si>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</si>
  <si>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</si>
  <si>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</si>
  <si>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</si>
  <si>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</si>
  <si>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</si>
  <si>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</si>
  <si>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</si>
  <si>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</si>
  <si>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</si>
  <si>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</si>
  <si>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</si>
  <si>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</si>
  <si>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</si>
  <si>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</si>
  <si>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</si>
  <si>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</si>
  <si>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</si>
  <si>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</si>
  <si>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</si>
  <si>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</si>
  <si>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</si>
  <si>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</si>
  <si>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</si>
  <si>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</si>
  <si>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</si>
  <si>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</si>
  <si>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</si>
  <si>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</si>
  <si>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</si>
  <si>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</si>
  <si>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</si>
  <si>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</si>
  <si>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</si>
  <si>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</si>
  <si>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</si>
  <si>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</si>
  <si>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</si>
  <si>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</si>
  <si>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</si>
  <si>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</si>
  <si>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</si>
  <si>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</si>
  <si>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</si>
  <si>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</si>
  <si>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</si>
  <si>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</si>
  <si>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</si>
  <si>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</si>
  <si>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</si>
  <si>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</si>
  <si>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</si>
  <si>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</si>
  <si>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</si>
  <si>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</si>
  <si>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</si>
  <si>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</si>
  <si>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</si>
  <si>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</si>
  <si>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</si>
  <si>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</si>
  <si>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</si>
  <si>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</si>
  <si>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</si>
  <si>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</si>
  <si>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</si>
  <si>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</si>
  <si>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</si>
  <si>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</si>
  <si>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</si>
  <si>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</si>
  <si>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</si>
  <si>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</si>
  <si>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</si>
  <si>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</si>
  <si>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</si>
  <si>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</si>
  <si>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</si>
  <si>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</si>
  <si>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</si>
  <si>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</si>
  <si>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</si>
  <si>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</si>
  <si>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</si>
  <si>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</si>
  <si>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</si>
  <si>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</si>
  <si>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</si>
  <si>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</si>
  <si>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</si>
  <si>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</si>
  <si>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</si>
  <si>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</si>
  <si>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</si>
  <si>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</si>
  <si>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</si>
  <si>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</si>
  <si>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</si>
  <si>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</si>
  <si>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</si>
  <si>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</si>
  <si>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</si>
  <si>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</si>
  <si>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</si>
  <si>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</si>
  <si>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</si>
  <si>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</si>
  <si>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</si>
  <si>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</si>
  <si>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</si>
  <si>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</si>
  <si>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</si>
  <si>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</si>
  <si>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</si>
  <si>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</si>
  <si>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</si>
  <si>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</si>
  <si>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</si>
  <si>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</si>
  <si>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</si>
  <si>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</si>
  <si>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</si>
  <si>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</si>
  <si>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</si>
  <si>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</si>
  <si>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</si>
  <si>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</si>
  <si>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</si>
  <si>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</si>
  <si>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</si>
  <si>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</si>
  <si>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</si>
  <si>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</si>
  <si>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</si>
  <si>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</si>
  <si>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</si>
  <si>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</si>
  <si>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</si>
  <si>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</si>
  <si>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</si>
  <si>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</si>
  <si>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</si>
  <si>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</si>
  <si>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</si>
  <si>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</si>
  <si>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</si>
  <si>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</si>
  <si>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</si>
  <si>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</si>
  <si>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</si>
  <si>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</si>
  <si>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</si>
  <si>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</si>
  <si>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</si>
  <si>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</si>
  <si>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</si>
  <si>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</si>
  <si>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</si>
  <si>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</si>
  <si>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</si>
  <si>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</si>
  <si>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</si>
  <si>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</si>
  <si>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</si>
  <si>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</si>
  <si>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</si>
  <si>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</si>
  <si>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</si>
  <si>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</si>
  <si>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</si>
  <si>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</si>
  <si>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</si>
  <si>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</si>
  <si>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</si>
  <si>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</si>
  <si>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</si>
  <si>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</si>
  <si>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</si>
  <si>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</si>
  <si>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</si>
  <si>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</si>
  <si>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</si>
  <si>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</si>
  <si>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</si>
  <si>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</si>
  <si>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</si>
  <si>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</si>
  <si>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</si>
  <si>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</si>
  <si>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</si>
  <si>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</si>
  <si>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</si>
  <si>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</si>
  <si>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</si>
  <si>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</si>
  <si>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</si>
  <si>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</si>
  <si>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</si>
  <si>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</si>
  <si>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</si>
  <si>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</si>
  <si>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</si>
  <si>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</si>
  <si>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</si>
  <si>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</si>
  <si>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</si>
  <si>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</si>
  <si>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</si>
  <si>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</si>
  <si>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</si>
  <si>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</si>
  <si>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</si>
  <si>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</si>
  <si>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</si>
  <si>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</si>
  <si>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</si>
  <si>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</si>
  <si>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</si>
  <si>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</si>
  <si>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</si>
  <si>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</si>
  <si>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</si>
  <si>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</si>
  <si>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</si>
  <si>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</si>
  <si>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</si>
  <si>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</si>
  <si>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</si>
  <si>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</si>
  <si>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</si>
  <si>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</si>
  <si>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</si>
  <si>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</si>
  <si>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</si>
  <si>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</si>
  <si>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</si>
  <si>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</si>
  <si>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</si>
  <si>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</si>
  <si>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</si>
  <si>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</si>
  <si>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</si>
  <si>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</si>
  <si>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</si>
  <si>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</si>
  <si>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</si>
  <si>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</si>
  <si>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</si>
  <si>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</si>
  <si>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</si>
  <si>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</si>
  <si>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</si>
  <si>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</si>
  <si>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</si>
  <si>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</si>
  <si>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</si>
  <si>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</si>
  <si>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</si>
  <si>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</si>
  <si>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</si>
  <si>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</si>
  <si>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</si>
  <si>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</si>
  <si>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</si>
  <si>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</si>
  <si>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</si>
  <si>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</si>
  <si>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</si>
  <si>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</si>
  <si>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</si>
  <si>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</si>
  <si>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</si>
  <si>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</si>
  <si>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</si>
  <si>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</si>
  <si>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</si>
  <si>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</si>
  <si>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</si>
  <si>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</si>
  <si>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</si>
  <si>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</si>
  <si>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</si>
  <si>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</si>
  <si>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</si>
  <si>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</si>
  <si>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</si>
  <si>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</si>
  <si>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</si>
  <si>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</si>
  <si>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</si>
  <si>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</si>
  <si>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</si>
  <si>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</si>
  <si>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</si>
  <si>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</si>
  <si>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</si>
  <si>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</si>
  <si>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</si>
  <si>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</si>
  <si>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</si>
  <si>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</si>
  <si>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</si>
  <si>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</si>
  <si>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</si>
  <si>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</si>
  <si>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</si>
  <si>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</si>
  <si>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</si>
  <si>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</si>
  <si>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</si>
  <si>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</si>
  <si>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</si>
  <si>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</si>
  <si>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</si>
  <si>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</si>
  <si>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</si>
  <si>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</si>
  <si>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</si>
  <si>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</si>
  <si>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</si>
  <si>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</si>
  <si>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</si>
  <si>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</si>
  <si>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</si>
  <si>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</si>
  <si>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</si>
  <si>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</si>
  <si>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</si>
  <si>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</si>
  <si>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</si>
  <si>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</si>
  <si>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</si>
  <si>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</si>
  <si>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</si>
  <si>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</si>
  <si>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</si>
  <si>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</si>
  <si>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</si>
  <si>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</si>
  <si>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</si>
  <si>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</si>
  <si>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</si>
  <si>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</si>
  <si>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</si>
  <si>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</si>
  <si>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</si>
  <si>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</si>
  <si>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</si>
  <si>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</si>
  <si>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</si>
  <si>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</si>
  <si>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</si>
  <si>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</si>
  <si>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</si>
  <si>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</si>
  <si>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</si>
  <si>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</si>
  <si>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</si>
  <si>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</si>
  <si>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</si>
  <si>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</si>
  <si>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</si>
  <si>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</si>
  <si>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</si>
  <si>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</si>
  <si>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</si>
  <si>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</si>
  <si>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</si>
  <si>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</si>
  <si>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</si>
  <si>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</si>
  <si>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</si>
  <si>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</si>
  <si>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</si>
  <si>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</si>
  <si>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</si>
  <si>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</si>
  <si>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הפועלים</t>
  </si>
  <si>
    <t>12-600</t>
  </si>
  <si>
    <t>ilAAA</t>
  </si>
  <si>
    <t>ILS</t>
  </si>
  <si>
    <t>1.000000</t>
  </si>
  <si>
    <t>בנק מזרחי</t>
  </si>
  <si>
    <t>20-21</t>
  </si>
  <si>
    <t>בנק לאומי</t>
  </si>
  <si>
    <t>10-800</t>
  </si>
  <si>
    <t>GBP</t>
  </si>
  <si>
    <t>USD</t>
  </si>
  <si>
    <t>EUR</t>
  </si>
  <si>
    <t>יו-בנק</t>
  </si>
  <si>
    <t>26-273</t>
  </si>
  <si>
    <t>בנק דיסקונט</t>
  </si>
  <si>
    <t>11-10</t>
  </si>
  <si>
    <t>ממשלת ישראל</t>
  </si>
  <si>
    <t>ממשלתי שקלי 1152</t>
  </si>
  <si>
    <t>IL0011840761</t>
  </si>
  <si>
    <t>ilRF</t>
  </si>
  <si>
    <t>ממשלתי  צמוד 0841</t>
  </si>
  <si>
    <t>IL0011205833</t>
  </si>
  <si>
    <t>ממשלתי משתנה 0526</t>
  </si>
  <si>
    <t>IL0011417958</t>
  </si>
  <si>
    <t>ממשלתי צמוד 0545</t>
  </si>
  <si>
    <t>IL0011348658</t>
  </si>
  <si>
    <t>ממשלתי שקלי 347</t>
  </si>
  <si>
    <t>IL0011401937</t>
  </si>
  <si>
    <t>ממשלתי צמוד 0536</t>
  </si>
  <si>
    <t>IL0010977085</t>
  </si>
  <si>
    <t>ממשלתי צמוד  1151</t>
  </si>
  <si>
    <t>IL0011683013</t>
  </si>
  <si>
    <t>ממשל צמודה 1131</t>
  </si>
  <si>
    <t>IL0011722209</t>
  </si>
  <si>
    <t>ממשלתי שקלי 142</t>
  </si>
  <si>
    <t>IL0011254005</t>
  </si>
  <si>
    <t>ממשל שקלית 425</t>
  </si>
  <si>
    <t>IL0011626681</t>
  </si>
  <si>
    <t>ממשל צמודה 1033</t>
  </si>
  <si>
    <t>IL0012043795</t>
  </si>
  <si>
    <t>ממשל צמודה 0726</t>
  </si>
  <si>
    <t>IL0011695645</t>
  </si>
  <si>
    <t>בזק החברה הישראלית לתקשורת בע"מ</t>
  </si>
  <si>
    <t>בזק 9</t>
  </si>
  <si>
    <t>IL0023001766</t>
  </si>
  <si>
    <t>Aa2.il</t>
  </si>
  <si>
    <t>פועלים 200</t>
  </si>
  <si>
    <t>IL0066204962</t>
  </si>
  <si>
    <t>Aaa.il</t>
  </si>
  <si>
    <t>בינלאומי הנפקות</t>
  </si>
  <si>
    <t>בינל הנפק אגח י</t>
  </si>
  <si>
    <t>IL0011602906</t>
  </si>
  <si>
    <t>מזרחי טפחות הנפקות</t>
  </si>
  <si>
    <t>מזרחי טפחות הנפקות 46</t>
  </si>
  <si>
    <t>IL0023102259</t>
  </si>
  <si>
    <t>פועלים אגח 203</t>
  </si>
  <si>
    <t>IL0011998684</t>
  </si>
  <si>
    <t>לאומי</t>
  </si>
  <si>
    <t>לאומי 186</t>
  </si>
  <si>
    <t>IL0012018391</t>
  </si>
  <si>
    <t>מימון ישיר</t>
  </si>
  <si>
    <t>מימון ישיר קבוצה ו</t>
  </si>
  <si>
    <t>IL0011916595</t>
  </si>
  <si>
    <t>A1.il</t>
  </si>
  <si>
    <t>דיסקונט מנפיקים בע"מ</t>
  </si>
  <si>
    <t>דיסקונט מנפיקים אגח טו</t>
  </si>
  <si>
    <t>IL0074803045</t>
  </si>
  <si>
    <t>הפחתה בגין קניה בהנפקה מימון ישיר ו 12.9.23</t>
  </si>
  <si>
    <t>מזרחי טפ הנ אגח 68</t>
  </si>
  <si>
    <t>IL0012021429</t>
  </si>
  <si>
    <t>מז טפ הנ אגח 66</t>
  </si>
  <si>
    <t>IL0011916678</t>
  </si>
  <si>
    <t>חברת החשמל לישראל בע"מ</t>
  </si>
  <si>
    <t>חשמל אגח 33</t>
  </si>
  <si>
    <t>IL0060003923</t>
  </si>
  <si>
    <t>מקורות חברת מים בע"מ</t>
  </si>
  <si>
    <t>מקורות סדרה 11</t>
  </si>
  <si>
    <t>IL0011584765</t>
  </si>
  <si>
    <t>פועלים אגח 201</t>
  </si>
  <si>
    <t>IL0011913451</t>
  </si>
  <si>
    <t>פועלים התח נד ז</t>
  </si>
  <si>
    <t>IL0011913295</t>
  </si>
  <si>
    <t>ilAA-</t>
  </si>
  <si>
    <t>מזרחי  טפחות הנפקות 64</t>
  </si>
  <si>
    <t>IL0023105559</t>
  </si>
  <si>
    <t>מזרחי טפחות הנפקות אגח 62</t>
  </si>
  <si>
    <t>IL0023104982</t>
  </si>
  <si>
    <t>פועלים התח נד ה</t>
  </si>
  <si>
    <t>IL0066204624</t>
  </si>
  <si>
    <t>קבוצת עזריאלי בע"מ</t>
  </si>
  <si>
    <t>עזריאלי אגח ה</t>
  </si>
  <si>
    <t>IL0011566036</t>
  </si>
  <si>
    <t>Aa1.il</t>
  </si>
  <si>
    <t>נתיבי הגז הטבעי לישראל בע"מ</t>
  </si>
  <si>
    <t>נתיבי גז אגח ד</t>
  </si>
  <si>
    <t>IL0011475030</t>
  </si>
  <si>
    <t>מקורות סדרה 10</t>
  </si>
  <si>
    <t>IL0011584682</t>
  </si>
  <si>
    <t>לאומי אגח 182</t>
  </si>
  <si>
    <t>IL0060405391</t>
  </si>
  <si>
    <t>חשמל 31</t>
  </si>
  <si>
    <t>IL0060002859</t>
  </si>
  <si>
    <t>מזרחי  טפחות הנפקות  52</t>
  </si>
  <si>
    <t>IL0023103810</t>
  </si>
  <si>
    <t>לאומי 183</t>
  </si>
  <si>
    <t>IL0060405474</t>
  </si>
  <si>
    <t>חשמל אגח 27</t>
  </si>
  <si>
    <t>IL0060002107</t>
  </si>
  <si>
    <t>טבע</t>
  </si>
  <si>
    <t>IL0006290147</t>
  </si>
  <si>
    <t>אנרג'יקס פרויקטים 1 ש.מ</t>
  </si>
  <si>
    <t>אנרג'יקס</t>
  </si>
  <si>
    <t>IL0011233553</t>
  </si>
  <si>
    <t>אנלייט אנרגיה</t>
  </si>
  <si>
    <t>IL0007200111</t>
  </si>
  <si>
    <t>מגדל קרנות נאמנות בע"מ</t>
  </si>
  <si>
    <t>MTF סל (4A) ת"א 35</t>
  </si>
  <si>
    <t>IL0011501843</t>
  </si>
  <si>
    <t>מיטב תכלית קרנות נאמנות בע"מ</t>
  </si>
  <si>
    <t>תכלית סל (00) תל בונד 40</t>
  </si>
  <si>
    <t>IL0011450934</t>
  </si>
  <si>
    <t>MTF סל תל בונד שקלי 50</t>
  </si>
  <si>
    <t>IL0011501686</t>
  </si>
  <si>
    <t>קסם קרנות נאמנות בע"מ</t>
  </si>
  <si>
    <t>קסם ETF תלבונד 20</t>
  </si>
  <si>
    <t>IL0011459604</t>
  </si>
  <si>
    <t>תכלית סל תא 35</t>
  </si>
  <si>
    <t>IL0011437006</t>
  </si>
  <si>
    <t>קסם ETF תא 35</t>
  </si>
  <si>
    <t>IL0011465700</t>
  </si>
  <si>
    <t>הראל קרנות נאמנות בע"מ</t>
  </si>
  <si>
    <t>הראל סל תא 35</t>
  </si>
  <si>
    <t>IL0011489072</t>
  </si>
  <si>
    <t>קסם ETF תלבונד 40</t>
  </si>
  <si>
    <t>IL0011462160</t>
  </si>
  <si>
    <t>AMUNDI INVT SOLUTIONS</t>
  </si>
  <si>
    <t>549300FMBJ5S1PXQ2305</t>
  </si>
  <si>
    <t>AUEM  FP -  MSCI Emerging Markets (P)</t>
  </si>
  <si>
    <t>LU1681045453</t>
  </si>
  <si>
    <t>U127  LN -  MSCI Emerging Markets (P)</t>
  </si>
  <si>
    <t>LU2573966905</t>
  </si>
  <si>
    <t>DWS</t>
  </si>
  <si>
    <t>7LTWFZYICNSX8D621K86</t>
  </si>
  <si>
    <t>XDWD  LN -  MSCI World (P)</t>
  </si>
  <si>
    <t>IE00BJ0KDQ92</t>
  </si>
  <si>
    <t>State Street</t>
  </si>
  <si>
    <t>549300ZFEEJ2IP5VME73</t>
  </si>
  <si>
    <t>SWRD  LN -  MSCI World (P)</t>
  </si>
  <si>
    <t>IE00BFY0GT14</t>
  </si>
  <si>
    <t>ערד 8847 1.2.32 4.8%</t>
  </si>
  <si>
    <t>ערד 8893 01.01.36 4.8%</t>
  </si>
  <si>
    <t>ערד 8897 02.05.36 4.8%</t>
  </si>
  <si>
    <t>ערד 8835 01.02.31 4.8%</t>
  </si>
  <si>
    <t>ערד 8828 01.07.30 4.8%</t>
  </si>
  <si>
    <t>ערד 8833 01.12.30 4.8%</t>
  </si>
  <si>
    <t>ערד 8834 01.01.31 4.8%</t>
  </si>
  <si>
    <t>ערד 8827 2.6.30 4.8%</t>
  </si>
  <si>
    <t>ערד 8898 01.06.36 4.8%</t>
  </si>
  <si>
    <t>ערד 8832 01.11.30 4.8%</t>
  </si>
  <si>
    <t>ערד 8859 01.02.33 4.8%</t>
  </si>
  <si>
    <t>ערד 8894 01.02.36 4.8%</t>
  </si>
  <si>
    <t>ערד 8871 1.02.34 4.8%</t>
  </si>
  <si>
    <t>ערד 8883 02.02.35 4.8%</t>
  </si>
  <si>
    <t>ערד 8844 02.11.31 4.8%</t>
  </si>
  <si>
    <t>ערד 8831 01.10.30 4.8%</t>
  </si>
  <si>
    <t>נכס או התחייבות בגין השלמת המדינה לתשואת היעד</t>
  </si>
  <si>
    <t>מקורות סדרה ו</t>
  </si>
  <si>
    <t>מקורות 8 4.1% 2048</t>
  </si>
  <si>
    <t>נתיבי גז ג</t>
  </si>
  <si>
    <t>IIF</t>
  </si>
  <si>
    <t>A ת.ש.י דרכים מר</t>
  </si>
  <si>
    <t>ILSILS</t>
  </si>
  <si>
    <t>POALIILIT</t>
  </si>
  <si>
    <t>אגד ס.מ.ישיר 31.12.24</t>
  </si>
  <si>
    <t>520020447_pn_p_0125.xlsx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</si>
</sst>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3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D14" sqref="D14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1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2025</v>
      </c>
    </row>
    <row r="10" spans="1:8" ht="14.25" customHeight="1"/>
    <row r="11" spans="1:8" ht="14.25" customHeight="1">
      <c r="A11" s="3" t="s">
        <v>5</v>
      </c>
      <c r="D11" s="4" t="s">
        <v>1195</v>
      </c>
    </row>
    <row r="12" spans="1:8" ht="14.25" customHeight="1"/>
    <row r="13" spans="1:8" ht="14.25" customHeight="1">
      <c r="A13" s="3" t="s">
        <v>6</v>
      </c>
      <c r="D13" s="4">
        <v>520020447</v>
      </c>
    </row>
    <row r="14" spans="1:8" ht="14.25" customHeight="1"/>
    <row r="15" spans="1:8" ht="14.25" customHeight="1">
      <c r="A15" s="6" t="s">
        <v>7</v>
      </c>
      <c r="D15" s="132" t="s">
        <v>1383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topLeftCell="A11" workbookViewId="0">
      <selection activeCell="H8" sqref="H8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2">
        <f>SUM('מזומנים ושווי מזומנים'!O:O)</f>
        <v>199325.36729999995</v>
      </c>
      <c r="C3" s="116"/>
      <c r="D3" s="117"/>
      <c r="E3" s="114">
        <f>IFERROR(B3/$B$30,0)</f>
        <v>3.5920013816558322E-2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2">
        <f>SUM('איגרות חוב ממשלתיות'!U:U)</f>
        <v>628264.79108</v>
      </c>
      <c r="C4" s="116"/>
      <c r="D4" s="117"/>
      <c r="E4" s="114">
        <f t="shared" ref="E4:E29" si="0">IFERROR(B4/$B$30,0)</f>
        <v>0.11321830372992736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2">
        <f>SUM('ניירות ערך מסחריים'!AD:AD)</f>
        <v>0</v>
      </c>
      <c r="C5" s="116"/>
      <c r="D5" s="117"/>
      <c r="E5" s="114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2">
        <f>SUM('איגרות חוב'!AD:AD)</f>
        <v>111243.09185000001</v>
      </c>
      <c r="C6" s="116"/>
      <c r="D6" s="117"/>
      <c r="E6" s="114">
        <f t="shared" si="0"/>
        <v>2.0046888413528426E-2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2">
        <f>SUM('מניות מבכ ויהש'!U:U)</f>
        <v>11.029879999999999</v>
      </c>
      <c r="C7" s="116"/>
      <c r="D7" s="117"/>
      <c r="E7" s="114">
        <f t="shared" si="0"/>
        <v>1.987671952454896E-6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2">
        <f>SUM('קרנות סל'!T:T)</f>
        <v>459736.86103000003</v>
      </c>
      <c r="C8" s="116"/>
      <c r="D8" s="117"/>
      <c r="E8" s="114">
        <f t="shared" si="0"/>
        <v>8.2848232635258548E-2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2">
        <f>SUM('קרנות נאמנות'!T:T)</f>
        <v>0</v>
      </c>
      <c r="C9" s="116"/>
      <c r="D9" s="117"/>
      <c r="E9" s="114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2">
        <f>SUM('כתבי אופציה'!W:W)</f>
        <v>0</v>
      </c>
      <c r="C10" s="116"/>
      <c r="D10" s="117"/>
      <c r="E10" s="114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2">
        <f>SUM(אופציות!V:V)</f>
        <v>0</v>
      </c>
      <c r="C11" s="116"/>
      <c r="D11" s="117"/>
      <c r="E11" s="114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2">
        <f>SUM('חוזים עתידיים'!R:R)</f>
        <v>0</v>
      </c>
      <c r="C12" s="116"/>
      <c r="D12" s="117"/>
      <c r="E12" s="114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2">
        <f>SUM('מוצרים מובנים'!Z:Z)</f>
        <v>0</v>
      </c>
      <c r="C13" s="116"/>
      <c r="D13" s="117"/>
      <c r="E13" s="114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2">
        <f>SUM('לא סחיר איגרות חוב ממשלתיות'!U:U)</f>
        <v>0</v>
      </c>
      <c r="C14" s="116"/>
      <c r="D14" s="117"/>
      <c r="E14" s="114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2">
        <f>SUM('לא סחיר איגרות חוב מיועדות'!N:N)</f>
        <v>659328.05556000001</v>
      </c>
      <c r="C15" s="116"/>
      <c r="D15" s="117"/>
      <c r="E15" s="114">
        <f t="shared" si="0"/>
        <v>0.11881615062931197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2">
        <f>SUM('אפיק השקעה מובטח תשואה'!F:F)</f>
        <v>18589.281589999999</v>
      </c>
      <c r="C16" s="116"/>
      <c r="D16" s="117"/>
      <c r="E16" s="114">
        <f t="shared" si="0"/>
        <v>3.3499361400785104E-3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2">
        <f>SUM('לא סחיר ניירות ערך מסחריים'!AI:AI)</f>
        <v>0</v>
      </c>
      <c r="C17" s="116"/>
      <c r="D17" s="117"/>
      <c r="E17" s="114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2">
        <f>SUM('לא סחיר איגרות חוב'!AG:AG)</f>
        <v>8946.819669999999</v>
      </c>
      <c r="C18" s="116"/>
      <c r="D18" s="117"/>
      <c r="E18" s="114">
        <f t="shared" si="0"/>
        <v>1.6122879416395075E-3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2">
        <f>SUM('לא סחיר מניות מבכ ויהש'!X:X)</f>
        <v>0</v>
      </c>
      <c r="C19" s="116"/>
      <c r="D19" s="117"/>
      <c r="E19" s="114">
        <f t="shared" si="0"/>
        <v>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2">
        <f>SUM('קרנות השקעה'!W:W)</f>
        <v>4631.1256599999997</v>
      </c>
      <c r="C20" s="116"/>
      <c r="D20" s="117"/>
      <c r="E20" s="114">
        <f t="shared" si="0"/>
        <v>8.3456561473707516E-4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2">
        <f>SUM('לא סחיר כתבי אופציה'!Z:Z)</f>
        <v>0</v>
      </c>
      <c r="C21" s="116"/>
      <c r="D21" s="117"/>
      <c r="E21" s="114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2">
        <f>SUM('לא סחיר אופציות'!Z:Z)</f>
        <v>0</v>
      </c>
      <c r="C22" s="116"/>
      <c r="D22" s="117"/>
      <c r="E22" s="114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2">
        <f>SUM('לא סחיר נגזרים אחרים'!R:R)</f>
        <v>45.06026</v>
      </c>
      <c r="C23" s="116"/>
      <c r="D23" s="117"/>
      <c r="E23" s="114">
        <f t="shared" si="0"/>
        <v>8.1202166272276105E-6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3">
        <f>SUM(הלוואות!AT:AT)</f>
        <v>0</v>
      </c>
      <c r="C24" s="116"/>
      <c r="D24" s="117"/>
      <c r="E24" s="114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2">
        <f>SUM('לא סחיר מוצרים מובנים'!AB:AB)</f>
        <v>0</v>
      </c>
      <c r="C25" s="116"/>
      <c r="D25" s="117"/>
      <c r="E25" s="114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2">
        <f>SUM('פיקדונות מעל 3 חודשים'!T:T)</f>
        <v>3768.62761</v>
      </c>
      <c r="C26" s="116"/>
      <c r="D26" s="117"/>
      <c r="E26" s="114">
        <f t="shared" si="0"/>
        <v>6.7913661795451351E-4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2">
        <f>SUM('זכויות מקרקעין'!S:S)</f>
        <v>0</v>
      </c>
      <c r="C27" s="116"/>
      <c r="D27" s="117"/>
      <c r="E27" s="114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2">
        <f>SUM('השקעה בחברות מוחזקות'!U:U)</f>
        <v>0</v>
      </c>
      <c r="C28" s="116"/>
      <c r="D28" s="117"/>
      <c r="E28" s="114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2">
        <f>SUM('נכסים אחרים'!N:N)</f>
        <v>3455254.95059</v>
      </c>
      <c r="C29" s="116"/>
      <c r="D29" s="117"/>
      <c r="E29" s="114">
        <f t="shared" si="0"/>
        <v>0.62266437657242613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9">
        <f t="shared" ref="B30:E30" si="1">SUM(B3:B29)</f>
        <v>5549145.0620799996</v>
      </c>
      <c r="C30" s="118"/>
      <c r="D30" s="118"/>
      <c r="E30" s="115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5"/>
  <sheetViews>
    <sheetView rightToLeft="1" workbookViewId="0">
      <selection activeCell="L18" sqref="L1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18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11.875" bestFit="1" customWidth="1"/>
    <col min="13" max="13" width="8.625" bestFit="1" customWidth="1"/>
    <col min="14" max="14" width="9.25" bestFit="1" customWidth="1"/>
    <col min="15" max="15" width="11.875" bestFit="1" customWidth="1"/>
    <col min="16" max="16" width="11" bestFit="1" customWidth="1"/>
    <col min="17" max="17" width="10.375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21">
        <v>212</v>
      </c>
      <c r="B2" s="121">
        <v>212</v>
      </c>
      <c r="C2" s="120" t="s">
        <v>1209</v>
      </c>
      <c r="D2" s="120" t="s">
        <v>1210</v>
      </c>
      <c r="E2" s="120" t="s">
        <v>314</v>
      </c>
      <c r="F2" s="120" t="s">
        <v>935</v>
      </c>
      <c r="G2" s="120" t="s">
        <v>203</v>
      </c>
      <c r="H2" s="120" t="s">
        <v>338</v>
      </c>
      <c r="I2" s="120" t="s">
        <v>1211</v>
      </c>
      <c r="J2" s="120" t="s">
        <v>412</v>
      </c>
      <c r="K2" s="120" t="s">
        <v>1212</v>
      </c>
      <c r="L2" s="122">
        <v>37106.793270000002</v>
      </c>
      <c r="M2" s="122">
        <v>1</v>
      </c>
      <c r="N2" s="123"/>
      <c r="O2" s="122">
        <v>37106.793270000002</v>
      </c>
      <c r="P2" s="123">
        <v>0.18616099999999999</v>
      </c>
      <c r="Q2" s="123">
        <v>6.6860000000000001E-3</v>
      </c>
    </row>
    <row r="3" spans="1:26" ht="15" customHeight="1">
      <c r="A3" s="121">
        <v>212</v>
      </c>
      <c r="B3" s="121">
        <v>212</v>
      </c>
      <c r="C3" s="120" t="s">
        <v>1214</v>
      </c>
      <c r="D3" s="120" t="s">
        <v>1215</v>
      </c>
      <c r="E3" s="120" t="s">
        <v>314</v>
      </c>
      <c r="F3" s="120" t="s">
        <v>938</v>
      </c>
      <c r="G3" s="120" t="s">
        <v>203</v>
      </c>
      <c r="H3" s="120" t="s">
        <v>338</v>
      </c>
      <c r="I3" s="120" t="s">
        <v>1211</v>
      </c>
      <c r="J3" s="120" t="s">
        <v>412</v>
      </c>
      <c r="K3" s="120" t="s">
        <v>1212</v>
      </c>
      <c r="L3" s="122">
        <v>155102.37263999999</v>
      </c>
      <c r="M3" s="122">
        <v>1</v>
      </c>
      <c r="N3" s="123"/>
      <c r="O3" s="122">
        <v>155102.37263999999</v>
      </c>
      <c r="P3" s="123">
        <v>0.77813600000000005</v>
      </c>
      <c r="Q3" s="123">
        <v>2.7949999999999999E-2</v>
      </c>
    </row>
    <row r="4" spans="1:26" ht="15" customHeight="1">
      <c r="A4" s="121">
        <v>212</v>
      </c>
      <c r="B4" s="121">
        <v>212</v>
      </c>
      <c r="C4" s="120" t="s">
        <v>1216</v>
      </c>
      <c r="D4" s="120" t="s">
        <v>1217</v>
      </c>
      <c r="E4" s="120" t="s">
        <v>314</v>
      </c>
      <c r="F4" s="120" t="s">
        <v>937</v>
      </c>
      <c r="G4" s="120" t="s">
        <v>203</v>
      </c>
      <c r="H4" s="120" t="s">
        <v>338</v>
      </c>
      <c r="I4" s="120" t="s">
        <v>1211</v>
      </c>
      <c r="J4" s="120" t="s">
        <v>412</v>
      </c>
      <c r="K4" s="120" t="s">
        <v>1218</v>
      </c>
      <c r="L4" s="122">
        <v>34.631680000000003</v>
      </c>
      <c r="M4" s="122">
        <v>4.8108000000000004</v>
      </c>
      <c r="N4" s="123"/>
      <c r="O4" s="122">
        <v>166.60608999999999</v>
      </c>
      <c r="P4" s="123">
        <v>8.3500000000000002E-4</v>
      </c>
      <c r="Q4" s="123">
        <v>3.0000000000000001E-5</v>
      </c>
    </row>
    <row r="5" spans="1:26" ht="15" customHeight="1">
      <c r="A5" s="121">
        <v>212</v>
      </c>
      <c r="B5" s="121">
        <v>212</v>
      </c>
      <c r="C5" s="120" t="s">
        <v>1216</v>
      </c>
      <c r="D5" s="120" t="s">
        <v>1217</v>
      </c>
      <c r="E5" s="120" t="s">
        <v>314</v>
      </c>
      <c r="F5" s="120" t="s">
        <v>935</v>
      </c>
      <c r="G5" s="120" t="s">
        <v>203</v>
      </c>
      <c r="H5" s="120" t="s">
        <v>338</v>
      </c>
      <c r="I5" s="120" t="s">
        <v>1211</v>
      </c>
      <c r="J5" s="120" t="s">
        <v>412</v>
      </c>
      <c r="K5" s="120" t="s">
        <v>1212</v>
      </c>
      <c r="L5" s="122">
        <v>1211.64939</v>
      </c>
      <c r="M5" s="122">
        <v>1</v>
      </c>
      <c r="N5" s="123"/>
      <c r="O5" s="122">
        <v>1211.64939</v>
      </c>
      <c r="P5" s="123">
        <v>6.0780000000000001E-3</v>
      </c>
      <c r="Q5" s="123">
        <v>2.1800000000000001E-4</v>
      </c>
    </row>
    <row r="6" spans="1:26" ht="15" customHeight="1">
      <c r="A6" s="121">
        <v>212</v>
      </c>
      <c r="B6" s="121">
        <v>212</v>
      </c>
      <c r="C6" s="120" t="s">
        <v>1214</v>
      </c>
      <c r="D6" s="120" t="s">
        <v>1215</v>
      </c>
      <c r="E6" s="120" t="s">
        <v>314</v>
      </c>
      <c r="F6" s="120" t="s">
        <v>937</v>
      </c>
      <c r="G6" s="120" t="s">
        <v>203</v>
      </c>
      <c r="H6" s="120" t="s">
        <v>338</v>
      </c>
      <c r="I6" s="120" t="s">
        <v>1211</v>
      </c>
      <c r="J6" s="120" t="s">
        <v>412</v>
      </c>
      <c r="K6" s="120" t="s">
        <v>1218</v>
      </c>
      <c r="L6" s="122">
        <v>0.72297999999999996</v>
      </c>
      <c r="M6" s="122">
        <v>4.8108000000000004</v>
      </c>
      <c r="N6" s="123"/>
      <c r="O6" s="122">
        <v>3.47811</v>
      </c>
      <c r="P6" s="123">
        <v>1.7E-5</v>
      </c>
      <c r="Q6" s="123">
        <v>0</v>
      </c>
    </row>
    <row r="7" spans="1:26" ht="15" customHeight="1">
      <c r="A7" s="121">
        <v>212</v>
      </c>
      <c r="B7" s="121">
        <v>212</v>
      </c>
      <c r="C7" s="120" t="s">
        <v>1209</v>
      </c>
      <c r="D7" s="120" t="s">
        <v>1210</v>
      </c>
      <c r="E7" s="120" t="s">
        <v>314</v>
      </c>
      <c r="F7" s="120" t="s">
        <v>937</v>
      </c>
      <c r="G7" s="120" t="s">
        <v>203</v>
      </c>
      <c r="H7" s="120" t="s">
        <v>338</v>
      </c>
      <c r="I7" s="120" t="s">
        <v>1211</v>
      </c>
      <c r="J7" s="120" t="s">
        <v>412</v>
      </c>
      <c r="K7" s="120" t="s">
        <v>1219</v>
      </c>
      <c r="L7" s="122">
        <v>186.71624</v>
      </c>
      <c r="M7" s="122">
        <v>3.718</v>
      </c>
      <c r="N7" s="123"/>
      <c r="O7" s="122">
        <v>694.21097999999995</v>
      </c>
      <c r="P7" s="123">
        <v>3.4819999999999999E-3</v>
      </c>
      <c r="Q7" s="123">
        <v>1.25E-4</v>
      </c>
    </row>
    <row r="8" spans="1:26" ht="15" customHeight="1">
      <c r="A8" s="121">
        <v>212</v>
      </c>
      <c r="B8" s="121">
        <v>212</v>
      </c>
      <c r="C8" s="120" t="s">
        <v>1216</v>
      </c>
      <c r="D8" s="120" t="s">
        <v>1217</v>
      </c>
      <c r="E8" s="120" t="s">
        <v>314</v>
      </c>
      <c r="F8" s="120" t="s">
        <v>937</v>
      </c>
      <c r="G8" s="120" t="s">
        <v>203</v>
      </c>
      <c r="H8" s="120" t="s">
        <v>338</v>
      </c>
      <c r="I8" s="120" t="s">
        <v>1211</v>
      </c>
      <c r="J8" s="120" t="s">
        <v>412</v>
      </c>
      <c r="K8" s="120" t="s">
        <v>1219</v>
      </c>
      <c r="L8" s="122">
        <v>958.66350999999997</v>
      </c>
      <c r="M8" s="122">
        <v>3.718</v>
      </c>
      <c r="N8" s="123"/>
      <c r="O8" s="122">
        <v>3564.3109300000001</v>
      </c>
      <c r="P8" s="123">
        <v>1.7881000000000001E-2</v>
      </c>
      <c r="Q8" s="123">
        <v>6.4199999999999999E-4</v>
      </c>
    </row>
    <row r="9" spans="1:26" ht="15" customHeight="1">
      <c r="A9" s="121">
        <v>212</v>
      </c>
      <c r="B9" s="121">
        <v>212</v>
      </c>
      <c r="C9" s="120" t="s">
        <v>1214</v>
      </c>
      <c r="D9" s="120" t="s">
        <v>1215</v>
      </c>
      <c r="E9" s="120" t="s">
        <v>314</v>
      </c>
      <c r="F9" s="120" t="s">
        <v>937</v>
      </c>
      <c r="G9" s="120" t="s">
        <v>203</v>
      </c>
      <c r="H9" s="120" t="s">
        <v>338</v>
      </c>
      <c r="I9" s="120" t="s">
        <v>1211</v>
      </c>
      <c r="J9" s="120" t="s">
        <v>412</v>
      </c>
      <c r="K9" s="120" t="s">
        <v>1219</v>
      </c>
      <c r="L9" s="122">
        <v>84.552549999999997</v>
      </c>
      <c r="M9" s="122">
        <v>3.718</v>
      </c>
      <c r="N9" s="123"/>
      <c r="O9" s="122">
        <v>314.36637999999999</v>
      </c>
      <c r="P9" s="123">
        <v>1.5770000000000001E-3</v>
      </c>
      <c r="Q9" s="123">
        <v>5.5999999999999999E-5</v>
      </c>
    </row>
    <row r="10" spans="1:26" ht="15" customHeight="1">
      <c r="A10" s="121">
        <v>212</v>
      </c>
      <c r="B10" s="121">
        <v>212</v>
      </c>
      <c r="C10" s="120" t="s">
        <v>1209</v>
      </c>
      <c r="D10" s="120" t="s">
        <v>1210</v>
      </c>
      <c r="E10" s="120" t="s">
        <v>314</v>
      </c>
      <c r="F10" s="120" t="s">
        <v>937</v>
      </c>
      <c r="G10" s="120" t="s">
        <v>203</v>
      </c>
      <c r="H10" s="120" t="s">
        <v>338</v>
      </c>
      <c r="I10" s="120" t="s">
        <v>1211</v>
      </c>
      <c r="J10" s="120" t="s">
        <v>412</v>
      </c>
      <c r="K10" s="120" t="s">
        <v>1220</v>
      </c>
      <c r="L10" s="122">
        <v>9.35459</v>
      </c>
      <c r="M10" s="122">
        <v>4.0218999999999996</v>
      </c>
      <c r="N10" s="123"/>
      <c r="O10" s="122">
        <v>37.62323</v>
      </c>
      <c r="P10" s="123">
        <v>1.8799999999999999E-4</v>
      </c>
      <c r="Q10" s="123">
        <v>6.0000000000000002E-6</v>
      </c>
    </row>
    <row r="11" spans="1:26" ht="15" customHeight="1">
      <c r="A11" s="121">
        <v>212</v>
      </c>
      <c r="B11" s="121">
        <v>212</v>
      </c>
      <c r="C11" s="120" t="s">
        <v>1221</v>
      </c>
      <c r="D11" s="120" t="s">
        <v>1222</v>
      </c>
      <c r="E11" s="120" t="s">
        <v>314</v>
      </c>
      <c r="F11" s="120" t="s">
        <v>935</v>
      </c>
      <c r="G11" s="120" t="s">
        <v>203</v>
      </c>
      <c r="H11" s="120" t="s">
        <v>338</v>
      </c>
      <c r="I11" s="120" t="s">
        <v>1211</v>
      </c>
      <c r="J11" s="120" t="s">
        <v>412</v>
      </c>
      <c r="K11" s="120" t="s">
        <v>1212</v>
      </c>
      <c r="L11" s="122">
        <v>434.05545999999998</v>
      </c>
      <c r="M11" s="122">
        <v>1</v>
      </c>
      <c r="N11" s="123"/>
      <c r="O11" s="122">
        <v>434.05545999999998</v>
      </c>
      <c r="P11" s="123">
        <v>2.1770000000000001E-3</v>
      </c>
      <c r="Q11" s="123">
        <v>7.7999999999999999E-5</v>
      </c>
    </row>
    <row r="12" spans="1:26" ht="15" customHeight="1">
      <c r="A12" s="121">
        <v>212</v>
      </c>
      <c r="B12" s="121">
        <v>212</v>
      </c>
      <c r="C12" s="120" t="s">
        <v>1216</v>
      </c>
      <c r="D12" s="120" t="s">
        <v>1217</v>
      </c>
      <c r="E12" s="120" t="s">
        <v>314</v>
      </c>
      <c r="F12" s="120" t="s">
        <v>937</v>
      </c>
      <c r="G12" s="120" t="s">
        <v>203</v>
      </c>
      <c r="H12" s="120" t="s">
        <v>338</v>
      </c>
      <c r="I12" s="120" t="s">
        <v>1211</v>
      </c>
      <c r="J12" s="120" t="s">
        <v>412</v>
      </c>
      <c r="K12" s="120" t="s">
        <v>1220</v>
      </c>
      <c r="L12" s="122">
        <v>6.5111499999999998</v>
      </c>
      <c r="M12" s="122">
        <v>4.0218999999999996</v>
      </c>
      <c r="N12" s="123"/>
      <c r="O12" s="122">
        <v>26.187190000000001</v>
      </c>
      <c r="P12" s="123">
        <v>1.3100000000000001E-4</v>
      </c>
      <c r="Q12" s="123">
        <v>3.9999999999999998E-6</v>
      </c>
    </row>
    <row r="13" spans="1:26" ht="15" customHeight="1">
      <c r="A13" s="121">
        <v>212</v>
      </c>
      <c r="B13" s="121">
        <v>212</v>
      </c>
      <c r="C13" s="120" t="s">
        <v>1214</v>
      </c>
      <c r="D13" s="120" t="s">
        <v>1215</v>
      </c>
      <c r="E13" s="120" t="s">
        <v>314</v>
      </c>
      <c r="F13" s="120" t="s">
        <v>937</v>
      </c>
      <c r="G13" s="120" t="s">
        <v>203</v>
      </c>
      <c r="H13" s="120" t="s">
        <v>338</v>
      </c>
      <c r="I13" s="120" t="s">
        <v>1211</v>
      </c>
      <c r="J13" s="120" t="s">
        <v>412</v>
      </c>
      <c r="K13" s="120" t="s">
        <v>1220</v>
      </c>
      <c r="L13" s="122">
        <v>1.5</v>
      </c>
      <c r="M13" s="122">
        <v>4.0218999999999996</v>
      </c>
      <c r="N13" s="123"/>
      <c r="O13" s="122">
        <v>6.0328499999999998</v>
      </c>
      <c r="P13" s="123">
        <v>3.0000000000000001E-5</v>
      </c>
      <c r="Q13" s="123">
        <v>9.9999999999999995E-7</v>
      </c>
    </row>
    <row r="14" spans="1:26" ht="15" customHeight="1">
      <c r="A14" s="121">
        <v>212</v>
      </c>
      <c r="B14" s="121">
        <v>212</v>
      </c>
      <c r="C14" s="120" t="s">
        <v>1214</v>
      </c>
      <c r="D14" s="120" t="s">
        <v>1215</v>
      </c>
      <c r="E14" s="120" t="s">
        <v>314</v>
      </c>
      <c r="F14" s="120" t="s">
        <v>935</v>
      </c>
      <c r="G14" s="120" t="s">
        <v>203</v>
      </c>
      <c r="H14" s="120" t="s">
        <v>338</v>
      </c>
      <c r="I14" s="120" t="s">
        <v>1211</v>
      </c>
      <c r="J14" s="120" t="s">
        <v>412</v>
      </c>
      <c r="K14" s="120" t="s">
        <v>1212</v>
      </c>
      <c r="L14" s="122">
        <v>3.0149699999999999</v>
      </c>
      <c r="M14" s="122">
        <v>1</v>
      </c>
      <c r="N14" s="123"/>
      <c r="O14" s="122">
        <v>3.0149699999999999</v>
      </c>
      <c r="P14" s="123">
        <v>1.5E-5</v>
      </c>
      <c r="Q14" s="123">
        <v>0</v>
      </c>
    </row>
    <row r="15" spans="1:26" ht="15" customHeight="1">
      <c r="A15" s="121">
        <v>212</v>
      </c>
      <c r="B15" s="121">
        <v>212</v>
      </c>
      <c r="C15" s="120" t="s">
        <v>1223</v>
      </c>
      <c r="D15" s="120" t="s">
        <v>1224</v>
      </c>
      <c r="E15" s="120" t="s">
        <v>314</v>
      </c>
      <c r="F15" s="120" t="s">
        <v>935</v>
      </c>
      <c r="G15" s="120" t="s">
        <v>203</v>
      </c>
      <c r="H15" s="120" t="s">
        <v>338</v>
      </c>
      <c r="I15" s="120" t="s">
        <v>1211</v>
      </c>
      <c r="J15" s="120" t="s">
        <v>412</v>
      </c>
      <c r="K15" s="120" t="s">
        <v>1212</v>
      </c>
      <c r="L15" s="122">
        <v>654.66580999999996</v>
      </c>
      <c r="M15" s="122">
        <v>1</v>
      </c>
      <c r="N15" s="123"/>
      <c r="O15" s="122">
        <v>654.66580999999996</v>
      </c>
      <c r="P15" s="123">
        <v>3.284E-3</v>
      </c>
      <c r="Q15" s="123">
        <v>1.17E-4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13"/>
  <sheetViews>
    <sheetView rightToLeft="1" workbookViewId="0">
      <selection activeCell="A14" sqref="A1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7.5" bestFit="1" customWidth="1"/>
    <col min="5" max="5" width="12.2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5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5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5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21">
        <v>212</v>
      </c>
      <c r="B2" s="121">
        <v>212</v>
      </c>
      <c r="C2" s="120" t="s">
        <v>1225</v>
      </c>
      <c r="D2" s="120" t="s">
        <v>1226</v>
      </c>
      <c r="E2" s="121" t="s">
        <v>1227</v>
      </c>
      <c r="F2" s="120" t="s">
        <v>946</v>
      </c>
      <c r="G2" s="120" t="s">
        <v>203</v>
      </c>
      <c r="H2" s="120" t="s">
        <v>203</v>
      </c>
      <c r="I2" s="120" t="s">
        <v>339</v>
      </c>
      <c r="J2" s="120" t="s">
        <v>1228</v>
      </c>
      <c r="K2" s="120" t="s">
        <v>412</v>
      </c>
      <c r="L2" s="120" t="s">
        <v>1212</v>
      </c>
      <c r="M2" s="122">
        <v>17.43</v>
      </c>
      <c r="N2" s="124">
        <v>55852</v>
      </c>
      <c r="O2" s="123">
        <v>2.8000000000000001E-2</v>
      </c>
      <c r="P2" s="123">
        <v>4.9399999999999999E-2</v>
      </c>
      <c r="Q2" s="122"/>
      <c r="R2" s="122">
        <v>79589429</v>
      </c>
      <c r="S2" s="122">
        <v>1</v>
      </c>
      <c r="T2" s="122">
        <v>68.95</v>
      </c>
      <c r="U2" s="122">
        <v>54876.9113</v>
      </c>
      <c r="V2" s="122"/>
      <c r="W2" s="120"/>
      <c r="X2" s="123">
        <v>3.4359999999999998E-3</v>
      </c>
      <c r="Y2" s="123">
        <v>8.7345999999999993E-2</v>
      </c>
      <c r="Z2" s="123">
        <v>9.8890000000000002E-3</v>
      </c>
    </row>
    <row r="3" spans="1:26" ht="15" customHeight="1">
      <c r="A3" s="121">
        <v>212</v>
      </c>
      <c r="B3" s="121">
        <v>212</v>
      </c>
      <c r="C3" s="120" t="s">
        <v>1225</v>
      </c>
      <c r="D3" s="120" t="s">
        <v>1229</v>
      </c>
      <c r="E3" s="121" t="s">
        <v>1230</v>
      </c>
      <c r="F3" s="120" t="s">
        <v>944</v>
      </c>
      <c r="G3" s="120" t="s">
        <v>203</v>
      </c>
      <c r="H3" s="120" t="s">
        <v>203</v>
      </c>
      <c r="I3" s="120" t="s">
        <v>339</v>
      </c>
      <c r="J3" s="120" t="s">
        <v>1228</v>
      </c>
      <c r="K3" s="120" t="s">
        <v>412</v>
      </c>
      <c r="L3" s="120" t="s">
        <v>1212</v>
      </c>
      <c r="M3" s="122">
        <v>13.38</v>
      </c>
      <c r="N3" s="124">
        <v>51744</v>
      </c>
      <c r="O3" s="123">
        <v>2.75E-2</v>
      </c>
      <c r="P3" s="123">
        <v>2.1399999999999999E-2</v>
      </c>
      <c r="Q3" s="120"/>
      <c r="R3" s="122">
        <v>11996523</v>
      </c>
      <c r="S3" s="122">
        <v>1</v>
      </c>
      <c r="T3" s="122">
        <v>136.1</v>
      </c>
      <c r="U3" s="122">
        <v>16327.2678</v>
      </c>
      <c r="V3" s="120"/>
      <c r="W3" s="120"/>
      <c r="X3" s="123">
        <v>6.1300000000000005E-4</v>
      </c>
      <c r="Y3" s="123">
        <v>2.5987E-2</v>
      </c>
      <c r="Z3" s="123">
        <v>2.9420000000000002E-3</v>
      </c>
    </row>
    <row r="4" spans="1:26" ht="15" customHeight="1">
      <c r="A4" s="121">
        <v>212</v>
      </c>
      <c r="B4" s="121">
        <v>212</v>
      </c>
      <c r="C4" s="120" t="s">
        <v>1225</v>
      </c>
      <c r="D4" s="120" t="s">
        <v>1231</v>
      </c>
      <c r="E4" s="121" t="s">
        <v>1232</v>
      </c>
      <c r="F4" s="120" t="s">
        <v>947</v>
      </c>
      <c r="G4" s="120" t="s">
        <v>203</v>
      </c>
      <c r="H4" s="120" t="s">
        <v>203</v>
      </c>
      <c r="I4" s="120" t="s">
        <v>339</v>
      </c>
      <c r="J4" s="120" t="s">
        <v>1228</v>
      </c>
      <c r="K4" s="120" t="s">
        <v>412</v>
      </c>
      <c r="L4" s="120" t="s">
        <v>1212</v>
      </c>
      <c r="M4" s="122">
        <v>1</v>
      </c>
      <c r="N4" s="124">
        <v>46173</v>
      </c>
      <c r="O4" s="123">
        <v>0</v>
      </c>
      <c r="P4" s="123">
        <v>4.4299999999999999E-2</v>
      </c>
      <c r="Q4" s="120"/>
      <c r="R4" s="122">
        <v>236825</v>
      </c>
      <c r="S4" s="122">
        <v>1</v>
      </c>
      <c r="T4" s="122">
        <v>100.16</v>
      </c>
      <c r="U4" s="122">
        <v>237.20392000000001</v>
      </c>
      <c r="V4" s="120"/>
      <c r="W4" s="120"/>
      <c r="X4" s="123">
        <v>1.1E-5</v>
      </c>
      <c r="Y4" s="123">
        <v>3.77E-4</v>
      </c>
      <c r="Z4" s="123">
        <v>4.1999999999999998E-5</v>
      </c>
    </row>
    <row r="5" spans="1:26" ht="15" customHeight="1">
      <c r="A5" s="121">
        <v>212</v>
      </c>
      <c r="B5" s="121">
        <v>212</v>
      </c>
      <c r="C5" s="120" t="s">
        <v>1225</v>
      </c>
      <c r="D5" s="120" t="s">
        <v>1233</v>
      </c>
      <c r="E5" s="121" t="s">
        <v>1234</v>
      </c>
      <c r="F5" s="120" t="s">
        <v>944</v>
      </c>
      <c r="G5" s="120" t="s">
        <v>203</v>
      </c>
      <c r="H5" s="120" t="s">
        <v>203</v>
      </c>
      <c r="I5" s="120" t="s">
        <v>339</v>
      </c>
      <c r="J5" s="120" t="s">
        <v>1228</v>
      </c>
      <c r="K5" s="120" t="s">
        <v>412</v>
      </c>
      <c r="L5" s="120" t="s">
        <v>1212</v>
      </c>
      <c r="M5" s="122">
        <v>17.920000000000002</v>
      </c>
      <c r="N5" s="124">
        <v>53113</v>
      </c>
      <c r="O5" s="123">
        <v>0.01</v>
      </c>
      <c r="P5" s="123">
        <v>2.2100000000000002E-2</v>
      </c>
      <c r="Q5" s="120"/>
      <c r="R5" s="122">
        <v>12814478</v>
      </c>
      <c r="S5" s="122">
        <v>1</v>
      </c>
      <c r="T5" s="122">
        <v>94.86</v>
      </c>
      <c r="U5" s="122">
        <v>12155.813829999999</v>
      </c>
      <c r="V5" s="120"/>
      <c r="W5" s="120"/>
      <c r="X5" s="123">
        <v>5.8E-4</v>
      </c>
      <c r="Y5" s="123">
        <v>1.9348000000000001E-2</v>
      </c>
      <c r="Z5" s="123">
        <v>2.1900000000000001E-3</v>
      </c>
    </row>
    <row r="6" spans="1:26" ht="15" customHeight="1">
      <c r="A6" s="121">
        <v>212</v>
      </c>
      <c r="B6" s="121">
        <v>212</v>
      </c>
      <c r="C6" s="120" t="s">
        <v>1225</v>
      </c>
      <c r="D6" s="120" t="s">
        <v>1235</v>
      </c>
      <c r="E6" s="121" t="s">
        <v>1236</v>
      </c>
      <c r="F6" s="120" t="s">
        <v>946</v>
      </c>
      <c r="G6" s="120" t="s">
        <v>203</v>
      </c>
      <c r="H6" s="120" t="s">
        <v>203</v>
      </c>
      <c r="I6" s="120" t="s">
        <v>339</v>
      </c>
      <c r="J6" s="120" t="s">
        <v>1228</v>
      </c>
      <c r="K6" s="120" t="s">
        <v>412</v>
      </c>
      <c r="L6" s="120" t="s">
        <v>1212</v>
      </c>
      <c r="M6" s="122">
        <v>14.74</v>
      </c>
      <c r="N6" s="124">
        <v>53782</v>
      </c>
      <c r="O6" s="123">
        <v>3.7499999999999999E-2</v>
      </c>
      <c r="P6" s="123">
        <v>4.8599999999999997E-2</v>
      </c>
      <c r="Q6" s="120"/>
      <c r="R6" s="122">
        <v>84192580</v>
      </c>
      <c r="S6" s="122">
        <v>1</v>
      </c>
      <c r="T6" s="122">
        <v>85.21</v>
      </c>
      <c r="U6" s="122">
        <v>71740.49742</v>
      </c>
      <c r="V6" s="120"/>
      <c r="W6" s="120"/>
      <c r="X6" s="123">
        <v>3.2070000000000002E-3</v>
      </c>
      <c r="Y6" s="123">
        <v>0.114188</v>
      </c>
      <c r="Z6" s="123">
        <v>1.2928E-2</v>
      </c>
    </row>
    <row r="7" spans="1:26" ht="15" customHeight="1">
      <c r="A7" s="121">
        <v>212</v>
      </c>
      <c r="B7" s="121">
        <v>212</v>
      </c>
      <c r="C7" s="120" t="s">
        <v>1225</v>
      </c>
      <c r="D7" s="120" t="s">
        <v>1237</v>
      </c>
      <c r="E7" s="121" t="s">
        <v>1238</v>
      </c>
      <c r="F7" s="120" t="s">
        <v>944</v>
      </c>
      <c r="G7" s="120" t="s">
        <v>203</v>
      </c>
      <c r="H7" s="120" t="s">
        <v>203</v>
      </c>
      <c r="I7" s="120" t="s">
        <v>339</v>
      </c>
      <c r="J7" s="120" t="s">
        <v>1228</v>
      </c>
      <c r="K7" s="120" t="s">
        <v>412</v>
      </c>
      <c r="L7" s="120" t="s">
        <v>1212</v>
      </c>
      <c r="M7" s="122">
        <v>9.15</v>
      </c>
      <c r="N7" s="124">
        <v>49825</v>
      </c>
      <c r="O7" s="123">
        <v>0.04</v>
      </c>
      <c r="P7" s="123">
        <v>2.12E-2</v>
      </c>
      <c r="Q7" s="120"/>
      <c r="R7" s="122">
        <v>78548956</v>
      </c>
      <c r="S7" s="122">
        <v>1</v>
      </c>
      <c r="T7" s="122">
        <v>167.49</v>
      </c>
      <c r="U7" s="122">
        <v>131561.6464</v>
      </c>
      <c r="V7" s="120"/>
      <c r="W7" s="120"/>
      <c r="X7" s="123">
        <v>4.9300000000000004E-3</v>
      </c>
      <c r="Y7" s="123">
        <v>0.20940400000000001</v>
      </c>
      <c r="Z7" s="123">
        <v>2.3708E-2</v>
      </c>
    </row>
    <row r="8" spans="1:26" ht="15" customHeight="1">
      <c r="A8" s="121">
        <v>212</v>
      </c>
      <c r="B8" s="121">
        <v>212</v>
      </c>
      <c r="C8" s="120" t="s">
        <v>1225</v>
      </c>
      <c r="D8" s="120" t="s">
        <v>1239</v>
      </c>
      <c r="E8" s="121" t="s">
        <v>1240</v>
      </c>
      <c r="F8" s="120" t="s">
        <v>944</v>
      </c>
      <c r="G8" s="120" t="s">
        <v>203</v>
      </c>
      <c r="H8" s="120" t="s">
        <v>203</v>
      </c>
      <c r="I8" s="120" t="s">
        <v>339</v>
      </c>
      <c r="J8" s="120" t="s">
        <v>1228</v>
      </c>
      <c r="K8" s="120" t="s">
        <v>412</v>
      </c>
      <c r="L8" s="120" t="s">
        <v>1212</v>
      </c>
      <c r="M8" s="122">
        <v>24.47</v>
      </c>
      <c r="N8" s="124">
        <v>55487</v>
      </c>
      <c r="O8" s="123">
        <v>5.0000000000000001E-3</v>
      </c>
      <c r="P8" s="123">
        <v>2.23E-2</v>
      </c>
      <c r="Q8" s="120"/>
      <c r="R8" s="122">
        <v>243686924</v>
      </c>
      <c r="S8" s="122">
        <v>1</v>
      </c>
      <c r="T8" s="122">
        <v>75.930000000000007</v>
      </c>
      <c r="U8" s="122">
        <v>185031.48139</v>
      </c>
      <c r="V8" s="120"/>
      <c r="W8" s="120"/>
      <c r="X8" s="123">
        <v>8.5520000000000006E-3</v>
      </c>
      <c r="Y8" s="123">
        <v>0.29451100000000002</v>
      </c>
      <c r="Z8" s="123">
        <v>3.3343999999999999E-2</v>
      </c>
    </row>
    <row r="9" spans="1:26" ht="15" customHeight="1">
      <c r="A9" s="121">
        <v>212</v>
      </c>
      <c r="B9" s="121">
        <v>212</v>
      </c>
      <c r="C9" s="120" t="s">
        <v>1225</v>
      </c>
      <c r="D9" s="120" t="s">
        <v>1241</v>
      </c>
      <c r="E9" s="121" t="s">
        <v>1242</v>
      </c>
      <c r="F9" s="120" t="s">
        <v>944</v>
      </c>
      <c r="G9" s="120" t="s">
        <v>203</v>
      </c>
      <c r="H9" s="120" t="s">
        <v>203</v>
      </c>
      <c r="I9" s="120" t="s">
        <v>339</v>
      </c>
      <c r="J9" s="120" t="s">
        <v>1228</v>
      </c>
      <c r="K9" s="120" t="s">
        <v>412</v>
      </c>
      <c r="L9" s="120" t="s">
        <v>1212</v>
      </c>
      <c r="M9" s="122">
        <v>6.65</v>
      </c>
      <c r="N9" s="124">
        <v>48182</v>
      </c>
      <c r="O9" s="123">
        <v>1E-3</v>
      </c>
      <c r="P9" s="123">
        <v>2.0299999999999999E-2</v>
      </c>
      <c r="Q9" s="120"/>
      <c r="R9" s="122">
        <v>107883426</v>
      </c>
      <c r="S9" s="122">
        <v>1</v>
      </c>
      <c r="T9" s="122">
        <v>101.91</v>
      </c>
      <c r="U9" s="122">
        <v>109943.99944</v>
      </c>
      <c r="V9" s="120"/>
      <c r="W9" s="120"/>
      <c r="X9" s="123">
        <v>3.5130000000000001E-3</v>
      </c>
      <c r="Y9" s="123">
        <v>0.17499600000000001</v>
      </c>
      <c r="Z9" s="123">
        <v>1.9812E-2</v>
      </c>
    </row>
    <row r="10" spans="1:26" ht="15" customHeight="1">
      <c r="A10" s="121">
        <v>212</v>
      </c>
      <c r="B10" s="121">
        <v>212</v>
      </c>
      <c r="C10" s="120" t="s">
        <v>1225</v>
      </c>
      <c r="D10" s="120" t="s">
        <v>1243</v>
      </c>
      <c r="E10" s="121" t="s">
        <v>1244</v>
      </c>
      <c r="F10" s="120" t="s">
        <v>946</v>
      </c>
      <c r="G10" s="120" t="s">
        <v>203</v>
      </c>
      <c r="H10" s="120" t="s">
        <v>203</v>
      </c>
      <c r="I10" s="120" t="s">
        <v>339</v>
      </c>
      <c r="J10" s="120" t="s">
        <v>1228</v>
      </c>
      <c r="K10" s="120" t="s">
        <v>412</v>
      </c>
      <c r="L10" s="120" t="s">
        <v>1212</v>
      </c>
      <c r="M10" s="122">
        <v>11.56</v>
      </c>
      <c r="N10" s="124">
        <v>51897</v>
      </c>
      <c r="O10" s="123">
        <v>5.5E-2</v>
      </c>
      <c r="P10" s="123">
        <v>4.7300000000000002E-2</v>
      </c>
      <c r="Q10" s="120"/>
      <c r="R10" s="122">
        <v>3326843</v>
      </c>
      <c r="S10" s="122">
        <v>1</v>
      </c>
      <c r="T10" s="122">
        <v>109.69</v>
      </c>
      <c r="U10" s="122">
        <v>3649.2140899999999</v>
      </c>
      <c r="V10" s="120"/>
      <c r="W10" s="120"/>
      <c r="X10" s="123">
        <v>1.22E-4</v>
      </c>
      <c r="Y10" s="123">
        <v>5.8079999999999998E-3</v>
      </c>
      <c r="Z10" s="123">
        <v>6.5700000000000003E-4</v>
      </c>
    </row>
    <row r="11" spans="1:26" ht="15" customHeight="1">
      <c r="A11" s="121">
        <v>212</v>
      </c>
      <c r="B11" s="121">
        <v>212</v>
      </c>
      <c r="C11" s="120" t="s">
        <v>1225</v>
      </c>
      <c r="D11" s="120" t="s">
        <v>1245</v>
      </c>
      <c r="E11" s="121" t="s">
        <v>1246</v>
      </c>
      <c r="F11" s="120" t="s">
        <v>946</v>
      </c>
      <c r="G11" s="120" t="s">
        <v>203</v>
      </c>
      <c r="H11" s="120" t="s">
        <v>203</v>
      </c>
      <c r="I11" s="120" t="s">
        <v>339</v>
      </c>
      <c r="J11" s="120" t="s">
        <v>1228</v>
      </c>
      <c r="K11" s="120" t="s">
        <v>412</v>
      </c>
      <c r="L11" s="120" t="s">
        <v>1212</v>
      </c>
      <c r="M11" s="122">
        <v>0.08</v>
      </c>
      <c r="N11" s="124">
        <v>45777</v>
      </c>
      <c r="O11" s="123">
        <v>5.0000000000000001E-3</v>
      </c>
      <c r="P11" s="123">
        <v>4.36E-2</v>
      </c>
      <c r="Q11" s="120"/>
      <c r="R11" s="122">
        <v>173354</v>
      </c>
      <c r="S11" s="122">
        <v>1</v>
      </c>
      <c r="T11" s="122">
        <v>100.16</v>
      </c>
      <c r="U11" s="122">
        <v>173.63137</v>
      </c>
      <c r="V11" s="120"/>
      <c r="W11" s="120"/>
      <c r="X11" s="123">
        <v>1.7E-5</v>
      </c>
      <c r="Y11" s="123">
        <v>2.7599999999999999E-4</v>
      </c>
      <c r="Z11" s="123">
        <v>3.1000000000000001E-5</v>
      </c>
    </row>
    <row r="12" spans="1:26" ht="15" customHeight="1">
      <c r="A12" s="121">
        <v>212</v>
      </c>
      <c r="B12" s="121">
        <v>212</v>
      </c>
      <c r="C12" s="120" t="s">
        <v>1225</v>
      </c>
      <c r="D12" s="120" t="s">
        <v>1247</v>
      </c>
      <c r="E12" s="121" t="s">
        <v>1248</v>
      </c>
      <c r="F12" s="120" t="s">
        <v>944</v>
      </c>
      <c r="G12" s="120" t="s">
        <v>203</v>
      </c>
      <c r="H12" s="120" t="s">
        <v>203</v>
      </c>
      <c r="I12" s="120" t="s">
        <v>339</v>
      </c>
      <c r="J12" s="120" t="s">
        <v>1228</v>
      </c>
      <c r="K12" s="120" t="s">
        <v>412</v>
      </c>
      <c r="L12" s="120" t="s">
        <v>1212</v>
      </c>
      <c r="M12" s="122">
        <v>8.0299999999999994</v>
      </c>
      <c r="N12" s="124">
        <v>48883</v>
      </c>
      <c r="O12" s="123">
        <v>1.6E-2</v>
      </c>
      <c r="P12" s="123">
        <v>2.1000000000000001E-2</v>
      </c>
      <c r="Q12" s="120"/>
      <c r="R12" s="122">
        <v>39984700</v>
      </c>
      <c r="S12" s="122">
        <v>1</v>
      </c>
      <c r="T12" s="122">
        <v>100.49</v>
      </c>
      <c r="U12" s="122">
        <v>40180.625030000003</v>
      </c>
      <c r="V12" s="120"/>
      <c r="W12" s="120"/>
      <c r="X12" s="123">
        <v>1.9819999999999998E-3</v>
      </c>
      <c r="Y12" s="123">
        <v>6.3953999999999997E-2</v>
      </c>
      <c r="Z12" s="123">
        <v>7.2399999999999999E-3</v>
      </c>
    </row>
    <row r="13" spans="1:26" ht="15" customHeight="1">
      <c r="A13" s="121">
        <v>212</v>
      </c>
      <c r="B13" s="121">
        <v>212</v>
      </c>
      <c r="C13" s="120" t="s">
        <v>1225</v>
      </c>
      <c r="D13" s="120" t="s">
        <v>1249</v>
      </c>
      <c r="E13" s="121" t="s">
        <v>1250</v>
      </c>
      <c r="F13" s="120" t="s">
        <v>944</v>
      </c>
      <c r="G13" s="120" t="s">
        <v>203</v>
      </c>
      <c r="H13" s="120" t="s">
        <v>203</v>
      </c>
      <c r="I13" s="120" t="s">
        <v>339</v>
      </c>
      <c r="J13" s="120" t="s">
        <v>1228</v>
      </c>
      <c r="K13" s="120" t="s">
        <v>412</v>
      </c>
      <c r="L13" s="120" t="s">
        <v>1212</v>
      </c>
      <c r="M13" s="122">
        <v>1.33</v>
      </c>
      <c r="N13" s="124">
        <v>46234</v>
      </c>
      <c r="O13" s="123">
        <v>1E-3</v>
      </c>
      <c r="P13" s="123">
        <v>1.9599999999999999E-2</v>
      </c>
      <c r="Q13" s="120"/>
      <c r="R13" s="122">
        <v>2112881</v>
      </c>
      <c r="S13" s="122">
        <v>1</v>
      </c>
      <c r="T13" s="122">
        <v>112.95</v>
      </c>
      <c r="U13" s="122">
        <v>2386.4990899999998</v>
      </c>
      <c r="V13" s="120"/>
      <c r="W13" s="120"/>
      <c r="X13" s="123">
        <v>1.0399999999999999E-4</v>
      </c>
      <c r="Y13" s="123">
        <v>3.7980000000000002E-3</v>
      </c>
      <c r="Z13" s="123">
        <v>4.2999999999999999E-4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85</v>
      </c>
      <c r="U1" s="127" t="s">
        <v>73</v>
      </c>
      <c r="V1" s="128" t="s">
        <v>62</v>
      </c>
      <c r="W1" s="128" t="s">
        <v>74</v>
      </c>
      <c r="X1" s="25" t="s">
        <v>86</v>
      </c>
      <c r="Y1" s="25" t="s">
        <v>87</v>
      </c>
      <c r="Z1" s="125" t="s">
        <v>76</v>
      </c>
      <c r="AA1" s="125" t="s">
        <v>61</v>
      </c>
      <c r="AB1" s="125" t="s">
        <v>77</v>
      </c>
      <c r="AC1" s="125" t="s">
        <v>75</v>
      </c>
      <c r="AD1" s="125" t="s">
        <v>63</v>
      </c>
      <c r="AE1" s="125" t="s">
        <v>78</v>
      </c>
      <c r="AF1" s="125" t="s">
        <v>88</v>
      </c>
      <c r="AG1" s="25" t="s">
        <v>17</v>
      </c>
      <c r="AH1" s="128" t="s">
        <v>79</v>
      </c>
      <c r="AI1" s="128" t="s">
        <v>64</v>
      </c>
      <c r="AJ1" s="128" t="s">
        <v>65</v>
      </c>
    </row>
    <row r="2" spans="1:36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2"/>
      <c r="T2" s="120"/>
      <c r="U2" s="124"/>
      <c r="V2" s="123"/>
      <c r="W2" s="123"/>
      <c r="X2" s="120"/>
      <c r="Y2" s="120"/>
      <c r="Z2" s="122"/>
      <c r="AA2" s="122"/>
      <c r="AB2" s="122"/>
      <c r="AC2" s="122"/>
      <c r="AD2" s="122"/>
      <c r="AE2" s="122"/>
      <c r="AF2" s="122"/>
      <c r="AG2" s="120"/>
      <c r="AH2" s="123"/>
      <c r="AI2" s="123"/>
      <c r="AJ2" s="123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27"/>
  <sheetViews>
    <sheetView rightToLeft="1" topLeftCell="H1" workbookViewId="0">
      <selection activeCell="Y8" sqref="Y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9.875" bestFit="1" customWidth="1"/>
    <col min="5" max="5" width="9.125" bestFit="1" customWidth="1"/>
    <col min="6" max="6" width="35" bestFit="1" customWidth="1"/>
    <col min="7" max="7" width="12.2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4.5" bestFit="1" customWidth="1"/>
    <col min="27" max="27" width="8.625" bestFit="1" customWidth="1"/>
    <col min="28" max="28" width="11" bestFit="1" customWidth="1"/>
    <col min="29" max="29" width="8.5" bestFit="1" customWidth="1"/>
    <col min="30" max="30" width="10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5" t="s">
        <v>78</v>
      </c>
      <c r="AF1" s="125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21">
        <v>212</v>
      </c>
      <c r="B2" s="121">
        <v>212</v>
      </c>
      <c r="C2" s="120" t="s">
        <v>1251</v>
      </c>
      <c r="D2" s="121">
        <v>520031931</v>
      </c>
      <c r="E2" s="120" t="s">
        <v>308</v>
      </c>
      <c r="F2" s="120" t="s">
        <v>1252</v>
      </c>
      <c r="G2" s="121" t="s">
        <v>1253</v>
      </c>
      <c r="H2" s="120" t="s">
        <v>320</v>
      </c>
      <c r="I2" s="120" t="s">
        <v>952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483</v>
      </c>
      <c r="O2" s="120" t="s">
        <v>338</v>
      </c>
      <c r="P2" s="120" t="s">
        <v>1254</v>
      </c>
      <c r="Q2" s="120" t="s">
        <v>414</v>
      </c>
      <c r="R2" s="120" t="s">
        <v>406</v>
      </c>
      <c r="S2" s="120" t="s">
        <v>1212</v>
      </c>
      <c r="T2" s="122">
        <v>0.66</v>
      </c>
      <c r="U2" s="124">
        <v>45992</v>
      </c>
      <c r="V2" s="123">
        <v>3.6499999999999998E-2</v>
      </c>
      <c r="W2" s="123">
        <v>4.4699999999999997E-2</v>
      </c>
      <c r="X2" s="120" t="s">
        <v>411</v>
      </c>
      <c r="Y2" s="120"/>
      <c r="Z2" s="122">
        <v>58740.53</v>
      </c>
      <c r="AA2" s="122">
        <v>1</v>
      </c>
      <c r="AB2" s="122">
        <v>100.7</v>
      </c>
      <c r="AC2" s="122"/>
      <c r="AD2" s="122">
        <v>59.151710000000001</v>
      </c>
      <c r="AE2" s="122"/>
      <c r="AF2" s="122"/>
      <c r="AG2" s="120"/>
      <c r="AH2" s="123">
        <v>1.1E-4</v>
      </c>
      <c r="AI2" s="123">
        <v>5.31E-4</v>
      </c>
      <c r="AJ2" s="123">
        <v>1.0000000000000001E-5</v>
      </c>
    </row>
    <row r="3" spans="1:36" ht="15" customHeight="1">
      <c r="A3" s="121">
        <v>212</v>
      </c>
      <c r="B3" s="121">
        <v>212</v>
      </c>
      <c r="C3" s="120" t="s">
        <v>1209</v>
      </c>
      <c r="D3" s="121">
        <v>520000118</v>
      </c>
      <c r="E3" s="120" t="s">
        <v>308</v>
      </c>
      <c r="F3" s="120" t="s">
        <v>1255</v>
      </c>
      <c r="G3" s="121" t="s">
        <v>1256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447</v>
      </c>
      <c r="O3" s="120" t="s">
        <v>338</v>
      </c>
      <c r="P3" s="120" t="s">
        <v>1257</v>
      </c>
      <c r="Q3" s="120" t="s">
        <v>414</v>
      </c>
      <c r="R3" s="120" t="s">
        <v>406</v>
      </c>
      <c r="S3" s="120" t="s">
        <v>1212</v>
      </c>
      <c r="T3" s="122">
        <v>3.59</v>
      </c>
      <c r="U3" s="124">
        <v>48191</v>
      </c>
      <c r="V3" s="123">
        <v>1E-3</v>
      </c>
      <c r="W3" s="123">
        <v>2.5700000000000001E-2</v>
      </c>
      <c r="X3" s="120" t="s">
        <v>411</v>
      </c>
      <c r="Y3" s="120"/>
      <c r="Z3" s="122">
        <v>4164672.56</v>
      </c>
      <c r="AA3" s="122">
        <v>1</v>
      </c>
      <c r="AB3" s="122">
        <v>103.24</v>
      </c>
      <c r="AC3" s="122"/>
      <c r="AD3" s="122">
        <v>4299.6079499999996</v>
      </c>
      <c r="AE3" s="120"/>
      <c r="AF3" s="120"/>
      <c r="AG3" s="120"/>
      <c r="AH3" s="123">
        <v>4.2310000000000004E-3</v>
      </c>
      <c r="AI3" s="123">
        <v>3.8649999999999997E-2</v>
      </c>
      <c r="AJ3" s="123">
        <v>7.7399999999999995E-4</v>
      </c>
    </row>
    <row r="4" spans="1:36" ht="15" customHeight="1">
      <c r="A4" s="121">
        <v>212</v>
      </c>
      <c r="B4" s="121">
        <v>212</v>
      </c>
      <c r="C4" s="120" t="s">
        <v>1258</v>
      </c>
      <c r="D4" s="121">
        <v>513141879</v>
      </c>
      <c r="E4" s="120" t="s">
        <v>308</v>
      </c>
      <c r="F4" s="120" t="s">
        <v>1259</v>
      </c>
      <c r="G4" s="121" t="s">
        <v>1260</v>
      </c>
      <c r="H4" s="120" t="s">
        <v>320</v>
      </c>
      <c r="I4" s="120" t="s">
        <v>753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447</v>
      </c>
      <c r="O4" s="120" t="s">
        <v>338</v>
      </c>
      <c r="P4" s="120" t="s">
        <v>1211</v>
      </c>
      <c r="Q4" s="120" t="s">
        <v>412</v>
      </c>
      <c r="R4" s="120" t="s">
        <v>406</v>
      </c>
      <c r="S4" s="120" t="s">
        <v>1212</v>
      </c>
      <c r="T4" s="122">
        <v>0.44</v>
      </c>
      <c r="U4" s="124">
        <v>45910</v>
      </c>
      <c r="V4" s="123">
        <v>1E-3</v>
      </c>
      <c r="W4" s="123">
        <v>2.2599999999999999E-2</v>
      </c>
      <c r="X4" s="120" t="s">
        <v>411</v>
      </c>
      <c r="Y4" s="120"/>
      <c r="Z4" s="122">
        <v>1217000</v>
      </c>
      <c r="AA4" s="122">
        <v>1</v>
      </c>
      <c r="AB4" s="122">
        <v>113.85</v>
      </c>
      <c r="AC4" s="122"/>
      <c r="AD4" s="122">
        <v>1385.5545</v>
      </c>
      <c r="AE4" s="120"/>
      <c r="AF4" s="120"/>
      <c r="AG4" s="120"/>
      <c r="AH4" s="123">
        <v>8.1099999999999998E-4</v>
      </c>
      <c r="AI4" s="123">
        <v>1.2455000000000001E-2</v>
      </c>
      <c r="AJ4" s="123">
        <v>2.4899999999999998E-4</v>
      </c>
    </row>
    <row r="5" spans="1:36" ht="15" customHeight="1">
      <c r="A5" s="121">
        <v>212</v>
      </c>
      <c r="B5" s="121">
        <v>212</v>
      </c>
      <c r="C5" s="120" t="s">
        <v>1261</v>
      </c>
      <c r="D5" s="121">
        <v>520032046</v>
      </c>
      <c r="E5" s="120" t="s">
        <v>308</v>
      </c>
      <c r="F5" s="120" t="s">
        <v>1262</v>
      </c>
      <c r="G5" s="121" t="s">
        <v>1263</v>
      </c>
      <c r="H5" s="120" t="s">
        <v>320</v>
      </c>
      <c r="I5" s="120" t="s">
        <v>753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447</v>
      </c>
      <c r="O5" s="120" t="s">
        <v>338</v>
      </c>
      <c r="P5" s="120" t="s">
        <v>1211</v>
      </c>
      <c r="Q5" s="120" t="s">
        <v>412</v>
      </c>
      <c r="R5" s="120" t="s">
        <v>406</v>
      </c>
      <c r="S5" s="120" t="s">
        <v>1212</v>
      </c>
      <c r="T5" s="122">
        <v>2.46</v>
      </c>
      <c r="U5" s="124">
        <v>46658</v>
      </c>
      <c r="V5" s="123">
        <v>1.2200000000000001E-2</v>
      </c>
      <c r="W5" s="123">
        <v>2.4400000000000002E-2</v>
      </c>
      <c r="X5" s="120" t="s">
        <v>411</v>
      </c>
      <c r="Y5" s="120"/>
      <c r="Z5" s="122">
        <v>6208893</v>
      </c>
      <c r="AA5" s="122">
        <v>1</v>
      </c>
      <c r="AB5" s="122">
        <v>114.03</v>
      </c>
      <c r="AC5" s="122"/>
      <c r="AD5" s="122">
        <v>7080.0006899999998</v>
      </c>
      <c r="AE5" s="120"/>
      <c r="AF5" s="120"/>
      <c r="AG5" s="120"/>
      <c r="AH5" s="123">
        <v>2.0579999999999999E-3</v>
      </c>
      <c r="AI5" s="123">
        <v>6.3644000000000006E-2</v>
      </c>
      <c r="AJ5" s="123">
        <v>1.2750000000000001E-3</v>
      </c>
    </row>
    <row r="6" spans="1:36" ht="15" customHeight="1">
      <c r="A6" s="121">
        <v>212</v>
      </c>
      <c r="B6" s="121">
        <v>212</v>
      </c>
      <c r="C6" s="120" t="s">
        <v>1209</v>
      </c>
      <c r="D6" s="121">
        <v>520000118</v>
      </c>
      <c r="E6" s="120" t="s">
        <v>308</v>
      </c>
      <c r="F6" s="120" t="s">
        <v>1264</v>
      </c>
      <c r="G6" s="121" t="s">
        <v>1265</v>
      </c>
      <c r="H6" s="120" t="s">
        <v>320</v>
      </c>
      <c r="I6" s="120" t="s">
        <v>753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447</v>
      </c>
      <c r="O6" s="120" t="s">
        <v>338</v>
      </c>
      <c r="P6" s="120" t="s">
        <v>1257</v>
      </c>
      <c r="Q6" s="120" t="s">
        <v>414</v>
      </c>
      <c r="R6" s="120" t="s">
        <v>406</v>
      </c>
      <c r="S6" s="120" t="s">
        <v>1212</v>
      </c>
      <c r="T6" s="122">
        <v>3.05</v>
      </c>
      <c r="U6" s="124">
        <v>47819</v>
      </c>
      <c r="V6" s="123">
        <v>1.7500000000000002E-2</v>
      </c>
      <c r="W6" s="123">
        <v>2.5600000000000001E-2</v>
      </c>
      <c r="X6" s="120" t="s">
        <v>411</v>
      </c>
      <c r="Y6" s="120"/>
      <c r="Z6" s="122">
        <v>385926.71</v>
      </c>
      <c r="AA6" s="122">
        <v>1</v>
      </c>
      <c r="AB6" s="122">
        <v>112.78</v>
      </c>
      <c r="AC6" s="122"/>
      <c r="AD6" s="122">
        <v>435.24813999999998</v>
      </c>
      <c r="AE6" s="120"/>
      <c r="AF6" s="120"/>
      <c r="AG6" s="120"/>
      <c r="AH6" s="123">
        <v>1.73E-4</v>
      </c>
      <c r="AI6" s="123">
        <v>3.9119999999999997E-3</v>
      </c>
      <c r="AJ6" s="123">
        <v>7.7999999999999999E-5</v>
      </c>
    </row>
    <row r="7" spans="1:36" ht="15" customHeight="1">
      <c r="A7" s="121">
        <v>212</v>
      </c>
      <c r="B7" s="121">
        <v>212</v>
      </c>
      <c r="C7" s="120" t="s">
        <v>1266</v>
      </c>
      <c r="D7" s="121">
        <v>520018078</v>
      </c>
      <c r="E7" s="120" t="s">
        <v>308</v>
      </c>
      <c r="F7" s="120" t="s">
        <v>1267</v>
      </c>
      <c r="G7" s="121" t="s">
        <v>1268</v>
      </c>
      <c r="H7" s="120" t="s">
        <v>320</v>
      </c>
      <c r="I7" s="120" t="s">
        <v>753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447</v>
      </c>
      <c r="O7" s="120" t="s">
        <v>338</v>
      </c>
      <c r="P7" s="120" t="s">
        <v>1257</v>
      </c>
      <c r="Q7" s="120" t="s">
        <v>414</v>
      </c>
      <c r="R7" s="120" t="s">
        <v>406</v>
      </c>
      <c r="S7" s="120" t="s">
        <v>1212</v>
      </c>
      <c r="T7" s="122">
        <v>4.5999999999999996</v>
      </c>
      <c r="U7" s="124">
        <v>48913</v>
      </c>
      <c r="V7" s="123">
        <v>2.0199999999999999E-2</v>
      </c>
      <c r="W7" s="123">
        <v>2.58E-2</v>
      </c>
      <c r="X7" s="120" t="s">
        <v>411</v>
      </c>
      <c r="Y7" s="120"/>
      <c r="Z7" s="122">
        <v>11800000</v>
      </c>
      <c r="AA7" s="122">
        <v>1</v>
      </c>
      <c r="AB7" s="122">
        <v>101.85</v>
      </c>
      <c r="AC7" s="122"/>
      <c r="AD7" s="122">
        <v>12018.3</v>
      </c>
      <c r="AE7" s="120"/>
      <c r="AF7" s="120"/>
      <c r="AG7" s="120"/>
      <c r="AH7" s="123">
        <v>3.307E-3</v>
      </c>
      <c r="AI7" s="123">
        <v>0.10803599999999999</v>
      </c>
      <c r="AJ7" s="123">
        <v>2.1649999999999998E-3</v>
      </c>
    </row>
    <row r="8" spans="1:36" ht="15" customHeight="1">
      <c r="A8" s="121">
        <v>212</v>
      </c>
      <c r="B8" s="121">
        <v>212</v>
      </c>
      <c r="C8" s="120" t="s">
        <v>1269</v>
      </c>
      <c r="D8" s="121">
        <v>513893123</v>
      </c>
      <c r="E8" s="120" t="s">
        <v>308</v>
      </c>
      <c r="F8" s="120" t="s">
        <v>1270</v>
      </c>
      <c r="G8" s="121" t="s">
        <v>1271</v>
      </c>
      <c r="H8" s="120" t="s">
        <v>320</v>
      </c>
      <c r="I8" s="120" t="s">
        <v>753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442</v>
      </c>
      <c r="O8" s="120" t="s">
        <v>338</v>
      </c>
      <c r="P8" s="120" t="s">
        <v>1272</v>
      </c>
      <c r="Q8" s="120" t="s">
        <v>414</v>
      </c>
      <c r="R8" s="120" t="s">
        <v>406</v>
      </c>
      <c r="S8" s="120" t="s">
        <v>1212</v>
      </c>
      <c r="T8" s="122">
        <v>1.31</v>
      </c>
      <c r="U8" s="124">
        <v>46477</v>
      </c>
      <c r="V8" s="123">
        <v>3.5400000000000001E-2</v>
      </c>
      <c r="W8" s="123">
        <v>3.0599999999999999E-2</v>
      </c>
      <c r="X8" s="120" t="s">
        <v>411</v>
      </c>
      <c r="Y8" s="120"/>
      <c r="Z8" s="122">
        <v>370552.5</v>
      </c>
      <c r="AA8" s="122">
        <v>1</v>
      </c>
      <c r="AB8" s="122">
        <v>107.99</v>
      </c>
      <c r="AC8" s="122"/>
      <c r="AD8" s="122">
        <v>400.15964000000002</v>
      </c>
      <c r="AE8" s="120"/>
      <c r="AF8" s="120"/>
      <c r="AG8" s="120"/>
      <c r="AH8" s="123">
        <v>3.68E-4</v>
      </c>
      <c r="AI8" s="123">
        <v>3.5969999999999999E-3</v>
      </c>
      <c r="AJ8" s="123">
        <v>7.2000000000000002E-5</v>
      </c>
    </row>
    <row r="9" spans="1:36" ht="15" customHeight="1">
      <c r="A9" s="121">
        <v>212</v>
      </c>
      <c r="B9" s="121">
        <v>212</v>
      </c>
      <c r="C9" s="120" t="s">
        <v>1273</v>
      </c>
      <c r="D9" s="121">
        <v>520029935</v>
      </c>
      <c r="E9" s="120" t="s">
        <v>308</v>
      </c>
      <c r="F9" s="120" t="s">
        <v>1274</v>
      </c>
      <c r="G9" s="121" t="s">
        <v>1275</v>
      </c>
      <c r="H9" s="120" t="s">
        <v>320</v>
      </c>
      <c r="I9" s="120" t="s">
        <v>753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447</v>
      </c>
      <c r="O9" s="120" t="s">
        <v>338</v>
      </c>
      <c r="P9" s="120" t="s">
        <v>1211</v>
      </c>
      <c r="Q9" s="120" t="s">
        <v>412</v>
      </c>
      <c r="R9" s="120" t="s">
        <v>406</v>
      </c>
      <c r="S9" s="120" t="s">
        <v>1212</v>
      </c>
      <c r="T9" s="122">
        <v>3.75</v>
      </c>
      <c r="U9" s="124">
        <v>48441</v>
      </c>
      <c r="V9" s="123">
        <v>2E-3</v>
      </c>
      <c r="W9" s="123">
        <v>2.5999999999999999E-2</v>
      </c>
      <c r="X9" s="120" t="s">
        <v>411</v>
      </c>
      <c r="Y9" s="120"/>
      <c r="Z9" s="122">
        <v>2440500</v>
      </c>
      <c r="AA9" s="122">
        <v>1</v>
      </c>
      <c r="AB9" s="122">
        <v>103.06</v>
      </c>
      <c r="AC9" s="122"/>
      <c r="AD9" s="122">
        <v>2515.1792999999998</v>
      </c>
      <c r="AE9" s="120"/>
      <c r="AF9" s="120"/>
      <c r="AG9" s="120"/>
      <c r="AH9" s="123">
        <v>7.1500000000000003E-4</v>
      </c>
      <c r="AI9" s="123">
        <v>2.2609000000000001E-2</v>
      </c>
      <c r="AJ9" s="123">
        <v>4.5300000000000001E-4</v>
      </c>
    </row>
    <row r="10" spans="1:36" ht="15" customHeight="1">
      <c r="A10" s="121">
        <v>212</v>
      </c>
      <c r="B10" s="121">
        <v>212</v>
      </c>
      <c r="C10" s="120" t="s">
        <v>1269</v>
      </c>
      <c r="D10" s="121">
        <v>513893123</v>
      </c>
      <c r="E10" s="120" t="s">
        <v>308</v>
      </c>
      <c r="F10" s="120" t="s">
        <v>1276</v>
      </c>
      <c r="G10" s="121" t="s">
        <v>1271</v>
      </c>
      <c r="H10" s="120" t="s">
        <v>320</v>
      </c>
      <c r="I10" s="120" t="s">
        <v>753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442</v>
      </c>
      <c r="O10" s="120" t="s">
        <v>338</v>
      </c>
      <c r="P10" s="120" t="s">
        <v>1272</v>
      </c>
      <c r="Q10" s="120" t="s">
        <v>414</v>
      </c>
      <c r="R10" s="120" t="s">
        <v>406</v>
      </c>
      <c r="S10" s="120" t="s">
        <v>1212</v>
      </c>
      <c r="T10" s="122">
        <v>1.29</v>
      </c>
      <c r="U10" s="124">
        <v>46477</v>
      </c>
      <c r="V10" s="123">
        <v>3.5400000000000001E-2</v>
      </c>
      <c r="W10" s="123">
        <v>9.3200000000000005E-2</v>
      </c>
      <c r="X10" s="120" t="s">
        <v>411</v>
      </c>
      <c r="Y10" s="120"/>
      <c r="Z10" s="122">
        <v>-721.86</v>
      </c>
      <c r="AA10" s="122">
        <v>1</v>
      </c>
      <c r="AB10" s="122">
        <v>100</v>
      </c>
      <c r="AC10" s="122"/>
      <c r="AD10" s="122">
        <v>-0.72185999999999995</v>
      </c>
      <c r="AE10" s="120"/>
      <c r="AF10" s="120"/>
      <c r="AG10" s="120"/>
      <c r="AH10" s="123">
        <v>0</v>
      </c>
      <c r="AI10" s="123">
        <v>-6.0000000000000002E-6</v>
      </c>
      <c r="AJ10" s="123">
        <v>0</v>
      </c>
    </row>
    <row r="11" spans="1:36" ht="15" customHeight="1">
      <c r="A11" s="121">
        <v>212</v>
      </c>
      <c r="B11" s="121">
        <v>212</v>
      </c>
      <c r="C11" s="120" t="s">
        <v>1261</v>
      </c>
      <c r="D11" s="121">
        <v>520032046</v>
      </c>
      <c r="E11" s="120" t="s">
        <v>308</v>
      </c>
      <c r="F11" s="120" t="s">
        <v>1277</v>
      </c>
      <c r="G11" s="121" t="s">
        <v>1278</v>
      </c>
      <c r="H11" s="120" t="s">
        <v>320</v>
      </c>
      <c r="I11" s="120" t="s">
        <v>753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447</v>
      </c>
      <c r="O11" s="120" t="s">
        <v>338</v>
      </c>
      <c r="P11" s="120" t="s">
        <v>1211</v>
      </c>
      <c r="Q11" s="120" t="s">
        <v>412</v>
      </c>
      <c r="R11" s="120" t="s">
        <v>406</v>
      </c>
      <c r="S11" s="120" t="s">
        <v>1212</v>
      </c>
      <c r="T11" s="122">
        <v>4.45</v>
      </c>
      <c r="U11" s="124">
        <v>48938</v>
      </c>
      <c r="V11" s="123">
        <v>1.9900000000000001E-2</v>
      </c>
      <c r="W11" s="123">
        <v>2.5399999999999999E-2</v>
      </c>
      <c r="X11" s="120" t="s">
        <v>411</v>
      </c>
      <c r="Y11" s="120"/>
      <c r="Z11" s="122">
        <v>10620000</v>
      </c>
      <c r="AA11" s="122">
        <v>1</v>
      </c>
      <c r="AB11" s="122">
        <v>101.81</v>
      </c>
      <c r="AC11" s="122"/>
      <c r="AD11" s="122">
        <v>10812.222</v>
      </c>
      <c r="AE11" s="120"/>
      <c r="AF11" s="120"/>
      <c r="AG11" s="120"/>
      <c r="AH11" s="123">
        <v>4.3699999999999998E-3</v>
      </c>
      <c r="AI11" s="123">
        <v>9.7194000000000003E-2</v>
      </c>
      <c r="AJ11" s="123">
        <v>1.9480000000000001E-3</v>
      </c>
    </row>
    <row r="12" spans="1:36" ht="15" customHeight="1">
      <c r="A12" s="121">
        <v>212</v>
      </c>
      <c r="B12" s="121">
        <v>212</v>
      </c>
      <c r="C12" s="120" t="s">
        <v>1261</v>
      </c>
      <c r="D12" s="121">
        <v>520032046</v>
      </c>
      <c r="E12" s="120" t="s">
        <v>308</v>
      </c>
      <c r="F12" s="120" t="s">
        <v>1279</v>
      </c>
      <c r="G12" s="121" t="s">
        <v>1280</v>
      </c>
      <c r="H12" s="120" t="s">
        <v>320</v>
      </c>
      <c r="I12" s="120" t="s">
        <v>753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447</v>
      </c>
      <c r="O12" s="120" t="s">
        <v>338</v>
      </c>
      <c r="P12" s="120" t="s">
        <v>1211</v>
      </c>
      <c r="Q12" s="120" t="s">
        <v>412</v>
      </c>
      <c r="R12" s="120" t="s">
        <v>406</v>
      </c>
      <c r="S12" s="120" t="s">
        <v>1212</v>
      </c>
      <c r="T12" s="122">
        <v>3.52</v>
      </c>
      <c r="U12" s="124">
        <v>48190</v>
      </c>
      <c r="V12" s="123">
        <v>1.6400000000000001E-2</v>
      </c>
      <c r="W12" s="123">
        <v>2.5999999999999999E-2</v>
      </c>
      <c r="X12" s="120" t="s">
        <v>411</v>
      </c>
      <c r="Y12" s="120"/>
      <c r="Z12" s="122">
        <v>556904.80000000005</v>
      </c>
      <c r="AA12" s="122">
        <v>1</v>
      </c>
      <c r="AB12" s="122">
        <v>104.35</v>
      </c>
      <c r="AC12" s="122"/>
      <c r="AD12" s="122">
        <v>581.13016000000005</v>
      </c>
      <c r="AE12" s="120"/>
      <c r="AF12" s="120"/>
      <c r="AG12" s="120"/>
      <c r="AH12" s="123">
        <v>5.9100000000000005E-4</v>
      </c>
      <c r="AI12" s="123">
        <v>5.2230000000000002E-3</v>
      </c>
      <c r="AJ12" s="123">
        <v>1.0399999999999999E-4</v>
      </c>
    </row>
    <row r="13" spans="1:36" ht="15" customHeight="1">
      <c r="A13" s="121">
        <v>212</v>
      </c>
      <c r="B13" s="121">
        <v>212</v>
      </c>
      <c r="C13" s="120" t="s">
        <v>1281</v>
      </c>
      <c r="D13" s="121">
        <v>520000472</v>
      </c>
      <c r="E13" s="120" t="s">
        <v>308</v>
      </c>
      <c r="F13" s="120" t="s">
        <v>1282</v>
      </c>
      <c r="G13" s="121" t="s">
        <v>1283</v>
      </c>
      <c r="H13" s="120" t="s">
        <v>320</v>
      </c>
      <c r="I13" s="120" t="s">
        <v>753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439</v>
      </c>
      <c r="O13" s="120" t="s">
        <v>338</v>
      </c>
      <c r="P13" s="120" t="s">
        <v>1257</v>
      </c>
      <c r="Q13" s="120" t="s">
        <v>414</v>
      </c>
      <c r="R13" s="120" t="s">
        <v>406</v>
      </c>
      <c r="S13" s="120" t="s">
        <v>1212</v>
      </c>
      <c r="T13" s="122">
        <v>10.28</v>
      </c>
      <c r="U13" s="124">
        <v>49825</v>
      </c>
      <c r="V13" s="123">
        <v>1.2500000000000001E-2</v>
      </c>
      <c r="W13" s="123">
        <v>3.1099999999999999E-2</v>
      </c>
      <c r="X13" s="120" t="s">
        <v>411</v>
      </c>
      <c r="Y13" s="120"/>
      <c r="Z13" s="122">
        <v>285000</v>
      </c>
      <c r="AA13" s="122">
        <v>1</v>
      </c>
      <c r="AB13" s="122">
        <v>95.3</v>
      </c>
      <c r="AC13" s="122"/>
      <c r="AD13" s="122">
        <v>271.60500000000002</v>
      </c>
      <c r="AE13" s="120"/>
      <c r="AF13" s="120"/>
      <c r="AG13" s="120"/>
      <c r="AH13" s="123">
        <v>6.6000000000000005E-5</v>
      </c>
      <c r="AI13" s="123">
        <v>2.441E-3</v>
      </c>
      <c r="AJ13" s="123">
        <v>4.8000000000000001E-5</v>
      </c>
    </row>
    <row r="14" spans="1:36" ht="15" customHeight="1">
      <c r="A14" s="121">
        <v>212</v>
      </c>
      <c r="B14" s="121">
        <v>212</v>
      </c>
      <c r="C14" s="120" t="s">
        <v>1284</v>
      </c>
      <c r="D14" s="121">
        <v>520010869</v>
      </c>
      <c r="E14" s="120" t="s">
        <v>308</v>
      </c>
      <c r="F14" s="120" t="s">
        <v>1285</v>
      </c>
      <c r="G14" s="121" t="s">
        <v>1286</v>
      </c>
      <c r="H14" s="120" t="s">
        <v>320</v>
      </c>
      <c r="I14" s="120" t="s">
        <v>753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476</v>
      </c>
      <c r="O14" s="120" t="s">
        <v>338</v>
      </c>
      <c r="P14" s="120" t="s">
        <v>1211</v>
      </c>
      <c r="Q14" s="120" t="s">
        <v>412</v>
      </c>
      <c r="R14" s="120" t="s">
        <v>406</v>
      </c>
      <c r="S14" s="120" t="s">
        <v>1212</v>
      </c>
      <c r="T14" s="122">
        <v>11.71</v>
      </c>
      <c r="U14" s="124">
        <v>56249</v>
      </c>
      <c r="V14" s="123">
        <v>2.07E-2</v>
      </c>
      <c r="W14" s="123">
        <v>2.9899999999999999E-2</v>
      </c>
      <c r="X14" s="120" t="s">
        <v>411</v>
      </c>
      <c r="Y14" s="120"/>
      <c r="Z14" s="122">
        <v>19715991.93</v>
      </c>
      <c r="AA14" s="122">
        <v>1</v>
      </c>
      <c r="AB14" s="122">
        <v>102.91</v>
      </c>
      <c r="AC14" s="122"/>
      <c r="AD14" s="122">
        <v>20289.727299999999</v>
      </c>
      <c r="AE14" s="120"/>
      <c r="AF14" s="120"/>
      <c r="AG14" s="120"/>
      <c r="AH14" s="123">
        <v>3.6059999999999998E-3</v>
      </c>
      <c r="AI14" s="123">
        <v>0.18239</v>
      </c>
      <c r="AJ14" s="123">
        <v>3.656E-3</v>
      </c>
    </row>
    <row r="15" spans="1:36" ht="15" customHeight="1">
      <c r="A15" s="121">
        <v>212</v>
      </c>
      <c r="B15" s="121">
        <v>212</v>
      </c>
      <c r="C15" s="120" t="s">
        <v>1209</v>
      </c>
      <c r="D15" s="121">
        <v>520000118</v>
      </c>
      <c r="E15" s="120" t="s">
        <v>308</v>
      </c>
      <c r="F15" s="120" t="s">
        <v>1287</v>
      </c>
      <c r="G15" s="121" t="s">
        <v>1288</v>
      </c>
      <c r="H15" s="120" t="s">
        <v>320</v>
      </c>
      <c r="I15" s="120" t="s">
        <v>753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447</v>
      </c>
      <c r="O15" s="120" t="s">
        <v>338</v>
      </c>
      <c r="P15" s="120" t="s">
        <v>1257</v>
      </c>
      <c r="Q15" s="120" t="s">
        <v>414</v>
      </c>
      <c r="R15" s="120" t="s">
        <v>406</v>
      </c>
      <c r="S15" s="120" t="s">
        <v>1212</v>
      </c>
      <c r="T15" s="122">
        <v>3.96</v>
      </c>
      <c r="U15" s="124">
        <v>48547</v>
      </c>
      <c r="V15" s="123">
        <v>1.3899999999999999E-2</v>
      </c>
      <c r="W15" s="123">
        <v>2.53E-2</v>
      </c>
      <c r="X15" s="120" t="s">
        <v>411</v>
      </c>
      <c r="Y15" s="120"/>
      <c r="Z15" s="122">
        <v>158400</v>
      </c>
      <c r="AA15" s="122">
        <v>1</v>
      </c>
      <c r="AB15" s="122">
        <v>103.09</v>
      </c>
      <c r="AC15" s="122"/>
      <c r="AD15" s="122">
        <v>163.29455999999999</v>
      </c>
      <c r="AE15" s="120"/>
      <c r="AF15" s="120"/>
      <c r="AG15" s="120"/>
      <c r="AH15" s="123">
        <v>9.8999999999999994E-5</v>
      </c>
      <c r="AI15" s="123">
        <v>1.467E-3</v>
      </c>
      <c r="AJ15" s="123">
        <v>2.9E-5</v>
      </c>
    </row>
    <row r="16" spans="1:36" ht="15" customHeight="1">
      <c r="A16" s="121">
        <v>212</v>
      </c>
      <c r="B16" s="121">
        <v>212</v>
      </c>
      <c r="C16" s="120" t="s">
        <v>1209</v>
      </c>
      <c r="D16" s="121">
        <v>520000118</v>
      </c>
      <c r="E16" s="120" t="s">
        <v>308</v>
      </c>
      <c r="F16" s="120" t="s">
        <v>1289</v>
      </c>
      <c r="G16" s="121" t="s">
        <v>1290</v>
      </c>
      <c r="H16" s="120" t="s">
        <v>320</v>
      </c>
      <c r="I16" s="120" t="s">
        <v>753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447</v>
      </c>
      <c r="O16" s="120" t="s">
        <v>338</v>
      </c>
      <c r="P16" s="120" t="s">
        <v>1291</v>
      </c>
      <c r="Q16" s="120" t="s">
        <v>412</v>
      </c>
      <c r="R16" s="120" t="s">
        <v>406</v>
      </c>
      <c r="S16" s="120" t="s">
        <v>1212</v>
      </c>
      <c r="T16" s="122">
        <v>3.49</v>
      </c>
      <c r="U16" s="124">
        <v>47086</v>
      </c>
      <c r="V16" s="123">
        <v>3.09E-2</v>
      </c>
      <c r="W16" s="123">
        <v>3.0099999999999998E-2</v>
      </c>
      <c r="X16" s="120" t="s">
        <v>410</v>
      </c>
      <c r="Y16" s="120"/>
      <c r="Z16" s="122">
        <v>950000</v>
      </c>
      <c r="AA16" s="122">
        <v>1</v>
      </c>
      <c r="AB16" s="122">
        <v>108.68</v>
      </c>
      <c r="AC16" s="122"/>
      <c r="AD16" s="122">
        <v>1032.46</v>
      </c>
      <c r="AE16" s="120"/>
      <c r="AF16" s="120"/>
      <c r="AG16" s="120"/>
      <c r="AH16" s="123">
        <v>1E-3</v>
      </c>
      <c r="AI16" s="123">
        <v>9.2809999999999993E-3</v>
      </c>
      <c r="AJ16" s="123">
        <v>1.8599999999999999E-4</v>
      </c>
    </row>
    <row r="17" spans="1:36" ht="15" customHeight="1">
      <c r="A17" s="121">
        <v>212</v>
      </c>
      <c r="B17" s="121">
        <v>212</v>
      </c>
      <c r="C17" s="120" t="s">
        <v>1261</v>
      </c>
      <c r="D17" s="121">
        <v>520032046</v>
      </c>
      <c r="E17" s="120" t="s">
        <v>308</v>
      </c>
      <c r="F17" s="120" t="s">
        <v>1292</v>
      </c>
      <c r="G17" s="121" t="s">
        <v>1293</v>
      </c>
      <c r="H17" s="120" t="s">
        <v>320</v>
      </c>
      <c r="I17" s="120" t="s">
        <v>753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447</v>
      </c>
      <c r="O17" s="120" t="s">
        <v>338</v>
      </c>
      <c r="P17" s="120" t="s">
        <v>1211</v>
      </c>
      <c r="Q17" s="120" t="s">
        <v>412</v>
      </c>
      <c r="R17" s="120" t="s">
        <v>406</v>
      </c>
      <c r="S17" s="120" t="s">
        <v>1212</v>
      </c>
      <c r="T17" s="122">
        <v>2.93</v>
      </c>
      <c r="U17" s="124">
        <v>47950</v>
      </c>
      <c r="V17" s="123">
        <v>1E-3</v>
      </c>
      <c r="W17" s="123">
        <v>2.5700000000000001E-2</v>
      </c>
      <c r="X17" s="120" t="s">
        <v>411</v>
      </c>
      <c r="Y17" s="120"/>
      <c r="Z17" s="122">
        <v>280008</v>
      </c>
      <c r="AA17" s="122">
        <v>1</v>
      </c>
      <c r="AB17" s="122">
        <v>103.82</v>
      </c>
      <c r="AC17" s="122"/>
      <c r="AD17" s="122">
        <v>290.70431000000002</v>
      </c>
      <c r="AE17" s="120"/>
      <c r="AF17" s="120"/>
      <c r="AG17" s="120"/>
      <c r="AH17" s="123">
        <v>1.07E-4</v>
      </c>
      <c r="AI17" s="123">
        <v>2.6129999999999999E-3</v>
      </c>
      <c r="AJ17" s="123">
        <v>5.1999999999999997E-5</v>
      </c>
    </row>
    <row r="18" spans="1:36" ht="15" customHeight="1">
      <c r="A18" s="121">
        <v>212</v>
      </c>
      <c r="B18" s="121">
        <v>212</v>
      </c>
      <c r="C18" s="120" t="s">
        <v>1261</v>
      </c>
      <c r="D18" s="121">
        <v>520032046</v>
      </c>
      <c r="E18" s="120" t="s">
        <v>308</v>
      </c>
      <c r="F18" s="120" t="s">
        <v>1294</v>
      </c>
      <c r="G18" s="121" t="s">
        <v>1295</v>
      </c>
      <c r="H18" s="120" t="s">
        <v>320</v>
      </c>
      <c r="I18" s="120" t="s">
        <v>753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447</v>
      </c>
      <c r="O18" s="120" t="s">
        <v>338</v>
      </c>
      <c r="P18" s="120" t="s">
        <v>1211</v>
      </c>
      <c r="Q18" s="120" t="s">
        <v>412</v>
      </c>
      <c r="R18" s="120" t="s">
        <v>406</v>
      </c>
      <c r="S18" s="120" t="s">
        <v>1212</v>
      </c>
      <c r="T18" s="122">
        <v>3.55</v>
      </c>
      <c r="U18" s="124">
        <v>47048</v>
      </c>
      <c r="V18" s="123">
        <v>1E-3</v>
      </c>
      <c r="W18" s="123">
        <v>2.5600000000000001E-2</v>
      </c>
      <c r="X18" s="120" t="s">
        <v>411</v>
      </c>
      <c r="Y18" s="120"/>
      <c r="Z18" s="122">
        <v>4144271</v>
      </c>
      <c r="AA18" s="122">
        <v>1</v>
      </c>
      <c r="AB18" s="122">
        <v>103.56</v>
      </c>
      <c r="AC18" s="122"/>
      <c r="AD18" s="122">
        <v>4291.8070500000003</v>
      </c>
      <c r="AE18" s="120"/>
      <c r="AF18" s="120"/>
      <c r="AG18" s="120"/>
      <c r="AH18" s="123">
        <v>1.227E-3</v>
      </c>
      <c r="AI18" s="123">
        <v>3.8580000000000003E-2</v>
      </c>
      <c r="AJ18" s="123">
        <v>7.7300000000000003E-4</v>
      </c>
    </row>
    <row r="19" spans="1:36" ht="15" customHeight="1">
      <c r="A19" s="121">
        <v>212</v>
      </c>
      <c r="B19" s="121">
        <v>212</v>
      </c>
      <c r="C19" s="120" t="s">
        <v>1209</v>
      </c>
      <c r="D19" s="121">
        <v>520000118</v>
      </c>
      <c r="E19" s="120" t="s">
        <v>308</v>
      </c>
      <c r="F19" s="120" t="s">
        <v>1296</v>
      </c>
      <c r="G19" s="121" t="s">
        <v>1297</v>
      </c>
      <c r="H19" s="120" t="s">
        <v>320</v>
      </c>
      <c r="I19" s="120" t="s">
        <v>753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447</v>
      </c>
      <c r="O19" s="120" t="s">
        <v>338</v>
      </c>
      <c r="P19" s="120" t="s">
        <v>1291</v>
      </c>
      <c r="Q19" s="120" t="s">
        <v>412</v>
      </c>
      <c r="R19" s="120" t="s">
        <v>406</v>
      </c>
      <c r="S19" s="120" t="s">
        <v>1212</v>
      </c>
      <c r="T19" s="122">
        <v>1.35</v>
      </c>
      <c r="U19" s="124">
        <v>46251</v>
      </c>
      <c r="V19" s="123">
        <v>2.9700000000000001E-2</v>
      </c>
      <c r="W19" s="123">
        <v>2.93E-2</v>
      </c>
      <c r="X19" s="120" t="s">
        <v>410</v>
      </c>
      <c r="Y19" s="120"/>
      <c r="Z19" s="122">
        <v>250000</v>
      </c>
      <c r="AA19" s="122">
        <v>1</v>
      </c>
      <c r="AB19" s="122">
        <v>117.74</v>
      </c>
      <c r="AC19" s="122"/>
      <c r="AD19" s="122">
        <v>294.35000000000002</v>
      </c>
      <c r="AE19" s="120"/>
      <c r="AF19" s="120"/>
      <c r="AG19" s="120"/>
      <c r="AH19" s="123">
        <v>3.57E-4</v>
      </c>
      <c r="AI19" s="123">
        <v>2.6459999999999999E-3</v>
      </c>
      <c r="AJ19" s="123">
        <v>5.3000000000000001E-5</v>
      </c>
    </row>
    <row r="20" spans="1:36" ht="15" customHeight="1">
      <c r="A20" s="121">
        <v>212</v>
      </c>
      <c r="B20" s="121">
        <v>212</v>
      </c>
      <c r="C20" s="120" t="s">
        <v>1298</v>
      </c>
      <c r="D20" s="121">
        <v>510960719</v>
      </c>
      <c r="E20" s="120" t="s">
        <v>308</v>
      </c>
      <c r="F20" s="120" t="s">
        <v>1299</v>
      </c>
      <c r="G20" s="121" t="s">
        <v>1300</v>
      </c>
      <c r="H20" s="120" t="s">
        <v>320</v>
      </c>
      <c r="I20" s="120" t="s">
        <v>753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463</v>
      </c>
      <c r="O20" s="120" t="s">
        <v>338</v>
      </c>
      <c r="P20" s="120" t="s">
        <v>1301</v>
      </c>
      <c r="Q20" s="120" t="s">
        <v>414</v>
      </c>
      <c r="R20" s="120" t="s">
        <v>406</v>
      </c>
      <c r="S20" s="120" t="s">
        <v>1212</v>
      </c>
      <c r="T20" s="122">
        <v>2.0699999999999998</v>
      </c>
      <c r="U20" s="124">
        <v>46934</v>
      </c>
      <c r="V20" s="123">
        <v>1.77E-2</v>
      </c>
      <c r="W20" s="123">
        <v>2.75E-2</v>
      </c>
      <c r="X20" s="120" t="s">
        <v>411</v>
      </c>
      <c r="Y20" s="120"/>
      <c r="Z20" s="122">
        <v>1052800</v>
      </c>
      <c r="AA20" s="122">
        <v>1</v>
      </c>
      <c r="AB20" s="122">
        <v>113.81</v>
      </c>
      <c r="AC20" s="122"/>
      <c r="AD20" s="122">
        <v>1198.1916799999999</v>
      </c>
      <c r="AE20" s="120"/>
      <c r="AF20" s="120"/>
      <c r="AG20" s="120"/>
      <c r="AH20" s="123">
        <v>4.0499999999999998E-4</v>
      </c>
      <c r="AI20" s="123">
        <v>1.077E-2</v>
      </c>
      <c r="AJ20" s="123">
        <v>2.1499999999999999E-4</v>
      </c>
    </row>
    <row r="21" spans="1:36" ht="15" customHeight="1">
      <c r="A21" s="121">
        <v>212</v>
      </c>
      <c r="B21" s="121">
        <v>212</v>
      </c>
      <c r="C21" s="120" t="s">
        <v>1302</v>
      </c>
      <c r="D21" s="121">
        <v>513436394</v>
      </c>
      <c r="E21" s="120" t="s">
        <v>308</v>
      </c>
      <c r="F21" s="120" t="s">
        <v>1303</v>
      </c>
      <c r="G21" s="121" t="s">
        <v>1304</v>
      </c>
      <c r="H21" s="120" t="s">
        <v>320</v>
      </c>
      <c r="I21" s="120" t="s">
        <v>753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476</v>
      </c>
      <c r="O21" s="120" t="s">
        <v>338</v>
      </c>
      <c r="P21" s="120" t="s">
        <v>1301</v>
      </c>
      <c r="Q21" s="120" t="s">
        <v>414</v>
      </c>
      <c r="R21" s="120" t="s">
        <v>406</v>
      </c>
      <c r="S21" s="120" t="s">
        <v>1212</v>
      </c>
      <c r="T21" s="122">
        <v>5.09</v>
      </c>
      <c r="U21" s="124">
        <v>48760</v>
      </c>
      <c r="V21" s="123">
        <v>2.9499999999999998E-2</v>
      </c>
      <c r="W21" s="123">
        <v>2.5600000000000001E-2</v>
      </c>
      <c r="X21" s="120" t="s">
        <v>411</v>
      </c>
      <c r="Y21" s="120"/>
      <c r="Z21" s="122">
        <v>7396130.8499999996</v>
      </c>
      <c r="AA21" s="122">
        <v>1</v>
      </c>
      <c r="AB21" s="122">
        <v>117.66</v>
      </c>
      <c r="AC21" s="122"/>
      <c r="AD21" s="122">
        <v>8702.2875600000007</v>
      </c>
      <c r="AE21" s="120"/>
      <c r="AF21" s="120"/>
      <c r="AG21" s="120"/>
      <c r="AH21" s="123">
        <v>5.0629999999999998E-3</v>
      </c>
      <c r="AI21" s="123">
        <v>7.8227000000000005E-2</v>
      </c>
      <c r="AJ21" s="123">
        <v>1.5679999999999999E-3</v>
      </c>
    </row>
    <row r="22" spans="1:36" ht="15" customHeight="1">
      <c r="A22" s="121">
        <v>212</v>
      </c>
      <c r="B22" s="121">
        <v>212</v>
      </c>
      <c r="C22" s="120" t="s">
        <v>1284</v>
      </c>
      <c r="D22" s="121">
        <v>520010869</v>
      </c>
      <c r="E22" s="120" t="s">
        <v>308</v>
      </c>
      <c r="F22" s="120" t="s">
        <v>1305</v>
      </c>
      <c r="G22" s="121" t="s">
        <v>1306</v>
      </c>
      <c r="H22" s="120" t="s">
        <v>320</v>
      </c>
      <c r="I22" s="120" t="s">
        <v>753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476</v>
      </c>
      <c r="O22" s="120" t="s">
        <v>338</v>
      </c>
      <c r="P22" s="120" t="s">
        <v>1211</v>
      </c>
      <c r="Q22" s="120" t="s">
        <v>412</v>
      </c>
      <c r="R22" s="120" t="s">
        <v>406</v>
      </c>
      <c r="S22" s="120" t="s">
        <v>1212</v>
      </c>
      <c r="T22" s="122">
        <v>1.73</v>
      </c>
      <c r="U22" s="124">
        <v>46752</v>
      </c>
      <c r="V22" s="123">
        <v>1E-3</v>
      </c>
      <c r="W22" s="123">
        <v>2.4899999999999999E-2</v>
      </c>
      <c r="X22" s="120" t="s">
        <v>411</v>
      </c>
      <c r="Y22" s="120"/>
      <c r="Z22" s="122">
        <v>557400</v>
      </c>
      <c r="AA22" s="122">
        <v>1</v>
      </c>
      <c r="AB22" s="122">
        <v>109.41</v>
      </c>
      <c r="AC22" s="122"/>
      <c r="AD22" s="122">
        <v>609.85134000000005</v>
      </c>
      <c r="AE22" s="120"/>
      <c r="AF22" s="120"/>
      <c r="AG22" s="120"/>
      <c r="AH22" s="123">
        <v>8.6700000000000004E-4</v>
      </c>
      <c r="AI22" s="123">
        <v>5.4819999999999999E-3</v>
      </c>
      <c r="AJ22" s="123">
        <v>1.0900000000000001E-4</v>
      </c>
    </row>
    <row r="23" spans="1:36" ht="15" customHeight="1">
      <c r="A23" s="121">
        <v>212</v>
      </c>
      <c r="B23" s="121">
        <v>212</v>
      </c>
      <c r="C23" s="120" t="s">
        <v>1266</v>
      </c>
      <c r="D23" s="121">
        <v>520018078</v>
      </c>
      <c r="E23" s="120" t="s">
        <v>308</v>
      </c>
      <c r="F23" s="120" t="s">
        <v>1307</v>
      </c>
      <c r="G23" s="121" t="s">
        <v>1308</v>
      </c>
      <c r="H23" s="120" t="s">
        <v>320</v>
      </c>
      <c r="I23" s="120" t="s">
        <v>753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447</v>
      </c>
      <c r="O23" s="120" t="s">
        <v>338</v>
      </c>
      <c r="P23" s="120" t="s">
        <v>1257</v>
      </c>
      <c r="Q23" s="120" t="s">
        <v>414</v>
      </c>
      <c r="R23" s="120" t="s">
        <v>406</v>
      </c>
      <c r="S23" s="120" t="s">
        <v>1212</v>
      </c>
      <c r="T23" s="122">
        <v>2.65</v>
      </c>
      <c r="U23" s="124">
        <v>46716</v>
      </c>
      <c r="V23" s="123">
        <v>1E-3</v>
      </c>
      <c r="W23" s="123">
        <v>2.3599999999999999E-2</v>
      </c>
      <c r="X23" s="120" t="s">
        <v>411</v>
      </c>
      <c r="Y23" s="120"/>
      <c r="Z23" s="122">
        <v>8076000</v>
      </c>
      <c r="AA23" s="122">
        <v>1</v>
      </c>
      <c r="AB23" s="122">
        <v>106.31</v>
      </c>
      <c r="AC23" s="122"/>
      <c r="AD23" s="122">
        <v>8585.5956000000006</v>
      </c>
      <c r="AE23" s="120"/>
      <c r="AF23" s="120"/>
      <c r="AG23" s="120"/>
      <c r="AH23" s="123">
        <v>2.5739999999999999E-3</v>
      </c>
      <c r="AI23" s="123">
        <v>7.7177999999999997E-2</v>
      </c>
      <c r="AJ23" s="123">
        <v>1.547E-3</v>
      </c>
    </row>
    <row r="24" spans="1:36" ht="15" customHeight="1">
      <c r="A24" s="121">
        <v>212</v>
      </c>
      <c r="B24" s="121">
        <v>212</v>
      </c>
      <c r="C24" s="120" t="s">
        <v>1281</v>
      </c>
      <c r="D24" s="121">
        <v>520000472</v>
      </c>
      <c r="E24" s="120" t="s">
        <v>308</v>
      </c>
      <c r="F24" s="120" t="s">
        <v>1309</v>
      </c>
      <c r="G24" s="121" t="s">
        <v>1310</v>
      </c>
      <c r="H24" s="120" t="s">
        <v>320</v>
      </c>
      <c r="I24" s="120" t="s">
        <v>753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439</v>
      </c>
      <c r="O24" s="120" t="s">
        <v>338</v>
      </c>
      <c r="P24" s="120" t="s">
        <v>1257</v>
      </c>
      <c r="Q24" s="120" t="s">
        <v>414</v>
      </c>
      <c r="R24" s="120" t="s">
        <v>406</v>
      </c>
      <c r="S24" s="120" t="s">
        <v>1212</v>
      </c>
      <c r="T24" s="122">
        <v>5.37</v>
      </c>
      <c r="U24" s="124">
        <v>48112</v>
      </c>
      <c r="V24" s="123">
        <v>2.3900000000000001E-2</v>
      </c>
      <c r="W24" s="123">
        <v>2.7199999999999998E-2</v>
      </c>
      <c r="X24" s="120" t="s">
        <v>411</v>
      </c>
      <c r="Y24" s="120"/>
      <c r="Z24" s="122">
        <v>9500000</v>
      </c>
      <c r="AA24" s="122">
        <v>1</v>
      </c>
      <c r="AB24" s="122">
        <v>113.4</v>
      </c>
      <c r="AC24" s="122"/>
      <c r="AD24" s="122">
        <v>10773</v>
      </c>
      <c r="AE24" s="120"/>
      <c r="AF24" s="120"/>
      <c r="AG24" s="120"/>
      <c r="AH24" s="123">
        <v>2.4420000000000002E-3</v>
      </c>
      <c r="AI24" s="123">
        <v>9.6840999999999997E-2</v>
      </c>
      <c r="AJ24" s="123">
        <v>1.941E-3</v>
      </c>
    </row>
    <row r="25" spans="1:36" ht="15" customHeight="1">
      <c r="A25" s="121">
        <v>212</v>
      </c>
      <c r="B25" s="121">
        <v>212</v>
      </c>
      <c r="C25" s="120" t="s">
        <v>1261</v>
      </c>
      <c r="D25" s="121">
        <v>520032046</v>
      </c>
      <c r="E25" s="120" t="s">
        <v>308</v>
      </c>
      <c r="F25" s="120" t="s">
        <v>1311</v>
      </c>
      <c r="G25" s="121" t="s">
        <v>1312</v>
      </c>
      <c r="H25" s="120" t="s">
        <v>320</v>
      </c>
      <c r="I25" s="120" t="s">
        <v>753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447</v>
      </c>
      <c r="O25" s="120" t="s">
        <v>338</v>
      </c>
      <c r="P25" s="120" t="s">
        <v>1211</v>
      </c>
      <c r="Q25" s="120" t="s">
        <v>412</v>
      </c>
      <c r="R25" s="120" t="s">
        <v>406</v>
      </c>
      <c r="S25" s="120" t="s">
        <v>1212</v>
      </c>
      <c r="T25" s="122">
        <v>5.22</v>
      </c>
      <c r="U25" s="124">
        <v>47665</v>
      </c>
      <c r="V25" s="123">
        <v>2E-3</v>
      </c>
      <c r="W25" s="123">
        <v>2.6100000000000002E-2</v>
      </c>
      <c r="X25" s="120" t="s">
        <v>411</v>
      </c>
      <c r="Y25" s="120"/>
      <c r="Z25" s="122">
        <v>3601500</v>
      </c>
      <c r="AA25" s="122">
        <v>1</v>
      </c>
      <c r="AB25" s="122">
        <v>102.35</v>
      </c>
      <c r="AC25" s="122"/>
      <c r="AD25" s="122">
        <v>3686.1352499999998</v>
      </c>
      <c r="AE25" s="120"/>
      <c r="AF25" s="120"/>
      <c r="AG25" s="120"/>
      <c r="AH25" s="123">
        <v>1.041E-3</v>
      </c>
      <c r="AI25" s="123">
        <v>3.3134999999999998E-2</v>
      </c>
      <c r="AJ25" s="123">
        <v>6.6399999999999999E-4</v>
      </c>
    </row>
    <row r="26" spans="1:36" ht="15" customHeight="1">
      <c r="A26" s="121">
        <v>212</v>
      </c>
      <c r="B26" s="121">
        <v>212</v>
      </c>
      <c r="C26" s="120" t="s">
        <v>1266</v>
      </c>
      <c r="D26" s="121">
        <v>520018078</v>
      </c>
      <c r="E26" s="120" t="s">
        <v>308</v>
      </c>
      <c r="F26" s="120" t="s">
        <v>1313</v>
      </c>
      <c r="G26" s="121" t="s">
        <v>1314</v>
      </c>
      <c r="H26" s="120" t="s">
        <v>320</v>
      </c>
      <c r="I26" s="120" t="s">
        <v>753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447</v>
      </c>
      <c r="O26" s="120" t="s">
        <v>338</v>
      </c>
      <c r="P26" s="120" t="s">
        <v>1257</v>
      </c>
      <c r="Q26" s="120" t="s">
        <v>414</v>
      </c>
      <c r="R26" s="120" t="s">
        <v>406</v>
      </c>
      <c r="S26" s="120" t="s">
        <v>1212</v>
      </c>
      <c r="T26" s="122">
        <v>4.6399999999999997</v>
      </c>
      <c r="U26" s="124">
        <v>47447</v>
      </c>
      <c r="V26" s="123">
        <v>1E-3</v>
      </c>
      <c r="W26" s="123">
        <v>2.5700000000000001E-2</v>
      </c>
      <c r="X26" s="120" t="s">
        <v>411</v>
      </c>
      <c r="Y26" s="120"/>
      <c r="Z26" s="122">
        <v>11027540</v>
      </c>
      <c r="AA26" s="122">
        <v>1</v>
      </c>
      <c r="AB26" s="122">
        <v>100.7</v>
      </c>
      <c r="AC26" s="122"/>
      <c r="AD26" s="122">
        <v>11104.73278</v>
      </c>
      <c r="AE26" s="120"/>
      <c r="AF26" s="120"/>
      <c r="AG26" s="120"/>
      <c r="AH26" s="123">
        <v>4.4339999999999996E-3</v>
      </c>
      <c r="AI26" s="123">
        <v>9.9823999999999996E-2</v>
      </c>
      <c r="AJ26" s="123">
        <v>2.0010000000000002E-3</v>
      </c>
    </row>
    <row r="27" spans="1:36" ht="15" customHeight="1">
      <c r="A27" s="121">
        <v>212</v>
      </c>
      <c r="B27" s="121">
        <v>212</v>
      </c>
      <c r="C27" s="120" t="s">
        <v>1281</v>
      </c>
      <c r="D27" s="121">
        <v>520000472</v>
      </c>
      <c r="E27" s="120" t="s">
        <v>308</v>
      </c>
      <c r="F27" s="120" t="s">
        <v>1315</v>
      </c>
      <c r="G27" s="121" t="s">
        <v>1316</v>
      </c>
      <c r="H27" s="120" t="s">
        <v>320</v>
      </c>
      <c r="I27" s="120" t="s">
        <v>753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439</v>
      </c>
      <c r="O27" s="120" t="s">
        <v>338</v>
      </c>
      <c r="P27" s="120" t="s">
        <v>1257</v>
      </c>
      <c r="Q27" s="120" t="s">
        <v>414</v>
      </c>
      <c r="R27" s="120" t="s">
        <v>406</v>
      </c>
      <c r="S27" s="120" t="s">
        <v>1212</v>
      </c>
      <c r="T27" s="122">
        <v>3.02</v>
      </c>
      <c r="U27" s="124">
        <v>47220</v>
      </c>
      <c r="V27" s="123">
        <v>3.85E-2</v>
      </c>
      <c r="W27" s="123">
        <v>2.5700000000000001E-2</v>
      </c>
      <c r="X27" s="120" t="s">
        <v>411</v>
      </c>
      <c r="Y27" s="120"/>
      <c r="Z27" s="122">
        <v>292768.59000000003</v>
      </c>
      <c r="AA27" s="122">
        <v>1</v>
      </c>
      <c r="AB27" s="122">
        <v>120.79</v>
      </c>
      <c r="AC27" s="122">
        <v>9.8820099999999993</v>
      </c>
      <c r="AD27" s="122">
        <v>363.51719000000003</v>
      </c>
      <c r="AE27" s="120"/>
      <c r="AF27" s="120"/>
      <c r="AG27" s="120"/>
      <c r="AH27" s="123">
        <v>1.15E-4</v>
      </c>
      <c r="AI27" s="123">
        <v>3.2659999999999998E-3</v>
      </c>
      <c r="AJ27" s="123">
        <v>6.3999999999999997E-5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4"/>
  <sheetViews>
    <sheetView rightToLeft="1" workbookViewId="0">
      <selection activeCell="A5" sqref="A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9.125" bestFit="1" customWidth="1"/>
    <col min="4" max="4" width="9.875" bestFit="1" customWidth="1"/>
    <col min="5" max="5" width="9.125" bestFit="1" customWidth="1"/>
    <col min="6" max="6" width="10.625" bestFit="1" customWidth="1"/>
    <col min="7" max="7" width="12.2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3.375" bestFit="1" customWidth="1"/>
    <col min="15" max="15" width="9.625" bestFit="1" customWidth="1"/>
    <col min="16" max="16" width="9.875" bestFit="1" customWidth="1"/>
    <col min="17" max="17" width="8.375" bestFit="1" customWidth="1"/>
    <col min="18" max="18" width="8.625" bestFit="1" customWidth="1"/>
    <col min="19" max="19" width="11" bestFit="1" customWidth="1"/>
    <col min="20" max="20" width="8.5" bestFit="1" customWidth="1"/>
    <col min="21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212</v>
      </c>
      <c r="B2" s="121">
        <v>212</v>
      </c>
      <c r="C2" s="120" t="s">
        <v>1317</v>
      </c>
      <c r="D2" s="121">
        <v>520013954</v>
      </c>
      <c r="E2" s="120" t="s">
        <v>308</v>
      </c>
      <c r="F2" s="120" t="s">
        <v>1317</v>
      </c>
      <c r="G2" s="121" t="s">
        <v>1318</v>
      </c>
      <c r="H2" s="120" t="s">
        <v>320</v>
      </c>
      <c r="I2" s="120" t="s">
        <v>918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466</v>
      </c>
      <c r="O2" s="120" t="s">
        <v>338</v>
      </c>
      <c r="P2" s="120" t="s">
        <v>1212</v>
      </c>
      <c r="Q2" s="122">
        <v>71</v>
      </c>
      <c r="R2" s="122">
        <v>1</v>
      </c>
      <c r="S2" s="122">
        <v>5587</v>
      </c>
      <c r="T2" s="122"/>
      <c r="U2" s="122">
        <v>3.9667699999999999</v>
      </c>
      <c r="V2" s="123">
        <v>0</v>
      </c>
      <c r="W2" s="123">
        <v>0.35963800000000001</v>
      </c>
      <c r="X2" s="123">
        <v>0</v>
      </c>
    </row>
    <row r="3" spans="1:26" ht="15" customHeight="1">
      <c r="A3" s="121">
        <v>212</v>
      </c>
      <c r="B3" s="121">
        <v>212</v>
      </c>
      <c r="C3" s="120" t="s">
        <v>1319</v>
      </c>
      <c r="D3" s="121">
        <v>513901371</v>
      </c>
      <c r="E3" s="120" t="s">
        <v>308</v>
      </c>
      <c r="F3" s="120" t="s">
        <v>1320</v>
      </c>
      <c r="G3" s="121" t="s">
        <v>1321</v>
      </c>
      <c r="H3" s="120" t="s">
        <v>320</v>
      </c>
      <c r="I3" s="120" t="s">
        <v>918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440</v>
      </c>
      <c r="O3" s="120" t="s">
        <v>338</v>
      </c>
      <c r="P3" s="120" t="s">
        <v>1212</v>
      </c>
      <c r="Q3" s="122">
        <v>619</v>
      </c>
      <c r="R3" s="122">
        <v>1</v>
      </c>
      <c r="S3" s="122">
        <v>1013</v>
      </c>
      <c r="T3" s="122">
        <v>6.1899999999999997E-2</v>
      </c>
      <c r="U3" s="122">
        <v>6.3323700000000001</v>
      </c>
      <c r="V3" s="123">
        <v>9.9999999999999995E-7</v>
      </c>
      <c r="W3" s="123">
        <v>0.57411000000000001</v>
      </c>
      <c r="X3" s="123">
        <v>9.9999999999999995E-7</v>
      </c>
    </row>
    <row r="4" spans="1:26" ht="15" customHeight="1">
      <c r="A4" s="121">
        <v>212</v>
      </c>
      <c r="B4" s="121">
        <v>212</v>
      </c>
      <c r="C4" s="120" t="s">
        <v>1322</v>
      </c>
      <c r="D4" s="121">
        <v>520041146</v>
      </c>
      <c r="E4" s="120" t="s">
        <v>308</v>
      </c>
      <c r="F4" s="120" t="s">
        <v>1322</v>
      </c>
      <c r="G4" s="121" t="s">
        <v>1323</v>
      </c>
      <c r="H4" s="120" t="s">
        <v>320</v>
      </c>
      <c r="I4" s="120" t="s">
        <v>918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440</v>
      </c>
      <c r="O4" s="120" t="s">
        <v>338</v>
      </c>
      <c r="P4" s="120" t="s">
        <v>1212</v>
      </c>
      <c r="Q4" s="122">
        <v>12.3</v>
      </c>
      <c r="R4" s="122">
        <v>1</v>
      </c>
      <c r="S4" s="122">
        <v>5941</v>
      </c>
      <c r="T4" s="120"/>
      <c r="U4" s="122">
        <v>0.73073999999999995</v>
      </c>
      <c r="V4" s="123">
        <v>0</v>
      </c>
      <c r="W4" s="123">
        <v>6.6250000000000003E-2</v>
      </c>
      <c r="X4" s="123">
        <v>0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13"/>
  <sheetViews>
    <sheetView rightToLeft="1" workbookViewId="0">
      <selection activeCell="A14" sqref="A1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4.5" bestFit="1" customWidth="1"/>
    <col min="4" max="4" width="23.5" bestFit="1" customWidth="1"/>
    <col min="5" max="5" width="9.125" bestFit="1" customWidth="1"/>
    <col min="6" max="6" width="34.7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10.75" bestFit="1" customWidth="1"/>
    <col min="12" max="12" width="11" bestFit="1" customWidth="1"/>
    <col min="13" max="13" width="43.875" style="131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1" bestFit="1" customWidth="1"/>
    <col min="19" max="19" width="9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1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212</v>
      </c>
      <c r="B2" s="121">
        <v>212</v>
      </c>
      <c r="C2" s="120" t="s">
        <v>1324</v>
      </c>
      <c r="D2" s="121">
        <v>511303661</v>
      </c>
      <c r="E2" s="120" t="s">
        <v>308</v>
      </c>
      <c r="F2" s="120" t="s">
        <v>1325</v>
      </c>
      <c r="G2" s="121" t="s">
        <v>1326</v>
      </c>
      <c r="H2" s="120" t="s">
        <v>320</v>
      </c>
      <c r="I2" s="120" t="s">
        <v>965</v>
      </c>
      <c r="J2" s="120" t="s">
        <v>203</v>
      </c>
      <c r="K2" s="120" t="s">
        <v>203</v>
      </c>
      <c r="L2" s="120" t="s">
        <v>339</v>
      </c>
      <c r="M2" s="130" t="s">
        <v>573</v>
      </c>
      <c r="N2" s="120" t="s">
        <v>338</v>
      </c>
      <c r="O2" s="120" t="s">
        <v>1212</v>
      </c>
      <c r="P2" s="122">
        <v>540038</v>
      </c>
      <c r="Q2" s="122">
        <v>1</v>
      </c>
      <c r="R2" s="122">
        <v>3244</v>
      </c>
      <c r="S2" s="122"/>
      <c r="T2" s="122">
        <v>17518.832719999999</v>
      </c>
      <c r="U2" s="123">
        <v>7.7140000000000004E-3</v>
      </c>
      <c r="V2" s="123">
        <v>3.8106000000000001E-2</v>
      </c>
      <c r="W2" s="123">
        <v>3.1570000000000001E-3</v>
      </c>
    </row>
    <row r="3" spans="1:26" ht="15" customHeight="1">
      <c r="A3" s="121">
        <v>212</v>
      </c>
      <c r="B3" s="121">
        <v>212</v>
      </c>
      <c r="C3" s="120" t="s">
        <v>1327</v>
      </c>
      <c r="D3" s="121">
        <v>513534974</v>
      </c>
      <c r="E3" s="120" t="s">
        <v>308</v>
      </c>
      <c r="F3" s="120" t="s">
        <v>1328</v>
      </c>
      <c r="G3" s="121" t="s">
        <v>1329</v>
      </c>
      <c r="H3" s="120" t="s">
        <v>320</v>
      </c>
      <c r="I3" s="120" t="s">
        <v>967</v>
      </c>
      <c r="J3" s="120" t="s">
        <v>203</v>
      </c>
      <c r="K3" s="120" t="s">
        <v>203</v>
      </c>
      <c r="L3" s="120" t="s">
        <v>339</v>
      </c>
      <c r="M3" s="130" t="s">
        <v>574</v>
      </c>
      <c r="N3" s="120" t="s">
        <v>338</v>
      </c>
      <c r="O3" s="120" t="s">
        <v>1212</v>
      </c>
      <c r="P3" s="122">
        <v>261712</v>
      </c>
      <c r="Q3" s="122">
        <v>1</v>
      </c>
      <c r="R3" s="122">
        <v>363.84</v>
      </c>
      <c r="S3" s="120"/>
      <c r="T3" s="122">
        <v>952.21294</v>
      </c>
      <c r="U3" s="123">
        <v>4.55E-4</v>
      </c>
      <c r="V3" s="123">
        <v>2.0709999999999999E-3</v>
      </c>
      <c r="W3" s="123">
        <v>1.7100000000000001E-4</v>
      </c>
    </row>
    <row r="4" spans="1:26" ht="15" customHeight="1">
      <c r="A4" s="121">
        <v>212</v>
      </c>
      <c r="B4" s="121">
        <v>212</v>
      </c>
      <c r="C4" s="120" t="s">
        <v>1324</v>
      </c>
      <c r="D4" s="121">
        <v>511303661</v>
      </c>
      <c r="E4" s="120" t="s">
        <v>308</v>
      </c>
      <c r="F4" s="120" t="s">
        <v>1330</v>
      </c>
      <c r="G4" s="121" t="s">
        <v>1331</v>
      </c>
      <c r="H4" s="120" t="s">
        <v>320</v>
      </c>
      <c r="I4" s="120" t="s">
        <v>967</v>
      </c>
      <c r="J4" s="120" t="s">
        <v>203</v>
      </c>
      <c r="K4" s="120" t="s">
        <v>203</v>
      </c>
      <c r="L4" s="120" t="s">
        <v>339</v>
      </c>
      <c r="M4" s="130" t="s">
        <v>631</v>
      </c>
      <c r="N4" s="120" t="s">
        <v>338</v>
      </c>
      <c r="O4" s="120" t="s">
        <v>1212</v>
      </c>
      <c r="P4" s="122">
        <v>464030</v>
      </c>
      <c r="Q4" s="122">
        <v>1</v>
      </c>
      <c r="R4" s="122">
        <v>327.06</v>
      </c>
      <c r="S4" s="120"/>
      <c r="T4" s="122">
        <v>1517.65652</v>
      </c>
      <c r="U4" s="123">
        <v>1.856E-3</v>
      </c>
      <c r="V4" s="123">
        <v>3.3010000000000001E-3</v>
      </c>
      <c r="W4" s="123">
        <v>2.7300000000000002E-4</v>
      </c>
    </row>
    <row r="5" spans="1:26" ht="15" customHeight="1">
      <c r="A5" s="121">
        <v>212</v>
      </c>
      <c r="B5" s="121">
        <v>212</v>
      </c>
      <c r="C5" s="120" t="s">
        <v>1332</v>
      </c>
      <c r="D5" s="121">
        <v>510938608</v>
      </c>
      <c r="E5" s="120" t="s">
        <v>308</v>
      </c>
      <c r="F5" s="120" t="s">
        <v>1333</v>
      </c>
      <c r="G5" s="121" t="s">
        <v>1334</v>
      </c>
      <c r="H5" s="120" t="s">
        <v>320</v>
      </c>
      <c r="I5" s="120" t="s">
        <v>967</v>
      </c>
      <c r="J5" s="120" t="s">
        <v>203</v>
      </c>
      <c r="K5" s="120" t="s">
        <v>203</v>
      </c>
      <c r="L5" s="120" t="s">
        <v>339</v>
      </c>
      <c r="M5" s="130" t="s">
        <v>572</v>
      </c>
      <c r="N5" s="120" t="s">
        <v>338</v>
      </c>
      <c r="O5" s="120" t="s">
        <v>1212</v>
      </c>
      <c r="P5" s="122">
        <v>31465</v>
      </c>
      <c r="Q5" s="122">
        <v>1</v>
      </c>
      <c r="R5" s="122">
        <v>3786.32</v>
      </c>
      <c r="S5" s="120"/>
      <c r="T5" s="122">
        <v>1191.3655900000001</v>
      </c>
      <c r="U5" s="123">
        <v>6.0300000000000002E-4</v>
      </c>
      <c r="V5" s="123">
        <v>2.591E-3</v>
      </c>
      <c r="W5" s="123">
        <v>2.14E-4</v>
      </c>
    </row>
    <row r="6" spans="1:26" ht="15" customHeight="1">
      <c r="A6" s="121">
        <v>212</v>
      </c>
      <c r="B6" s="121">
        <v>212</v>
      </c>
      <c r="C6" s="120" t="s">
        <v>1327</v>
      </c>
      <c r="D6" s="121">
        <v>513534974</v>
      </c>
      <c r="E6" s="120" t="s">
        <v>308</v>
      </c>
      <c r="F6" s="120" t="s">
        <v>1335</v>
      </c>
      <c r="G6" s="121" t="s">
        <v>1336</v>
      </c>
      <c r="H6" s="120" t="s">
        <v>320</v>
      </c>
      <c r="I6" s="120" t="s">
        <v>965</v>
      </c>
      <c r="J6" s="120" t="s">
        <v>203</v>
      </c>
      <c r="K6" s="120" t="s">
        <v>203</v>
      </c>
      <c r="L6" s="120" t="s">
        <v>339</v>
      </c>
      <c r="M6" s="130" t="s">
        <v>573</v>
      </c>
      <c r="N6" s="120" t="s">
        <v>338</v>
      </c>
      <c r="O6" s="120" t="s">
        <v>1212</v>
      </c>
      <c r="P6" s="122">
        <v>1081943</v>
      </c>
      <c r="Q6" s="122">
        <v>1</v>
      </c>
      <c r="R6" s="122">
        <v>2377</v>
      </c>
      <c r="S6" s="120"/>
      <c r="T6" s="122">
        <v>25717.785110000001</v>
      </c>
      <c r="U6" s="123">
        <v>4.2189999999999997E-3</v>
      </c>
      <c r="V6" s="123">
        <v>5.5939999999999997E-2</v>
      </c>
      <c r="W6" s="123">
        <v>4.6340000000000001E-3</v>
      </c>
    </row>
    <row r="7" spans="1:26" ht="15" customHeight="1">
      <c r="A7" s="121">
        <v>212</v>
      </c>
      <c r="B7" s="121">
        <v>212</v>
      </c>
      <c r="C7" s="120" t="s">
        <v>1332</v>
      </c>
      <c r="D7" s="121">
        <v>510938608</v>
      </c>
      <c r="E7" s="120" t="s">
        <v>308</v>
      </c>
      <c r="F7" s="120" t="s">
        <v>1337</v>
      </c>
      <c r="G7" s="121" t="s">
        <v>1338</v>
      </c>
      <c r="H7" s="120" t="s">
        <v>320</v>
      </c>
      <c r="I7" s="120" t="s">
        <v>965</v>
      </c>
      <c r="J7" s="120" t="s">
        <v>203</v>
      </c>
      <c r="K7" s="120" t="s">
        <v>203</v>
      </c>
      <c r="L7" s="120" t="s">
        <v>339</v>
      </c>
      <c r="M7" s="130" t="s">
        <v>573</v>
      </c>
      <c r="N7" s="120" t="s">
        <v>338</v>
      </c>
      <c r="O7" s="120" t="s">
        <v>1212</v>
      </c>
      <c r="P7" s="122">
        <v>152703.85999999999</v>
      </c>
      <c r="Q7" s="122">
        <v>1</v>
      </c>
      <c r="R7" s="122">
        <v>23710</v>
      </c>
      <c r="S7" s="120"/>
      <c r="T7" s="122">
        <v>36206.085209999997</v>
      </c>
      <c r="U7" s="123">
        <v>7.8930000000000007E-3</v>
      </c>
      <c r="V7" s="123">
        <v>7.8753000000000004E-2</v>
      </c>
      <c r="W7" s="123">
        <v>6.5240000000000003E-3</v>
      </c>
    </row>
    <row r="8" spans="1:26" ht="15" customHeight="1">
      <c r="A8" s="121">
        <v>212</v>
      </c>
      <c r="B8" s="121">
        <v>212</v>
      </c>
      <c r="C8" s="120" t="s">
        <v>1339</v>
      </c>
      <c r="D8" s="121">
        <v>511776783</v>
      </c>
      <c r="E8" s="120" t="s">
        <v>308</v>
      </c>
      <c r="F8" s="120" t="s">
        <v>1340</v>
      </c>
      <c r="G8" s="121" t="s">
        <v>1341</v>
      </c>
      <c r="H8" s="120" t="s">
        <v>320</v>
      </c>
      <c r="I8" s="120" t="s">
        <v>965</v>
      </c>
      <c r="J8" s="120" t="s">
        <v>203</v>
      </c>
      <c r="K8" s="120" t="s">
        <v>203</v>
      </c>
      <c r="L8" s="120" t="s">
        <v>339</v>
      </c>
      <c r="M8" s="130" t="s">
        <v>573</v>
      </c>
      <c r="N8" s="120" t="s">
        <v>338</v>
      </c>
      <c r="O8" s="120" t="s">
        <v>1212</v>
      </c>
      <c r="P8" s="122">
        <v>792636</v>
      </c>
      <c r="Q8" s="122">
        <v>1</v>
      </c>
      <c r="R8" s="122">
        <v>2384</v>
      </c>
      <c r="S8" s="120"/>
      <c r="T8" s="122">
        <v>18896.44224</v>
      </c>
      <c r="U8" s="123">
        <v>9.3039999999999998E-3</v>
      </c>
      <c r="V8" s="123">
        <v>4.1102E-2</v>
      </c>
      <c r="W8" s="123">
        <v>3.405E-3</v>
      </c>
    </row>
    <row r="9" spans="1:26" ht="15" customHeight="1">
      <c r="A9" s="121">
        <v>212</v>
      </c>
      <c r="B9" s="121">
        <v>212</v>
      </c>
      <c r="C9" s="120" t="s">
        <v>1332</v>
      </c>
      <c r="D9" s="121">
        <v>510938608</v>
      </c>
      <c r="E9" s="120" t="s">
        <v>308</v>
      </c>
      <c r="F9" s="120" t="s">
        <v>1342</v>
      </c>
      <c r="G9" s="121" t="s">
        <v>1343</v>
      </c>
      <c r="H9" s="120" t="s">
        <v>320</v>
      </c>
      <c r="I9" s="120" t="s">
        <v>967</v>
      </c>
      <c r="J9" s="120" t="s">
        <v>203</v>
      </c>
      <c r="K9" s="120" t="s">
        <v>203</v>
      </c>
      <c r="L9" s="120" t="s">
        <v>339</v>
      </c>
      <c r="M9" s="130" t="s">
        <v>574</v>
      </c>
      <c r="N9" s="120" t="s">
        <v>338</v>
      </c>
      <c r="O9" s="120" t="s">
        <v>1212</v>
      </c>
      <c r="P9" s="122">
        <v>19239</v>
      </c>
      <c r="Q9" s="122">
        <v>1</v>
      </c>
      <c r="R9" s="122">
        <v>3614.7</v>
      </c>
      <c r="S9" s="120"/>
      <c r="T9" s="122">
        <v>695.43213000000003</v>
      </c>
      <c r="U9" s="123">
        <v>8.7399999999999999E-4</v>
      </c>
      <c r="V9" s="123">
        <v>1.5120000000000001E-3</v>
      </c>
      <c r="W9" s="123">
        <v>1.25E-4</v>
      </c>
    </row>
    <row r="10" spans="1:26" ht="15" customHeight="1">
      <c r="A10" s="121">
        <v>212</v>
      </c>
      <c r="B10" s="121">
        <v>212</v>
      </c>
      <c r="C10" s="120" t="s">
        <v>1344</v>
      </c>
      <c r="D10" s="121" t="s">
        <v>1345</v>
      </c>
      <c r="E10" s="120" t="s">
        <v>312</v>
      </c>
      <c r="F10" s="120" t="s">
        <v>1346</v>
      </c>
      <c r="G10" s="121" t="s">
        <v>1347</v>
      </c>
      <c r="H10" s="120" t="s">
        <v>320</v>
      </c>
      <c r="I10" s="120" t="s">
        <v>966</v>
      </c>
      <c r="J10" s="120" t="s">
        <v>204</v>
      </c>
      <c r="K10" s="120" t="s">
        <v>295</v>
      </c>
      <c r="L10" s="120" t="s">
        <v>363</v>
      </c>
      <c r="M10" s="130" t="s">
        <v>734</v>
      </c>
      <c r="N10" s="120" t="s">
        <v>338</v>
      </c>
      <c r="O10" s="120" t="s">
        <v>1219</v>
      </c>
      <c r="P10" s="122">
        <v>951377</v>
      </c>
      <c r="Q10" s="122">
        <v>3.718</v>
      </c>
      <c r="R10" s="122">
        <v>555.45000000000005</v>
      </c>
      <c r="S10" s="120"/>
      <c r="T10" s="122">
        <v>19647.48675</v>
      </c>
      <c r="U10" s="123">
        <v>5.8739999999999999E-3</v>
      </c>
      <c r="V10" s="123">
        <v>4.2736000000000003E-2</v>
      </c>
      <c r="W10" s="123">
        <v>3.5400000000000002E-3</v>
      </c>
    </row>
    <row r="11" spans="1:26" ht="15" customHeight="1">
      <c r="A11" s="121">
        <v>212</v>
      </c>
      <c r="B11" s="121">
        <v>212</v>
      </c>
      <c r="C11" s="120" t="s">
        <v>1344</v>
      </c>
      <c r="D11" s="121" t="s">
        <v>1345</v>
      </c>
      <c r="E11" s="120" t="s">
        <v>312</v>
      </c>
      <c r="F11" s="120" t="s">
        <v>1348</v>
      </c>
      <c r="G11" s="121" t="s">
        <v>1349</v>
      </c>
      <c r="H11" s="120" t="s">
        <v>320</v>
      </c>
      <c r="I11" s="120" t="s">
        <v>966</v>
      </c>
      <c r="J11" s="120" t="s">
        <v>204</v>
      </c>
      <c r="K11" s="120" t="s">
        <v>295</v>
      </c>
      <c r="L11" s="120" t="s">
        <v>379</v>
      </c>
      <c r="M11" s="130" t="s">
        <v>734</v>
      </c>
      <c r="N11" s="120" t="s">
        <v>338</v>
      </c>
      <c r="O11" s="120" t="s">
        <v>1219</v>
      </c>
      <c r="P11" s="122">
        <v>96916</v>
      </c>
      <c r="Q11" s="122">
        <v>3.718</v>
      </c>
      <c r="R11" s="122">
        <v>4819</v>
      </c>
      <c r="S11" s="120"/>
      <c r="T11" s="122">
        <v>17364.48042</v>
      </c>
      <c r="U11" s="123">
        <v>1.6100000000000001E-3</v>
      </c>
      <c r="V11" s="123">
        <v>3.7769999999999998E-2</v>
      </c>
      <c r="W11" s="123">
        <v>3.1289999999999998E-3</v>
      </c>
    </row>
    <row r="12" spans="1:26" ht="15" customHeight="1">
      <c r="A12" s="121">
        <v>212</v>
      </c>
      <c r="B12" s="121">
        <v>212</v>
      </c>
      <c r="C12" s="120" t="s">
        <v>1350</v>
      </c>
      <c r="D12" s="121" t="s">
        <v>1351</v>
      </c>
      <c r="E12" s="120" t="s">
        <v>312</v>
      </c>
      <c r="F12" s="120" t="s">
        <v>1352</v>
      </c>
      <c r="G12" s="121" t="s">
        <v>1353</v>
      </c>
      <c r="H12" s="120" t="s">
        <v>320</v>
      </c>
      <c r="I12" s="120" t="s">
        <v>966</v>
      </c>
      <c r="J12" s="120" t="s">
        <v>204</v>
      </c>
      <c r="K12" s="120" t="s">
        <v>288</v>
      </c>
      <c r="L12" s="120" t="s">
        <v>379</v>
      </c>
      <c r="M12" s="130" t="s">
        <v>734</v>
      </c>
      <c r="N12" s="120" t="s">
        <v>338</v>
      </c>
      <c r="O12" s="120" t="s">
        <v>1219</v>
      </c>
      <c r="P12" s="122">
        <v>551484</v>
      </c>
      <c r="Q12" s="122">
        <v>3.718</v>
      </c>
      <c r="R12" s="122">
        <v>11471.5</v>
      </c>
      <c r="S12" s="120"/>
      <c r="T12" s="122">
        <v>235213.64489</v>
      </c>
      <c r="U12" s="123">
        <v>4.4299999999999999E-3</v>
      </c>
      <c r="V12" s="123">
        <v>0.51162600000000003</v>
      </c>
      <c r="W12" s="123">
        <v>4.2387000000000001E-2</v>
      </c>
    </row>
    <row r="13" spans="1:26" ht="15" customHeight="1">
      <c r="A13" s="121">
        <v>212</v>
      </c>
      <c r="B13" s="121">
        <v>212</v>
      </c>
      <c r="C13" s="120" t="s">
        <v>1354</v>
      </c>
      <c r="D13" s="121" t="s">
        <v>1355</v>
      </c>
      <c r="E13" s="120" t="s">
        <v>312</v>
      </c>
      <c r="F13" s="120" t="s">
        <v>1356</v>
      </c>
      <c r="G13" s="121" t="s">
        <v>1357</v>
      </c>
      <c r="H13" s="120" t="s">
        <v>320</v>
      </c>
      <c r="I13" s="120" t="s">
        <v>966</v>
      </c>
      <c r="J13" s="120" t="s">
        <v>204</v>
      </c>
      <c r="K13" s="120" t="s">
        <v>288</v>
      </c>
      <c r="L13" s="120" t="s">
        <v>379</v>
      </c>
      <c r="M13" s="130" t="s">
        <v>734</v>
      </c>
      <c r="N13" s="120" t="s">
        <v>338</v>
      </c>
      <c r="O13" s="120" t="s">
        <v>1219</v>
      </c>
      <c r="P13" s="122">
        <v>595228</v>
      </c>
      <c r="Q13" s="122">
        <v>3.718</v>
      </c>
      <c r="R13" s="122">
        <v>3832.5</v>
      </c>
      <c r="S13" s="120"/>
      <c r="T13" s="122">
        <v>84815.43651</v>
      </c>
      <c r="U13" s="123">
        <v>2.1819999999999999E-3</v>
      </c>
      <c r="V13" s="123">
        <v>0.18448600000000001</v>
      </c>
      <c r="W13" s="123">
        <v>1.5284000000000001E-2</v>
      </c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>
      <selection activeCell="N1" sqref="N1:N104857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31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91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5" t="s">
        <v>76</v>
      </c>
      <c r="R1" s="125" t="s">
        <v>61</v>
      </c>
      <c r="S1" s="125" t="s">
        <v>77</v>
      </c>
      <c r="T1" s="125" t="s">
        <v>63</v>
      </c>
      <c r="U1" s="128" t="s">
        <v>79</v>
      </c>
      <c r="V1" s="128" t="s">
        <v>64</v>
      </c>
      <c r="W1" s="128" t="s">
        <v>65</v>
      </c>
      <c r="X1" s="11"/>
      <c r="Y1" s="11"/>
      <c r="Z1" s="11"/>
    </row>
    <row r="2" spans="1:26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30"/>
      <c r="O2" s="120"/>
      <c r="P2" s="120"/>
      <c r="Q2" s="122"/>
      <c r="R2" s="122"/>
      <c r="S2" s="122"/>
      <c r="T2" s="122"/>
      <c r="U2" s="123"/>
      <c r="V2" s="123"/>
      <c r="W2" s="123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7" t="s">
        <v>93</v>
      </c>
      <c r="P1" s="25" t="s">
        <v>56</v>
      </c>
      <c r="Q1" s="25" t="s">
        <v>59</v>
      </c>
      <c r="R1" s="125" t="s">
        <v>94</v>
      </c>
      <c r="S1" s="125" t="s">
        <v>95</v>
      </c>
      <c r="T1" s="125" t="s">
        <v>76</v>
      </c>
      <c r="U1" s="125" t="s">
        <v>61</v>
      </c>
      <c r="V1" s="125" t="s">
        <v>77</v>
      </c>
      <c r="W1" s="125" t="s">
        <v>63</v>
      </c>
      <c r="X1" s="128" t="s">
        <v>64</v>
      </c>
      <c r="Y1" s="128" t="s">
        <v>65</v>
      </c>
      <c r="Z1" s="11"/>
    </row>
    <row r="2" spans="1:26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2"/>
      <c r="X2" s="123"/>
      <c r="Y2" s="123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7" t="s">
        <v>93</v>
      </c>
      <c r="P1" s="25" t="s">
        <v>56</v>
      </c>
      <c r="Q1" s="25" t="s">
        <v>59</v>
      </c>
      <c r="R1" s="125" t="s">
        <v>94</v>
      </c>
      <c r="S1" s="125" t="s">
        <v>76</v>
      </c>
      <c r="T1" s="125" t="s">
        <v>61</v>
      </c>
      <c r="U1" s="125" t="s">
        <v>77</v>
      </c>
      <c r="V1" s="125" t="s">
        <v>63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3"/>
      <c r="X2" s="123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5" t="s">
        <v>76</v>
      </c>
      <c r="P1" s="125" t="s">
        <v>61</v>
      </c>
      <c r="Q1" s="125" t="s">
        <v>77</v>
      </c>
      <c r="R1" s="125" t="s">
        <v>63</v>
      </c>
      <c r="S1" s="128" t="s">
        <v>64</v>
      </c>
      <c r="T1" s="128" t="s">
        <v>65</v>
      </c>
      <c r="U1" s="11"/>
      <c r="V1" s="11"/>
      <c r="W1" s="11"/>
      <c r="X1" s="11"/>
      <c r="Y1" s="11"/>
      <c r="Z1" s="11"/>
    </row>
    <row r="2" spans="1:26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2"/>
      <c r="P2" s="122"/>
      <c r="Q2" s="122"/>
      <c r="R2" s="122"/>
      <c r="S2" s="123"/>
      <c r="T2" s="123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5" t="s">
        <v>72</v>
      </c>
      <c r="Q1" s="128" t="s">
        <v>62</v>
      </c>
      <c r="R1" s="128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5" t="s">
        <v>76</v>
      </c>
      <c r="X1" s="125" t="s">
        <v>61</v>
      </c>
      <c r="Y1" s="125" t="s">
        <v>77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2"/>
      <c r="Q2" s="123"/>
      <c r="R2" s="123"/>
      <c r="S2" s="120"/>
      <c r="T2" s="120"/>
      <c r="U2" s="120"/>
      <c r="V2" s="120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6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7" t="s">
        <v>97</v>
      </c>
      <c r="K1" s="25" t="s">
        <v>71</v>
      </c>
      <c r="L1" s="25" t="s">
        <v>58</v>
      </c>
      <c r="M1" s="25" t="s">
        <v>59</v>
      </c>
      <c r="N1" s="125" t="s">
        <v>72</v>
      </c>
      <c r="O1" s="127" t="s">
        <v>73</v>
      </c>
      <c r="P1" s="128" t="s">
        <v>62</v>
      </c>
      <c r="Q1" s="128" t="s">
        <v>74</v>
      </c>
      <c r="R1" s="125" t="s">
        <v>76</v>
      </c>
      <c r="S1" s="125" t="s">
        <v>61</v>
      </c>
      <c r="T1" s="125" t="s">
        <v>77</v>
      </c>
      <c r="U1" s="125" t="s">
        <v>63</v>
      </c>
      <c r="V1" s="125" t="s">
        <v>78</v>
      </c>
      <c r="W1" s="25" t="s">
        <v>17</v>
      </c>
      <c r="X1" s="128" t="s">
        <v>64</v>
      </c>
      <c r="Y1" s="128" t="s">
        <v>65</v>
      </c>
    </row>
    <row r="2" spans="1:25" ht="15" customHeight="1">
      <c r="A2" s="121">
        <v>212</v>
      </c>
      <c r="B2" s="121">
        <v>212</v>
      </c>
      <c r="C2" s="120"/>
      <c r="D2" s="120"/>
      <c r="E2" s="121"/>
      <c r="F2" s="120"/>
      <c r="G2" s="120"/>
      <c r="H2" s="120"/>
      <c r="I2" s="120"/>
      <c r="J2" s="124"/>
      <c r="K2" s="120"/>
      <c r="L2" s="120"/>
      <c r="M2" s="120"/>
      <c r="N2" s="122"/>
      <c r="O2" s="124"/>
      <c r="P2" s="123"/>
      <c r="Q2" s="123"/>
      <c r="R2" s="122"/>
      <c r="S2" s="122"/>
      <c r="T2" s="122"/>
      <c r="U2" s="122"/>
      <c r="V2" s="122"/>
      <c r="W2" s="120"/>
      <c r="X2" s="123"/>
      <c r="Y2" s="123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17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4.5" bestFit="1" customWidth="1"/>
    <col min="13" max="13" width="11" bestFit="1" customWidth="1"/>
    <col min="14" max="14" width="11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212</v>
      </c>
      <c r="B2" s="121">
        <v>212</v>
      </c>
      <c r="C2" s="120" t="s">
        <v>984</v>
      </c>
      <c r="D2" s="120" t="s">
        <v>1358</v>
      </c>
      <c r="E2" s="121">
        <v>8288474</v>
      </c>
      <c r="F2" s="124">
        <v>42767</v>
      </c>
      <c r="G2" s="122">
        <v>5.96</v>
      </c>
      <c r="H2" s="120" t="s">
        <v>753</v>
      </c>
      <c r="I2" s="124">
        <v>48245</v>
      </c>
      <c r="J2" s="123">
        <v>4.8000000000000001E-2</v>
      </c>
      <c r="K2" s="123">
        <v>2.0199999999999999E-2</v>
      </c>
      <c r="L2" s="122">
        <v>72815000</v>
      </c>
      <c r="M2" s="122">
        <v>138.5609</v>
      </c>
      <c r="N2" s="122">
        <v>100893.09625</v>
      </c>
      <c r="O2" s="122"/>
      <c r="P2" s="120"/>
      <c r="Q2" s="123">
        <v>0.15302399999999999</v>
      </c>
      <c r="R2" s="123">
        <v>1.8180999999999999E-2</v>
      </c>
    </row>
    <row r="3" spans="1:26" ht="15" customHeight="1">
      <c r="A3" s="121">
        <v>212</v>
      </c>
      <c r="B3" s="121">
        <v>212</v>
      </c>
      <c r="C3" s="120" t="s">
        <v>984</v>
      </c>
      <c r="D3" s="120" t="s">
        <v>1359</v>
      </c>
      <c r="E3" s="121">
        <v>8288938</v>
      </c>
      <c r="F3" s="124">
        <v>44197</v>
      </c>
      <c r="G3" s="122">
        <v>8.73</v>
      </c>
      <c r="H3" s="120" t="s">
        <v>753</v>
      </c>
      <c r="I3" s="124">
        <v>49675</v>
      </c>
      <c r="J3" s="123">
        <v>4.8000000000000001E-2</v>
      </c>
      <c r="K3" s="123">
        <v>2.0899999999999998E-2</v>
      </c>
      <c r="L3" s="122">
        <v>26710000</v>
      </c>
      <c r="M3" s="122">
        <v>147.0273</v>
      </c>
      <c r="N3" s="122">
        <v>39271.001080000002</v>
      </c>
      <c r="O3" s="120"/>
      <c r="P3" s="120"/>
      <c r="Q3" s="123">
        <v>5.9561999999999997E-2</v>
      </c>
      <c r="R3" s="123">
        <v>7.0759999999999998E-3</v>
      </c>
    </row>
    <row r="4" spans="1:26" ht="15" customHeight="1">
      <c r="A4" s="121">
        <v>212</v>
      </c>
      <c r="B4" s="121">
        <v>212</v>
      </c>
      <c r="C4" s="120" t="s">
        <v>984</v>
      </c>
      <c r="D4" s="120" t="s">
        <v>1360</v>
      </c>
      <c r="E4" s="121">
        <v>8288979</v>
      </c>
      <c r="F4" s="124">
        <v>44318</v>
      </c>
      <c r="G4" s="122">
        <v>8.9</v>
      </c>
      <c r="H4" s="120" t="s">
        <v>753</v>
      </c>
      <c r="I4" s="124">
        <v>49797</v>
      </c>
      <c r="J4" s="123">
        <v>4.8000000000000001E-2</v>
      </c>
      <c r="K4" s="123">
        <v>2.1000000000000001E-2</v>
      </c>
      <c r="L4" s="122">
        <v>15409000</v>
      </c>
      <c r="M4" s="122">
        <v>147.70359999999999</v>
      </c>
      <c r="N4" s="122">
        <v>22759.645769999999</v>
      </c>
      <c r="O4" s="120"/>
      <c r="P4" s="120"/>
      <c r="Q4" s="123">
        <v>3.4519000000000001E-2</v>
      </c>
      <c r="R4" s="123">
        <v>4.1009999999999996E-3</v>
      </c>
    </row>
    <row r="5" spans="1:26" ht="15" customHeight="1">
      <c r="A5" s="121">
        <v>212</v>
      </c>
      <c r="B5" s="121">
        <v>212</v>
      </c>
      <c r="C5" s="120" t="s">
        <v>984</v>
      </c>
      <c r="D5" s="120" t="s">
        <v>1361</v>
      </c>
      <c r="E5" s="121">
        <v>8288359</v>
      </c>
      <c r="F5" s="124">
        <v>42401</v>
      </c>
      <c r="G5" s="122">
        <v>5.19</v>
      </c>
      <c r="H5" s="120" t="s">
        <v>753</v>
      </c>
      <c r="I5" s="124">
        <v>47880</v>
      </c>
      <c r="J5" s="123">
        <v>4.8000000000000001E-2</v>
      </c>
      <c r="K5" s="123">
        <v>0.02</v>
      </c>
      <c r="L5" s="122">
        <v>26807000</v>
      </c>
      <c r="M5" s="122">
        <v>135.5813</v>
      </c>
      <c r="N5" s="122">
        <v>36345.289969999998</v>
      </c>
      <c r="O5" s="120"/>
      <c r="P5" s="120"/>
      <c r="Q5" s="123">
        <v>5.5123999999999999E-2</v>
      </c>
      <c r="R5" s="123">
        <v>6.5490000000000001E-3</v>
      </c>
    </row>
    <row r="6" spans="1:26" ht="15" customHeight="1">
      <c r="A6" s="121">
        <v>212</v>
      </c>
      <c r="B6" s="121">
        <v>212</v>
      </c>
      <c r="C6" s="120" t="s">
        <v>984</v>
      </c>
      <c r="D6" s="120" t="s">
        <v>1362</v>
      </c>
      <c r="E6" s="121">
        <v>8288284</v>
      </c>
      <c r="F6" s="124">
        <v>42186</v>
      </c>
      <c r="G6" s="122">
        <v>4.7</v>
      </c>
      <c r="H6" s="120" t="s">
        <v>753</v>
      </c>
      <c r="I6" s="124">
        <v>47665</v>
      </c>
      <c r="J6" s="123">
        <v>4.8000000000000001E-2</v>
      </c>
      <c r="K6" s="123">
        <v>1.9900000000000001E-2</v>
      </c>
      <c r="L6" s="122">
        <v>218000</v>
      </c>
      <c r="M6" s="122">
        <v>133.7431</v>
      </c>
      <c r="N6" s="122">
        <v>291.56002999999998</v>
      </c>
      <c r="O6" s="120"/>
      <c r="P6" s="120"/>
      <c r="Q6" s="123">
        <v>4.4200000000000001E-4</v>
      </c>
      <c r="R6" s="123">
        <v>5.1999999999999997E-5</v>
      </c>
    </row>
    <row r="7" spans="1:26" ht="15" customHeight="1">
      <c r="A7" s="121">
        <v>212</v>
      </c>
      <c r="B7" s="121">
        <v>212</v>
      </c>
      <c r="C7" s="120" t="s">
        <v>984</v>
      </c>
      <c r="D7" s="120" t="s">
        <v>1363</v>
      </c>
      <c r="E7" s="121">
        <v>8288334</v>
      </c>
      <c r="F7" s="124">
        <v>42339</v>
      </c>
      <c r="G7" s="122">
        <v>5.0199999999999996</v>
      </c>
      <c r="H7" s="120" t="s">
        <v>753</v>
      </c>
      <c r="I7" s="124">
        <v>47818</v>
      </c>
      <c r="J7" s="123">
        <v>4.8000000000000001E-2</v>
      </c>
      <c r="K7" s="123">
        <v>0.02</v>
      </c>
      <c r="L7" s="122">
        <v>17973000</v>
      </c>
      <c r="M7" s="122">
        <v>135.3458</v>
      </c>
      <c r="N7" s="122">
        <v>24325.70809</v>
      </c>
      <c r="O7" s="120"/>
      <c r="P7" s="120"/>
      <c r="Q7" s="123">
        <v>3.6894000000000003E-2</v>
      </c>
      <c r="R7" s="123">
        <v>4.3829999999999997E-3</v>
      </c>
    </row>
    <row r="8" spans="1:26" ht="15" customHeight="1">
      <c r="A8" s="121">
        <v>212</v>
      </c>
      <c r="B8" s="121">
        <v>212</v>
      </c>
      <c r="C8" s="120" t="s">
        <v>984</v>
      </c>
      <c r="D8" s="120" t="s">
        <v>1364</v>
      </c>
      <c r="E8" s="121">
        <v>8288342</v>
      </c>
      <c r="F8" s="124">
        <v>42370</v>
      </c>
      <c r="G8" s="122">
        <v>5.0999999999999996</v>
      </c>
      <c r="H8" s="120" t="s">
        <v>753</v>
      </c>
      <c r="I8" s="124">
        <v>47849</v>
      </c>
      <c r="J8" s="123">
        <v>4.8000000000000001E-2</v>
      </c>
      <c r="K8" s="123">
        <v>0.02</v>
      </c>
      <c r="L8" s="122">
        <v>7675000</v>
      </c>
      <c r="M8" s="122">
        <v>135.66399999999999</v>
      </c>
      <c r="N8" s="122">
        <v>10412.21218</v>
      </c>
      <c r="O8" s="120"/>
      <c r="P8" s="120"/>
      <c r="Q8" s="123">
        <v>1.5792E-2</v>
      </c>
      <c r="R8" s="123">
        <v>1.8760000000000001E-3</v>
      </c>
    </row>
    <row r="9" spans="1:26" ht="15" customHeight="1">
      <c r="A9" s="121">
        <v>212</v>
      </c>
      <c r="B9" s="121">
        <v>212</v>
      </c>
      <c r="C9" s="120" t="s">
        <v>984</v>
      </c>
      <c r="D9" s="120" t="s">
        <v>1365</v>
      </c>
      <c r="E9" s="121">
        <v>8288276</v>
      </c>
      <c r="F9" s="124">
        <v>42156</v>
      </c>
      <c r="G9" s="122">
        <v>4.62</v>
      </c>
      <c r="H9" s="120" t="s">
        <v>753</v>
      </c>
      <c r="I9" s="124">
        <v>47636</v>
      </c>
      <c r="J9" s="123">
        <v>4.8000000000000001E-2</v>
      </c>
      <c r="K9" s="123">
        <v>1.9900000000000001E-2</v>
      </c>
      <c r="L9" s="122">
        <v>46926000</v>
      </c>
      <c r="M9" s="122">
        <v>134.23840000000001</v>
      </c>
      <c r="N9" s="122">
        <v>62992.731070000002</v>
      </c>
      <c r="O9" s="120"/>
      <c r="P9" s="120"/>
      <c r="Q9" s="123">
        <v>9.554E-2</v>
      </c>
      <c r="R9" s="123">
        <v>1.1351E-2</v>
      </c>
    </row>
    <row r="10" spans="1:26" ht="15" customHeight="1">
      <c r="A10" s="121">
        <v>212</v>
      </c>
      <c r="B10" s="121">
        <v>212</v>
      </c>
      <c r="C10" s="120" t="s">
        <v>984</v>
      </c>
      <c r="D10" s="120" t="s">
        <v>1366</v>
      </c>
      <c r="E10" s="121">
        <v>8288987</v>
      </c>
      <c r="F10" s="124">
        <v>44348</v>
      </c>
      <c r="G10" s="122">
        <v>8.98</v>
      </c>
      <c r="H10" s="120" t="s">
        <v>753</v>
      </c>
      <c r="I10" s="124">
        <v>49827</v>
      </c>
      <c r="J10" s="123">
        <v>4.8000000000000001E-2</v>
      </c>
      <c r="K10" s="123">
        <v>2.1000000000000001E-2</v>
      </c>
      <c r="L10" s="122">
        <v>13270000</v>
      </c>
      <c r="M10" s="122">
        <v>146.97499999999999</v>
      </c>
      <c r="N10" s="122">
        <v>19503.587739999999</v>
      </c>
      <c r="O10" s="120"/>
      <c r="P10" s="120"/>
      <c r="Q10" s="123">
        <v>2.9581E-2</v>
      </c>
      <c r="R10" s="123">
        <v>3.5140000000000002E-3</v>
      </c>
    </row>
    <row r="11" spans="1:26" ht="15" customHeight="1">
      <c r="A11" s="121">
        <v>212</v>
      </c>
      <c r="B11" s="121">
        <v>212</v>
      </c>
      <c r="C11" s="120" t="s">
        <v>984</v>
      </c>
      <c r="D11" s="120" t="s">
        <v>1367</v>
      </c>
      <c r="E11" s="121">
        <v>8288326</v>
      </c>
      <c r="F11" s="124">
        <v>42309</v>
      </c>
      <c r="G11" s="122">
        <v>4.9400000000000004</v>
      </c>
      <c r="H11" s="120" t="s">
        <v>753</v>
      </c>
      <c r="I11" s="124">
        <v>47788</v>
      </c>
      <c r="J11" s="123">
        <v>4.8000000000000001E-2</v>
      </c>
      <c r="K11" s="123">
        <v>0.02</v>
      </c>
      <c r="L11" s="122">
        <v>36593000</v>
      </c>
      <c r="M11" s="122">
        <v>135.74080000000001</v>
      </c>
      <c r="N11" s="122">
        <v>49671.648399999998</v>
      </c>
      <c r="O11" s="120"/>
      <c r="P11" s="120"/>
      <c r="Q11" s="123">
        <v>7.5336E-2</v>
      </c>
      <c r="R11" s="123">
        <v>8.9510000000000006E-3</v>
      </c>
    </row>
    <row r="12" spans="1:26" ht="15" customHeight="1">
      <c r="A12" s="121">
        <v>212</v>
      </c>
      <c r="B12" s="121">
        <v>212</v>
      </c>
      <c r="C12" s="120" t="s">
        <v>984</v>
      </c>
      <c r="D12" s="120" t="s">
        <v>1368</v>
      </c>
      <c r="E12" s="121">
        <v>8288599</v>
      </c>
      <c r="F12" s="124">
        <v>43132</v>
      </c>
      <c r="G12" s="122">
        <v>6.71</v>
      </c>
      <c r="H12" s="120" t="s">
        <v>753</v>
      </c>
      <c r="I12" s="124">
        <v>48611</v>
      </c>
      <c r="J12" s="123">
        <v>4.8000000000000001E-2</v>
      </c>
      <c r="K12" s="123">
        <v>2.0400000000000001E-2</v>
      </c>
      <c r="L12" s="122">
        <v>69153000</v>
      </c>
      <c r="M12" s="122">
        <v>140.61600000000001</v>
      </c>
      <c r="N12" s="122">
        <v>97240.154620000001</v>
      </c>
      <c r="O12" s="120"/>
      <c r="P12" s="120"/>
      <c r="Q12" s="123">
        <v>0.147483</v>
      </c>
      <c r="R12" s="123">
        <v>1.7523E-2</v>
      </c>
    </row>
    <row r="13" spans="1:26" ht="15" customHeight="1">
      <c r="A13" s="121">
        <v>212</v>
      </c>
      <c r="B13" s="121">
        <v>212</v>
      </c>
      <c r="C13" s="120" t="s">
        <v>984</v>
      </c>
      <c r="D13" s="120" t="s">
        <v>1369</v>
      </c>
      <c r="E13" s="121">
        <v>8288946</v>
      </c>
      <c r="F13" s="124">
        <v>44228</v>
      </c>
      <c r="G13" s="122">
        <v>8.82</v>
      </c>
      <c r="H13" s="120" t="s">
        <v>753</v>
      </c>
      <c r="I13" s="124">
        <v>49706</v>
      </c>
      <c r="J13" s="123">
        <v>4.8000000000000001E-2</v>
      </c>
      <c r="K13" s="123">
        <v>2.0899999999999998E-2</v>
      </c>
      <c r="L13" s="122">
        <v>21306000</v>
      </c>
      <c r="M13" s="122">
        <v>146.9179</v>
      </c>
      <c r="N13" s="122">
        <v>31302.33654</v>
      </c>
      <c r="O13" s="120"/>
      <c r="P13" s="120"/>
      <c r="Q13" s="123">
        <v>4.7475999999999997E-2</v>
      </c>
      <c r="R13" s="123">
        <v>5.64E-3</v>
      </c>
    </row>
    <row r="14" spans="1:26" ht="15" customHeight="1">
      <c r="A14" s="121">
        <v>212</v>
      </c>
      <c r="B14" s="121">
        <v>212</v>
      </c>
      <c r="C14" s="120" t="s">
        <v>984</v>
      </c>
      <c r="D14" s="120" t="s">
        <v>1370</v>
      </c>
      <c r="E14" s="121">
        <v>8288714</v>
      </c>
      <c r="F14" s="124">
        <v>43497</v>
      </c>
      <c r="G14" s="122">
        <v>7.44</v>
      </c>
      <c r="H14" s="120" t="s">
        <v>753</v>
      </c>
      <c r="I14" s="124">
        <v>48976</v>
      </c>
      <c r="J14" s="123">
        <v>4.8000000000000001E-2</v>
      </c>
      <c r="K14" s="123">
        <v>2.06E-2</v>
      </c>
      <c r="L14" s="122">
        <v>33190000</v>
      </c>
      <c r="M14" s="122">
        <v>142.00919999999999</v>
      </c>
      <c r="N14" s="122">
        <v>47132.85482</v>
      </c>
      <c r="O14" s="120"/>
      <c r="P14" s="120"/>
      <c r="Q14" s="123">
        <v>7.1485999999999994E-2</v>
      </c>
      <c r="R14" s="123">
        <v>8.4930000000000005E-3</v>
      </c>
    </row>
    <row r="15" spans="1:26" ht="15" customHeight="1">
      <c r="A15" s="121">
        <v>212</v>
      </c>
      <c r="B15" s="121">
        <v>212</v>
      </c>
      <c r="C15" s="120" t="s">
        <v>984</v>
      </c>
      <c r="D15" s="120" t="s">
        <v>1371</v>
      </c>
      <c r="E15" s="121">
        <v>8288839</v>
      </c>
      <c r="F15" s="124">
        <v>43863</v>
      </c>
      <c r="G15" s="122">
        <v>8.14</v>
      </c>
      <c r="H15" s="120" t="s">
        <v>753</v>
      </c>
      <c r="I15" s="124">
        <v>49342</v>
      </c>
      <c r="J15" s="123">
        <v>4.8000000000000001E-2</v>
      </c>
      <c r="K15" s="123">
        <v>2.0799999999999999E-2</v>
      </c>
      <c r="L15" s="122">
        <v>56791000</v>
      </c>
      <c r="M15" s="122">
        <v>143.55840000000001</v>
      </c>
      <c r="N15" s="122">
        <v>81528.243929999997</v>
      </c>
      <c r="O15" s="120"/>
      <c r="P15" s="120"/>
      <c r="Q15" s="123">
        <v>0.123653</v>
      </c>
      <c r="R15" s="123">
        <v>1.4692E-2</v>
      </c>
    </row>
    <row r="16" spans="1:26" ht="15" customHeight="1">
      <c r="A16" s="121">
        <v>212</v>
      </c>
      <c r="B16" s="121">
        <v>212</v>
      </c>
      <c r="C16" s="120" t="s">
        <v>984</v>
      </c>
      <c r="D16" s="120" t="s">
        <v>1372</v>
      </c>
      <c r="E16" s="121">
        <v>8288441</v>
      </c>
      <c r="F16" s="124">
        <v>42675</v>
      </c>
      <c r="G16" s="122">
        <v>5.71</v>
      </c>
      <c r="H16" s="120" t="s">
        <v>753</v>
      </c>
      <c r="I16" s="124">
        <v>48154</v>
      </c>
      <c r="J16" s="123">
        <v>4.8000000000000001E-2</v>
      </c>
      <c r="K16" s="123">
        <v>2.0199999999999999E-2</v>
      </c>
      <c r="L16" s="122">
        <v>10697000</v>
      </c>
      <c r="M16" s="122">
        <v>139.02780000000001</v>
      </c>
      <c r="N16" s="122">
        <v>14871.802379999999</v>
      </c>
      <c r="O16" s="120"/>
      <c r="P16" s="120"/>
      <c r="Q16" s="123">
        <v>2.2554999999999999E-2</v>
      </c>
      <c r="R16" s="123">
        <v>2.6800000000000001E-3</v>
      </c>
    </row>
    <row r="17" spans="1:18" ht="15" customHeight="1">
      <c r="A17" s="121">
        <v>212</v>
      </c>
      <c r="B17" s="121">
        <v>212</v>
      </c>
      <c r="C17" s="120" t="s">
        <v>984</v>
      </c>
      <c r="D17" s="120" t="s">
        <v>1373</v>
      </c>
      <c r="E17" s="121">
        <v>8288318</v>
      </c>
      <c r="F17" s="124">
        <v>42278</v>
      </c>
      <c r="G17" s="122">
        <v>4.8499999999999996</v>
      </c>
      <c r="H17" s="120" t="s">
        <v>753</v>
      </c>
      <c r="I17" s="124">
        <v>47757</v>
      </c>
      <c r="J17" s="123">
        <v>4.8000000000000001E-2</v>
      </c>
      <c r="K17" s="123">
        <v>0.02</v>
      </c>
      <c r="L17" s="122">
        <v>15349000</v>
      </c>
      <c r="M17" s="122">
        <v>135.4237</v>
      </c>
      <c r="N17" s="122">
        <v>20786.182690000001</v>
      </c>
      <c r="O17" s="120"/>
      <c r="P17" s="120"/>
      <c r="Q17" s="123">
        <v>3.1525999999999998E-2</v>
      </c>
      <c r="R17" s="123">
        <v>3.7450000000000001E-3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3"/>
  <sheetViews>
    <sheetView rightToLeft="1" workbookViewId="0">
      <selection activeCell="F6" sqref="F6"/>
    </sheetView>
  </sheetViews>
  <sheetFormatPr defaultColWidth="12.625" defaultRowHeight="15" customHeight="1"/>
  <cols>
    <col min="1" max="1" width="7.625" bestFit="1" customWidth="1"/>
    <col min="2" max="2" width="9.25" bestFit="1" customWidth="1"/>
    <col min="3" max="3" width="39.1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7" t="s">
        <v>100</v>
      </c>
      <c r="E1" s="127" t="s">
        <v>101</v>
      </c>
      <c r="F1" s="25" t="s">
        <v>102</v>
      </c>
      <c r="G1" s="25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212</v>
      </c>
      <c r="B2" s="121">
        <v>212</v>
      </c>
      <c r="C2" s="120" t="s">
        <v>988</v>
      </c>
      <c r="D2" s="124"/>
      <c r="E2" s="124"/>
      <c r="F2" s="122">
        <v>14436.61463</v>
      </c>
      <c r="G2" s="123">
        <v>2.601E-3</v>
      </c>
    </row>
    <row r="3" spans="1:26" ht="15" customHeight="1">
      <c r="A3" s="121">
        <v>212</v>
      </c>
      <c r="B3" s="121">
        <v>212</v>
      </c>
      <c r="C3" s="120" t="s">
        <v>1374</v>
      </c>
      <c r="D3" s="120"/>
      <c r="E3" s="120"/>
      <c r="F3" s="122">
        <v>4152.6669599999996</v>
      </c>
      <c r="G3" s="123">
        <v>7.4799999999999997E-4</v>
      </c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98</v>
      </c>
      <c r="U1" s="25" t="s">
        <v>85</v>
      </c>
      <c r="V1" s="127" t="s">
        <v>73</v>
      </c>
      <c r="W1" s="128" t="s">
        <v>62</v>
      </c>
      <c r="X1" s="128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7" t="s">
        <v>106</v>
      </c>
      <c r="AE1" s="127" t="s">
        <v>107</v>
      </c>
      <c r="AF1" s="125" t="s">
        <v>76</v>
      </c>
      <c r="AG1" s="125" t="s">
        <v>61</v>
      </c>
      <c r="AH1" s="125" t="s">
        <v>77</v>
      </c>
      <c r="AI1" s="125" t="s">
        <v>63</v>
      </c>
      <c r="AJ1" s="125" t="s">
        <v>78</v>
      </c>
      <c r="AK1" s="125" t="s">
        <v>88</v>
      </c>
      <c r="AL1" s="25" t="s">
        <v>17</v>
      </c>
      <c r="AM1" s="128" t="s">
        <v>64</v>
      </c>
      <c r="AN1" s="128" t="s">
        <v>65</v>
      </c>
    </row>
    <row r="2" spans="1:40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0"/>
      <c r="U2" s="120"/>
      <c r="V2" s="124"/>
      <c r="W2" s="123"/>
      <c r="X2" s="123"/>
      <c r="Y2" s="120"/>
      <c r="Z2" s="120"/>
      <c r="AA2" s="120"/>
      <c r="AB2" s="120"/>
      <c r="AC2" s="120"/>
      <c r="AD2" s="124"/>
      <c r="AE2" s="124"/>
      <c r="AF2" s="122"/>
      <c r="AG2" s="122"/>
      <c r="AH2" s="122"/>
      <c r="AI2" s="122"/>
      <c r="AJ2" s="122"/>
      <c r="AK2" s="122"/>
      <c r="AL2" s="120"/>
      <c r="AM2" s="123"/>
      <c r="AN2" s="123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4"/>
  <sheetViews>
    <sheetView rightToLeft="1" topLeftCell="G1" workbookViewId="0">
      <selection activeCell="Y3" sqref="Y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3.25" bestFit="1" customWidth="1"/>
    <col min="4" max="4" width="9.875" bestFit="1" customWidth="1"/>
    <col min="5" max="5" width="9.125" bestFit="1" customWidth="1"/>
    <col min="6" max="6" width="16.75" bestFit="1" customWidth="1"/>
    <col min="7" max="7" width="10.87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3.5" bestFit="1" customWidth="1"/>
    <col min="31" max="31" width="8.625" bestFit="1" customWidth="1"/>
    <col min="32" max="32" width="11" bestFit="1" customWidth="1"/>
    <col min="33" max="33" width="9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7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125" t="s">
        <v>78</v>
      </c>
      <c r="AI1" s="1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21">
        <v>212</v>
      </c>
      <c r="B2" s="121">
        <v>212</v>
      </c>
      <c r="C2" s="120" t="s">
        <v>1284</v>
      </c>
      <c r="D2" s="121">
        <v>520010869</v>
      </c>
      <c r="E2" s="120" t="s">
        <v>308</v>
      </c>
      <c r="F2" s="120" t="s">
        <v>1375</v>
      </c>
      <c r="G2" s="121">
        <v>1100908</v>
      </c>
      <c r="H2" s="120" t="s">
        <v>311</v>
      </c>
      <c r="I2" s="120" t="s">
        <v>753</v>
      </c>
      <c r="J2" s="120" t="s">
        <v>203</v>
      </c>
      <c r="K2" s="120" t="s">
        <v>203</v>
      </c>
      <c r="L2" s="120" t="s">
        <v>325</v>
      </c>
      <c r="M2" s="120" t="s">
        <v>476</v>
      </c>
      <c r="N2" s="120" t="s">
        <v>338</v>
      </c>
      <c r="O2" s="124">
        <v>39076</v>
      </c>
      <c r="P2" s="120" t="s">
        <v>1211</v>
      </c>
      <c r="Q2" s="120" t="s">
        <v>412</v>
      </c>
      <c r="R2" s="120" t="s">
        <v>406</v>
      </c>
      <c r="S2" s="120" t="s">
        <v>1212</v>
      </c>
      <c r="T2" s="122">
        <v>5.47</v>
      </c>
      <c r="U2" s="124">
        <v>50034</v>
      </c>
      <c r="V2" s="123">
        <v>2.8400000000000002E-2</v>
      </c>
      <c r="W2" s="123">
        <v>4.9000000000000002E-2</v>
      </c>
      <c r="X2" s="120" t="s">
        <v>411</v>
      </c>
      <c r="Y2" s="120"/>
      <c r="Z2" s="120" t="s">
        <v>887</v>
      </c>
      <c r="AA2" s="120" t="s">
        <v>890</v>
      </c>
      <c r="AB2" s="124">
        <v>45747</v>
      </c>
      <c r="AC2" s="124"/>
      <c r="AD2" s="122">
        <v>1440000.42</v>
      </c>
      <c r="AE2" s="122">
        <v>1</v>
      </c>
      <c r="AF2" s="122">
        <v>157.19999999999999</v>
      </c>
      <c r="AG2" s="122">
        <v>2263.68066</v>
      </c>
      <c r="AH2" s="122"/>
      <c r="AI2" s="122"/>
      <c r="AJ2" s="120"/>
      <c r="AK2" s="123">
        <v>0.25301499999999999</v>
      </c>
      <c r="AL2" s="123">
        <v>4.0700000000000003E-4</v>
      </c>
    </row>
    <row r="3" spans="1:38" ht="15" customHeight="1">
      <c r="A3" s="121">
        <v>212</v>
      </c>
      <c r="B3" s="121">
        <v>212</v>
      </c>
      <c r="C3" s="120" t="s">
        <v>1284</v>
      </c>
      <c r="D3" s="121">
        <v>520010869</v>
      </c>
      <c r="E3" s="120" t="s">
        <v>308</v>
      </c>
      <c r="F3" s="120" t="s">
        <v>1376</v>
      </c>
      <c r="G3" s="121">
        <v>1124346</v>
      </c>
      <c r="H3" s="120" t="s">
        <v>311</v>
      </c>
      <c r="I3" s="120" t="s">
        <v>753</v>
      </c>
      <c r="J3" s="120" t="s">
        <v>203</v>
      </c>
      <c r="K3" s="120" t="s">
        <v>203</v>
      </c>
      <c r="L3" s="120" t="s">
        <v>325</v>
      </c>
      <c r="M3" s="120" t="s">
        <v>476</v>
      </c>
      <c r="N3" s="120" t="s">
        <v>338</v>
      </c>
      <c r="O3" s="124">
        <v>40738</v>
      </c>
      <c r="P3" s="120" t="s">
        <v>1211</v>
      </c>
      <c r="Q3" s="120" t="s">
        <v>412</v>
      </c>
      <c r="R3" s="120" t="s">
        <v>406</v>
      </c>
      <c r="S3" s="120" t="s">
        <v>1212</v>
      </c>
      <c r="T3" s="122">
        <v>9.0299999999999994</v>
      </c>
      <c r="U3" s="124">
        <v>54253</v>
      </c>
      <c r="V3" s="123">
        <v>3.3300000000000003E-2</v>
      </c>
      <c r="W3" s="123">
        <v>4.1000000000000002E-2</v>
      </c>
      <c r="X3" s="120" t="s">
        <v>411</v>
      </c>
      <c r="Y3" s="120"/>
      <c r="Z3" s="120" t="s">
        <v>887</v>
      </c>
      <c r="AA3" s="120" t="s">
        <v>890</v>
      </c>
      <c r="AB3" s="124">
        <v>45747</v>
      </c>
      <c r="AC3" s="120"/>
      <c r="AD3" s="122">
        <v>1938461.74</v>
      </c>
      <c r="AE3" s="122">
        <v>1</v>
      </c>
      <c r="AF3" s="122">
        <v>131.6</v>
      </c>
      <c r="AG3" s="122">
        <v>2551.0156499999998</v>
      </c>
      <c r="AH3" s="120"/>
      <c r="AI3" s="120"/>
      <c r="AJ3" s="120"/>
      <c r="AK3" s="123">
        <v>0.28513100000000002</v>
      </c>
      <c r="AL3" s="123">
        <v>4.5899999999999999E-4</v>
      </c>
    </row>
    <row r="4" spans="1:38" ht="15" customHeight="1">
      <c r="A4" s="121">
        <v>212</v>
      </c>
      <c r="B4" s="121">
        <v>212</v>
      </c>
      <c r="C4" s="120" t="s">
        <v>1302</v>
      </c>
      <c r="D4" s="121">
        <v>513436394</v>
      </c>
      <c r="E4" s="120" t="s">
        <v>308</v>
      </c>
      <c r="F4" s="120" t="s">
        <v>1377</v>
      </c>
      <c r="G4" s="121">
        <v>1125509</v>
      </c>
      <c r="H4" s="120" t="s">
        <v>311</v>
      </c>
      <c r="I4" s="120" t="s">
        <v>753</v>
      </c>
      <c r="J4" s="120" t="s">
        <v>203</v>
      </c>
      <c r="K4" s="120" t="s">
        <v>203</v>
      </c>
      <c r="L4" s="120" t="s">
        <v>325</v>
      </c>
      <c r="M4" s="120" t="s">
        <v>476</v>
      </c>
      <c r="N4" s="120" t="s">
        <v>338</v>
      </c>
      <c r="O4" s="124">
        <v>40910</v>
      </c>
      <c r="P4" s="120" t="s">
        <v>1301</v>
      </c>
      <c r="Q4" s="120" t="s">
        <v>414</v>
      </c>
      <c r="R4" s="120" t="s">
        <v>406</v>
      </c>
      <c r="S4" s="120" t="s">
        <v>1212</v>
      </c>
      <c r="T4" s="122">
        <v>3.42</v>
      </c>
      <c r="U4" s="124">
        <v>48213</v>
      </c>
      <c r="V4" s="123">
        <v>2.81E-2</v>
      </c>
      <c r="W4" s="123">
        <v>4.8000000000000001E-2</v>
      </c>
      <c r="X4" s="120" t="s">
        <v>411</v>
      </c>
      <c r="Y4" s="120"/>
      <c r="Z4" s="120" t="s">
        <v>887</v>
      </c>
      <c r="AA4" s="120" t="s">
        <v>890</v>
      </c>
      <c r="AB4" s="124">
        <v>45747</v>
      </c>
      <c r="AC4" s="120"/>
      <c r="AD4" s="122">
        <v>3200467.32</v>
      </c>
      <c r="AE4" s="122">
        <v>1</v>
      </c>
      <c r="AF4" s="122">
        <v>129.11000000000001</v>
      </c>
      <c r="AG4" s="122">
        <v>4132.1233599999996</v>
      </c>
      <c r="AH4" s="120"/>
      <c r="AI4" s="120"/>
      <c r="AJ4" s="120"/>
      <c r="AK4" s="123">
        <v>0.46185300000000001</v>
      </c>
      <c r="AL4" s="123">
        <v>7.4399999999999998E-4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8" bestFit="1" customWidth="1"/>
    <col min="22" max="22" width="9.125" bestFit="1" customWidth="1"/>
    <col min="23" max="23" width="11.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7" t="s">
        <v>97</v>
      </c>
      <c r="P1" s="25" t="s">
        <v>59</v>
      </c>
      <c r="Q1" s="25" t="s">
        <v>103</v>
      </c>
      <c r="R1" s="25" t="s">
        <v>104</v>
      </c>
      <c r="S1" s="127" t="s">
        <v>106</v>
      </c>
      <c r="T1" s="127" t="s">
        <v>107</v>
      </c>
      <c r="U1" s="125" t="s">
        <v>76</v>
      </c>
      <c r="V1" s="125" t="s">
        <v>61</v>
      </c>
      <c r="W1" s="125" t="s">
        <v>77</v>
      </c>
      <c r="X1" s="125" t="s">
        <v>63</v>
      </c>
      <c r="Y1" s="128" t="s">
        <v>64</v>
      </c>
      <c r="Z1" s="128" t="s">
        <v>65</v>
      </c>
    </row>
    <row r="2" spans="1:26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0"/>
      <c r="S2" s="124"/>
      <c r="T2" s="124"/>
      <c r="U2" s="122"/>
      <c r="V2" s="122"/>
      <c r="W2" s="122"/>
      <c r="X2" s="122"/>
      <c r="Y2" s="123"/>
      <c r="Z2" s="123"/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>
      <selection activeCell="B14" sqref="B1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11.125" bestFit="1" customWidth="1"/>
    <col min="6" max="6" width="14" bestFit="1" customWidth="1"/>
    <col min="7" max="7" width="9.375" bestFit="1" customWidth="1"/>
    <col min="8" max="8" width="8" bestFit="1" customWidth="1"/>
    <col min="9" max="9" width="15.37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375" bestFit="1" customWidth="1"/>
    <col min="23" max="23" width="9.87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25" t="s">
        <v>109</v>
      </c>
      <c r="E1" s="25" t="s">
        <v>110</v>
      </c>
      <c r="F1" s="25" t="s">
        <v>111</v>
      </c>
      <c r="G1" s="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28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61</v>
      </c>
      <c r="V1" s="29" t="s">
        <v>117</v>
      </c>
      <c r="W1" s="25" t="s">
        <v>63</v>
      </c>
      <c r="X1" s="25" t="s">
        <v>118</v>
      </c>
      <c r="Y1" s="25" t="s">
        <v>64</v>
      </c>
      <c r="Z1" s="25" t="s">
        <v>65</v>
      </c>
      <c r="AA1" s="11"/>
    </row>
    <row r="2" spans="1:27" ht="15" customHeight="1">
      <c r="A2" s="121">
        <v>212</v>
      </c>
      <c r="B2" s="121">
        <v>212</v>
      </c>
      <c r="C2" s="120" t="s">
        <v>1378</v>
      </c>
      <c r="D2" s="121"/>
      <c r="E2" s="120"/>
      <c r="F2" s="120" t="s">
        <v>1379</v>
      </c>
      <c r="G2" s="121">
        <v>6254</v>
      </c>
      <c r="H2" s="120" t="s">
        <v>311</v>
      </c>
      <c r="I2" s="120" t="s">
        <v>1002</v>
      </c>
      <c r="J2" s="120"/>
      <c r="K2" s="120" t="s">
        <v>203</v>
      </c>
      <c r="L2" s="120"/>
      <c r="M2" s="120"/>
      <c r="N2" s="120" t="s">
        <v>203</v>
      </c>
      <c r="O2" s="120" t="s">
        <v>338</v>
      </c>
      <c r="P2" s="124">
        <v>40542</v>
      </c>
      <c r="Q2" s="120" t="s">
        <v>1212</v>
      </c>
      <c r="R2" s="120" t="s">
        <v>886</v>
      </c>
      <c r="S2" s="120" t="s">
        <v>890</v>
      </c>
      <c r="T2" s="124">
        <v>45747</v>
      </c>
      <c r="U2" s="122">
        <v>1</v>
      </c>
      <c r="V2" s="122">
        <v>4631.1256599999997</v>
      </c>
      <c r="W2" s="122">
        <v>4631.1256599999997</v>
      </c>
      <c r="X2" s="123">
        <v>3.3000000000000003E-5</v>
      </c>
      <c r="Y2" s="123">
        <v>1</v>
      </c>
      <c r="Z2" s="123">
        <v>8.34E-4</v>
      </c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25" t="s">
        <v>119</v>
      </c>
      <c r="AA1" s="128" t="s">
        <v>64</v>
      </c>
      <c r="AB1" s="128" t="s">
        <v>65</v>
      </c>
    </row>
    <row r="2" spans="1:28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0"/>
      <c r="AA2" s="123"/>
      <c r="AB2" s="123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2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2.125" bestFit="1" customWidth="1"/>
    <col min="4" max="4" width="9.625" bestFit="1" customWidth="1"/>
    <col min="5" max="5" width="10.375" bestFit="1" customWidth="1"/>
    <col min="6" max="6" width="8.625" bestFit="1" customWidth="1"/>
    <col min="7" max="7" width="14.125" bestFit="1" customWidth="1"/>
    <col min="8" max="8" width="11" bestFit="1" customWidth="1"/>
    <col min="9" max="9" width="11.5" bestFit="1" customWidth="1"/>
    <col min="10" max="10" width="10.875" bestFit="1" customWidth="1"/>
    <col min="11" max="11" width="9.625" bestFit="1" customWidth="1"/>
    <col min="12" max="12" width="10.375" bestFit="1" customWidth="1"/>
    <col min="13" max="13" width="8.625" bestFit="1" customWidth="1"/>
    <col min="14" max="14" width="13.5" bestFit="1" customWidth="1"/>
    <col min="15" max="15" width="11" bestFit="1" customWidth="1"/>
    <col min="16" max="16" width="10.875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9.25" bestFit="1" customWidth="1"/>
    <col min="22" max="22" width="9.375" bestFit="1" customWidth="1"/>
    <col min="23" max="23" width="8.875" bestFit="1" customWidth="1"/>
    <col min="24" max="24" width="6.12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9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25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21">
        <v>212</v>
      </c>
      <c r="B2" s="121">
        <v>212</v>
      </c>
      <c r="C2" s="120" t="s">
        <v>1016</v>
      </c>
      <c r="D2" s="121">
        <v>31002002</v>
      </c>
      <c r="E2" s="120" t="s">
        <v>1212</v>
      </c>
      <c r="F2" s="122">
        <v>1</v>
      </c>
      <c r="G2" s="122">
        <v>-1500000</v>
      </c>
      <c r="H2" s="122">
        <v>-1504.3788</v>
      </c>
      <c r="I2" s="123">
        <v>-33.385931999999997</v>
      </c>
      <c r="J2" s="123">
        <v>-2.7099999999999997E-4</v>
      </c>
      <c r="K2" s="121">
        <v>31002001</v>
      </c>
      <c r="L2" s="120" t="s">
        <v>1212</v>
      </c>
      <c r="M2" s="120" t="s">
        <v>1213</v>
      </c>
      <c r="N2" s="122">
        <v>1500000</v>
      </c>
      <c r="O2" s="122">
        <v>1549.4390599999999</v>
      </c>
      <c r="P2" s="123">
        <v>34.385931999999997</v>
      </c>
      <c r="Q2" s="123">
        <v>2.7900000000000001E-4</v>
      </c>
      <c r="R2" s="122">
        <v>45.06026</v>
      </c>
      <c r="S2" s="120" t="s">
        <v>203</v>
      </c>
      <c r="T2" s="120" t="s">
        <v>203</v>
      </c>
      <c r="U2" s="120" t="s">
        <v>750</v>
      </c>
      <c r="V2" s="120" t="s">
        <v>313</v>
      </c>
      <c r="W2" s="120" t="s">
        <v>929</v>
      </c>
      <c r="X2" s="120" t="s">
        <v>1380</v>
      </c>
      <c r="Y2" s="120" t="s">
        <v>338</v>
      </c>
      <c r="Z2" s="124">
        <v>44174</v>
      </c>
      <c r="AA2" s="124">
        <v>46000</v>
      </c>
      <c r="AB2" s="120" t="s">
        <v>897</v>
      </c>
      <c r="AC2" s="120" t="s">
        <v>899</v>
      </c>
      <c r="AD2" s="120" t="s">
        <v>911</v>
      </c>
      <c r="AE2" s="120" t="s">
        <v>913</v>
      </c>
      <c r="AF2" s="120" t="s">
        <v>897</v>
      </c>
      <c r="AG2" s="120" t="s">
        <v>897</v>
      </c>
      <c r="AH2" s="123"/>
      <c r="AI2" s="122">
        <v>1</v>
      </c>
      <c r="AJ2" s="122"/>
      <c r="AK2" s="120"/>
      <c r="AL2" s="123"/>
      <c r="AM2" s="120" t="s">
        <v>1381</v>
      </c>
      <c r="AN2" s="123">
        <v>1</v>
      </c>
      <c r="AO2" s="123">
        <v>7.9999999999999996E-6</v>
      </c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2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5.12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8" bestFit="1" customWidth="1"/>
    <col min="28" max="28" width="10" bestFit="1" customWidth="1"/>
    <col min="29" max="29" width="8" bestFit="1" customWidth="1"/>
    <col min="30" max="30" width="11.12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7.5" bestFit="1" customWidth="1"/>
    <col min="44" max="44" width="9.625" bestFit="1" customWidth="1"/>
    <col min="45" max="45" width="9.125" bestFit="1" customWidth="1"/>
    <col min="46" max="46" width="9.5" bestFit="1" customWidth="1"/>
    <col min="47" max="47" width="7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</cols>
  <sheetData>
    <row r="1" spans="1:53" ht="66.75" customHeight="1">
      <c r="A1" s="25" t="s">
        <v>49</v>
      </c>
      <c r="B1" s="25" t="s">
        <v>50</v>
      </c>
      <c r="C1" s="126" t="s">
        <v>150</v>
      </c>
      <c r="D1" s="25" t="s">
        <v>151</v>
      </c>
      <c r="E1" s="25" t="s">
        <v>152</v>
      </c>
      <c r="F1" s="126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6" t="s">
        <v>156</v>
      </c>
      <c r="O1" s="127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125" t="s">
        <v>72</v>
      </c>
      <c r="U1" s="25" t="s">
        <v>159</v>
      </c>
      <c r="V1" s="128" t="s">
        <v>62</v>
      </c>
      <c r="W1" s="25" t="s">
        <v>98</v>
      </c>
      <c r="X1" s="25" t="s">
        <v>85</v>
      </c>
      <c r="Y1" s="25" t="s">
        <v>160</v>
      </c>
      <c r="Z1" s="128" t="s">
        <v>74</v>
      </c>
      <c r="AA1" s="127" t="s">
        <v>73</v>
      </c>
      <c r="AB1" s="25" t="s">
        <v>86</v>
      </c>
      <c r="AC1" s="25" t="s">
        <v>161</v>
      </c>
      <c r="AD1" s="125" t="s">
        <v>162</v>
      </c>
      <c r="AE1" s="128" t="s">
        <v>163</v>
      </c>
      <c r="AF1" s="127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127" t="s">
        <v>106</v>
      </c>
      <c r="AO1" s="127" t="s">
        <v>107</v>
      </c>
      <c r="AP1" s="128" t="s">
        <v>169</v>
      </c>
      <c r="AQ1" s="125" t="s">
        <v>170</v>
      </c>
      <c r="AR1" s="125" t="s">
        <v>171</v>
      </c>
      <c r="AS1" s="125" t="s">
        <v>61</v>
      </c>
      <c r="AT1" s="125" t="s">
        <v>63</v>
      </c>
      <c r="AU1" s="125" t="s">
        <v>172</v>
      </c>
      <c r="AV1" s="125" t="s">
        <v>78</v>
      </c>
      <c r="AW1" s="125" t="s">
        <v>88</v>
      </c>
      <c r="AX1" s="25" t="s">
        <v>87</v>
      </c>
      <c r="AY1" s="25" t="s">
        <v>17</v>
      </c>
      <c r="AZ1" s="128" t="s">
        <v>64</v>
      </c>
      <c r="BA1" s="128" t="s">
        <v>65</v>
      </c>
    </row>
    <row r="2" spans="1:53" ht="15" customHeight="1">
      <c r="A2" s="121">
        <v>212</v>
      </c>
      <c r="B2" s="121">
        <v>212</v>
      </c>
      <c r="C2" s="121"/>
      <c r="D2" s="120"/>
      <c r="E2" s="120"/>
      <c r="F2" s="121"/>
      <c r="G2" s="120"/>
      <c r="H2" s="120"/>
      <c r="I2" s="120"/>
      <c r="J2" s="120"/>
      <c r="K2" s="120"/>
      <c r="L2" s="120"/>
      <c r="M2" s="120"/>
      <c r="N2" s="121"/>
      <c r="O2" s="124"/>
      <c r="P2" s="120"/>
      <c r="Q2" s="120"/>
      <c r="R2" s="120"/>
      <c r="S2" s="120"/>
      <c r="T2" s="122"/>
      <c r="U2" s="120"/>
      <c r="V2" s="123"/>
      <c r="W2" s="120"/>
      <c r="X2" s="120"/>
      <c r="Y2" s="123"/>
      <c r="Z2" s="123"/>
      <c r="AA2" s="124"/>
      <c r="AB2" s="120"/>
      <c r="AC2" s="120"/>
      <c r="AD2" s="122"/>
      <c r="AE2" s="123"/>
      <c r="AF2" s="124"/>
      <c r="AG2" s="120"/>
      <c r="AH2" s="120"/>
      <c r="AI2" s="120"/>
      <c r="AJ2" s="120"/>
      <c r="AK2" s="120"/>
      <c r="AL2" s="120"/>
      <c r="AM2" s="120"/>
      <c r="AN2" s="124"/>
      <c r="AO2" s="124"/>
      <c r="AP2" s="123"/>
      <c r="AQ2" s="122"/>
      <c r="AR2" s="122"/>
      <c r="AS2" s="122"/>
      <c r="AT2" s="122"/>
      <c r="AU2" s="122"/>
      <c r="AV2" s="122"/>
      <c r="AW2" s="122"/>
      <c r="AX2" s="120"/>
      <c r="AY2" s="120"/>
      <c r="AZ2" s="123"/>
      <c r="BA2" s="123"/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128" t="s">
        <v>62</v>
      </c>
      <c r="U1" s="128" t="s">
        <v>74</v>
      </c>
      <c r="V1" s="25" t="s">
        <v>103</v>
      </c>
      <c r="W1" s="25" t="s">
        <v>104</v>
      </c>
      <c r="X1" s="127" t="s">
        <v>106</v>
      </c>
      <c r="Y1" s="125" t="s">
        <v>76</v>
      </c>
      <c r="Z1" s="125" t="s">
        <v>61</v>
      </c>
      <c r="AA1" s="125" t="s">
        <v>77</v>
      </c>
      <c r="AB1" s="125" t="s">
        <v>63</v>
      </c>
      <c r="AC1" s="128" t="s">
        <v>64</v>
      </c>
      <c r="AD1" s="128" t="s">
        <v>65</v>
      </c>
    </row>
    <row r="2" spans="1:30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3"/>
      <c r="U2" s="123"/>
      <c r="V2" s="120"/>
      <c r="W2" s="120"/>
      <c r="X2" s="124"/>
      <c r="Y2" s="122"/>
      <c r="Z2" s="122"/>
      <c r="AA2" s="122"/>
      <c r="AB2" s="122"/>
      <c r="AC2" s="123"/>
      <c r="AD2" s="123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3"/>
  <sheetViews>
    <sheetView rightToLeft="1" workbookViewId="0">
      <selection activeCell="M9" sqref="M9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0.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12.25" bestFit="1" customWidth="1"/>
    <col min="13" max="13" width="9.875" bestFit="1" customWidth="1"/>
    <col min="14" max="14" width="6.375" bestFit="1" customWidth="1"/>
    <col min="15" max="15" width="9.25" bestFit="1" customWidth="1"/>
    <col min="16" max="16" width="10.375" bestFit="1" customWidth="1"/>
    <col min="17" max="17" width="9.875" bestFit="1" customWidth="1"/>
    <col min="18" max="18" width="8.625" bestFit="1" customWidth="1"/>
    <col min="19" max="19" width="8.75" bestFit="1" customWidth="1"/>
    <col min="20" max="20" width="9.875" bestFit="1" customWidth="1"/>
    <col min="21" max="21" width="11" bestFit="1" customWidth="1"/>
    <col min="22" max="22" width="10.375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25" t="s">
        <v>72</v>
      </c>
      <c r="O1" s="25" t="s">
        <v>62</v>
      </c>
      <c r="P1" s="25" t="s">
        <v>74</v>
      </c>
      <c r="Q1" s="25" t="s">
        <v>60</v>
      </c>
      <c r="R1" s="25" t="s">
        <v>61</v>
      </c>
      <c r="S1" s="25" t="s">
        <v>174</v>
      </c>
      <c r="T1" s="25" t="s">
        <v>63</v>
      </c>
      <c r="U1" s="25" t="s">
        <v>64</v>
      </c>
      <c r="V1" s="25" t="s">
        <v>65</v>
      </c>
      <c r="W1" s="11"/>
      <c r="X1" s="11"/>
      <c r="Y1" s="11"/>
      <c r="Z1" s="11"/>
    </row>
    <row r="2" spans="1:26" ht="15" customHeight="1">
      <c r="A2" s="121">
        <v>212</v>
      </c>
      <c r="B2" s="121">
        <v>212</v>
      </c>
      <c r="C2" s="120" t="s">
        <v>1209</v>
      </c>
      <c r="D2" s="120" t="s">
        <v>1210</v>
      </c>
      <c r="E2" s="120" t="s">
        <v>314</v>
      </c>
      <c r="F2" s="120" t="s">
        <v>1029</v>
      </c>
      <c r="G2" s="124"/>
      <c r="H2" s="120" t="s">
        <v>203</v>
      </c>
      <c r="I2" s="120" t="s">
        <v>203</v>
      </c>
      <c r="J2" s="120" t="s">
        <v>338</v>
      </c>
      <c r="K2" s="120" t="s">
        <v>1257</v>
      </c>
      <c r="L2" s="120" t="s">
        <v>414</v>
      </c>
      <c r="M2" s="120" t="s">
        <v>1212</v>
      </c>
      <c r="N2" s="122"/>
      <c r="O2" s="123"/>
      <c r="P2" s="123">
        <v>0</v>
      </c>
      <c r="Q2" s="122">
        <v>2480</v>
      </c>
      <c r="R2" s="122">
        <v>1</v>
      </c>
      <c r="S2" s="122">
        <v>100</v>
      </c>
      <c r="T2" s="122">
        <v>2480</v>
      </c>
      <c r="U2" s="123">
        <v>0.65806399999999998</v>
      </c>
      <c r="V2" s="123">
        <v>4.46E-4</v>
      </c>
    </row>
    <row r="3" spans="1:26" ht="15" customHeight="1">
      <c r="A3" s="121">
        <v>212</v>
      </c>
      <c r="B3" s="121">
        <v>212</v>
      </c>
      <c r="C3" s="120" t="s">
        <v>1214</v>
      </c>
      <c r="D3" s="120" t="s">
        <v>1215</v>
      </c>
      <c r="E3" s="120" t="s">
        <v>314</v>
      </c>
      <c r="F3" s="120" t="s">
        <v>753</v>
      </c>
      <c r="G3" s="124">
        <v>45870</v>
      </c>
      <c r="H3" s="120" t="s">
        <v>203</v>
      </c>
      <c r="I3" s="120" t="s">
        <v>203</v>
      </c>
      <c r="J3" s="120" t="s">
        <v>338</v>
      </c>
      <c r="K3" s="120" t="s">
        <v>1257</v>
      </c>
      <c r="L3" s="120" t="s">
        <v>414</v>
      </c>
      <c r="M3" s="120" t="s">
        <v>1212</v>
      </c>
      <c r="N3" s="122">
        <v>0.34</v>
      </c>
      <c r="O3" s="123"/>
      <c r="P3" s="123">
        <v>2.3599999999999999E-2</v>
      </c>
      <c r="Q3" s="122">
        <v>1288.62761</v>
      </c>
      <c r="R3" s="122">
        <v>1</v>
      </c>
      <c r="S3" s="122">
        <v>160.97999999999999</v>
      </c>
      <c r="T3" s="122">
        <v>1288.62761</v>
      </c>
      <c r="U3" s="123">
        <v>0.34193499999999999</v>
      </c>
      <c r="V3" s="123">
        <v>2.32E-4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7" t="s">
        <v>97</v>
      </c>
      <c r="H1" s="25" t="s">
        <v>177</v>
      </c>
      <c r="I1" s="25" t="s">
        <v>178</v>
      </c>
      <c r="J1" s="25" t="s">
        <v>179</v>
      </c>
      <c r="K1" s="128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7" t="s">
        <v>106</v>
      </c>
      <c r="Q1" s="25" t="s">
        <v>59</v>
      </c>
      <c r="R1" s="125" t="s">
        <v>172</v>
      </c>
      <c r="S1" s="125" t="s">
        <v>63</v>
      </c>
      <c r="T1" s="125" t="s">
        <v>78</v>
      </c>
      <c r="U1" s="125" t="s">
        <v>88</v>
      </c>
      <c r="V1" s="25" t="s">
        <v>17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212</v>
      </c>
      <c r="B2" s="121">
        <v>212</v>
      </c>
      <c r="C2" s="120"/>
      <c r="D2" s="120"/>
      <c r="E2" s="120"/>
      <c r="F2" s="120"/>
      <c r="G2" s="124"/>
      <c r="H2" s="120"/>
      <c r="I2" s="120"/>
      <c r="J2" s="120"/>
      <c r="K2" s="123"/>
      <c r="L2" s="120"/>
      <c r="M2" s="120"/>
      <c r="N2" s="120"/>
      <c r="O2" s="120"/>
      <c r="P2" s="124"/>
      <c r="Q2" s="120"/>
      <c r="R2" s="122"/>
      <c r="S2" s="122"/>
      <c r="T2" s="122"/>
      <c r="U2" s="122"/>
      <c r="V2" s="120"/>
      <c r="W2" s="123"/>
      <c r="X2" s="123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7" t="s">
        <v>106</v>
      </c>
      <c r="R1" s="127" t="s">
        <v>107</v>
      </c>
      <c r="S1" s="128" t="s">
        <v>182</v>
      </c>
      <c r="T1" s="125" t="s">
        <v>183</v>
      </c>
      <c r="U1" s="125" t="s">
        <v>63</v>
      </c>
      <c r="V1" s="128" t="s">
        <v>64</v>
      </c>
      <c r="W1" s="128" t="s">
        <v>65</v>
      </c>
      <c r="X1" s="11"/>
      <c r="Y1" s="11"/>
      <c r="Z1" s="11"/>
    </row>
    <row r="2" spans="1:26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4"/>
      <c r="R2" s="124"/>
      <c r="S2" s="123"/>
      <c r="T2" s="122"/>
      <c r="U2" s="122"/>
      <c r="V2" s="123"/>
      <c r="W2" s="123"/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2"/>
  <sheetViews>
    <sheetView rightToLeft="1" workbookViewId="0">
      <selection activeCell="A3" sqref="A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8.125" bestFit="1" customWidth="1"/>
    <col min="4" max="4" width="9.125" bestFit="1" customWidth="1"/>
    <col min="5" max="5" width="10.25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3.5" bestFit="1" customWidth="1"/>
    <col min="13" max="13" width="8.625" bestFit="1" customWidth="1"/>
    <col min="14" max="14" width="13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212</v>
      </c>
      <c r="B2" s="121">
        <v>212</v>
      </c>
      <c r="C2" s="120" t="s">
        <v>1382</v>
      </c>
      <c r="D2" s="121">
        <v>7893853</v>
      </c>
      <c r="E2" s="120" t="s">
        <v>1034</v>
      </c>
      <c r="F2" s="120" t="s">
        <v>203</v>
      </c>
      <c r="G2" s="120" t="s">
        <v>203</v>
      </c>
      <c r="H2" s="120" t="s">
        <v>338</v>
      </c>
      <c r="I2" s="124">
        <v>37668</v>
      </c>
      <c r="J2" s="120" t="s">
        <v>1212</v>
      </c>
      <c r="K2" s="124">
        <v>45747</v>
      </c>
      <c r="L2" s="122">
        <v>3455254.95059</v>
      </c>
      <c r="M2" s="122">
        <v>1</v>
      </c>
      <c r="N2" s="122">
        <v>3455254.95059</v>
      </c>
      <c r="O2" s="122"/>
      <c r="P2" s="120"/>
      <c r="Q2" s="123">
        <v>1</v>
      </c>
      <c r="R2" s="123">
        <v>0.622664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6" t="s">
        <v>150</v>
      </c>
      <c r="D1" s="25" t="s">
        <v>151</v>
      </c>
      <c r="E1" s="25" t="s">
        <v>152</v>
      </c>
      <c r="F1" s="126" t="s">
        <v>153</v>
      </c>
      <c r="G1" s="127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5" t="s">
        <v>61</v>
      </c>
      <c r="P1" s="128" t="s">
        <v>62</v>
      </c>
      <c r="Q1" s="25" t="s">
        <v>159</v>
      </c>
      <c r="R1" s="125" t="s">
        <v>188</v>
      </c>
      <c r="S1" s="125" t="s">
        <v>189</v>
      </c>
      <c r="T1" s="128" t="s">
        <v>190</v>
      </c>
      <c r="U1" s="11"/>
      <c r="V1" s="11"/>
      <c r="W1" s="11"/>
      <c r="X1" s="11"/>
      <c r="Y1" s="11"/>
      <c r="Z1" s="11"/>
    </row>
    <row r="2" spans="1:26" ht="15" customHeight="1">
      <c r="A2" s="121">
        <v>212</v>
      </c>
      <c r="B2" s="121">
        <v>212</v>
      </c>
      <c r="C2" s="121"/>
      <c r="D2" s="120"/>
      <c r="E2" s="120"/>
      <c r="F2" s="121"/>
      <c r="G2" s="124"/>
      <c r="H2" s="120"/>
      <c r="I2" s="120"/>
      <c r="J2" s="120"/>
      <c r="K2" s="120"/>
      <c r="L2" s="120"/>
      <c r="M2" s="120"/>
      <c r="N2" s="120"/>
      <c r="O2" s="122"/>
      <c r="P2" s="123"/>
      <c r="Q2" s="120"/>
      <c r="R2" s="122"/>
      <c r="S2" s="122"/>
      <c r="T2" s="123"/>
    </row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9.5" bestFit="1" customWidth="1"/>
    <col min="14" max="14" width="12.5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6" t="s">
        <v>109</v>
      </c>
      <c r="F1" s="25" t="s">
        <v>110</v>
      </c>
      <c r="G1" s="25" t="s">
        <v>111</v>
      </c>
      <c r="H1" s="126" t="s">
        <v>112</v>
      </c>
      <c r="I1" s="25" t="s">
        <v>113</v>
      </c>
      <c r="J1" s="25" t="s">
        <v>59</v>
      </c>
      <c r="K1" s="127" t="s">
        <v>191</v>
      </c>
      <c r="L1" s="125" t="s">
        <v>192</v>
      </c>
      <c r="M1" s="125" t="s">
        <v>193</v>
      </c>
      <c r="N1" s="125" t="s">
        <v>194</v>
      </c>
      <c r="O1" s="125" t="s">
        <v>195</v>
      </c>
      <c r="P1" s="128" t="s">
        <v>196</v>
      </c>
      <c r="Q1" s="127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212</v>
      </c>
      <c r="B2" s="121">
        <v>212</v>
      </c>
      <c r="C2" s="120"/>
      <c r="D2" s="120"/>
      <c r="E2" s="121"/>
      <c r="F2" s="120"/>
      <c r="G2" s="120"/>
      <c r="H2" s="121"/>
      <c r="I2" s="120"/>
      <c r="J2" s="120"/>
      <c r="K2" s="124"/>
      <c r="L2" s="122"/>
      <c r="M2" s="122"/>
      <c r="N2" s="122"/>
      <c r="O2" s="122"/>
      <c r="P2" s="123"/>
      <c r="Q2" s="124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30" t="s">
        <v>198</v>
      </c>
      <c r="B1" s="30" t="s">
        <v>199</v>
      </c>
      <c r="C1" s="30" t="s">
        <v>200</v>
      </c>
      <c r="D1" s="30"/>
      <c r="E1" s="30" t="s">
        <v>201</v>
      </c>
      <c r="F1" s="11"/>
      <c r="G1" s="11"/>
      <c r="H1" s="11"/>
      <c r="I1" s="1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14.25" customHeight="1">
      <c r="A2" s="32"/>
      <c r="B2" s="33" t="s">
        <v>202</v>
      </c>
      <c r="C2" s="34" t="s">
        <v>203</v>
      </c>
      <c r="D2" s="35"/>
      <c r="E2" s="3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6"/>
      <c r="B3" s="36"/>
      <c r="C3" s="34" t="s">
        <v>204</v>
      </c>
      <c r="D3" s="35"/>
      <c r="E3" s="3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7"/>
      <c r="B4" s="38" t="s">
        <v>205</v>
      </c>
      <c r="C4" s="39" t="s">
        <v>203</v>
      </c>
      <c r="D4" s="40"/>
      <c r="E4" s="4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41"/>
      <c r="B5" s="42"/>
      <c r="C5" s="39" t="s">
        <v>206</v>
      </c>
      <c r="D5" s="40"/>
      <c r="E5" s="4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41"/>
      <c r="B6" s="42"/>
      <c r="C6" s="39" t="s">
        <v>207</v>
      </c>
      <c r="D6" s="40"/>
      <c r="E6" s="4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41"/>
      <c r="B7" s="42"/>
      <c r="C7" s="39" t="s">
        <v>208</v>
      </c>
      <c r="D7" s="40"/>
      <c r="E7" s="4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41"/>
      <c r="B8" s="42"/>
      <c r="C8" s="39" t="s">
        <v>209</v>
      </c>
      <c r="D8" s="40"/>
      <c r="E8" s="4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41"/>
      <c r="B9" s="42"/>
      <c r="C9" s="39" t="s">
        <v>210</v>
      </c>
      <c r="D9" s="40"/>
      <c r="E9" s="4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41"/>
      <c r="B10" s="42"/>
      <c r="C10" s="39" t="s">
        <v>211</v>
      </c>
      <c r="D10" s="40"/>
      <c r="E10" s="4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41"/>
      <c r="B11" s="42"/>
      <c r="C11" s="39" t="s">
        <v>212</v>
      </c>
      <c r="D11" s="40"/>
      <c r="E11" s="40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41"/>
      <c r="B12" s="42"/>
      <c r="C12" s="39" t="s">
        <v>214</v>
      </c>
      <c r="D12" s="40"/>
      <c r="E12" s="40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41"/>
      <c r="B13" s="42"/>
      <c r="C13" s="39" t="s">
        <v>215</v>
      </c>
      <c r="D13" s="40"/>
      <c r="E13" s="4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41"/>
      <c r="B14" s="42"/>
      <c r="C14" s="39" t="s">
        <v>216</v>
      </c>
      <c r="D14" s="40"/>
      <c r="E14" s="4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41"/>
      <c r="B15" s="42"/>
      <c r="C15" s="39" t="s">
        <v>217</v>
      </c>
      <c r="D15" s="40"/>
      <c r="E15" s="4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41"/>
      <c r="B16" s="42"/>
      <c r="C16" s="39" t="s">
        <v>218</v>
      </c>
      <c r="D16" s="40"/>
      <c r="E16" s="4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41"/>
      <c r="B17" s="42"/>
      <c r="C17" s="39" t="s">
        <v>219</v>
      </c>
      <c r="D17" s="40"/>
      <c r="E17" s="4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41"/>
      <c r="B18" s="42"/>
      <c r="C18" s="39" t="s">
        <v>220</v>
      </c>
      <c r="D18" s="40"/>
      <c r="E18" s="4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41"/>
      <c r="B19" s="42"/>
      <c r="C19" s="39" t="s">
        <v>221</v>
      </c>
      <c r="D19" s="40"/>
      <c r="E19" s="4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41"/>
      <c r="B20" s="42"/>
      <c r="C20" s="39" t="s">
        <v>222</v>
      </c>
      <c r="D20" s="40"/>
      <c r="E20" s="4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41"/>
      <c r="B21" s="42"/>
      <c r="C21" s="39" t="s">
        <v>223</v>
      </c>
      <c r="D21" s="40"/>
      <c r="E21" s="4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41"/>
      <c r="B22" s="42"/>
      <c r="C22" s="39" t="s">
        <v>224</v>
      </c>
      <c r="D22" s="40"/>
      <c r="E22" s="4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41"/>
      <c r="B23" s="42"/>
      <c r="C23" s="39" t="s">
        <v>225</v>
      </c>
      <c r="D23" s="40"/>
      <c r="E23" s="4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41"/>
      <c r="B24" s="42"/>
      <c r="C24" s="39" t="s">
        <v>226</v>
      </c>
      <c r="D24" s="40"/>
      <c r="E24" s="4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41"/>
      <c r="B25" s="42"/>
      <c r="C25" s="39" t="s">
        <v>227</v>
      </c>
      <c r="D25" s="40"/>
      <c r="E25" s="4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41"/>
      <c r="B26" s="42"/>
      <c r="C26" s="39" t="s">
        <v>228</v>
      </c>
      <c r="D26" s="40"/>
      <c r="E26" s="4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41"/>
      <c r="B27" s="42"/>
      <c r="C27" s="39" t="s">
        <v>229</v>
      </c>
      <c r="D27" s="40"/>
      <c r="E27" s="4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41"/>
      <c r="B28" s="42"/>
      <c r="C28" s="39" t="s">
        <v>230</v>
      </c>
      <c r="D28" s="40"/>
      <c r="E28" s="4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41"/>
      <c r="B29" s="42"/>
      <c r="C29" s="39" t="s">
        <v>231</v>
      </c>
      <c r="D29" s="40"/>
      <c r="E29" s="4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41"/>
      <c r="B30" s="42"/>
      <c r="C30" s="39" t="s">
        <v>232</v>
      </c>
      <c r="D30" s="40"/>
      <c r="E30" s="4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41"/>
      <c r="B31" s="42"/>
      <c r="C31" s="39" t="s">
        <v>233</v>
      </c>
      <c r="D31" s="40"/>
      <c r="E31" s="4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41"/>
      <c r="B32" s="42"/>
      <c r="C32" s="39" t="s">
        <v>234</v>
      </c>
      <c r="D32" s="40"/>
      <c r="E32" s="4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41"/>
      <c r="B33" s="42"/>
      <c r="C33" s="39" t="s">
        <v>235</v>
      </c>
      <c r="D33" s="40"/>
      <c r="E33" s="4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41"/>
      <c r="B34" s="42"/>
      <c r="C34" s="39" t="s">
        <v>236</v>
      </c>
      <c r="D34" s="40"/>
      <c r="E34" s="4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41"/>
      <c r="B35" s="42"/>
      <c r="C35" s="39" t="s">
        <v>237</v>
      </c>
      <c r="D35" s="40"/>
      <c r="E35" s="4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41"/>
      <c r="B36" s="42"/>
      <c r="C36" s="39" t="s">
        <v>238</v>
      </c>
      <c r="D36" s="40"/>
      <c r="E36" s="40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41"/>
      <c r="B37" s="42"/>
      <c r="C37" s="14" t="s">
        <v>239</v>
      </c>
      <c r="D37" s="9"/>
      <c r="E37" s="40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41"/>
      <c r="B38" s="42"/>
      <c r="C38" s="39" t="s">
        <v>240</v>
      </c>
      <c r="D38" s="40"/>
      <c r="E38" s="4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41"/>
      <c r="B39" s="42"/>
      <c r="C39" s="39" t="s">
        <v>241</v>
      </c>
      <c r="D39" s="40"/>
      <c r="E39" s="4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41"/>
      <c r="B40" s="42"/>
      <c r="C40" s="39" t="s">
        <v>242</v>
      </c>
      <c r="D40" s="40"/>
      <c r="E40" s="40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41"/>
      <c r="B41" s="42"/>
      <c r="C41" s="39" t="s">
        <v>243</v>
      </c>
      <c r="D41" s="40"/>
      <c r="E41" s="4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41"/>
      <c r="B42" s="42"/>
      <c r="C42" s="39" t="s">
        <v>244</v>
      </c>
      <c r="D42" s="40"/>
      <c r="E42" s="4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41"/>
      <c r="B43" s="42"/>
      <c r="C43" s="39" t="s">
        <v>245</v>
      </c>
      <c r="D43" s="40"/>
      <c r="E43" s="4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41"/>
      <c r="B44" s="42"/>
      <c r="C44" s="39" t="s">
        <v>246</v>
      </c>
      <c r="D44" s="40"/>
      <c r="E44" s="4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41"/>
      <c r="B45" s="42"/>
      <c r="C45" s="39" t="s">
        <v>247</v>
      </c>
      <c r="D45" s="40"/>
      <c r="E45" s="4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41"/>
      <c r="B46" s="42"/>
      <c r="C46" s="39" t="s">
        <v>248</v>
      </c>
      <c r="D46" s="40"/>
      <c r="E46" s="40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41"/>
      <c r="B47" s="42"/>
      <c r="C47" s="39" t="s">
        <v>249</v>
      </c>
      <c r="D47" s="40"/>
      <c r="E47" s="4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41"/>
      <c r="B48" s="42"/>
      <c r="C48" s="39" t="s">
        <v>250</v>
      </c>
      <c r="D48" s="40"/>
      <c r="E48" s="4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41"/>
      <c r="B49" s="42"/>
      <c r="C49" s="39" t="s">
        <v>251</v>
      </c>
      <c r="D49" s="40"/>
      <c r="E49" s="4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41"/>
      <c r="B50" s="42"/>
      <c r="C50" s="39" t="s">
        <v>252</v>
      </c>
      <c r="D50" s="40"/>
      <c r="E50" s="4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41"/>
      <c r="B51" s="42"/>
      <c r="C51" s="39" t="s">
        <v>253</v>
      </c>
      <c r="D51" s="40"/>
      <c r="E51" s="4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41"/>
      <c r="B52" s="42"/>
      <c r="C52" s="39" t="s">
        <v>254</v>
      </c>
      <c r="D52" s="40"/>
      <c r="E52" s="4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41"/>
      <c r="B53" s="42"/>
      <c r="C53" s="39" t="s">
        <v>255</v>
      </c>
      <c r="D53" s="40"/>
      <c r="E53" s="4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41"/>
      <c r="B54" s="42"/>
      <c r="C54" s="39" t="s">
        <v>256</v>
      </c>
      <c r="D54" s="40"/>
      <c r="E54" s="4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41"/>
      <c r="B55" s="42"/>
      <c r="C55" s="39" t="s">
        <v>257</v>
      </c>
      <c r="D55" s="40"/>
      <c r="E55" s="4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41"/>
      <c r="B56" s="42"/>
      <c r="C56" s="39" t="s">
        <v>258</v>
      </c>
      <c r="D56" s="40"/>
      <c r="E56" s="4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41"/>
      <c r="B57" s="42"/>
      <c r="C57" s="39" t="s">
        <v>259</v>
      </c>
      <c r="D57" s="40"/>
      <c r="E57" s="4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41"/>
      <c r="B58" s="42"/>
      <c r="C58" s="39" t="s">
        <v>260</v>
      </c>
      <c r="D58" s="40"/>
      <c r="E58" s="4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41"/>
      <c r="B59" s="42"/>
      <c r="C59" s="39" t="s">
        <v>261</v>
      </c>
      <c r="D59" s="40"/>
      <c r="E59" s="4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41"/>
      <c r="B60" s="42"/>
      <c r="C60" s="39" t="s">
        <v>262</v>
      </c>
      <c r="D60" s="40"/>
      <c r="E60" s="4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41"/>
      <c r="B61" s="42"/>
      <c r="C61" s="39" t="s">
        <v>263</v>
      </c>
      <c r="D61" s="40"/>
      <c r="E61" s="4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41"/>
      <c r="B62" s="42"/>
      <c r="C62" s="39" t="s">
        <v>264</v>
      </c>
      <c r="D62" s="40"/>
      <c r="E62" s="4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41"/>
      <c r="B63" s="42"/>
      <c r="C63" s="39" t="s">
        <v>265</v>
      </c>
      <c r="D63" s="40"/>
      <c r="E63" s="40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41"/>
      <c r="B64" s="42"/>
      <c r="C64" s="39" t="s">
        <v>266</v>
      </c>
      <c r="D64" s="40"/>
      <c r="E64" s="4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41"/>
      <c r="B65" s="42"/>
      <c r="C65" s="39" t="s">
        <v>267</v>
      </c>
      <c r="D65" s="40"/>
      <c r="E65" s="4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41"/>
      <c r="B66" s="42"/>
      <c r="C66" s="39" t="s">
        <v>268</v>
      </c>
      <c r="D66" s="40"/>
      <c r="E66" s="4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41"/>
      <c r="B67" s="42"/>
      <c r="C67" s="39" t="s">
        <v>269</v>
      </c>
      <c r="D67" s="40"/>
      <c r="E67" s="4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41"/>
      <c r="B68" s="42"/>
      <c r="C68" s="39" t="s">
        <v>270</v>
      </c>
      <c r="D68" s="40"/>
      <c r="E68" s="4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41"/>
      <c r="B69" s="42"/>
      <c r="C69" s="39" t="s">
        <v>271</v>
      </c>
      <c r="D69" s="40"/>
      <c r="E69" s="4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41"/>
      <c r="B70" s="42"/>
      <c r="C70" s="39" t="s">
        <v>272</v>
      </c>
      <c r="D70" s="40"/>
      <c r="E70" s="4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41"/>
      <c r="B71" s="42"/>
      <c r="C71" s="39" t="s">
        <v>273</v>
      </c>
      <c r="D71" s="40"/>
      <c r="E71" s="4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41"/>
      <c r="B72" s="42"/>
      <c r="C72" s="39" t="s">
        <v>274</v>
      </c>
      <c r="D72" s="40"/>
      <c r="E72" s="4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41"/>
      <c r="B73" s="42"/>
      <c r="C73" s="39" t="s">
        <v>275</v>
      </c>
      <c r="D73" s="40"/>
      <c r="E73" s="4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41"/>
      <c r="B74" s="42"/>
      <c r="C74" s="39" t="s">
        <v>276</v>
      </c>
      <c r="D74" s="40"/>
      <c r="E74" s="4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41"/>
      <c r="B75" s="42"/>
      <c r="C75" s="39" t="s">
        <v>277</v>
      </c>
      <c r="D75" s="40"/>
      <c r="E75" s="4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41"/>
      <c r="B76" s="42"/>
      <c r="C76" s="39" t="s">
        <v>278</v>
      </c>
      <c r="D76" s="40"/>
      <c r="E76" s="40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41"/>
      <c r="B77" s="42"/>
      <c r="C77" s="39" t="s">
        <v>279</v>
      </c>
      <c r="D77" s="40"/>
      <c r="E77" s="40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41"/>
      <c r="B78" s="42"/>
      <c r="C78" s="39" t="s">
        <v>280</v>
      </c>
      <c r="D78" s="40"/>
      <c r="E78" s="40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41"/>
      <c r="B79" s="42"/>
      <c r="C79" s="39" t="s">
        <v>281</v>
      </c>
      <c r="D79" s="40"/>
      <c r="E79" s="40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41"/>
      <c r="B80" s="42"/>
      <c r="C80" s="39" t="s">
        <v>282</v>
      </c>
      <c r="D80" s="40"/>
      <c r="E80" s="40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41"/>
      <c r="B81" s="42"/>
      <c r="C81" s="39" t="s">
        <v>283</v>
      </c>
      <c r="D81" s="40"/>
      <c r="E81" s="40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41"/>
      <c r="B82" s="42"/>
      <c r="C82" s="39" t="s">
        <v>284</v>
      </c>
      <c r="D82" s="40"/>
      <c r="E82" s="40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41"/>
      <c r="B83" s="42"/>
      <c r="C83" s="39" t="s">
        <v>285</v>
      </c>
      <c r="D83" s="40"/>
      <c r="E83" s="4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41"/>
      <c r="B84" s="42"/>
      <c r="C84" s="39" t="s">
        <v>286</v>
      </c>
      <c r="D84" s="40"/>
      <c r="E84" s="40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41"/>
      <c r="B85" s="42"/>
      <c r="C85" s="39" t="s">
        <v>287</v>
      </c>
      <c r="D85" s="40"/>
      <c r="E85" s="4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41"/>
      <c r="B86" s="42"/>
      <c r="C86" s="39" t="s">
        <v>288</v>
      </c>
      <c r="D86" s="40"/>
      <c r="E86" s="40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41"/>
      <c r="B87" s="42"/>
      <c r="C87" s="39" t="s">
        <v>289</v>
      </c>
      <c r="D87" s="40"/>
      <c r="E87" s="40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41"/>
      <c r="B88" s="42"/>
      <c r="C88" s="39" t="s">
        <v>290</v>
      </c>
      <c r="D88" s="40"/>
      <c r="E88" s="40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41"/>
      <c r="B89" s="42"/>
      <c r="C89" s="39" t="s">
        <v>291</v>
      </c>
      <c r="D89" s="40"/>
      <c r="E89" s="40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41"/>
      <c r="B90" s="42"/>
      <c r="C90" s="39" t="s">
        <v>292</v>
      </c>
      <c r="D90" s="40"/>
      <c r="E90" s="40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41"/>
      <c r="B91" s="42"/>
      <c r="C91" s="39" t="s">
        <v>293</v>
      </c>
      <c r="D91" s="40"/>
      <c r="E91" s="40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41"/>
      <c r="B92" s="42"/>
      <c r="C92" s="39" t="s">
        <v>294</v>
      </c>
      <c r="D92" s="40"/>
      <c r="E92" s="40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41"/>
      <c r="B93" s="42"/>
      <c r="C93" s="39" t="s">
        <v>295</v>
      </c>
      <c r="D93" s="40"/>
      <c r="E93" s="40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41"/>
      <c r="B94" s="42"/>
      <c r="C94" s="40" t="s">
        <v>296</v>
      </c>
      <c r="D94" s="39"/>
      <c r="E94" s="39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41"/>
      <c r="B95" s="42"/>
      <c r="C95" s="40" t="s">
        <v>298</v>
      </c>
      <c r="D95" s="39"/>
      <c r="E95" s="39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41"/>
      <c r="B96" s="42"/>
      <c r="C96" s="40" t="s">
        <v>300</v>
      </c>
      <c r="D96" s="39"/>
      <c r="E96" s="39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41"/>
      <c r="B97" s="42"/>
      <c r="C97" s="40" t="s">
        <v>301</v>
      </c>
      <c r="D97" s="39"/>
      <c r="E97" s="39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41"/>
      <c r="B98" s="42"/>
      <c r="C98" s="40" t="s">
        <v>302</v>
      </c>
      <c r="D98" s="39"/>
      <c r="E98" s="39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41"/>
      <c r="B99" s="42"/>
      <c r="C99" s="40" t="s">
        <v>303</v>
      </c>
      <c r="D99" s="39"/>
      <c r="E99" s="39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41"/>
      <c r="B100" s="42"/>
      <c r="C100" s="40" t="s">
        <v>304</v>
      </c>
      <c r="D100" s="39"/>
      <c r="E100" s="39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41"/>
      <c r="B101" s="42"/>
      <c r="C101" s="40" t="s">
        <v>305</v>
      </c>
      <c r="D101" s="39"/>
      <c r="E101" s="39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41"/>
      <c r="B102" s="42"/>
      <c r="C102" s="40" t="s">
        <v>306</v>
      </c>
      <c r="D102" s="39"/>
      <c r="E102" s="39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41"/>
      <c r="B103" s="42"/>
      <c r="C103" s="40" t="s">
        <v>307</v>
      </c>
      <c r="D103" s="39"/>
      <c r="E103" s="39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3"/>
      <c r="B104" s="44" t="s">
        <v>81</v>
      </c>
      <c r="C104" s="34" t="s">
        <v>308</v>
      </c>
      <c r="D104" s="35"/>
      <c r="E104" s="35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5"/>
      <c r="B105" s="45"/>
      <c r="C105" s="34" t="s">
        <v>80</v>
      </c>
      <c r="D105" s="35"/>
      <c r="E105" s="35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5"/>
      <c r="B106" s="45"/>
      <c r="C106" s="34" t="s">
        <v>309</v>
      </c>
      <c r="D106" s="35"/>
      <c r="E106" s="35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5"/>
      <c r="B107" s="45"/>
      <c r="C107" s="34" t="s">
        <v>310</v>
      </c>
      <c r="D107" s="35"/>
      <c r="E107" s="35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5"/>
      <c r="B108" s="45"/>
      <c r="C108" s="34" t="s">
        <v>311</v>
      </c>
      <c r="D108" s="35"/>
      <c r="E108" s="35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5"/>
      <c r="B109" s="45"/>
      <c r="C109" s="35" t="s">
        <v>312</v>
      </c>
      <c r="D109" s="35"/>
      <c r="E109" s="35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6"/>
      <c r="B110" s="46"/>
      <c r="C110" s="34" t="s">
        <v>313</v>
      </c>
      <c r="D110" s="35"/>
      <c r="E110" s="35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41"/>
      <c r="B111" s="47" t="s">
        <v>53</v>
      </c>
      <c r="C111" s="39" t="s">
        <v>308</v>
      </c>
      <c r="D111" s="40"/>
      <c r="E111" s="40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41"/>
      <c r="B112" s="48"/>
      <c r="C112" s="39" t="s">
        <v>314</v>
      </c>
      <c r="D112" s="40"/>
      <c r="E112" s="40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41"/>
      <c r="B113" s="49"/>
      <c r="C113" s="40" t="s">
        <v>315</v>
      </c>
      <c r="D113" s="40"/>
      <c r="E113" s="40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50"/>
      <c r="B114" s="51" t="s">
        <v>316</v>
      </c>
      <c r="C114" s="34" t="s">
        <v>308</v>
      </c>
      <c r="D114" s="35"/>
      <c r="E114" s="35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50"/>
      <c r="B115" s="50"/>
      <c r="C115" s="34" t="s">
        <v>309</v>
      </c>
      <c r="D115" s="35"/>
      <c r="E115" s="35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50"/>
      <c r="B116" s="50"/>
      <c r="C116" s="34" t="s">
        <v>310</v>
      </c>
      <c r="D116" s="35"/>
      <c r="E116" s="35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50"/>
      <c r="B117" s="50"/>
      <c r="C117" s="35" t="s">
        <v>312</v>
      </c>
      <c r="D117" s="35"/>
      <c r="E117" s="35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7"/>
      <c r="B118" s="47" t="s">
        <v>151</v>
      </c>
      <c r="C118" s="39" t="s">
        <v>308</v>
      </c>
      <c r="D118" s="40"/>
      <c r="E118" s="40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2"/>
      <c r="C119" s="39" t="s">
        <v>317</v>
      </c>
      <c r="D119" s="40"/>
      <c r="E119" s="40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2"/>
      <c r="C120" s="39" t="s">
        <v>310</v>
      </c>
      <c r="D120" s="40"/>
      <c r="E120" s="4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2"/>
      <c r="C121" s="39" t="s">
        <v>311</v>
      </c>
      <c r="D121" s="40"/>
      <c r="E121" s="40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2"/>
      <c r="C122" s="39" t="s">
        <v>309</v>
      </c>
      <c r="D122" s="40"/>
      <c r="E122" s="40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2"/>
      <c r="C123" s="39" t="s">
        <v>318</v>
      </c>
      <c r="D123" s="40"/>
      <c r="E123" s="40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2"/>
      <c r="C124" s="39" t="s">
        <v>319</v>
      </c>
      <c r="D124" s="40"/>
      <c r="E124" s="40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2"/>
      <c r="C125" s="40" t="s">
        <v>312</v>
      </c>
      <c r="D125" s="40"/>
      <c r="E125" s="4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41"/>
      <c r="B126" s="49"/>
      <c r="C126" s="39" t="s">
        <v>313</v>
      </c>
      <c r="D126" s="40"/>
      <c r="E126" s="4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3"/>
      <c r="B127" s="44" t="s">
        <v>82</v>
      </c>
      <c r="C127" s="35" t="s">
        <v>320</v>
      </c>
      <c r="D127" s="35"/>
      <c r="E127" s="35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5"/>
      <c r="B128" s="45"/>
      <c r="C128" s="35" t="s">
        <v>321</v>
      </c>
      <c r="D128" s="35"/>
      <c r="E128" s="35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5"/>
      <c r="B129" s="45"/>
      <c r="C129" s="35" t="s">
        <v>322</v>
      </c>
      <c r="D129" s="35"/>
      <c r="E129" s="35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5"/>
      <c r="B130" s="45"/>
      <c r="C130" s="34" t="s">
        <v>136</v>
      </c>
      <c r="D130" s="35"/>
      <c r="E130" s="35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5"/>
      <c r="B131" s="45"/>
      <c r="C131" s="34" t="s">
        <v>311</v>
      </c>
      <c r="D131" s="35"/>
      <c r="E131" s="35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41"/>
      <c r="B132" s="53" t="s">
        <v>323</v>
      </c>
      <c r="C132" s="40" t="s">
        <v>320</v>
      </c>
      <c r="D132" s="40"/>
      <c r="E132" s="40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41"/>
      <c r="B133" s="48"/>
      <c r="C133" s="39" t="s">
        <v>311</v>
      </c>
      <c r="D133" s="40"/>
      <c r="E133" s="40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4"/>
      <c r="B134" s="49"/>
      <c r="C134" s="39" t="s">
        <v>313</v>
      </c>
      <c r="D134" s="40"/>
      <c r="E134" s="40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5"/>
      <c r="B135" s="56" t="s">
        <v>89</v>
      </c>
      <c r="C135" s="34" t="s">
        <v>324</v>
      </c>
      <c r="D135" s="35"/>
      <c r="E135" s="35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50"/>
      <c r="B136" s="50"/>
      <c r="C136" s="34" t="s">
        <v>325</v>
      </c>
      <c r="D136" s="35"/>
      <c r="E136" s="35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50"/>
      <c r="B137" s="50"/>
      <c r="C137" s="34" t="s">
        <v>326</v>
      </c>
      <c r="D137" s="34"/>
      <c r="E137" s="34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50"/>
      <c r="B138" s="50"/>
      <c r="C138" s="34" t="s">
        <v>328</v>
      </c>
      <c r="D138" s="34"/>
      <c r="E138" s="34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50"/>
      <c r="B139" s="50"/>
      <c r="C139" s="34" t="s">
        <v>330</v>
      </c>
      <c r="D139" s="35"/>
      <c r="E139" s="35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50"/>
      <c r="B140" s="50"/>
      <c r="C140" s="34" t="s">
        <v>331</v>
      </c>
      <c r="D140" s="35"/>
      <c r="E140" s="35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50"/>
      <c r="B141" s="50"/>
      <c r="C141" s="34" t="s">
        <v>332</v>
      </c>
      <c r="D141" s="35"/>
      <c r="E141" s="35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50"/>
      <c r="B142" s="50"/>
      <c r="C142" s="34" t="s">
        <v>333</v>
      </c>
      <c r="D142" s="35"/>
      <c r="E142" s="35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50"/>
      <c r="B143" s="50"/>
      <c r="C143" s="34" t="s">
        <v>334</v>
      </c>
      <c r="D143" s="35"/>
      <c r="E143" s="35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50"/>
      <c r="B144" s="50"/>
      <c r="C144" s="34" t="s">
        <v>335</v>
      </c>
      <c r="D144" s="35"/>
      <c r="E144" s="35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50"/>
      <c r="B145" s="50"/>
      <c r="C145" s="34" t="s">
        <v>313</v>
      </c>
      <c r="D145" s="35"/>
      <c r="E145" s="35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7"/>
      <c r="B146" s="57" t="s">
        <v>336</v>
      </c>
      <c r="C146" s="39" t="s">
        <v>337</v>
      </c>
      <c r="D146" s="40"/>
      <c r="E146" s="40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4"/>
      <c r="B147" s="58"/>
      <c r="C147" s="39" t="s">
        <v>338</v>
      </c>
      <c r="D147" s="40"/>
      <c r="E147" s="40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9"/>
      <c r="B148" s="60" t="s">
        <v>70</v>
      </c>
      <c r="C148" s="35" t="s">
        <v>339</v>
      </c>
      <c r="D148" s="35"/>
      <c r="E148" s="35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61"/>
      <c r="B149" s="61"/>
      <c r="C149" s="35" t="s">
        <v>341</v>
      </c>
      <c r="D149" s="34"/>
      <c r="E149" s="34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61"/>
      <c r="B150" s="61"/>
      <c r="C150" s="35" t="s">
        <v>343</v>
      </c>
      <c r="D150" s="35"/>
      <c r="E150" s="35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61"/>
      <c r="B151" s="61"/>
      <c r="C151" s="35" t="s">
        <v>345</v>
      </c>
      <c r="D151" s="35"/>
      <c r="E151" s="35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61"/>
      <c r="B152" s="61"/>
      <c r="C152" s="35" t="s">
        <v>347</v>
      </c>
      <c r="D152" s="35"/>
      <c r="E152" s="35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61"/>
      <c r="B153" s="61"/>
      <c r="C153" s="35" t="s">
        <v>349</v>
      </c>
      <c r="D153" s="35"/>
      <c r="E153" s="35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61"/>
      <c r="B154" s="61"/>
      <c r="C154" s="35" t="s">
        <v>351</v>
      </c>
      <c r="D154" s="35"/>
      <c r="E154" s="35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61"/>
      <c r="B155" s="61"/>
      <c r="C155" s="35" t="s">
        <v>353</v>
      </c>
      <c r="D155" s="35"/>
      <c r="E155" s="35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61"/>
      <c r="B156" s="61"/>
      <c r="C156" s="35" t="s">
        <v>355</v>
      </c>
      <c r="D156" s="35"/>
      <c r="E156" s="35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61"/>
      <c r="B157" s="61"/>
      <c r="C157" s="35" t="s">
        <v>357</v>
      </c>
      <c r="D157" s="35"/>
      <c r="E157" s="35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61"/>
      <c r="B158" s="61"/>
      <c r="C158" s="35" t="s">
        <v>359</v>
      </c>
      <c r="D158" s="35"/>
      <c r="E158" s="35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61"/>
      <c r="B159" s="61"/>
      <c r="C159" s="35" t="s">
        <v>361</v>
      </c>
      <c r="D159" s="35"/>
      <c r="E159" s="35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61"/>
      <c r="B160" s="61"/>
      <c r="C160" s="35" t="s">
        <v>363</v>
      </c>
      <c r="D160" s="35"/>
      <c r="E160" s="35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61"/>
      <c r="B161" s="61"/>
      <c r="C161" s="35" t="s">
        <v>365</v>
      </c>
      <c r="D161" s="35"/>
      <c r="E161" s="35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61"/>
      <c r="B162" s="61"/>
      <c r="C162" s="35" t="s">
        <v>367</v>
      </c>
      <c r="D162" s="35"/>
      <c r="E162" s="35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61"/>
      <c r="B163" s="61"/>
      <c r="C163" s="35" t="s">
        <v>369</v>
      </c>
      <c r="D163" s="35"/>
      <c r="E163" s="35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61"/>
      <c r="B164" s="61"/>
      <c r="C164" s="35" t="s">
        <v>371</v>
      </c>
      <c r="D164" s="35"/>
      <c r="E164" s="35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61"/>
      <c r="B165" s="61"/>
      <c r="C165" s="35" t="s">
        <v>373</v>
      </c>
      <c r="D165" s="35"/>
      <c r="E165" s="35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61"/>
      <c r="B166" s="61"/>
      <c r="C166" s="35" t="s">
        <v>375</v>
      </c>
      <c r="D166" s="35"/>
      <c r="E166" s="35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61"/>
      <c r="B167" s="61"/>
      <c r="C167" s="35" t="s">
        <v>377</v>
      </c>
      <c r="D167" s="35"/>
      <c r="E167" s="35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61"/>
      <c r="B168" s="61"/>
      <c r="C168" s="35" t="s">
        <v>379</v>
      </c>
      <c r="D168" s="35"/>
      <c r="E168" s="35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61"/>
      <c r="B169" s="61"/>
      <c r="C169" s="35" t="s">
        <v>381</v>
      </c>
      <c r="D169" s="35"/>
      <c r="E169" s="35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61"/>
      <c r="B170" s="61"/>
      <c r="C170" s="35" t="s">
        <v>383</v>
      </c>
      <c r="D170" s="35"/>
      <c r="E170" s="35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61"/>
      <c r="B171" s="61"/>
      <c r="C171" s="35" t="s">
        <v>385</v>
      </c>
      <c r="D171" s="35"/>
      <c r="E171" s="35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61"/>
      <c r="B172" s="61"/>
      <c r="C172" s="35" t="s">
        <v>387</v>
      </c>
      <c r="D172" s="35"/>
      <c r="E172" s="35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61"/>
      <c r="B173" s="61"/>
      <c r="C173" s="35" t="s">
        <v>389</v>
      </c>
      <c r="D173" s="35"/>
      <c r="E173" s="35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61"/>
      <c r="B174" s="61"/>
      <c r="C174" s="35" t="s">
        <v>391</v>
      </c>
      <c r="D174" s="35"/>
      <c r="E174" s="35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61"/>
      <c r="B175" s="61"/>
      <c r="C175" s="35" t="s">
        <v>393</v>
      </c>
      <c r="D175" s="35"/>
      <c r="E175" s="35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61"/>
      <c r="B176" s="61"/>
      <c r="C176" s="35" t="s">
        <v>395</v>
      </c>
      <c r="D176" s="35"/>
      <c r="E176" s="35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61"/>
      <c r="B177" s="61"/>
      <c r="C177" s="35" t="s">
        <v>397</v>
      </c>
      <c r="D177" s="35"/>
      <c r="E177" s="35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61"/>
      <c r="B178" s="61"/>
      <c r="C178" s="35" t="s">
        <v>399</v>
      </c>
      <c r="D178" s="35"/>
      <c r="E178" s="35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61"/>
      <c r="B179" s="61"/>
      <c r="C179" s="35" t="s">
        <v>401</v>
      </c>
      <c r="D179" s="35"/>
      <c r="E179" s="35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61"/>
      <c r="B180" s="61"/>
      <c r="C180" s="35" t="s">
        <v>403</v>
      </c>
      <c r="D180" s="34"/>
      <c r="E180" s="34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61"/>
      <c r="B181" s="61"/>
      <c r="C181" s="34" t="s">
        <v>313</v>
      </c>
      <c r="D181" s="34"/>
      <c r="E181" s="34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7"/>
      <c r="B182" s="57" t="s">
        <v>405</v>
      </c>
      <c r="C182" s="62" t="s">
        <v>406</v>
      </c>
      <c r="D182" s="63"/>
      <c r="E182" s="63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41"/>
      <c r="B183" s="64"/>
      <c r="C183" s="62" t="s">
        <v>407</v>
      </c>
      <c r="D183" s="63"/>
      <c r="E183" s="63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41"/>
      <c r="B184" s="64"/>
      <c r="C184" s="62" t="s">
        <v>408</v>
      </c>
      <c r="D184" s="63"/>
      <c r="E184" s="63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4"/>
      <c r="B185" s="58"/>
      <c r="C185" s="40" t="s">
        <v>409</v>
      </c>
      <c r="D185" s="40"/>
      <c r="E185" s="40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3"/>
      <c r="B186" s="44" t="s">
        <v>86</v>
      </c>
      <c r="C186" s="34" t="s">
        <v>410</v>
      </c>
      <c r="D186" s="35"/>
      <c r="E186" s="35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5"/>
      <c r="B187" s="45"/>
      <c r="C187" s="34" t="s">
        <v>411</v>
      </c>
      <c r="D187" s="35"/>
      <c r="E187" s="35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7"/>
      <c r="B188" s="57" t="s">
        <v>58</v>
      </c>
      <c r="C188" s="39" t="s">
        <v>412</v>
      </c>
      <c r="D188" s="39"/>
      <c r="E188" s="39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41"/>
      <c r="B189" s="64"/>
      <c r="C189" s="39" t="s">
        <v>414</v>
      </c>
      <c r="D189" s="39"/>
      <c r="E189" s="39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41"/>
      <c r="B190" s="64"/>
      <c r="C190" s="39" t="s">
        <v>311</v>
      </c>
      <c r="D190" s="39"/>
      <c r="E190" s="39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41"/>
      <c r="B191" s="64"/>
      <c r="C191" s="40" t="s">
        <v>416</v>
      </c>
      <c r="D191" s="40"/>
      <c r="E191" s="40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41"/>
      <c r="B192" s="64"/>
      <c r="C192" s="40" t="s">
        <v>418</v>
      </c>
      <c r="D192" s="40"/>
      <c r="E192" s="40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41"/>
      <c r="B193" s="64"/>
      <c r="C193" s="40" t="s">
        <v>420</v>
      </c>
      <c r="D193" s="40"/>
      <c r="E193" s="40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41"/>
      <c r="B194" s="64"/>
      <c r="C194" s="40" t="s">
        <v>422</v>
      </c>
      <c r="D194" s="40"/>
      <c r="E194" s="40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41"/>
      <c r="B195" s="64"/>
      <c r="C195" s="40" t="s">
        <v>424</v>
      </c>
      <c r="D195" s="40"/>
      <c r="E195" s="40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41"/>
      <c r="B196" s="64"/>
      <c r="C196" s="40" t="s">
        <v>426</v>
      </c>
      <c r="D196" s="40"/>
      <c r="E196" s="40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41"/>
      <c r="B197" s="64"/>
      <c r="C197" s="40" t="s">
        <v>428</v>
      </c>
      <c r="D197" s="40"/>
      <c r="E197" s="40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41"/>
      <c r="B198" s="64"/>
      <c r="C198" s="40" t="s">
        <v>430</v>
      </c>
      <c r="D198" s="40"/>
      <c r="E198" s="40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41"/>
      <c r="B199" s="64"/>
      <c r="C199" s="40" t="s">
        <v>432</v>
      </c>
      <c r="D199" s="40"/>
      <c r="E199" s="40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41"/>
      <c r="B200" s="64"/>
      <c r="C200" s="39" t="s">
        <v>313</v>
      </c>
      <c r="D200" s="39"/>
      <c r="E200" s="39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4"/>
      <c r="B201" s="58"/>
      <c r="C201" s="40" t="s">
        <v>409</v>
      </c>
      <c r="D201" s="40"/>
      <c r="E201" s="40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5"/>
      <c r="B202" s="60" t="s">
        <v>83</v>
      </c>
      <c r="C202" s="34" t="s">
        <v>435</v>
      </c>
      <c r="D202" s="35"/>
      <c r="E202" s="35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61"/>
      <c r="B203" s="61"/>
      <c r="C203" s="34" t="s">
        <v>436</v>
      </c>
      <c r="D203" s="35"/>
      <c r="E203" s="35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61"/>
      <c r="B204" s="61"/>
      <c r="C204" s="34" t="s">
        <v>437</v>
      </c>
      <c r="D204" s="35"/>
      <c r="E204" s="35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61"/>
      <c r="B205" s="61"/>
      <c r="C205" s="34" t="s">
        <v>438</v>
      </c>
      <c r="D205" s="35"/>
      <c r="E205" s="35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61"/>
      <c r="B206" s="61"/>
      <c r="C206" s="34" t="s">
        <v>439</v>
      </c>
      <c r="D206" s="35"/>
      <c r="E206" s="35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61"/>
      <c r="B207" s="61"/>
      <c r="C207" s="34" t="s">
        <v>440</v>
      </c>
      <c r="D207" s="35"/>
      <c r="E207" s="35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61"/>
      <c r="B208" s="61"/>
      <c r="C208" s="34" t="s">
        <v>441</v>
      </c>
      <c r="D208" s="35"/>
      <c r="E208" s="35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61"/>
      <c r="B209" s="61"/>
      <c r="C209" s="34" t="s">
        <v>442</v>
      </c>
      <c r="D209" s="35"/>
      <c r="E209" s="35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61"/>
      <c r="B210" s="61"/>
      <c r="C210" s="34" t="s">
        <v>443</v>
      </c>
      <c r="D210" s="35"/>
      <c r="E210" s="35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61"/>
      <c r="B211" s="61"/>
      <c r="C211" s="34" t="s">
        <v>444</v>
      </c>
      <c r="D211" s="35"/>
      <c r="E211" s="35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61"/>
      <c r="B212" s="61"/>
      <c r="C212" s="34" t="s">
        <v>445</v>
      </c>
      <c r="D212" s="35"/>
      <c r="E212" s="35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61"/>
      <c r="B213" s="61"/>
      <c r="C213" s="34" t="s">
        <v>446</v>
      </c>
      <c r="D213" s="35"/>
      <c r="E213" s="35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61"/>
      <c r="B214" s="61"/>
      <c r="C214" s="34" t="s">
        <v>447</v>
      </c>
      <c r="D214" s="35"/>
      <c r="E214" s="35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61"/>
      <c r="B215" s="61"/>
      <c r="C215" s="34" t="s">
        <v>448</v>
      </c>
      <c r="D215" s="35"/>
      <c r="E215" s="35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61"/>
      <c r="B216" s="61"/>
      <c r="C216" s="34" t="s">
        <v>449</v>
      </c>
      <c r="D216" s="35"/>
      <c r="E216" s="35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61"/>
      <c r="B217" s="61"/>
      <c r="C217" s="34" t="s">
        <v>450</v>
      </c>
      <c r="D217" s="35"/>
      <c r="E217" s="35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61"/>
      <c r="B218" s="61"/>
      <c r="C218" s="34" t="s">
        <v>451</v>
      </c>
      <c r="D218" s="34"/>
      <c r="E218" s="34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61"/>
      <c r="B219" s="61"/>
      <c r="C219" s="34" t="s">
        <v>453</v>
      </c>
      <c r="D219" s="35"/>
      <c r="E219" s="35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61"/>
      <c r="B220" s="61"/>
      <c r="C220" s="34" t="s">
        <v>454</v>
      </c>
      <c r="D220" s="35"/>
      <c r="E220" s="35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61"/>
      <c r="B221" s="61"/>
      <c r="C221" s="34" t="s">
        <v>455</v>
      </c>
      <c r="D221" s="35"/>
      <c r="E221" s="35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61"/>
      <c r="B222" s="61"/>
      <c r="C222" s="34" t="s">
        <v>456</v>
      </c>
      <c r="D222" s="35"/>
      <c r="E222" s="35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61"/>
      <c r="B223" s="61"/>
      <c r="C223" s="34" t="s">
        <v>457</v>
      </c>
      <c r="D223" s="35"/>
      <c r="E223" s="35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61"/>
      <c r="B224" s="61"/>
      <c r="C224" s="34" t="s">
        <v>458</v>
      </c>
      <c r="D224" s="35"/>
      <c r="E224" s="35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61"/>
      <c r="B225" s="61"/>
      <c r="C225" s="34" t="s">
        <v>459</v>
      </c>
      <c r="D225" s="35"/>
      <c r="E225" s="35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61"/>
      <c r="B226" s="61"/>
      <c r="C226" s="34" t="s">
        <v>460</v>
      </c>
      <c r="D226" s="35"/>
      <c r="E226" s="35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61"/>
      <c r="B227" s="61"/>
      <c r="C227" s="34" t="s">
        <v>461</v>
      </c>
      <c r="D227" s="35"/>
      <c r="E227" s="35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61"/>
      <c r="B228" s="61"/>
      <c r="C228" s="34" t="s">
        <v>462</v>
      </c>
      <c r="D228" s="35"/>
      <c r="E228" s="35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61"/>
      <c r="B229" s="61"/>
      <c r="C229" s="34" t="s">
        <v>463</v>
      </c>
      <c r="D229" s="35"/>
      <c r="E229" s="35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61"/>
      <c r="B230" s="61"/>
      <c r="C230" s="34" t="s">
        <v>464</v>
      </c>
      <c r="D230" s="35"/>
      <c r="E230" s="35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61"/>
      <c r="B231" s="61"/>
      <c r="C231" s="34" t="s">
        <v>465</v>
      </c>
      <c r="D231" s="35"/>
      <c r="E231" s="35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61"/>
      <c r="B232" s="61"/>
      <c r="C232" s="34" t="s">
        <v>466</v>
      </c>
      <c r="D232" s="35"/>
      <c r="E232" s="35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61"/>
      <c r="B233" s="61"/>
      <c r="C233" s="34" t="s">
        <v>467</v>
      </c>
      <c r="D233" s="35"/>
      <c r="E233" s="35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61"/>
      <c r="B234" s="61"/>
      <c r="C234" s="34" t="s">
        <v>468</v>
      </c>
      <c r="D234" s="35"/>
      <c r="E234" s="35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61"/>
      <c r="B235" s="61"/>
      <c r="C235" s="34" t="s">
        <v>469</v>
      </c>
      <c r="D235" s="35"/>
      <c r="E235" s="35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61"/>
      <c r="B236" s="61"/>
      <c r="C236" s="34" t="s">
        <v>470</v>
      </c>
      <c r="D236" s="35"/>
      <c r="E236" s="35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61"/>
      <c r="B237" s="61"/>
      <c r="C237" s="34" t="s">
        <v>471</v>
      </c>
      <c r="D237" s="35"/>
      <c r="E237" s="35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61"/>
      <c r="B238" s="61"/>
      <c r="C238" s="34" t="s">
        <v>24</v>
      </c>
      <c r="D238" s="35"/>
      <c r="E238" s="35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61"/>
      <c r="B239" s="61"/>
      <c r="C239" s="34" t="s">
        <v>472</v>
      </c>
      <c r="D239" s="35"/>
      <c r="E239" s="35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61"/>
      <c r="B240" s="61"/>
      <c r="C240" s="34" t="s">
        <v>473</v>
      </c>
      <c r="D240" s="35"/>
      <c r="E240" s="35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61"/>
      <c r="B241" s="61"/>
      <c r="C241" s="34" t="s">
        <v>474</v>
      </c>
      <c r="D241" s="35"/>
      <c r="E241" s="35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61"/>
      <c r="B242" s="61"/>
      <c r="C242" s="34" t="s">
        <v>475</v>
      </c>
      <c r="D242" s="35"/>
      <c r="E242" s="35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61"/>
      <c r="B243" s="61"/>
      <c r="C243" s="34" t="s">
        <v>476</v>
      </c>
      <c r="D243" s="35"/>
      <c r="E243" s="35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61"/>
      <c r="B244" s="61"/>
      <c r="C244" s="34" t="s">
        <v>477</v>
      </c>
      <c r="D244" s="35"/>
      <c r="E244" s="35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61"/>
      <c r="B245" s="61"/>
      <c r="C245" s="34" t="s">
        <v>478</v>
      </c>
      <c r="D245" s="35"/>
      <c r="E245" s="35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61"/>
      <c r="B246" s="61"/>
      <c r="C246" s="34" t="s">
        <v>479</v>
      </c>
      <c r="D246" s="35"/>
      <c r="E246" s="35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61"/>
      <c r="B247" s="61"/>
      <c r="C247" s="34" t="s">
        <v>480</v>
      </c>
      <c r="D247" s="35"/>
      <c r="E247" s="35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61"/>
      <c r="B248" s="61"/>
      <c r="C248" s="34" t="s">
        <v>481</v>
      </c>
      <c r="D248" s="35"/>
      <c r="E248" s="35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61"/>
      <c r="B249" s="61"/>
      <c r="C249" s="34" t="s">
        <v>482</v>
      </c>
      <c r="D249" s="35"/>
      <c r="E249" s="35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61"/>
      <c r="B250" s="61"/>
      <c r="C250" s="34" t="s">
        <v>483</v>
      </c>
      <c r="D250" s="35"/>
      <c r="E250" s="35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61"/>
      <c r="B251" s="61"/>
      <c r="C251" s="34" t="s">
        <v>484</v>
      </c>
      <c r="D251" s="35"/>
      <c r="E251" s="35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61"/>
      <c r="B252" s="61"/>
      <c r="C252" s="34" t="s">
        <v>313</v>
      </c>
      <c r="D252" s="35"/>
      <c r="E252" s="35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61"/>
      <c r="B253" s="61"/>
      <c r="C253" s="35" t="s">
        <v>485</v>
      </c>
      <c r="D253" s="35"/>
      <c r="E253" s="35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61"/>
      <c r="B254" s="61"/>
      <c r="C254" s="35" t="s">
        <v>486</v>
      </c>
      <c r="D254" s="35"/>
      <c r="E254" s="35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61"/>
      <c r="B255" s="61"/>
      <c r="C255" s="35" t="s">
        <v>487</v>
      </c>
      <c r="D255" s="35"/>
      <c r="E255" s="35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61"/>
      <c r="B256" s="61"/>
      <c r="C256" s="35" t="s">
        <v>488</v>
      </c>
      <c r="D256" s="35"/>
      <c r="E256" s="35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61"/>
      <c r="B257" s="61"/>
      <c r="C257" s="35" t="s">
        <v>489</v>
      </c>
      <c r="D257" s="35"/>
      <c r="E257" s="35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61"/>
      <c r="B258" s="61"/>
      <c r="C258" s="35" t="s">
        <v>490</v>
      </c>
      <c r="D258" s="35"/>
      <c r="E258" s="35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61"/>
      <c r="B259" s="61"/>
      <c r="C259" s="35" t="s">
        <v>491</v>
      </c>
      <c r="D259" s="35"/>
      <c r="E259" s="35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61"/>
      <c r="B260" s="61"/>
      <c r="C260" s="35" t="s">
        <v>492</v>
      </c>
      <c r="D260" s="35"/>
      <c r="E260" s="35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61"/>
      <c r="B261" s="61"/>
      <c r="C261" s="35" t="s">
        <v>493</v>
      </c>
      <c r="D261" s="35"/>
      <c r="E261" s="35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61"/>
      <c r="B262" s="61"/>
      <c r="C262" s="35" t="s">
        <v>494</v>
      </c>
      <c r="D262" s="35"/>
      <c r="E262" s="35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61"/>
      <c r="B263" s="61"/>
      <c r="C263" s="35" t="s">
        <v>495</v>
      </c>
      <c r="D263" s="35"/>
      <c r="E263" s="35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61"/>
      <c r="B264" s="61"/>
      <c r="C264" s="35" t="s">
        <v>496</v>
      </c>
      <c r="D264" s="35"/>
      <c r="E264" s="35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61"/>
      <c r="B265" s="61"/>
      <c r="C265" s="35" t="s">
        <v>497</v>
      </c>
      <c r="D265" s="35"/>
      <c r="E265" s="35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61"/>
      <c r="B266" s="61"/>
      <c r="C266" s="35" t="s">
        <v>498</v>
      </c>
      <c r="D266" s="35"/>
      <c r="E266" s="35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61"/>
      <c r="B267" s="61"/>
      <c r="C267" s="35" t="s">
        <v>499</v>
      </c>
      <c r="D267" s="35"/>
      <c r="E267" s="35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61"/>
      <c r="B268" s="61"/>
      <c r="C268" s="35" t="s">
        <v>500</v>
      </c>
      <c r="D268" s="35"/>
      <c r="E268" s="35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61"/>
      <c r="B269" s="61"/>
      <c r="C269" s="35" t="s">
        <v>501</v>
      </c>
      <c r="D269" s="35"/>
      <c r="E269" s="35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61"/>
      <c r="B270" s="61"/>
      <c r="C270" s="35" t="s">
        <v>502</v>
      </c>
      <c r="D270" s="35"/>
      <c r="E270" s="35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61"/>
      <c r="B271" s="61"/>
      <c r="C271" s="35" t="s">
        <v>504</v>
      </c>
      <c r="D271" s="35"/>
      <c r="E271" s="35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61"/>
      <c r="B272" s="61"/>
      <c r="C272" s="35" t="s">
        <v>506</v>
      </c>
      <c r="D272" s="35"/>
      <c r="E272" s="35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61"/>
      <c r="B273" s="61"/>
      <c r="C273" s="35" t="s">
        <v>508</v>
      </c>
      <c r="D273" s="35"/>
      <c r="E273" s="35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61"/>
      <c r="B274" s="61"/>
      <c r="C274" s="35" t="s">
        <v>509</v>
      </c>
      <c r="D274" s="35"/>
      <c r="E274" s="35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61"/>
      <c r="B275" s="61"/>
      <c r="C275" s="35" t="s">
        <v>511</v>
      </c>
      <c r="D275" s="35"/>
      <c r="E275" s="35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61"/>
      <c r="B276" s="61"/>
      <c r="C276" s="35" t="s">
        <v>512</v>
      </c>
      <c r="D276" s="35"/>
      <c r="E276" s="35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61"/>
      <c r="B277" s="61"/>
      <c r="C277" s="35" t="s">
        <v>513</v>
      </c>
      <c r="D277" s="35"/>
      <c r="E277" s="35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61"/>
      <c r="B278" s="61"/>
      <c r="C278" s="35" t="s">
        <v>514</v>
      </c>
      <c r="D278" s="35"/>
      <c r="E278" s="35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61"/>
      <c r="B279" s="61"/>
      <c r="C279" s="35" t="s">
        <v>515</v>
      </c>
      <c r="D279" s="35"/>
      <c r="E279" s="35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61"/>
      <c r="B280" s="61"/>
      <c r="C280" s="35" t="s">
        <v>516</v>
      </c>
      <c r="D280" s="35"/>
      <c r="E280" s="35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61"/>
      <c r="B281" s="61"/>
      <c r="C281" s="35" t="s">
        <v>517</v>
      </c>
      <c r="D281" s="35"/>
      <c r="E281" s="35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61"/>
      <c r="B282" s="61"/>
      <c r="C282" s="35" t="s">
        <v>518</v>
      </c>
      <c r="D282" s="35"/>
      <c r="E282" s="35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61"/>
      <c r="B283" s="61"/>
      <c r="C283" s="35" t="s">
        <v>520</v>
      </c>
      <c r="D283" s="35"/>
      <c r="E283" s="35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61"/>
      <c r="B284" s="61"/>
      <c r="C284" s="35" t="s">
        <v>521</v>
      </c>
      <c r="D284" s="35"/>
      <c r="E284" s="35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61"/>
      <c r="B285" s="61"/>
      <c r="C285" s="35" t="s">
        <v>523</v>
      </c>
      <c r="D285" s="35"/>
      <c r="E285" s="35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61"/>
      <c r="B286" s="61"/>
      <c r="C286" s="35" t="s">
        <v>524</v>
      </c>
      <c r="D286" s="35"/>
      <c r="E286" s="35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61"/>
      <c r="B287" s="61"/>
      <c r="C287" s="35" t="s">
        <v>525</v>
      </c>
      <c r="D287" s="35"/>
      <c r="E287" s="35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61"/>
      <c r="B288" s="61"/>
      <c r="C288" s="35" t="s">
        <v>526</v>
      </c>
      <c r="D288" s="35"/>
      <c r="E288" s="35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61"/>
      <c r="B289" s="61"/>
      <c r="C289" s="35" t="s">
        <v>527</v>
      </c>
      <c r="D289" s="35"/>
      <c r="E289" s="35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61"/>
      <c r="B290" s="61"/>
      <c r="C290" s="35" t="s">
        <v>529</v>
      </c>
      <c r="D290" s="35"/>
      <c r="E290" s="35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61"/>
      <c r="B291" s="61"/>
      <c r="C291" s="35" t="s">
        <v>530</v>
      </c>
      <c r="D291" s="35"/>
      <c r="E291" s="35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61"/>
      <c r="B292" s="61"/>
      <c r="C292" s="35" t="s">
        <v>531</v>
      </c>
      <c r="D292" s="35"/>
      <c r="E292" s="35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61"/>
      <c r="B293" s="61"/>
      <c r="C293" s="35" t="s">
        <v>532</v>
      </c>
      <c r="D293" s="35"/>
      <c r="E293" s="35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61"/>
      <c r="B294" s="61"/>
      <c r="C294" s="35" t="s">
        <v>533</v>
      </c>
      <c r="D294" s="35"/>
      <c r="E294" s="35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61"/>
      <c r="B295" s="61"/>
      <c r="C295" s="35" t="s">
        <v>534</v>
      </c>
      <c r="D295" s="35"/>
      <c r="E295" s="35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61"/>
      <c r="B296" s="61"/>
      <c r="C296" s="35" t="s">
        <v>535</v>
      </c>
      <c r="D296" s="35"/>
      <c r="E296" s="35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61"/>
      <c r="B297" s="61"/>
      <c r="C297" s="35" t="s">
        <v>536</v>
      </c>
      <c r="D297" s="35"/>
      <c r="E297" s="35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61"/>
      <c r="B298" s="61"/>
      <c r="C298" s="35" t="s">
        <v>538</v>
      </c>
      <c r="D298" s="35"/>
      <c r="E298" s="35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61"/>
      <c r="B299" s="61"/>
      <c r="C299" s="35" t="s">
        <v>539</v>
      </c>
      <c r="D299" s="35"/>
      <c r="E299" s="35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61"/>
      <c r="B300" s="61"/>
      <c r="C300" s="35" t="s">
        <v>540</v>
      </c>
      <c r="D300" s="35"/>
      <c r="E300" s="35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61"/>
      <c r="B301" s="61"/>
      <c r="C301" s="35" t="s">
        <v>541</v>
      </c>
      <c r="D301" s="35"/>
      <c r="E301" s="35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61"/>
      <c r="B302" s="61"/>
      <c r="C302" s="35" t="s">
        <v>542</v>
      </c>
      <c r="D302" s="35"/>
      <c r="E302" s="35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61"/>
      <c r="B303" s="61"/>
      <c r="C303" s="35" t="s">
        <v>543</v>
      </c>
      <c r="D303" s="35"/>
      <c r="E303" s="35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61"/>
      <c r="B304" s="61"/>
      <c r="C304" s="35" t="s">
        <v>544</v>
      </c>
      <c r="D304" s="35"/>
      <c r="E304" s="35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61"/>
      <c r="B305" s="61"/>
      <c r="C305" s="35" t="s">
        <v>545</v>
      </c>
      <c r="D305" s="35"/>
      <c r="E305" s="35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61"/>
      <c r="B306" s="61"/>
      <c r="C306" s="35" t="s">
        <v>546</v>
      </c>
      <c r="D306" s="35"/>
      <c r="E306" s="35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61"/>
      <c r="B307" s="61"/>
      <c r="C307" s="35" t="s">
        <v>547</v>
      </c>
      <c r="D307" s="35"/>
      <c r="E307" s="35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61"/>
      <c r="B308" s="61"/>
      <c r="C308" s="35" t="s">
        <v>548</v>
      </c>
      <c r="D308" s="35"/>
      <c r="E308" s="35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61"/>
      <c r="B309" s="61"/>
      <c r="C309" s="35" t="s">
        <v>549</v>
      </c>
      <c r="D309" s="35"/>
      <c r="E309" s="35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61"/>
      <c r="B310" s="61"/>
      <c r="C310" s="35" t="s">
        <v>550</v>
      </c>
      <c r="D310" s="35"/>
      <c r="E310" s="35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61"/>
      <c r="B311" s="61"/>
      <c r="C311" s="35" t="s">
        <v>551</v>
      </c>
      <c r="D311" s="35"/>
      <c r="E311" s="35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61"/>
      <c r="B312" s="61"/>
      <c r="C312" s="35" t="s">
        <v>552</v>
      </c>
      <c r="D312" s="35"/>
      <c r="E312" s="35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61"/>
      <c r="B313" s="61"/>
      <c r="C313" s="35" t="s">
        <v>553</v>
      </c>
      <c r="D313" s="35"/>
      <c r="E313" s="35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61"/>
      <c r="B314" s="61"/>
      <c r="C314" s="35" t="s">
        <v>554</v>
      </c>
      <c r="D314" s="35"/>
      <c r="E314" s="35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61"/>
      <c r="B315" s="61"/>
      <c r="C315" s="35" t="s">
        <v>555</v>
      </c>
      <c r="D315" s="35"/>
      <c r="E315" s="35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61"/>
      <c r="B316" s="61"/>
      <c r="C316" s="35" t="s">
        <v>556</v>
      </c>
      <c r="D316" s="35"/>
      <c r="E316" s="35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61"/>
      <c r="B317" s="61"/>
      <c r="C317" s="35" t="s">
        <v>557</v>
      </c>
      <c r="D317" s="35"/>
      <c r="E317" s="35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61"/>
      <c r="B318" s="61"/>
      <c r="C318" s="35" t="s">
        <v>558</v>
      </c>
      <c r="D318" s="66"/>
      <c r="E318" s="66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61"/>
      <c r="B319" s="61"/>
      <c r="C319" s="35" t="s">
        <v>560</v>
      </c>
      <c r="D319" s="35"/>
      <c r="E319" s="35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61"/>
      <c r="B320" s="61"/>
      <c r="C320" s="35" t="s">
        <v>561</v>
      </c>
      <c r="D320" s="35"/>
      <c r="E320" s="35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61"/>
      <c r="B321" s="61"/>
      <c r="C321" s="35" t="s">
        <v>562</v>
      </c>
      <c r="D321" s="35"/>
      <c r="E321" s="35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61"/>
      <c r="B322" s="61"/>
      <c r="C322" s="35" t="s">
        <v>563</v>
      </c>
      <c r="D322" s="35"/>
      <c r="E322" s="35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61"/>
      <c r="B323" s="61"/>
      <c r="C323" s="35" t="s">
        <v>564</v>
      </c>
      <c r="D323" s="35"/>
      <c r="E323" s="35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61"/>
      <c r="B324" s="61"/>
      <c r="C324" s="35" t="s">
        <v>565</v>
      </c>
      <c r="D324" s="35"/>
      <c r="E324" s="35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61"/>
      <c r="B325" s="61"/>
      <c r="C325" s="35" t="s">
        <v>566</v>
      </c>
      <c r="D325" s="35"/>
      <c r="E325" s="35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61"/>
      <c r="B326" s="61"/>
      <c r="C326" s="35" t="s">
        <v>567</v>
      </c>
      <c r="D326" s="35"/>
      <c r="E326" s="35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61"/>
      <c r="B327" s="61"/>
      <c r="C327" s="35" t="s">
        <v>568</v>
      </c>
      <c r="D327" s="35"/>
      <c r="E327" s="35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7"/>
      <c r="B328" s="47" t="s">
        <v>90</v>
      </c>
      <c r="C328" s="39" t="s">
        <v>569</v>
      </c>
      <c r="D328" s="40">
        <f t="shared" ref="D328:D1040" si="0">LEN(C328)</f>
        <v>98</v>
      </c>
      <c r="E328" s="40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41"/>
      <c r="B329" s="48"/>
      <c r="C329" s="39" t="s">
        <v>570</v>
      </c>
      <c r="D329" s="40">
        <f t="shared" si="0"/>
        <v>43</v>
      </c>
      <c r="E329" s="40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41"/>
      <c r="B330" s="48"/>
      <c r="C330" s="67" t="s">
        <v>571</v>
      </c>
      <c r="D330" s="40">
        <f t="shared" si="0"/>
        <v>31</v>
      </c>
      <c r="E330" s="40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41"/>
      <c r="B331" s="48"/>
      <c r="C331" s="68" t="s">
        <v>572</v>
      </c>
      <c r="D331" s="40">
        <f t="shared" si="0"/>
        <v>51</v>
      </c>
      <c r="E331" s="40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41"/>
      <c r="B332" s="48"/>
      <c r="C332" s="68" t="s">
        <v>573</v>
      </c>
      <c r="D332" s="40">
        <f t="shared" si="0"/>
        <v>30</v>
      </c>
      <c r="E332" s="40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41"/>
      <c r="B333" s="48"/>
      <c r="C333" s="68" t="s">
        <v>574</v>
      </c>
      <c r="D333" s="40">
        <f t="shared" si="0"/>
        <v>51</v>
      </c>
      <c r="E333" s="40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41"/>
      <c r="B334" s="48"/>
      <c r="C334" s="68" t="s">
        <v>575</v>
      </c>
      <c r="D334" s="40">
        <f t="shared" si="0"/>
        <v>51</v>
      </c>
      <c r="E334" s="40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41"/>
      <c r="B335" s="48"/>
      <c r="C335" s="39" t="s">
        <v>576</v>
      </c>
      <c r="D335" s="40">
        <f t="shared" si="0"/>
        <v>30</v>
      </c>
      <c r="E335" s="40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41"/>
      <c r="B336" s="48"/>
      <c r="C336" s="39" t="s">
        <v>577</v>
      </c>
      <c r="D336" s="40">
        <f t="shared" si="0"/>
        <v>45</v>
      </c>
      <c r="E336" s="40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41"/>
      <c r="B337" s="48"/>
      <c r="C337" s="39" t="s">
        <v>578</v>
      </c>
      <c r="D337" s="40">
        <f t="shared" si="0"/>
        <v>70</v>
      </c>
      <c r="E337" s="40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41"/>
      <c r="B338" s="48"/>
      <c r="C338" s="39" t="s">
        <v>579</v>
      </c>
      <c r="D338" s="40">
        <f t="shared" si="0"/>
        <v>63</v>
      </c>
      <c r="E338" s="40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41"/>
      <c r="B339" s="48"/>
      <c r="C339" s="39" t="s">
        <v>580</v>
      </c>
      <c r="D339" s="40">
        <f t="shared" si="0"/>
        <v>64</v>
      </c>
      <c r="E339" s="40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41"/>
      <c r="B340" s="48"/>
      <c r="C340" s="39" t="s">
        <v>581</v>
      </c>
      <c r="D340" s="40">
        <f t="shared" si="0"/>
        <v>66</v>
      </c>
      <c r="E340" s="40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41"/>
      <c r="B341" s="48"/>
      <c r="C341" s="39" t="s">
        <v>582</v>
      </c>
      <c r="D341" s="40">
        <f t="shared" si="0"/>
        <v>71</v>
      </c>
      <c r="E341" s="40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41"/>
      <c r="B342" s="48"/>
      <c r="C342" s="39" t="s">
        <v>583</v>
      </c>
      <c r="D342" s="40">
        <f t="shared" si="0"/>
        <v>69</v>
      </c>
      <c r="E342" s="40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41"/>
      <c r="B343" s="48"/>
      <c r="C343" s="39" t="s">
        <v>584</v>
      </c>
      <c r="D343" s="40">
        <f t="shared" si="0"/>
        <v>71</v>
      </c>
      <c r="E343" s="40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41"/>
      <c r="B344" s="48"/>
      <c r="C344" s="39" t="s">
        <v>585</v>
      </c>
      <c r="D344" s="40">
        <f t="shared" si="0"/>
        <v>71</v>
      </c>
      <c r="E344" s="40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41"/>
      <c r="B345" s="48"/>
      <c r="C345" s="39" t="s">
        <v>586</v>
      </c>
      <c r="D345" s="40">
        <f t="shared" si="0"/>
        <v>74</v>
      </c>
      <c r="E345" s="40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41"/>
      <c r="B346" s="48"/>
      <c r="C346" s="39" t="s">
        <v>587</v>
      </c>
      <c r="D346" s="40">
        <f t="shared" si="0"/>
        <v>66</v>
      </c>
      <c r="E346" s="40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41"/>
      <c r="B347" s="48"/>
      <c r="C347" s="39" t="s">
        <v>588</v>
      </c>
      <c r="D347" s="40">
        <f t="shared" si="0"/>
        <v>73</v>
      </c>
      <c r="E347" s="40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41"/>
      <c r="B348" s="48"/>
      <c r="C348" s="39" t="s">
        <v>589</v>
      </c>
      <c r="D348" s="40">
        <f t="shared" si="0"/>
        <v>75</v>
      </c>
      <c r="E348" s="40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41"/>
      <c r="B349" s="48"/>
      <c r="C349" s="39" t="s">
        <v>590</v>
      </c>
      <c r="D349" s="40">
        <f t="shared" si="0"/>
        <v>74</v>
      </c>
      <c r="E349" s="40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41"/>
      <c r="B350" s="48"/>
      <c r="C350" s="39" t="s">
        <v>591</v>
      </c>
      <c r="D350" s="40">
        <f t="shared" si="0"/>
        <v>77</v>
      </c>
      <c r="E350" s="40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41"/>
      <c r="B351" s="48"/>
      <c r="C351" s="39" t="s">
        <v>592</v>
      </c>
      <c r="D351" s="40">
        <f t="shared" si="0"/>
        <v>53</v>
      </c>
      <c r="E351" s="40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41"/>
      <c r="B352" s="48"/>
      <c r="C352" s="39" t="s">
        <v>593</v>
      </c>
      <c r="D352" s="40">
        <f t="shared" si="0"/>
        <v>64</v>
      </c>
      <c r="E352" s="40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41"/>
      <c r="B353" s="48"/>
      <c r="C353" s="39" t="s">
        <v>594</v>
      </c>
      <c r="D353" s="40">
        <f t="shared" si="0"/>
        <v>82</v>
      </c>
      <c r="E353" s="40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41"/>
      <c r="B354" s="48"/>
      <c r="C354" s="39" t="s">
        <v>595</v>
      </c>
      <c r="D354" s="40">
        <f t="shared" si="0"/>
        <v>86</v>
      </c>
      <c r="E354" s="40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41"/>
      <c r="B355" s="48"/>
      <c r="C355" s="39" t="s">
        <v>596</v>
      </c>
      <c r="D355" s="40">
        <f t="shared" si="0"/>
        <v>60</v>
      </c>
      <c r="E355" s="40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41"/>
      <c r="B356" s="48"/>
      <c r="C356" s="39" t="s">
        <v>597</v>
      </c>
      <c r="D356" s="40">
        <f t="shared" si="0"/>
        <v>62</v>
      </c>
      <c r="E356" s="40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41"/>
      <c r="B357" s="48"/>
      <c r="C357" s="39" t="s">
        <v>598</v>
      </c>
      <c r="D357" s="40">
        <f t="shared" si="0"/>
        <v>63</v>
      </c>
      <c r="E357" s="40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41"/>
      <c r="B358" s="48"/>
      <c r="C358" s="39" t="s">
        <v>599</v>
      </c>
      <c r="D358" s="40">
        <f t="shared" si="0"/>
        <v>65</v>
      </c>
      <c r="E358" s="40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41"/>
      <c r="B359" s="48"/>
      <c r="C359" s="39" t="s">
        <v>600</v>
      </c>
      <c r="D359" s="40">
        <f t="shared" si="0"/>
        <v>76</v>
      </c>
      <c r="E359" s="40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41"/>
      <c r="B360" s="48"/>
      <c r="C360" s="39" t="s">
        <v>601</v>
      </c>
      <c r="D360" s="40">
        <f t="shared" si="0"/>
        <v>62</v>
      </c>
      <c r="E360" s="40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41"/>
      <c r="B361" s="48"/>
      <c r="C361" s="39" t="s">
        <v>602</v>
      </c>
      <c r="D361" s="40">
        <f t="shared" si="0"/>
        <v>64</v>
      </c>
      <c r="E361" s="40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41"/>
      <c r="B362" s="48"/>
      <c r="C362" s="39" t="s">
        <v>603</v>
      </c>
      <c r="D362" s="40">
        <f t="shared" si="0"/>
        <v>57</v>
      </c>
      <c r="E362" s="40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41"/>
      <c r="B363" s="48"/>
      <c r="C363" s="39" t="s">
        <v>604</v>
      </c>
      <c r="D363" s="40">
        <f t="shared" si="0"/>
        <v>59</v>
      </c>
      <c r="E363" s="40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41"/>
      <c r="B364" s="48"/>
      <c r="C364" s="39" t="s">
        <v>605</v>
      </c>
      <c r="D364" s="40">
        <f t="shared" si="0"/>
        <v>84</v>
      </c>
      <c r="E364" s="40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41"/>
      <c r="B365" s="48"/>
      <c r="C365" s="39" t="s">
        <v>606</v>
      </c>
      <c r="D365" s="40">
        <f t="shared" si="0"/>
        <v>47</v>
      </c>
      <c r="E365" s="40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41"/>
      <c r="B366" s="48"/>
      <c r="C366" s="39" t="s">
        <v>607</v>
      </c>
      <c r="D366" s="40">
        <f t="shared" si="0"/>
        <v>33</v>
      </c>
      <c r="E366" s="40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41"/>
      <c r="B367" s="48"/>
      <c r="C367" s="39" t="s">
        <v>608</v>
      </c>
      <c r="D367" s="40">
        <f t="shared" si="0"/>
        <v>74</v>
      </c>
      <c r="E367" s="40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41"/>
      <c r="B368" s="48"/>
      <c r="C368" s="39" t="s">
        <v>609</v>
      </c>
      <c r="D368" s="40">
        <f t="shared" si="0"/>
        <v>71</v>
      </c>
      <c r="E368" s="40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41"/>
      <c r="B369" s="48"/>
      <c r="C369" s="39" t="s">
        <v>610</v>
      </c>
      <c r="D369" s="40">
        <f t="shared" si="0"/>
        <v>72</v>
      </c>
      <c r="E369" s="40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41"/>
      <c r="B370" s="48"/>
      <c r="C370" s="39" t="s">
        <v>611</v>
      </c>
      <c r="D370" s="40">
        <f t="shared" si="0"/>
        <v>74</v>
      </c>
      <c r="E370" s="40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41"/>
      <c r="B371" s="48"/>
      <c r="C371" s="39" t="s">
        <v>612</v>
      </c>
      <c r="D371" s="40">
        <f t="shared" si="0"/>
        <v>39</v>
      </c>
      <c r="E371" s="40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41"/>
      <c r="B372" s="48"/>
      <c r="C372" s="39" t="s">
        <v>613</v>
      </c>
      <c r="D372" s="40">
        <f t="shared" si="0"/>
        <v>47</v>
      </c>
      <c r="E372" s="40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41"/>
      <c r="B373" s="48"/>
      <c r="C373" s="39" t="s">
        <v>614</v>
      </c>
      <c r="D373" s="40">
        <f t="shared" si="0"/>
        <v>83</v>
      </c>
      <c r="E373" s="40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41"/>
      <c r="B374" s="48"/>
      <c r="C374" s="39" t="s">
        <v>615</v>
      </c>
      <c r="D374" s="40">
        <f t="shared" si="0"/>
        <v>108</v>
      </c>
      <c r="E374" s="40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41"/>
      <c r="B375" s="48"/>
      <c r="C375" s="39" t="s">
        <v>616</v>
      </c>
      <c r="D375" s="40">
        <f t="shared" si="0"/>
        <v>81</v>
      </c>
      <c r="E375" s="40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41"/>
      <c r="B376" s="48"/>
      <c r="C376" s="39" t="s">
        <v>617</v>
      </c>
      <c r="D376" s="40">
        <f t="shared" si="0"/>
        <v>80</v>
      </c>
      <c r="E376" s="40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41"/>
      <c r="B377" s="48"/>
      <c r="C377" s="39" t="s">
        <v>618</v>
      </c>
      <c r="D377" s="40">
        <f t="shared" si="0"/>
        <v>80</v>
      </c>
      <c r="E377" s="40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41"/>
      <c r="B378" s="48"/>
      <c r="C378" s="39" t="s">
        <v>619</v>
      </c>
      <c r="D378" s="40">
        <f t="shared" si="0"/>
        <v>50</v>
      </c>
      <c r="E378" s="40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41"/>
      <c r="B379" s="48"/>
      <c r="C379" s="39" t="s">
        <v>620</v>
      </c>
      <c r="D379" s="40">
        <f t="shared" si="0"/>
        <v>49</v>
      </c>
      <c r="E379" s="40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41"/>
      <c r="B380" s="48"/>
      <c r="C380" s="39" t="s">
        <v>621</v>
      </c>
      <c r="D380" s="40">
        <f t="shared" si="0"/>
        <v>55</v>
      </c>
      <c r="E380" s="40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41"/>
      <c r="B381" s="48"/>
      <c r="C381" s="39" t="s">
        <v>622</v>
      </c>
      <c r="D381" s="40">
        <f t="shared" si="0"/>
        <v>51</v>
      </c>
      <c r="E381" s="40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41"/>
      <c r="B382" s="48"/>
      <c r="C382" s="39" t="s">
        <v>623</v>
      </c>
      <c r="D382" s="40">
        <f t="shared" si="0"/>
        <v>48</v>
      </c>
      <c r="E382" s="40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41"/>
      <c r="B383" s="48"/>
      <c r="C383" s="39" t="s">
        <v>624</v>
      </c>
      <c r="D383" s="40">
        <f t="shared" si="0"/>
        <v>56</v>
      </c>
      <c r="E383" s="40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41"/>
      <c r="B384" s="48"/>
      <c r="C384" s="39" t="s">
        <v>625</v>
      </c>
      <c r="D384" s="40">
        <f t="shared" si="0"/>
        <v>62</v>
      </c>
      <c r="E384" s="40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41"/>
      <c r="B385" s="48"/>
      <c r="C385" s="39" t="s">
        <v>626</v>
      </c>
      <c r="D385" s="40">
        <f t="shared" si="0"/>
        <v>55</v>
      </c>
      <c r="E385" s="40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41"/>
      <c r="B386" s="48"/>
      <c r="C386" s="39" t="s">
        <v>627</v>
      </c>
      <c r="D386" s="40">
        <f t="shared" si="0"/>
        <v>62</v>
      </c>
      <c r="E386" s="40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41"/>
      <c r="B387" s="48"/>
      <c r="C387" s="39" t="s">
        <v>628</v>
      </c>
      <c r="D387" s="40">
        <f t="shared" si="0"/>
        <v>60</v>
      </c>
      <c r="E387" s="40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41"/>
      <c r="B388" s="48"/>
      <c r="C388" s="39" t="s">
        <v>629</v>
      </c>
      <c r="D388" s="40">
        <f t="shared" si="0"/>
        <v>55</v>
      </c>
      <c r="E388" s="40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41"/>
      <c r="B389" s="48"/>
      <c r="C389" s="39" t="s">
        <v>630</v>
      </c>
      <c r="D389" s="40">
        <f t="shared" si="0"/>
        <v>57</v>
      </c>
      <c r="E389" s="40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41"/>
      <c r="B390" s="48"/>
      <c r="C390" s="39" t="s">
        <v>631</v>
      </c>
      <c r="D390" s="40">
        <f t="shared" si="0"/>
        <v>50</v>
      </c>
      <c r="E390" s="40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41"/>
      <c r="B391" s="48"/>
      <c r="C391" s="39" t="s">
        <v>632</v>
      </c>
      <c r="D391" s="40">
        <f t="shared" si="0"/>
        <v>56</v>
      </c>
      <c r="E391" s="40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41"/>
      <c r="B392" s="48"/>
      <c r="C392" s="39" t="s">
        <v>633</v>
      </c>
      <c r="D392" s="40">
        <f t="shared" si="0"/>
        <v>54</v>
      </c>
      <c r="E392" s="40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41"/>
      <c r="B393" s="48"/>
      <c r="C393" s="39" t="s">
        <v>634</v>
      </c>
      <c r="D393" s="40">
        <f t="shared" si="0"/>
        <v>45</v>
      </c>
      <c r="E393" s="40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41"/>
      <c r="B394" s="48"/>
      <c r="C394" s="39" t="s">
        <v>635</v>
      </c>
      <c r="D394" s="40">
        <f t="shared" si="0"/>
        <v>45</v>
      </c>
      <c r="E394" s="40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41"/>
      <c r="B395" s="48"/>
      <c r="C395" s="39" t="s">
        <v>636</v>
      </c>
      <c r="D395" s="40">
        <f t="shared" si="0"/>
        <v>44</v>
      </c>
      <c r="E395" s="40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41"/>
      <c r="B396" s="48"/>
      <c r="C396" s="39" t="s">
        <v>637</v>
      </c>
      <c r="D396" s="40">
        <f t="shared" si="0"/>
        <v>59</v>
      </c>
      <c r="E396" s="40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41"/>
      <c r="B397" s="48"/>
      <c r="C397" s="39" t="s">
        <v>638</v>
      </c>
      <c r="D397" s="40">
        <f t="shared" si="0"/>
        <v>84</v>
      </c>
      <c r="E397" s="40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41"/>
      <c r="B398" s="48"/>
      <c r="C398" s="39" t="s">
        <v>639</v>
      </c>
      <c r="D398" s="40">
        <f t="shared" si="0"/>
        <v>109</v>
      </c>
      <c r="E398" s="40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41"/>
      <c r="B399" s="48"/>
      <c r="C399" s="39" t="s">
        <v>640</v>
      </c>
      <c r="D399" s="40">
        <f t="shared" si="0"/>
        <v>82</v>
      </c>
      <c r="E399" s="40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41"/>
      <c r="B400" s="48"/>
      <c r="C400" s="39" t="s">
        <v>641</v>
      </c>
      <c r="D400" s="40">
        <f t="shared" si="0"/>
        <v>90</v>
      </c>
      <c r="E400" s="40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41"/>
      <c r="B401" s="48"/>
      <c r="C401" s="39" t="s">
        <v>642</v>
      </c>
      <c r="D401" s="40">
        <f t="shared" si="0"/>
        <v>90</v>
      </c>
      <c r="E401" s="40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41"/>
      <c r="B402" s="48"/>
      <c r="C402" s="39" t="s">
        <v>643</v>
      </c>
      <c r="D402" s="40">
        <f t="shared" si="0"/>
        <v>46</v>
      </c>
      <c r="E402" s="40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41"/>
      <c r="B403" s="48"/>
      <c r="C403" s="39" t="s">
        <v>644</v>
      </c>
      <c r="D403" s="40">
        <f t="shared" si="0"/>
        <v>46</v>
      </c>
      <c r="E403" s="40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41"/>
      <c r="B404" s="48"/>
      <c r="C404" s="39" t="s">
        <v>645</v>
      </c>
      <c r="D404" s="40">
        <f t="shared" si="0"/>
        <v>47</v>
      </c>
      <c r="E404" s="40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41"/>
      <c r="B405" s="48"/>
      <c r="C405" s="39" t="s">
        <v>646</v>
      </c>
      <c r="D405" s="40">
        <f t="shared" si="0"/>
        <v>45</v>
      </c>
      <c r="E405" s="40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41"/>
      <c r="B406" s="48"/>
      <c r="C406" s="39" t="s">
        <v>647</v>
      </c>
      <c r="D406" s="40">
        <f t="shared" si="0"/>
        <v>48</v>
      </c>
      <c r="E406" s="40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41"/>
      <c r="B407" s="48"/>
      <c r="C407" s="39" t="s">
        <v>648</v>
      </c>
      <c r="D407" s="40">
        <f t="shared" si="0"/>
        <v>63</v>
      </c>
      <c r="E407" s="40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41"/>
      <c r="B408" s="48"/>
      <c r="C408" s="39" t="s">
        <v>649</v>
      </c>
      <c r="D408" s="40">
        <f t="shared" si="0"/>
        <v>47</v>
      </c>
      <c r="E408" s="40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41"/>
      <c r="B409" s="48"/>
      <c r="C409" s="39" t="s">
        <v>650</v>
      </c>
      <c r="D409" s="40">
        <f t="shared" si="0"/>
        <v>50</v>
      </c>
      <c r="E409" s="40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41"/>
      <c r="B410" s="48"/>
      <c r="C410" s="39" t="s">
        <v>651</v>
      </c>
      <c r="D410" s="40">
        <f t="shared" si="0"/>
        <v>48</v>
      </c>
      <c r="E410" s="40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41"/>
      <c r="B411" s="48"/>
      <c r="C411" s="39" t="s">
        <v>652</v>
      </c>
      <c r="D411" s="40">
        <f t="shared" si="0"/>
        <v>51</v>
      </c>
      <c r="E411" s="40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41"/>
      <c r="B412" s="48"/>
      <c r="C412" s="39" t="s">
        <v>653</v>
      </c>
      <c r="D412" s="40">
        <f t="shared" si="0"/>
        <v>57</v>
      </c>
      <c r="E412" s="40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41"/>
      <c r="B413" s="48"/>
      <c r="C413" s="39" t="s">
        <v>654</v>
      </c>
      <c r="D413" s="40">
        <f t="shared" si="0"/>
        <v>59</v>
      </c>
      <c r="E413" s="40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41"/>
      <c r="B414" s="48"/>
      <c r="C414" s="39" t="s">
        <v>655</v>
      </c>
      <c r="D414" s="40">
        <f t="shared" si="0"/>
        <v>68</v>
      </c>
      <c r="E414" s="40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41"/>
      <c r="B415" s="48"/>
      <c r="C415" s="39" t="s">
        <v>656</v>
      </c>
      <c r="D415" s="40">
        <f t="shared" si="0"/>
        <v>68</v>
      </c>
      <c r="E415" s="40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41"/>
      <c r="B416" s="48"/>
      <c r="C416" s="39" t="s">
        <v>657</v>
      </c>
      <c r="D416" s="40">
        <f t="shared" si="0"/>
        <v>69</v>
      </c>
      <c r="E416" s="40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41"/>
      <c r="B417" s="48"/>
      <c r="C417" s="39" t="s">
        <v>658</v>
      </c>
      <c r="D417" s="40">
        <f t="shared" si="0"/>
        <v>46</v>
      </c>
      <c r="E417" s="40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41"/>
      <c r="B418" s="48"/>
      <c r="C418" s="39" t="s">
        <v>659</v>
      </c>
      <c r="D418" s="40">
        <f t="shared" si="0"/>
        <v>49</v>
      </c>
      <c r="E418" s="40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41"/>
      <c r="B419" s="48"/>
      <c r="C419" s="39" t="s">
        <v>660</v>
      </c>
      <c r="D419" s="40">
        <f t="shared" si="0"/>
        <v>41</v>
      </c>
      <c r="E419" s="40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41"/>
      <c r="B420" s="48"/>
      <c r="C420" s="39" t="s">
        <v>661</v>
      </c>
      <c r="D420" s="40">
        <f t="shared" si="0"/>
        <v>52</v>
      </c>
      <c r="E420" s="40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41"/>
      <c r="B421" s="48"/>
      <c r="C421" s="39" t="s">
        <v>662</v>
      </c>
      <c r="D421" s="40">
        <f t="shared" si="0"/>
        <v>52</v>
      </c>
      <c r="E421" s="40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41"/>
      <c r="B422" s="48"/>
      <c r="C422" s="39" t="s">
        <v>663</v>
      </c>
      <c r="D422" s="40">
        <f t="shared" si="0"/>
        <v>64</v>
      </c>
      <c r="E422" s="40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41"/>
      <c r="B423" s="48"/>
      <c r="C423" s="39" t="s">
        <v>664</v>
      </c>
      <c r="D423" s="40">
        <f t="shared" si="0"/>
        <v>64</v>
      </c>
      <c r="E423" s="40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41"/>
      <c r="B424" s="48"/>
      <c r="C424" s="39" t="s">
        <v>665</v>
      </c>
      <c r="D424" s="40">
        <f t="shared" si="0"/>
        <v>73</v>
      </c>
      <c r="E424" s="40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41"/>
      <c r="B425" s="48"/>
      <c r="C425" s="39" t="s">
        <v>666</v>
      </c>
      <c r="D425" s="40">
        <f t="shared" si="0"/>
        <v>73</v>
      </c>
      <c r="E425" s="40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41"/>
      <c r="B426" s="48"/>
      <c r="C426" s="39" t="s">
        <v>667</v>
      </c>
      <c r="D426" s="40">
        <f t="shared" si="0"/>
        <v>72</v>
      </c>
      <c r="E426" s="40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41"/>
      <c r="B427" s="48"/>
      <c r="C427" s="39" t="s">
        <v>668</v>
      </c>
      <c r="D427" s="40">
        <f t="shared" si="0"/>
        <v>31</v>
      </c>
      <c r="E427" s="40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41"/>
      <c r="B428" s="48"/>
      <c r="C428" s="39" t="s">
        <v>669</v>
      </c>
      <c r="D428" s="40">
        <f t="shared" si="0"/>
        <v>73</v>
      </c>
      <c r="E428" s="40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41"/>
      <c r="B429" s="48"/>
      <c r="C429" s="39" t="s">
        <v>670</v>
      </c>
      <c r="D429" s="40">
        <f t="shared" si="0"/>
        <v>57</v>
      </c>
      <c r="E429" s="40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41"/>
      <c r="B430" s="48"/>
      <c r="C430" s="39" t="s">
        <v>671</v>
      </c>
      <c r="D430" s="40">
        <f t="shared" si="0"/>
        <v>60</v>
      </c>
      <c r="E430" s="40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41"/>
      <c r="B431" s="48"/>
      <c r="C431" s="39" t="s">
        <v>672</v>
      </c>
      <c r="D431" s="40">
        <f t="shared" si="0"/>
        <v>60</v>
      </c>
      <c r="E431" s="40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41"/>
      <c r="B432" s="48"/>
      <c r="C432" s="39" t="s">
        <v>673</v>
      </c>
      <c r="D432" s="40">
        <f t="shared" si="0"/>
        <v>60</v>
      </c>
      <c r="E432" s="40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41"/>
      <c r="B433" s="48"/>
      <c r="C433" s="39" t="s">
        <v>674</v>
      </c>
      <c r="D433" s="40">
        <f t="shared" si="0"/>
        <v>38</v>
      </c>
      <c r="E433" s="40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41"/>
      <c r="B434" s="48"/>
      <c r="C434" s="39" t="s">
        <v>675</v>
      </c>
      <c r="D434" s="40">
        <f t="shared" si="0"/>
        <v>30</v>
      </c>
      <c r="E434" s="40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41"/>
      <c r="B435" s="48"/>
      <c r="C435" s="39" t="s">
        <v>676</v>
      </c>
      <c r="D435" s="40">
        <f t="shared" si="0"/>
        <v>28</v>
      </c>
      <c r="E435" s="40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41"/>
      <c r="B436" s="48"/>
      <c r="C436" s="39" t="s">
        <v>677</v>
      </c>
      <c r="D436" s="40">
        <f t="shared" si="0"/>
        <v>28</v>
      </c>
      <c r="E436" s="40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41"/>
      <c r="B437" s="48"/>
      <c r="C437" s="39" t="s">
        <v>678</v>
      </c>
      <c r="D437" s="40">
        <f t="shared" si="0"/>
        <v>28</v>
      </c>
      <c r="E437" s="40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41"/>
      <c r="B438" s="48"/>
      <c r="C438" s="39" t="s">
        <v>679</v>
      </c>
      <c r="D438" s="40">
        <f t="shared" si="0"/>
        <v>28</v>
      </c>
      <c r="E438" s="40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41"/>
      <c r="B439" s="48"/>
      <c r="C439" s="39" t="s">
        <v>680</v>
      </c>
      <c r="D439" s="40">
        <f t="shared" si="0"/>
        <v>19</v>
      </c>
      <c r="E439" s="40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41"/>
      <c r="B440" s="48"/>
      <c r="C440" s="39" t="s">
        <v>681</v>
      </c>
      <c r="D440" s="40">
        <f t="shared" si="0"/>
        <v>22</v>
      </c>
      <c r="E440" s="40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41"/>
      <c r="B441" s="48"/>
      <c r="C441" s="39" t="s">
        <v>682</v>
      </c>
      <c r="D441" s="40">
        <f t="shared" si="0"/>
        <v>6</v>
      </c>
      <c r="E441" s="40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41"/>
      <c r="B442" s="48"/>
      <c r="C442" s="39" t="s">
        <v>683</v>
      </c>
      <c r="D442" s="40">
        <f t="shared" si="0"/>
        <v>42</v>
      </c>
      <c r="E442" s="40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41"/>
      <c r="B443" s="48"/>
      <c r="C443" s="39" t="s">
        <v>684</v>
      </c>
      <c r="D443" s="40">
        <f t="shared" si="0"/>
        <v>43</v>
      </c>
      <c r="E443" s="40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41"/>
      <c r="B444" s="48"/>
      <c r="C444" s="39" t="s">
        <v>685</v>
      </c>
      <c r="D444" s="40">
        <f t="shared" si="0"/>
        <v>44</v>
      </c>
      <c r="E444" s="40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41"/>
      <c r="B445" s="48"/>
      <c r="C445" s="39" t="s">
        <v>686</v>
      </c>
      <c r="D445" s="40">
        <f t="shared" si="0"/>
        <v>38</v>
      </c>
      <c r="E445" s="40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41"/>
      <c r="B446" s="48"/>
      <c r="C446" s="39" t="s">
        <v>687</v>
      </c>
      <c r="D446" s="40">
        <f t="shared" si="0"/>
        <v>39</v>
      </c>
      <c r="E446" s="40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41"/>
      <c r="B447" s="48"/>
      <c r="C447" s="39" t="s">
        <v>688</v>
      </c>
      <c r="D447" s="40">
        <f t="shared" si="0"/>
        <v>30</v>
      </c>
      <c r="E447" s="40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41"/>
      <c r="B448" s="48"/>
      <c r="C448" s="39" t="s">
        <v>689</v>
      </c>
      <c r="D448" s="40">
        <f t="shared" si="0"/>
        <v>38</v>
      </c>
      <c r="E448" s="40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41"/>
      <c r="B449" s="48"/>
      <c r="C449" s="39" t="s">
        <v>690</v>
      </c>
      <c r="D449" s="40">
        <f t="shared" si="0"/>
        <v>30</v>
      </c>
      <c r="E449" s="40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41"/>
      <c r="B450" s="48"/>
      <c r="C450" s="39" t="s">
        <v>691</v>
      </c>
      <c r="D450" s="40">
        <f t="shared" si="0"/>
        <v>31</v>
      </c>
      <c r="E450" s="40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41"/>
      <c r="B451" s="48"/>
      <c r="C451" s="39" t="s">
        <v>692</v>
      </c>
      <c r="D451" s="40">
        <f t="shared" si="0"/>
        <v>33</v>
      </c>
      <c r="E451" s="40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41"/>
      <c r="B452" s="48"/>
      <c r="C452" s="39" t="s">
        <v>693</v>
      </c>
      <c r="D452" s="40">
        <f t="shared" si="0"/>
        <v>31</v>
      </c>
      <c r="E452" s="40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41"/>
      <c r="B453" s="48"/>
      <c r="C453" s="39" t="s">
        <v>694</v>
      </c>
      <c r="D453" s="40">
        <f t="shared" si="0"/>
        <v>28</v>
      </c>
      <c r="E453" s="40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41"/>
      <c r="B454" s="48"/>
      <c r="C454" s="39" t="s">
        <v>695</v>
      </c>
      <c r="D454" s="40">
        <f t="shared" si="0"/>
        <v>36</v>
      </c>
      <c r="E454" s="40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41"/>
      <c r="B455" s="48"/>
      <c r="C455" s="39" t="s">
        <v>696</v>
      </c>
      <c r="D455" s="40">
        <f t="shared" si="0"/>
        <v>38</v>
      </c>
      <c r="E455" s="40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41"/>
      <c r="B456" s="48"/>
      <c r="C456" s="39" t="s">
        <v>697</v>
      </c>
      <c r="D456" s="40">
        <f t="shared" si="0"/>
        <v>45</v>
      </c>
      <c r="E456" s="40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41"/>
      <c r="B457" s="48"/>
      <c r="C457" s="39" t="s">
        <v>698</v>
      </c>
      <c r="D457" s="40">
        <f t="shared" si="0"/>
        <v>38</v>
      </c>
      <c r="E457" s="40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41"/>
      <c r="B458" s="48"/>
      <c r="C458" s="39" t="s">
        <v>699</v>
      </c>
      <c r="D458" s="40">
        <f t="shared" si="0"/>
        <v>40</v>
      </c>
      <c r="E458" s="40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41"/>
      <c r="B459" s="48"/>
      <c r="C459" s="39" t="s">
        <v>700</v>
      </c>
      <c r="D459" s="40">
        <f t="shared" si="0"/>
        <v>40</v>
      </c>
      <c r="E459" s="40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41"/>
      <c r="B460" s="48"/>
      <c r="C460" s="39" t="s">
        <v>701</v>
      </c>
      <c r="D460" s="40">
        <f t="shared" si="0"/>
        <v>32</v>
      </c>
      <c r="E460" s="40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41"/>
      <c r="B461" s="48"/>
      <c r="C461" s="39" t="s">
        <v>702</v>
      </c>
      <c r="D461" s="40">
        <f t="shared" si="0"/>
        <v>45</v>
      </c>
      <c r="E461" s="40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41"/>
      <c r="B462" s="48"/>
      <c r="C462" s="39" t="s">
        <v>703</v>
      </c>
      <c r="D462" s="40">
        <f t="shared" si="0"/>
        <v>58</v>
      </c>
      <c r="E462" s="40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41"/>
      <c r="B463" s="48"/>
      <c r="C463" s="39" t="s">
        <v>704</v>
      </c>
      <c r="D463" s="40">
        <f t="shared" si="0"/>
        <v>54</v>
      </c>
      <c r="E463" s="40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41"/>
      <c r="B464" s="48"/>
      <c r="C464" s="39" t="s">
        <v>705</v>
      </c>
      <c r="D464" s="40">
        <f t="shared" si="0"/>
        <v>58</v>
      </c>
      <c r="E464" s="40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41"/>
      <c r="B465" s="48"/>
      <c r="C465" s="39" t="s">
        <v>706</v>
      </c>
      <c r="D465" s="40">
        <f t="shared" si="0"/>
        <v>56</v>
      </c>
      <c r="E465" s="40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41"/>
      <c r="B466" s="48"/>
      <c r="C466" s="39" t="s">
        <v>707</v>
      </c>
      <c r="D466" s="40">
        <f t="shared" si="0"/>
        <v>57</v>
      </c>
      <c r="E466" s="40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41"/>
      <c r="B467" s="48"/>
      <c r="C467" s="39" t="s">
        <v>708</v>
      </c>
      <c r="D467" s="40">
        <f t="shared" si="0"/>
        <v>69</v>
      </c>
      <c r="E467" s="40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41"/>
      <c r="B468" s="48"/>
      <c r="C468" s="39" t="s">
        <v>709</v>
      </c>
      <c r="D468" s="40">
        <f t="shared" si="0"/>
        <v>60</v>
      </c>
      <c r="E468" s="40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41"/>
      <c r="B469" s="48"/>
      <c r="C469" s="39" t="s">
        <v>710</v>
      </c>
      <c r="D469" s="40">
        <f t="shared" si="0"/>
        <v>58</v>
      </c>
      <c r="E469" s="40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41"/>
      <c r="B470" s="48"/>
      <c r="C470" s="39" t="s">
        <v>711</v>
      </c>
      <c r="D470" s="40">
        <f t="shared" si="0"/>
        <v>59</v>
      </c>
      <c r="E470" s="40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41"/>
      <c r="B471" s="48"/>
      <c r="C471" s="39" t="s">
        <v>712</v>
      </c>
      <c r="D471" s="40">
        <f t="shared" si="0"/>
        <v>61</v>
      </c>
      <c r="E471" s="40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41"/>
      <c r="B472" s="48"/>
      <c r="C472" s="39" t="s">
        <v>713</v>
      </c>
      <c r="D472" s="40">
        <f t="shared" si="0"/>
        <v>59</v>
      </c>
      <c r="E472" s="40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41"/>
      <c r="B473" s="48"/>
      <c r="C473" s="39" t="s">
        <v>714</v>
      </c>
      <c r="D473" s="40">
        <f t="shared" si="0"/>
        <v>54</v>
      </c>
      <c r="E473" s="40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41"/>
      <c r="B474" s="48"/>
      <c r="C474" s="39" t="s">
        <v>715</v>
      </c>
      <c r="D474" s="40">
        <f t="shared" si="0"/>
        <v>60</v>
      </c>
      <c r="E474" s="40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41"/>
      <c r="B475" s="48"/>
      <c r="C475" s="39" t="s">
        <v>716</v>
      </c>
      <c r="D475" s="40">
        <f t="shared" si="0"/>
        <v>60</v>
      </c>
      <c r="E475" s="40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41"/>
      <c r="B476" s="48"/>
      <c r="C476" s="39" t="s">
        <v>717</v>
      </c>
      <c r="D476" s="40">
        <f t="shared" si="0"/>
        <v>70</v>
      </c>
      <c r="E476" s="40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41"/>
      <c r="B477" s="48"/>
      <c r="C477" s="39" t="s">
        <v>718</v>
      </c>
      <c r="D477" s="40">
        <f t="shared" si="0"/>
        <v>62</v>
      </c>
      <c r="E477" s="40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41"/>
      <c r="B478" s="48"/>
      <c r="C478" s="39" t="s">
        <v>719</v>
      </c>
      <c r="D478" s="40">
        <f t="shared" si="0"/>
        <v>35</v>
      </c>
      <c r="E478" s="40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41"/>
      <c r="B479" s="48"/>
      <c r="C479" s="39" t="s">
        <v>720</v>
      </c>
      <c r="D479" s="40">
        <f t="shared" si="0"/>
        <v>60</v>
      </c>
      <c r="E479" s="40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41"/>
      <c r="B480" s="48"/>
      <c r="C480" s="39" t="s">
        <v>721</v>
      </c>
      <c r="D480" s="40">
        <f t="shared" si="0"/>
        <v>62</v>
      </c>
      <c r="E480" s="40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41"/>
      <c r="B481" s="48"/>
      <c r="C481" s="39" t="s">
        <v>722</v>
      </c>
      <c r="D481" s="40">
        <f t="shared" si="0"/>
        <v>17</v>
      </c>
      <c r="E481" s="40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41"/>
      <c r="B482" s="48"/>
      <c r="C482" s="39" t="s">
        <v>723</v>
      </c>
      <c r="D482" s="40">
        <f t="shared" si="0"/>
        <v>12</v>
      </c>
      <c r="E482" s="40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41"/>
      <c r="B483" s="48"/>
      <c r="C483" s="39" t="s">
        <v>724</v>
      </c>
      <c r="D483" s="40">
        <f t="shared" si="0"/>
        <v>17</v>
      </c>
      <c r="E483" s="40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41"/>
      <c r="B484" s="48"/>
      <c r="C484" s="39" t="s">
        <v>725</v>
      </c>
      <c r="D484" s="40">
        <f t="shared" si="0"/>
        <v>44</v>
      </c>
      <c r="E484" s="40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41"/>
      <c r="B485" s="48"/>
      <c r="C485" s="39" t="s">
        <v>726</v>
      </c>
      <c r="D485" s="40">
        <f t="shared" si="0"/>
        <v>44</v>
      </c>
      <c r="E485" s="40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41"/>
      <c r="B486" s="48"/>
      <c r="C486" s="39" t="s">
        <v>727</v>
      </c>
      <c r="D486" s="40">
        <f t="shared" si="0"/>
        <v>45</v>
      </c>
      <c r="E486" s="40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41"/>
      <c r="B487" s="48"/>
      <c r="C487" s="39" t="s">
        <v>728</v>
      </c>
      <c r="D487" s="40">
        <f t="shared" si="0"/>
        <v>44</v>
      </c>
      <c r="E487" s="40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41"/>
      <c r="B488" s="48"/>
      <c r="C488" s="39" t="s">
        <v>729</v>
      </c>
      <c r="D488" s="40">
        <f t="shared" si="0"/>
        <v>29</v>
      </c>
      <c r="E488" s="40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41"/>
      <c r="B489" s="48"/>
      <c r="C489" s="39" t="s">
        <v>313</v>
      </c>
      <c r="D489" s="40">
        <f t="shared" si="0"/>
        <v>3</v>
      </c>
      <c r="E489" s="40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41"/>
      <c r="B490" s="48"/>
      <c r="C490" s="40" t="s">
        <v>730</v>
      </c>
      <c r="D490" s="40">
        <f t="shared" si="0"/>
        <v>22</v>
      </c>
      <c r="E490" s="40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41"/>
      <c r="B491" s="48"/>
      <c r="C491" s="40" t="s">
        <v>731</v>
      </c>
      <c r="D491" s="40">
        <f t="shared" si="0"/>
        <v>23</v>
      </c>
      <c r="E491" s="40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41"/>
      <c r="B492" s="48"/>
      <c r="C492" s="40" t="s">
        <v>732</v>
      </c>
      <c r="D492" s="40">
        <f t="shared" si="0"/>
        <v>15</v>
      </c>
      <c r="E492" s="40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41"/>
      <c r="B493" s="48"/>
      <c r="C493" s="40" t="s">
        <v>733</v>
      </c>
      <c r="D493" s="40">
        <f t="shared" si="0"/>
        <v>14</v>
      </c>
      <c r="E493" s="40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41"/>
      <c r="B494" s="48"/>
      <c r="C494" s="40" t="s">
        <v>734</v>
      </c>
      <c r="D494" s="40">
        <f t="shared" si="0"/>
        <v>12</v>
      </c>
      <c r="E494" s="40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41"/>
      <c r="B495" s="48"/>
      <c r="C495" s="40" t="s">
        <v>735</v>
      </c>
      <c r="D495" s="40">
        <f t="shared" si="0"/>
        <v>11</v>
      </c>
      <c r="E495" s="40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41"/>
      <c r="B496" s="48"/>
      <c r="C496" s="40" t="s">
        <v>736</v>
      </c>
      <c r="D496" s="40">
        <f t="shared" si="0"/>
        <v>17</v>
      </c>
      <c r="E496" s="40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41"/>
      <c r="B497" s="48"/>
      <c r="C497" s="40" t="s">
        <v>737</v>
      </c>
      <c r="D497" s="40">
        <f t="shared" si="0"/>
        <v>17</v>
      </c>
      <c r="E497" s="40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4"/>
      <c r="B498" s="49"/>
      <c r="C498" s="40" t="s">
        <v>568</v>
      </c>
      <c r="D498" s="40">
        <f t="shared" si="0"/>
        <v>5</v>
      </c>
      <c r="E498" s="40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5"/>
      <c r="B499" s="69" t="s">
        <v>738</v>
      </c>
      <c r="C499" s="34" t="s">
        <v>439</v>
      </c>
      <c r="D499" s="40">
        <f t="shared" si="0"/>
        <v>6</v>
      </c>
      <c r="E499" s="35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61"/>
      <c r="B500" s="70"/>
      <c r="C500" s="34" t="s">
        <v>739</v>
      </c>
      <c r="D500" s="40">
        <f t="shared" si="0"/>
        <v>21</v>
      </c>
      <c r="E500" s="35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61"/>
      <c r="B501" s="70"/>
      <c r="C501" s="34" t="s">
        <v>740</v>
      </c>
      <c r="D501" s="40">
        <f t="shared" si="0"/>
        <v>13</v>
      </c>
      <c r="E501" s="35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61"/>
      <c r="B502" s="70"/>
      <c r="C502" s="34" t="s">
        <v>741</v>
      </c>
      <c r="D502" s="40">
        <f t="shared" si="0"/>
        <v>9</v>
      </c>
      <c r="E502" s="35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61"/>
      <c r="B503" s="70"/>
      <c r="C503" s="34" t="s">
        <v>742</v>
      </c>
      <c r="D503" s="40">
        <f t="shared" si="0"/>
        <v>13</v>
      </c>
      <c r="E503" s="35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61"/>
      <c r="B504" s="70"/>
      <c r="C504" s="34" t="s">
        <v>743</v>
      </c>
      <c r="D504" s="40">
        <f t="shared" si="0"/>
        <v>17</v>
      </c>
      <c r="E504" s="35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61"/>
      <c r="B505" s="70"/>
      <c r="C505" s="34" t="s">
        <v>744</v>
      </c>
      <c r="D505" s="40">
        <f t="shared" si="0"/>
        <v>11</v>
      </c>
      <c r="E505" s="35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61"/>
      <c r="B506" s="70"/>
      <c r="C506" s="34" t="s">
        <v>745</v>
      </c>
      <c r="D506" s="40">
        <f t="shared" si="0"/>
        <v>4</v>
      </c>
      <c r="E506" s="35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61"/>
      <c r="B507" s="70"/>
      <c r="C507" s="34" t="s">
        <v>746</v>
      </c>
      <c r="D507" s="40">
        <f t="shared" si="0"/>
        <v>22</v>
      </c>
      <c r="E507" s="35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61"/>
      <c r="B508" s="70"/>
      <c r="C508" s="34" t="s">
        <v>747</v>
      </c>
      <c r="D508" s="40">
        <f t="shared" si="0"/>
        <v>25</v>
      </c>
      <c r="E508" s="35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61"/>
      <c r="B509" s="70"/>
      <c r="C509" s="34" t="s">
        <v>748</v>
      </c>
      <c r="D509" s="40">
        <f t="shared" si="0"/>
        <v>5</v>
      </c>
      <c r="E509" s="35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61"/>
      <c r="B510" s="70"/>
      <c r="C510" s="34" t="s">
        <v>749</v>
      </c>
      <c r="D510" s="40">
        <f t="shared" si="0"/>
        <v>19</v>
      </c>
      <c r="E510" s="35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61"/>
      <c r="B511" s="70"/>
      <c r="C511" s="34" t="s">
        <v>750</v>
      </c>
      <c r="D511" s="40">
        <f t="shared" si="0"/>
        <v>11</v>
      </c>
      <c r="E511" s="35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61"/>
      <c r="B512" s="70"/>
      <c r="C512" s="34" t="s">
        <v>484</v>
      </c>
      <c r="D512" s="40">
        <f t="shared" si="0"/>
        <v>6</v>
      </c>
      <c r="E512" s="35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61"/>
      <c r="B513" s="70"/>
      <c r="C513" s="34" t="s">
        <v>313</v>
      </c>
      <c r="D513" s="40">
        <f t="shared" si="0"/>
        <v>3</v>
      </c>
      <c r="E513" s="35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41"/>
      <c r="B514" s="47" t="s">
        <v>751</v>
      </c>
      <c r="C514" s="39" t="s">
        <v>337</v>
      </c>
      <c r="D514" s="40">
        <f t="shared" si="0"/>
        <v>2</v>
      </c>
      <c r="E514" s="40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4"/>
      <c r="B515" s="49"/>
      <c r="C515" s="39" t="s">
        <v>338</v>
      </c>
      <c r="D515" s="40">
        <f t="shared" si="0"/>
        <v>2</v>
      </c>
      <c r="E515" s="40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61"/>
      <c r="B516" s="69" t="s">
        <v>98</v>
      </c>
      <c r="C516" s="34" t="s">
        <v>752</v>
      </c>
      <c r="D516" s="40">
        <f t="shared" si="0"/>
        <v>7</v>
      </c>
      <c r="E516" s="35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61"/>
      <c r="B517" s="70"/>
      <c r="C517" s="34" t="s">
        <v>753</v>
      </c>
      <c r="D517" s="40">
        <f t="shared" si="0"/>
        <v>23</v>
      </c>
      <c r="E517" s="35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61"/>
      <c r="B518" s="70"/>
      <c r="C518" s="34" t="s">
        <v>754</v>
      </c>
      <c r="D518" s="40">
        <f t="shared" si="0"/>
        <v>10</v>
      </c>
      <c r="E518" s="35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61"/>
      <c r="B519" s="70"/>
      <c r="C519" s="34" t="s">
        <v>755</v>
      </c>
      <c r="D519" s="40">
        <f t="shared" si="0"/>
        <v>13</v>
      </c>
      <c r="E519" s="35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7"/>
      <c r="B520" s="47" t="s">
        <v>161</v>
      </c>
      <c r="C520" s="39" t="s">
        <v>756</v>
      </c>
      <c r="D520" s="40">
        <f t="shared" si="0"/>
        <v>9</v>
      </c>
      <c r="E520" s="40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41"/>
      <c r="B521" s="48"/>
      <c r="C521" s="39" t="s">
        <v>757</v>
      </c>
      <c r="D521" s="40">
        <f t="shared" si="0"/>
        <v>12</v>
      </c>
      <c r="E521" s="40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41"/>
      <c r="B522" s="48"/>
      <c r="C522" s="39" t="s">
        <v>758</v>
      </c>
      <c r="D522" s="40">
        <f t="shared" si="0"/>
        <v>16</v>
      </c>
      <c r="E522" s="40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41"/>
      <c r="B523" s="48"/>
      <c r="C523" s="39" t="s">
        <v>759</v>
      </c>
      <c r="D523" s="40">
        <f t="shared" si="0"/>
        <v>18</v>
      </c>
      <c r="E523" s="40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41"/>
      <c r="B524" s="48"/>
      <c r="C524" s="39" t="s">
        <v>760</v>
      </c>
      <c r="D524" s="40">
        <f t="shared" si="0"/>
        <v>20</v>
      </c>
      <c r="E524" s="40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41"/>
      <c r="B525" s="48"/>
      <c r="C525" s="39" t="s">
        <v>761</v>
      </c>
      <c r="D525" s="40">
        <f t="shared" si="0"/>
        <v>7</v>
      </c>
      <c r="E525" s="40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41"/>
      <c r="B526" s="48"/>
      <c r="C526" s="39" t="s">
        <v>762</v>
      </c>
      <c r="D526" s="40">
        <f t="shared" si="0"/>
        <v>11</v>
      </c>
      <c r="E526" s="40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41"/>
      <c r="B527" s="48"/>
      <c r="C527" s="39" t="s">
        <v>763</v>
      </c>
      <c r="D527" s="40">
        <f t="shared" si="0"/>
        <v>12</v>
      </c>
      <c r="E527" s="40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41"/>
      <c r="B528" s="48"/>
      <c r="C528" s="39" t="s">
        <v>764</v>
      </c>
      <c r="D528" s="40">
        <f t="shared" si="0"/>
        <v>15</v>
      </c>
      <c r="E528" s="40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41"/>
      <c r="B529" s="48"/>
      <c r="C529" s="39" t="s">
        <v>747</v>
      </c>
      <c r="D529" s="40">
        <f t="shared" si="0"/>
        <v>25</v>
      </c>
      <c r="E529" s="40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8"/>
      <c r="C530" s="39" t="s">
        <v>765</v>
      </c>
      <c r="D530" s="40">
        <f t="shared" si="0"/>
        <v>11</v>
      </c>
      <c r="E530" s="40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41"/>
      <c r="B531" s="48"/>
      <c r="C531" s="39" t="s">
        <v>766</v>
      </c>
      <c r="D531" s="40">
        <f t="shared" si="0"/>
        <v>22</v>
      </c>
      <c r="E531" s="39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41"/>
      <c r="B532" s="48"/>
      <c r="C532" s="39" t="s">
        <v>768</v>
      </c>
      <c r="D532" s="40">
        <f t="shared" si="0"/>
        <v>25</v>
      </c>
      <c r="E532" s="39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41"/>
      <c r="B533" s="48"/>
      <c r="C533" s="39" t="s">
        <v>770</v>
      </c>
      <c r="D533" s="40">
        <f t="shared" si="0"/>
        <v>16</v>
      </c>
      <c r="E533" s="39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41"/>
      <c r="B534" s="48"/>
      <c r="C534" s="39" t="s">
        <v>772</v>
      </c>
      <c r="D534" s="40">
        <f t="shared" si="0"/>
        <v>26</v>
      </c>
      <c r="E534" s="40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41"/>
      <c r="B535" s="48"/>
      <c r="C535" s="39" t="s">
        <v>773</v>
      </c>
      <c r="D535" s="40">
        <f t="shared" si="0"/>
        <v>12</v>
      </c>
      <c r="E535" s="40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41"/>
      <c r="B536" s="48"/>
      <c r="C536" s="39" t="s">
        <v>36</v>
      </c>
      <c r="D536" s="40">
        <f t="shared" si="0"/>
        <v>11</v>
      </c>
      <c r="E536" s="40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41"/>
      <c r="B537" s="48"/>
      <c r="C537" s="39" t="s">
        <v>774</v>
      </c>
      <c r="D537" s="40">
        <f t="shared" si="0"/>
        <v>10</v>
      </c>
      <c r="E537" s="40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41"/>
      <c r="B538" s="48"/>
      <c r="C538" s="39" t="s">
        <v>775</v>
      </c>
      <c r="D538" s="40">
        <f t="shared" si="0"/>
        <v>11</v>
      </c>
      <c r="E538" s="40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41"/>
      <c r="B539" s="48"/>
      <c r="C539" s="39" t="s">
        <v>776</v>
      </c>
      <c r="D539" s="40">
        <f t="shared" si="0"/>
        <v>11</v>
      </c>
      <c r="E539" s="40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41"/>
      <c r="B540" s="48"/>
      <c r="C540" s="39" t="s">
        <v>777</v>
      </c>
      <c r="D540" s="40">
        <f t="shared" si="0"/>
        <v>13</v>
      </c>
      <c r="E540" s="40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41"/>
      <c r="B541" s="48"/>
      <c r="C541" s="39" t="s">
        <v>778</v>
      </c>
      <c r="D541" s="40">
        <f t="shared" si="0"/>
        <v>15</v>
      </c>
      <c r="E541" s="40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41"/>
      <c r="B542" s="48"/>
      <c r="C542" s="39" t="s">
        <v>484</v>
      </c>
      <c r="D542" s="40">
        <f t="shared" si="0"/>
        <v>6</v>
      </c>
      <c r="E542" s="40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41"/>
      <c r="B543" s="48"/>
      <c r="C543" s="39" t="s">
        <v>313</v>
      </c>
      <c r="D543" s="40">
        <f t="shared" si="0"/>
        <v>3</v>
      </c>
      <c r="E543" s="7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9"/>
      <c r="B544" s="60" t="s">
        <v>165</v>
      </c>
      <c r="C544" s="34" t="s">
        <v>337</v>
      </c>
      <c r="D544" s="40">
        <f t="shared" si="0"/>
        <v>2</v>
      </c>
      <c r="E544" s="35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61"/>
      <c r="B545" s="70"/>
      <c r="C545" s="34" t="s">
        <v>338</v>
      </c>
      <c r="D545" s="40">
        <f t="shared" si="0"/>
        <v>2</v>
      </c>
      <c r="E545" s="35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41"/>
      <c r="B546" s="47" t="s">
        <v>166</v>
      </c>
      <c r="C546" s="39" t="s">
        <v>779</v>
      </c>
      <c r="D546" s="40">
        <f t="shared" si="0"/>
        <v>13</v>
      </c>
      <c r="E546" s="40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41"/>
      <c r="B547" s="48"/>
      <c r="C547" s="39" t="s">
        <v>780</v>
      </c>
      <c r="D547" s="40">
        <f t="shared" si="0"/>
        <v>4</v>
      </c>
      <c r="E547" s="40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41"/>
      <c r="B548" s="48"/>
      <c r="C548" s="39" t="s">
        <v>781</v>
      </c>
      <c r="D548" s="40">
        <f t="shared" si="0"/>
        <v>8</v>
      </c>
      <c r="E548" s="40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41"/>
      <c r="B549" s="48"/>
      <c r="C549" s="39" t="s">
        <v>782</v>
      </c>
      <c r="D549" s="40">
        <f t="shared" si="0"/>
        <v>5</v>
      </c>
      <c r="E549" s="40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41"/>
      <c r="B550" s="48"/>
      <c r="C550" s="39" t="s">
        <v>783</v>
      </c>
      <c r="D550" s="40">
        <f t="shared" si="0"/>
        <v>4</v>
      </c>
      <c r="E550" s="40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9"/>
      <c r="B551" s="60" t="s">
        <v>168</v>
      </c>
      <c r="C551" s="34" t="s">
        <v>337</v>
      </c>
      <c r="D551" s="40">
        <f t="shared" si="0"/>
        <v>2</v>
      </c>
      <c r="E551" s="35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61"/>
      <c r="B552" s="70"/>
      <c r="C552" s="34" t="s">
        <v>338</v>
      </c>
      <c r="D552" s="40">
        <f t="shared" si="0"/>
        <v>2</v>
      </c>
      <c r="E552" s="35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2"/>
      <c r="B553" s="47" t="s">
        <v>784</v>
      </c>
      <c r="C553" s="39" t="s">
        <v>785</v>
      </c>
      <c r="D553" s="40">
        <f t="shared" si="0"/>
        <v>19</v>
      </c>
      <c r="E553" s="40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3"/>
      <c r="B554" s="73"/>
      <c r="C554" s="39" t="s">
        <v>786</v>
      </c>
      <c r="D554" s="40">
        <f t="shared" si="0"/>
        <v>18</v>
      </c>
      <c r="E554" s="40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3"/>
      <c r="B555" s="73"/>
      <c r="C555" s="39" t="s">
        <v>787</v>
      </c>
      <c r="D555" s="40">
        <f t="shared" si="0"/>
        <v>37</v>
      </c>
      <c r="E555" s="40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3"/>
      <c r="B556" s="73"/>
      <c r="C556" s="39" t="s">
        <v>788</v>
      </c>
      <c r="D556" s="40">
        <f t="shared" si="0"/>
        <v>21</v>
      </c>
      <c r="E556" s="40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3"/>
      <c r="B557" s="73"/>
      <c r="C557" s="39" t="s">
        <v>789</v>
      </c>
      <c r="D557" s="40">
        <f t="shared" si="0"/>
        <v>23</v>
      </c>
      <c r="E557" s="40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3"/>
      <c r="B558" s="73"/>
      <c r="C558" s="39" t="s">
        <v>790</v>
      </c>
      <c r="D558" s="40">
        <f t="shared" si="0"/>
        <v>20</v>
      </c>
      <c r="E558" s="40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3"/>
      <c r="B559" s="73"/>
      <c r="C559" s="39" t="s">
        <v>791</v>
      </c>
      <c r="D559" s="40">
        <f t="shared" si="0"/>
        <v>26</v>
      </c>
      <c r="E559" s="40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3"/>
      <c r="B560" s="73"/>
      <c r="C560" s="39" t="s">
        <v>792</v>
      </c>
      <c r="D560" s="40">
        <f t="shared" si="0"/>
        <v>40</v>
      </c>
      <c r="E560" s="40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3"/>
      <c r="B561" s="73"/>
      <c r="C561" s="39" t="s">
        <v>793</v>
      </c>
      <c r="D561" s="40">
        <f t="shared" si="0"/>
        <v>38</v>
      </c>
      <c r="E561" s="40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3"/>
      <c r="B562" s="73"/>
      <c r="C562" s="39" t="s">
        <v>794</v>
      </c>
      <c r="D562" s="40">
        <f t="shared" si="0"/>
        <v>57</v>
      </c>
      <c r="E562" s="40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3"/>
      <c r="B563" s="73"/>
      <c r="C563" s="39" t="s">
        <v>795</v>
      </c>
      <c r="D563" s="40">
        <f t="shared" si="0"/>
        <v>59</v>
      </c>
      <c r="E563" s="40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3"/>
      <c r="B564" s="73"/>
      <c r="C564" s="39" t="s">
        <v>796</v>
      </c>
      <c r="D564" s="40">
        <f t="shared" si="0"/>
        <v>41</v>
      </c>
      <c r="E564" s="40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3"/>
      <c r="B565" s="73"/>
      <c r="C565" s="39" t="s">
        <v>797</v>
      </c>
      <c r="D565" s="40">
        <f t="shared" si="0"/>
        <v>43</v>
      </c>
      <c r="E565" s="40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3"/>
      <c r="B566" s="73"/>
      <c r="C566" s="39" t="s">
        <v>798</v>
      </c>
      <c r="D566" s="40">
        <f t="shared" si="0"/>
        <v>40</v>
      </c>
      <c r="E566" s="40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3"/>
      <c r="B567" s="73"/>
      <c r="C567" s="39" t="s">
        <v>799</v>
      </c>
      <c r="D567" s="40">
        <f t="shared" si="0"/>
        <v>46</v>
      </c>
      <c r="E567" s="40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3"/>
      <c r="B568" s="73"/>
      <c r="C568" s="39" t="s">
        <v>800</v>
      </c>
      <c r="D568" s="40">
        <f t="shared" si="0"/>
        <v>21</v>
      </c>
      <c r="E568" s="40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3"/>
      <c r="B569" s="73"/>
      <c r="C569" s="39" t="s">
        <v>801</v>
      </c>
      <c r="D569" s="40">
        <f t="shared" si="0"/>
        <v>19</v>
      </c>
      <c r="E569" s="40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3"/>
      <c r="B570" s="73"/>
      <c r="C570" s="39" t="s">
        <v>802</v>
      </c>
      <c r="D570" s="40">
        <f t="shared" si="0"/>
        <v>38</v>
      </c>
      <c r="E570" s="40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3"/>
      <c r="B571" s="73"/>
      <c r="C571" s="39" t="s">
        <v>803</v>
      </c>
      <c r="D571" s="40">
        <f t="shared" si="0"/>
        <v>27</v>
      </c>
      <c r="E571" s="40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3"/>
      <c r="B572" s="73"/>
      <c r="C572" s="39" t="s">
        <v>804</v>
      </c>
      <c r="D572" s="40">
        <f t="shared" si="0"/>
        <v>15</v>
      </c>
      <c r="E572" s="40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3"/>
      <c r="B573" s="73"/>
      <c r="C573" s="39" t="s">
        <v>805</v>
      </c>
      <c r="D573" s="40">
        <f t="shared" si="0"/>
        <v>13</v>
      </c>
      <c r="E573" s="40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3"/>
      <c r="B574" s="73"/>
      <c r="C574" s="39" t="s">
        <v>806</v>
      </c>
      <c r="D574" s="40">
        <f t="shared" si="0"/>
        <v>32</v>
      </c>
      <c r="E574" s="40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3"/>
      <c r="B575" s="73"/>
      <c r="C575" s="39" t="s">
        <v>807</v>
      </c>
      <c r="D575" s="40">
        <f t="shared" si="0"/>
        <v>16</v>
      </c>
      <c r="E575" s="40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3"/>
      <c r="B576" s="73"/>
      <c r="C576" s="39" t="s">
        <v>808</v>
      </c>
      <c r="D576" s="40">
        <f t="shared" si="0"/>
        <v>18</v>
      </c>
      <c r="E576" s="40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3"/>
      <c r="B577" s="73"/>
      <c r="C577" s="39" t="s">
        <v>809</v>
      </c>
      <c r="D577" s="40">
        <f t="shared" si="0"/>
        <v>15</v>
      </c>
      <c r="E577" s="40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3"/>
      <c r="B578" s="73"/>
      <c r="C578" s="39" t="s">
        <v>810</v>
      </c>
      <c r="D578" s="40">
        <f t="shared" si="0"/>
        <v>21</v>
      </c>
      <c r="E578" s="40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3"/>
      <c r="B579" s="73"/>
      <c r="C579" s="39" t="s">
        <v>811</v>
      </c>
      <c r="D579" s="40">
        <f t="shared" si="0"/>
        <v>27</v>
      </c>
      <c r="E579" s="40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3"/>
      <c r="B580" s="73"/>
      <c r="C580" s="39" t="s">
        <v>812</v>
      </c>
      <c r="D580" s="40">
        <f t="shared" si="0"/>
        <v>17</v>
      </c>
      <c r="E580" s="40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3"/>
      <c r="B581" s="73"/>
      <c r="C581" s="39" t="s">
        <v>813</v>
      </c>
      <c r="D581" s="40">
        <f t="shared" si="0"/>
        <v>18</v>
      </c>
      <c r="E581" s="40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3"/>
      <c r="B582" s="73"/>
      <c r="C582" s="39" t="s">
        <v>814</v>
      </c>
      <c r="D582" s="40">
        <f t="shared" si="0"/>
        <v>31</v>
      </c>
      <c r="E582" s="40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3"/>
      <c r="B583" s="73"/>
      <c r="C583" s="39" t="s">
        <v>815</v>
      </c>
      <c r="D583" s="40">
        <f t="shared" si="0"/>
        <v>29</v>
      </c>
      <c r="E583" s="40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3"/>
      <c r="B584" s="73"/>
      <c r="C584" s="39" t="s">
        <v>816</v>
      </c>
      <c r="D584" s="40">
        <f t="shared" si="0"/>
        <v>48</v>
      </c>
      <c r="E584" s="40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3"/>
      <c r="B585" s="73"/>
      <c r="C585" s="39" t="s">
        <v>817</v>
      </c>
      <c r="D585" s="40">
        <f t="shared" si="0"/>
        <v>32</v>
      </c>
      <c r="E585" s="40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3"/>
      <c r="B586" s="73"/>
      <c r="C586" s="39" t="s">
        <v>818</v>
      </c>
      <c r="D586" s="40">
        <f t="shared" si="0"/>
        <v>37</v>
      </c>
      <c r="E586" s="40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3"/>
      <c r="B587" s="73"/>
      <c r="C587" s="39" t="s">
        <v>819</v>
      </c>
      <c r="D587" s="40">
        <f t="shared" si="0"/>
        <v>24</v>
      </c>
      <c r="E587" s="40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3"/>
      <c r="B588" s="73"/>
      <c r="C588" s="39" t="s">
        <v>820</v>
      </c>
      <c r="D588" s="40">
        <f t="shared" si="0"/>
        <v>40</v>
      </c>
      <c r="E588" s="40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3"/>
      <c r="B589" s="73"/>
      <c r="C589" s="39" t="s">
        <v>821</v>
      </c>
      <c r="D589" s="40">
        <f t="shared" si="0"/>
        <v>34</v>
      </c>
      <c r="E589" s="40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3"/>
      <c r="B590" s="73"/>
      <c r="C590" s="39" t="s">
        <v>822</v>
      </c>
      <c r="D590" s="40">
        <f t="shared" si="0"/>
        <v>68</v>
      </c>
      <c r="E590" s="40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4"/>
      <c r="B591" s="74"/>
      <c r="C591" s="39" t="s">
        <v>823</v>
      </c>
      <c r="D591" s="40">
        <f t="shared" si="0"/>
        <v>60</v>
      </c>
      <c r="E591" s="40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61"/>
      <c r="B592" s="69" t="s">
        <v>159</v>
      </c>
      <c r="C592" s="34" t="s">
        <v>824</v>
      </c>
      <c r="D592" s="40">
        <f t="shared" si="0"/>
        <v>5</v>
      </c>
      <c r="E592" s="35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61"/>
      <c r="B593" s="70"/>
      <c r="C593" s="34" t="s">
        <v>825</v>
      </c>
      <c r="D593" s="40">
        <f t="shared" si="0"/>
        <v>6</v>
      </c>
      <c r="E593" s="35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61"/>
      <c r="B594" s="70"/>
      <c r="C594" s="34" t="s">
        <v>313</v>
      </c>
      <c r="D594" s="40">
        <f t="shared" si="0"/>
        <v>3</v>
      </c>
      <c r="E594" s="35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5"/>
      <c r="B595" s="57" t="s">
        <v>87</v>
      </c>
      <c r="C595" s="39" t="s">
        <v>337</v>
      </c>
      <c r="D595" s="40">
        <f t="shared" si="0"/>
        <v>2</v>
      </c>
      <c r="E595" s="40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6"/>
      <c r="B596" s="77"/>
      <c r="C596" s="78" t="s">
        <v>338</v>
      </c>
      <c r="D596" s="40">
        <f t="shared" si="0"/>
        <v>2</v>
      </c>
      <c r="E596" s="40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5"/>
      <c r="B597" s="60" t="s">
        <v>114</v>
      </c>
      <c r="C597" s="35" t="s">
        <v>826</v>
      </c>
      <c r="D597" s="40">
        <f t="shared" si="0"/>
        <v>19</v>
      </c>
      <c r="E597" s="35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61"/>
      <c r="B598" s="61"/>
      <c r="C598" s="35" t="s">
        <v>827</v>
      </c>
      <c r="D598" s="40">
        <f t="shared" si="0"/>
        <v>20</v>
      </c>
      <c r="E598" s="35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61"/>
      <c r="B599" s="61"/>
      <c r="C599" s="35" t="s">
        <v>828</v>
      </c>
      <c r="D599" s="40">
        <f t="shared" si="0"/>
        <v>4</v>
      </c>
      <c r="E599" s="35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61"/>
      <c r="B600" s="61"/>
      <c r="C600" s="35" t="s">
        <v>829</v>
      </c>
      <c r="D600" s="40">
        <f t="shared" si="0"/>
        <v>9</v>
      </c>
      <c r="E600" s="35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61"/>
      <c r="B601" s="61"/>
      <c r="C601" s="35" t="s">
        <v>830</v>
      </c>
      <c r="D601" s="40">
        <f t="shared" si="0"/>
        <v>19</v>
      </c>
      <c r="E601" s="35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61"/>
      <c r="B602" s="61"/>
      <c r="C602" s="35" t="s">
        <v>831</v>
      </c>
      <c r="D602" s="40">
        <f t="shared" si="0"/>
        <v>28</v>
      </c>
      <c r="E602" s="35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61"/>
      <c r="B603" s="61"/>
      <c r="C603" s="35" t="s">
        <v>832</v>
      </c>
      <c r="D603" s="40">
        <f t="shared" si="0"/>
        <v>26</v>
      </c>
      <c r="E603" s="35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61"/>
      <c r="B604" s="61"/>
      <c r="C604" s="35" t="s">
        <v>833</v>
      </c>
      <c r="D604" s="40">
        <f t="shared" si="0"/>
        <v>23</v>
      </c>
      <c r="E604" s="35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61"/>
      <c r="B605" s="61"/>
      <c r="C605" s="35" t="s">
        <v>834</v>
      </c>
      <c r="D605" s="40">
        <f t="shared" si="0"/>
        <v>18</v>
      </c>
      <c r="E605" s="35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61"/>
      <c r="B606" s="61"/>
      <c r="C606" s="35" t="s">
        <v>835</v>
      </c>
      <c r="D606" s="40">
        <f t="shared" si="0"/>
        <v>25</v>
      </c>
      <c r="E606" s="35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61"/>
      <c r="B607" s="61"/>
      <c r="C607" s="35" t="s">
        <v>836</v>
      </c>
      <c r="D607" s="40">
        <f t="shared" si="0"/>
        <v>22</v>
      </c>
      <c r="E607" s="35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61"/>
      <c r="B608" s="61"/>
      <c r="C608" s="35" t="s">
        <v>837</v>
      </c>
      <c r="D608" s="40">
        <f t="shared" si="0"/>
        <v>19</v>
      </c>
      <c r="E608" s="35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61"/>
      <c r="B609" s="61"/>
      <c r="C609" s="35" t="s">
        <v>838</v>
      </c>
      <c r="D609" s="40">
        <f t="shared" si="0"/>
        <v>14</v>
      </c>
      <c r="E609" s="35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61"/>
      <c r="B610" s="61"/>
      <c r="C610" s="35" t="s">
        <v>839</v>
      </c>
      <c r="D610" s="40">
        <f t="shared" si="0"/>
        <v>23</v>
      </c>
      <c r="E610" s="35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61"/>
      <c r="B611" s="61"/>
      <c r="C611" s="35" t="s">
        <v>840</v>
      </c>
      <c r="D611" s="40">
        <f t="shared" si="0"/>
        <v>15</v>
      </c>
      <c r="E611" s="35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61"/>
      <c r="B612" s="61"/>
      <c r="C612" s="35" t="s">
        <v>841</v>
      </c>
      <c r="D612" s="40">
        <f t="shared" si="0"/>
        <v>12</v>
      </c>
      <c r="E612" s="35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61"/>
      <c r="B613" s="61"/>
      <c r="C613" s="35" t="s">
        <v>842</v>
      </c>
      <c r="D613" s="40">
        <f t="shared" si="0"/>
        <v>8</v>
      </c>
      <c r="E613" s="35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61"/>
      <c r="B614" s="61"/>
      <c r="C614" s="35" t="s">
        <v>843</v>
      </c>
      <c r="D614" s="40">
        <f t="shared" si="0"/>
        <v>6</v>
      </c>
      <c r="E614" s="35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61"/>
      <c r="B615" s="61"/>
      <c r="C615" s="35" t="s">
        <v>844</v>
      </c>
      <c r="D615" s="40">
        <f t="shared" si="0"/>
        <v>16</v>
      </c>
      <c r="E615" s="35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61"/>
      <c r="B616" s="61"/>
      <c r="C616" s="35" t="s">
        <v>845</v>
      </c>
      <c r="D616" s="40">
        <f t="shared" si="0"/>
        <v>22</v>
      </c>
      <c r="E616" s="35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61"/>
      <c r="B617" s="61"/>
      <c r="C617" s="35" t="s">
        <v>846</v>
      </c>
      <c r="D617" s="40">
        <f t="shared" si="0"/>
        <v>32</v>
      </c>
      <c r="E617" s="35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61"/>
      <c r="B618" s="61"/>
      <c r="C618" s="35" t="s">
        <v>847</v>
      </c>
      <c r="D618" s="40">
        <f t="shared" si="0"/>
        <v>11</v>
      </c>
      <c r="E618" s="35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61"/>
      <c r="B619" s="61"/>
      <c r="C619" s="35" t="s">
        <v>848</v>
      </c>
      <c r="D619" s="40">
        <f t="shared" si="0"/>
        <v>10</v>
      </c>
      <c r="E619" s="35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61"/>
      <c r="B620" s="61"/>
      <c r="C620" s="35" t="s">
        <v>568</v>
      </c>
      <c r="D620" s="40">
        <f t="shared" si="0"/>
        <v>5</v>
      </c>
      <c r="E620" s="35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61"/>
      <c r="B621" s="61"/>
      <c r="C621" s="34" t="s">
        <v>849</v>
      </c>
      <c r="D621" s="40">
        <f t="shared" si="0"/>
        <v>10</v>
      </c>
      <c r="E621" s="35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5"/>
      <c r="B622" s="47" t="s">
        <v>177</v>
      </c>
      <c r="C622" s="39" t="s">
        <v>850</v>
      </c>
      <c r="D622" s="40">
        <f t="shared" si="0"/>
        <v>25</v>
      </c>
      <c r="E622" s="40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8"/>
      <c r="B623" s="48"/>
      <c r="C623" s="39" t="s">
        <v>851</v>
      </c>
      <c r="D623" s="40">
        <f t="shared" si="0"/>
        <v>10</v>
      </c>
      <c r="E623" s="40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8"/>
      <c r="B624" s="48"/>
      <c r="C624" s="39" t="s">
        <v>852</v>
      </c>
      <c r="D624" s="40">
        <f t="shared" si="0"/>
        <v>5</v>
      </c>
      <c r="E624" s="40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8"/>
      <c r="B625" s="48"/>
      <c r="C625" s="39" t="s">
        <v>853</v>
      </c>
      <c r="D625" s="40">
        <f t="shared" si="0"/>
        <v>17</v>
      </c>
      <c r="E625" s="40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8"/>
      <c r="B626" s="48"/>
      <c r="C626" s="39" t="s">
        <v>854</v>
      </c>
      <c r="D626" s="40">
        <f t="shared" si="0"/>
        <v>12</v>
      </c>
      <c r="E626" s="40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8"/>
      <c r="B627" s="48"/>
      <c r="C627" s="39" t="s">
        <v>855</v>
      </c>
      <c r="D627" s="40">
        <f t="shared" si="0"/>
        <v>23</v>
      </c>
      <c r="E627" s="40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8"/>
      <c r="B628" s="48"/>
      <c r="C628" s="39" t="s">
        <v>856</v>
      </c>
      <c r="D628" s="40">
        <f t="shared" si="0"/>
        <v>7</v>
      </c>
      <c r="E628" s="40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8"/>
      <c r="B629" s="48"/>
      <c r="C629" s="39" t="s">
        <v>461</v>
      </c>
      <c r="D629" s="40">
        <f t="shared" si="0"/>
        <v>4</v>
      </c>
      <c r="E629" s="40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8"/>
      <c r="B630" s="48"/>
      <c r="C630" s="39" t="s">
        <v>857</v>
      </c>
      <c r="D630" s="40">
        <f t="shared" si="0"/>
        <v>6</v>
      </c>
      <c r="E630" s="40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8"/>
      <c r="B631" s="48"/>
      <c r="C631" s="39" t="s">
        <v>858</v>
      </c>
      <c r="D631" s="40">
        <f t="shared" si="0"/>
        <v>5</v>
      </c>
      <c r="E631" s="40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8"/>
      <c r="B632" s="48"/>
      <c r="C632" s="39" t="s">
        <v>859</v>
      </c>
      <c r="D632" s="40">
        <f t="shared" si="0"/>
        <v>19</v>
      </c>
      <c r="E632" s="40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9"/>
      <c r="B633" s="49"/>
      <c r="C633" s="39" t="s">
        <v>313</v>
      </c>
      <c r="D633" s="40">
        <f t="shared" si="0"/>
        <v>3</v>
      </c>
      <c r="E633" s="40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61"/>
      <c r="B634" s="69" t="s">
        <v>178</v>
      </c>
      <c r="C634" s="34" t="s">
        <v>860</v>
      </c>
      <c r="D634" s="40">
        <f t="shared" si="0"/>
        <v>14</v>
      </c>
      <c r="E634" s="34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61"/>
      <c r="B635" s="70"/>
      <c r="C635" s="34" t="s">
        <v>862</v>
      </c>
      <c r="D635" s="40">
        <f t="shared" si="0"/>
        <v>14</v>
      </c>
      <c r="E635" s="34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61"/>
      <c r="B636" s="70"/>
      <c r="C636" s="34" t="s">
        <v>864</v>
      </c>
      <c r="D636" s="40">
        <f t="shared" si="0"/>
        <v>13</v>
      </c>
      <c r="E636" s="34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61"/>
      <c r="B637" s="70"/>
      <c r="C637" s="34" t="s">
        <v>866</v>
      </c>
      <c r="D637" s="40">
        <f t="shared" si="0"/>
        <v>9</v>
      </c>
      <c r="E637" s="34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61"/>
      <c r="B638" s="70"/>
      <c r="C638" s="34" t="s">
        <v>868</v>
      </c>
      <c r="D638" s="40">
        <f t="shared" si="0"/>
        <v>6</v>
      </c>
      <c r="E638" s="34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61"/>
      <c r="B639" s="70"/>
      <c r="C639" s="34" t="s">
        <v>870</v>
      </c>
      <c r="D639" s="40">
        <f t="shared" si="0"/>
        <v>6</v>
      </c>
      <c r="E639" s="34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61"/>
      <c r="B640" s="70"/>
      <c r="C640" s="34" t="s">
        <v>872</v>
      </c>
      <c r="D640" s="40">
        <f t="shared" si="0"/>
        <v>18</v>
      </c>
      <c r="E640" s="34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61"/>
      <c r="B641" s="70"/>
      <c r="C641" s="34" t="s">
        <v>874</v>
      </c>
      <c r="D641" s="40">
        <f t="shared" si="0"/>
        <v>6</v>
      </c>
      <c r="E641" s="34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61"/>
      <c r="B642" s="70"/>
      <c r="C642" s="34" t="s">
        <v>313</v>
      </c>
      <c r="D642" s="40">
        <f t="shared" si="0"/>
        <v>3</v>
      </c>
      <c r="E642" s="35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5"/>
      <c r="B643" s="47" t="s">
        <v>875</v>
      </c>
      <c r="C643" s="39" t="s">
        <v>876</v>
      </c>
      <c r="D643" s="40">
        <f t="shared" si="0"/>
        <v>11</v>
      </c>
      <c r="E643" s="40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8"/>
      <c r="B644" s="48"/>
      <c r="C644" s="39" t="s">
        <v>878</v>
      </c>
      <c r="D644" s="40">
        <f t="shared" si="0"/>
        <v>14</v>
      </c>
      <c r="E644" s="40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8"/>
      <c r="B645" s="48"/>
      <c r="C645" s="39" t="s">
        <v>880</v>
      </c>
      <c r="D645" s="40">
        <f t="shared" si="0"/>
        <v>12</v>
      </c>
      <c r="E645" s="40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8"/>
      <c r="B646" s="48"/>
      <c r="C646" s="39" t="s">
        <v>882</v>
      </c>
      <c r="D646" s="40">
        <f t="shared" si="0"/>
        <v>11</v>
      </c>
      <c r="E646" s="40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8"/>
      <c r="B647" s="48"/>
      <c r="C647" s="39" t="s">
        <v>884</v>
      </c>
      <c r="D647" s="40">
        <f t="shared" si="0"/>
        <v>5</v>
      </c>
      <c r="E647" s="40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9"/>
      <c r="B648" s="49"/>
      <c r="C648" s="39" t="s">
        <v>313</v>
      </c>
      <c r="D648" s="40">
        <f t="shared" si="0"/>
        <v>3</v>
      </c>
      <c r="E648" s="40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61"/>
      <c r="B649" s="69" t="s">
        <v>103</v>
      </c>
      <c r="C649" s="34" t="s">
        <v>885</v>
      </c>
      <c r="D649" s="40">
        <f t="shared" si="0"/>
        <v>15</v>
      </c>
      <c r="E649" s="35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61"/>
      <c r="B650" s="70"/>
      <c r="C650" s="34" t="s">
        <v>886</v>
      </c>
      <c r="D650" s="40">
        <f t="shared" si="0"/>
        <v>15</v>
      </c>
      <c r="E650" s="35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61"/>
      <c r="B651" s="70"/>
      <c r="C651" s="34" t="s">
        <v>887</v>
      </c>
      <c r="D651" s="40">
        <f t="shared" si="0"/>
        <v>10</v>
      </c>
      <c r="E651" s="35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61"/>
      <c r="B652" s="70"/>
      <c r="C652" s="34" t="s">
        <v>888</v>
      </c>
      <c r="D652" s="40">
        <f t="shared" si="0"/>
        <v>15</v>
      </c>
      <c r="E652" s="35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61"/>
      <c r="B653" s="70"/>
      <c r="C653" s="34" t="s">
        <v>313</v>
      </c>
      <c r="D653" s="40">
        <f t="shared" si="0"/>
        <v>3</v>
      </c>
      <c r="E653" s="35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5"/>
      <c r="B654" s="47" t="s">
        <v>104</v>
      </c>
      <c r="C654" s="39" t="s">
        <v>889</v>
      </c>
      <c r="D654" s="40">
        <f t="shared" si="0"/>
        <v>10</v>
      </c>
      <c r="E654" s="40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8"/>
      <c r="B655" s="48"/>
      <c r="C655" s="39" t="s">
        <v>890</v>
      </c>
      <c r="D655" s="40">
        <f t="shared" si="0"/>
        <v>7</v>
      </c>
      <c r="E655" s="40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61"/>
      <c r="B656" s="69" t="s">
        <v>17</v>
      </c>
      <c r="C656" s="34" t="s">
        <v>15</v>
      </c>
      <c r="D656" s="40">
        <f t="shared" si="0"/>
        <v>9</v>
      </c>
      <c r="E656" s="35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61"/>
      <c r="B657" s="70"/>
      <c r="C657" s="34" t="s">
        <v>16</v>
      </c>
      <c r="D657" s="40">
        <f t="shared" si="0"/>
        <v>11</v>
      </c>
      <c r="E657" s="35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5"/>
      <c r="B658" s="47" t="s">
        <v>139</v>
      </c>
      <c r="C658" s="39" t="s">
        <v>891</v>
      </c>
      <c r="D658" s="40">
        <f t="shared" si="0"/>
        <v>4</v>
      </c>
      <c r="E658" s="40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8"/>
      <c r="B659" s="48"/>
      <c r="C659" s="39" t="s">
        <v>892</v>
      </c>
      <c r="D659" s="40">
        <f t="shared" si="0"/>
        <v>5</v>
      </c>
      <c r="E659" s="40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8"/>
      <c r="B660" s="48"/>
      <c r="C660" s="39" t="s">
        <v>893</v>
      </c>
      <c r="D660" s="40">
        <f t="shared" si="0"/>
        <v>5</v>
      </c>
      <c r="E660" s="40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8"/>
      <c r="B661" s="48"/>
      <c r="C661" s="39" t="s">
        <v>894</v>
      </c>
      <c r="D661" s="40">
        <f t="shared" si="0"/>
        <v>6</v>
      </c>
      <c r="E661" s="40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8"/>
      <c r="B662" s="48"/>
      <c r="C662" s="39" t="s">
        <v>895</v>
      </c>
      <c r="D662" s="40">
        <f t="shared" si="0"/>
        <v>8</v>
      </c>
      <c r="E662" s="40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8"/>
      <c r="B663" s="48"/>
      <c r="C663" s="39" t="s">
        <v>896</v>
      </c>
      <c r="D663" s="40">
        <f t="shared" si="0"/>
        <v>4</v>
      </c>
      <c r="E663" s="40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8"/>
      <c r="B664" s="48"/>
      <c r="C664" s="39" t="s">
        <v>313</v>
      </c>
      <c r="D664" s="40">
        <f t="shared" si="0"/>
        <v>3</v>
      </c>
      <c r="E664" s="40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9"/>
      <c r="B665" s="49"/>
      <c r="C665" s="39" t="s">
        <v>897</v>
      </c>
      <c r="D665" s="40">
        <f t="shared" si="0"/>
        <v>3</v>
      </c>
      <c r="E665" s="40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61"/>
      <c r="B666" s="69" t="s">
        <v>140</v>
      </c>
      <c r="C666" s="35" t="s">
        <v>898</v>
      </c>
      <c r="D666" s="40">
        <f t="shared" si="0"/>
        <v>8</v>
      </c>
      <c r="E666" s="35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61"/>
      <c r="B667" s="70"/>
      <c r="C667" s="35" t="s">
        <v>899</v>
      </c>
      <c r="D667" s="40">
        <f t="shared" si="0"/>
        <v>11</v>
      </c>
      <c r="E667" s="35"/>
      <c r="F667" s="11"/>
      <c r="G667" s="7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5"/>
      <c r="B668" s="47" t="s">
        <v>85</v>
      </c>
      <c r="C668" s="39" t="s">
        <v>900</v>
      </c>
      <c r="D668" s="40">
        <f t="shared" si="0"/>
        <v>15</v>
      </c>
      <c r="E668" s="40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8"/>
      <c r="B669" s="48"/>
      <c r="C669" s="39" t="s">
        <v>901</v>
      </c>
      <c r="D669" s="40">
        <f t="shared" si="0"/>
        <v>11</v>
      </c>
      <c r="E669" s="40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8"/>
      <c r="B670" s="48"/>
      <c r="C670" s="40" t="s">
        <v>902</v>
      </c>
      <c r="D670" s="40">
        <f t="shared" si="0"/>
        <v>5</v>
      </c>
      <c r="E670" s="40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8"/>
      <c r="B671" s="48"/>
      <c r="C671" s="40" t="s">
        <v>903</v>
      </c>
      <c r="D671" s="40">
        <f t="shared" si="0"/>
        <v>4</v>
      </c>
      <c r="E671" s="40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8"/>
      <c r="B672" s="48"/>
      <c r="C672" s="40" t="s">
        <v>904</v>
      </c>
      <c r="D672" s="40">
        <f t="shared" si="0"/>
        <v>5</v>
      </c>
      <c r="E672" s="40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8"/>
      <c r="B673" s="48"/>
      <c r="C673" s="40" t="s">
        <v>905</v>
      </c>
      <c r="D673" s="40">
        <f t="shared" si="0"/>
        <v>7</v>
      </c>
      <c r="E673" s="40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8"/>
      <c r="B674" s="48"/>
      <c r="C674" s="40" t="s">
        <v>906</v>
      </c>
      <c r="D674" s="40">
        <f t="shared" si="0"/>
        <v>4</v>
      </c>
      <c r="E674" s="40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8"/>
      <c r="B675" s="48"/>
      <c r="C675" s="40" t="s">
        <v>907</v>
      </c>
      <c r="D675" s="40">
        <f t="shared" si="0"/>
        <v>5</v>
      </c>
      <c r="E675" s="40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8"/>
      <c r="B676" s="48"/>
      <c r="C676" s="40" t="s">
        <v>908</v>
      </c>
      <c r="D676" s="40">
        <f t="shared" si="0"/>
        <v>6</v>
      </c>
      <c r="E676" s="40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8"/>
      <c r="B677" s="48"/>
      <c r="C677" s="40" t="s">
        <v>909</v>
      </c>
      <c r="D677" s="40">
        <f t="shared" si="0"/>
        <v>4</v>
      </c>
      <c r="E677" s="40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8"/>
      <c r="B678" s="48"/>
      <c r="C678" s="40" t="s">
        <v>568</v>
      </c>
      <c r="D678" s="40">
        <f t="shared" si="0"/>
        <v>5</v>
      </c>
      <c r="E678" s="40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9"/>
      <c r="B679" s="49"/>
      <c r="C679" s="39" t="s">
        <v>897</v>
      </c>
      <c r="D679" s="40">
        <f t="shared" si="0"/>
        <v>3</v>
      </c>
      <c r="E679" s="40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5"/>
      <c r="B680" s="56" t="s">
        <v>143</v>
      </c>
      <c r="C680" s="34" t="s">
        <v>891</v>
      </c>
      <c r="D680" s="40">
        <f t="shared" si="0"/>
        <v>4</v>
      </c>
      <c r="E680" s="35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50"/>
      <c r="B681" s="50"/>
      <c r="C681" s="34" t="s">
        <v>892</v>
      </c>
      <c r="D681" s="40">
        <f t="shared" si="0"/>
        <v>5</v>
      </c>
      <c r="E681" s="35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50"/>
      <c r="B682" s="50"/>
      <c r="C682" s="34" t="s">
        <v>893</v>
      </c>
      <c r="D682" s="40">
        <f t="shared" si="0"/>
        <v>5</v>
      </c>
      <c r="E682" s="35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50"/>
      <c r="B683" s="50"/>
      <c r="C683" s="34" t="s">
        <v>894</v>
      </c>
      <c r="D683" s="40">
        <f t="shared" si="0"/>
        <v>6</v>
      </c>
      <c r="E683" s="35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50"/>
      <c r="B684" s="50"/>
      <c r="C684" s="34" t="s">
        <v>895</v>
      </c>
      <c r="D684" s="40">
        <f t="shared" si="0"/>
        <v>8</v>
      </c>
      <c r="E684" s="35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50"/>
      <c r="B685" s="50"/>
      <c r="C685" s="34" t="s">
        <v>896</v>
      </c>
      <c r="D685" s="40">
        <f t="shared" si="0"/>
        <v>4</v>
      </c>
      <c r="E685" s="35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50"/>
      <c r="B686" s="50"/>
      <c r="C686" s="34" t="s">
        <v>313</v>
      </c>
      <c r="D686" s="40">
        <f t="shared" si="0"/>
        <v>3</v>
      </c>
      <c r="E686" s="35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50"/>
      <c r="B687" s="50"/>
      <c r="C687" s="34" t="s">
        <v>897</v>
      </c>
      <c r="D687" s="40">
        <f t="shared" si="0"/>
        <v>3</v>
      </c>
      <c r="E687" s="35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5"/>
      <c r="B688" s="47" t="s">
        <v>910</v>
      </c>
      <c r="C688" s="39" t="s">
        <v>911</v>
      </c>
      <c r="D688" s="40">
        <f t="shared" si="0"/>
        <v>9</v>
      </c>
      <c r="E688" s="40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8"/>
      <c r="B689" s="49"/>
      <c r="C689" s="39" t="s">
        <v>912</v>
      </c>
      <c r="D689" s="40">
        <f t="shared" si="0"/>
        <v>12</v>
      </c>
      <c r="E689" s="40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5"/>
      <c r="B690" s="56" t="s">
        <v>142</v>
      </c>
      <c r="C690" s="34" t="s">
        <v>913</v>
      </c>
      <c r="D690" s="40">
        <f t="shared" si="0"/>
        <v>9</v>
      </c>
      <c r="E690" s="35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50"/>
      <c r="B691" s="50"/>
      <c r="C691" s="34" t="s">
        <v>914</v>
      </c>
      <c r="D691" s="40">
        <f t="shared" si="0"/>
        <v>8</v>
      </c>
      <c r="E691" s="35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5"/>
      <c r="B692" s="47" t="s">
        <v>134</v>
      </c>
      <c r="C692" s="39" t="s">
        <v>915</v>
      </c>
      <c r="D692" s="40">
        <f t="shared" si="0"/>
        <v>10</v>
      </c>
      <c r="E692" s="40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8"/>
      <c r="B693" s="48"/>
      <c r="C693" s="39" t="s">
        <v>744</v>
      </c>
      <c r="D693" s="40">
        <f t="shared" si="0"/>
        <v>11</v>
      </c>
      <c r="E693" s="40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8"/>
      <c r="B694" s="48"/>
      <c r="C694" s="39" t="s">
        <v>916</v>
      </c>
      <c r="D694" s="40">
        <f t="shared" si="0"/>
        <v>19</v>
      </c>
      <c r="E694" s="40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8"/>
      <c r="B695" s="48"/>
      <c r="C695" s="39" t="s">
        <v>917</v>
      </c>
      <c r="D695" s="40">
        <f t="shared" si="0"/>
        <v>5</v>
      </c>
      <c r="E695" s="40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8"/>
      <c r="B696" s="48"/>
      <c r="C696" s="39" t="s">
        <v>918</v>
      </c>
      <c r="D696" s="40">
        <f t="shared" si="0"/>
        <v>5</v>
      </c>
      <c r="E696" s="40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8"/>
      <c r="B697" s="48"/>
      <c r="C697" s="39" t="s">
        <v>83</v>
      </c>
      <c r="D697" s="40">
        <f t="shared" si="0"/>
        <v>8</v>
      </c>
      <c r="E697" s="40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8"/>
      <c r="B698" s="48"/>
      <c r="C698" s="39" t="s">
        <v>919</v>
      </c>
      <c r="D698" s="40">
        <f t="shared" si="0"/>
        <v>8</v>
      </c>
      <c r="E698" s="40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8"/>
      <c r="B699" s="48"/>
      <c r="C699" s="39" t="s">
        <v>920</v>
      </c>
      <c r="D699" s="40">
        <f t="shared" si="0"/>
        <v>8</v>
      </c>
      <c r="E699" s="40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8"/>
      <c r="B700" s="48"/>
      <c r="C700" s="39" t="s">
        <v>313</v>
      </c>
      <c r="D700" s="40">
        <f t="shared" si="0"/>
        <v>3</v>
      </c>
      <c r="E700" s="40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5"/>
      <c r="B701" s="56" t="s">
        <v>135</v>
      </c>
      <c r="C701" s="34" t="s">
        <v>435</v>
      </c>
      <c r="D701" s="40">
        <f t="shared" si="0"/>
        <v>11</v>
      </c>
      <c r="E701" s="35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50"/>
      <c r="B702" s="50"/>
      <c r="C702" s="34" t="s">
        <v>436</v>
      </c>
      <c r="D702" s="40">
        <f t="shared" si="0"/>
        <v>12</v>
      </c>
      <c r="E702" s="35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50"/>
      <c r="B703" s="50"/>
      <c r="C703" s="34" t="s">
        <v>437</v>
      </c>
      <c r="D703" s="40">
        <f t="shared" si="0"/>
        <v>5</v>
      </c>
      <c r="E703" s="35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50"/>
      <c r="B704" s="50"/>
      <c r="C704" s="34" t="s">
        <v>438</v>
      </c>
      <c r="D704" s="40">
        <f t="shared" si="0"/>
        <v>19</v>
      </c>
      <c r="E704" s="35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50"/>
      <c r="B705" s="50"/>
      <c r="C705" s="34" t="s">
        <v>439</v>
      </c>
      <c r="D705" s="40">
        <f t="shared" si="0"/>
        <v>6</v>
      </c>
      <c r="E705" s="35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50"/>
      <c r="B706" s="50"/>
      <c r="C706" s="34" t="s">
        <v>440</v>
      </c>
      <c r="D706" s="40">
        <f t="shared" si="0"/>
        <v>13</v>
      </c>
      <c r="E706" s="35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50"/>
      <c r="B707" s="50"/>
      <c r="C707" s="34" t="s">
        <v>442</v>
      </c>
      <c r="D707" s="40">
        <f t="shared" si="0"/>
        <v>15</v>
      </c>
      <c r="E707" s="35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50"/>
      <c r="B708" s="50"/>
      <c r="C708" s="34" t="s">
        <v>443</v>
      </c>
      <c r="D708" s="40">
        <f t="shared" si="0"/>
        <v>12</v>
      </c>
      <c r="E708" s="35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50"/>
      <c r="B709" s="50"/>
      <c r="C709" s="34" t="s">
        <v>444</v>
      </c>
      <c r="D709" s="40">
        <f t="shared" si="0"/>
        <v>5</v>
      </c>
      <c r="E709" s="35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50"/>
      <c r="B710" s="50"/>
      <c r="C710" s="34" t="s">
        <v>445</v>
      </c>
      <c r="D710" s="40">
        <f t="shared" si="0"/>
        <v>9</v>
      </c>
      <c r="E710" s="35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50"/>
      <c r="B711" s="50"/>
      <c r="C711" s="34" t="s">
        <v>446</v>
      </c>
      <c r="D711" s="40">
        <f t="shared" si="0"/>
        <v>5</v>
      </c>
      <c r="E711" s="35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50"/>
      <c r="B712" s="50"/>
      <c r="C712" s="34" t="s">
        <v>447</v>
      </c>
      <c r="D712" s="40">
        <f t="shared" si="0"/>
        <v>5</v>
      </c>
      <c r="E712" s="35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50"/>
      <c r="B713" s="50"/>
      <c r="C713" s="34" t="s">
        <v>448</v>
      </c>
      <c r="D713" s="40">
        <f t="shared" si="0"/>
        <v>14</v>
      </c>
      <c r="E713" s="35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50"/>
      <c r="B714" s="50"/>
      <c r="C714" s="34" t="s">
        <v>449</v>
      </c>
      <c r="D714" s="40">
        <f t="shared" si="0"/>
        <v>18</v>
      </c>
      <c r="E714" s="35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50"/>
      <c r="B715" s="50"/>
      <c r="C715" s="34" t="s">
        <v>450</v>
      </c>
      <c r="D715" s="40">
        <f t="shared" si="0"/>
        <v>13</v>
      </c>
      <c r="E715" s="35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50"/>
      <c r="B716" s="50"/>
      <c r="C716" s="34" t="s">
        <v>451</v>
      </c>
      <c r="D716" s="40">
        <f t="shared" si="0"/>
        <v>23</v>
      </c>
      <c r="E716" s="34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50"/>
      <c r="B717" s="50"/>
      <c r="C717" s="34" t="s">
        <v>453</v>
      </c>
      <c r="D717" s="40">
        <f t="shared" si="0"/>
        <v>14</v>
      </c>
      <c r="E717" s="35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50"/>
      <c r="B718" s="50"/>
      <c r="C718" s="34" t="s">
        <v>454</v>
      </c>
      <c r="D718" s="40">
        <f t="shared" si="0"/>
        <v>4</v>
      </c>
      <c r="E718" s="35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50"/>
      <c r="B719" s="50"/>
      <c r="C719" s="34" t="s">
        <v>455</v>
      </c>
      <c r="D719" s="40">
        <f t="shared" si="0"/>
        <v>19</v>
      </c>
      <c r="E719" s="35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50"/>
      <c r="B720" s="50"/>
      <c r="C720" s="34" t="s">
        <v>456</v>
      </c>
      <c r="D720" s="40">
        <f t="shared" si="0"/>
        <v>6</v>
      </c>
      <c r="E720" s="35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50"/>
      <c r="B721" s="50"/>
      <c r="C721" s="34" t="s">
        <v>457</v>
      </c>
      <c r="D721" s="40">
        <f t="shared" si="0"/>
        <v>13</v>
      </c>
      <c r="E721" s="35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50"/>
      <c r="B722" s="50"/>
      <c r="C722" s="34" t="s">
        <v>458</v>
      </c>
      <c r="D722" s="40">
        <f t="shared" si="0"/>
        <v>4</v>
      </c>
      <c r="E722" s="35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50"/>
      <c r="B723" s="50"/>
      <c r="C723" s="34" t="s">
        <v>459</v>
      </c>
      <c r="D723" s="40">
        <f t="shared" si="0"/>
        <v>11</v>
      </c>
      <c r="E723" s="35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50"/>
      <c r="B724" s="50"/>
      <c r="C724" s="34" t="s">
        <v>460</v>
      </c>
      <c r="D724" s="40">
        <f t="shared" si="0"/>
        <v>15</v>
      </c>
      <c r="E724" s="35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50"/>
      <c r="B725" s="50"/>
      <c r="C725" s="34" t="s">
        <v>461</v>
      </c>
      <c r="D725" s="40">
        <f t="shared" si="0"/>
        <v>4</v>
      </c>
      <c r="E725" s="35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50"/>
      <c r="B726" s="50"/>
      <c r="C726" s="34" t="s">
        <v>462</v>
      </c>
      <c r="D726" s="40">
        <f t="shared" si="0"/>
        <v>16</v>
      </c>
      <c r="E726" s="35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50"/>
      <c r="B727" s="50"/>
      <c r="C727" s="34" t="s">
        <v>463</v>
      </c>
      <c r="D727" s="40">
        <f t="shared" si="0"/>
        <v>17</v>
      </c>
      <c r="E727" s="35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50"/>
      <c r="B728" s="50"/>
      <c r="C728" s="34" t="s">
        <v>464</v>
      </c>
      <c r="D728" s="40">
        <f t="shared" si="0"/>
        <v>16</v>
      </c>
      <c r="E728" s="35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50"/>
      <c r="B729" s="50"/>
      <c r="C729" s="34" t="s">
        <v>465</v>
      </c>
      <c r="D729" s="40">
        <f t="shared" si="0"/>
        <v>14</v>
      </c>
      <c r="E729" s="35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50"/>
      <c r="B730" s="50"/>
      <c r="C730" s="34" t="s">
        <v>466</v>
      </c>
      <c r="D730" s="40">
        <f t="shared" si="0"/>
        <v>5</v>
      </c>
      <c r="E730" s="35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50"/>
      <c r="B731" s="50"/>
      <c r="C731" s="34" t="s">
        <v>467</v>
      </c>
      <c r="D731" s="40">
        <f t="shared" si="0"/>
        <v>5</v>
      </c>
      <c r="E731" s="35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50"/>
      <c r="B732" s="50"/>
      <c r="C732" s="34" t="s">
        <v>468</v>
      </c>
      <c r="D732" s="40">
        <f t="shared" si="0"/>
        <v>11</v>
      </c>
      <c r="E732" s="35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50"/>
      <c r="B733" s="50"/>
      <c r="C733" s="34" t="s">
        <v>469</v>
      </c>
      <c r="D733" s="40">
        <f t="shared" si="0"/>
        <v>6</v>
      </c>
      <c r="E733" s="35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50"/>
      <c r="B734" s="50"/>
      <c r="C734" s="34" t="s">
        <v>470</v>
      </c>
      <c r="D734" s="40">
        <f t="shared" si="0"/>
        <v>6</v>
      </c>
      <c r="E734" s="35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50"/>
      <c r="B735" s="50"/>
      <c r="C735" s="34" t="s">
        <v>471</v>
      </c>
      <c r="D735" s="40">
        <f t="shared" si="0"/>
        <v>12</v>
      </c>
      <c r="E735" s="35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50"/>
      <c r="B736" s="50"/>
      <c r="C736" s="34" t="s">
        <v>24</v>
      </c>
      <c r="D736" s="40">
        <f t="shared" si="0"/>
        <v>8</v>
      </c>
      <c r="E736" s="35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50"/>
      <c r="B737" s="50"/>
      <c r="C737" s="34" t="s">
        <v>472</v>
      </c>
      <c r="D737" s="40">
        <f t="shared" si="0"/>
        <v>18</v>
      </c>
      <c r="E737" s="35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50"/>
      <c r="B738" s="50"/>
      <c r="C738" s="34" t="s">
        <v>473</v>
      </c>
      <c r="D738" s="40">
        <f t="shared" si="0"/>
        <v>14</v>
      </c>
      <c r="E738" s="35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50"/>
      <c r="B739" s="50"/>
      <c r="C739" s="34" t="s">
        <v>474</v>
      </c>
      <c r="D739" s="40">
        <f t="shared" si="0"/>
        <v>11</v>
      </c>
      <c r="E739" s="35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50"/>
      <c r="B740" s="50"/>
      <c r="C740" s="34" t="s">
        <v>475</v>
      </c>
      <c r="D740" s="40">
        <f t="shared" si="0"/>
        <v>11</v>
      </c>
      <c r="E740" s="35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50"/>
      <c r="B741" s="50"/>
      <c r="C741" s="34" t="s">
        <v>476</v>
      </c>
      <c r="D741" s="40">
        <f t="shared" si="0"/>
        <v>7</v>
      </c>
      <c r="E741" s="35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50"/>
      <c r="B742" s="50"/>
      <c r="C742" s="34" t="s">
        <v>477</v>
      </c>
      <c r="D742" s="40">
        <f t="shared" si="0"/>
        <v>16</v>
      </c>
      <c r="E742" s="35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50"/>
      <c r="B743" s="50"/>
      <c r="C743" s="34" t="s">
        <v>478</v>
      </c>
      <c r="D743" s="40">
        <f t="shared" si="0"/>
        <v>16</v>
      </c>
      <c r="E743" s="35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50"/>
      <c r="B744" s="50"/>
      <c r="C744" s="34" t="s">
        <v>479</v>
      </c>
      <c r="D744" s="40">
        <f t="shared" si="0"/>
        <v>14</v>
      </c>
      <c r="E744" s="35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50"/>
      <c r="B745" s="50"/>
      <c r="C745" s="34" t="s">
        <v>480</v>
      </c>
      <c r="D745" s="40">
        <f t="shared" si="0"/>
        <v>6</v>
      </c>
      <c r="E745" s="35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50"/>
      <c r="B746" s="50"/>
      <c r="C746" s="34" t="s">
        <v>481</v>
      </c>
      <c r="D746" s="40">
        <f t="shared" si="0"/>
        <v>5</v>
      </c>
      <c r="E746" s="35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50"/>
      <c r="B747" s="50"/>
      <c r="C747" s="34" t="s">
        <v>482</v>
      </c>
      <c r="D747" s="40">
        <f t="shared" si="0"/>
        <v>5</v>
      </c>
      <c r="E747" s="35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50"/>
      <c r="B748" s="50"/>
      <c r="C748" s="34" t="s">
        <v>483</v>
      </c>
      <c r="D748" s="40">
        <f t="shared" si="0"/>
        <v>12</v>
      </c>
      <c r="E748" s="35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50"/>
      <c r="B749" s="50"/>
      <c r="C749" s="34" t="s">
        <v>484</v>
      </c>
      <c r="D749" s="40">
        <f t="shared" si="0"/>
        <v>6</v>
      </c>
      <c r="E749" s="35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50"/>
      <c r="B750" s="50"/>
      <c r="C750" s="34" t="s">
        <v>203</v>
      </c>
      <c r="D750" s="40">
        <f t="shared" si="0"/>
        <v>5</v>
      </c>
      <c r="E750" s="35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50"/>
      <c r="B751" s="50"/>
      <c r="C751" s="34" t="s">
        <v>206</v>
      </c>
      <c r="D751" s="40">
        <f t="shared" si="0"/>
        <v>7</v>
      </c>
      <c r="E751" s="35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50"/>
      <c r="B752" s="50"/>
      <c r="C752" s="34" t="s">
        <v>207</v>
      </c>
      <c r="D752" s="40">
        <f t="shared" si="0"/>
        <v>8</v>
      </c>
      <c r="E752" s="35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50"/>
      <c r="B753" s="50"/>
      <c r="C753" s="34" t="s">
        <v>208</v>
      </c>
      <c r="D753" s="40">
        <f t="shared" si="0"/>
        <v>14</v>
      </c>
      <c r="E753" s="35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50"/>
      <c r="B754" s="50"/>
      <c r="C754" s="34" t="s">
        <v>209</v>
      </c>
      <c r="D754" s="40">
        <f t="shared" si="0"/>
        <v>9</v>
      </c>
      <c r="E754" s="35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50"/>
      <c r="B755" s="50"/>
      <c r="C755" s="34" t="s">
        <v>210</v>
      </c>
      <c r="D755" s="40">
        <f t="shared" si="0"/>
        <v>23</v>
      </c>
      <c r="E755" s="35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50"/>
      <c r="B756" s="50"/>
      <c r="C756" s="34" t="s">
        <v>211</v>
      </c>
      <c r="D756" s="40">
        <f t="shared" si="0"/>
        <v>6</v>
      </c>
      <c r="E756" s="35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50"/>
      <c r="B757" s="50"/>
      <c r="C757" s="34" t="s">
        <v>212</v>
      </c>
      <c r="D757" s="40">
        <f t="shared" si="0"/>
        <v>19</v>
      </c>
      <c r="E757" s="35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50"/>
      <c r="B758" s="50"/>
      <c r="C758" s="34" t="s">
        <v>214</v>
      </c>
      <c r="D758" s="40">
        <f t="shared" si="0"/>
        <v>25</v>
      </c>
      <c r="E758" s="35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50"/>
      <c r="B759" s="50"/>
      <c r="C759" s="34" t="s">
        <v>215</v>
      </c>
      <c r="D759" s="40">
        <f t="shared" si="0"/>
        <v>9</v>
      </c>
      <c r="E759" s="35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50"/>
      <c r="B760" s="50"/>
      <c r="C760" s="34" t="s">
        <v>216</v>
      </c>
      <c r="D760" s="40">
        <f t="shared" si="0"/>
        <v>9</v>
      </c>
      <c r="E760" s="35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50"/>
      <c r="B761" s="50"/>
      <c r="C761" s="34" t="s">
        <v>217</v>
      </c>
      <c r="D761" s="40">
        <f t="shared" si="0"/>
        <v>17</v>
      </c>
      <c r="E761" s="35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50"/>
      <c r="B762" s="50"/>
      <c r="C762" s="34" t="s">
        <v>218</v>
      </c>
      <c r="D762" s="40">
        <f t="shared" si="0"/>
        <v>6</v>
      </c>
      <c r="E762" s="35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50"/>
      <c r="B763" s="50"/>
      <c r="C763" s="34" t="s">
        <v>219</v>
      </c>
      <c r="D763" s="40">
        <f t="shared" si="0"/>
        <v>6</v>
      </c>
      <c r="E763" s="35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50"/>
      <c r="B764" s="50"/>
      <c r="C764" s="34" t="s">
        <v>220</v>
      </c>
      <c r="D764" s="40">
        <f t="shared" si="0"/>
        <v>6</v>
      </c>
      <c r="E764" s="35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50"/>
      <c r="B765" s="50"/>
      <c r="C765" s="34" t="s">
        <v>221</v>
      </c>
      <c r="D765" s="40">
        <f t="shared" si="0"/>
        <v>7</v>
      </c>
      <c r="E765" s="35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50"/>
      <c r="B766" s="50"/>
      <c r="C766" s="34" t="s">
        <v>222</v>
      </c>
      <c r="D766" s="40">
        <f t="shared" si="0"/>
        <v>8</v>
      </c>
      <c r="E766" s="35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50"/>
      <c r="B767" s="50"/>
      <c r="C767" s="34" t="s">
        <v>223</v>
      </c>
      <c r="D767" s="40">
        <f t="shared" si="0"/>
        <v>5</v>
      </c>
      <c r="E767" s="35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50"/>
      <c r="B768" s="50"/>
      <c r="C768" s="34" t="s">
        <v>224</v>
      </c>
      <c r="D768" s="40">
        <f t="shared" si="0"/>
        <v>7</v>
      </c>
      <c r="E768" s="35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50"/>
      <c r="B769" s="50"/>
      <c r="C769" s="34" t="s">
        <v>225</v>
      </c>
      <c r="D769" s="40">
        <f t="shared" si="0"/>
        <v>4</v>
      </c>
      <c r="E769" s="35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50"/>
      <c r="B770" s="50"/>
      <c r="C770" s="34" t="s">
        <v>226</v>
      </c>
      <c r="D770" s="40">
        <f t="shared" si="0"/>
        <v>7</v>
      </c>
      <c r="E770" s="35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50"/>
      <c r="B771" s="50"/>
      <c r="C771" s="34" t="s">
        <v>227</v>
      </c>
      <c r="D771" s="40">
        <f t="shared" si="0"/>
        <v>7</v>
      </c>
      <c r="E771" s="35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50"/>
      <c r="B772" s="50"/>
      <c r="C772" s="34" t="s">
        <v>228</v>
      </c>
      <c r="D772" s="40">
        <f t="shared" si="0"/>
        <v>6</v>
      </c>
      <c r="E772" s="35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50"/>
      <c r="B773" s="50"/>
      <c r="C773" s="34" t="s">
        <v>229</v>
      </c>
      <c r="D773" s="40">
        <f t="shared" si="0"/>
        <v>5</v>
      </c>
      <c r="E773" s="35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50"/>
      <c r="B774" s="50"/>
      <c r="C774" s="34" t="s">
        <v>230</v>
      </c>
      <c r="D774" s="40">
        <f t="shared" si="0"/>
        <v>4</v>
      </c>
      <c r="E774" s="35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50"/>
      <c r="B775" s="50"/>
      <c r="C775" s="34" t="s">
        <v>231</v>
      </c>
      <c r="D775" s="40">
        <f t="shared" si="0"/>
        <v>5</v>
      </c>
      <c r="E775" s="35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50"/>
      <c r="B776" s="50"/>
      <c r="C776" s="34" t="s">
        <v>232</v>
      </c>
      <c r="D776" s="40">
        <f t="shared" si="0"/>
        <v>7</v>
      </c>
      <c r="E776" s="35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50"/>
      <c r="B777" s="50"/>
      <c r="C777" s="34" t="s">
        <v>233</v>
      </c>
      <c r="D777" s="40">
        <f t="shared" si="0"/>
        <v>6</v>
      </c>
      <c r="E777" s="35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50"/>
      <c r="B778" s="50"/>
      <c r="C778" s="34" t="s">
        <v>234</v>
      </c>
      <c r="D778" s="40">
        <f t="shared" si="0"/>
        <v>7</v>
      </c>
      <c r="E778" s="35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50"/>
      <c r="B779" s="50"/>
      <c r="C779" s="34" t="s">
        <v>235</v>
      </c>
      <c r="D779" s="40">
        <f t="shared" si="0"/>
        <v>7</v>
      </c>
      <c r="E779" s="35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50"/>
      <c r="B780" s="50"/>
      <c r="C780" s="34" t="s">
        <v>236</v>
      </c>
      <c r="D780" s="40">
        <f t="shared" si="0"/>
        <v>6</v>
      </c>
      <c r="E780" s="35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50"/>
      <c r="B781" s="50"/>
      <c r="C781" s="34" t="s">
        <v>237</v>
      </c>
      <c r="D781" s="40">
        <f t="shared" si="0"/>
        <v>6</v>
      </c>
      <c r="E781" s="35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50"/>
      <c r="B782" s="50"/>
      <c r="C782" s="34" t="s">
        <v>238</v>
      </c>
      <c r="D782" s="40">
        <f t="shared" si="0"/>
        <v>14</v>
      </c>
      <c r="E782" s="35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50"/>
      <c r="B783" s="50"/>
      <c r="C783" s="34" t="s">
        <v>239</v>
      </c>
      <c r="D783" s="40">
        <f t="shared" si="0"/>
        <v>16</v>
      </c>
      <c r="E783" s="35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50"/>
      <c r="B784" s="50"/>
      <c r="C784" s="34" t="s">
        <v>242</v>
      </c>
      <c r="D784" s="40">
        <f t="shared" si="0"/>
        <v>11</v>
      </c>
      <c r="E784" s="35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50"/>
      <c r="B785" s="50"/>
      <c r="C785" s="34" t="s">
        <v>243</v>
      </c>
      <c r="D785" s="40">
        <f t="shared" si="0"/>
        <v>4</v>
      </c>
      <c r="E785" s="35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50"/>
      <c r="B786" s="50"/>
      <c r="C786" s="34" t="s">
        <v>244</v>
      </c>
      <c r="D786" s="40">
        <f t="shared" si="0"/>
        <v>5</v>
      </c>
      <c r="E786" s="35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50"/>
      <c r="B787" s="50"/>
      <c r="C787" s="34" t="s">
        <v>245</v>
      </c>
      <c r="D787" s="40">
        <f t="shared" si="0"/>
        <v>9</v>
      </c>
      <c r="E787" s="35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50"/>
      <c r="B788" s="50"/>
      <c r="C788" s="34" t="s">
        <v>246</v>
      </c>
      <c r="D788" s="40">
        <f t="shared" si="0"/>
        <v>7</v>
      </c>
      <c r="E788" s="35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50"/>
      <c r="B789" s="50"/>
      <c r="C789" s="34" t="s">
        <v>247</v>
      </c>
      <c r="D789" s="40">
        <f t="shared" si="0"/>
        <v>7</v>
      </c>
      <c r="E789" s="35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50"/>
      <c r="B790" s="50"/>
      <c r="C790" s="34" t="s">
        <v>248</v>
      </c>
      <c r="D790" s="40">
        <f t="shared" si="0"/>
        <v>7</v>
      </c>
      <c r="E790" s="35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50"/>
      <c r="B791" s="50"/>
      <c r="C791" s="34" t="s">
        <v>249</v>
      </c>
      <c r="D791" s="40">
        <f t="shared" si="0"/>
        <v>4</v>
      </c>
      <c r="E791" s="35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50"/>
      <c r="B792" s="50"/>
      <c r="C792" s="34" t="s">
        <v>250</v>
      </c>
      <c r="D792" s="40">
        <f t="shared" si="0"/>
        <v>3</v>
      </c>
      <c r="E792" s="35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50"/>
      <c r="B793" s="50"/>
      <c r="C793" s="34" t="s">
        <v>251</v>
      </c>
      <c r="D793" s="40">
        <f t="shared" si="0"/>
        <v>4</v>
      </c>
      <c r="E793" s="35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50"/>
      <c r="B794" s="50"/>
      <c r="C794" s="34" t="s">
        <v>921</v>
      </c>
      <c r="D794" s="40">
        <f t="shared" si="0"/>
        <v>5</v>
      </c>
      <c r="E794" s="35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50"/>
      <c r="B795" s="50"/>
      <c r="C795" s="34" t="s">
        <v>252</v>
      </c>
      <c r="D795" s="40">
        <f t="shared" si="0"/>
        <v>9</v>
      </c>
      <c r="E795" s="35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50"/>
      <c r="B796" s="50"/>
      <c r="C796" s="34" t="s">
        <v>253</v>
      </c>
      <c r="D796" s="40">
        <f t="shared" si="0"/>
        <v>5</v>
      </c>
      <c r="E796" s="35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50"/>
      <c r="B797" s="50"/>
      <c r="C797" s="34" t="s">
        <v>254</v>
      </c>
      <c r="D797" s="40">
        <f t="shared" si="0"/>
        <v>4</v>
      </c>
      <c r="E797" s="35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50"/>
      <c r="B798" s="50"/>
      <c r="C798" s="34" t="s">
        <v>255</v>
      </c>
      <c r="D798" s="40">
        <f t="shared" si="0"/>
        <v>10</v>
      </c>
      <c r="E798" s="35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50"/>
      <c r="B799" s="50"/>
      <c r="C799" s="34" t="s">
        <v>256</v>
      </c>
      <c r="D799" s="40">
        <f t="shared" si="0"/>
        <v>9</v>
      </c>
      <c r="E799" s="35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50"/>
      <c r="B800" s="50"/>
      <c r="C800" s="34" t="s">
        <v>257</v>
      </c>
      <c r="D800" s="40">
        <f t="shared" si="0"/>
        <v>7</v>
      </c>
      <c r="E800" s="35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50"/>
      <c r="B801" s="50"/>
      <c r="C801" s="34" t="s">
        <v>258</v>
      </c>
      <c r="D801" s="40">
        <f t="shared" si="0"/>
        <v>5</v>
      </c>
      <c r="E801" s="35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50"/>
      <c r="B802" s="50"/>
      <c r="C802" s="34" t="s">
        <v>259</v>
      </c>
      <c r="D802" s="40">
        <f t="shared" si="0"/>
        <v>7</v>
      </c>
      <c r="E802" s="35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50"/>
      <c r="B803" s="50"/>
      <c r="C803" s="34" t="s">
        <v>260</v>
      </c>
      <c r="D803" s="40">
        <f t="shared" si="0"/>
        <v>4</v>
      </c>
      <c r="E803" s="35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50"/>
      <c r="B804" s="50"/>
      <c r="C804" s="34" t="s">
        <v>261</v>
      </c>
      <c r="D804" s="40">
        <f t="shared" si="0"/>
        <v>5</v>
      </c>
      <c r="E804" s="35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50"/>
      <c r="B805" s="50"/>
      <c r="C805" s="34" t="s">
        <v>262</v>
      </c>
      <c r="D805" s="40">
        <f t="shared" si="0"/>
        <v>5</v>
      </c>
      <c r="E805" s="35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50"/>
      <c r="B806" s="50"/>
      <c r="C806" s="34" t="s">
        <v>263</v>
      </c>
      <c r="D806" s="40">
        <f t="shared" si="0"/>
        <v>6</v>
      </c>
      <c r="E806" s="35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50"/>
      <c r="B807" s="50"/>
      <c r="C807" s="34" t="s">
        <v>264</v>
      </c>
      <c r="D807" s="40">
        <f t="shared" si="0"/>
        <v>5</v>
      </c>
      <c r="E807" s="35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50"/>
      <c r="B808" s="50"/>
      <c r="C808" s="34" t="s">
        <v>266</v>
      </c>
      <c r="D808" s="40">
        <f t="shared" si="0"/>
        <v>9</v>
      </c>
      <c r="E808" s="35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50"/>
      <c r="B809" s="50"/>
      <c r="C809" s="34" t="s">
        <v>265</v>
      </c>
      <c r="D809" s="40">
        <f t="shared" si="0"/>
        <v>7</v>
      </c>
      <c r="E809" s="35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50"/>
      <c r="B810" s="50"/>
      <c r="C810" s="34" t="s">
        <v>267</v>
      </c>
      <c r="D810" s="40">
        <f t="shared" si="0"/>
        <v>3</v>
      </c>
      <c r="E810" s="35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50"/>
      <c r="B811" s="50"/>
      <c r="C811" s="34" t="s">
        <v>268</v>
      </c>
      <c r="D811" s="40">
        <f t="shared" si="0"/>
        <v>7</v>
      </c>
      <c r="E811" s="35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50"/>
      <c r="B812" s="50"/>
      <c r="C812" s="34" t="s">
        <v>269</v>
      </c>
      <c r="D812" s="40">
        <f t="shared" si="0"/>
        <v>7</v>
      </c>
      <c r="E812" s="35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50"/>
      <c r="B813" s="50"/>
      <c r="C813" s="34" t="s">
        <v>270</v>
      </c>
      <c r="D813" s="40">
        <f t="shared" si="0"/>
        <v>7</v>
      </c>
      <c r="E813" s="35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50"/>
      <c r="B814" s="50"/>
      <c r="C814" s="34" t="s">
        <v>271</v>
      </c>
      <c r="D814" s="40">
        <f t="shared" si="0"/>
        <v>4</v>
      </c>
      <c r="E814" s="35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50"/>
      <c r="B815" s="50"/>
      <c r="C815" s="34" t="s">
        <v>272</v>
      </c>
      <c r="D815" s="40">
        <f t="shared" si="0"/>
        <v>5</v>
      </c>
      <c r="E815" s="35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50"/>
      <c r="B816" s="50"/>
      <c r="C816" s="34" t="s">
        <v>273</v>
      </c>
      <c r="D816" s="40">
        <f t="shared" si="0"/>
        <v>11</v>
      </c>
      <c r="E816" s="35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50"/>
      <c r="B817" s="50"/>
      <c r="C817" s="34" t="s">
        <v>274</v>
      </c>
      <c r="D817" s="40">
        <f t="shared" si="0"/>
        <v>5</v>
      </c>
      <c r="E817" s="35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50"/>
      <c r="B818" s="50"/>
      <c r="C818" s="34" t="s">
        <v>275</v>
      </c>
      <c r="D818" s="40">
        <f t="shared" si="0"/>
        <v>7</v>
      </c>
      <c r="E818" s="35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50"/>
      <c r="B819" s="50"/>
      <c r="C819" s="34" t="s">
        <v>276</v>
      </c>
      <c r="D819" s="40">
        <f t="shared" si="0"/>
        <v>6</v>
      </c>
      <c r="E819" s="35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50"/>
      <c r="B820" s="50"/>
      <c r="C820" s="34" t="s">
        <v>277</v>
      </c>
      <c r="D820" s="40">
        <f t="shared" si="0"/>
        <v>4</v>
      </c>
      <c r="E820" s="35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50"/>
      <c r="B821" s="50"/>
      <c r="C821" s="34" t="s">
        <v>278</v>
      </c>
      <c r="D821" s="40">
        <f t="shared" si="0"/>
        <v>4</v>
      </c>
      <c r="E821" s="35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50"/>
      <c r="B822" s="50"/>
      <c r="C822" s="34" t="s">
        <v>279</v>
      </c>
      <c r="D822" s="40">
        <f t="shared" si="0"/>
        <v>4</v>
      </c>
      <c r="E822" s="35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50"/>
      <c r="B823" s="50"/>
      <c r="C823" s="34" t="s">
        <v>280</v>
      </c>
      <c r="D823" s="40">
        <f t="shared" si="0"/>
        <v>4</v>
      </c>
      <c r="E823" s="35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50"/>
      <c r="B824" s="50"/>
      <c r="C824" s="34" t="s">
        <v>281</v>
      </c>
      <c r="D824" s="40">
        <f t="shared" si="0"/>
        <v>4</v>
      </c>
      <c r="E824" s="35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50"/>
      <c r="B825" s="50"/>
      <c r="C825" s="34" t="s">
        <v>282</v>
      </c>
      <c r="D825" s="40">
        <f t="shared" si="0"/>
        <v>7</v>
      </c>
      <c r="E825" s="35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50"/>
      <c r="B826" s="50"/>
      <c r="C826" s="34" t="s">
        <v>283</v>
      </c>
      <c r="D826" s="40">
        <f t="shared" si="0"/>
        <v>6</v>
      </c>
      <c r="E826" s="35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50"/>
      <c r="B827" s="50"/>
      <c r="C827" s="34" t="s">
        <v>284</v>
      </c>
      <c r="D827" s="40">
        <f t="shared" si="0"/>
        <v>5</v>
      </c>
      <c r="E827" s="35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50"/>
      <c r="B828" s="50"/>
      <c r="C828" s="34" t="s">
        <v>285</v>
      </c>
      <c r="D828" s="40">
        <f t="shared" si="0"/>
        <v>6</v>
      </c>
      <c r="E828" s="35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50"/>
      <c r="B829" s="50"/>
      <c r="C829" s="34" t="s">
        <v>286</v>
      </c>
      <c r="D829" s="40">
        <f t="shared" si="0"/>
        <v>5</v>
      </c>
      <c r="E829" s="35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50"/>
      <c r="B830" s="50"/>
      <c r="C830" s="34" t="s">
        <v>287</v>
      </c>
      <c r="D830" s="40">
        <f t="shared" si="0"/>
        <v>6</v>
      </c>
      <c r="E830" s="35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50"/>
      <c r="B831" s="50"/>
      <c r="C831" s="35" t="s">
        <v>922</v>
      </c>
      <c r="D831" s="40">
        <f t="shared" si="0"/>
        <v>16</v>
      </c>
      <c r="E831" s="34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50"/>
      <c r="B832" s="50"/>
      <c r="C832" s="35" t="s">
        <v>924</v>
      </c>
      <c r="D832" s="40">
        <f t="shared" si="0"/>
        <v>17</v>
      </c>
      <c r="E832" s="34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50"/>
      <c r="B833" s="50"/>
      <c r="C833" s="35" t="s">
        <v>925</v>
      </c>
      <c r="D833" s="40">
        <f t="shared" si="0"/>
        <v>16</v>
      </c>
      <c r="E833" s="34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50"/>
      <c r="B834" s="50"/>
      <c r="C834" s="34" t="s">
        <v>926</v>
      </c>
      <c r="D834" s="40">
        <f t="shared" si="0"/>
        <v>16</v>
      </c>
      <c r="E834" s="80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50"/>
      <c r="B835" s="50"/>
      <c r="C835" s="34" t="s">
        <v>295</v>
      </c>
      <c r="D835" s="40">
        <f t="shared" si="0"/>
        <v>6</v>
      </c>
      <c r="E835" s="35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50"/>
      <c r="B836" s="50"/>
      <c r="C836" s="34" t="s">
        <v>290</v>
      </c>
      <c r="D836" s="40">
        <f t="shared" si="0"/>
        <v>14</v>
      </c>
      <c r="E836" s="35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50"/>
      <c r="B837" s="50"/>
      <c r="C837" s="34" t="s">
        <v>291</v>
      </c>
      <c r="D837" s="40">
        <f t="shared" si="0"/>
        <v>14</v>
      </c>
      <c r="E837" s="35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50"/>
      <c r="B838" s="50"/>
      <c r="C838" s="34" t="s">
        <v>288</v>
      </c>
      <c r="D838" s="40">
        <f t="shared" si="0"/>
        <v>4</v>
      </c>
      <c r="E838" s="35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50"/>
      <c r="B839" s="50"/>
      <c r="C839" s="34" t="s">
        <v>292</v>
      </c>
      <c r="D839" s="40">
        <f t="shared" si="0"/>
        <v>6</v>
      </c>
      <c r="E839" s="35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50"/>
      <c r="B840" s="50"/>
      <c r="C840" s="34" t="s">
        <v>289</v>
      </c>
      <c r="D840" s="40">
        <f t="shared" si="0"/>
        <v>6</v>
      </c>
      <c r="E840" s="35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50"/>
      <c r="B841" s="50"/>
      <c r="C841" s="34" t="s">
        <v>293</v>
      </c>
      <c r="D841" s="40">
        <f t="shared" si="0"/>
        <v>8</v>
      </c>
      <c r="E841" s="35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50"/>
      <c r="B842" s="50"/>
      <c r="C842" s="34" t="s">
        <v>927</v>
      </c>
      <c r="D842" s="40">
        <f t="shared" si="0"/>
        <v>5</v>
      </c>
      <c r="E842" s="35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50"/>
      <c r="B843" s="50"/>
      <c r="C843" s="34" t="s">
        <v>928</v>
      </c>
      <c r="D843" s="40">
        <f t="shared" si="0"/>
        <v>6</v>
      </c>
      <c r="E843" s="35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50"/>
      <c r="B844" s="50"/>
      <c r="C844" s="34" t="s">
        <v>929</v>
      </c>
      <c r="D844" s="40">
        <f t="shared" si="0"/>
        <v>6</v>
      </c>
      <c r="E844" s="35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50"/>
      <c r="B845" s="50"/>
      <c r="C845" s="34" t="s">
        <v>930</v>
      </c>
      <c r="D845" s="40">
        <f t="shared" si="0"/>
        <v>9</v>
      </c>
      <c r="E845" s="35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50"/>
      <c r="B846" s="50"/>
      <c r="C846" s="35" t="s">
        <v>931</v>
      </c>
      <c r="D846" s="40">
        <f t="shared" si="0"/>
        <v>8</v>
      </c>
      <c r="E846" s="35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50"/>
      <c r="B847" s="50"/>
      <c r="C847" s="35" t="s">
        <v>932</v>
      </c>
      <c r="D847" s="40">
        <f t="shared" si="0"/>
        <v>9</v>
      </c>
      <c r="E847" s="35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50"/>
      <c r="B848" s="50"/>
      <c r="C848" s="35" t="s">
        <v>933</v>
      </c>
      <c r="D848" s="40">
        <f t="shared" si="0"/>
        <v>7</v>
      </c>
      <c r="E848" s="35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50"/>
      <c r="B849" s="50"/>
      <c r="C849" s="35" t="s">
        <v>934</v>
      </c>
      <c r="D849" s="40">
        <f t="shared" si="0"/>
        <v>9</v>
      </c>
      <c r="E849" s="35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50"/>
      <c r="B850" s="50"/>
      <c r="C850" s="34" t="s">
        <v>313</v>
      </c>
      <c r="D850" s="40">
        <f t="shared" si="0"/>
        <v>3</v>
      </c>
      <c r="E850" s="35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7" t="s">
        <v>147</v>
      </c>
      <c r="B851" s="75"/>
      <c r="C851" s="39" t="s">
        <v>337</v>
      </c>
      <c r="D851" s="40">
        <f t="shared" si="0"/>
        <v>2</v>
      </c>
      <c r="E851" s="40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8"/>
      <c r="B852" s="48"/>
      <c r="C852" s="39" t="s">
        <v>338</v>
      </c>
      <c r="D852" s="40">
        <f t="shared" si="0"/>
        <v>2</v>
      </c>
      <c r="E852" s="40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51" t="s">
        <v>19</v>
      </c>
      <c r="B853" s="51" t="s">
        <v>54</v>
      </c>
      <c r="C853" s="34" t="s">
        <v>935</v>
      </c>
      <c r="D853" s="40">
        <f t="shared" si="0"/>
        <v>16</v>
      </c>
      <c r="E853" s="35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50"/>
      <c r="B854" s="50"/>
      <c r="C854" s="34" t="s">
        <v>936</v>
      </c>
      <c r="D854" s="40">
        <f t="shared" si="0"/>
        <v>14</v>
      </c>
      <c r="E854" s="35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50"/>
      <c r="B855" s="50"/>
      <c r="C855" s="34" t="s">
        <v>937</v>
      </c>
      <c r="D855" s="40">
        <f t="shared" si="0"/>
        <v>22</v>
      </c>
      <c r="E855" s="35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50"/>
      <c r="B856" s="50"/>
      <c r="C856" s="34" t="s">
        <v>938</v>
      </c>
      <c r="D856" s="40">
        <f t="shared" si="0"/>
        <v>9</v>
      </c>
      <c r="E856" s="35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50"/>
      <c r="B857" s="50"/>
      <c r="C857" s="34" t="s">
        <v>939</v>
      </c>
      <c r="D857" s="40">
        <f t="shared" si="0"/>
        <v>30</v>
      </c>
      <c r="E857" s="35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50"/>
      <c r="B858" s="50"/>
      <c r="C858" s="34" t="s">
        <v>940</v>
      </c>
      <c r="D858" s="40">
        <f t="shared" si="0"/>
        <v>27</v>
      </c>
      <c r="E858" s="35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50"/>
      <c r="B859" s="50"/>
      <c r="C859" s="34" t="s">
        <v>941</v>
      </c>
      <c r="D859" s="40">
        <f t="shared" si="0"/>
        <v>45</v>
      </c>
      <c r="E859" s="35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50"/>
      <c r="B860" s="50"/>
      <c r="C860" s="34" t="s">
        <v>942</v>
      </c>
      <c r="D860" s="40">
        <f t="shared" si="0"/>
        <v>38</v>
      </c>
      <c r="E860" s="35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50"/>
      <c r="B861" s="50"/>
      <c r="C861" s="34" t="s">
        <v>943</v>
      </c>
      <c r="D861" s="40">
        <f t="shared" si="0"/>
        <v>9</v>
      </c>
      <c r="E861" s="35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7" t="s">
        <v>20</v>
      </c>
      <c r="B862" s="47" t="s">
        <v>54</v>
      </c>
      <c r="C862" s="39" t="s">
        <v>944</v>
      </c>
      <c r="D862" s="40">
        <f t="shared" si="0"/>
        <v>36</v>
      </c>
      <c r="E862" s="40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8"/>
      <c r="B863" s="48"/>
      <c r="C863" s="39" t="s">
        <v>945</v>
      </c>
      <c r="D863" s="40">
        <f t="shared" si="0"/>
        <v>36</v>
      </c>
      <c r="E863" s="40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8"/>
      <c r="B864" s="48"/>
      <c r="C864" s="39" t="s">
        <v>946</v>
      </c>
      <c r="D864" s="40">
        <f t="shared" si="0"/>
        <v>38</v>
      </c>
      <c r="E864" s="40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8"/>
      <c r="B865" s="48"/>
      <c r="C865" s="39" t="s">
        <v>947</v>
      </c>
      <c r="D865" s="40">
        <f t="shared" si="0"/>
        <v>38</v>
      </c>
      <c r="E865" s="40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8"/>
      <c r="B866" s="48"/>
      <c r="C866" s="39" t="s">
        <v>948</v>
      </c>
      <c r="D866" s="40">
        <f t="shared" si="0"/>
        <v>22</v>
      </c>
      <c r="E866" s="40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8"/>
      <c r="B867" s="48"/>
      <c r="C867" s="39" t="s">
        <v>949</v>
      </c>
      <c r="D867" s="40">
        <f t="shared" si="0"/>
        <v>22</v>
      </c>
      <c r="E867" s="40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8"/>
      <c r="B868" s="48"/>
      <c r="C868" s="39" t="s">
        <v>950</v>
      </c>
      <c r="D868" s="40">
        <f t="shared" si="0"/>
        <v>25</v>
      </c>
      <c r="E868" s="40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8"/>
      <c r="B869" s="48"/>
      <c r="C869" s="39" t="s">
        <v>951</v>
      </c>
      <c r="D869" s="40">
        <f t="shared" si="0"/>
        <v>10</v>
      </c>
      <c r="E869" s="40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51" t="s">
        <v>21</v>
      </c>
      <c r="B870" s="51" t="s">
        <v>54</v>
      </c>
      <c r="C870" s="34" t="s">
        <v>944</v>
      </c>
      <c r="D870" s="40">
        <f t="shared" si="0"/>
        <v>36</v>
      </c>
      <c r="E870" s="35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50"/>
      <c r="B871" s="50"/>
      <c r="C871" s="34" t="s">
        <v>946</v>
      </c>
      <c r="D871" s="40">
        <f t="shared" si="0"/>
        <v>38</v>
      </c>
      <c r="E871" s="35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50"/>
      <c r="B872" s="50"/>
      <c r="C872" s="34" t="s">
        <v>948</v>
      </c>
      <c r="D872" s="40">
        <f t="shared" si="0"/>
        <v>22</v>
      </c>
      <c r="E872" s="35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50"/>
      <c r="B873" s="50"/>
      <c r="C873" s="34" t="s">
        <v>313</v>
      </c>
      <c r="D873" s="40">
        <f t="shared" si="0"/>
        <v>3</v>
      </c>
      <c r="E873" s="35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7" t="s">
        <v>22</v>
      </c>
      <c r="B874" s="47" t="s">
        <v>54</v>
      </c>
      <c r="C874" s="39" t="s">
        <v>952</v>
      </c>
      <c r="D874" s="40">
        <f t="shared" si="0"/>
        <v>26</v>
      </c>
      <c r="E874" s="40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8"/>
      <c r="B875" s="48"/>
      <c r="C875" s="39" t="s">
        <v>753</v>
      </c>
      <c r="D875" s="40">
        <f t="shared" si="0"/>
        <v>23</v>
      </c>
      <c r="E875" s="40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8"/>
      <c r="B876" s="48"/>
      <c r="C876" s="39" t="s">
        <v>754</v>
      </c>
      <c r="D876" s="40">
        <f t="shared" si="0"/>
        <v>10</v>
      </c>
      <c r="E876" s="40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8"/>
      <c r="B877" s="48"/>
      <c r="C877" s="39" t="s">
        <v>755</v>
      </c>
      <c r="D877" s="40">
        <f t="shared" si="0"/>
        <v>13</v>
      </c>
      <c r="E877" s="40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8"/>
      <c r="B878" s="48"/>
      <c r="C878" s="39" t="s">
        <v>953</v>
      </c>
      <c r="D878" s="40">
        <f t="shared" si="0"/>
        <v>37</v>
      </c>
      <c r="E878" s="40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8"/>
      <c r="B879" s="48"/>
      <c r="C879" s="39" t="s">
        <v>954</v>
      </c>
      <c r="D879" s="40">
        <f t="shared" si="0"/>
        <v>34</v>
      </c>
      <c r="E879" s="40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8"/>
      <c r="B880" s="48"/>
      <c r="C880" s="39" t="s">
        <v>955</v>
      </c>
      <c r="D880" s="40">
        <f t="shared" si="0"/>
        <v>21</v>
      </c>
      <c r="E880" s="40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8"/>
      <c r="B881" s="48"/>
      <c r="C881" s="39" t="s">
        <v>956</v>
      </c>
      <c r="D881" s="40">
        <f t="shared" si="0"/>
        <v>24</v>
      </c>
      <c r="E881" s="40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8"/>
      <c r="B882" s="48"/>
      <c r="C882" s="39" t="s">
        <v>957</v>
      </c>
      <c r="D882" s="40">
        <f t="shared" si="0"/>
        <v>60</v>
      </c>
      <c r="E882" s="39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9"/>
      <c r="B883" s="49"/>
      <c r="C883" s="39" t="s">
        <v>313</v>
      </c>
      <c r="D883" s="40">
        <f t="shared" si="0"/>
        <v>3</v>
      </c>
      <c r="E883" s="40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6" t="s">
        <v>23</v>
      </c>
      <c r="B884" s="56" t="s">
        <v>54</v>
      </c>
      <c r="C884" s="34" t="s">
        <v>918</v>
      </c>
      <c r="D884" s="40">
        <f t="shared" si="0"/>
        <v>5</v>
      </c>
      <c r="E884" s="35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50"/>
      <c r="B885" s="50"/>
      <c r="C885" s="34" t="s">
        <v>958</v>
      </c>
      <c r="D885" s="40">
        <f t="shared" si="0"/>
        <v>11</v>
      </c>
      <c r="E885" s="35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50"/>
      <c r="B886" s="50"/>
      <c r="C886" s="34" t="s">
        <v>959</v>
      </c>
      <c r="D886" s="40">
        <f t="shared" si="0"/>
        <v>14</v>
      </c>
      <c r="E886" s="35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50"/>
      <c r="B887" s="50"/>
      <c r="C887" s="34" t="s">
        <v>960</v>
      </c>
      <c r="D887" s="40">
        <f t="shared" si="0"/>
        <v>11</v>
      </c>
      <c r="E887" s="35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50"/>
      <c r="B888" s="50"/>
      <c r="C888" s="35" t="s">
        <v>961</v>
      </c>
      <c r="D888" s="40">
        <f t="shared" si="0"/>
        <v>30</v>
      </c>
      <c r="E888" s="35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50"/>
      <c r="B889" s="50"/>
      <c r="C889" s="35" t="s">
        <v>962</v>
      </c>
      <c r="D889" s="40">
        <f t="shared" si="0"/>
        <v>4</v>
      </c>
      <c r="E889" s="35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50"/>
      <c r="B890" s="50"/>
      <c r="C890" s="35" t="s">
        <v>964</v>
      </c>
      <c r="D890" s="40">
        <f t="shared" si="0"/>
        <v>7</v>
      </c>
      <c r="E890" s="35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7" t="s">
        <v>24</v>
      </c>
      <c r="B891" s="47" t="s">
        <v>54</v>
      </c>
      <c r="C891" s="39" t="s">
        <v>965</v>
      </c>
      <c r="D891" s="40">
        <f t="shared" si="0"/>
        <v>26</v>
      </c>
      <c r="E891" s="40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8"/>
      <c r="B892" s="48"/>
      <c r="C892" s="39" t="s">
        <v>966</v>
      </c>
      <c r="D892" s="40">
        <f t="shared" si="0"/>
        <v>25</v>
      </c>
      <c r="E892" s="40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8"/>
      <c r="B893" s="48"/>
      <c r="C893" s="39" t="s">
        <v>967</v>
      </c>
      <c r="D893" s="40">
        <f t="shared" si="0"/>
        <v>27</v>
      </c>
      <c r="E893" s="40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8"/>
      <c r="B894" s="48"/>
      <c r="C894" s="39" t="s">
        <v>968</v>
      </c>
      <c r="D894" s="40">
        <f t="shared" si="0"/>
        <v>26</v>
      </c>
      <c r="E894" s="40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8"/>
      <c r="B895" s="48"/>
      <c r="C895" s="39" t="s">
        <v>969</v>
      </c>
      <c r="D895" s="40">
        <f t="shared" si="0"/>
        <v>17</v>
      </c>
      <c r="E895" s="40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8"/>
      <c r="B896" s="48"/>
      <c r="C896" s="39" t="s">
        <v>313</v>
      </c>
      <c r="D896" s="40">
        <f t="shared" si="0"/>
        <v>3</v>
      </c>
      <c r="E896" s="40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6" t="s">
        <v>25</v>
      </c>
      <c r="B897" s="56" t="s">
        <v>54</v>
      </c>
      <c r="C897" s="34" t="s">
        <v>970</v>
      </c>
      <c r="D897" s="40">
        <f t="shared" si="0"/>
        <v>12</v>
      </c>
      <c r="E897" s="35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50"/>
      <c r="B898" s="50"/>
      <c r="C898" s="34" t="s">
        <v>971</v>
      </c>
      <c r="D898" s="40">
        <f t="shared" si="0"/>
        <v>11</v>
      </c>
      <c r="E898" s="35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50"/>
      <c r="B899" s="50"/>
      <c r="C899" s="34" t="s">
        <v>918</v>
      </c>
      <c r="D899" s="40">
        <f t="shared" si="0"/>
        <v>5</v>
      </c>
      <c r="E899" s="35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50"/>
      <c r="B900" s="50"/>
      <c r="C900" s="34" t="s">
        <v>313</v>
      </c>
      <c r="D900" s="40">
        <f t="shared" si="0"/>
        <v>3</v>
      </c>
      <c r="E900" s="35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7" t="s">
        <v>27</v>
      </c>
      <c r="B901" s="47" t="s">
        <v>54</v>
      </c>
      <c r="C901" s="39" t="s">
        <v>972</v>
      </c>
      <c r="D901" s="40">
        <f t="shared" si="0"/>
        <v>4</v>
      </c>
      <c r="E901" s="40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8"/>
      <c r="B902" s="48"/>
      <c r="C902" s="39" t="s">
        <v>973</v>
      </c>
      <c r="D902" s="40">
        <f t="shared" si="0"/>
        <v>3</v>
      </c>
      <c r="E902" s="40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8"/>
      <c r="B903" s="48"/>
      <c r="C903" s="39" t="s">
        <v>745</v>
      </c>
      <c r="D903" s="40">
        <f t="shared" si="0"/>
        <v>4</v>
      </c>
      <c r="E903" s="40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8"/>
      <c r="B904" s="48"/>
      <c r="C904" s="39" t="s">
        <v>974</v>
      </c>
      <c r="D904" s="40">
        <f t="shared" si="0"/>
        <v>6</v>
      </c>
      <c r="E904" s="40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8"/>
      <c r="B905" s="48"/>
      <c r="C905" s="39" t="s">
        <v>975</v>
      </c>
      <c r="D905" s="40">
        <f t="shared" si="0"/>
        <v>5</v>
      </c>
      <c r="E905" s="40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6" t="s">
        <v>29</v>
      </c>
      <c r="B906" s="56" t="s">
        <v>54</v>
      </c>
      <c r="C906" s="81" t="s">
        <v>976</v>
      </c>
      <c r="D906" s="40">
        <f t="shared" si="0"/>
        <v>10</v>
      </c>
      <c r="E906" s="82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50"/>
      <c r="B907" s="50"/>
      <c r="C907" s="81" t="s">
        <v>977</v>
      </c>
      <c r="D907" s="40">
        <f t="shared" si="0"/>
        <v>13</v>
      </c>
      <c r="E907" s="82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50"/>
      <c r="B908" s="50"/>
      <c r="C908" s="34" t="s">
        <v>978</v>
      </c>
      <c r="D908" s="40">
        <f t="shared" si="0"/>
        <v>47</v>
      </c>
      <c r="E908" s="35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50"/>
      <c r="B909" s="50"/>
      <c r="C909" s="34" t="s">
        <v>979</v>
      </c>
      <c r="D909" s="40">
        <f t="shared" si="0"/>
        <v>48</v>
      </c>
      <c r="E909" s="35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50"/>
      <c r="B910" s="50"/>
      <c r="C910" s="34" t="s">
        <v>980</v>
      </c>
      <c r="D910" s="40">
        <f t="shared" si="0"/>
        <v>46</v>
      </c>
      <c r="E910" s="35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50"/>
      <c r="B911" s="50"/>
      <c r="C911" s="34" t="s">
        <v>981</v>
      </c>
      <c r="D911" s="40">
        <f t="shared" si="0"/>
        <v>38</v>
      </c>
      <c r="E911" s="35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7" t="s">
        <v>30</v>
      </c>
      <c r="B912" s="47" t="s">
        <v>54</v>
      </c>
      <c r="C912" s="83" t="s">
        <v>944</v>
      </c>
      <c r="D912" s="40">
        <f t="shared" si="0"/>
        <v>36</v>
      </c>
      <c r="E912" s="84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8"/>
      <c r="B913" s="48"/>
      <c r="C913" s="83" t="s">
        <v>945</v>
      </c>
      <c r="D913" s="40">
        <f t="shared" si="0"/>
        <v>36</v>
      </c>
      <c r="E913" s="84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8"/>
      <c r="B914" s="48"/>
      <c r="C914" s="39" t="s">
        <v>946</v>
      </c>
      <c r="D914" s="40">
        <f t="shared" si="0"/>
        <v>38</v>
      </c>
      <c r="E914" s="40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8"/>
      <c r="B915" s="48"/>
      <c r="C915" s="39" t="s">
        <v>947</v>
      </c>
      <c r="D915" s="40">
        <f t="shared" si="0"/>
        <v>38</v>
      </c>
      <c r="E915" s="40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8"/>
      <c r="B916" s="48"/>
      <c r="C916" s="39" t="s">
        <v>948</v>
      </c>
      <c r="D916" s="40">
        <f t="shared" si="0"/>
        <v>22</v>
      </c>
      <c r="E916" s="40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8"/>
      <c r="B917" s="48"/>
      <c r="C917" s="39" t="s">
        <v>949</v>
      </c>
      <c r="D917" s="40">
        <f t="shared" si="0"/>
        <v>22</v>
      </c>
      <c r="E917" s="40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8"/>
      <c r="B918" s="48"/>
      <c r="C918" s="83" t="s">
        <v>950</v>
      </c>
      <c r="D918" s="40">
        <f t="shared" si="0"/>
        <v>25</v>
      </c>
      <c r="E918" s="84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8"/>
      <c r="B919" s="48"/>
      <c r="C919" s="83" t="s">
        <v>951</v>
      </c>
      <c r="D919" s="40">
        <f t="shared" si="0"/>
        <v>10</v>
      </c>
      <c r="E919" s="84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6" t="s">
        <v>31</v>
      </c>
      <c r="B920" s="56" t="s">
        <v>54</v>
      </c>
      <c r="C920" s="81" t="s">
        <v>982</v>
      </c>
      <c r="D920" s="40">
        <f t="shared" si="0"/>
        <v>2</v>
      </c>
      <c r="E920" s="82"/>
      <c r="F920" s="8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50"/>
      <c r="B921" s="50"/>
      <c r="C921" s="81" t="s">
        <v>983</v>
      </c>
      <c r="D921" s="40">
        <f t="shared" si="0"/>
        <v>22</v>
      </c>
      <c r="E921" s="82"/>
      <c r="F921" s="8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50"/>
      <c r="B922" s="50"/>
      <c r="C922" s="34" t="s">
        <v>984</v>
      </c>
      <c r="D922" s="40">
        <f t="shared" si="0"/>
        <v>20</v>
      </c>
      <c r="E922" s="35"/>
      <c r="F922" s="8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50"/>
      <c r="B923" s="50"/>
      <c r="C923" s="34" t="s">
        <v>985</v>
      </c>
      <c r="D923" s="40">
        <f t="shared" si="0"/>
        <v>25</v>
      </c>
      <c r="E923" s="35"/>
      <c r="F923" s="8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50"/>
      <c r="B924" s="50"/>
      <c r="C924" s="34" t="s">
        <v>986</v>
      </c>
      <c r="D924" s="40">
        <f t="shared" si="0"/>
        <v>12</v>
      </c>
      <c r="E924" s="35"/>
      <c r="F924" s="8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50"/>
      <c r="B925" s="50"/>
      <c r="C925" s="34" t="s">
        <v>313</v>
      </c>
      <c r="D925" s="40">
        <f t="shared" si="0"/>
        <v>3</v>
      </c>
      <c r="E925" s="35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7" t="s">
        <v>32</v>
      </c>
      <c r="B926" s="47" t="s">
        <v>54</v>
      </c>
      <c r="C926" s="39" t="s">
        <v>987</v>
      </c>
      <c r="D926" s="40">
        <f t="shared" si="0"/>
        <v>29</v>
      </c>
      <c r="E926" s="40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8"/>
      <c r="B927" s="48"/>
      <c r="C927" s="39" t="s">
        <v>988</v>
      </c>
      <c r="D927" s="40">
        <f t="shared" si="0"/>
        <v>17</v>
      </c>
      <c r="E927" s="40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8"/>
      <c r="B928" s="48"/>
      <c r="C928" s="39" t="s">
        <v>989</v>
      </c>
      <c r="D928" s="40">
        <f t="shared" si="0"/>
        <v>46</v>
      </c>
      <c r="E928" s="40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6" t="s">
        <v>33</v>
      </c>
      <c r="B929" s="86" t="s">
        <v>54</v>
      </c>
      <c r="C929" s="81" t="s">
        <v>990</v>
      </c>
      <c r="D929" s="40">
        <f t="shared" si="0"/>
        <v>4</v>
      </c>
      <c r="E929" s="82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7"/>
      <c r="B930" s="87"/>
      <c r="C930" s="81" t="s">
        <v>753</v>
      </c>
      <c r="D930" s="40">
        <f t="shared" si="0"/>
        <v>23</v>
      </c>
      <c r="E930" s="82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7"/>
      <c r="B931" s="87"/>
      <c r="C931" s="34" t="s">
        <v>952</v>
      </c>
      <c r="D931" s="40">
        <f t="shared" si="0"/>
        <v>26</v>
      </c>
      <c r="E931" s="35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7"/>
      <c r="B932" s="87"/>
      <c r="C932" s="34" t="s">
        <v>754</v>
      </c>
      <c r="D932" s="40">
        <f t="shared" si="0"/>
        <v>10</v>
      </c>
      <c r="E932" s="35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7"/>
      <c r="B933" s="87"/>
      <c r="C933" s="34" t="s">
        <v>313</v>
      </c>
      <c r="D933" s="40">
        <f t="shared" si="0"/>
        <v>3</v>
      </c>
      <c r="E933" s="35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8" t="s">
        <v>34</v>
      </c>
      <c r="B934" s="88" t="s">
        <v>54</v>
      </c>
      <c r="C934" s="83" t="s">
        <v>952</v>
      </c>
      <c r="D934" s="40">
        <f t="shared" si="0"/>
        <v>26</v>
      </c>
      <c r="E934" s="84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9"/>
      <c r="B935" s="89"/>
      <c r="C935" s="83" t="s">
        <v>753</v>
      </c>
      <c r="D935" s="40">
        <f t="shared" si="0"/>
        <v>23</v>
      </c>
      <c r="E935" s="84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9"/>
      <c r="B936" s="89"/>
      <c r="C936" s="39" t="s">
        <v>754</v>
      </c>
      <c r="D936" s="40">
        <f t="shared" si="0"/>
        <v>10</v>
      </c>
      <c r="E936" s="40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9"/>
      <c r="B937" s="89"/>
      <c r="C937" s="39" t="s">
        <v>755</v>
      </c>
      <c r="D937" s="40">
        <f t="shared" si="0"/>
        <v>13</v>
      </c>
      <c r="E937" s="40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9"/>
      <c r="B938" s="89"/>
      <c r="C938" s="39" t="s">
        <v>991</v>
      </c>
      <c r="D938" s="40">
        <f t="shared" si="0"/>
        <v>23</v>
      </c>
      <c r="E938" s="40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9"/>
      <c r="B939" s="89"/>
      <c r="C939" s="83" t="s">
        <v>991</v>
      </c>
      <c r="D939" s="40">
        <f t="shared" si="0"/>
        <v>23</v>
      </c>
      <c r="E939" s="84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9"/>
      <c r="B940" s="89"/>
      <c r="C940" s="83" t="s">
        <v>954</v>
      </c>
      <c r="D940" s="40">
        <f t="shared" si="0"/>
        <v>34</v>
      </c>
      <c r="E940" s="84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9"/>
      <c r="B941" s="89"/>
      <c r="C941" s="39" t="s">
        <v>955</v>
      </c>
      <c r="D941" s="40">
        <f t="shared" si="0"/>
        <v>21</v>
      </c>
      <c r="E941" s="40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9"/>
      <c r="B942" s="89"/>
      <c r="C942" s="83" t="s">
        <v>956</v>
      </c>
      <c r="D942" s="40">
        <f t="shared" si="0"/>
        <v>24</v>
      </c>
      <c r="E942" s="84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9"/>
      <c r="B943" s="89"/>
      <c r="C943" s="83" t="s">
        <v>990</v>
      </c>
      <c r="D943" s="40">
        <f t="shared" si="0"/>
        <v>4</v>
      </c>
      <c r="E943" s="84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9"/>
      <c r="B944" s="89"/>
      <c r="C944" s="39" t="s">
        <v>992</v>
      </c>
      <c r="D944" s="40">
        <f t="shared" si="0"/>
        <v>70</v>
      </c>
      <c r="E944" s="39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90"/>
      <c r="B945" s="90"/>
      <c r="C945" s="39" t="s">
        <v>313</v>
      </c>
      <c r="D945" s="40">
        <f t="shared" si="0"/>
        <v>3</v>
      </c>
      <c r="E945" s="40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6" t="s">
        <v>35</v>
      </c>
      <c r="B946" s="86" t="s">
        <v>54</v>
      </c>
      <c r="C946" s="81" t="s">
        <v>993</v>
      </c>
      <c r="D946" s="40">
        <f t="shared" si="0"/>
        <v>23</v>
      </c>
      <c r="E946" s="82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7"/>
      <c r="B947" s="87"/>
      <c r="C947" s="81" t="s">
        <v>994</v>
      </c>
      <c r="D947" s="40">
        <f t="shared" si="0"/>
        <v>20</v>
      </c>
      <c r="E947" s="82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7"/>
      <c r="B948" s="87"/>
      <c r="C948" s="34" t="s">
        <v>995</v>
      </c>
      <c r="D948" s="40">
        <f t="shared" si="0"/>
        <v>21</v>
      </c>
      <c r="E948" s="35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7"/>
      <c r="B949" s="87"/>
      <c r="C949" s="34" t="s">
        <v>996</v>
      </c>
      <c r="D949" s="40">
        <f t="shared" si="0"/>
        <v>20</v>
      </c>
      <c r="E949" s="35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7"/>
      <c r="B950" s="87"/>
      <c r="C950" s="34" t="s">
        <v>997</v>
      </c>
      <c r="D950" s="40">
        <f t="shared" si="0"/>
        <v>21</v>
      </c>
      <c r="E950" s="35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7"/>
      <c r="B951" s="87"/>
      <c r="C951" s="81" t="s">
        <v>764</v>
      </c>
      <c r="D951" s="40">
        <f t="shared" si="0"/>
        <v>15</v>
      </c>
      <c r="E951" s="82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7"/>
      <c r="B952" s="87"/>
      <c r="C952" s="81" t="s">
        <v>990</v>
      </c>
      <c r="D952" s="40">
        <f t="shared" si="0"/>
        <v>4</v>
      </c>
      <c r="E952" s="82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7"/>
      <c r="B953" s="87"/>
      <c r="C953" s="35" t="s">
        <v>998</v>
      </c>
      <c r="D953" s="40">
        <f t="shared" si="0"/>
        <v>4</v>
      </c>
      <c r="E953" s="35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7"/>
      <c r="B954" s="87"/>
      <c r="C954" s="35" t="s">
        <v>962</v>
      </c>
      <c r="D954" s="40">
        <f t="shared" si="0"/>
        <v>4</v>
      </c>
      <c r="E954" s="35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7"/>
      <c r="B955" s="87"/>
      <c r="C955" s="34" t="s">
        <v>313</v>
      </c>
      <c r="D955" s="40">
        <f t="shared" si="0"/>
        <v>3</v>
      </c>
      <c r="E955" s="35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8" t="s">
        <v>36</v>
      </c>
      <c r="B956" s="88" t="s">
        <v>54</v>
      </c>
      <c r="C956" s="39" t="s">
        <v>1000</v>
      </c>
      <c r="D956" s="40">
        <f t="shared" si="0"/>
        <v>13</v>
      </c>
      <c r="E956" s="40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9"/>
      <c r="B957" s="89"/>
      <c r="C957" s="39" t="s">
        <v>1001</v>
      </c>
      <c r="D957" s="40">
        <f t="shared" si="0"/>
        <v>14</v>
      </c>
      <c r="E957" s="40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9"/>
      <c r="B958" s="89"/>
      <c r="C958" s="39" t="s">
        <v>1002</v>
      </c>
      <c r="D958" s="40">
        <f t="shared" si="0"/>
        <v>18</v>
      </c>
      <c r="E958" s="40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9"/>
      <c r="B959" s="89"/>
      <c r="C959" s="39" t="s">
        <v>1003</v>
      </c>
      <c r="D959" s="40">
        <f t="shared" si="0"/>
        <v>22</v>
      </c>
      <c r="E959" s="40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9"/>
      <c r="B960" s="89"/>
      <c r="C960" s="39" t="s">
        <v>1004</v>
      </c>
      <c r="D960" s="40">
        <f t="shared" si="0"/>
        <v>7</v>
      </c>
      <c r="E960" s="40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9"/>
      <c r="B961" s="89"/>
      <c r="C961" s="39" t="s">
        <v>1005</v>
      </c>
      <c r="D961" s="40">
        <f t="shared" si="0"/>
        <v>9</v>
      </c>
      <c r="E961" s="40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9"/>
      <c r="B962" s="89"/>
      <c r="C962" s="39" t="s">
        <v>1006</v>
      </c>
      <c r="D962" s="40">
        <f t="shared" si="0"/>
        <v>14</v>
      </c>
      <c r="E962" s="40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9"/>
      <c r="B963" s="89"/>
      <c r="C963" s="39" t="s">
        <v>849</v>
      </c>
      <c r="D963" s="40">
        <f t="shared" si="0"/>
        <v>10</v>
      </c>
      <c r="E963" s="40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91" t="s">
        <v>38</v>
      </c>
      <c r="B964" s="86" t="s">
        <v>54</v>
      </c>
      <c r="C964" s="34" t="s">
        <v>972</v>
      </c>
      <c r="D964" s="40">
        <f t="shared" si="0"/>
        <v>4</v>
      </c>
      <c r="E964" s="35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2"/>
      <c r="B965" s="87"/>
      <c r="C965" s="34" t="s">
        <v>973</v>
      </c>
      <c r="D965" s="40">
        <f t="shared" si="0"/>
        <v>3</v>
      </c>
      <c r="E965" s="35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2"/>
      <c r="B966" s="87"/>
      <c r="C966" s="34" t="s">
        <v>745</v>
      </c>
      <c r="D966" s="40">
        <f t="shared" si="0"/>
        <v>4</v>
      </c>
      <c r="E966" s="35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2"/>
      <c r="B967" s="87"/>
      <c r="C967" s="34" t="s">
        <v>974</v>
      </c>
      <c r="D967" s="40">
        <f t="shared" si="0"/>
        <v>6</v>
      </c>
      <c r="E967" s="35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2"/>
      <c r="B968" s="87"/>
      <c r="C968" s="34" t="s">
        <v>975</v>
      </c>
      <c r="D968" s="40">
        <f t="shared" si="0"/>
        <v>5</v>
      </c>
      <c r="E968" s="35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2"/>
      <c r="B969" s="87"/>
      <c r="C969" s="34" t="s">
        <v>1007</v>
      </c>
      <c r="D969" s="40">
        <f t="shared" si="0"/>
        <v>5</v>
      </c>
      <c r="E969" s="35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8" t="s">
        <v>40</v>
      </c>
      <c r="B970" s="88" t="s">
        <v>54</v>
      </c>
      <c r="C970" s="39" t="s">
        <v>1008</v>
      </c>
      <c r="D970" s="40">
        <f t="shared" si="0"/>
        <v>11</v>
      </c>
      <c r="E970" s="40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2"/>
      <c r="B971" s="89"/>
      <c r="C971" s="39" t="s">
        <v>1009</v>
      </c>
      <c r="D971" s="40">
        <f t="shared" si="0"/>
        <v>21</v>
      </c>
      <c r="E971" s="40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2"/>
      <c r="B972" s="89"/>
      <c r="C972" s="39" t="s">
        <v>1010</v>
      </c>
      <c r="D972" s="40">
        <f t="shared" si="0"/>
        <v>14</v>
      </c>
      <c r="E972" s="40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2"/>
      <c r="B973" s="89"/>
      <c r="C973" s="39" t="s">
        <v>1011</v>
      </c>
      <c r="D973" s="40">
        <f t="shared" si="0"/>
        <v>4</v>
      </c>
      <c r="E973" s="40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2"/>
      <c r="B974" s="89"/>
      <c r="C974" s="39" t="s">
        <v>1012</v>
      </c>
      <c r="D974" s="40">
        <f t="shared" si="0"/>
        <v>10</v>
      </c>
      <c r="E974" s="40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2"/>
      <c r="B975" s="89"/>
      <c r="C975" s="39" t="s">
        <v>1013</v>
      </c>
      <c r="D975" s="40">
        <f t="shared" si="0"/>
        <v>5</v>
      </c>
      <c r="E975" s="40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3"/>
      <c r="B976" s="90"/>
      <c r="C976" s="39" t="s">
        <v>313</v>
      </c>
      <c r="D976" s="40">
        <f t="shared" si="0"/>
        <v>3</v>
      </c>
      <c r="E976" s="40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6" t="s">
        <v>39</v>
      </c>
      <c r="B977" s="86" t="s">
        <v>54</v>
      </c>
      <c r="C977" s="35" t="s">
        <v>1014</v>
      </c>
      <c r="D977" s="40">
        <f t="shared" si="0"/>
        <v>13</v>
      </c>
      <c r="E977" s="35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7"/>
      <c r="B978" s="87"/>
      <c r="C978" s="35" t="s">
        <v>1016</v>
      </c>
      <c r="D978" s="40">
        <f t="shared" si="0"/>
        <v>11</v>
      </c>
      <c r="E978" s="35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7"/>
      <c r="B979" s="87"/>
      <c r="C979" s="35" t="s">
        <v>1017</v>
      </c>
      <c r="D979" s="40">
        <f t="shared" si="0"/>
        <v>16</v>
      </c>
      <c r="E979" s="35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7"/>
      <c r="B980" s="87"/>
      <c r="C980" s="35" t="s">
        <v>1018</v>
      </c>
      <c r="D980" s="40">
        <f t="shared" si="0"/>
        <v>14</v>
      </c>
      <c r="E980" s="35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7"/>
      <c r="B981" s="87"/>
      <c r="C981" s="35" t="s">
        <v>1019</v>
      </c>
      <c r="D981" s="40">
        <f t="shared" si="0"/>
        <v>27</v>
      </c>
      <c r="E981" s="35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7"/>
      <c r="B982" s="87"/>
      <c r="C982" s="35" t="s">
        <v>1020</v>
      </c>
      <c r="D982" s="40">
        <f t="shared" si="0"/>
        <v>25</v>
      </c>
      <c r="E982" s="35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7"/>
      <c r="B983" s="87"/>
      <c r="C983" s="35" t="s">
        <v>1021</v>
      </c>
      <c r="D983" s="40">
        <f t="shared" si="0"/>
        <v>33</v>
      </c>
      <c r="E983" s="35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7"/>
      <c r="B984" s="87"/>
      <c r="C984" s="35" t="s">
        <v>1022</v>
      </c>
      <c r="D984" s="40">
        <f t="shared" si="0"/>
        <v>31</v>
      </c>
      <c r="E984" s="35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7"/>
      <c r="B985" s="87"/>
      <c r="C985" s="35" t="s">
        <v>1023</v>
      </c>
      <c r="D985" s="40">
        <f t="shared" si="0"/>
        <v>4</v>
      </c>
      <c r="E985" s="34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8" t="s">
        <v>41</v>
      </c>
      <c r="B986" s="88" t="s">
        <v>54</v>
      </c>
      <c r="C986" s="39" t="s">
        <v>976</v>
      </c>
      <c r="D986" s="40">
        <f t="shared" si="0"/>
        <v>10</v>
      </c>
      <c r="E986" s="40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2"/>
      <c r="B987" s="89"/>
      <c r="C987" s="39" t="s">
        <v>977</v>
      </c>
      <c r="D987" s="40">
        <f t="shared" si="0"/>
        <v>13</v>
      </c>
      <c r="E987" s="40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2"/>
      <c r="B988" s="89"/>
      <c r="C988" s="39" t="s">
        <v>1025</v>
      </c>
      <c r="D988" s="40">
        <f t="shared" si="0"/>
        <v>34</v>
      </c>
      <c r="E988" s="40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2"/>
      <c r="B989" s="89"/>
      <c r="C989" s="39" t="s">
        <v>1026</v>
      </c>
      <c r="D989" s="40">
        <f t="shared" si="0"/>
        <v>35</v>
      </c>
      <c r="E989" s="40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2"/>
      <c r="B990" s="89"/>
      <c r="C990" s="39" t="s">
        <v>1027</v>
      </c>
      <c r="D990" s="40">
        <f t="shared" si="0"/>
        <v>33</v>
      </c>
      <c r="E990" s="40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2"/>
      <c r="B991" s="89"/>
      <c r="C991" s="39" t="s">
        <v>1028</v>
      </c>
      <c r="D991" s="40">
        <f t="shared" si="0"/>
        <v>24</v>
      </c>
      <c r="E991" s="40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6" t="s">
        <v>42</v>
      </c>
      <c r="B992" s="86" t="s">
        <v>54</v>
      </c>
      <c r="C992" s="34" t="s">
        <v>753</v>
      </c>
      <c r="D992" s="40">
        <f t="shared" si="0"/>
        <v>23</v>
      </c>
      <c r="E992" s="35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7"/>
      <c r="B993" s="87"/>
      <c r="C993" s="34" t="s">
        <v>952</v>
      </c>
      <c r="D993" s="40">
        <f t="shared" si="0"/>
        <v>26</v>
      </c>
      <c r="E993" s="35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7"/>
      <c r="B994" s="87"/>
      <c r="C994" s="34" t="s">
        <v>951</v>
      </c>
      <c r="D994" s="40">
        <f t="shared" si="0"/>
        <v>10</v>
      </c>
      <c r="E994" s="35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7"/>
      <c r="B995" s="87"/>
      <c r="C995" s="34" t="s">
        <v>754</v>
      </c>
      <c r="D995" s="40">
        <f t="shared" si="0"/>
        <v>10</v>
      </c>
      <c r="E995" s="35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7"/>
      <c r="B996" s="87"/>
      <c r="C996" s="34" t="s">
        <v>1029</v>
      </c>
      <c r="D996" s="40">
        <f t="shared" si="0"/>
        <v>17</v>
      </c>
      <c r="E996" s="34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7"/>
      <c r="B997" s="87"/>
      <c r="C997" s="34" t="s">
        <v>313</v>
      </c>
      <c r="D997" s="40">
        <f t="shared" si="0"/>
        <v>3</v>
      </c>
      <c r="E997" s="35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8" t="s">
        <v>43</v>
      </c>
      <c r="B998" s="88" t="s">
        <v>54</v>
      </c>
      <c r="C998" s="39" t="s">
        <v>1031</v>
      </c>
      <c r="D998" s="40">
        <f t="shared" si="0"/>
        <v>10</v>
      </c>
      <c r="E998" s="40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9"/>
      <c r="B999" s="89"/>
      <c r="C999" s="39" t="s">
        <v>1032</v>
      </c>
      <c r="D999" s="40">
        <f t="shared" si="0"/>
        <v>13</v>
      </c>
      <c r="E999" s="40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6" t="s">
        <v>45</v>
      </c>
      <c r="B1000" s="86" t="s">
        <v>54</v>
      </c>
      <c r="C1000" s="34" t="s">
        <v>1033</v>
      </c>
      <c r="D1000" s="40">
        <f t="shared" si="0"/>
        <v>46</v>
      </c>
      <c r="E1000" s="35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7"/>
      <c r="B1001" s="87"/>
      <c r="C1001" s="34" t="s">
        <v>1034</v>
      </c>
      <c r="D1001" s="40">
        <f t="shared" si="0"/>
        <v>11</v>
      </c>
      <c r="E1001" s="35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7"/>
      <c r="B1002" s="87"/>
      <c r="C1002" s="34" t="s">
        <v>1035</v>
      </c>
      <c r="D1002" s="40">
        <f t="shared" si="0"/>
        <v>12</v>
      </c>
      <c r="E1002" s="35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7"/>
      <c r="B1003" s="87"/>
      <c r="C1003" s="34" t="s">
        <v>1036</v>
      </c>
      <c r="D1003" s="40">
        <f t="shared" si="0"/>
        <v>16</v>
      </c>
      <c r="E1003" s="35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7"/>
      <c r="B1004" s="87"/>
      <c r="C1004" s="34" t="s">
        <v>1037</v>
      </c>
      <c r="D1004" s="40">
        <f t="shared" si="0"/>
        <v>9</v>
      </c>
      <c r="E1004" s="35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7"/>
      <c r="B1005" s="87"/>
      <c r="C1005" s="34" t="s">
        <v>1038</v>
      </c>
      <c r="D1005" s="40">
        <f t="shared" si="0"/>
        <v>16</v>
      </c>
      <c r="E1005" s="35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7"/>
      <c r="B1006" s="87"/>
      <c r="C1006" s="34" t="s">
        <v>1039</v>
      </c>
      <c r="D1006" s="40">
        <f t="shared" si="0"/>
        <v>16</v>
      </c>
      <c r="E1006" s="35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7"/>
      <c r="B1007" s="87"/>
      <c r="C1007" s="34" t="s">
        <v>1040</v>
      </c>
      <c r="D1007" s="40">
        <f t="shared" si="0"/>
        <v>10</v>
      </c>
      <c r="E1007" s="35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7"/>
      <c r="B1008" s="87"/>
      <c r="C1008" s="34" t="s">
        <v>1041</v>
      </c>
      <c r="D1008" s="40">
        <f t="shared" si="0"/>
        <v>18</v>
      </c>
      <c r="E1008" s="35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7"/>
      <c r="B1009" s="87"/>
      <c r="C1009" s="34" t="s">
        <v>1042</v>
      </c>
      <c r="D1009" s="40">
        <f t="shared" si="0"/>
        <v>24</v>
      </c>
      <c r="E1009" s="35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7"/>
      <c r="B1010" s="87"/>
      <c r="C1010" s="34" t="s">
        <v>1043</v>
      </c>
      <c r="D1010" s="40">
        <f t="shared" si="0"/>
        <v>20</v>
      </c>
      <c r="E1010" s="35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7"/>
      <c r="B1011" s="87"/>
      <c r="C1011" s="34" t="s">
        <v>1044</v>
      </c>
      <c r="D1011" s="40">
        <f t="shared" si="0"/>
        <v>15</v>
      </c>
      <c r="E1011" s="35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7"/>
      <c r="B1012" s="87"/>
      <c r="C1012" s="34" t="s">
        <v>1045</v>
      </c>
      <c r="D1012" s="40">
        <f t="shared" si="0"/>
        <v>28</v>
      </c>
      <c r="E1012" s="35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7"/>
      <c r="B1013" s="87"/>
      <c r="C1013" s="34" t="s">
        <v>1046</v>
      </c>
      <c r="D1013" s="40">
        <f t="shared" si="0"/>
        <v>14</v>
      </c>
      <c r="E1013" s="35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7"/>
      <c r="B1014" s="87"/>
      <c r="C1014" s="34" t="s">
        <v>1047</v>
      </c>
      <c r="D1014" s="40">
        <f t="shared" si="0"/>
        <v>13</v>
      </c>
      <c r="E1014" s="35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7"/>
      <c r="B1015" s="87"/>
      <c r="C1015" s="34" t="s">
        <v>1048</v>
      </c>
      <c r="D1015" s="40">
        <f t="shared" si="0"/>
        <v>13</v>
      </c>
      <c r="E1015" s="35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7"/>
      <c r="B1016" s="87"/>
      <c r="C1016" s="34" t="s">
        <v>1049</v>
      </c>
      <c r="D1016" s="40">
        <f t="shared" si="0"/>
        <v>24</v>
      </c>
      <c r="E1016" s="35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7"/>
      <c r="B1017" s="87"/>
      <c r="C1017" s="34" t="s">
        <v>1050</v>
      </c>
      <c r="D1017" s="40">
        <f t="shared" si="0"/>
        <v>16</v>
      </c>
      <c r="E1017" s="35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7"/>
      <c r="B1018" s="87"/>
      <c r="C1018" s="34" t="s">
        <v>1051</v>
      </c>
      <c r="D1018" s="40">
        <f t="shared" si="0"/>
        <v>20</v>
      </c>
      <c r="E1018" s="35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7"/>
      <c r="B1019" s="87"/>
      <c r="C1019" s="34" t="s">
        <v>1052</v>
      </c>
      <c r="D1019" s="40">
        <f t="shared" si="0"/>
        <v>18</v>
      </c>
      <c r="E1019" s="35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7"/>
      <c r="B1020" s="87"/>
      <c r="C1020" s="34" t="s">
        <v>1053</v>
      </c>
      <c r="D1020" s="40">
        <f t="shared" si="0"/>
        <v>17</v>
      </c>
      <c r="E1020" s="35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7"/>
      <c r="B1021" s="87"/>
      <c r="C1021" s="34" t="s">
        <v>1054</v>
      </c>
      <c r="D1021" s="40">
        <f t="shared" si="0"/>
        <v>26</v>
      </c>
      <c r="E1021" s="35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7"/>
      <c r="B1022" s="87"/>
      <c r="C1022" s="34" t="s">
        <v>1055</v>
      </c>
      <c r="D1022" s="40">
        <f t="shared" si="0"/>
        <v>22</v>
      </c>
      <c r="E1022" s="35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7"/>
      <c r="B1023" s="87"/>
      <c r="C1023" s="34" t="s">
        <v>1056</v>
      </c>
      <c r="D1023" s="40">
        <f t="shared" si="0"/>
        <v>13</v>
      </c>
      <c r="E1023" s="35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7"/>
      <c r="B1024" s="87"/>
      <c r="C1024" s="34" t="s">
        <v>1057</v>
      </c>
      <c r="D1024" s="40">
        <f t="shared" si="0"/>
        <v>8</v>
      </c>
      <c r="E1024" s="35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7"/>
      <c r="B1025" s="87"/>
      <c r="C1025" s="34" t="s">
        <v>1058</v>
      </c>
      <c r="D1025" s="40">
        <f t="shared" si="0"/>
        <v>11</v>
      </c>
      <c r="E1025" s="35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7"/>
      <c r="B1026" s="87"/>
      <c r="C1026" s="34" t="s">
        <v>1059</v>
      </c>
      <c r="D1026" s="40">
        <f t="shared" si="0"/>
        <v>12</v>
      </c>
      <c r="E1026" s="35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7"/>
      <c r="B1027" s="87"/>
      <c r="C1027" s="34" t="s">
        <v>1060</v>
      </c>
      <c r="D1027" s="40">
        <f t="shared" si="0"/>
        <v>10</v>
      </c>
      <c r="E1027" s="35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7"/>
      <c r="B1028" s="87"/>
      <c r="C1028" s="34" t="s">
        <v>1061</v>
      </c>
      <c r="D1028" s="40">
        <f t="shared" si="0"/>
        <v>12</v>
      </c>
      <c r="E1028" s="35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7"/>
      <c r="B1029" s="87"/>
      <c r="C1029" s="34" t="s">
        <v>1062</v>
      </c>
      <c r="D1029" s="40">
        <f t="shared" si="0"/>
        <v>9</v>
      </c>
      <c r="E1029" s="35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7"/>
      <c r="B1030" s="87"/>
      <c r="C1030" s="34" t="s">
        <v>1063</v>
      </c>
      <c r="D1030" s="40">
        <f t="shared" si="0"/>
        <v>6</v>
      </c>
      <c r="E1030" s="35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7"/>
      <c r="B1031" s="87"/>
      <c r="C1031" s="94" t="s">
        <v>1064</v>
      </c>
      <c r="D1031" s="40">
        <f t="shared" si="0"/>
        <v>7</v>
      </c>
      <c r="E1031" s="35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7"/>
      <c r="B1032" s="87"/>
      <c r="C1032" s="34" t="s">
        <v>1065</v>
      </c>
      <c r="D1032" s="40">
        <f t="shared" si="0"/>
        <v>4</v>
      </c>
      <c r="E1032" s="35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7"/>
      <c r="B1033" s="87"/>
      <c r="C1033" s="34" t="s">
        <v>313</v>
      </c>
      <c r="D1033" s="40">
        <f t="shared" si="0"/>
        <v>3</v>
      </c>
      <c r="E1033" s="35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7" t="s">
        <v>44</v>
      </c>
      <c r="B1034" s="47" t="s">
        <v>54</v>
      </c>
      <c r="C1034" s="39" t="s">
        <v>1066</v>
      </c>
      <c r="D1034" s="40">
        <f t="shared" si="0"/>
        <v>7</v>
      </c>
      <c r="E1034" s="40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8"/>
      <c r="B1035" s="48"/>
      <c r="C1035" s="39" t="s">
        <v>1067</v>
      </c>
      <c r="D1035" s="40">
        <f t="shared" si="0"/>
        <v>10</v>
      </c>
      <c r="E1035" s="40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8"/>
      <c r="B1036" s="48"/>
      <c r="C1036" s="39" t="s">
        <v>313</v>
      </c>
      <c r="D1036" s="40">
        <f t="shared" si="0"/>
        <v>3</v>
      </c>
      <c r="E1036" s="40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6" t="s">
        <v>1068</v>
      </c>
      <c r="B1037" s="86" t="s">
        <v>54</v>
      </c>
      <c r="C1037" s="34" t="s">
        <v>1069</v>
      </c>
      <c r="D1037" s="40">
        <f t="shared" si="0"/>
        <v>15</v>
      </c>
      <c r="E1037" s="35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7"/>
      <c r="B1038" s="87"/>
      <c r="C1038" s="34" t="s">
        <v>1070</v>
      </c>
      <c r="D1038" s="40">
        <f t="shared" si="0"/>
        <v>23</v>
      </c>
      <c r="E1038" s="34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7"/>
      <c r="B1039" s="87"/>
      <c r="C1039" s="34" t="s">
        <v>1072</v>
      </c>
      <c r="D1039" s="40">
        <f t="shared" si="0"/>
        <v>28</v>
      </c>
      <c r="E1039" s="34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7"/>
      <c r="B1040" s="87"/>
      <c r="C1040" s="34" t="s">
        <v>1074</v>
      </c>
      <c r="D1040" s="40">
        <f t="shared" si="0"/>
        <v>28</v>
      </c>
      <c r="E1040" s="34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6" t="s">
        <v>1077</v>
      </c>
      <c r="B1" s="97" t="s">
        <v>1078</v>
      </c>
      <c r="C1" s="97" t="s">
        <v>1079</v>
      </c>
      <c r="D1" s="98" t="s">
        <v>1080</v>
      </c>
      <c r="E1" s="99"/>
    </row>
    <row r="2" spans="1:5" ht="15.75" hidden="1" outlineLevel="1">
      <c r="A2" s="100" t="s">
        <v>19</v>
      </c>
      <c r="B2" s="101" t="s">
        <v>49</v>
      </c>
      <c r="C2" s="100">
        <v>5.0999999999999996</v>
      </c>
      <c r="D2" s="102"/>
    </row>
    <row r="3" spans="1:5" ht="15.75" hidden="1" outlineLevel="1">
      <c r="A3" s="100" t="s">
        <v>19</v>
      </c>
      <c r="B3" s="101" t="s">
        <v>50</v>
      </c>
      <c r="C3" s="100">
        <v>5.2</v>
      </c>
      <c r="D3" s="102"/>
    </row>
    <row r="4" spans="1:5" ht="15.75" hidden="1" outlineLevel="1">
      <c r="A4" s="100" t="s">
        <v>19</v>
      </c>
      <c r="B4" s="101" t="s">
        <v>51</v>
      </c>
      <c r="C4" s="100">
        <v>5.4</v>
      </c>
      <c r="D4" s="102"/>
    </row>
    <row r="5" spans="1:5" ht="15.75" hidden="1" outlineLevel="1">
      <c r="A5" s="100" t="s">
        <v>19</v>
      </c>
      <c r="B5" s="101" t="s">
        <v>52</v>
      </c>
      <c r="C5" s="100">
        <v>5.7</v>
      </c>
      <c r="D5" s="102"/>
    </row>
    <row r="6" spans="1:5" ht="15.75" hidden="1" outlineLevel="1">
      <c r="A6" s="100" t="s">
        <v>19</v>
      </c>
      <c r="B6" s="101" t="s">
        <v>53</v>
      </c>
      <c r="C6" s="100">
        <v>5.1100000000000003</v>
      </c>
      <c r="D6" s="102"/>
    </row>
    <row r="7" spans="1:5" ht="15.75" hidden="1" outlineLevel="1">
      <c r="A7" s="100" t="s">
        <v>19</v>
      </c>
      <c r="B7" s="101" t="s">
        <v>54</v>
      </c>
      <c r="C7" s="100">
        <v>5.26</v>
      </c>
      <c r="D7" s="102"/>
    </row>
    <row r="8" spans="1:5" ht="15.75" hidden="1" outlineLevel="1">
      <c r="A8" s="100" t="s">
        <v>19</v>
      </c>
      <c r="B8" s="101" t="s">
        <v>55</v>
      </c>
      <c r="C8" s="100">
        <v>5.27</v>
      </c>
      <c r="D8" s="102"/>
    </row>
    <row r="9" spans="1:5" ht="15.75" hidden="1" outlineLevel="1">
      <c r="A9" s="100" t="s">
        <v>19</v>
      </c>
      <c r="B9" s="101" t="s">
        <v>56</v>
      </c>
      <c r="C9" s="100">
        <v>5.36</v>
      </c>
      <c r="D9" s="102"/>
    </row>
    <row r="10" spans="1:5" ht="15.75" hidden="1" outlineLevel="1">
      <c r="A10" s="100" t="s">
        <v>19</v>
      </c>
      <c r="B10" s="101" t="s">
        <v>57</v>
      </c>
      <c r="C10" s="103">
        <v>5.5</v>
      </c>
      <c r="D10" s="102"/>
    </row>
    <row r="11" spans="1:5" ht="15.75" hidden="1" outlineLevel="1">
      <c r="A11" s="100" t="s">
        <v>19</v>
      </c>
      <c r="B11" s="101" t="s">
        <v>58</v>
      </c>
      <c r="C11" s="100">
        <v>5.51</v>
      </c>
      <c r="D11" s="102"/>
    </row>
    <row r="12" spans="1:5" ht="15.75" hidden="1" outlineLevel="1">
      <c r="A12" s="100" t="s">
        <v>19</v>
      </c>
      <c r="B12" s="101" t="s">
        <v>59</v>
      </c>
      <c r="C12" s="100">
        <v>5.53</v>
      </c>
      <c r="D12" s="102"/>
    </row>
    <row r="13" spans="1:5" ht="15.75" hidden="1" outlineLevel="1">
      <c r="A13" s="100" t="s">
        <v>19</v>
      </c>
      <c r="B13" s="101" t="s">
        <v>60</v>
      </c>
      <c r="C13" s="100">
        <v>5.59</v>
      </c>
      <c r="D13" s="102"/>
    </row>
    <row r="14" spans="1:5" ht="15.75" hidden="1" outlineLevel="1">
      <c r="A14" s="100" t="s">
        <v>19</v>
      </c>
      <c r="B14" s="101" t="s">
        <v>61</v>
      </c>
      <c r="C14" s="100">
        <v>5.54</v>
      </c>
      <c r="D14" s="102"/>
    </row>
    <row r="15" spans="1:5" ht="15.75" hidden="1" outlineLevel="1">
      <c r="A15" s="100" t="s">
        <v>19</v>
      </c>
      <c r="B15" s="101" t="s">
        <v>62</v>
      </c>
      <c r="C15" s="103">
        <v>5.7</v>
      </c>
      <c r="D15" s="104" t="s">
        <v>1081</v>
      </c>
    </row>
    <row r="16" spans="1:5" ht="15.75" hidden="1" outlineLevel="1">
      <c r="A16" s="100" t="s">
        <v>19</v>
      </c>
      <c r="B16" s="101" t="s">
        <v>63</v>
      </c>
      <c r="C16" s="100">
        <v>5.63</v>
      </c>
      <c r="D16" s="102"/>
    </row>
    <row r="17" spans="1:4" ht="15.75" hidden="1" outlineLevel="1">
      <c r="A17" s="100" t="s">
        <v>19</v>
      </c>
      <c r="B17" s="101" t="s">
        <v>64</v>
      </c>
      <c r="C17" s="100">
        <v>5.47</v>
      </c>
      <c r="D17" s="102"/>
    </row>
    <row r="18" spans="1:4" ht="15.75" hidden="1" outlineLevel="1">
      <c r="A18" s="100" t="s">
        <v>19</v>
      </c>
      <c r="B18" s="101" t="s">
        <v>65</v>
      </c>
      <c r="C18" s="100">
        <v>5.48</v>
      </c>
      <c r="D18" s="102"/>
    </row>
    <row r="19" spans="1:4" ht="15.75" hidden="1">
      <c r="A19" s="105" t="s">
        <v>19</v>
      </c>
      <c r="B19" s="101"/>
      <c r="C19" s="100"/>
      <c r="D19" s="102"/>
    </row>
    <row r="20" spans="1:4" ht="15.75" hidden="1" outlineLevel="1">
      <c r="A20" s="100" t="s">
        <v>20</v>
      </c>
      <c r="B20" s="101" t="s">
        <v>49</v>
      </c>
      <c r="C20" s="100">
        <v>5.0999999999999996</v>
      </c>
      <c r="D20" s="102"/>
    </row>
    <row r="21" spans="1:4" ht="15.75" hidden="1" customHeight="1" outlineLevel="1">
      <c r="A21" s="100" t="s">
        <v>20</v>
      </c>
      <c r="B21" s="101" t="s">
        <v>50</v>
      </c>
      <c r="C21" s="100">
        <v>5.2</v>
      </c>
      <c r="D21" s="102"/>
    </row>
    <row r="22" spans="1:4" ht="15.75" hidden="1" customHeight="1" outlineLevel="1">
      <c r="A22" s="100" t="s">
        <v>20</v>
      </c>
      <c r="B22" s="101" t="s">
        <v>66</v>
      </c>
      <c r="C22" s="100">
        <v>5.3</v>
      </c>
      <c r="D22" s="102"/>
    </row>
    <row r="23" spans="1:4" ht="15.75" hidden="1" customHeight="1" outlineLevel="1">
      <c r="A23" s="100" t="s">
        <v>20</v>
      </c>
      <c r="B23" s="101" t="s">
        <v>91</v>
      </c>
      <c r="C23" s="100">
        <v>5.14</v>
      </c>
      <c r="D23" s="102"/>
    </row>
    <row r="24" spans="1:4" ht="15.75" hidden="1" customHeight="1" outlineLevel="1">
      <c r="A24" s="100" t="s">
        <v>20</v>
      </c>
      <c r="B24" s="101" t="s">
        <v>68</v>
      </c>
      <c r="C24" s="100">
        <v>5.19</v>
      </c>
      <c r="D24" s="102"/>
    </row>
    <row r="25" spans="1:4" ht="15.75" hidden="1" customHeight="1" outlineLevel="1">
      <c r="A25" s="100" t="s">
        <v>20</v>
      </c>
      <c r="B25" s="101" t="s">
        <v>54</v>
      </c>
      <c r="C25" s="100">
        <v>5.26</v>
      </c>
      <c r="D25" s="102"/>
    </row>
    <row r="26" spans="1:4" ht="15.75" hidden="1" customHeight="1" outlineLevel="1">
      <c r="A26" s="100" t="s">
        <v>20</v>
      </c>
      <c r="B26" s="101" t="s">
        <v>55</v>
      </c>
      <c r="C26" s="100">
        <v>5.27</v>
      </c>
      <c r="D26" s="102"/>
    </row>
    <row r="27" spans="1:4" ht="15.75" hidden="1" customHeight="1" outlineLevel="1">
      <c r="A27" s="100" t="s">
        <v>20</v>
      </c>
      <c r="B27" s="101" t="s">
        <v>69</v>
      </c>
      <c r="C27" s="100">
        <v>5.28</v>
      </c>
      <c r="D27" s="102"/>
    </row>
    <row r="28" spans="1:4" ht="15.75" hidden="1" customHeight="1" outlineLevel="1">
      <c r="A28" s="100" t="s">
        <v>20</v>
      </c>
      <c r="B28" s="101" t="s">
        <v>70</v>
      </c>
      <c r="C28" s="103">
        <v>5.3</v>
      </c>
      <c r="D28" s="102"/>
    </row>
    <row r="29" spans="1:4" ht="15.75" hidden="1" customHeight="1" outlineLevel="1">
      <c r="A29" s="100" t="s">
        <v>20</v>
      </c>
      <c r="B29" s="101" t="s">
        <v>71</v>
      </c>
      <c r="C29" s="100">
        <v>5.49</v>
      </c>
      <c r="D29" s="102"/>
    </row>
    <row r="30" spans="1:4" ht="15.75" hidden="1" customHeight="1" outlineLevel="1">
      <c r="A30" s="100" t="s">
        <v>20</v>
      </c>
      <c r="B30" s="101" t="s">
        <v>58</v>
      </c>
      <c r="C30" s="100">
        <v>5.51</v>
      </c>
      <c r="D30" s="102"/>
    </row>
    <row r="31" spans="1:4" ht="15.75" hidden="1" customHeight="1" outlineLevel="1">
      <c r="A31" s="100" t="s">
        <v>20</v>
      </c>
      <c r="B31" s="101" t="s">
        <v>59</v>
      </c>
      <c r="C31" s="100">
        <v>5.53</v>
      </c>
      <c r="D31" s="102"/>
    </row>
    <row r="32" spans="1:4" ht="15.75" hidden="1" customHeight="1" outlineLevel="1">
      <c r="A32" s="100" t="s">
        <v>20</v>
      </c>
      <c r="B32" s="101" t="s">
        <v>72</v>
      </c>
      <c r="C32" s="100">
        <v>5.69</v>
      </c>
      <c r="D32" s="102"/>
    </row>
    <row r="33" spans="1:4" ht="15.75" hidden="1" customHeight="1" outlineLevel="1">
      <c r="A33" s="100" t="s">
        <v>20</v>
      </c>
      <c r="B33" s="101" t="s">
        <v>73</v>
      </c>
      <c r="C33" s="100">
        <v>5.75</v>
      </c>
      <c r="D33" s="102"/>
    </row>
    <row r="34" spans="1:4" ht="15.75" hidden="1" customHeight="1" outlineLevel="1">
      <c r="A34" s="100" t="s">
        <v>20</v>
      </c>
      <c r="B34" s="101" t="s">
        <v>62</v>
      </c>
      <c r="C34" s="103">
        <v>5.7</v>
      </c>
      <c r="D34" s="102"/>
    </row>
    <row r="35" spans="1:4" ht="15.75" hidden="1" customHeight="1" outlineLevel="1">
      <c r="A35" s="100" t="s">
        <v>20</v>
      </c>
      <c r="B35" s="101" t="s">
        <v>74</v>
      </c>
      <c r="C35" s="100">
        <v>5.74</v>
      </c>
      <c r="D35" s="102"/>
    </row>
    <row r="36" spans="1:4" ht="15.75" hidden="1" customHeight="1" outlineLevel="1">
      <c r="A36" s="100" t="s">
        <v>20</v>
      </c>
      <c r="B36" s="101" t="s">
        <v>75</v>
      </c>
      <c r="C36" s="100">
        <v>5.62</v>
      </c>
      <c r="D36" s="102"/>
    </row>
    <row r="37" spans="1:4" ht="15.75" hidden="1" customHeight="1" outlineLevel="1">
      <c r="A37" s="100" t="s">
        <v>20</v>
      </c>
      <c r="B37" s="101" t="s">
        <v>76</v>
      </c>
      <c r="C37" s="100">
        <v>5.58</v>
      </c>
      <c r="D37" s="102"/>
    </row>
    <row r="38" spans="1:4" ht="15.75" hidden="1" customHeight="1" outlineLevel="1">
      <c r="A38" s="100" t="s">
        <v>20</v>
      </c>
      <c r="B38" s="101" t="s">
        <v>61</v>
      </c>
      <c r="C38" s="100">
        <v>5.54</v>
      </c>
      <c r="D38" s="102"/>
    </row>
    <row r="39" spans="1:4" ht="15.75" hidden="1" customHeight="1" outlineLevel="1">
      <c r="A39" s="100" t="s">
        <v>20</v>
      </c>
      <c r="B39" s="101" t="s">
        <v>77</v>
      </c>
      <c r="C39" s="100">
        <v>5.55</v>
      </c>
      <c r="D39" s="102"/>
    </row>
    <row r="40" spans="1:4" ht="15.75" hidden="1" customHeight="1" outlineLevel="1">
      <c r="A40" s="100" t="s">
        <v>20</v>
      </c>
      <c r="B40" s="101" t="s">
        <v>63</v>
      </c>
      <c r="C40" s="100">
        <v>5.63</v>
      </c>
      <c r="D40" s="102"/>
    </row>
    <row r="41" spans="1:4" ht="15.75" hidden="1" customHeight="1" outlineLevel="1">
      <c r="A41" s="100" t="s">
        <v>20</v>
      </c>
      <c r="B41" s="101" t="s">
        <v>78</v>
      </c>
      <c r="C41" s="100">
        <v>5.65</v>
      </c>
      <c r="D41" s="102"/>
    </row>
    <row r="42" spans="1:4" ht="15.75" hidden="1" customHeight="1" outlineLevel="1">
      <c r="A42" s="100" t="s">
        <v>20</v>
      </c>
      <c r="B42" s="101" t="s">
        <v>17</v>
      </c>
      <c r="C42" s="100">
        <v>5.68</v>
      </c>
      <c r="D42" s="102"/>
    </row>
    <row r="43" spans="1:4" ht="15.75" hidden="1" customHeight="1" outlineLevel="1">
      <c r="A43" s="100" t="s">
        <v>20</v>
      </c>
      <c r="B43" s="101" t="s">
        <v>79</v>
      </c>
      <c r="C43" s="100">
        <v>5.45</v>
      </c>
      <c r="D43" s="102"/>
    </row>
    <row r="44" spans="1:4" ht="15.75" hidden="1" customHeight="1" outlineLevel="1">
      <c r="A44" s="100" t="s">
        <v>20</v>
      </c>
      <c r="B44" s="101" t="s">
        <v>64</v>
      </c>
      <c r="C44" s="100">
        <v>5.47</v>
      </c>
      <c r="D44" s="102"/>
    </row>
    <row r="45" spans="1:4" ht="15.75" hidden="1" customHeight="1" outlineLevel="1">
      <c r="A45" s="100" t="s">
        <v>20</v>
      </c>
      <c r="B45" s="101" t="s">
        <v>65</v>
      </c>
      <c r="C45" s="100">
        <v>5.48</v>
      </c>
      <c r="D45" s="102"/>
    </row>
    <row r="46" spans="1:4" ht="15.75" hidden="1" customHeight="1">
      <c r="A46" s="105" t="s">
        <v>20</v>
      </c>
      <c r="B46" s="101"/>
      <c r="C46" s="100"/>
      <c r="D46" s="102"/>
    </row>
    <row r="47" spans="1:4" ht="15.75" hidden="1" customHeight="1" outlineLevel="1">
      <c r="A47" s="100" t="s">
        <v>21</v>
      </c>
      <c r="B47" s="101" t="s">
        <v>49</v>
      </c>
      <c r="C47" s="100">
        <v>5.0999999999999996</v>
      </c>
      <c r="D47" s="102"/>
    </row>
    <row r="48" spans="1:4" ht="15.75" hidden="1" customHeight="1" outlineLevel="1">
      <c r="A48" s="100" t="s">
        <v>21</v>
      </c>
      <c r="B48" s="101" t="s">
        <v>50</v>
      </c>
      <c r="C48" s="100">
        <v>5.2</v>
      </c>
      <c r="D48" s="102"/>
    </row>
    <row r="49" spans="1:4" ht="15.75" hidden="1" customHeight="1" outlineLevel="1">
      <c r="A49" s="100" t="s">
        <v>21</v>
      </c>
      <c r="B49" s="101" t="s">
        <v>66</v>
      </c>
      <c r="C49" s="100">
        <v>5.3</v>
      </c>
      <c r="D49" s="102"/>
    </row>
    <row r="50" spans="1:4" ht="15.75" hidden="1" customHeight="1" outlineLevel="1">
      <c r="A50" s="100" t="s">
        <v>21</v>
      </c>
      <c r="B50" s="101" t="s">
        <v>80</v>
      </c>
      <c r="C50" s="100">
        <v>5.6</v>
      </c>
      <c r="D50" s="102"/>
    </row>
    <row r="51" spans="1:4" ht="15.75" hidden="1" customHeight="1" outlineLevel="1">
      <c r="A51" s="100" t="s">
        <v>21</v>
      </c>
      <c r="B51" s="101" t="s">
        <v>1082</v>
      </c>
      <c r="C51" s="103">
        <v>5.0999999999999996</v>
      </c>
      <c r="D51" s="102"/>
    </row>
    <row r="52" spans="1:4" ht="15.75" hidden="1" customHeight="1" outlineLevel="1">
      <c r="A52" s="100" t="s">
        <v>21</v>
      </c>
      <c r="B52" s="101" t="s">
        <v>91</v>
      </c>
      <c r="C52" s="100">
        <v>5.14</v>
      </c>
      <c r="D52" s="102"/>
    </row>
    <row r="53" spans="1:4" ht="15.75" hidden="1" customHeight="1" outlineLevel="1">
      <c r="A53" s="100" t="s">
        <v>21</v>
      </c>
      <c r="B53" s="101" t="s">
        <v>68</v>
      </c>
      <c r="C53" s="100">
        <v>5.19</v>
      </c>
      <c r="D53" s="102"/>
    </row>
    <row r="54" spans="1:4" ht="15.75" hidden="1" customHeight="1" outlineLevel="1">
      <c r="A54" s="100" t="s">
        <v>21</v>
      </c>
      <c r="B54" s="101" t="s">
        <v>82</v>
      </c>
      <c r="C54" s="100">
        <v>5.24</v>
      </c>
      <c r="D54" s="102"/>
    </row>
    <row r="55" spans="1:4" ht="15.75" hidden="1" customHeight="1" outlineLevel="1">
      <c r="A55" s="100" t="s">
        <v>21</v>
      </c>
      <c r="B55" s="101" t="s">
        <v>54</v>
      </c>
      <c r="C55" s="100">
        <v>5.26</v>
      </c>
      <c r="D55" s="102"/>
    </row>
    <row r="56" spans="1:4" ht="15.75" hidden="1" customHeight="1" outlineLevel="1">
      <c r="A56" s="100" t="s">
        <v>21</v>
      </c>
      <c r="B56" s="101" t="s">
        <v>55</v>
      </c>
      <c r="C56" s="100">
        <v>5.27</v>
      </c>
      <c r="D56" s="102"/>
    </row>
    <row r="57" spans="1:4" ht="15.75" hidden="1" customHeight="1" outlineLevel="1">
      <c r="A57" s="100" t="s">
        <v>21</v>
      </c>
      <c r="B57" s="101" t="s">
        <v>69</v>
      </c>
      <c r="C57" s="100">
        <v>5.28</v>
      </c>
      <c r="D57" s="102"/>
    </row>
    <row r="58" spans="1:4" ht="15.75" hidden="1" customHeight="1" outlineLevel="1">
      <c r="A58" s="100" t="s">
        <v>21</v>
      </c>
      <c r="B58" s="101" t="s">
        <v>70</v>
      </c>
      <c r="C58" s="103">
        <v>5.3</v>
      </c>
      <c r="D58" s="102"/>
    </row>
    <row r="59" spans="1:4" ht="15.75" hidden="1" customHeight="1" outlineLevel="1">
      <c r="A59" s="100" t="s">
        <v>21</v>
      </c>
      <c r="B59" s="101" t="s">
        <v>83</v>
      </c>
      <c r="C59" s="100">
        <v>5.31</v>
      </c>
      <c r="D59" s="102"/>
    </row>
    <row r="60" spans="1:4" ht="15.75" hidden="1" customHeight="1" outlineLevel="1">
      <c r="A60" s="100" t="s">
        <v>21</v>
      </c>
      <c r="B60" s="101" t="s">
        <v>56</v>
      </c>
      <c r="C60" s="100">
        <v>5.36</v>
      </c>
      <c r="D60" s="102"/>
    </row>
    <row r="61" spans="1:4" ht="15.75" hidden="1" customHeight="1" outlineLevel="1">
      <c r="A61" s="100" t="s">
        <v>21</v>
      </c>
      <c r="B61" s="101" t="s">
        <v>71</v>
      </c>
      <c r="C61" s="100">
        <v>5.49</v>
      </c>
      <c r="D61" s="102"/>
    </row>
    <row r="62" spans="1:4" ht="15.75" hidden="1" customHeight="1" outlineLevel="1">
      <c r="A62" s="100" t="s">
        <v>21</v>
      </c>
      <c r="B62" s="101" t="s">
        <v>58</v>
      </c>
      <c r="C62" s="100">
        <v>5.51</v>
      </c>
      <c r="D62" s="102"/>
    </row>
    <row r="63" spans="1:4" ht="15.75" hidden="1" customHeight="1" outlineLevel="1">
      <c r="A63" s="100" t="s">
        <v>21</v>
      </c>
      <c r="B63" s="101" t="s">
        <v>1083</v>
      </c>
      <c r="C63" s="100">
        <v>5.52</v>
      </c>
      <c r="D63" s="102"/>
    </row>
    <row r="64" spans="1:4" ht="15.75" hidden="1" customHeight="1" outlineLevel="1">
      <c r="A64" s="100" t="s">
        <v>21</v>
      </c>
      <c r="B64" s="101" t="s">
        <v>59</v>
      </c>
      <c r="C64" s="100">
        <v>5.53</v>
      </c>
      <c r="D64" s="102"/>
    </row>
    <row r="65" spans="1:4" ht="15.75" hidden="1" customHeight="1" outlineLevel="1">
      <c r="A65" s="100" t="s">
        <v>21</v>
      </c>
      <c r="B65" s="101" t="s">
        <v>72</v>
      </c>
      <c r="C65" s="100">
        <v>5.69</v>
      </c>
      <c r="D65" s="102"/>
    </row>
    <row r="66" spans="1:4" ht="15.75" hidden="1" customHeight="1" outlineLevel="1">
      <c r="A66" s="100" t="s">
        <v>21</v>
      </c>
      <c r="B66" s="101" t="s">
        <v>85</v>
      </c>
      <c r="C66" s="103">
        <v>5.72</v>
      </c>
      <c r="D66" s="102"/>
    </row>
    <row r="67" spans="1:4" ht="15.75" hidden="1" customHeight="1" outlineLevel="1">
      <c r="A67" s="100" t="s">
        <v>21</v>
      </c>
      <c r="B67" s="101" t="s">
        <v>73</v>
      </c>
      <c r="C67" s="100">
        <v>5.75</v>
      </c>
      <c r="D67" s="102"/>
    </row>
    <row r="68" spans="1:4" ht="15.75" hidden="1" customHeight="1" outlineLevel="1">
      <c r="A68" s="100" t="s">
        <v>21</v>
      </c>
      <c r="B68" s="101" t="s">
        <v>62</v>
      </c>
      <c r="C68" s="103">
        <v>5.7</v>
      </c>
      <c r="D68" s="102"/>
    </row>
    <row r="69" spans="1:4" ht="15.75" hidden="1" customHeight="1" outlineLevel="1">
      <c r="A69" s="100" t="s">
        <v>21</v>
      </c>
      <c r="B69" s="101" t="s">
        <v>74</v>
      </c>
      <c r="C69" s="100">
        <v>5.74</v>
      </c>
      <c r="D69" s="102"/>
    </row>
    <row r="70" spans="1:4" ht="15.75" hidden="1" customHeight="1" outlineLevel="1">
      <c r="A70" s="100" t="s">
        <v>21</v>
      </c>
      <c r="B70" s="101" t="s">
        <v>86</v>
      </c>
      <c r="C70" s="100">
        <v>5.76</v>
      </c>
      <c r="D70" s="102"/>
    </row>
    <row r="71" spans="1:4" ht="15.75" hidden="1" customHeight="1" outlineLevel="1">
      <c r="A71" s="100" t="s">
        <v>21</v>
      </c>
      <c r="B71" s="101" t="s">
        <v>87</v>
      </c>
      <c r="C71" s="100">
        <v>5.89</v>
      </c>
      <c r="D71" s="104" t="s">
        <v>1081</v>
      </c>
    </row>
    <row r="72" spans="1:4" ht="15.75" hidden="1" customHeight="1" outlineLevel="1">
      <c r="A72" s="100" t="s">
        <v>21</v>
      </c>
      <c r="B72" s="101" t="s">
        <v>76</v>
      </c>
      <c r="C72" s="100">
        <v>5.58</v>
      </c>
      <c r="D72" s="102"/>
    </row>
    <row r="73" spans="1:4" ht="15.75" hidden="1" customHeight="1" outlineLevel="1">
      <c r="A73" s="100" t="s">
        <v>21</v>
      </c>
      <c r="B73" s="101" t="s">
        <v>75</v>
      </c>
      <c r="C73" s="100">
        <v>5.62</v>
      </c>
      <c r="D73" s="102"/>
    </row>
    <row r="74" spans="1:4" ht="15.75" hidden="1" customHeight="1" outlineLevel="1">
      <c r="A74" s="100" t="s">
        <v>21</v>
      </c>
      <c r="B74" s="101" t="s">
        <v>61</v>
      </c>
      <c r="C74" s="100">
        <v>5.54</v>
      </c>
      <c r="D74" s="102"/>
    </row>
    <row r="75" spans="1:4" ht="15.75" hidden="1" customHeight="1" outlineLevel="1">
      <c r="A75" s="100" t="s">
        <v>21</v>
      </c>
      <c r="B75" s="101" t="s">
        <v>77</v>
      </c>
      <c r="C75" s="100">
        <v>5.55</v>
      </c>
      <c r="D75" s="102"/>
    </row>
    <row r="76" spans="1:4" ht="15.75" hidden="1" customHeight="1" outlineLevel="1">
      <c r="A76" s="100" t="s">
        <v>21</v>
      </c>
      <c r="B76" s="101" t="s">
        <v>63</v>
      </c>
      <c r="C76" s="100">
        <v>5.63</v>
      </c>
      <c r="D76" s="102"/>
    </row>
    <row r="77" spans="1:4" ht="15.75" hidden="1" customHeight="1" outlineLevel="1">
      <c r="A77" s="100" t="s">
        <v>21</v>
      </c>
      <c r="B77" s="101" t="s">
        <v>78</v>
      </c>
      <c r="C77" s="100">
        <v>5.65</v>
      </c>
      <c r="D77" s="102"/>
    </row>
    <row r="78" spans="1:4" ht="15.75" hidden="1" customHeight="1" outlineLevel="1">
      <c r="A78" s="100" t="s">
        <v>21</v>
      </c>
      <c r="B78" s="101" t="s">
        <v>88</v>
      </c>
      <c r="C78" s="100">
        <v>5.66</v>
      </c>
      <c r="D78" s="102"/>
    </row>
    <row r="79" spans="1:4" ht="15.75" hidden="1" customHeight="1" outlineLevel="1">
      <c r="A79" s="100" t="s">
        <v>21</v>
      </c>
      <c r="B79" s="101" t="s">
        <v>17</v>
      </c>
      <c r="C79" s="100">
        <v>5.68</v>
      </c>
      <c r="D79" s="102"/>
    </row>
    <row r="80" spans="1:4" ht="15.75" hidden="1" customHeight="1" outlineLevel="1">
      <c r="A80" s="100" t="s">
        <v>21</v>
      </c>
      <c r="B80" s="101" t="s">
        <v>79</v>
      </c>
      <c r="C80" s="100">
        <v>5.45</v>
      </c>
      <c r="D80" s="102"/>
    </row>
    <row r="81" spans="1:4" ht="15.75" hidden="1" customHeight="1" outlineLevel="1">
      <c r="A81" s="100" t="s">
        <v>21</v>
      </c>
      <c r="B81" s="101" t="s">
        <v>64</v>
      </c>
      <c r="C81" s="100">
        <v>5.47</v>
      </c>
      <c r="D81" s="102"/>
    </row>
    <row r="82" spans="1:4" ht="15.75" hidden="1" customHeight="1" outlineLevel="1">
      <c r="A82" s="100" t="s">
        <v>21</v>
      </c>
      <c r="B82" s="101" t="s">
        <v>65</v>
      </c>
      <c r="C82" s="100">
        <v>5.48</v>
      </c>
      <c r="D82" s="102"/>
    </row>
    <row r="83" spans="1:4" ht="15.75" hidden="1" customHeight="1">
      <c r="A83" s="105" t="s">
        <v>21</v>
      </c>
      <c r="B83" s="101"/>
      <c r="C83" s="100"/>
      <c r="D83" s="102"/>
    </row>
    <row r="84" spans="1:4" ht="15.75" hidden="1" customHeight="1" outlineLevel="1">
      <c r="A84" s="100" t="s">
        <v>22</v>
      </c>
      <c r="B84" s="101" t="s">
        <v>49</v>
      </c>
      <c r="C84" s="100">
        <v>5.0999999999999996</v>
      </c>
      <c r="D84" s="102"/>
    </row>
    <row r="85" spans="1:4" ht="15.75" hidden="1" customHeight="1" outlineLevel="1">
      <c r="A85" s="100" t="s">
        <v>22</v>
      </c>
      <c r="B85" s="101" t="s">
        <v>50</v>
      </c>
      <c r="C85" s="100">
        <v>5.2</v>
      </c>
      <c r="D85" s="102"/>
    </row>
    <row r="86" spans="1:4" ht="15.75" hidden="1" customHeight="1" outlineLevel="1">
      <c r="A86" s="100" t="s">
        <v>22</v>
      </c>
      <c r="B86" s="101" t="s">
        <v>66</v>
      </c>
      <c r="C86" s="100">
        <v>5.3</v>
      </c>
      <c r="D86" s="102"/>
    </row>
    <row r="87" spans="1:4" ht="15.75" hidden="1" customHeight="1" outlineLevel="1">
      <c r="A87" s="100" t="s">
        <v>22</v>
      </c>
      <c r="B87" s="101" t="s">
        <v>80</v>
      </c>
      <c r="C87" s="100">
        <v>5.6</v>
      </c>
      <c r="D87" s="102"/>
    </row>
    <row r="88" spans="1:4" ht="15.75" hidden="1" customHeight="1" outlineLevel="1">
      <c r="A88" s="100" t="s">
        <v>22</v>
      </c>
      <c r="B88" s="101" t="s">
        <v>1082</v>
      </c>
      <c r="C88" s="103">
        <v>5.0999999999999996</v>
      </c>
      <c r="D88" s="102"/>
    </row>
    <row r="89" spans="1:4" ht="15.75" hidden="1" customHeight="1" outlineLevel="1">
      <c r="A89" s="100" t="s">
        <v>22</v>
      </c>
      <c r="B89" s="101" t="s">
        <v>91</v>
      </c>
      <c r="C89" s="100">
        <v>5.14</v>
      </c>
      <c r="D89" s="102"/>
    </row>
    <row r="90" spans="1:4" ht="15.75" hidden="1" customHeight="1" outlineLevel="1">
      <c r="A90" s="100" t="s">
        <v>22</v>
      </c>
      <c r="B90" s="101" t="s">
        <v>68</v>
      </c>
      <c r="C90" s="100">
        <v>5.19</v>
      </c>
      <c r="D90" s="102"/>
    </row>
    <row r="91" spans="1:4" ht="15.75" hidden="1" customHeight="1" outlineLevel="1">
      <c r="A91" s="100" t="s">
        <v>22</v>
      </c>
      <c r="B91" s="101" t="s">
        <v>82</v>
      </c>
      <c r="C91" s="100">
        <v>5.24</v>
      </c>
      <c r="D91" s="102"/>
    </row>
    <row r="92" spans="1:4" ht="15.75" hidden="1" customHeight="1" outlineLevel="1">
      <c r="A92" s="100" t="s">
        <v>22</v>
      </c>
      <c r="B92" s="101" t="s">
        <v>54</v>
      </c>
      <c r="C92" s="100">
        <v>5.26</v>
      </c>
      <c r="D92" s="102"/>
    </row>
    <row r="93" spans="1:4" ht="15.75" hidden="1" customHeight="1" outlineLevel="1">
      <c r="A93" s="100" t="s">
        <v>22</v>
      </c>
      <c r="B93" s="101" t="s">
        <v>55</v>
      </c>
      <c r="C93" s="100">
        <v>5.27</v>
      </c>
      <c r="D93" s="102"/>
    </row>
    <row r="94" spans="1:4" ht="15.75" hidden="1" customHeight="1" outlineLevel="1">
      <c r="A94" s="100" t="s">
        <v>22</v>
      </c>
      <c r="B94" s="101" t="s">
        <v>69</v>
      </c>
      <c r="C94" s="100">
        <v>5.28</v>
      </c>
      <c r="D94" s="102"/>
    </row>
    <row r="95" spans="1:4" ht="15.75" hidden="1" customHeight="1" outlineLevel="1">
      <c r="A95" s="100" t="s">
        <v>22</v>
      </c>
      <c r="B95" s="101" t="s">
        <v>89</v>
      </c>
      <c r="C95" s="100">
        <v>5.29</v>
      </c>
      <c r="D95" s="102"/>
    </row>
    <row r="96" spans="1:4" ht="15.75" hidden="1" customHeight="1" outlineLevel="1">
      <c r="A96" s="100" t="s">
        <v>22</v>
      </c>
      <c r="B96" s="101" t="s">
        <v>70</v>
      </c>
      <c r="C96" s="103">
        <v>5.3</v>
      </c>
      <c r="D96" s="102"/>
    </row>
    <row r="97" spans="1:4" ht="15.75" hidden="1" customHeight="1" outlineLevel="1">
      <c r="A97" s="100" t="s">
        <v>22</v>
      </c>
      <c r="B97" s="101" t="s">
        <v>83</v>
      </c>
      <c r="C97" s="100">
        <v>5.31</v>
      </c>
      <c r="D97" s="102"/>
    </row>
    <row r="98" spans="1:4" ht="15.75" hidden="1" customHeight="1" outlineLevel="1">
      <c r="A98" s="100" t="s">
        <v>22</v>
      </c>
      <c r="B98" s="101" t="s">
        <v>56</v>
      </c>
      <c r="C98" s="100">
        <v>5.36</v>
      </c>
      <c r="D98" s="102"/>
    </row>
    <row r="99" spans="1:4" ht="15.75" hidden="1" customHeight="1" outlineLevel="1">
      <c r="A99" s="100" t="s">
        <v>22</v>
      </c>
      <c r="B99" s="101" t="s">
        <v>71</v>
      </c>
      <c r="C99" s="100">
        <v>5.49</v>
      </c>
      <c r="D99" s="102"/>
    </row>
    <row r="100" spans="1:4" ht="15.75" hidden="1" customHeight="1" outlineLevel="1">
      <c r="A100" s="100" t="s">
        <v>22</v>
      </c>
      <c r="B100" s="101" t="s">
        <v>58</v>
      </c>
      <c r="C100" s="100">
        <v>5.51</v>
      </c>
      <c r="D100" s="102"/>
    </row>
    <row r="101" spans="1:4" ht="15.75" hidden="1" customHeight="1" outlineLevel="1">
      <c r="A101" s="100" t="s">
        <v>22</v>
      </c>
      <c r="B101" s="101" t="s">
        <v>1083</v>
      </c>
      <c r="C101" s="100">
        <v>5.52</v>
      </c>
      <c r="D101" s="102"/>
    </row>
    <row r="102" spans="1:4" ht="15.75" hidden="1" customHeight="1" outlineLevel="1">
      <c r="A102" s="100" t="s">
        <v>22</v>
      </c>
      <c r="B102" s="101" t="s">
        <v>59</v>
      </c>
      <c r="C102" s="100">
        <v>5.53</v>
      </c>
      <c r="D102" s="102"/>
    </row>
    <row r="103" spans="1:4" ht="15.75" hidden="1" customHeight="1" outlineLevel="1">
      <c r="A103" s="100" t="s">
        <v>22</v>
      </c>
      <c r="B103" s="101" t="s">
        <v>72</v>
      </c>
      <c r="C103" s="100">
        <v>5.69</v>
      </c>
      <c r="D103" s="102"/>
    </row>
    <row r="104" spans="1:4" ht="15.75" hidden="1" customHeight="1" outlineLevel="1">
      <c r="A104" s="100" t="s">
        <v>22</v>
      </c>
      <c r="B104" s="101" t="s">
        <v>73</v>
      </c>
      <c r="C104" s="100">
        <v>5.75</v>
      </c>
      <c r="D104" s="102"/>
    </row>
    <row r="105" spans="1:4" ht="15.75" hidden="1" customHeight="1" outlineLevel="1">
      <c r="A105" s="100" t="s">
        <v>22</v>
      </c>
      <c r="B105" s="101" t="s">
        <v>62</v>
      </c>
      <c r="C105" s="103">
        <v>5.7</v>
      </c>
      <c r="D105" s="102"/>
    </row>
    <row r="106" spans="1:4" ht="15.75" hidden="1" customHeight="1" outlineLevel="1">
      <c r="A106" s="100" t="s">
        <v>22</v>
      </c>
      <c r="B106" s="101" t="s">
        <v>74</v>
      </c>
      <c r="C106" s="100">
        <v>5.74</v>
      </c>
      <c r="D106" s="102"/>
    </row>
    <row r="107" spans="1:4" ht="15.75" hidden="1" customHeight="1" outlineLevel="1">
      <c r="A107" s="100" t="s">
        <v>22</v>
      </c>
      <c r="B107" s="101" t="s">
        <v>86</v>
      </c>
      <c r="C107" s="100">
        <v>5.76</v>
      </c>
      <c r="D107" s="102"/>
    </row>
    <row r="108" spans="1:4" ht="15.75" hidden="1" customHeight="1" outlineLevel="1">
      <c r="A108" s="100" t="s">
        <v>22</v>
      </c>
      <c r="B108" s="101" t="s">
        <v>87</v>
      </c>
      <c r="C108" s="100">
        <v>5.89</v>
      </c>
      <c r="D108" s="104" t="s">
        <v>1081</v>
      </c>
    </row>
    <row r="109" spans="1:4" ht="15.75" hidden="1" customHeight="1" outlineLevel="1">
      <c r="A109" s="100" t="s">
        <v>22</v>
      </c>
      <c r="B109" s="101" t="s">
        <v>76</v>
      </c>
      <c r="C109" s="100">
        <v>5.58</v>
      </c>
      <c r="D109" s="102"/>
    </row>
    <row r="110" spans="1:4" ht="15.75" hidden="1" customHeight="1" outlineLevel="1">
      <c r="A110" s="100" t="s">
        <v>22</v>
      </c>
      <c r="B110" s="101" t="s">
        <v>75</v>
      </c>
      <c r="C110" s="100">
        <v>5.62</v>
      </c>
      <c r="D110" s="102"/>
    </row>
    <row r="111" spans="1:4" ht="15.75" hidden="1" customHeight="1" outlineLevel="1">
      <c r="A111" s="100" t="s">
        <v>22</v>
      </c>
      <c r="B111" s="101" t="s">
        <v>61</v>
      </c>
      <c r="C111" s="100">
        <v>5.54</v>
      </c>
      <c r="D111" s="102"/>
    </row>
    <row r="112" spans="1:4" ht="15.75" hidden="1" customHeight="1" outlineLevel="1">
      <c r="A112" s="100" t="s">
        <v>22</v>
      </c>
      <c r="B112" s="101" t="s">
        <v>77</v>
      </c>
      <c r="C112" s="100">
        <v>5.55</v>
      </c>
      <c r="D112" s="102"/>
    </row>
    <row r="113" spans="1:4" ht="15.75" hidden="1" customHeight="1" outlineLevel="1">
      <c r="A113" s="100" t="s">
        <v>22</v>
      </c>
      <c r="B113" s="101" t="s">
        <v>78</v>
      </c>
      <c r="C113" s="100">
        <v>5.65</v>
      </c>
      <c r="D113" s="102"/>
    </row>
    <row r="114" spans="1:4" ht="15.75" hidden="1" customHeight="1" outlineLevel="1">
      <c r="A114" s="100" t="s">
        <v>22</v>
      </c>
      <c r="B114" s="101" t="s">
        <v>88</v>
      </c>
      <c r="C114" s="100">
        <v>5.66</v>
      </c>
      <c r="D114" s="102"/>
    </row>
    <row r="115" spans="1:4" ht="15.75" hidden="1" customHeight="1" outlineLevel="1">
      <c r="A115" s="100" t="s">
        <v>22</v>
      </c>
      <c r="B115" s="101" t="s">
        <v>17</v>
      </c>
      <c r="C115" s="100">
        <v>5.68</v>
      </c>
      <c r="D115" s="102"/>
    </row>
    <row r="116" spans="1:4" ht="15.75" hidden="1" customHeight="1" outlineLevel="1">
      <c r="A116" s="100" t="s">
        <v>22</v>
      </c>
      <c r="B116" s="101" t="s">
        <v>79</v>
      </c>
      <c r="C116" s="100">
        <v>5.45</v>
      </c>
      <c r="D116" s="102"/>
    </row>
    <row r="117" spans="1:4" ht="15.75" hidden="1" customHeight="1" outlineLevel="1">
      <c r="A117" s="100" t="s">
        <v>22</v>
      </c>
      <c r="B117" s="101" t="s">
        <v>64</v>
      </c>
      <c r="C117" s="100">
        <v>5.47</v>
      </c>
      <c r="D117" s="102"/>
    </row>
    <row r="118" spans="1:4" ht="15.75" hidden="1" customHeight="1" outlineLevel="1">
      <c r="A118" s="100" t="s">
        <v>22</v>
      </c>
      <c r="B118" s="101" t="s">
        <v>65</v>
      </c>
      <c r="C118" s="100">
        <v>5.48</v>
      </c>
      <c r="D118" s="102"/>
    </row>
    <row r="119" spans="1:4" ht="15.75" hidden="1" customHeight="1">
      <c r="A119" s="105" t="s">
        <v>22</v>
      </c>
      <c r="B119" s="101"/>
      <c r="C119" s="100"/>
      <c r="D119" s="102"/>
    </row>
    <row r="120" spans="1:4" ht="15.75" hidden="1" customHeight="1" outlineLevel="1">
      <c r="A120" s="100" t="s">
        <v>1084</v>
      </c>
      <c r="B120" s="101" t="s">
        <v>49</v>
      </c>
      <c r="C120" s="100">
        <v>5.0999999999999996</v>
      </c>
      <c r="D120" s="102"/>
    </row>
    <row r="121" spans="1:4" ht="15.75" hidden="1" customHeight="1" outlineLevel="1">
      <c r="A121" s="100" t="s">
        <v>1084</v>
      </c>
      <c r="B121" s="101" t="s">
        <v>50</v>
      </c>
      <c r="C121" s="100">
        <v>5.2</v>
      </c>
      <c r="D121" s="102"/>
    </row>
    <row r="122" spans="1:4" ht="15.75" hidden="1" customHeight="1" outlineLevel="1">
      <c r="A122" s="100" t="s">
        <v>1084</v>
      </c>
      <c r="B122" s="101" t="s">
        <v>66</v>
      </c>
      <c r="C122" s="100">
        <v>5.3</v>
      </c>
      <c r="D122" s="102"/>
    </row>
    <row r="123" spans="1:4" ht="15.75" hidden="1" customHeight="1" outlineLevel="1">
      <c r="A123" s="100" t="s">
        <v>1084</v>
      </c>
      <c r="B123" s="101" t="s">
        <v>80</v>
      </c>
      <c r="C123" s="100">
        <v>5.6</v>
      </c>
      <c r="D123" s="102"/>
    </row>
    <row r="124" spans="1:4" ht="15.75" hidden="1" customHeight="1" outlineLevel="1">
      <c r="A124" s="100" t="s">
        <v>1084</v>
      </c>
      <c r="B124" s="101" t="s">
        <v>1082</v>
      </c>
      <c r="C124" s="103">
        <v>5.0999999999999996</v>
      </c>
      <c r="D124" s="102"/>
    </row>
    <row r="125" spans="1:4" ht="15.75" hidden="1" customHeight="1" outlineLevel="1">
      <c r="A125" s="100" t="s">
        <v>1084</v>
      </c>
      <c r="B125" s="101" t="s">
        <v>91</v>
      </c>
      <c r="C125" s="100">
        <v>5.14</v>
      </c>
      <c r="D125" s="102"/>
    </row>
    <row r="126" spans="1:4" ht="15.75" hidden="1" customHeight="1" outlineLevel="1">
      <c r="A126" s="100" t="s">
        <v>1084</v>
      </c>
      <c r="B126" s="101" t="s">
        <v>68</v>
      </c>
      <c r="C126" s="100">
        <v>5.19</v>
      </c>
      <c r="D126" s="102"/>
    </row>
    <row r="127" spans="1:4" ht="15.75" hidden="1" customHeight="1" outlineLevel="1">
      <c r="A127" s="100" t="s">
        <v>1084</v>
      </c>
      <c r="B127" s="101" t="s">
        <v>82</v>
      </c>
      <c r="C127" s="100">
        <v>5.24</v>
      </c>
      <c r="D127" s="102"/>
    </row>
    <row r="128" spans="1:4" ht="15.75" hidden="1" customHeight="1" outlineLevel="1">
      <c r="A128" s="100" t="s">
        <v>1084</v>
      </c>
      <c r="B128" s="101" t="s">
        <v>54</v>
      </c>
      <c r="C128" s="100">
        <v>5.26</v>
      </c>
      <c r="D128" s="102"/>
    </row>
    <row r="129" spans="1:4" ht="15.75" hidden="1" customHeight="1" outlineLevel="1">
      <c r="A129" s="100" t="s">
        <v>1084</v>
      </c>
      <c r="B129" s="101" t="s">
        <v>55</v>
      </c>
      <c r="C129" s="100">
        <v>5.27</v>
      </c>
      <c r="D129" s="102"/>
    </row>
    <row r="130" spans="1:4" ht="15.75" hidden="1" customHeight="1" outlineLevel="1">
      <c r="A130" s="100" t="s">
        <v>1084</v>
      </c>
      <c r="B130" s="101" t="s">
        <v>69</v>
      </c>
      <c r="C130" s="100">
        <v>5.28</v>
      </c>
      <c r="D130" s="102"/>
    </row>
    <row r="131" spans="1:4" ht="15.75" hidden="1" customHeight="1" outlineLevel="1">
      <c r="A131" s="100" t="s">
        <v>1084</v>
      </c>
      <c r="B131" s="101" t="s">
        <v>89</v>
      </c>
      <c r="C131" s="100">
        <v>5.29</v>
      </c>
      <c r="D131" s="102"/>
    </row>
    <row r="132" spans="1:4" ht="15.75" hidden="1" customHeight="1" outlineLevel="1">
      <c r="A132" s="100" t="s">
        <v>1084</v>
      </c>
      <c r="B132" s="101" t="s">
        <v>70</v>
      </c>
      <c r="C132" s="103">
        <v>5.3</v>
      </c>
      <c r="D132" s="102"/>
    </row>
    <row r="133" spans="1:4" ht="15.75" hidden="1" customHeight="1" outlineLevel="1">
      <c r="A133" s="100" t="s">
        <v>1084</v>
      </c>
      <c r="B133" s="101" t="s">
        <v>83</v>
      </c>
      <c r="C133" s="100">
        <v>5.31</v>
      </c>
      <c r="D133" s="102"/>
    </row>
    <row r="134" spans="1:4" ht="15.75" hidden="1" customHeight="1" outlineLevel="1">
      <c r="A134" s="100" t="s">
        <v>1084</v>
      </c>
      <c r="B134" s="101" t="s">
        <v>56</v>
      </c>
      <c r="C134" s="100">
        <v>5.36</v>
      </c>
      <c r="D134" s="102"/>
    </row>
    <row r="135" spans="1:4" ht="15.75" hidden="1" customHeight="1" outlineLevel="1">
      <c r="A135" s="100" t="s">
        <v>1084</v>
      </c>
      <c r="B135" s="101" t="s">
        <v>59</v>
      </c>
      <c r="C135" s="100">
        <v>5.53</v>
      </c>
      <c r="D135" s="102"/>
    </row>
    <row r="136" spans="1:4" ht="15.75" hidden="1" customHeight="1" outlineLevel="1">
      <c r="A136" s="100" t="s">
        <v>1084</v>
      </c>
      <c r="B136" s="101" t="s">
        <v>76</v>
      </c>
      <c r="C136" s="100">
        <v>5.58</v>
      </c>
      <c r="D136" s="102"/>
    </row>
    <row r="137" spans="1:4" ht="15.75" hidden="1" customHeight="1" outlineLevel="1">
      <c r="A137" s="100" t="s">
        <v>1084</v>
      </c>
      <c r="B137" s="101" t="s">
        <v>75</v>
      </c>
      <c r="C137" s="100">
        <v>5.62</v>
      </c>
      <c r="D137" s="102"/>
    </row>
    <row r="138" spans="1:4" ht="15.75" hidden="1" customHeight="1" outlineLevel="1">
      <c r="A138" s="100" t="s">
        <v>1084</v>
      </c>
      <c r="B138" s="101" t="s">
        <v>61</v>
      </c>
      <c r="C138" s="100">
        <v>5.54</v>
      </c>
      <c r="D138" s="102"/>
    </row>
    <row r="139" spans="1:4" ht="15.75" hidden="1" customHeight="1" outlineLevel="1">
      <c r="A139" s="100" t="s">
        <v>1084</v>
      </c>
      <c r="B139" s="101" t="s">
        <v>77</v>
      </c>
      <c r="C139" s="100">
        <v>5.55</v>
      </c>
      <c r="D139" s="102"/>
    </row>
    <row r="140" spans="1:4" ht="15.75" hidden="1" customHeight="1" outlineLevel="1">
      <c r="A140" s="100" t="s">
        <v>1084</v>
      </c>
      <c r="B140" s="101" t="s">
        <v>63</v>
      </c>
      <c r="C140" s="100">
        <v>5.63</v>
      </c>
      <c r="D140" s="102"/>
    </row>
    <row r="141" spans="1:4" ht="15.75" hidden="1" customHeight="1" outlineLevel="1">
      <c r="A141" s="100" t="s">
        <v>1084</v>
      </c>
      <c r="B141" s="101" t="s">
        <v>79</v>
      </c>
      <c r="C141" s="100">
        <v>5.45</v>
      </c>
      <c r="D141" s="102"/>
    </row>
    <row r="142" spans="1:4" ht="15.75" hidden="1" customHeight="1" outlineLevel="1">
      <c r="A142" s="100" t="s">
        <v>1084</v>
      </c>
      <c r="B142" s="101" t="s">
        <v>64</v>
      </c>
      <c r="C142" s="100">
        <v>5.47</v>
      </c>
      <c r="D142" s="102"/>
    </row>
    <row r="143" spans="1:4" ht="15.75" hidden="1" customHeight="1" outlineLevel="1">
      <c r="A143" s="100" t="s">
        <v>1084</v>
      </c>
      <c r="B143" s="101" t="s">
        <v>65</v>
      </c>
      <c r="C143" s="100">
        <v>5.48</v>
      </c>
      <c r="D143" s="102"/>
    </row>
    <row r="144" spans="1:4" ht="15.75" hidden="1" customHeight="1">
      <c r="A144" s="105" t="s">
        <v>1084</v>
      </c>
      <c r="B144" s="101"/>
      <c r="C144" s="100"/>
      <c r="D144" s="102"/>
    </row>
    <row r="145" spans="1:4" ht="15.75" hidden="1" customHeight="1" outlineLevel="1">
      <c r="A145" s="100" t="s">
        <v>24</v>
      </c>
      <c r="B145" s="101" t="s">
        <v>49</v>
      </c>
      <c r="C145" s="100">
        <v>5.0999999999999996</v>
      </c>
      <c r="D145" s="102"/>
    </row>
    <row r="146" spans="1:4" ht="15.75" hidden="1" customHeight="1" outlineLevel="1">
      <c r="A146" s="100" t="s">
        <v>24</v>
      </c>
      <c r="B146" s="101" t="s">
        <v>50</v>
      </c>
      <c r="C146" s="100">
        <v>5.2</v>
      </c>
      <c r="D146" s="102"/>
    </row>
    <row r="147" spans="1:4" ht="15.75" hidden="1" customHeight="1" outlineLevel="1">
      <c r="A147" s="100" t="s">
        <v>24</v>
      </c>
      <c r="B147" s="101" t="s">
        <v>66</v>
      </c>
      <c r="C147" s="100">
        <v>5.3</v>
      </c>
      <c r="D147" s="102"/>
    </row>
    <row r="148" spans="1:4" ht="15.75" hidden="1" customHeight="1" outlineLevel="1">
      <c r="A148" s="100" t="s">
        <v>24</v>
      </c>
      <c r="B148" s="101" t="s">
        <v>80</v>
      </c>
      <c r="C148" s="100">
        <v>5.6</v>
      </c>
      <c r="D148" s="102"/>
    </row>
    <row r="149" spans="1:4" ht="15.75" hidden="1" customHeight="1" outlineLevel="1">
      <c r="A149" s="100" t="s">
        <v>24</v>
      </c>
      <c r="B149" s="101" t="s">
        <v>1082</v>
      </c>
      <c r="C149" s="103">
        <v>5.0999999999999996</v>
      </c>
      <c r="D149" s="102"/>
    </row>
    <row r="150" spans="1:4" ht="15.75" hidden="1" customHeight="1" outlineLevel="1">
      <c r="A150" s="100" t="s">
        <v>24</v>
      </c>
      <c r="B150" s="101" t="s">
        <v>91</v>
      </c>
      <c r="C150" s="100">
        <v>5.14</v>
      </c>
      <c r="D150" s="102"/>
    </row>
    <row r="151" spans="1:4" ht="15.75" hidden="1" customHeight="1" outlineLevel="1">
      <c r="A151" s="100" t="s">
        <v>24</v>
      </c>
      <c r="B151" s="101" t="s">
        <v>68</v>
      </c>
      <c r="C151" s="100">
        <v>5.19</v>
      </c>
      <c r="D151" s="102"/>
    </row>
    <row r="152" spans="1:4" ht="15.75" hidden="1" customHeight="1" outlineLevel="1">
      <c r="A152" s="100" t="s">
        <v>24</v>
      </c>
      <c r="B152" s="101" t="s">
        <v>82</v>
      </c>
      <c r="C152" s="100">
        <v>5.24</v>
      </c>
      <c r="D152" s="102"/>
    </row>
    <row r="153" spans="1:4" ht="15.75" hidden="1" customHeight="1" outlineLevel="1">
      <c r="A153" s="100" t="s">
        <v>24</v>
      </c>
      <c r="B153" s="101" t="s">
        <v>54</v>
      </c>
      <c r="C153" s="100">
        <v>5.26</v>
      </c>
      <c r="D153" s="102"/>
    </row>
    <row r="154" spans="1:4" ht="15.75" hidden="1" customHeight="1" outlineLevel="1">
      <c r="A154" s="100" t="s">
        <v>24</v>
      </c>
      <c r="B154" s="101" t="s">
        <v>55</v>
      </c>
      <c r="C154" s="100">
        <v>5.27</v>
      </c>
      <c r="D154" s="102"/>
    </row>
    <row r="155" spans="1:4" ht="15.75" hidden="1" customHeight="1" outlineLevel="1">
      <c r="A155" s="100" t="s">
        <v>24</v>
      </c>
      <c r="B155" s="101" t="s">
        <v>69</v>
      </c>
      <c r="C155" s="100">
        <v>5.28</v>
      </c>
      <c r="D155" s="102"/>
    </row>
    <row r="156" spans="1:4" ht="15.75" hidden="1" customHeight="1" outlineLevel="1">
      <c r="A156" s="100" t="s">
        <v>24</v>
      </c>
      <c r="B156" s="101" t="s">
        <v>70</v>
      </c>
      <c r="C156" s="103">
        <v>5.3</v>
      </c>
      <c r="D156" s="102"/>
    </row>
    <row r="157" spans="1:4" ht="15.75" hidden="1" customHeight="1" outlineLevel="1">
      <c r="A157" s="100" t="s">
        <v>24</v>
      </c>
      <c r="B157" s="101" t="s">
        <v>90</v>
      </c>
      <c r="C157" s="100">
        <v>5.32</v>
      </c>
      <c r="D157" s="102"/>
    </row>
    <row r="158" spans="1:4" ht="15.75" hidden="1" customHeight="1" outlineLevel="1">
      <c r="A158" s="100" t="s">
        <v>24</v>
      </c>
      <c r="B158" s="101" t="s">
        <v>56</v>
      </c>
      <c r="C158" s="100">
        <v>5.36</v>
      </c>
      <c r="D158" s="102"/>
    </row>
    <row r="159" spans="1:4" ht="15.75" hidden="1" customHeight="1" outlineLevel="1">
      <c r="A159" s="100" t="s">
        <v>24</v>
      </c>
      <c r="B159" s="101" t="s">
        <v>59</v>
      </c>
      <c r="C159" s="100">
        <v>5.53</v>
      </c>
      <c r="D159" s="102"/>
    </row>
    <row r="160" spans="1:4" ht="15.75" hidden="1" customHeight="1" outlineLevel="1">
      <c r="A160" s="100" t="s">
        <v>24</v>
      </c>
      <c r="B160" s="101" t="s">
        <v>76</v>
      </c>
      <c r="C160" s="100">
        <v>5.58</v>
      </c>
      <c r="D160" s="102"/>
    </row>
    <row r="161" spans="1:5" ht="15.75" hidden="1" customHeight="1" outlineLevel="1">
      <c r="A161" s="100" t="s">
        <v>24</v>
      </c>
      <c r="B161" s="101" t="s">
        <v>61</v>
      </c>
      <c r="C161" s="100">
        <v>5.54</v>
      </c>
      <c r="D161" s="102"/>
    </row>
    <row r="162" spans="1:5" ht="15.75" hidden="1" customHeight="1" outlineLevel="1">
      <c r="A162" s="100" t="s">
        <v>24</v>
      </c>
      <c r="B162" s="101" t="s">
        <v>77</v>
      </c>
      <c r="C162" s="100">
        <v>5.55</v>
      </c>
      <c r="D162" s="102"/>
    </row>
    <row r="163" spans="1:5" ht="15.75" hidden="1" customHeight="1" outlineLevel="1">
      <c r="A163" s="100" t="s">
        <v>24</v>
      </c>
      <c r="B163" s="101" t="s">
        <v>75</v>
      </c>
      <c r="C163" s="100">
        <v>5.62</v>
      </c>
      <c r="D163" s="102"/>
      <c r="E163" s="3" t="s">
        <v>1085</v>
      </c>
    </row>
    <row r="164" spans="1:5" ht="15.75" hidden="1" customHeight="1" outlineLevel="1">
      <c r="A164" s="100" t="s">
        <v>24</v>
      </c>
      <c r="B164" s="101" t="s">
        <v>63</v>
      </c>
      <c r="C164" s="100">
        <v>5.63</v>
      </c>
      <c r="D164" s="102"/>
    </row>
    <row r="165" spans="1:5" ht="15.75" hidden="1" customHeight="1" outlineLevel="1">
      <c r="A165" s="100" t="s">
        <v>24</v>
      </c>
      <c r="B165" s="101" t="s">
        <v>79</v>
      </c>
      <c r="C165" s="100">
        <v>5.45</v>
      </c>
      <c r="D165" s="102"/>
    </row>
    <row r="166" spans="1:5" ht="15.75" hidden="1" customHeight="1" outlineLevel="1">
      <c r="A166" s="100" t="s">
        <v>24</v>
      </c>
      <c r="B166" s="101" t="s">
        <v>64</v>
      </c>
      <c r="C166" s="100">
        <v>5.47</v>
      </c>
      <c r="D166" s="102"/>
    </row>
    <row r="167" spans="1:5" ht="15.75" hidden="1" customHeight="1" outlineLevel="1">
      <c r="A167" s="100" t="s">
        <v>24</v>
      </c>
      <c r="B167" s="101" t="s">
        <v>65</v>
      </c>
      <c r="C167" s="100">
        <v>5.48</v>
      </c>
      <c r="D167" s="102"/>
    </row>
    <row r="168" spans="1:5" ht="15.75" hidden="1" customHeight="1">
      <c r="A168" s="105" t="s">
        <v>24</v>
      </c>
      <c r="B168" s="101"/>
      <c r="C168" s="100"/>
      <c r="D168" s="102"/>
    </row>
    <row r="169" spans="1:5" ht="15.75" hidden="1" customHeight="1" outlineLevel="1">
      <c r="A169" s="100" t="s">
        <v>25</v>
      </c>
      <c r="B169" s="101" t="s">
        <v>49</v>
      </c>
      <c r="C169" s="100">
        <v>5.0999999999999996</v>
      </c>
      <c r="D169" s="102"/>
    </row>
    <row r="170" spans="1:5" ht="15.75" hidden="1" customHeight="1" outlineLevel="1">
      <c r="A170" s="100" t="s">
        <v>25</v>
      </c>
      <c r="B170" s="101" t="s">
        <v>50</v>
      </c>
      <c r="C170" s="100">
        <v>5.2</v>
      </c>
      <c r="D170" s="102"/>
    </row>
    <row r="171" spans="1:5" ht="15.75" hidden="1" customHeight="1" outlineLevel="1">
      <c r="A171" s="100" t="s">
        <v>25</v>
      </c>
      <c r="B171" s="101" t="s">
        <v>66</v>
      </c>
      <c r="C171" s="100">
        <v>5.3</v>
      </c>
      <c r="D171" s="102"/>
    </row>
    <row r="172" spans="1:5" ht="15.75" hidden="1" customHeight="1" outlineLevel="1">
      <c r="A172" s="100" t="s">
        <v>25</v>
      </c>
      <c r="B172" s="101" t="s">
        <v>80</v>
      </c>
      <c r="C172" s="100">
        <v>5.6</v>
      </c>
      <c r="D172" s="102"/>
    </row>
    <row r="173" spans="1:5" ht="15.75" hidden="1" customHeight="1" outlineLevel="1">
      <c r="A173" s="100" t="s">
        <v>25</v>
      </c>
      <c r="B173" s="101" t="s">
        <v>1082</v>
      </c>
      <c r="C173" s="103">
        <v>5.0999999999999996</v>
      </c>
      <c r="D173" s="102"/>
    </row>
    <row r="174" spans="1:5" ht="15.75" hidden="1" customHeight="1" outlineLevel="1">
      <c r="A174" s="100" t="s">
        <v>25</v>
      </c>
      <c r="B174" s="101" t="s">
        <v>91</v>
      </c>
      <c r="C174" s="100">
        <v>5.14</v>
      </c>
      <c r="D174" s="102"/>
    </row>
    <row r="175" spans="1:5" ht="15.75" hidden="1" customHeight="1" outlineLevel="1">
      <c r="A175" s="100" t="s">
        <v>25</v>
      </c>
      <c r="B175" s="101" t="s">
        <v>68</v>
      </c>
      <c r="C175" s="100">
        <v>5.19</v>
      </c>
      <c r="D175" s="102"/>
    </row>
    <row r="176" spans="1:5" ht="15.75" hidden="1" customHeight="1" outlineLevel="1">
      <c r="A176" s="100" t="s">
        <v>25</v>
      </c>
      <c r="B176" s="101" t="s">
        <v>82</v>
      </c>
      <c r="C176" s="100">
        <v>5.24</v>
      </c>
      <c r="D176" s="102"/>
    </row>
    <row r="177" spans="1:4" ht="15.75" hidden="1" customHeight="1" outlineLevel="1">
      <c r="A177" s="100" t="s">
        <v>25</v>
      </c>
      <c r="B177" s="101" t="s">
        <v>54</v>
      </c>
      <c r="C177" s="100">
        <v>5.26</v>
      </c>
      <c r="D177" s="102"/>
    </row>
    <row r="178" spans="1:4" ht="15.75" hidden="1" customHeight="1" outlineLevel="1">
      <c r="A178" s="100" t="s">
        <v>25</v>
      </c>
      <c r="B178" s="101" t="s">
        <v>55</v>
      </c>
      <c r="C178" s="100">
        <v>5.27</v>
      </c>
      <c r="D178" s="102"/>
    </row>
    <row r="179" spans="1:4" ht="15.75" hidden="1" customHeight="1" outlineLevel="1">
      <c r="A179" s="100" t="s">
        <v>25</v>
      </c>
      <c r="B179" s="101" t="s">
        <v>69</v>
      </c>
      <c r="C179" s="100">
        <v>5.28</v>
      </c>
      <c r="D179" s="102"/>
    </row>
    <row r="180" spans="1:4" ht="15.75" hidden="1" customHeight="1" outlineLevel="1">
      <c r="A180" s="100" t="s">
        <v>25</v>
      </c>
      <c r="B180" s="101" t="s">
        <v>89</v>
      </c>
      <c r="C180" s="100">
        <v>5.29</v>
      </c>
      <c r="D180" s="102"/>
    </row>
    <row r="181" spans="1:4" ht="15.75" hidden="1" customHeight="1" outlineLevel="1">
      <c r="A181" s="100" t="s">
        <v>25</v>
      </c>
      <c r="B181" s="101" t="s">
        <v>70</v>
      </c>
      <c r="C181" s="103">
        <v>5.3</v>
      </c>
      <c r="D181" s="102"/>
    </row>
    <row r="182" spans="1:4" ht="15.75" hidden="1" customHeight="1" outlineLevel="1">
      <c r="A182" s="100" t="s">
        <v>25</v>
      </c>
      <c r="B182" s="101" t="s">
        <v>90</v>
      </c>
      <c r="C182" s="100">
        <v>5.32</v>
      </c>
      <c r="D182" s="102"/>
    </row>
    <row r="183" spans="1:4" ht="15.75" hidden="1" customHeight="1" outlineLevel="1">
      <c r="A183" s="100" t="s">
        <v>25</v>
      </c>
      <c r="B183" s="101" t="s">
        <v>56</v>
      </c>
      <c r="C183" s="100">
        <v>5.36</v>
      </c>
      <c r="D183" s="102"/>
    </row>
    <row r="184" spans="1:4" ht="15.75" hidden="1" customHeight="1" outlineLevel="1">
      <c r="A184" s="100" t="s">
        <v>25</v>
      </c>
      <c r="B184" s="101" t="s">
        <v>59</v>
      </c>
      <c r="C184" s="100">
        <v>5.53</v>
      </c>
      <c r="D184" s="102"/>
    </row>
    <row r="185" spans="1:4" ht="15.75" hidden="1" customHeight="1" outlineLevel="1">
      <c r="A185" s="100" t="s">
        <v>25</v>
      </c>
      <c r="B185" s="101" t="s">
        <v>76</v>
      </c>
      <c r="C185" s="100">
        <v>5.58</v>
      </c>
      <c r="D185" s="102"/>
    </row>
    <row r="186" spans="1:4" ht="15.75" hidden="1" customHeight="1" outlineLevel="1">
      <c r="A186" s="100" t="s">
        <v>25</v>
      </c>
      <c r="B186" s="101" t="s">
        <v>61</v>
      </c>
      <c r="C186" s="100">
        <v>5.54</v>
      </c>
      <c r="D186" s="102"/>
    </row>
    <row r="187" spans="1:4" ht="15.75" hidden="1" customHeight="1" outlineLevel="1">
      <c r="A187" s="100" t="s">
        <v>25</v>
      </c>
      <c r="B187" s="101" t="s">
        <v>77</v>
      </c>
      <c r="C187" s="100">
        <v>5.55</v>
      </c>
      <c r="D187" s="102"/>
    </row>
    <row r="188" spans="1:4" ht="15.75" hidden="1" customHeight="1" outlineLevel="1">
      <c r="A188" s="100" t="s">
        <v>25</v>
      </c>
      <c r="B188" s="101" t="s">
        <v>63</v>
      </c>
      <c r="C188" s="100">
        <v>5.63</v>
      </c>
      <c r="D188" s="102"/>
    </row>
    <row r="189" spans="1:4" ht="15.75" hidden="1" customHeight="1" outlineLevel="1">
      <c r="A189" s="100" t="s">
        <v>25</v>
      </c>
      <c r="B189" s="101" t="s">
        <v>79</v>
      </c>
      <c r="C189" s="100">
        <v>5.45</v>
      </c>
      <c r="D189" s="102"/>
    </row>
    <row r="190" spans="1:4" ht="15.75" hidden="1" customHeight="1" outlineLevel="1">
      <c r="A190" s="100" t="s">
        <v>25</v>
      </c>
      <c r="B190" s="101" t="s">
        <v>64</v>
      </c>
      <c r="C190" s="100">
        <v>5.47</v>
      </c>
      <c r="D190" s="102"/>
    </row>
    <row r="191" spans="1:4" ht="15.75" hidden="1" customHeight="1" outlineLevel="1">
      <c r="A191" s="100" t="s">
        <v>25</v>
      </c>
      <c r="B191" s="101" t="s">
        <v>65</v>
      </c>
      <c r="C191" s="100">
        <v>5.48</v>
      </c>
      <c r="D191" s="102"/>
    </row>
    <row r="192" spans="1:4" ht="15.75" hidden="1" customHeight="1">
      <c r="A192" s="105" t="s">
        <v>25</v>
      </c>
      <c r="B192" s="101"/>
      <c r="C192" s="100"/>
      <c r="D192" s="102"/>
    </row>
    <row r="193" spans="1:4" ht="15.75" hidden="1" customHeight="1" outlineLevel="1">
      <c r="A193" s="100" t="s">
        <v>26</v>
      </c>
      <c r="B193" s="101" t="s">
        <v>49</v>
      </c>
      <c r="C193" s="100">
        <v>5.0999999999999996</v>
      </c>
      <c r="D193" s="102"/>
    </row>
    <row r="194" spans="1:4" ht="15.75" hidden="1" customHeight="1" outlineLevel="1">
      <c r="A194" s="100" t="s">
        <v>26</v>
      </c>
      <c r="B194" s="101" t="s">
        <v>50</v>
      </c>
      <c r="C194" s="100">
        <v>5.2</v>
      </c>
      <c r="D194" s="102"/>
    </row>
    <row r="195" spans="1:4" ht="15.75" hidden="1" customHeight="1" outlineLevel="1">
      <c r="A195" s="100" t="s">
        <v>26</v>
      </c>
      <c r="B195" s="101" t="s">
        <v>66</v>
      </c>
      <c r="C195" s="100">
        <v>5.3</v>
      </c>
      <c r="D195" s="102"/>
    </row>
    <row r="196" spans="1:4" ht="15.75" hidden="1" customHeight="1" outlineLevel="1">
      <c r="A196" s="100" t="s">
        <v>26</v>
      </c>
      <c r="B196" s="101" t="s">
        <v>80</v>
      </c>
      <c r="C196" s="100">
        <v>5.6</v>
      </c>
      <c r="D196" s="102"/>
    </row>
    <row r="197" spans="1:4" ht="15.75" hidden="1" customHeight="1" outlineLevel="1">
      <c r="A197" s="100" t="s">
        <v>26</v>
      </c>
      <c r="B197" s="101" t="s">
        <v>1082</v>
      </c>
      <c r="C197" s="103">
        <v>5.0999999999999996</v>
      </c>
      <c r="D197" s="102"/>
    </row>
    <row r="198" spans="1:4" ht="15.75" hidden="1" customHeight="1" outlineLevel="1">
      <c r="A198" s="100" t="s">
        <v>26</v>
      </c>
      <c r="B198" s="101" t="s">
        <v>91</v>
      </c>
      <c r="C198" s="100">
        <v>5.14</v>
      </c>
      <c r="D198" s="102"/>
    </row>
    <row r="199" spans="1:4" ht="15.75" hidden="1" customHeight="1" outlineLevel="1">
      <c r="A199" s="100" t="s">
        <v>26</v>
      </c>
      <c r="B199" s="101" t="s">
        <v>68</v>
      </c>
      <c r="C199" s="100">
        <v>5.19</v>
      </c>
      <c r="D199" s="102"/>
    </row>
    <row r="200" spans="1:4" ht="15.75" hidden="1" customHeight="1" outlineLevel="1">
      <c r="A200" s="100" t="s">
        <v>26</v>
      </c>
      <c r="B200" s="101" t="s">
        <v>82</v>
      </c>
      <c r="C200" s="100">
        <v>5.24</v>
      </c>
      <c r="D200" s="102"/>
    </row>
    <row r="201" spans="1:4" ht="15.75" hidden="1" customHeight="1" outlineLevel="1">
      <c r="A201" s="100" t="s">
        <v>26</v>
      </c>
      <c r="B201" s="101" t="s">
        <v>55</v>
      </c>
      <c r="C201" s="100">
        <v>5.27</v>
      </c>
      <c r="D201" s="102"/>
    </row>
    <row r="202" spans="1:4" ht="15.75" hidden="1" customHeight="1" outlineLevel="1">
      <c r="A202" s="100" t="s">
        <v>26</v>
      </c>
      <c r="B202" s="101" t="s">
        <v>69</v>
      </c>
      <c r="C202" s="100">
        <v>5.28</v>
      </c>
      <c r="D202" s="102"/>
    </row>
    <row r="203" spans="1:4" ht="15.75" hidden="1" customHeight="1" outlineLevel="1">
      <c r="A203" s="100" t="s">
        <v>26</v>
      </c>
      <c r="B203" s="101" t="s">
        <v>89</v>
      </c>
      <c r="C203" s="100">
        <v>5.29</v>
      </c>
      <c r="D203" s="102"/>
    </row>
    <row r="204" spans="1:4" ht="15.75" hidden="1" customHeight="1" outlineLevel="1">
      <c r="A204" s="100" t="s">
        <v>26</v>
      </c>
      <c r="B204" s="101" t="s">
        <v>70</v>
      </c>
      <c r="C204" s="103">
        <v>5.3</v>
      </c>
      <c r="D204" s="102"/>
    </row>
    <row r="205" spans="1:4" ht="15.75" hidden="1" customHeight="1" outlineLevel="1">
      <c r="A205" s="100" t="s">
        <v>26</v>
      </c>
      <c r="B205" s="101" t="s">
        <v>92</v>
      </c>
      <c r="C205" s="100">
        <v>5.34</v>
      </c>
      <c r="D205" s="102"/>
    </row>
    <row r="206" spans="1:4" ht="15.75" hidden="1" customHeight="1" outlineLevel="1">
      <c r="A206" s="100" t="s">
        <v>26</v>
      </c>
      <c r="B206" s="101" t="s">
        <v>83</v>
      </c>
      <c r="C206" s="100">
        <v>5.31</v>
      </c>
      <c r="D206" s="102"/>
    </row>
    <row r="207" spans="1:4" ht="15.75" hidden="1" customHeight="1" outlineLevel="1">
      <c r="A207" s="100" t="s">
        <v>26</v>
      </c>
      <c r="B207" s="101" t="s">
        <v>93</v>
      </c>
      <c r="C207" s="100">
        <v>5.101</v>
      </c>
      <c r="D207" s="102"/>
    </row>
    <row r="208" spans="1:4" ht="15.75" hidden="1" customHeight="1" outlineLevel="1">
      <c r="A208" s="100" t="s">
        <v>26</v>
      </c>
      <c r="B208" s="101" t="s">
        <v>56</v>
      </c>
      <c r="C208" s="100">
        <v>5.36</v>
      </c>
      <c r="D208" s="102"/>
    </row>
    <row r="209" spans="1:4" ht="15.75" hidden="1" customHeight="1" outlineLevel="1">
      <c r="A209" s="100" t="s">
        <v>26</v>
      </c>
      <c r="B209" s="101" t="s">
        <v>59</v>
      </c>
      <c r="C209" s="100">
        <v>5.53</v>
      </c>
      <c r="D209" s="102"/>
    </row>
    <row r="210" spans="1:4" ht="15.75" hidden="1" customHeight="1" outlineLevel="1">
      <c r="A210" s="100" t="s">
        <v>26</v>
      </c>
      <c r="B210" s="101" t="s">
        <v>94</v>
      </c>
      <c r="C210" s="100">
        <v>5.1020000000000003</v>
      </c>
      <c r="D210" s="102"/>
    </row>
    <row r="211" spans="1:4" ht="15.75" hidden="1" customHeight="1" outlineLevel="1">
      <c r="A211" s="100" t="s">
        <v>26</v>
      </c>
      <c r="B211" s="101" t="s">
        <v>95</v>
      </c>
      <c r="C211" s="106">
        <v>5.0999999999999996</v>
      </c>
      <c r="D211" s="102"/>
    </row>
    <row r="212" spans="1:4" ht="15.75" hidden="1" customHeight="1" outlineLevel="1">
      <c r="A212" s="100" t="s">
        <v>26</v>
      </c>
      <c r="B212" s="101" t="s">
        <v>76</v>
      </c>
      <c r="C212" s="100">
        <v>5.58</v>
      </c>
      <c r="D212" s="102"/>
    </row>
    <row r="213" spans="1:4" ht="15.75" hidden="1" customHeight="1" outlineLevel="1">
      <c r="A213" s="100" t="s">
        <v>26</v>
      </c>
      <c r="B213" s="101" t="s">
        <v>61</v>
      </c>
      <c r="C213" s="100">
        <v>5.54</v>
      </c>
      <c r="D213" s="102"/>
    </row>
    <row r="214" spans="1:4" ht="15.75" hidden="1" customHeight="1" outlineLevel="1">
      <c r="A214" s="100" t="s">
        <v>26</v>
      </c>
      <c r="B214" s="101" t="s">
        <v>77</v>
      </c>
      <c r="C214" s="100">
        <v>5.55</v>
      </c>
      <c r="D214" s="102"/>
    </row>
    <row r="215" spans="1:4" ht="15.75" hidden="1" customHeight="1" outlineLevel="1">
      <c r="A215" s="100" t="s">
        <v>26</v>
      </c>
      <c r="B215" s="101" t="s">
        <v>63</v>
      </c>
      <c r="C215" s="100">
        <v>5.63</v>
      </c>
      <c r="D215" s="102"/>
    </row>
    <row r="216" spans="1:4" ht="15.75" hidden="1" customHeight="1" outlineLevel="1">
      <c r="A216" s="100" t="s">
        <v>26</v>
      </c>
      <c r="B216" s="101" t="s">
        <v>64</v>
      </c>
      <c r="C216" s="100">
        <v>5.47</v>
      </c>
      <c r="D216" s="102"/>
    </row>
    <row r="217" spans="1:4" ht="15.75" hidden="1" customHeight="1" outlineLevel="1">
      <c r="A217" s="100" t="s">
        <v>26</v>
      </c>
      <c r="B217" s="101" t="s">
        <v>65</v>
      </c>
      <c r="C217" s="100">
        <v>5.48</v>
      </c>
      <c r="D217" s="102"/>
    </row>
    <row r="218" spans="1:4" ht="15.75" hidden="1" customHeight="1">
      <c r="A218" s="105" t="s">
        <v>26</v>
      </c>
      <c r="B218" s="101"/>
      <c r="C218" s="100"/>
      <c r="D218" s="102"/>
    </row>
    <row r="219" spans="1:4" ht="15.75" hidden="1" customHeight="1" outlineLevel="1">
      <c r="A219" s="100" t="s">
        <v>27</v>
      </c>
      <c r="B219" s="101" t="s">
        <v>49</v>
      </c>
      <c r="C219" s="100">
        <v>5.0999999999999996</v>
      </c>
      <c r="D219" s="102"/>
    </row>
    <row r="220" spans="1:4" ht="15.75" hidden="1" customHeight="1" outlineLevel="1">
      <c r="A220" s="100" t="s">
        <v>27</v>
      </c>
      <c r="B220" s="101" t="s">
        <v>50</v>
      </c>
      <c r="C220" s="100">
        <v>5.2</v>
      </c>
      <c r="D220" s="102"/>
    </row>
    <row r="221" spans="1:4" ht="15.75" hidden="1" customHeight="1" outlineLevel="1">
      <c r="A221" s="100" t="s">
        <v>27</v>
      </c>
      <c r="B221" s="101" t="s">
        <v>66</v>
      </c>
      <c r="C221" s="100">
        <v>5.3</v>
      </c>
      <c r="D221" s="102"/>
    </row>
    <row r="222" spans="1:4" ht="15.75" hidden="1" customHeight="1" outlineLevel="1">
      <c r="A222" s="100" t="s">
        <v>27</v>
      </c>
      <c r="B222" s="101" t="s">
        <v>80</v>
      </c>
      <c r="C222" s="100">
        <v>5.6</v>
      </c>
      <c r="D222" s="102"/>
    </row>
    <row r="223" spans="1:4" ht="15.75" hidden="1" customHeight="1" outlineLevel="1">
      <c r="A223" s="100" t="s">
        <v>27</v>
      </c>
      <c r="B223" s="101" t="s">
        <v>1082</v>
      </c>
      <c r="C223" s="103">
        <v>5.0999999999999996</v>
      </c>
      <c r="D223" s="102"/>
    </row>
    <row r="224" spans="1:4" ht="15.75" hidden="1" customHeight="1" outlineLevel="1">
      <c r="A224" s="100" t="s">
        <v>27</v>
      </c>
      <c r="B224" s="101" t="s">
        <v>91</v>
      </c>
      <c r="C224" s="100">
        <v>5.14</v>
      </c>
      <c r="D224" s="102"/>
    </row>
    <row r="225" spans="1:4" ht="15.75" hidden="1" customHeight="1" outlineLevel="1">
      <c r="A225" s="100" t="s">
        <v>27</v>
      </c>
      <c r="B225" s="101" t="s">
        <v>68</v>
      </c>
      <c r="C225" s="100">
        <v>5.19</v>
      </c>
      <c r="D225" s="102"/>
    </row>
    <row r="226" spans="1:4" ht="15.75" hidden="1" customHeight="1" outlineLevel="1">
      <c r="A226" s="100" t="s">
        <v>27</v>
      </c>
      <c r="B226" s="101" t="s">
        <v>82</v>
      </c>
      <c r="C226" s="100">
        <v>5.24</v>
      </c>
      <c r="D226" s="102"/>
    </row>
    <row r="227" spans="1:4" ht="15.75" hidden="1" customHeight="1" outlineLevel="1">
      <c r="A227" s="100" t="s">
        <v>27</v>
      </c>
      <c r="B227" s="101" t="s">
        <v>54</v>
      </c>
      <c r="C227" s="100">
        <v>5.26</v>
      </c>
      <c r="D227" s="102"/>
    </row>
    <row r="228" spans="1:4" ht="15.75" hidden="1" customHeight="1" outlineLevel="1">
      <c r="A228" s="100" t="s">
        <v>27</v>
      </c>
      <c r="B228" s="101" t="s">
        <v>55</v>
      </c>
      <c r="C228" s="100">
        <v>5.27</v>
      </c>
      <c r="D228" s="102"/>
    </row>
    <row r="229" spans="1:4" ht="15.75" hidden="1" customHeight="1" outlineLevel="1">
      <c r="A229" s="100" t="s">
        <v>27</v>
      </c>
      <c r="B229" s="101" t="s">
        <v>69</v>
      </c>
      <c r="C229" s="100">
        <v>5.28</v>
      </c>
      <c r="D229" s="102"/>
    </row>
    <row r="230" spans="1:4" ht="15.75" hidden="1" customHeight="1" outlineLevel="1">
      <c r="A230" s="100" t="s">
        <v>27</v>
      </c>
      <c r="B230" s="101" t="s">
        <v>89</v>
      </c>
      <c r="C230" s="100">
        <v>5.29</v>
      </c>
      <c r="D230" s="102"/>
    </row>
    <row r="231" spans="1:4" ht="15.75" hidden="1" customHeight="1" outlineLevel="1">
      <c r="A231" s="100" t="s">
        <v>27</v>
      </c>
      <c r="B231" s="101" t="s">
        <v>70</v>
      </c>
      <c r="C231" s="103">
        <v>5.3</v>
      </c>
      <c r="D231" s="102"/>
    </row>
    <row r="232" spans="1:4" ht="15.75" hidden="1" customHeight="1" outlineLevel="1">
      <c r="A232" s="100" t="s">
        <v>27</v>
      </c>
      <c r="B232" s="101" t="s">
        <v>83</v>
      </c>
      <c r="C232" s="100">
        <v>5.31</v>
      </c>
      <c r="D232" s="102"/>
    </row>
    <row r="233" spans="1:4" ht="15.75" hidden="1" customHeight="1" outlineLevel="1">
      <c r="A233" s="100" t="s">
        <v>27</v>
      </c>
      <c r="B233" s="101" t="s">
        <v>96</v>
      </c>
      <c r="C233" s="100">
        <v>5.33</v>
      </c>
      <c r="D233" s="102"/>
    </row>
    <row r="234" spans="1:4" ht="15.75" hidden="1" customHeight="1" outlineLevel="1">
      <c r="A234" s="100" t="s">
        <v>27</v>
      </c>
      <c r="B234" s="101" t="s">
        <v>93</v>
      </c>
      <c r="C234" s="100">
        <v>5.101</v>
      </c>
      <c r="D234" s="102"/>
    </row>
    <row r="235" spans="1:4" ht="15.75" hidden="1" customHeight="1" outlineLevel="1">
      <c r="A235" s="100" t="s">
        <v>27</v>
      </c>
      <c r="B235" s="101" t="s">
        <v>56</v>
      </c>
      <c r="C235" s="100">
        <v>5.36</v>
      </c>
      <c r="D235" s="102"/>
    </row>
    <row r="236" spans="1:4" ht="15.75" hidden="1" customHeight="1" outlineLevel="1">
      <c r="A236" s="100" t="s">
        <v>27</v>
      </c>
      <c r="B236" s="101" t="s">
        <v>59</v>
      </c>
      <c r="C236" s="100">
        <v>5.53</v>
      </c>
      <c r="D236" s="102"/>
    </row>
    <row r="237" spans="1:4" ht="15.75" hidden="1" customHeight="1" outlineLevel="1">
      <c r="A237" s="100" t="s">
        <v>27</v>
      </c>
      <c r="B237" s="101" t="s">
        <v>94</v>
      </c>
      <c r="C237" s="100">
        <v>5.1020000000000003</v>
      </c>
      <c r="D237" s="102"/>
    </row>
    <row r="238" spans="1:4" ht="15.75" hidden="1" customHeight="1" outlineLevel="1">
      <c r="A238" s="100" t="s">
        <v>27</v>
      </c>
      <c r="B238" s="101" t="s">
        <v>76</v>
      </c>
      <c r="C238" s="100">
        <v>5.58</v>
      </c>
      <c r="D238" s="102"/>
    </row>
    <row r="239" spans="1:4" ht="15.75" hidden="1" customHeight="1" outlineLevel="1">
      <c r="A239" s="100" t="s">
        <v>27</v>
      </c>
      <c r="B239" s="101" t="s">
        <v>61</v>
      </c>
      <c r="C239" s="100">
        <v>5.54</v>
      </c>
      <c r="D239" s="102"/>
    </row>
    <row r="240" spans="1:4" ht="15.75" hidden="1" customHeight="1" outlineLevel="1">
      <c r="A240" s="100" t="s">
        <v>27</v>
      </c>
      <c r="B240" s="101" t="s">
        <v>77</v>
      </c>
      <c r="C240" s="100">
        <v>5.55</v>
      </c>
      <c r="D240" s="102"/>
    </row>
    <row r="241" spans="1:4" ht="15.75" hidden="1" customHeight="1" outlineLevel="1">
      <c r="A241" s="100" t="s">
        <v>27</v>
      </c>
      <c r="B241" s="101" t="s">
        <v>63</v>
      </c>
      <c r="C241" s="100">
        <v>5.63</v>
      </c>
      <c r="D241" s="102"/>
    </row>
    <row r="242" spans="1:4" ht="15.75" hidden="1" customHeight="1" outlineLevel="1">
      <c r="A242" s="100" t="s">
        <v>27</v>
      </c>
      <c r="B242" s="101" t="s">
        <v>64</v>
      </c>
      <c r="C242" s="100">
        <v>5.47</v>
      </c>
      <c r="D242" s="102"/>
    </row>
    <row r="243" spans="1:4" ht="15.75" hidden="1" customHeight="1" outlineLevel="1">
      <c r="A243" s="100" t="s">
        <v>27</v>
      </c>
      <c r="B243" s="101" t="s">
        <v>65</v>
      </c>
      <c r="C243" s="100">
        <v>5.48</v>
      </c>
      <c r="D243" s="102"/>
    </row>
    <row r="244" spans="1:4" ht="15.75" hidden="1" customHeight="1">
      <c r="A244" s="105" t="s">
        <v>27</v>
      </c>
      <c r="B244" s="101"/>
      <c r="C244" s="100"/>
      <c r="D244" s="102"/>
    </row>
    <row r="245" spans="1:4" ht="15.75" hidden="1" customHeight="1" outlineLevel="1">
      <c r="A245" s="100" t="s">
        <v>28</v>
      </c>
      <c r="B245" s="101" t="s">
        <v>49</v>
      </c>
      <c r="C245" s="100">
        <v>5.0999999999999996</v>
      </c>
      <c r="D245" s="102"/>
    </row>
    <row r="246" spans="1:4" ht="15.75" hidden="1" customHeight="1" outlineLevel="1">
      <c r="A246" s="100" t="s">
        <v>28</v>
      </c>
      <c r="B246" s="101" t="s">
        <v>50</v>
      </c>
      <c r="C246" s="100">
        <v>5.2</v>
      </c>
      <c r="D246" s="102"/>
    </row>
    <row r="247" spans="1:4" ht="15.75" hidden="1" customHeight="1" outlineLevel="1">
      <c r="A247" s="100" t="s">
        <v>28</v>
      </c>
      <c r="B247" s="101" t="s">
        <v>66</v>
      </c>
      <c r="C247" s="100">
        <v>5.3</v>
      </c>
      <c r="D247" s="102"/>
    </row>
    <row r="248" spans="1:4" ht="15.75" hidden="1" customHeight="1" outlineLevel="1">
      <c r="A248" s="100" t="s">
        <v>28</v>
      </c>
      <c r="B248" s="101" t="s">
        <v>80</v>
      </c>
      <c r="C248" s="100">
        <v>5.6</v>
      </c>
      <c r="D248" s="102"/>
    </row>
    <row r="249" spans="1:4" ht="15.75" hidden="1" customHeight="1" outlineLevel="1">
      <c r="A249" s="100" t="s">
        <v>28</v>
      </c>
      <c r="B249" s="101" t="s">
        <v>1082</v>
      </c>
      <c r="C249" s="103">
        <v>5.0999999999999996</v>
      </c>
      <c r="D249" s="102"/>
    </row>
    <row r="250" spans="1:4" ht="15.75" hidden="1" customHeight="1" outlineLevel="1">
      <c r="A250" s="100" t="s">
        <v>28</v>
      </c>
      <c r="B250" s="101" t="s">
        <v>91</v>
      </c>
      <c r="C250" s="100">
        <v>5.14</v>
      </c>
      <c r="D250" s="102"/>
    </row>
    <row r="251" spans="1:4" ht="15.75" hidden="1" customHeight="1" outlineLevel="1">
      <c r="A251" s="100" t="s">
        <v>28</v>
      </c>
      <c r="B251" s="101" t="s">
        <v>68</v>
      </c>
      <c r="C251" s="100">
        <v>5.19</v>
      </c>
      <c r="D251" s="102"/>
    </row>
    <row r="252" spans="1:4" ht="15.75" hidden="1" customHeight="1" outlineLevel="1">
      <c r="A252" s="100" t="s">
        <v>28</v>
      </c>
      <c r="B252" s="101" t="s">
        <v>82</v>
      </c>
      <c r="C252" s="100">
        <v>5.24</v>
      </c>
      <c r="D252" s="102"/>
    </row>
    <row r="253" spans="1:4" ht="15.75" hidden="1" customHeight="1" outlineLevel="1">
      <c r="A253" s="100" t="s">
        <v>28</v>
      </c>
      <c r="B253" s="101" t="s">
        <v>55</v>
      </c>
      <c r="C253" s="100">
        <v>5.27</v>
      </c>
      <c r="D253" s="102"/>
    </row>
    <row r="254" spans="1:4" ht="15.75" hidden="1" customHeight="1" outlineLevel="1">
      <c r="A254" s="100" t="s">
        <v>28</v>
      </c>
      <c r="B254" s="101" t="s">
        <v>69</v>
      </c>
      <c r="C254" s="100">
        <v>5.28</v>
      </c>
      <c r="D254" s="102"/>
    </row>
    <row r="255" spans="1:4" ht="15.75" hidden="1" customHeight="1" outlineLevel="1">
      <c r="A255" s="100" t="s">
        <v>28</v>
      </c>
      <c r="B255" s="101" t="s">
        <v>70</v>
      </c>
      <c r="C255" s="103">
        <v>5.3</v>
      </c>
      <c r="D255" s="102"/>
    </row>
    <row r="256" spans="1:4" ht="15.75" hidden="1" customHeight="1" outlineLevel="1">
      <c r="A256" s="100" t="s">
        <v>28</v>
      </c>
      <c r="B256" s="101" t="s">
        <v>96</v>
      </c>
      <c r="C256" s="100">
        <v>5.33</v>
      </c>
      <c r="D256" s="102"/>
    </row>
    <row r="257" spans="1:4" ht="15.75" hidden="1" customHeight="1" outlineLevel="1">
      <c r="A257" s="100" t="s">
        <v>28</v>
      </c>
      <c r="B257" s="101" t="s">
        <v>56</v>
      </c>
      <c r="C257" s="100">
        <v>5.36</v>
      </c>
      <c r="D257" s="102"/>
    </row>
    <row r="258" spans="1:4" ht="15.75" hidden="1" customHeight="1" outlineLevel="1">
      <c r="A258" s="100" t="s">
        <v>28</v>
      </c>
      <c r="B258" s="101" t="s">
        <v>59</v>
      </c>
      <c r="C258" s="100">
        <v>5.53</v>
      </c>
      <c r="D258" s="102"/>
    </row>
    <row r="259" spans="1:4" ht="15.75" hidden="1" customHeight="1" outlineLevel="1">
      <c r="A259" s="100" t="s">
        <v>28</v>
      </c>
      <c r="B259" s="101" t="s">
        <v>76</v>
      </c>
      <c r="C259" s="100">
        <v>5.58</v>
      </c>
      <c r="D259" s="102"/>
    </row>
    <row r="260" spans="1:4" ht="15.75" hidden="1" customHeight="1" outlineLevel="1">
      <c r="A260" s="100" t="s">
        <v>28</v>
      </c>
      <c r="B260" s="101" t="s">
        <v>61</v>
      </c>
      <c r="C260" s="100">
        <v>5.54</v>
      </c>
      <c r="D260" s="102"/>
    </row>
    <row r="261" spans="1:4" ht="15.75" hidden="1" customHeight="1" outlineLevel="1">
      <c r="A261" s="100" t="s">
        <v>28</v>
      </c>
      <c r="B261" s="101" t="s">
        <v>77</v>
      </c>
      <c r="C261" s="100">
        <v>5.55</v>
      </c>
      <c r="D261" s="102"/>
    </row>
    <row r="262" spans="1:4" ht="15.75" hidden="1" customHeight="1" outlineLevel="1">
      <c r="A262" s="100" t="s">
        <v>28</v>
      </c>
      <c r="B262" s="101" t="s">
        <v>63</v>
      </c>
      <c r="C262" s="100">
        <v>5.63</v>
      </c>
      <c r="D262" s="102"/>
    </row>
    <row r="263" spans="1:4" ht="15.75" hidden="1" customHeight="1" outlineLevel="1">
      <c r="A263" s="100" t="s">
        <v>28</v>
      </c>
      <c r="B263" s="101" t="s">
        <v>64</v>
      </c>
      <c r="C263" s="100">
        <v>5.47</v>
      </c>
      <c r="D263" s="102"/>
    </row>
    <row r="264" spans="1:4" ht="15.75" hidden="1" customHeight="1" outlineLevel="1">
      <c r="A264" s="100" t="s">
        <v>28</v>
      </c>
      <c r="B264" s="101" t="s">
        <v>65</v>
      </c>
      <c r="C264" s="100">
        <v>5.48</v>
      </c>
      <c r="D264" s="102"/>
    </row>
    <row r="265" spans="1:4" ht="15.75" hidden="1" customHeight="1">
      <c r="A265" s="105" t="s">
        <v>28</v>
      </c>
      <c r="B265" s="101"/>
      <c r="C265" s="100"/>
      <c r="D265" s="102"/>
    </row>
    <row r="266" spans="1:4" ht="15.75" hidden="1" customHeight="1" outlineLevel="1">
      <c r="A266" s="100" t="s">
        <v>29</v>
      </c>
      <c r="B266" s="101" t="s">
        <v>49</v>
      </c>
      <c r="C266" s="100">
        <v>5.0999999999999996</v>
      </c>
      <c r="D266" s="102"/>
    </row>
    <row r="267" spans="1:4" ht="15.75" hidden="1" customHeight="1" outlineLevel="1">
      <c r="A267" s="100" t="s">
        <v>29</v>
      </c>
      <c r="B267" s="101" t="s">
        <v>50</v>
      </c>
      <c r="C267" s="100">
        <v>5.2</v>
      </c>
      <c r="D267" s="102"/>
    </row>
    <row r="268" spans="1:4" ht="15.75" hidden="1" customHeight="1" outlineLevel="1">
      <c r="A268" s="100" t="s">
        <v>29</v>
      </c>
      <c r="B268" s="101" t="s">
        <v>66</v>
      </c>
      <c r="C268" s="100">
        <v>5.3</v>
      </c>
      <c r="D268" s="102"/>
    </row>
    <row r="269" spans="1:4" ht="15.75" hidden="1" customHeight="1" outlineLevel="1">
      <c r="A269" s="100" t="s">
        <v>29</v>
      </c>
      <c r="B269" s="101" t="s">
        <v>80</v>
      </c>
      <c r="C269" s="100">
        <v>5.6</v>
      </c>
      <c r="D269" s="102"/>
    </row>
    <row r="270" spans="1:4" ht="15.75" hidden="1" customHeight="1" outlineLevel="1">
      <c r="A270" s="100" t="s">
        <v>29</v>
      </c>
      <c r="B270" s="101" t="s">
        <v>1082</v>
      </c>
      <c r="C270" s="103">
        <v>5.0999999999999996</v>
      </c>
      <c r="D270" s="102"/>
    </row>
    <row r="271" spans="1:4" ht="15.75" hidden="1" customHeight="1" outlineLevel="1">
      <c r="A271" s="100" t="s">
        <v>29</v>
      </c>
      <c r="B271" s="101" t="s">
        <v>91</v>
      </c>
      <c r="C271" s="100">
        <v>5.14</v>
      </c>
      <c r="D271" s="102"/>
    </row>
    <row r="272" spans="1:4" ht="15.75" hidden="1" customHeight="1" outlineLevel="1">
      <c r="A272" s="100" t="s">
        <v>29</v>
      </c>
      <c r="B272" s="101" t="s">
        <v>68</v>
      </c>
      <c r="C272" s="100">
        <v>5.19</v>
      </c>
      <c r="D272" s="102"/>
    </row>
    <row r="273" spans="1:4" ht="15.75" hidden="1" customHeight="1" outlineLevel="1">
      <c r="A273" s="100" t="s">
        <v>29</v>
      </c>
      <c r="B273" s="101" t="s">
        <v>82</v>
      </c>
      <c r="C273" s="100">
        <v>5.24</v>
      </c>
      <c r="D273" s="102"/>
    </row>
    <row r="274" spans="1:4" ht="15.75" hidden="1" customHeight="1" outlineLevel="1">
      <c r="A274" s="100" t="s">
        <v>29</v>
      </c>
      <c r="B274" s="101" t="s">
        <v>54</v>
      </c>
      <c r="C274" s="100">
        <v>5.26</v>
      </c>
      <c r="D274" s="102"/>
    </row>
    <row r="275" spans="1:4" ht="15.75" hidden="1" customHeight="1" outlineLevel="1">
      <c r="A275" s="100" t="s">
        <v>29</v>
      </c>
      <c r="B275" s="101" t="s">
        <v>55</v>
      </c>
      <c r="C275" s="100">
        <v>5.27</v>
      </c>
      <c r="D275" s="102"/>
    </row>
    <row r="276" spans="1:4" ht="15.75" hidden="1" customHeight="1" outlineLevel="1">
      <c r="A276" s="100" t="s">
        <v>29</v>
      </c>
      <c r="B276" s="101" t="s">
        <v>69</v>
      </c>
      <c r="C276" s="100">
        <v>5.28</v>
      </c>
      <c r="D276" s="102"/>
    </row>
    <row r="277" spans="1:4" ht="15.75" hidden="1" customHeight="1" outlineLevel="1">
      <c r="A277" s="100" t="s">
        <v>29</v>
      </c>
      <c r="B277" s="101" t="s">
        <v>89</v>
      </c>
      <c r="C277" s="100">
        <v>5.29</v>
      </c>
      <c r="D277" s="102"/>
    </row>
    <row r="278" spans="1:4" ht="15.75" hidden="1" customHeight="1" outlineLevel="1">
      <c r="A278" s="100" t="s">
        <v>29</v>
      </c>
      <c r="B278" s="101" t="s">
        <v>70</v>
      </c>
      <c r="C278" s="103">
        <v>5.3</v>
      </c>
      <c r="D278" s="102"/>
    </row>
    <row r="279" spans="1:4" ht="15.75" hidden="1" customHeight="1" outlineLevel="1">
      <c r="A279" s="100" t="s">
        <v>29</v>
      </c>
      <c r="B279" s="101" t="s">
        <v>96</v>
      </c>
      <c r="C279" s="100">
        <v>5.33</v>
      </c>
      <c r="D279" s="102"/>
    </row>
    <row r="280" spans="1:4" ht="15.75" hidden="1" customHeight="1" outlineLevel="1">
      <c r="A280" s="100" t="s">
        <v>29</v>
      </c>
      <c r="B280" s="101" t="s">
        <v>56</v>
      </c>
      <c r="C280" s="100">
        <v>5.36</v>
      </c>
      <c r="D280" s="102"/>
    </row>
    <row r="281" spans="1:4" ht="15.75" hidden="1" customHeight="1" outlineLevel="1">
      <c r="A281" s="100" t="s">
        <v>29</v>
      </c>
      <c r="B281" s="101" t="s">
        <v>72</v>
      </c>
      <c r="C281" s="100">
        <v>5.69</v>
      </c>
      <c r="D281" s="102"/>
    </row>
    <row r="282" spans="1:4" ht="15.75" hidden="1" customHeight="1" outlineLevel="1">
      <c r="A282" s="100" t="s">
        <v>29</v>
      </c>
      <c r="B282" s="101" t="s">
        <v>62</v>
      </c>
      <c r="C282" s="103">
        <v>5.7</v>
      </c>
      <c r="D282" s="102"/>
    </row>
    <row r="283" spans="1:4" ht="15.75" hidden="1" customHeight="1" outlineLevel="1">
      <c r="A283" s="100" t="s">
        <v>29</v>
      </c>
      <c r="B283" s="101" t="s">
        <v>74</v>
      </c>
      <c r="C283" s="100">
        <v>5.74</v>
      </c>
      <c r="D283" s="102"/>
    </row>
    <row r="284" spans="1:4" ht="15.75" hidden="1" customHeight="1" outlineLevel="1">
      <c r="A284" s="100" t="s">
        <v>29</v>
      </c>
      <c r="B284" s="101" t="s">
        <v>71</v>
      </c>
      <c r="C284" s="100">
        <v>5.49</v>
      </c>
      <c r="D284" s="102"/>
    </row>
    <row r="285" spans="1:4" ht="15.75" hidden="1" customHeight="1" outlineLevel="1">
      <c r="A285" s="100" t="s">
        <v>29</v>
      </c>
      <c r="B285" s="101" t="s">
        <v>58</v>
      </c>
      <c r="C285" s="100">
        <v>5.51</v>
      </c>
      <c r="D285" s="102"/>
    </row>
    <row r="286" spans="1:4" ht="15.75" hidden="1" customHeight="1" outlineLevel="1">
      <c r="A286" s="100" t="s">
        <v>29</v>
      </c>
      <c r="B286" s="101" t="s">
        <v>1083</v>
      </c>
      <c r="C286" s="100">
        <v>5.52</v>
      </c>
      <c r="D286" s="102"/>
    </row>
    <row r="287" spans="1:4" ht="15.75" hidden="1" customHeight="1" outlineLevel="1">
      <c r="A287" s="100" t="s">
        <v>29</v>
      </c>
      <c r="B287" s="101" t="s">
        <v>59</v>
      </c>
      <c r="C287" s="100">
        <v>5.53</v>
      </c>
      <c r="D287" s="102"/>
    </row>
    <row r="288" spans="1:4" ht="15.75" hidden="1" customHeight="1" outlineLevel="1">
      <c r="A288" s="100" t="s">
        <v>29</v>
      </c>
      <c r="B288" s="101" t="s">
        <v>76</v>
      </c>
      <c r="C288" s="100">
        <v>5.58</v>
      </c>
      <c r="D288" s="102"/>
    </row>
    <row r="289" spans="1:4" ht="15.75" hidden="1" customHeight="1" outlineLevel="1">
      <c r="A289" s="100" t="s">
        <v>29</v>
      </c>
      <c r="B289" s="101" t="s">
        <v>61</v>
      </c>
      <c r="C289" s="100">
        <v>5.54</v>
      </c>
      <c r="D289" s="102"/>
    </row>
    <row r="290" spans="1:4" ht="15.75" hidden="1" customHeight="1" outlineLevel="1">
      <c r="A290" s="100" t="s">
        <v>29</v>
      </c>
      <c r="B290" s="101" t="s">
        <v>77</v>
      </c>
      <c r="C290" s="100">
        <v>5.55</v>
      </c>
      <c r="D290" s="102"/>
    </row>
    <row r="291" spans="1:4" ht="15.75" hidden="1" customHeight="1" outlineLevel="1">
      <c r="A291" s="100" t="s">
        <v>29</v>
      </c>
      <c r="B291" s="101" t="s">
        <v>63</v>
      </c>
      <c r="C291" s="100">
        <v>5.63</v>
      </c>
      <c r="D291" s="102"/>
    </row>
    <row r="292" spans="1:4" ht="15.75" hidden="1" customHeight="1" outlineLevel="1">
      <c r="A292" s="100" t="s">
        <v>29</v>
      </c>
      <c r="B292" s="101" t="s">
        <v>64</v>
      </c>
      <c r="C292" s="100">
        <v>5.47</v>
      </c>
      <c r="D292" s="102"/>
    </row>
    <row r="293" spans="1:4" ht="15.75" hidden="1" customHeight="1" outlineLevel="1">
      <c r="A293" s="100" t="s">
        <v>29</v>
      </c>
      <c r="B293" s="101" t="s">
        <v>65</v>
      </c>
      <c r="C293" s="100">
        <v>5.48</v>
      </c>
      <c r="D293" s="102"/>
    </row>
    <row r="294" spans="1:4" ht="15.75" hidden="1" customHeight="1">
      <c r="A294" s="105" t="s">
        <v>29</v>
      </c>
      <c r="B294" s="101"/>
      <c r="C294" s="100"/>
      <c r="D294" s="102"/>
    </row>
    <row r="295" spans="1:4" ht="15.75" hidden="1" customHeight="1" outlineLevel="1">
      <c r="A295" s="100" t="s">
        <v>30</v>
      </c>
      <c r="B295" s="101" t="s">
        <v>49</v>
      </c>
      <c r="C295" s="100">
        <v>5.0999999999999996</v>
      </c>
      <c r="D295" s="102"/>
    </row>
    <row r="296" spans="1:4" ht="15.75" hidden="1" customHeight="1" outlineLevel="1">
      <c r="A296" s="100" t="s">
        <v>30</v>
      </c>
      <c r="B296" s="101" t="s">
        <v>50</v>
      </c>
      <c r="C296" s="100">
        <v>5.2</v>
      </c>
      <c r="D296" s="102"/>
    </row>
    <row r="297" spans="1:4" ht="15.75" hidden="1" customHeight="1" outlineLevel="1">
      <c r="A297" s="100" t="s">
        <v>30</v>
      </c>
      <c r="B297" s="101" t="s">
        <v>66</v>
      </c>
      <c r="C297" s="100">
        <v>5.3</v>
      </c>
      <c r="D297" s="102"/>
    </row>
    <row r="298" spans="1:4" ht="15.75" hidden="1" customHeight="1" outlineLevel="1">
      <c r="A298" s="100" t="s">
        <v>30</v>
      </c>
      <c r="B298" s="101" t="s">
        <v>91</v>
      </c>
      <c r="C298" s="100">
        <v>5.14</v>
      </c>
      <c r="D298" s="102"/>
    </row>
    <row r="299" spans="1:4" ht="15.75" hidden="1" customHeight="1" outlineLevel="1">
      <c r="A299" s="100" t="s">
        <v>30</v>
      </c>
      <c r="B299" s="101" t="s">
        <v>68</v>
      </c>
      <c r="C299" s="100">
        <v>5.19</v>
      </c>
      <c r="D299" s="102"/>
    </row>
    <row r="300" spans="1:4" ht="15.75" hidden="1" customHeight="1" outlineLevel="1">
      <c r="A300" s="100" t="s">
        <v>30</v>
      </c>
      <c r="B300" s="101" t="s">
        <v>82</v>
      </c>
      <c r="C300" s="100">
        <v>5.24</v>
      </c>
      <c r="D300" s="102"/>
    </row>
    <row r="301" spans="1:4" ht="15.75" hidden="1" customHeight="1" outlineLevel="1">
      <c r="A301" s="100" t="s">
        <v>30</v>
      </c>
      <c r="B301" s="101" t="s">
        <v>54</v>
      </c>
      <c r="C301" s="100">
        <v>5.26</v>
      </c>
      <c r="D301" s="102"/>
    </row>
    <row r="302" spans="1:4" ht="15.75" hidden="1" customHeight="1" outlineLevel="1">
      <c r="A302" s="100" t="s">
        <v>30</v>
      </c>
      <c r="B302" s="101" t="s">
        <v>55</v>
      </c>
      <c r="C302" s="100">
        <v>5.27</v>
      </c>
      <c r="D302" s="102"/>
    </row>
    <row r="303" spans="1:4" ht="15.75" hidden="1" customHeight="1" outlineLevel="1">
      <c r="A303" s="100" t="s">
        <v>30</v>
      </c>
      <c r="B303" s="101" t="s">
        <v>69</v>
      </c>
      <c r="C303" s="100">
        <v>5.28</v>
      </c>
      <c r="D303" s="102"/>
    </row>
    <row r="304" spans="1:4" ht="15.75" hidden="1" customHeight="1" outlineLevel="1">
      <c r="A304" s="100" t="s">
        <v>30</v>
      </c>
      <c r="B304" s="101" t="s">
        <v>97</v>
      </c>
      <c r="C304" s="100">
        <v>5.37</v>
      </c>
      <c r="D304" s="102"/>
    </row>
    <row r="305" spans="1:4" ht="15.75" hidden="1" customHeight="1" outlineLevel="1">
      <c r="A305" s="100" t="s">
        <v>30</v>
      </c>
      <c r="B305" s="101" t="s">
        <v>71</v>
      </c>
      <c r="C305" s="100">
        <v>5.49</v>
      </c>
      <c r="D305" s="102"/>
    </row>
    <row r="306" spans="1:4" ht="15.75" hidden="1" customHeight="1" outlineLevel="1">
      <c r="A306" s="100" t="s">
        <v>30</v>
      </c>
      <c r="B306" s="101" t="s">
        <v>58</v>
      </c>
      <c r="C306" s="100">
        <v>5.51</v>
      </c>
      <c r="D306" s="102"/>
    </row>
    <row r="307" spans="1:4" ht="15.75" hidden="1" customHeight="1" outlineLevel="1">
      <c r="A307" s="100" t="s">
        <v>30</v>
      </c>
      <c r="B307" s="101" t="s">
        <v>59</v>
      </c>
      <c r="C307" s="100">
        <v>5.53</v>
      </c>
      <c r="D307" s="102"/>
    </row>
    <row r="308" spans="1:4" ht="15.75" hidden="1" customHeight="1" outlineLevel="1">
      <c r="A308" s="100" t="s">
        <v>30</v>
      </c>
      <c r="B308" s="101" t="s">
        <v>72</v>
      </c>
      <c r="C308" s="100">
        <v>5.69</v>
      </c>
      <c r="D308" s="102"/>
    </row>
    <row r="309" spans="1:4" ht="15.75" hidden="1" customHeight="1" outlineLevel="1">
      <c r="A309" s="100" t="s">
        <v>30</v>
      </c>
      <c r="B309" s="101" t="s">
        <v>73</v>
      </c>
      <c r="C309" s="100">
        <v>5.75</v>
      </c>
      <c r="D309" s="102"/>
    </row>
    <row r="310" spans="1:4" ht="15.75" hidden="1" customHeight="1" outlineLevel="1">
      <c r="A310" s="100" t="s">
        <v>30</v>
      </c>
      <c r="B310" s="101" t="s">
        <v>62</v>
      </c>
      <c r="C310" s="103">
        <v>5.7</v>
      </c>
      <c r="D310" s="102"/>
    </row>
    <row r="311" spans="1:4" ht="15.75" hidden="1" customHeight="1" outlineLevel="1">
      <c r="A311" s="100" t="s">
        <v>30</v>
      </c>
      <c r="B311" s="101" t="s">
        <v>74</v>
      </c>
      <c r="C311" s="100">
        <v>5.74</v>
      </c>
      <c r="D311" s="102"/>
    </row>
    <row r="312" spans="1:4" ht="15.75" hidden="1" customHeight="1" outlineLevel="1">
      <c r="A312" s="100" t="s">
        <v>30</v>
      </c>
      <c r="B312" s="101" t="s">
        <v>76</v>
      </c>
      <c r="C312" s="100">
        <v>5.58</v>
      </c>
      <c r="D312" s="102"/>
    </row>
    <row r="313" spans="1:4" ht="15.75" hidden="1" customHeight="1" outlineLevel="1">
      <c r="A313" s="100" t="s">
        <v>30</v>
      </c>
      <c r="B313" s="101" t="s">
        <v>61</v>
      </c>
      <c r="C313" s="100">
        <v>5.54</v>
      </c>
      <c r="D313" s="102"/>
    </row>
    <row r="314" spans="1:4" ht="15.75" hidden="1" customHeight="1" outlineLevel="1">
      <c r="A314" s="100" t="s">
        <v>30</v>
      </c>
      <c r="B314" s="101" t="s">
        <v>77</v>
      </c>
      <c r="C314" s="100">
        <v>5.55</v>
      </c>
      <c r="D314" s="102"/>
    </row>
    <row r="315" spans="1:4" ht="15.75" hidden="1" customHeight="1" outlineLevel="1">
      <c r="A315" s="100" t="s">
        <v>30</v>
      </c>
      <c r="B315" s="101" t="s">
        <v>63</v>
      </c>
      <c r="C315" s="100">
        <v>5.63</v>
      </c>
      <c r="D315" s="102"/>
    </row>
    <row r="316" spans="1:4" ht="15.75" hidden="1" customHeight="1" outlineLevel="1">
      <c r="A316" s="100" t="s">
        <v>30</v>
      </c>
      <c r="B316" s="101" t="s">
        <v>78</v>
      </c>
      <c r="C316" s="100">
        <v>5.65</v>
      </c>
      <c r="D316" s="102"/>
    </row>
    <row r="317" spans="1:4" ht="15.75" hidden="1" customHeight="1" outlineLevel="1">
      <c r="A317" s="100" t="s">
        <v>30</v>
      </c>
      <c r="B317" s="101" t="s">
        <v>17</v>
      </c>
      <c r="C317" s="100">
        <v>5.68</v>
      </c>
      <c r="D317" s="102"/>
    </row>
    <row r="318" spans="1:4" ht="15.75" hidden="1" customHeight="1" outlineLevel="1">
      <c r="A318" s="100" t="s">
        <v>30</v>
      </c>
      <c r="B318" s="101" t="s">
        <v>64</v>
      </c>
      <c r="C318" s="100">
        <v>5.47</v>
      </c>
      <c r="D318" s="102"/>
    </row>
    <row r="319" spans="1:4" ht="15.75" hidden="1" customHeight="1" outlineLevel="1">
      <c r="A319" s="100" t="s">
        <v>30</v>
      </c>
      <c r="B319" s="101" t="s">
        <v>65</v>
      </c>
      <c r="C319" s="100">
        <v>5.48</v>
      </c>
      <c r="D319" s="102"/>
    </row>
    <row r="320" spans="1:4" ht="15.75" hidden="1" customHeight="1">
      <c r="A320" s="105" t="s">
        <v>30</v>
      </c>
      <c r="B320" s="101"/>
      <c r="C320" s="100"/>
      <c r="D320" s="102"/>
    </row>
    <row r="321" spans="1:4" ht="15.75" hidden="1" customHeight="1" outlineLevel="1">
      <c r="A321" s="100" t="s">
        <v>31</v>
      </c>
      <c r="B321" s="101" t="s">
        <v>49</v>
      </c>
      <c r="C321" s="100">
        <v>5.0999999999999996</v>
      </c>
      <c r="D321" s="102"/>
    </row>
    <row r="322" spans="1:4" ht="15.75" hidden="1" customHeight="1" outlineLevel="1">
      <c r="A322" s="100" t="s">
        <v>31</v>
      </c>
      <c r="B322" s="101" t="s">
        <v>50</v>
      </c>
      <c r="C322" s="100">
        <v>5.2</v>
      </c>
      <c r="D322" s="102"/>
    </row>
    <row r="323" spans="1:4" ht="15.75" hidden="1" customHeight="1" outlineLevel="1">
      <c r="A323" s="100" t="s">
        <v>31</v>
      </c>
      <c r="B323" s="101" t="s">
        <v>54</v>
      </c>
      <c r="C323" s="100">
        <v>5.26</v>
      </c>
      <c r="D323" s="102"/>
    </row>
    <row r="324" spans="1:4" ht="15.75" hidden="1" customHeight="1" outlineLevel="1">
      <c r="A324" s="100" t="s">
        <v>31</v>
      </c>
      <c r="B324" s="101" t="s">
        <v>91</v>
      </c>
      <c r="C324" s="100">
        <v>5.14</v>
      </c>
      <c r="D324" s="102"/>
    </row>
    <row r="325" spans="1:4" ht="15.75" hidden="1" customHeight="1" outlineLevel="1">
      <c r="A325" s="100" t="s">
        <v>31</v>
      </c>
      <c r="B325" s="101" t="s">
        <v>68</v>
      </c>
      <c r="C325" s="100">
        <v>5.19</v>
      </c>
      <c r="D325" s="102"/>
    </row>
    <row r="326" spans="1:4" ht="15.75" hidden="1" customHeight="1" outlineLevel="1">
      <c r="A326" s="100" t="s">
        <v>31</v>
      </c>
      <c r="B326" s="101" t="s">
        <v>97</v>
      </c>
      <c r="C326" s="100">
        <v>5.37</v>
      </c>
      <c r="D326" s="102"/>
    </row>
    <row r="327" spans="1:4" ht="15.75" hidden="1" customHeight="1" outlineLevel="1">
      <c r="A327" s="100" t="s">
        <v>31</v>
      </c>
      <c r="B327" s="101" t="s">
        <v>72</v>
      </c>
      <c r="C327" s="100">
        <v>5.69</v>
      </c>
      <c r="D327" s="102"/>
    </row>
    <row r="328" spans="1:4" ht="15.75" hidden="1" customHeight="1" outlineLevel="1">
      <c r="A328" s="100" t="s">
        <v>31</v>
      </c>
      <c r="B328" s="101" t="s">
        <v>98</v>
      </c>
      <c r="C328" s="103">
        <v>5.8</v>
      </c>
      <c r="D328" s="102"/>
    </row>
    <row r="329" spans="1:4" ht="15.75" hidden="1" customHeight="1" outlineLevel="1">
      <c r="A329" s="100" t="s">
        <v>31</v>
      </c>
      <c r="B329" s="101" t="s">
        <v>73</v>
      </c>
      <c r="C329" s="100">
        <v>5.75</v>
      </c>
      <c r="D329" s="102"/>
    </row>
    <row r="330" spans="1:4" ht="15.75" hidden="1" customHeight="1" outlineLevel="1">
      <c r="A330" s="100" t="s">
        <v>31</v>
      </c>
      <c r="B330" s="101" t="s">
        <v>62</v>
      </c>
      <c r="C330" s="103">
        <v>5.7</v>
      </c>
      <c r="D330" s="102"/>
    </row>
    <row r="331" spans="1:4" ht="15.75" hidden="1" customHeight="1" outlineLevel="1">
      <c r="A331" s="100" t="s">
        <v>31</v>
      </c>
      <c r="B331" s="101" t="s">
        <v>74</v>
      </c>
      <c r="C331" s="100">
        <v>5.74</v>
      </c>
      <c r="D331" s="102"/>
    </row>
    <row r="332" spans="1:4" ht="15.75" hidden="1" customHeight="1" outlineLevel="1">
      <c r="A332" s="100" t="s">
        <v>31</v>
      </c>
      <c r="B332" s="101" t="s">
        <v>76</v>
      </c>
      <c r="C332" s="100">
        <v>5.58</v>
      </c>
      <c r="D332" s="102"/>
    </row>
    <row r="333" spans="1:4" ht="15.75" hidden="1" customHeight="1" outlineLevel="1">
      <c r="A333" s="100" t="s">
        <v>31</v>
      </c>
      <c r="B333" s="101" t="s">
        <v>77</v>
      </c>
      <c r="C333" s="100">
        <v>5.55</v>
      </c>
      <c r="D333" s="102"/>
    </row>
    <row r="334" spans="1:4" ht="15.75" hidden="1" customHeight="1" outlineLevel="1">
      <c r="A334" s="100" t="s">
        <v>31</v>
      </c>
      <c r="B334" s="101" t="s">
        <v>63</v>
      </c>
      <c r="C334" s="100">
        <v>5.63</v>
      </c>
      <c r="D334" s="102"/>
    </row>
    <row r="335" spans="1:4" ht="15.75" hidden="1" customHeight="1" outlineLevel="1">
      <c r="A335" s="100" t="s">
        <v>31</v>
      </c>
      <c r="B335" s="101" t="s">
        <v>78</v>
      </c>
      <c r="C335" s="100">
        <v>5.65</v>
      </c>
      <c r="D335" s="102"/>
    </row>
    <row r="336" spans="1:4" ht="15.75" hidden="1" customHeight="1" outlineLevel="1">
      <c r="A336" s="100" t="s">
        <v>31</v>
      </c>
      <c r="B336" s="101" t="s">
        <v>17</v>
      </c>
      <c r="C336" s="100">
        <v>5.68</v>
      </c>
      <c r="D336" s="102"/>
    </row>
    <row r="337" spans="1:4" ht="15.75" hidden="1" customHeight="1" outlineLevel="1">
      <c r="A337" s="100" t="s">
        <v>31</v>
      </c>
      <c r="B337" s="101" t="s">
        <v>64</v>
      </c>
      <c r="C337" s="100">
        <v>5.47</v>
      </c>
      <c r="D337" s="102"/>
    </row>
    <row r="338" spans="1:4" ht="15.75" hidden="1" customHeight="1" outlineLevel="1">
      <c r="A338" s="100" t="s">
        <v>31</v>
      </c>
      <c r="B338" s="101" t="s">
        <v>65</v>
      </c>
      <c r="C338" s="100">
        <v>5.48</v>
      </c>
      <c r="D338" s="102"/>
    </row>
    <row r="339" spans="1:4" ht="15.75" hidden="1" customHeight="1">
      <c r="A339" s="105" t="s">
        <v>31</v>
      </c>
      <c r="B339" s="101"/>
      <c r="C339" s="100"/>
      <c r="D339" s="102"/>
    </row>
    <row r="340" spans="1:4" ht="15.75" hidden="1" customHeight="1" outlineLevel="1">
      <c r="A340" s="100" t="s">
        <v>32</v>
      </c>
      <c r="B340" s="101" t="s">
        <v>99</v>
      </c>
      <c r="C340" s="100">
        <v>5.0999999999999996</v>
      </c>
      <c r="D340" s="102"/>
    </row>
    <row r="341" spans="1:4" ht="15.75" hidden="1" customHeight="1" outlineLevel="1">
      <c r="A341" s="100" t="s">
        <v>32</v>
      </c>
      <c r="B341" s="101" t="s">
        <v>50</v>
      </c>
      <c r="C341" s="100">
        <v>5.2</v>
      </c>
      <c r="D341" s="102"/>
    </row>
    <row r="342" spans="1:4" ht="15.75" hidden="1" customHeight="1" outlineLevel="1">
      <c r="A342" s="100" t="s">
        <v>32</v>
      </c>
      <c r="B342" s="101" t="s">
        <v>54</v>
      </c>
      <c r="C342" s="100">
        <v>5.26</v>
      </c>
      <c r="D342" s="102"/>
    </row>
    <row r="343" spans="1:4" ht="15.75" hidden="1" customHeight="1" outlineLevel="1">
      <c r="A343" s="100" t="s">
        <v>32</v>
      </c>
      <c r="B343" s="101" t="s">
        <v>100</v>
      </c>
      <c r="C343" s="100">
        <v>5.38</v>
      </c>
      <c r="D343" s="102"/>
    </row>
    <row r="344" spans="1:4" ht="15.75" hidden="1" customHeight="1" outlineLevel="1">
      <c r="A344" s="100" t="s">
        <v>32</v>
      </c>
      <c r="B344" s="101" t="s">
        <v>101</v>
      </c>
      <c r="C344" s="100">
        <v>5.39</v>
      </c>
      <c r="D344" s="102"/>
    </row>
    <row r="345" spans="1:4" ht="15.75" hidden="1" customHeight="1" outlineLevel="1">
      <c r="A345" s="100" t="s">
        <v>32</v>
      </c>
      <c r="B345" s="101" t="s">
        <v>102</v>
      </c>
      <c r="C345" s="103">
        <v>5.6</v>
      </c>
      <c r="D345" s="102"/>
    </row>
    <row r="346" spans="1:4" ht="15.75" hidden="1" customHeight="1" outlineLevel="1">
      <c r="A346" s="100" t="s">
        <v>32</v>
      </c>
      <c r="B346" s="101" t="s">
        <v>65</v>
      </c>
      <c r="C346" s="100">
        <v>5.48</v>
      </c>
      <c r="D346" s="102"/>
    </row>
    <row r="347" spans="1:4" ht="15.75" hidden="1" customHeight="1">
      <c r="A347" s="105" t="s">
        <v>32</v>
      </c>
      <c r="B347" s="101"/>
      <c r="C347" s="100"/>
      <c r="D347" s="102"/>
    </row>
    <row r="348" spans="1:4" ht="15.75" hidden="1" customHeight="1" outlineLevel="1">
      <c r="A348" s="100" t="s">
        <v>33</v>
      </c>
      <c r="B348" s="101" t="s">
        <v>49</v>
      </c>
      <c r="C348" s="100">
        <v>5.0999999999999996</v>
      </c>
      <c r="D348" s="102"/>
    </row>
    <row r="349" spans="1:4" ht="15.75" hidden="1" customHeight="1" outlineLevel="1">
      <c r="A349" s="100" t="s">
        <v>33</v>
      </c>
      <c r="B349" s="101" t="s">
        <v>50</v>
      </c>
      <c r="C349" s="100">
        <v>5.2</v>
      </c>
      <c r="D349" s="102"/>
    </row>
    <row r="350" spans="1:4" ht="15.75" hidden="1" customHeight="1" outlineLevel="1">
      <c r="A350" s="100" t="s">
        <v>33</v>
      </c>
      <c r="B350" s="101" t="s">
        <v>66</v>
      </c>
      <c r="C350" s="100">
        <v>5.3</v>
      </c>
      <c r="D350" s="102"/>
    </row>
    <row r="351" spans="1:4" ht="15.75" hidden="1" customHeight="1" outlineLevel="1">
      <c r="A351" s="100" t="s">
        <v>33</v>
      </c>
      <c r="B351" s="101" t="s">
        <v>80</v>
      </c>
      <c r="C351" s="100">
        <v>5.6</v>
      </c>
      <c r="D351" s="102"/>
    </row>
    <row r="352" spans="1:4" ht="15.75" hidden="1" customHeight="1" outlineLevel="1">
      <c r="A352" s="100" t="s">
        <v>33</v>
      </c>
      <c r="B352" s="101" t="s">
        <v>1082</v>
      </c>
      <c r="C352" s="103">
        <v>5.0999999999999996</v>
      </c>
      <c r="D352" s="102"/>
    </row>
    <row r="353" spans="1:4" ht="15.75" hidden="1" customHeight="1" outlineLevel="1">
      <c r="A353" s="100" t="s">
        <v>33</v>
      </c>
      <c r="B353" s="101" t="s">
        <v>91</v>
      </c>
      <c r="C353" s="100">
        <v>5.14</v>
      </c>
      <c r="D353" s="102"/>
    </row>
    <row r="354" spans="1:4" ht="15.75" hidden="1" customHeight="1" outlineLevel="1">
      <c r="A354" s="100" t="s">
        <v>33</v>
      </c>
      <c r="B354" s="101" t="s">
        <v>68</v>
      </c>
      <c r="C354" s="100">
        <v>5.19</v>
      </c>
      <c r="D354" s="102"/>
    </row>
    <row r="355" spans="1:4" ht="15.75" hidden="1" customHeight="1" outlineLevel="1">
      <c r="A355" s="100" t="s">
        <v>33</v>
      </c>
      <c r="B355" s="101" t="s">
        <v>82</v>
      </c>
      <c r="C355" s="100">
        <v>5.24</v>
      </c>
      <c r="D355" s="102"/>
    </row>
    <row r="356" spans="1:4" ht="15.75" hidden="1" customHeight="1" outlineLevel="1">
      <c r="A356" s="100" t="s">
        <v>33</v>
      </c>
      <c r="B356" s="101" t="s">
        <v>54</v>
      </c>
      <c r="C356" s="100">
        <v>5.26</v>
      </c>
      <c r="D356" s="102"/>
    </row>
    <row r="357" spans="1:4" ht="15.75" hidden="1" customHeight="1" outlineLevel="1">
      <c r="A357" s="100" t="s">
        <v>33</v>
      </c>
      <c r="B357" s="101" t="s">
        <v>55</v>
      </c>
      <c r="C357" s="100">
        <v>5.27</v>
      </c>
      <c r="D357" s="102"/>
    </row>
    <row r="358" spans="1:4" ht="15.75" hidden="1" customHeight="1" outlineLevel="1">
      <c r="A358" s="100" t="s">
        <v>33</v>
      </c>
      <c r="B358" s="101" t="s">
        <v>69</v>
      </c>
      <c r="C358" s="100">
        <v>5.28</v>
      </c>
      <c r="D358" s="102"/>
    </row>
    <row r="359" spans="1:4" ht="15.75" hidden="1" customHeight="1" outlineLevel="1">
      <c r="A359" s="100" t="s">
        <v>33</v>
      </c>
      <c r="B359" s="101" t="s">
        <v>83</v>
      </c>
      <c r="C359" s="100">
        <v>5.31</v>
      </c>
      <c r="D359" s="102"/>
    </row>
    <row r="360" spans="1:4" ht="15.75" hidden="1" customHeight="1" outlineLevel="1">
      <c r="A360" s="100" t="s">
        <v>33</v>
      </c>
      <c r="B360" s="101" t="s">
        <v>56</v>
      </c>
      <c r="C360" s="100">
        <v>5.36</v>
      </c>
      <c r="D360" s="102"/>
    </row>
    <row r="361" spans="1:4" ht="15.75" hidden="1" customHeight="1" outlineLevel="1">
      <c r="A361" s="100" t="s">
        <v>33</v>
      </c>
      <c r="B361" s="101" t="s">
        <v>97</v>
      </c>
      <c r="C361" s="100">
        <v>5.37</v>
      </c>
      <c r="D361" s="102"/>
    </row>
    <row r="362" spans="1:4" ht="15.75" hidden="1" customHeight="1" outlineLevel="1">
      <c r="A362" s="100" t="s">
        <v>33</v>
      </c>
      <c r="B362" s="101" t="s">
        <v>71</v>
      </c>
      <c r="C362" s="100">
        <v>5.49</v>
      </c>
      <c r="D362" s="102"/>
    </row>
    <row r="363" spans="1:4" ht="15.75" hidden="1" customHeight="1" outlineLevel="1">
      <c r="A363" s="100" t="s">
        <v>33</v>
      </c>
      <c r="B363" s="101" t="s">
        <v>58</v>
      </c>
      <c r="C363" s="100">
        <v>5.51</v>
      </c>
      <c r="D363" s="102"/>
    </row>
    <row r="364" spans="1:4" ht="15.75" hidden="1" customHeight="1" outlineLevel="1">
      <c r="A364" s="100" t="s">
        <v>33</v>
      </c>
      <c r="B364" s="101" t="s">
        <v>1083</v>
      </c>
      <c r="C364" s="100">
        <v>5.52</v>
      </c>
      <c r="D364" s="102"/>
    </row>
    <row r="365" spans="1:4" ht="15.75" hidden="1" customHeight="1" outlineLevel="1">
      <c r="A365" s="100" t="s">
        <v>33</v>
      </c>
      <c r="B365" s="101" t="s">
        <v>59</v>
      </c>
      <c r="C365" s="100">
        <v>5.53</v>
      </c>
      <c r="D365" s="102"/>
    </row>
    <row r="366" spans="1:4" ht="15.75" hidden="1" customHeight="1" outlineLevel="1">
      <c r="A366" s="100" t="s">
        <v>33</v>
      </c>
      <c r="B366" s="101" t="s">
        <v>72</v>
      </c>
      <c r="C366" s="100">
        <v>5.69</v>
      </c>
      <c r="D366" s="102"/>
    </row>
    <row r="367" spans="1:4" ht="15.75" hidden="1" customHeight="1" outlineLevel="1">
      <c r="A367" s="100" t="s">
        <v>33</v>
      </c>
      <c r="B367" s="101" t="s">
        <v>98</v>
      </c>
      <c r="C367" s="103">
        <v>5.8</v>
      </c>
      <c r="D367" s="102"/>
    </row>
    <row r="368" spans="1:4" ht="15.75" hidden="1" customHeight="1" outlineLevel="1">
      <c r="A368" s="100" t="s">
        <v>33</v>
      </c>
      <c r="B368" s="101" t="s">
        <v>85</v>
      </c>
      <c r="C368" s="103">
        <v>5.72</v>
      </c>
      <c r="D368" s="102"/>
    </row>
    <row r="369" spans="1:4" ht="15.75" hidden="1" customHeight="1" outlineLevel="1">
      <c r="A369" s="100" t="s">
        <v>33</v>
      </c>
      <c r="B369" s="101" t="s">
        <v>73</v>
      </c>
      <c r="C369" s="100">
        <v>5.75</v>
      </c>
      <c r="D369" s="102"/>
    </row>
    <row r="370" spans="1:4" ht="15.75" hidden="1" customHeight="1" outlineLevel="1">
      <c r="A370" s="100" t="s">
        <v>33</v>
      </c>
      <c r="B370" s="101" t="s">
        <v>62</v>
      </c>
      <c r="C370" s="103">
        <v>5.7</v>
      </c>
      <c r="D370" s="102"/>
    </row>
    <row r="371" spans="1:4" ht="15.75" hidden="1" customHeight="1" outlineLevel="1">
      <c r="A371" s="100" t="s">
        <v>33</v>
      </c>
      <c r="B371" s="101" t="s">
        <v>74</v>
      </c>
      <c r="C371" s="100">
        <v>5.74</v>
      </c>
      <c r="D371" s="102"/>
    </row>
    <row r="372" spans="1:4" ht="15.75" hidden="1" customHeight="1" outlineLevel="1">
      <c r="A372" s="100" t="s">
        <v>33</v>
      </c>
      <c r="B372" s="101" t="s">
        <v>86</v>
      </c>
      <c r="C372" s="100">
        <v>5.76</v>
      </c>
      <c r="D372" s="102"/>
    </row>
    <row r="373" spans="1:4" ht="15.75" hidden="1" customHeight="1" outlineLevel="1">
      <c r="A373" s="100" t="s">
        <v>33</v>
      </c>
      <c r="B373" s="101" t="s">
        <v>87</v>
      </c>
      <c r="C373" s="100">
        <v>5.89</v>
      </c>
      <c r="D373" s="104" t="s">
        <v>1081</v>
      </c>
    </row>
    <row r="374" spans="1:4" ht="15.75" hidden="1" customHeight="1" outlineLevel="1">
      <c r="A374" s="100" t="s">
        <v>33</v>
      </c>
      <c r="B374" s="101" t="s">
        <v>103</v>
      </c>
      <c r="C374" s="100">
        <v>5.109</v>
      </c>
      <c r="D374" s="104"/>
    </row>
    <row r="375" spans="1:4" ht="15.75" hidden="1" customHeight="1" outlineLevel="1">
      <c r="A375" s="100" t="s">
        <v>33</v>
      </c>
      <c r="B375" s="101" t="s">
        <v>104</v>
      </c>
      <c r="C375" s="100">
        <v>5.1109999999999998</v>
      </c>
      <c r="D375" s="102"/>
    </row>
    <row r="376" spans="1:4" ht="15.75" hidden="1" customHeight="1" outlineLevel="1">
      <c r="A376" s="100" t="s">
        <v>33</v>
      </c>
      <c r="B376" s="101" t="s">
        <v>106</v>
      </c>
      <c r="C376" s="100">
        <v>5.1120000000000001</v>
      </c>
      <c r="D376" s="102"/>
    </row>
    <row r="377" spans="1:4" ht="15.75" hidden="1" customHeight="1" outlineLevel="1">
      <c r="A377" s="100" t="s">
        <v>33</v>
      </c>
      <c r="B377" s="101" t="s">
        <v>1086</v>
      </c>
      <c r="C377" s="100">
        <v>5.1130000000000004</v>
      </c>
      <c r="D377" s="102"/>
    </row>
    <row r="378" spans="1:4" ht="15.75" hidden="1" customHeight="1" outlineLevel="1">
      <c r="A378" s="100" t="s">
        <v>33</v>
      </c>
      <c r="B378" s="101" t="s">
        <v>76</v>
      </c>
      <c r="C378" s="100">
        <v>5.58</v>
      </c>
      <c r="D378" s="102"/>
    </row>
    <row r="379" spans="1:4" ht="15.75" hidden="1" customHeight="1" outlineLevel="1">
      <c r="A379" s="100" t="s">
        <v>33</v>
      </c>
      <c r="B379" s="101" t="s">
        <v>61</v>
      </c>
      <c r="C379" s="100">
        <v>5.54</v>
      </c>
      <c r="D379" s="102"/>
    </row>
    <row r="380" spans="1:4" ht="15.75" hidden="1" customHeight="1" outlineLevel="1">
      <c r="A380" s="100" t="s">
        <v>33</v>
      </c>
      <c r="B380" s="101" t="s">
        <v>77</v>
      </c>
      <c r="C380" s="100">
        <v>5.55</v>
      </c>
      <c r="D380" s="102"/>
    </row>
    <row r="381" spans="1:4" ht="15.75" hidden="1" customHeight="1" outlineLevel="1">
      <c r="A381" s="100" t="s">
        <v>33</v>
      </c>
      <c r="B381" s="101" t="s">
        <v>63</v>
      </c>
      <c r="C381" s="100">
        <v>5.63</v>
      </c>
      <c r="D381" s="102"/>
    </row>
    <row r="382" spans="1:4" ht="15.75" hidden="1" customHeight="1" outlineLevel="1">
      <c r="A382" s="100" t="s">
        <v>33</v>
      </c>
      <c r="B382" s="101" t="s">
        <v>78</v>
      </c>
      <c r="C382" s="100">
        <v>5.65</v>
      </c>
      <c r="D382" s="102"/>
    </row>
    <row r="383" spans="1:4" ht="15.75" hidden="1" customHeight="1" outlineLevel="1">
      <c r="A383" s="100" t="s">
        <v>33</v>
      </c>
      <c r="B383" s="101" t="s">
        <v>88</v>
      </c>
      <c r="C383" s="100">
        <v>5.66</v>
      </c>
      <c r="D383" s="102"/>
    </row>
    <row r="384" spans="1:4" ht="15.75" hidden="1" customHeight="1" outlineLevel="1">
      <c r="A384" s="100" t="s">
        <v>33</v>
      </c>
      <c r="B384" s="101" t="s">
        <v>17</v>
      </c>
      <c r="C384" s="100">
        <v>5.68</v>
      </c>
      <c r="D384" s="102"/>
    </row>
    <row r="385" spans="1:4" ht="15.75" hidden="1" customHeight="1" outlineLevel="1">
      <c r="A385" s="100" t="s">
        <v>33</v>
      </c>
      <c r="B385" s="101" t="s">
        <v>64</v>
      </c>
      <c r="C385" s="100">
        <v>5.47</v>
      </c>
      <c r="D385" s="102"/>
    </row>
    <row r="386" spans="1:4" ht="15.75" hidden="1" customHeight="1" outlineLevel="1">
      <c r="A386" s="100" t="s">
        <v>33</v>
      </c>
      <c r="B386" s="101" t="s">
        <v>65</v>
      </c>
      <c r="C386" s="100">
        <v>5.48</v>
      </c>
      <c r="D386" s="102"/>
    </row>
    <row r="387" spans="1:4" ht="15.75" hidden="1" customHeight="1">
      <c r="A387" s="105" t="s">
        <v>33</v>
      </c>
      <c r="B387" s="101"/>
      <c r="C387" s="100"/>
      <c r="D387" s="102"/>
    </row>
    <row r="388" spans="1:4" ht="15.75" hidden="1" customHeight="1" outlineLevel="1">
      <c r="A388" s="100" t="s">
        <v>34</v>
      </c>
      <c r="B388" s="101" t="s">
        <v>49</v>
      </c>
      <c r="C388" s="100">
        <v>5.0999999999999996</v>
      </c>
      <c r="D388" s="102"/>
    </row>
    <row r="389" spans="1:4" ht="15.75" hidden="1" customHeight="1" outlineLevel="1">
      <c r="A389" s="100" t="s">
        <v>34</v>
      </c>
      <c r="B389" s="101" t="s">
        <v>50</v>
      </c>
      <c r="C389" s="100">
        <v>5.2</v>
      </c>
      <c r="D389" s="102"/>
    </row>
    <row r="390" spans="1:4" ht="15.75" hidden="1" customHeight="1" outlineLevel="1">
      <c r="A390" s="100" t="s">
        <v>34</v>
      </c>
      <c r="B390" s="101" t="s">
        <v>66</v>
      </c>
      <c r="C390" s="100">
        <v>5.3</v>
      </c>
      <c r="D390" s="102"/>
    </row>
    <row r="391" spans="1:4" ht="15.75" hidden="1" customHeight="1" outlineLevel="1">
      <c r="A391" s="100" t="s">
        <v>34</v>
      </c>
      <c r="B391" s="101" t="s">
        <v>80</v>
      </c>
      <c r="C391" s="100">
        <v>5.6</v>
      </c>
      <c r="D391" s="102"/>
    </row>
    <row r="392" spans="1:4" ht="15.75" hidden="1" customHeight="1" outlineLevel="1">
      <c r="A392" s="100" t="s">
        <v>34</v>
      </c>
      <c r="B392" s="101" t="s">
        <v>1082</v>
      </c>
      <c r="C392" s="103">
        <v>5.0999999999999996</v>
      </c>
      <c r="D392" s="102"/>
    </row>
    <row r="393" spans="1:4" ht="15.75" hidden="1" customHeight="1" outlineLevel="1">
      <c r="A393" s="100" t="s">
        <v>34</v>
      </c>
      <c r="B393" s="101" t="s">
        <v>91</v>
      </c>
      <c r="C393" s="100">
        <v>5.14</v>
      </c>
      <c r="D393" s="102"/>
    </row>
    <row r="394" spans="1:4" ht="15.75" hidden="1" customHeight="1" outlineLevel="1">
      <c r="A394" s="100" t="s">
        <v>34</v>
      </c>
      <c r="B394" s="101" t="s">
        <v>68</v>
      </c>
      <c r="C394" s="100">
        <v>5.19</v>
      </c>
      <c r="D394" s="102"/>
    </row>
    <row r="395" spans="1:4" ht="15.75" hidden="1" customHeight="1" outlineLevel="1">
      <c r="A395" s="100" t="s">
        <v>34</v>
      </c>
      <c r="B395" s="101" t="s">
        <v>82</v>
      </c>
      <c r="C395" s="100">
        <v>5.24</v>
      </c>
      <c r="D395" s="102"/>
    </row>
    <row r="396" spans="1:4" ht="15.75" hidden="1" customHeight="1" outlineLevel="1">
      <c r="A396" s="100" t="s">
        <v>34</v>
      </c>
      <c r="B396" s="101" t="s">
        <v>54</v>
      </c>
      <c r="C396" s="100">
        <v>5.26</v>
      </c>
      <c r="D396" s="102"/>
    </row>
    <row r="397" spans="1:4" ht="15.75" hidden="1" customHeight="1" outlineLevel="1">
      <c r="A397" s="100" t="s">
        <v>34</v>
      </c>
      <c r="B397" s="101" t="s">
        <v>55</v>
      </c>
      <c r="C397" s="100">
        <v>5.27</v>
      </c>
      <c r="D397" s="102"/>
    </row>
    <row r="398" spans="1:4" ht="15.75" hidden="1" customHeight="1" outlineLevel="1">
      <c r="A398" s="100" t="s">
        <v>34</v>
      </c>
      <c r="B398" s="101" t="s">
        <v>69</v>
      </c>
      <c r="C398" s="100">
        <v>5.28</v>
      </c>
      <c r="D398" s="102"/>
    </row>
    <row r="399" spans="1:4" ht="15.75" hidden="1" customHeight="1" outlineLevel="1">
      <c r="A399" s="100" t="s">
        <v>34</v>
      </c>
      <c r="B399" s="101" t="s">
        <v>89</v>
      </c>
      <c r="C399" s="100">
        <v>5.29</v>
      </c>
      <c r="D399" s="102"/>
    </row>
    <row r="400" spans="1:4" ht="15.75" hidden="1" customHeight="1" outlineLevel="1">
      <c r="A400" s="100" t="s">
        <v>34</v>
      </c>
      <c r="B400" s="101" t="s">
        <v>83</v>
      </c>
      <c r="C400" s="100">
        <v>5.31</v>
      </c>
      <c r="D400" s="102"/>
    </row>
    <row r="401" spans="1:4" ht="15.75" hidden="1" customHeight="1" outlineLevel="1">
      <c r="A401" s="100" t="s">
        <v>34</v>
      </c>
      <c r="B401" s="101" t="s">
        <v>56</v>
      </c>
      <c r="C401" s="100">
        <v>5.36</v>
      </c>
      <c r="D401" s="102"/>
    </row>
    <row r="402" spans="1:4" ht="15.75" hidden="1" customHeight="1" outlineLevel="1">
      <c r="A402" s="100" t="s">
        <v>34</v>
      </c>
      <c r="B402" s="101" t="s">
        <v>97</v>
      </c>
      <c r="C402" s="100">
        <v>5.37</v>
      </c>
      <c r="D402" s="102"/>
    </row>
    <row r="403" spans="1:4" ht="15.75" hidden="1" customHeight="1" outlineLevel="1">
      <c r="A403" s="100" t="s">
        <v>34</v>
      </c>
      <c r="B403" s="101" t="s">
        <v>71</v>
      </c>
      <c r="C403" s="100">
        <v>5.49</v>
      </c>
      <c r="D403" s="102"/>
    </row>
    <row r="404" spans="1:4" ht="15.75" hidden="1" customHeight="1" outlineLevel="1">
      <c r="A404" s="100" t="s">
        <v>34</v>
      </c>
      <c r="B404" s="101" t="s">
        <v>58</v>
      </c>
      <c r="C404" s="100">
        <v>5.51</v>
      </c>
      <c r="D404" s="102"/>
    </row>
    <row r="405" spans="1:4" ht="15.75" hidden="1" customHeight="1" outlineLevel="1">
      <c r="A405" s="100" t="s">
        <v>34</v>
      </c>
      <c r="B405" s="101" t="s">
        <v>1083</v>
      </c>
      <c r="C405" s="100">
        <v>5.52</v>
      </c>
      <c r="D405" s="102"/>
    </row>
    <row r="406" spans="1:4" ht="15.75" hidden="1" customHeight="1" outlineLevel="1">
      <c r="A406" s="100" t="s">
        <v>34</v>
      </c>
      <c r="B406" s="101" t="s">
        <v>59</v>
      </c>
      <c r="C406" s="100">
        <v>5.53</v>
      </c>
      <c r="D406" s="102"/>
    </row>
    <row r="407" spans="1:4" ht="15.75" hidden="1" customHeight="1" outlineLevel="1">
      <c r="A407" s="100" t="s">
        <v>34</v>
      </c>
      <c r="B407" s="101" t="s">
        <v>72</v>
      </c>
      <c r="C407" s="100">
        <v>5.69</v>
      </c>
      <c r="D407" s="102"/>
    </row>
    <row r="408" spans="1:4" ht="15.75" hidden="1" customHeight="1" outlineLevel="1">
      <c r="A408" s="100" t="s">
        <v>34</v>
      </c>
      <c r="B408" s="101" t="s">
        <v>73</v>
      </c>
      <c r="C408" s="100">
        <v>5.75</v>
      </c>
      <c r="D408" s="102"/>
    </row>
    <row r="409" spans="1:4" ht="15.75" hidden="1" customHeight="1" outlineLevel="1">
      <c r="A409" s="100" t="s">
        <v>34</v>
      </c>
      <c r="B409" s="101" t="s">
        <v>74</v>
      </c>
      <c r="C409" s="100">
        <v>5.74</v>
      </c>
      <c r="D409" s="102"/>
    </row>
    <row r="410" spans="1:4" ht="15.75" hidden="1" customHeight="1" outlineLevel="1">
      <c r="A410" s="100" t="s">
        <v>34</v>
      </c>
      <c r="B410" s="101" t="s">
        <v>62</v>
      </c>
      <c r="C410" s="103">
        <v>5.7</v>
      </c>
      <c r="D410" s="102"/>
    </row>
    <row r="411" spans="1:4" ht="15.75" hidden="1" customHeight="1" outlineLevel="1">
      <c r="A411" s="100" t="s">
        <v>34</v>
      </c>
      <c r="B411" s="101" t="s">
        <v>86</v>
      </c>
      <c r="C411" s="100">
        <v>5.76</v>
      </c>
      <c r="D411" s="102"/>
    </row>
    <row r="412" spans="1:4" ht="15.75" hidden="1" customHeight="1" outlineLevel="1">
      <c r="A412" s="100" t="s">
        <v>34</v>
      </c>
      <c r="B412" s="101" t="s">
        <v>87</v>
      </c>
      <c r="C412" s="100">
        <v>5.89</v>
      </c>
      <c r="D412" s="104" t="s">
        <v>1081</v>
      </c>
    </row>
    <row r="413" spans="1:4" ht="15.75" hidden="1" customHeight="1" outlineLevel="1">
      <c r="A413" s="100" t="s">
        <v>34</v>
      </c>
      <c r="B413" s="101" t="s">
        <v>103</v>
      </c>
      <c r="C413" s="100">
        <v>5.109</v>
      </c>
      <c r="D413" s="102"/>
    </row>
    <row r="414" spans="1:4" ht="15.75" hidden="1" customHeight="1" outlineLevel="1">
      <c r="A414" s="100" t="s">
        <v>34</v>
      </c>
      <c r="B414" s="101" t="s">
        <v>104</v>
      </c>
      <c r="C414" s="100">
        <v>5.1109999999999998</v>
      </c>
      <c r="D414" s="102"/>
    </row>
    <row r="415" spans="1:4" ht="15.75" hidden="1" customHeight="1" outlineLevel="1">
      <c r="A415" s="100" t="s">
        <v>34</v>
      </c>
      <c r="B415" s="101" t="s">
        <v>106</v>
      </c>
      <c r="C415" s="100">
        <v>5.1120000000000001</v>
      </c>
      <c r="D415" s="102"/>
    </row>
    <row r="416" spans="1:4" ht="15.75" hidden="1" customHeight="1" outlineLevel="1">
      <c r="A416" s="100" t="s">
        <v>34</v>
      </c>
      <c r="B416" s="101" t="s">
        <v>1086</v>
      </c>
      <c r="C416" s="100">
        <v>5.1130000000000004</v>
      </c>
      <c r="D416" s="102"/>
    </row>
    <row r="417" spans="1:4" ht="15.75" hidden="1" customHeight="1" outlineLevel="1">
      <c r="A417" s="100" t="s">
        <v>34</v>
      </c>
      <c r="B417" s="101" t="s">
        <v>76</v>
      </c>
      <c r="C417" s="100">
        <v>5.58</v>
      </c>
      <c r="D417" s="102"/>
    </row>
    <row r="418" spans="1:4" ht="15.75" hidden="1" customHeight="1" outlineLevel="1">
      <c r="A418" s="100" t="s">
        <v>34</v>
      </c>
      <c r="B418" s="101" t="s">
        <v>61</v>
      </c>
      <c r="C418" s="100">
        <v>5.54</v>
      </c>
      <c r="D418" s="102"/>
    </row>
    <row r="419" spans="1:4" ht="15.75" hidden="1" customHeight="1" outlineLevel="1">
      <c r="A419" s="100" t="s">
        <v>34</v>
      </c>
      <c r="B419" s="101" t="s">
        <v>77</v>
      </c>
      <c r="C419" s="100">
        <v>5.55</v>
      </c>
      <c r="D419" s="102"/>
    </row>
    <row r="420" spans="1:4" ht="15.75" hidden="1" customHeight="1" outlineLevel="1">
      <c r="A420" s="100" t="s">
        <v>34</v>
      </c>
      <c r="B420" s="101" t="s">
        <v>63</v>
      </c>
      <c r="C420" s="100">
        <v>5.63</v>
      </c>
      <c r="D420" s="102"/>
    </row>
    <row r="421" spans="1:4" ht="15.75" hidden="1" customHeight="1" outlineLevel="1">
      <c r="A421" s="100" t="s">
        <v>34</v>
      </c>
      <c r="B421" s="101" t="s">
        <v>78</v>
      </c>
      <c r="C421" s="100">
        <v>5.65</v>
      </c>
      <c r="D421" s="102"/>
    </row>
    <row r="422" spans="1:4" ht="15.75" hidden="1" customHeight="1" outlineLevel="1">
      <c r="A422" s="100" t="s">
        <v>34</v>
      </c>
      <c r="B422" s="101" t="s">
        <v>88</v>
      </c>
      <c r="C422" s="100">
        <v>5.66</v>
      </c>
      <c r="D422" s="102"/>
    </row>
    <row r="423" spans="1:4" ht="15.75" hidden="1" customHeight="1" outlineLevel="1">
      <c r="A423" s="100" t="s">
        <v>34</v>
      </c>
      <c r="B423" s="101" t="s">
        <v>17</v>
      </c>
      <c r="C423" s="100">
        <v>5.68</v>
      </c>
      <c r="D423" s="102"/>
    </row>
    <row r="424" spans="1:4" ht="15.75" hidden="1" customHeight="1" outlineLevel="1">
      <c r="A424" s="100" t="s">
        <v>34</v>
      </c>
      <c r="B424" s="101" t="s">
        <v>64</v>
      </c>
      <c r="C424" s="100">
        <v>5.47</v>
      </c>
      <c r="D424" s="102"/>
    </row>
    <row r="425" spans="1:4" ht="15.75" hidden="1" customHeight="1" outlineLevel="1">
      <c r="A425" s="100" t="s">
        <v>34</v>
      </c>
      <c r="B425" s="101" t="s">
        <v>65</v>
      </c>
      <c r="C425" s="100">
        <v>5.48</v>
      </c>
      <c r="D425" s="102"/>
    </row>
    <row r="426" spans="1:4" ht="15.75" hidden="1" customHeight="1">
      <c r="A426" s="105" t="s">
        <v>34</v>
      </c>
      <c r="B426" s="101"/>
      <c r="C426" s="100"/>
      <c r="D426" s="102"/>
    </row>
    <row r="427" spans="1:4" ht="15.75" hidden="1" customHeight="1" outlineLevel="1">
      <c r="A427" s="100" t="s">
        <v>1087</v>
      </c>
      <c r="B427" s="101" t="s">
        <v>49</v>
      </c>
      <c r="C427" s="100">
        <v>5.0999999999999996</v>
      </c>
      <c r="D427" s="102"/>
    </row>
    <row r="428" spans="1:4" ht="15.75" hidden="1" customHeight="1" outlineLevel="1">
      <c r="A428" s="100" t="s">
        <v>1087</v>
      </c>
      <c r="B428" s="101" t="s">
        <v>50</v>
      </c>
      <c r="C428" s="100">
        <v>5.2</v>
      </c>
      <c r="D428" s="102"/>
    </row>
    <row r="429" spans="1:4" ht="15.75" hidden="1" customHeight="1" outlineLevel="1">
      <c r="A429" s="100" t="s">
        <v>1087</v>
      </c>
      <c r="B429" s="101" t="s">
        <v>66</v>
      </c>
      <c r="C429" s="100">
        <v>5.3</v>
      </c>
      <c r="D429" s="102"/>
    </row>
    <row r="430" spans="1:4" ht="15.75" hidden="1" customHeight="1" outlineLevel="1">
      <c r="A430" s="100" t="s">
        <v>1087</v>
      </c>
      <c r="B430" s="101" t="s">
        <v>80</v>
      </c>
      <c r="C430" s="100">
        <v>5.6</v>
      </c>
      <c r="D430" s="102"/>
    </row>
    <row r="431" spans="1:4" ht="15.75" hidden="1" customHeight="1" outlineLevel="1">
      <c r="A431" s="100" t="s">
        <v>1087</v>
      </c>
      <c r="B431" s="101" t="s">
        <v>1082</v>
      </c>
      <c r="C431" s="103">
        <v>5.0999999999999996</v>
      </c>
      <c r="D431" s="102"/>
    </row>
    <row r="432" spans="1:4" ht="15.75" hidden="1" customHeight="1" outlineLevel="1">
      <c r="A432" s="100" t="s">
        <v>1087</v>
      </c>
      <c r="B432" s="101" t="s">
        <v>91</v>
      </c>
      <c r="C432" s="100">
        <v>5.14</v>
      </c>
      <c r="D432" s="102"/>
    </row>
    <row r="433" spans="1:4" ht="15.75" hidden="1" customHeight="1" outlineLevel="1">
      <c r="A433" s="100" t="s">
        <v>1087</v>
      </c>
      <c r="B433" s="101" t="s">
        <v>68</v>
      </c>
      <c r="C433" s="100">
        <v>5.19</v>
      </c>
      <c r="D433" s="102"/>
    </row>
    <row r="434" spans="1:4" ht="15.75" hidden="1" customHeight="1" outlineLevel="1">
      <c r="A434" s="100" t="s">
        <v>1087</v>
      </c>
      <c r="B434" s="101" t="s">
        <v>82</v>
      </c>
      <c r="C434" s="100">
        <v>5.24</v>
      </c>
      <c r="D434" s="102"/>
    </row>
    <row r="435" spans="1:4" ht="15.75" hidden="1" customHeight="1" outlineLevel="1">
      <c r="A435" s="100" t="s">
        <v>1087</v>
      </c>
      <c r="B435" s="101" t="s">
        <v>54</v>
      </c>
      <c r="C435" s="100">
        <v>5.26</v>
      </c>
      <c r="D435" s="102"/>
    </row>
    <row r="436" spans="1:4" ht="15.75" hidden="1" customHeight="1" outlineLevel="1">
      <c r="A436" s="100" t="s">
        <v>1087</v>
      </c>
      <c r="B436" s="101" t="s">
        <v>55</v>
      </c>
      <c r="C436" s="100">
        <v>5.27</v>
      </c>
      <c r="D436" s="102"/>
    </row>
    <row r="437" spans="1:4" ht="15.75" hidden="1" customHeight="1" outlineLevel="1">
      <c r="A437" s="100" t="s">
        <v>1087</v>
      </c>
      <c r="B437" s="101" t="s">
        <v>69</v>
      </c>
      <c r="C437" s="100">
        <v>5.28</v>
      </c>
      <c r="D437" s="102"/>
    </row>
    <row r="438" spans="1:4" ht="15.75" hidden="1" customHeight="1" outlineLevel="1">
      <c r="A438" s="100" t="s">
        <v>1087</v>
      </c>
      <c r="B438" s="101" t="s">
        <v>89</v>
      </c>
      <c r="C438" s="100">
        <v>5.29</v>
      </c>
      <c r="D438" s="102"/>
    </row>
    <row r="439" spans="1:4" ht="15.75" hidden="1" customHeight="1" outlineLevel="1">
      <c r="A439" s="100" t="s">
        <v>1087</v>
      </c>
      <c r="B439" s="101" t="s">
        <v>83</v>
      </c>
      <c r="C439" s="100">
        <v>5.31</v>
      </c>
      <c r="D439" s="102"/>
    </row>
    <row r="440" spans="1:4" ht="15.75" hidden="1" customHeight="1" outlineLevel="1">
      <c r="A440" s="100" t="s">
        <v>1087</v>
      </c>
      <c r="B440" s="101" t="s">
        <v>56</v>
      </c>
      <c r="C440" s="100">
        <v>5.36</v>
      </c>
      <c r="D440" s="102"/>
    </row>
    <row r="441" spans="1:4" ht="15.75" hidden="1" customHeight="1" outlineLevel="1">
      <c r="A441" s="100" t="s">
        <v>1087</v>
      </c>
      <c r="B441" s="101" t="s">
        <v>97</v>
      </c>
      <c r="C441" s="100">
        <v>5.37</v>
      </c>
      <c r="D441" s="102"/>
    </row>
    <row r="442" spans="1:4" ht="15.75" hidden="1" customHeight="1" outlineLevel="1">
      <c r="A442" s="100" t="s">
        <v>1087</v>
      </c>
      <c r="B442" s="101" t="s">
        <v>59</v>
      </c>
      <c r="C442" s="100">
        <v>5.53</v>
      </c>
      <c r="D442" s="102"/>
    </row>
    <row r="443" spans="1:4" ht="15.75" hidden="1" customHeight="1" outlineLevel="1">
      <c r="A443" s="100" t="s">
        <v>1087</v>
      </c>
      <c r="B443" s="101" t="s">
        <v>103</v>
      </c>
      <c r="C443" s="100">
        <v>5.109</v>
      </c>
      <c r="D443" s="102"/>
    </row>
    <row r="444" spans="1:4" ht="15.75" hidden="1" customHeight="1" outlineLevel="1">
      <c r="A444" s="100" t="s">
        <v>1087</v>
      </c>
      <c r="B444" s="101" t="s">
        <v>104</v>
      </c>
      <c r="C444" s="100">
        <v>5.1109999999999998</v>
      </c>
      <c r="D444" s="102"/>
    </row>
    <row r="445" spans="1:4" ht="15.75" hidden="1" customHeight="1" outlineLevel="1">
      <c r="A445" s="100" t="s">
        <v>1087</v>
      </c>
      <c r="B445" s="101" t="s">
        <v>106</v>
      </c>
      <c r="C445" s="100">
        <v>5.1120000000000001</v>
      </c>
      <c r="D445" s="102"/>
    </row>
    <row r="446" spans="1:4" ht="15.75" hidden="1" customHeight="1" outlineLevel="1">
      <c r="A446" s="100" t="s">
        <v>1087</v>
      </c>
      <c r="B446" s="101" t="s">
        <v>1086</v>
      </c>
      <c r="C446" s="100">
        <v>5.1130000000000004</v>
      </c>
      <c r="D446" s="102"/>
    </row>
    <row r="447" spans="1:4" ht="15.75" hidden="1" customHeight="1" outlineLevel="1">
      <c r="A447" s="100" t="s">
        <v>1087</v>
      </c>
      <c r="B447" s="101" t="s">
        <v>76</v>
      </c>
      <c r="C447" s="100">
        <v>5.58</v>
      </c>
      <c r="D447" s="102"/>
    </row>
    <row r="448" spans="1:4" ht="15.75" hidden="1" customHeight="1" outlineLevel="1">
      <c r="A448" s="100" t="s">
        <v>1087</v>
      </c>
      <c r="B448" s="101" t="s">
        <v>61</v>
      </c>
      <c r="C448" s="100">
        <v>5.54</v>
      </c>
      <c r="D448" s="102"/>
    </row>
    <row r="449" spans="1:4" ht="15.75" hidden="1" customHeight="1" outlineLevel="1">
      <c r="A449" s="100" t="s">
        <v>1087</v>
      </c>
      <c r="B449" s="101" t="s">
        <v>77</v>
      </c>
      <c r="C449" s="100">
        <v>5.55</v>
      </c>
      <c r="D449" s="102"/>
    </row>
    <row r="450" spans="1:4" ht="15.75" hidden="1" customHeight="1" outlineLevel="1">
      <c r="A450" s="100" t="s">
        <v>1087</v>
      </c>
      <c r="B450" s="101" t="s">
        <v>63</v>
      </c>
      <c r="C450" s="100">
        <v>5.63</v>
      </c>
      <c r="D450" s="102"/>
    </row>
    <row r="451" spans="1:4" ht="15.75" hidden="1" customHeight="1" outlineLevel="1">
      <c r="A451" s="100" t="s">
        <v>1087</v>
      </c>
      <c r="B451" s="101" t="s">
        <v>64</v>
      </c>
      <c r="C451" s="100">
        <v>5.47</v>
      </c>
      <c r="D451" s="102"/>
    </row>
    <row r="452" spans="1:4" ht="15.75" hidden="1" customHeight="1" outlineLevel="1">
      <c r="A452" s="100" t="s">
        <v>1087</v>
      </c>
      <c r="B452" s="101" t="s">
        <v>65</v>
      </c>
      <c r="C452" s="100">
        <v>5.48</v>
      </c>
      <c r="D452" s="102"/>
    </row>
    <row r="453" spans="1:4" ht="15.75" hidden="1" customHeight="1">
      <c r="A453" s="105" t="s">
        <v>1087</v>
      </c>
      <c r="B453" s="101"/>
      <c r="C453" s="100"/>
      <c r="D453" s="102"/>
    </row>
    <row r="454" spans="1:4" ht="15.75" hidden="1" customHeight="1" outlineLevel="1">
      <c r="A454" s="100" t="s">
        <v>36</v>
      </c>
      <c r="B454" s="101" t="s">
        <v>49</v>
      </c>
      <c r="C454" s="100">
        <v>5.0999999999999996</v>
      </c>
      <c r="D454" s="102"/>
    </row>
    <row r="455" spans="1:4" ht="15.75" hidden="1" customHeight="1" outlineLevel="1">
      <c r="A455" s="100" t="s">
        <v>36</v>
      </c>
      <c r="B455" s="101" t="s">
        <v>50</v>
      </c>
      <c r="C455" s="100">
        <v>5.2</v>
      </c>
      <c r="D455" s="102"/>
    </row>
    <row r="456" spans="1:4" ht="15.75" hidden="1" customHeight="1" outlineLevel="1">
      <c r="A456" s="100" t="s">
        <v>36</v>
      </c>
      <c r="B456" s="101" t="s">
        <v>108</v>
      </c>
      <c r="C456" s="100">
        <v>5.5</v>
      </c>
      <c r="D456" s="102"/>
    </row>
    <row r="457" spans="1:4" ht="15.75" hidden="1" customHeight="1" outlineLevel="1">
      <c r="A457" s="100" t="s">
        <v>36</v>
      </c>
      <c r="B457" s="101" t="s">
        <v>109</v>
      </c>
      <c r="C457" s="100">
        <v>5.8</v>
      </c>
      <c r="D457" s="104" t="s">
        <v>1081</v>
      </c>
    </row>
    <row r="458" spans="1:4" ht="15.75" hidden="1" customHeight="1" outlineLevel="1">
      <c r="A458" s="100" t="s">
        <v>36</v>
      </c>
      <c r="B458" s="101" t="s">
        <v>110</v>
      </c>
      <c r="C458" s="100">
        <v>5.12</v>
      </c>
      <c r="D458" s="104" t="s">
        <v>1081</v>
      </c>
    </row>
    <row r="459" spans="1:4" ht="15.75" hidden="1" customHeight="1" outlineLevel="1">
      <c r="A459" s="100" t="s">
        <v>36</v>
      </c>
      <c r="B459" s="101" t="s">
        <v>111</v>
      </c>
      <c r="C459" s="100">
        <v>5.15</v>
      </c>
      <c r="D459" s="102"/>
    </row>
    <row r="460" spans="1:4" ht="15.75" hidden="1" customHeight="1" outlineLevel="1">
      <c r="A460" s="100" t="s">
        <v>36</v>
      </c>
      <c r="B460" s="101" t="s">
        <v>112</v>
      </c>
      <c r="C460" s="103">
        <v>5.2</v>
      </c>
      <c r="D460" s="104"/>
    </row>
    <row r="461" spans="1:4" ht="15.75" hidden="1" customHeight="1" outlineLevel="1">
      <c r="A461" s="100" t="s">
        <v>36</v>
      </c>
      <c r="B461" s="101" t="s">
        <v>113</v>
      </c>
      <c r="C461" s="100">
        <v>5.25</v>
      </c>
      <c r="D461" s="102"/>
    </row>
    <row r="462" spans="1:4" ht="15.75" hidden="1" customHeight="1" outlineLevel="1">
      <c r="A462" s="100" t="s">
        <v>36</v>
      </c>
      <c r="B462" s="101" t="s">
        <v>54</v>
      </c>
      <c r="C462" s="100">
        <v>5.26</v>
      </c>
      <c r="D462" s="102"/>
    </row>
    <row r="463" spans="1:4" ht="15.75" hidden="1" customHeight="1" outlineLevel="1">
      <c r="A463" s="100" t="s">
        <v>36</v>
      </c>
      <c r="B463" s="101" t="s">
        <v>114</v>
      </c>
      <c r="C463" s="100">
        <v>5.1139999999999999</v>
      </c>
      <c r="D463" s="104" t="s">
        <v>1081</v>
      </c>
    </row>
    <row r="464" spans="1:4" ht="15.75" hidden="1" customHeight="1" outlineLevel="1">
      <c r="A464" s="100" t="s">
        <v>36</v>
      </c>
      <c r="B464" s="101" t="s">
        <v>55</v>
      </c>
      <c r="C464" s="100">
        <v>5.27</v>
      </c>
      <c r="D464" s="102"/>
    </row>
    <row r="465" spans="1:4" ht="15.75" hidden="1" customHeight="1" outlineLevel="1">
      <c r="A465" s="100" t="s">
        <v>36</v>
      </c>
      <c r="B465" s="101" t="s">
        <v>115</v>
      </c>
      <c r="C465" s="100">
        <v>5.1150000000000002</v>
      </c>
      <c r="D465" s="104" t="s">
        <v>1081</v>
      </c>
    </row>
    <row r="466" spans="1:4" ht="15.75" hidden="1" customHeight="1" outlineLevel="1">
      <c r="A466" s="100" t="s">
        <v>36</v>
      </c>
      <c r="B466" s="101" t="s">
        <v>116</v>
      </c>
      <c r="C466" s="100">
        <v>5.1159999999999997</v>
      </c>
      <c r="D466" s="104" t="s">
        <v>1081</v>
      </c>
    </row>
    <row r="467" spans="1:4" ht="15.75" hidden="1" customHeight="1" outlineLevel="1">
      <c r="A467" s="100" t="s">
        <v>36</v>
      </c>
      <c r="B467" s="101" t="s">
        <v>69</v>
      </c>
      <c r="C467" s="100">
        <v>5.28</v>
      </c>
      <c r="D467" s="102"/>
    </row>
    <row r="468" spans="1:4" ht="15.75" hidden="1" customHeight="1" outlineLevel="1">
      <c r="A468" s="100" t="s">
        <v>36</v>
      </c>
      <c r="B468" s="101" t="s">
        <v>56</v>
      </c>
      <c r="C468" s="100">
        <v>5.36</v>
      </c>
      <c r="D468" s="102"/>
    </row>
    <row r="469" spans="1:4" ht="15.75" hidden="1" customHeight="1" outlineLevel="1">
      <c r="A469" s="100" t="s">
        <v>36</v>
      </c>
      <c r="B469" s="101" t="s">
        <v>97</v>
      </c>
      <c r="C469" s="100">
        <v>5.37</v>
      </c>
      <c r="D469" s="102"/>
    </row>
    <row r="470" spans="1:4" ht="15.75" hidden="1" customHeight="1" outlineLevel="1">
      <c r="A470" s="100" t="s">
        <v>36</v>
      </c>
      <c r="B470" s="101" t="s">
        <v>59</v>
      </c>
      <c r="C470" s="100">
        <v>5.53</v>
      </c>
      <c r="D470" s="102"/>
    </row>
    <row r="471" spans="1:4" ht="15.75" hidden="1" customHeight="1" outlineLevel="1">
      <c r="A471" s="100" t="s">
        <v>36</v>
      </c>
      <c r="B471" s="101" t="s">
        <v>103</v>
      </c>
      <c r="C471" s="100">
        <v>5.109</v>
      </c>
      <c r="D471" s="102"/>
    </row>
    <row r="472" spans="1:4" ht="15.75" hidden="1" customHeight="1" outlineLevel="1">
      <c r="A472" s="100" t="s">
        <v>36</v>
      </c>
      <c r="B472" s="101" t="s">
        <v>104</v>
      </c>
      <c r="C472" s="100">
        <v>5.1109999999999998</v>
      </c>
      <c r="D472" s="102"/>
    </row>
    <row r="473" spans="1:4" ht="15.75" hidden="1" customHeight="1" outlineLevel="1">
      <c r="A473" s="100" t="s">
        <v>36</v>
      </c>
      <c r="B473" s="101" t="s">
        <v>106</v>
      </c>
      <c r="C473" s="100">
        <v>5.1120000000000001</v>
      </c>
      <c r="D473" s="102"/>
    </row>
    <row r="474" spans="1:4" ht="15.75" hidden="1" customHeight="1" outlineLevel="1">
      <c r="A474" s="100" t="s">
        <v>36</v>
      </c>
      <c r="B474" s="101" t="s">
        <v>61</v>
      </c>
      <c r="C474" s="100">
        <v>5.54</v>
      </c>
      <c r="D474" s="102"/>
    </row>
    <row r="475" spans="1:4" ht="15.75" hidden="1" customHeight="1" outlineLevel="1">
      <c r="A475" s="100" t="s">
        <v>36</v>
      </c>
      <c r="B475" s="101" t="s">
        <v>1088</v>
      </c>
      <c r="C475" s="100">
        <v>5.61</v>
      </c>
      <c r="D475" s="102"/>
    </row>
    <row r="476" spans="1:4" ht="15.75" hidden="1" customHeight="1" outlineLevel="1">
      <c r="A476" s="100" t="s">
        <v>36</v>
      </c>
      <c r="B476" s="101" t="s">
        <v>63</v>
      </c>
      <c r="C476" s="100">
        <v>5.63</v>
      </c>
      <c r="D476" s="102"/>
    </row>
    <row r="477" spans="1:4" ht="15.75" hidden="1" customHeight="1" outlineLevel="1">
      <c r="A477" s="100" t="s">
        <v>36</v>
      </c>
      <c r="B477" s="101" t="s">
        <v>118</v>
      </c>
      <c r="C477" s="100">
        <v>5.46</v>
      </c>
      <c r="D477" s="102"/>
    </row>
    <row r="478" spans="1:4" ht="15.75" hidden="1" customHeight="1" outlineLevel="1">
      <c r="A478" s="100" t="s">
        <v>36</v>
      </c>
      <c r="B478" s="101" t="s">
        <v>64</v>
      </c>
      <c r="C478" s="100">
        <v>5.47</v>
      </c>
      <c r="D478" s="102"/>
    </row>
    <row r="479" spans="1:4" ht="15.75" hidden="1" customHeight="1" outlineLevel="1">
      <c r="A479" s="100" t="s">
        <v>36</v>
      </c>
      <c r="B479" s="101" t="s">
        <v>65</v>
      </c>
      <c r="C479" s="100">
        <v>5.48</v>
      </c>
      <c r="D479" s="102"/>
    </row>
    <row r="480" spans="1:4" ht="15.75" hidden="1" customHeight="1">
      <c r="A480" s="105" t="s">
        <v>36</v>
      </c>
      <c r="B480" s="101"/>
      <c r="C480" s="100"/>
      <c r="D480" s="102"/>
    </row>
    <row r="481" spans="1:4" ht="15.75" hidden="1" customHeight="1" outlineLevel="1">
      <c r="A481" s="100" t="s">
        <v>37</v>
      </c>
      <c r="B481" s="101" t="s">
        <v>49</v>
      </c>
      <c r="C481" s="100">
        <v>5.0999999999999996</v>
      </c>
      <c r="D481" s="102"/>
    </row>
    <row r="482" spans="1:4" ht="15.75" hidden="1" customHeight="1" outlineLevel="1">
      <c r="A482" s="100" t="s">
        <v>37</v>
      </c>
      <c r="B482" s="101" t="s">
        <v>50</v>
      </c>
      <c r="C482" s="100">
        <v>5.2</v>
      </c>
      <c r="D482" s="102"/>
    </row>
    <row r="483" spans="1:4" ht="15.75" hidden="1" customHeight="1" outlineLevel="1">
      <c r="A483" s="100" t="s">
        <v>37</v>
      </c>
      <c r="B483" s="101" t="s">
        <v>66</v>
      </c>
      <c r="C483" s="100">
        <v>5.3</v>
      </c>
      <c r="D483" s="102"/>
    </row>
    <row r="484" spans="1:4" ht="15.75" hidden="1" customHeight="1" outlineLevel="1">
      <c r="A484" s="100" t="s">
        <v>37</v>
      </c>
      <c r="B484" s="101" t="s">
        <v>80</v>
      </c>
      <c r="C484" s="100">
        <v>5.6</v>
      </c>
      <c r="D484" s="102"/>
    </row>
    <row r="485" spans="1:4" ht="15.75" hidden="1" customHeight="1" outlineLevel="1">
      <c r="A485" s="100" t="s">
        <v>37</v>
      </c>
      <c r="B485" s="101" t="s">
        <v>1082</v>
      </c>
      <c r="C485" s="103">
        <v>5.0999999999999996</v>
      </c>
      <c r="D485" s="102"/>
    </row>
    <row r="486" spans="1:4" ht="15.75" hidden="1" customHeight="1" outlineLevel="1">
      <c r="A486" s="100" t="s">
        <v>37</v>
      </c>
      <c r="B486" s="101" t="s">
        <v>91</v>
      </c>
      <c r="C486" s="100">
        <v>5.14</v>
      </c>
      <c r="D486" s="102"/>
    </row>
    <row r="487" spans="1:4" ht="15.75" hidden="1" customHeight="1" outlineLevel="1">
      <c r="A487" s="100" t="s">
        <v>37</v>
      </c>
      <c r="B487" s="101" t="s">
        <v>68</v>
      </c>
      <c r="C487" s="100">
        <v>5.19</v>
      </c>
      <c r="D487" s="102"/>
    </row>
    <row r="488" spans="1:4" ht="15.75" hidden="1" customHeight="1" outlineLevel="1">
      <c r="A488" s="100" t="s">
        <v>37</v>
      </c>
      <c r="B488" s="101" t="s">
        <v>82</v>
      </c>
      <c r="C488" s="100">
        <v>5.24</v>
      </c>
      <c r="D488" s="102"/>
    </row>
    <row r="489" spans="1:4" ht="15.75" hidden="1" customHeight="1" outlineLevel="1">
      <c r="A489" s="100" t="s">
        <v>37</v>
      </c>
      <c r="B489" s="101" t="s">
        <v>55</v>
      </c>
      <c r="C489" s="100">
        <v>5.27</v>
      </c>
      <c r="D489" s="102"/>
    </row>
    <row r="490" spans="1:4" ht="15.75" hidden="1" customHeight="1" outlineLevel="1">
      <c r="A490" s="100" t="s">
        <v>37</v>
      </c>
      <c r="B490" s="101" t="s">
        <v>69</v>
      </c>
      <c r="C490" s="100">
        <v>5.28</v>
      </c>
      <c r="D490" s="102"/>
    </row>
    <row r="491" spans="1:4" ht="15.75" hidden="1" customHeight="1" outlineLevel="1">
      <c r="A491" s="100" t="s">
        <v>37</v>
      </c>
      <c r="B491" s="101" t="s">
        <v>89</v>
      </c>
      <c r="C491" s="100">
        <v>5.29</v>
      </c>
      <c r="D491" s="102"/>
    </row>
    <row r="492" spans="1:4" ht="15.75" hidden="1" customHeight="1" outlineLevel="1">
      <c r="A492" s="100" t="s">
        <v>37</v>
      </c>
      <c r="B492" s="101" t="s">
        <v>92</v>
      </c>
      <c r="C492" s="100">
        <v>5.34</v>
      </c>
      <c r="D492" s="102"/>
    </row>
    <row r="493" spans="1:4" ht="15.75" hidden="1" customHeight="1" outlineLevel="1">
      <c r="A493" s="100" t="s">
        <v>37</v>
      </c>
      <c r="B493" s="101" t="s">
        <v>83</v>
      </c>
      <c r="C493" s="100">
        <v>5.31</v>
      </c>
      <c r="D493" s="102"/>
    </row>
    <row r="494" spans="1:4" ht="15.75" hidden="1" customHeight="1" outlineLevel="1">
      <c r="A494" s="100" t="s">
        <v>37</v>
      </c>
      <c r="B494" s="101" t="s">
        <v>93</v>
      </c>
      <c r="C494" s="100">
        <v>5.101</v>
      </c>
      <c r="D494" s="102"/>
    </row>
    <row r="495" spans="1:4" ht="15.75" hidden="1" customHeight="1" outlineLevel="1">
      <c r="A495" s="100" t="s">
        <v>37</v>
      </c>
      <c r="B495" s="101" t="s">
        <v>56</v>
      </c>
      <c r="C495" s="100">
        <v>5.36</v>
      </c>
      <c r="D495" s="102"/>
    </row>
    <row r="496" spans="1:4" ht="15.75" hidden="1" customHeight="1" outlineLevel="1">
      <c r="A496" s="100" t="s">
        <v>37</v>
      </c>
      <c r="B496" s="101" t="s">
        <v>97</v>
      </c>
      <c r="C496" s="100">
        <v>5.37</v>
      </c>
      <c r="D496" s="102"/>
    </row>
    <row r="497" spans="1:4" ht="15.75" hidden="1" customHeight="1" outlineLevel="1">
      <c r="A497" s="100" t="s">
        <v>37</v>
      </c>
      <c r="B497" s="101" t="s">
        <v>59</v>
      </c>
      <c r="C497" s="100">
        <v>5.53</v>
      </c>
      <c r="D497" s="102"/>
    </row>
    <row r="498" spans="1:4" ht="15.75" hidden="1" customHeight="1" outlineLevel="1">
      <c r="A498" s="100" t="s">
        <v>37</v>
      </c>
      <c r="B498" s="101" t="s">
        <v>103</v>
      </c>
      <c r="C498" s="100">
        <v>5.109</v>
      </c>
      <c r="D498" s="102"/>
    </row>
    <row r="499" spans="1:4" ht="15.75" hidden="1" customHeight="1" outlineLevel="1">
      <c r="A499" s="100" t="s">
        <v>37</v>
      </c>
      <c r="B499" s="101" t="s">
        <v>104</v>
      </c>
      <c r="C499" s="100">
        <v>5.1109999999999998</v>
      </c>
      <c r="D499" s="102"/>
    </row>
    <row r="500" spans="1:4" ht="15.75" hidden="1" customHeight="1" outlineLevel="1">
      <c r="A500" s="100" t="s">
        <v>37</v>
      </c>
      <c r="B500" s="101" t="s">
        <v>106</v>
      </c>
      <c r="C500" s="100">
        <v>5.1120000000000001</v>
      </c>
      <c r="D500" s="102"/>
    </row>
    <row r="501" spans="1:4" ht="15.75" hidden="1" customHeight="1" outlineLevel="1">
      <c r="A501" s="100" t="s">
        <v>37</v>
      </c>
      <c r="B501" s="101" t="s">
        <v>94</v>
      </c>
      <c r="C501" s="100">
        <v>5.1020000000000003</v>
      </c>
      <c r="D501" s="102"/>
    </row>
    <row r="502" spans="1:4" ht="15.75" hidden="1" customHeight="1" outlineLevel="1">
      <c r="A502" s="100" t="s">
        <v>37</v>
      </c>
      <c r="B502" s="101" t="s">
        <v>95</v>
      </c>
      <c r="C502" s="106">
        <v>5.0999999999999996</v>
      </c>
      <c r="D502" s="102"/>
    </row>
    <row r="503" spans="1:4" ht="15.75" hidden="1" customHeight="1" outlineLevel="1">
      <c r="A503" s="100" t="s">
        <v>37</v>
      </c>
      <c r="B503" s="101" t="s">
        <v>76</v>
      </c>
      <c r="C503" s="100">
        <v>5.58</v>
      </c>
      <c r="D503" s="102"/>
    </row>
    <row r="504" spans="1:4" ht="15.75" hidden="1" customHeight="1" outlineLevel="1">
      <c r="A504" s="100" t="s">
        <v>37</v>
      </c>
      <c r="B504" s="101" t="s">
        <v>77</v>
      </c>
      <c r="C504" s="100">
        <v>5.55</v>
      </c>
      <c r="D504" s="102"/>
    </row>
    <row r="505" spans="1:4" ht="15.75" hidden="1" customHeight="1" outlineLevel="1">
      <c r="A505" s="100" t="s">
        <v>37</v>
      </c>
      <c r="B505" s="101" t="s">
        <v>61</v>
      </c>
      <c r="C505" s="100">
        <v>5.54</v>
      </c>
      <c r="D505" s="102"/>
    </row>
    <row r="506" spans="1:4" ht="15.75" hidden="1" customHeight="1" outlineLevel="1">
      <c r="A506" s="100" t="s">
        <v>37</v>
      </c>
      <c r="B506" s="101" t="s">
        <v>63</v>
      </c>
      <c r="C506" s="100">
        <v>5.63</v>
      </c>
      <c r="D506" s="102"/>
    </row>
    <row r="507" spans="1:4" ht="15.75" hidden="1" customHeight="1" outlineLevel="1">
      <c r="A507" s="100" t="s">
        <v>37</v>
      </c>
      <c r="B507" s="101" t="s">
        <v>64</v>
      </c>
      <c r="C507" s="100">
        <v>5.47</v>
      </c>
      <c r="D507" s="102"/>
    </row>
    <row r="508" spans="1:4" ht="15.75" hidden="1" customHeight="1" outlineLevel="1">
      <c r="A508" s="100" t="s">
        <v>37</v>
      </c>
      <c r="B508" s="101" t="s">
        <v>65</v>
      </c>
      <c r="C508" s="100">
        <v>5.48</v>
      </c>
      <c r="D508" s="102"/>
    </row>
    <row r="509" spans="1:4" ht="15.75" hidden="1" customHeight="1">
      <c r="A509" s="105" t="s">
        <v>37</v>
      </c>
      <c r="B509" s="101"/>
      <c r="C509" s="100"/>
      <c r="D509" s="102"/>
    </row>
    <row r="510" spans="1:4" ht="15.75" hidden="1" customHeight="1" outlineLevel="1">
      <c r="A510" s="100" t="s">
        <v>38</v>
      </c>
      <c r="B510" s="101" t="s">
        <v>49</v>
      </c>
      <c r="C510" s="100">
        <v>5.0999999999999996</v>
      </c>
      <c r="D510" s="102"/>
    </row>
    <row r="511" spans="1:4" ht="15.75" hidden="1" customHeight="1" outlineLevel="1">
      <c r="A511" s="100" t="s">
        <v>38</v>
      </c>
      <c r="B511" s="101" t="s">
        <v>50</v>
      </c>
      <c r="C511" s="100">
        <v>5.2</v>
      </c>
      <c r="D511" s="102"/>
    </row>
    <row r="512" spans="1:4" ht="15.75" hidden="1" customHeight="1" outlineLevel="1">
      <c r="A512" s="100" t="s">
        <v>38</v>
      </c>
      <c r="B512" s="101" t="s">
        <v>66</v>
      </c>
      <c r="C512" s="100">
        <v>5.3</v>
      </c>
      <c r="D512" s="102"/>
    </row>
    <row r="513" spans="1:4" ht="15.75" hidden="1" customHeight="1" outlineLevel="1">
      <c r="A513" s="100" t="s">
        <v>38</v>
      </c>
      <c r="B513" s="101" t="s">
        <v>80</v>
      </c>
      <c r="C513" s="100">
        <v>5.6</v>
      </c>
      <c r="D513" s="102"/>
    </row>
    <row r="514" spans="1:4" ht="15.75" hidden="1" customHeight="1" outlineLevel="1">
      <c r="A514" s="100" t="s">
        <v>38</v>
      </c>
      <c r="B514" s="101" t="s">
        <v>1082</v>
      </c>
      <c r="C514" s="103">
        <v>5.0999999999999996</v>
      </c>
      <c r="D514" s="102"/>
    </row>
    <row r="515" spans="1:4" ht="15.75" hidden="1" customHeight="1" outlineLevel="1">
      <c r="A515" s="100" t="s">
        <v>38</v>
      </c>
      <c r="B515" s="101" t="s">
        <v>91</v>
      </c>
      <c r="C515" s="100">
        <v>5.14</v>
      </c>
      <c r="D515" s="102"/>
    </row>
    <row r="516" spans="1:4" ht="15.75" hidden="1" customHeight="1" outlineLevel="1">
      <c r="A516" s="100" t="s">
        <v>38</v>
      </c>
      <c r="B516" s="101" t="s">
        <v>68</v>
      </c>
      <c r="C516" s="100">
        <v>5.19</v>
      </c>
      <c r="D516" s="102"/>
    </row>
    <row r="517" spans="1:4" ht="15.75" hidden="1" customHeight="1" outlineLevel="1">
      <c r="A517" s="100" t="s">
        <v>38</v>
      </c>
      <c r="B517" s="101" t="s">
        <v>82</v>
      </c>
      <c r="C517" s="100">
        <v>5.24</v>
      </c>
      <c r="D517" s="102"/>
    </row>
    <row r="518" spans="1:4" ht="15.75" hidden="1" customHeight="1" outlineLevel="1">
      <c r="A518" s="100" t="s">
        <v>38</v>
      </c>
      <c r="B518" s="101" t="s">
        <v>54</v>
      </c>
      <c r="C518" s="100">
        <v>5.26</v>
      </c>
      <c r="D518" s="102"/>
    </row>
    <row r="519" spans="1:4" ht="15.75" hidden="1" customHeight="1" outlineLevel="1">
      <c r="A519" s="100" t="s">
        <v>38</v>
      </c>
      <c r="B519" s="101" t="s">
        <v>55</v>
      </c>
      <c r="C519" s="100">
        <v>5.27</v>
      </c>
      <c r="D519" s="102"/>
    </row>
    <row r="520" spans="1:4" ht="15.75" hidden="1" customHeight="1" outlineLevel="1">
      <c r="A520" s="100" t="s">
        <v>38</v>
      </c>
      <c r="B520" s="101" t="s">
        <v>69</v>
      </c>
      <c r="C520" s="100">
        <v>5.28</v>
      </c>
      <c r="D520" s="102"/>
    </row>
    <row r="521" spans="1:4" ht="15.75" hidden="1" customHeight="1" outlineLevel="1">
      <c r="A521" s="100" t="s">
        <v>38</v>
      </c>
      <c r="B521" s="101" t="s">
        <v>83</v>
      </c>
      <c r="C521" s="100">
        <v>5.31</v>
      </c>
      <c r="D521" s="102"/>
    </row>
    <row r="522" spans="1:4" ht="15.75" hidden="1" customHeight="1" outlineLevel="1">
      <c r="A522" s="100" t="s">
        <v>38</v>
      </c>
      <c r="B522" s="101" t="s">
        <v>96</v>
      </c>
      <c r="C522" s="100">
        <v>5.33</v>
      </c>
      <c r="D522" s="102"/>
    </row>
    <row r="523" spans="1:4" ht="15.75" hidden="1" customHeight="1" outlineLevel="1">
      <c r="A523" s="100" t="s">
        <v>38</v>
      </c>
      <c r="B523" s="101" t="s">
        <v>93</v>
      </c>
      <c r="C523" s="100">
        <v>5.101</v>
      </c>
      <c r="D523" s="102"/>
    </row>
    <row r="524" spans="1:4" ht="15.75" hidden="1" customHeight="1" outlineLevel="1">
      <c r="A524" s="100" t="s">
        <v>38</v>
      </c>
      <c r="B524" s="101" t="s">
        <v>56</v>
      </c>
      <c r="C524" s="100">
        <v>5.36</v>
      </c>
      <c r="D524" s="102"/>
    </row>
    <row r="525" spans="1:4" ht="15.75" hidden="1" customHeight="1" outlineLevel="1">
      <c r="A525" s="100" t="s">
        <v>38</v>
      </c>
      <c r="B525" s="101" t="s">
        <v>97</v>
      </c>
      <c r="C525" s="100">
        <v>5.37</v>
      </c>
      <c r="D525" s="102"/>
    </row>
    <row r="526" spans="1:4" ht="15.75" hidden="1" customHeight="1" outlineLevel="1">
      <c r="A526" s="100" t="s">
        <v>38</v>
      </c>
      <c r="B526" s="101" t="s">
        <v>59</v>
      </c>
      <c r="C526" s="100">
        <v>5.53</v>
      </c>
      <c r="D526" s="102"/>
    </row>
    <row r="527" spans="1:4" ht="15.75" hidden="1" customHeight="1" outlineLevel="1">
      <c r="A527" s="100" t="s">
        <v>38</v>
      </c>
      <c r="B527" s="101" t="s">
        <v>103</v>
      </c>
      <c r="C527" s="100">
        <v>5.109</v>
      </c>
      <c r="D527" s="102"/>
    </row>
    <row r="528" spans="1:4" ht="15.75" hidden="1" customHeight="1" outlineLevel="1">
      <c r="A528" s="100" t="s">
        <v>38</v>
      </c>
      <c r="B528" s="101" t="s">
        <v>104</v>
      </c>
      <c r="C528" s="100">
        <v>5.1109999999999998</v>
      </c>
      <c r="D528" s="102"/>
    </row>
    <row r="529" spans="1:4" ht="15.75" hidden="1" customHeight="1" outlineLevel="1">
      <c r="A529" s="100" t="s">
        <v>38</v>
      </c>
      <c r="B529" s="101" t="s">
        <v>106</v>
      </c>
      <c r="C529" s="100">
        <v>5.1120000000000001</v>
      </c>
      <c r="D529" s="102"/>
    </row>
    <row r="530" spans="1:4" ht="15.75" hidden="1" customHeight="1" outlineLevel="1">
      <c r="A530" s="100" t="s">
        <v>38</v>
      </c>
      <c r="B530" s="101" t="s">
        <v>94</v>
      </c>
      <c r="C530" s="100">
        <v>5.1020000000000003</v>
      </c>
      <c r="D530" s="102"/>
    </row>
    <row r="531" spans="1:4" ht="15.75" hidden="1" customHeight="1" outlineLevel="1">
      <c r="A531" s="100" t="s">
        <v>38</v>
      </c>
      <c r="B531" s="101" t="s">
        <v>95</v>
      </c>
      <c r="C531" s="106">
        <v>5.0999999999999996</v>
      </c>
      <c r="D531" s="102"/>
    </row>
    <row r="532" spans="1:4" ht="15.75" hidden="1" customHeight="1" outlineLevel="1">
      <c r="A532" s="100" t="s">
        <v>38</v>
      </c>
      <c r="B532" s="101" t="s">
        <v>76</v>
      </c>
      <c r="C532" s="100">
        <v>5.58</v>
      </c>
      <c r="D532" s="102"/>
    </row>
    <row r="533" spans="1:4" ht="15.75" hidden="1" customHeight="1" outlineLevel="1">
      <c r="A533" s="100" t="s">
        <v>38</v>
      </c>
      <c r="B533" s="101" t="s">
        <v>77</v>
      </c>
      <c r="C533" s="100">
        <v>5.55</v>
      </c>
      <c r="D533" s="102"/>
    </row>
    <row r="534" spans="1:4" ht="15.75" hidden="1" customHeight="1" outlineLevel="1">
      <c r="A534" s="100" t="s">
        <v>38</v>
      </c>
      <c r="B534" s="101" t="s">
        <v>61</v>
      </c>
      <c r="C534" s="100">
        <v>5.54</v>
      </c>
      <c r="D534" s="102"/>
    </row>
    <row r="535" spans="1:4" ht="15.75" hidden="1" customHeight="1" outlineLevel="1">
      <c r="A535" s="100" t="s">
        <v>38</v>
      </c>
      <c r="B535" s="101" t="s">
        <v>63</v>
      </c>
      <c r="C535" s="100">
        <v>5.63</v>
      </c>
      <c r="D535" s="102"/>
    </row>
    <row r="536" spans="1:4" ht="15.75" hidden="1" customHeight="1" outlineLevel="1">
      <c r="A536" s="100" t="s">
        <v>38</v>
      </c>
      <c r="B536" s="101" t="s">
        <v>64</v>
      </c>
      <c r="C536" s="100">
        <v>5.47</v>
      </c>
      <c r="D536" s="102"/>
    </row>
    <row r="537" spans="1:4" ht="15.75" hidden="1" customHeight="1" outlineLevel="1">
      <c r="A537" s="100" t="s">
        <v>38</v>
      </c>
      <c r="B537" s="101" t="s">
        <v>65</v>
      </c>
      <c r="C537" s="100">
        <v>5.48</v>
      </c>
      <c r="D537" s="102"/>
    </row>
    <row r="538" spans="1:4" ht="15.75" hidden="1" customHeight="1">
      <c r="A538" s="105" t="s">
        <v>38</v>
      </c>
      <c r="B538" s="101"/>
      <c r="C538" s="100"/>
      <c r="D538" s="102"/>
    </row>
    <row r="539" spans="1:4" ht="15.75" hidden="1" customHeight="1" outlineLevel="1">
      <c r="A539" s="100" t="s">
        <v>39</v>
      </c>
      <c r="B539" s="101" t="s">
        <v>49</v>
      </c>
      <c r="C539" s="100">
        <v>5.0999999999999996</v>
      </c>
      <c r="D539" s="102"/>
    </row>
    <row r="540" spans="1:4" ht="15.75" hidden="1" customHeight="1" outlineLevel="1">
      <c r="A540" s="100" t="s">
        <v>39</v>
      </c>
      <c r="B540" s="101" t="s">
        <v>50</v>
      </c>
      <c r="C540" s="100">
        <v>5.2</v>
      </c>
      <c r="D540" s="102"/>
    </row>
    <row r="541" spans="1:4" ht="15.75" hidden="1" customHeight="1" outlineLevel="1">
      <c r="A541" s="100" t="s">
        <v>39</v>
      </c>
      <c r="B541" s="101" t="s">
        <v>54</v>
      </c>
      <c r="C541" s="100">
        <v>5.26</v>
      </c>
      <c r="D541" s="102"/>
    </row>
    <row r="542" spans="1:4" ht="15.75" hidden="1" customHeight="1" outlineLevel="1">
      <c r="A542" s="100" t="s">
        <v>39</v>
      </c>
      <c r="B542" s="101" t="s">
        <v>120</v>
      </c>
      <c r="C542" s="100">
        <v>5.21</v>
      </c>
      <c r="D542" s="102"/>
    </row>
    <row r="543" spans="1:4" ht="15.75" hidden="1" customHeight="1" outlineLevel="1">
      <c r="A543" s="100" t="s">
        <v>39</v>
      </c>
      <c r="B543" s="101" t="s">
        <v>121</v>
      </c>
      <c r="C543" s="100">
        <v>5.53</v>
      </c>
      <c r="D543" s="102"/>
    </row>
    <row r="544" spans="1:4" ht="15.75" hidden="1" customHeight="1" outlineLevel="1">
      <c r="A544" s="100" t="s">
        <v>39</v>
      </c>
      <c r="B544" s="101" t="s">
        <v>61</v>
      </c>
      <c r="C544" s="100">
        <v>5.54</v>
      </c>
      <c r="D544" s="102"/>
    </row>
    <row r="545" spans="1:4" ht="15.75" hidden="1" customHeight="1" outlineLevel="1">
      <c r="A545" s="100" t="s">
        <v>39</v>
      </c>
      <c r="B545" s="101" t="s">
        <v>122</v>
      </c>
      <c r="C545" s="100">
        <v>5.58</v>
      </c>
      <c r="D545" s="102"/>
    </row>
    <row r="546" spans="1:4" ht="15.75" hidden="1" customHeight="1" outlineLevel="1">
      <c r="A546" s="100" t="s">
        <v>39</v>
      </c>
      <c r="B546" s="101" t="s">
        <v>123</v>
      </c>
      <c r="C546" s="100">
        <v>5.1180000000000003</v>
      </c>
      <c r="D546" s="102"/>
    </row>
    <row r="547" spans="1:4" ht="15.75" hidden="1" customHeight="1" outlineLevel="1">
      <c r="A547" s="100" t="s">
        <v>39</v>
      </c>
      <c r="B547" s="101" t="s">
        <v>124</v>
      </c>
      <c r="C547" s="100">
        <v>5.47</v>
      </c>
      <c r="D547" s="102"/>
    </row>
    <row r="548" spans="1:4" ht="15.75" hidden="1" customHeight="1" outlineLevel="1">
      <c r="A548" s="100" t="s">
        <v>39</v>
      </c>
      <c r="B548" s="101" t="s">
        <v>125</v>
      </c>
      <c r="C548" s="100">
        <v>5.48</v>
      </c>
      <c r="D548" s="102"/>
    </row>
    <row r="549" spans="1:4" ht="15.75" hidden="1" customHeight="1" outlineLevel="1">
      <c r="A549" s="100" t="s">
        <v>39</v>
      </c>
      <c r="B549" s="101" t="s">
        <v>126</v>
      </c>
      <c r="C549" s="100">
        <v>5.21</v>
      </c>
      <c r="D549" s="102"/>
    </row>
    <row r="550" spans="1:4" ht="15.75" hidden="1" customHeight="1" outlineLevel="1">
      <c r="A550" s="100" t="s">
        <v>39</v>
      </c>
      <c r="B550" s="101" t="s">
        <v>127</v>
      </c>
      <c r="C550" s="100">
        <v>5.53</v>
      </c>
      <c r="D550" s="102"/>
    </row>
    <row r="551" spans="1:4" ht="15.75" hidden="1" customHeight="1" outlineLevel="1">
      <c r="A551" s="100" t="s">
        <v>39</v>
      </c>
      <c r="B551" s="101" t="s">
        <v>61</v>
      </c>
      <c r="C551" s="100">
        <v>5.54</v>
      </c>
      <c r="D551" s="102"/>
    </row>
    <row r="552" spans="1:4" ht="15.75" hidden="1" customHeight="1" outlineLevel="1">
      <c r="A552" s="100" t="s">
        <v>39</v>
      </c>
      <c r="B552" s="101" t="s">
        <v>128</v>
      </c>
      <c r="C552" s="100">
        <v>5.58</v>
      </c>
      <c r="D552" s="102"/>
    </row>
    <row r="553" spans="1:4" ht="15.75" hidden="1" customHeight="1" outlineLevel="1">
      <c r="A553" s="100" t="s">
        <v>39</v>
      </c>
      <c r="B553" s="101" t="s">
        <v>129</v>
      </c>
      <c r="C553" s="100">
        <v>5.1180000000000003</v>
      </c>
      <c r="D553" s="102"/>
    </row>
    <row r="554" spans="1:4" ht="15.75" hidden="1" customHeight="1" outlineLevel="1">
      <c r="A554" s="100" t="s">
        <v>39</v>
      </c>
      <c r="B554" s="101" t="s">
        <v>1089</v>
      </c>
      <c r="C554" s="100">
        <v>5.47</v>
      </c>
      <c r="D554" s="102"/>
    </row>
    <row r="555" spans="1:4" ht="15.75" hidden="1" customHeight="1" outlineLevel="1">
      <c r="A555" s="100" t="s">
        <v>39</v>
      </c>
      <c r="B555" s="101" t="s">
        <v>1090</v>
      </c>
      <c r="C555" s="100">
        <v>5.48</v>
      </c>
      <c r="D555" s="102"/>
    </row>
    <row r="556" spans="1:4" ht="15.75" hidden="1" customHeight="1" outlineLevel="1">
      <c r="A556" s="100" t="s">
        <v>39</v>
      </c>
      <c r="B556" s="101" t="s">
        <v>1091</v>
      </c>
      <c r="C556" s="100">
        <v>5.63</v>
      </c>
      <c r="D556" s="102"/>
    </row>
    <row r="557" spans="1:4" ht="15.75" hidden="1" customHeight="1" outlineLevel="1">
      <c r="A557" s="100" t="s">
        <v>39</v>
      </c>
      <c r="B557" s="101" t="s">
        <v>55</v>
      </c>
      <c r="C557" s="100">
        <v>5.27</v>
      </c>
      <c r="D557" s="102"/>
    </row>
    <row r="558" spans="1:4" ht="15.75" hidden="1" customHeight="1" outlineLevel="1">
      <c r="A558" s="100" t="s">
        <v>39</v>
      </c>
      <c r="B558" s="101" t="s">
        <v>69</v>
      </c>
      <c r="C558" s="100">
        <v>5.28</v>
      </c>
      <c r="D558" s="102"/>
    </row>
    <row r="559" spans="1:4" ht="15.75" hidden="1" customHeight="1" outlineLevel="1">
      <c r="A559" s="100" t="s">
        <v>39</v>
      </c>
      <c r="B559" s="101" t="s">
        <v>133</v>
      </c>
      <c r="C559" s="100">
        <v>5.35</v>
      </c>
      <c r="D559" s="102"/>
    </row>
    <row r="560" spans="1:4" ht="15.75" hidden="1" customHeight="1" outlineLevel="1">
      <c r="A560" s="100" t="s">
        <v>39</v>
      </c>
      <c r="B560" s="101" t="s">
        <v>134</v>
      </c>
      <c r="C560" s="100">
        <v>5.1189999999999998</v>
      </c>
      <c r="D560" s="102"/>
    </row>
    <row r="561" spans="1:4" ht="15.75" hidden="1" customHeight="1" outlineLevel="1">
      <c r="A561" s="100" t="s">
        <v>39</v>
      </c>
      <c r="B561" s="101" t="s">
        <v>135</v>
      </c>
      <c r="C561" s="106">
        <v>5.12</v>
      </c>
      <c r="D561" s="102"/>
    </row>
    <row r="562" spans="1:4" ht="15.75" hidden="1" customHeight="1" outlineLevel="1">
      <c r="A562" s="100" t="s">
        <v>39</v>
      </c>
      <c r="B562" s="101" t="s">
        <v>136</v>
      </c>
      <c r="C562" s="100">
        <v>5.1210000000000004</v>
      </c>
      <c r="D562" s="102"/>
    </row>
    <row r="563" spans="1:4" ht="15.75" hidden="1" customHeight="1" outlineLevel="1">
      <c r="A563" s="100" t="s">
        <v>39</v>
      </c>
      <c r="B563" s="101" t="s">
        <v>56</v>
      </c>
      <c r="C563" s="100">
        <v>5.36</v>
      </c>
      <c r="D563" s="102"/>
    </row>
    <row r="564" spans="1:4" ht="15.75" hidden="1" customHeight="1" outlineLevel="1">
      <c r="A564" s="100" t="s">
        <v>39</v>
      </c>
      <c r="B564" s="101" t="s">
        <v>137</v>
      </c>
      <c r="C564" s="100">
        <v>5.1219999999999999</v>
      </c>
      <c r="D564" s="102"/>
    </row>
    <row r="565" spans="1:4" ht="15.75" hidden="1" customHeight="1" outlineLevel="1">
      <c r="A565" s="100" t="s">
        <v>39</v>
      </c>
      <c r="B565" s="101" t="s">
        <v>138</v>
      </c>
      <c r="C565" s="100">
        <v>5.1230000000000002</v>
      </c>
      <c r="D565" s="102"/>
    </row>
    <row r="566" spans="1:4" ht="15.75" hidden="1" customHeight="1" outlineLevel="1">
      <c r="A566" s="100" t="s">
        <v>39</v>
      </c>
      <c r="B566" s="101" t="s">
        <v>139</v>
      </c>
      <c r="C566" s="100">
        <v>5.1239999999999997</v>
      </c>
      <c r="D566" s="102"/>
    </row>
    <row r="567" spans="1:4" ht="15.75" hidden="1" customHeight="1" outlineLevel="1">
      <c r="A567" s="100" t="s">
        <v>39</v>
      </c>
      <c r="B567" s="101" t="s">
        <v>140</v>
      </c>
      <c r="C567" s="100">
        <v>5.125</v>
      </c>
      <c r="D567" s="102"/>
    </row>
    <row r="568" spans="1:4" ht="15.75" hidden="1" customHeight="1" outlineLevel="1">
      <c r="A568" s="100" t="s">
        <v>39</v>
      </c>
      <c r="B568" s="101" t="s">
        <v>141</v>
      </c>
      <c r="C568" s="100">
        <v>5.1260000000000003</v>
      </c>
      <c r="D568" s="102"/>
    </row>
    <row r="569" spans="1:4" ht="15.75" hidden="1" customHeight="1" outlineLevel="1">
      <c r="A569" s="100" t="s">
        <v>39</v>
      </c>
      <c r="B569" s="101" t="s">
        <v>142</v>
      </c>
      <c r="C569" s="100">
        <v>5.1269999999999998</v>
      </c>
      <c r="D569" s="102"/>
    </row>
    <row r="570" spans="1:4" ht="15.75" hidden="1" customHeight="1" outlineLevel="1">
      <c r="A570" s="100" t="s">
        <v>39</v>
      </c>
      <c r="B570" s="101" t="s">
        <v>85</v>
      </c>
      <c r="C570" s="103">
        <v>5.72</v>
      </c>
      <c r="D570" s="102"/>
    </row>
    <row r="571" spans="1:4" ht="15.75" hidden="1" customHeight="1" outlineLevel="1">
      <c r="A571" s="100" t="s">
        <v>39</v>
      </c>
      <c r="B571" s="101" t="s">
        <v>143</v>
      </c>
      <c r="C571" s="100">
        <v>5.1280000000000001</v>
      </c>
      <c r="D571" s="102"/>
    </row>
    <row r="572" spans="1:4" ht="15.75" hidden="1" customHeight="1" outlineLevel="1">
      <c r="A572" s="100" t="s">
        <v>39</v>
      </c>
      <c r="B572" s="101" t="s">
        <v>144</v>
      </c>
      <c r="C572" s="100">
        <v>5.1289999999999996</v>
      </c>
      <c r="D572" s="104" t="s">
        <v>1081</v>
      </c>
    </row>
    <row r="573" spans="1:4" ht="15.75" hidden="1" customHeight="1" outlineLevel="1">
      <c r="A573" s="100" t="s">
        <v>39</v>
      </c>
      <c r="B573" s="101" t="s">
        <v>145</v>
      </c>
      <c r="C573" s="100">
        <v>5.1310000000000002</v>
      </c>
      <c r="D573" s="102"/>
    </row>
    <row r="574" spans="1:4" ht="15.75" hidden="1" customHeight="1" outlineLevel="1">
      <c r="A574" s="100" t="s">
        <v>39</v>
      </c>
      <c r="B574" s="101" t="s">
        <v>146</v>
      </c>
      <c r="C574" s="100">
        <v>5.1319999999999997</v>
      </c>
      <c r="D574" s="104" t="s">
        <v>1081</v>
      </c>
    </row>
    <row r="575" spans="1:4" ht="15.75" hidden="1" customHeight="1" outlineLevel="1">
      <c r="A575" s="100" t="s">
        <v>39</v>
      </c>
      <c r="B575" s="101" t="s">
        <v>147</v>
      </c>
      <c r="C575" s="100">
        <v>5.133</v>
      </c>
      <c r="D575" s="104" t="s">
        <v>1081</v>
      </c>
    </row>
    <row r="576" spans="1:4" ht="15.75" hidden="1" customHeight="1" outlineLevel="1">
      <c r="A576" s="100" t="s">
        <v>39</v>
      </c>
      <c r="B576" s="101" t="s">
        <v>148</v>
      </c>
      <c r="C576" s="100">
        <v>5.1340000000000003</v>
      </c>
      <c r="D576" s="104" t="s">
        <v>1081</v>
      </c>
    </row>
    <row r="577" spans="1:4" ht="15.75" hidden="1" customHeight="1" outlineLevel="1">
      <c r="A577" s="100" t="s">
        <v>39</v>
      </c>
      <c r="B577" s="101" t="s">
        <v>149</v>
      </c>
      <c r="C577" s="106">
        <v>5.13</v>
      </c>
      <c r="D577" s="102"/>
    </row>
    <row r="578" spans="1:4" ht="15.75" hidden="1" customHeight="1" outlineLevel="1">
      <c r="A578" s="100" t="s">
        <v>39</v>
      </c>
      <c r="B578" s="101" t="s">
        <v>64</v>
      </c>
      <c r="C578" s="100">
        <v>5.47</v>
      </c>
      <c r="D578" s="102"/>
    </row>
    <row r="579" spans="1:4" ht="15.75" hidden="1" customHeight="1" outlineLevel="1">
      <c r="A579" s="100" t="s">
        <v>39</v>
      </c>
      <c r="B579" s="101" t="s">
        <v>65</v>
      </c>
      <c r="C579" s="100">
        <v>5.48</v>
      </c>
      <c r="D579" s="102"/>
    </row>
    <row r="580" spans="1:4" ht="15.75" hidden="1" customHeight="1">
      <c r="A580" s="105" t="s">
        <v>39</v>
      </c>
      <c r="B580" s="101"/>
      <c r="C580" s="100"/>
      <c r="D580" s="102"/>
    </row>
    <row r="581" spans="1:4" ht="15.75" hidden="1" customHeight="1" outlineLevel="1">
      <c r="A581" s="100" t="s">
        <v>40</v>
      </c>
      <c r="B581" s="101" t="s">
        <v>49</v>
      </c>
      <c r="C581" s="100">
        <v>5.0999999999999996</v>
      </c>
      <c r="D581" s="102"/>
    </row>
    <row r="582" spans="1:4" ht="15.75" hidden="1" customHeight="1" outlineLevel="1">
      <c r="A582" s="100" t="s">
        <v>40</v>
      </c>
      <c r="B582" s="101" t="s">
        <v>50</v>
      </c>
      <c r="C582" s="100">
        <v>5.2</v>
      </c>
      <c r="D582" s="102"/>
    </row>
    <row r="583" spans="1:4" ht="15.75" hidden="1" customHeight="1" outlineLevel="1">
      <c r="A583" s="100" t="s">
        <v>40</v>
      </c>
      <c r="B583" s="101" t="s">
        <v>150</v>
      </c>
      <c r="C583" s="100">
        <v>5.9</v>
      </c>
      <c r="D583" s="104" t="s">
        <v>1081</v>
      </c>
    </row>
    <row r="584" spans="1:4" ht="15.75" hidden="1" customHeight="1" outlineLevel="1">
      <c r="A584" s="100" t="s">
        <v>40</v>
      </c>
      <c r="B584" s="101" t="s">
        <v>151</v>
      </c>
      <c r="C584" s="100">
        <v>5.13</v>
      </c>
      <c r="D584" s="104" t="s">
        <v>1081</v>
      </c>
    </row>
    <row r="585" spans="1:4" ht="15.75" hidden="1" customHeight="1" outlineLevel="1">
      <c r="A585" s="100" t="s">
        <v>40</v>
      </c>
      <c r="B585" s="101" t="s">
        <v>152</v>
      </c>
      <c r="C585" s="100">
        <v>5.16</v>
      </c>
      <c r="D585" s="104" t="s">
        <v>1081</v>
      </c>
    </row>
    <row r="586" spans="1:4" ht="15.75" hidden="1" customHeight="1" outlineLevel="1">
      <c r="A586" s="100" t="s">
        <v>40</v>
      </c>
      <c r="B586" s="101" t="s">
        <v>153</v>
      </c>
      <c r="C586" s="100">
        <v>5.22</v>
      </c>
      <c r="D586" s="104"/>
    </row>
    <row r="587" spans="1:4" ht="15.75" hidden="1" customHeight="1" outlineLevel="1">
      <c r="A587" s="100" t="s">
        <v>40</v>
      </c>
      <c r="B587" s="101" t="s">
        <v>54</v>
      </c>
      <c r="C587" s="100">
        <v>5.26</v>
      </c>
      <c r="D587" s="102"/>
    </row>
    <row r="588" spans="1:4" ht="15.75" hidden="1" customHeight="1" outlineLevel="1">
      <c r="A588" s="100" t="s">
        <v>40</v>
      </c>
      <c r="B588" s="101" t="s">
        <v>154</v>
      </c>
      <c r="C588" s="100">
        <v>5.77</v>
      </c>
      <c r="D588" s="102"/>
    </row>
    <row r="589" spans="1:4" ht="15.75" hidden="1" customHeight="1" outlineLevel="1">
      <c r="A589" s="100" t="s">
        <v>40</v>
      </c>
      <c r="B589" s="101" t="s">
        <v>55</v>
      </c>
      <c r="C589" s="100">
        <v>5.27</v>
      </c>
      <c r="D589" s="102"/>
    </row>
    <row r="590" spans="1:4" ht="15.75" hidden="1" customHeight="1" outlineLevel="1">
      <c r="A590" s="100" t="s">
        <v>40</v>
      </c>
      <c r="B590" s="101" t="s">
        <v>69</v>
      </c>
      <c r="C590" s="100">
        <v>5.28</v>
      </c>
      <c r="D590" s="104" t="s">
        <v>1081</v>
      </c>
    </row>
    <row r="591" spans="1:4" ht="15.75" hidden="1" customHeight="1" outlineLevel="1">
      <c r="A591" s="100" t="s">
        <v>40</v>
      </c>
      <c r="B591" s="101" t="s">
        <v>83</v>
      </c>
      <c r="C591" s="100">
        <v>5.31</v>
      </c>
      <c r="D591" s="102"/>
    </row>
    <row r="592" spans="1:4" ht="15.75" hidden="1" customHeight="1" outlineLevel="1">
      <c r="A592" s="100" t="s">
        <v>40</v>
      </c>
      <c r="B592" s="101" t="s">
        <v>56</v>
      </c>
      <c r="C592" s="100">
        <v>5.36</v>
      </c>
      <c r="D592" s="102"/>
    </row>
    <row r="593" spans="1:4" ht="15.75" hidden="1" customHeight="1" outlineLevel="1">
      <c r="A593" s="100" t="s">
        <v>40</v>
      </c>
      <c r="B593" s="101" t="s">
        <v>155</v>
      </c>
      <c r="C593" s="100">
        <v>5.78</v>
      </c>
      <c r="D593" s="102"/>
    </row>
    <row r="594" spans="1:4" ht="15.75" hidden="1" customHeight="1" outlineLevel="1">
      <c r="A594" s="100" t="s">
        <v>40</v>
      </c>
      <c r="B594" s="101" t="s">
        <v>156</v>
      </c>
      <c r="C594" s="100">
        <v>5.79</v>
      </c>
      <c r="D594" s="104" t="s">
        <v>1081</v>
      </c>
    </row>
    <row r="595" spans="1:4" ht="15.75" hidden="1" customHeight="1" outlineLevel="1">
      <c r="A595" s="100" t="s">
        <v>40</v>
      </c>
      <c r="B595" s="101" t="s">
        <v>157</v>
      </c>
      <c r="C595" s="100">
        <v>5.41</v>
      </c>
      <c r="D595" s="102"/>
    </row>
    <row r="596" spans="1:4" ht="15.75" hidden="1" customHeight="1" outlineLevel="1">
      <c r="A596" s="100" t="s">
        <v>40</v>
      </c>
      <c r="B596" s="101" t="s">
        <v>71</v>
      </c>
      <c r="C596" s="100">
        <v>5.49</v>
      </c>
      <c r="D596" s="102"/>
    </row>
    <row r="597" spans="1:4" ht="15.75" hidden="1" customHeight="1" outlineLevel="1">
      <c r="A597" s="100" t="s">
        <v>40</v>
      </c>
      <c r="B597" s="101" t="s">
        <v>58</v>
      </c>
      <c r="C597" s="100">
        <v>5.51</v>
      </c>
      <c r="D597" s="102"/>
    </row>
    <row r="598" spans="1:4" ht="15.75" hidden="1" customHeight="1" outlineLevel="1">
      <c r="A598" s="100" t="s">
        <v>40</v>
      </c>
      <c r="B598" s="101" t="s">
        <v>1092</v>
      </c>
      <c r="C598" s="100">
        <v>5.52</v>
      </c>
      <c r="D598" s="102"/>
    </row>
    <row r="599" spans="1:4" ht="15.75" hidden="1" customHeight="1" outlineLevel="1">
      <c r="A599" s="100" t="s">
        <v>40</v>
      </c>
      <c r="B599" s="101" t="s">
        <v>59</v>
      </c>
      <c r="C599" s="100">
        <v>5.53</v>
      </c>
      <c r="D599" s="102"/>
    </row>
    <row r="600" spans="1:4" ht="15.75" hidden="1" customHeight="1" outlineLevel="1">
      <c r="A600" s="100" t="s">
        <v>40</v>
      </c>
      <c r="B600" s="101" t="s">
        <v>72</v>
      </c>
      <c r="C600" s="100">
        <v>5.69</v>
      </c>
      <c r="D600" s="102"/>
    </row>
    <row r="601" spans="1:4" ht="15.75" hidden="1" customHeight="1" outlineLevel="1">
      <c r="A601" s="100" t="s">
        <v>40</v>
      </c>
      <c r="B601" s="101" t="s">
        <v>159</v>
      </c>
      <c r="C601" s="100">
        <v>5.71</v>
      </c>
      <c r="D601" s="102"/>
    </row>
    <row r="602" spans="1:4" ht="15.75" hidden="1" customHeight="1" outlineLevel="1">
      <c r="A602" s="100" t="s">
        <v>40</v>
      </c>
      <c r="B602" s="101" t="s">
        <v>62</v>
      </c>
      <c r="C602" s="103">
        <v>5.7</v>
      </c>
      <c r="D602" s="102"/>
    </row>
    <row r="603" spans="1:4" ht="15.75" hidden="1" customHeight="1" outlineLevel="1">
      <c r="A603" s="100" t="s">
        <v>40</v>
      </c>
      <c r="B603" s="101" t="s">
        <v>98</v>
      </c>
      <c r="C603" s="103">
        <v>5.8</v>
      </c>
      <c r="D603" s="104" t="s">
        <v>1081</v>
      </c>
    </row>
    <row r="604" spans="1:4" ht="15.75" hidden="1" customHeight="1" outlineLevel="1">
      <c r="A604" s="100" t="s">
        <v>40</v>
      </c>
      <c r="B604" s="101" t="s">
        <v>85</v>
      </c>
      <c r="C604" s="103">
        <v>5.72</v>
      </c>
      <c r="D604" s="104" t="s">
        <v>1081</v>
      </c>
    </row>
    <row r="605" spans="1:4" ht="15.75" hidden="1" customHeight="1" outlineLevel="1">
      <c r="A605" s="100" t="s">
        <v>40</v>
      </c>
      <c r="B605" s="101" t="s">
        <v>160</v>
      </c>
      <c r="C605" s="100">
        <v>5.73</v>
      </c>
      <c r="D605" s="104" t="s">
        <v>1081</v>
      </c>
    </row>
    <row r="606" spans="1:4" ht="15.75" hidden="1" customHeight="1" outlineLevel="1">
      <c r="A606" s="100" t="s">
        <v>40</v>
      </c>
      <c r="B606" s="101" t="s">
        <v>74</v>
      </c>
      <c r="C606" s="100">
        <v>5.74</v>
      </c>
      <c r="D606" s="102"/>
    </row>
    <row r="607" spans="1:4" ht="15.75" hidden="1" customHeight="1" outlineLevel="1">
      <c r="A607" s="100" t="s">
        <v>40</v>
      </c>
      <c r="B607" s="101" t="s">
        <v>73</v>
      </c>
      <c r="C607" s="100">
        <v>5.75</v>
      </c>
      <c r="D607" s="102"/>
    </row>
    <row r="608" spans="1:4" ht="15.75" hidden="1" customHeight="1" outlineLevel="1">
      <c r="A608" s="100" t="s">
        <v>40</v>
      </c>
      <c r="B608" s="101" t="s">
        <v>86</v>
      </c>
      <c r="C608" s="100">
        <v>5.76</v>
      </c>
      <c r="D608" s="102"/>
    </row>
    <row r="609" spans="1:4" ht="15.75" hidden="1" customHeight="1" outlineLevel="1">
      <c r="A609" s="100" t="s">
        <v>40</v>
      </c>
      <c r="B609" s="101" t="s">
        <v>161</v>
      </c>
      <c r="C609" s="100">
        <v>5.81</v>
      </c>
      <c r="D609" s="104" t="s">
        <v>1081</v>
      </c>
    </row>
    <row r="610" spans="1:4" ht="15.75" hidden="1" customHeight="1" outlineLevel="1">
      <c r="A610" s="100" t="s">
        <v>40</v>
      </c>
      <c r="B610" s="101" t="s">
        <v>162</v>
      </c>
      <c r="C610" s="100">
        <v>5.82</v>
      </c>
      <c r="D610" s="104" t="s">
        <v>1081</v>
      </c>
    </row>
    <row r="611" spans="1:4" ht="15.75" hidden="1" customHeight="1" outlineLevel="1">
      <c r="A611" s="100" t="s">
        <v>40</v>
      </c>
      <c r="B611" s="101" t="s">
        <v>163</v>
      </c>
      <c r="C611" s="100">
        <v>5.83</v>
      </c>
      <c r="D611" s="104" t="s">
        <v>1081</v>
      </c>
    </row>
    <row r="612" spans="1:4" ht="15.75" hidden="1" customHeight="1" outlineLevel="1">
      <c r="A612" s="100" t="s">
        <v>40</v>
      </c>
      <c r="B612" s="101" t="s">
        <v>164</v>
      </c>
      <c r="C612" s="100">
        <v>5.84</v>
      </c>
      <c r="D612" s="102"/>
    </row>
    <row r="613" spans="1:4" ht="15.75" hidden="1" customHeight="1" outlineLevel="1">
      <c r="A613" s="100" t="s">
        <v>40</v>
      </c>
      <c r="B613" s="101" t="s">
        <v>165</v>
      </c>
      <c r="C613" s="100">
        <v>5.85</v>
      </c>
      <c r="D613" s="104" t="s">
        <v>1081</v>
      </c>
    </row>
    <row r="614" spans="1:4" ht="15.75" customHeight="1" outlineLevel="1">
      <c r="A614" s="100" t="s">
        <v>40</v>
      </c>
      <c r="B614" s="101" t="s">
        <v>166</v>
      </c>
      <c r="C614" s="100">
        <v>5.86</v>
      </c>
      <c r="D614" s="104" t="s">
        <v>1081</v>
      </c>
    </row>
    <row r="615" spans="1:4" ht="15.75" hidden="1" customHeight="1" outlineLevel="1">
      <c r="A615" s="100" t="s">
        <v>40</v>
      </c>
      <c r="B615" s="101" t="s">
        <v>167</v>
      </c>
      <c r="C615" s="100">
        <v>5.88</v>
      </c>
      <c r="D615" s="104" t="s">
        <v>1081</v>
      </c>
    </row>
    <row r="616" spans="1:4" ht="15.75" hidden="1" customHeight="1" outlineLevel="1">
      <c r="A616" s="100" t="s">
        <v>40</v>
      </c>
      <c r="B616" s="101" t="s">
        <v>168</v>
      </c>
      <c r="C616" s="100">
        <v>5.87</v>
      </c>
      <c r="D616" s="102"/>
    </row>
    <row r="617" spans="1:4" ht="15.75" hidden="1" customHeight="1" outlineLevel="1">
      <c r="A617" s="100" t="s">
        <v>40</v>
      </c>
      <c r="B617" s="101" t="s">
        <v>103</v>
      </c>
      <c r="C617" s="100">
        <v>5.109</v>
      </c>
      <c r="D617" s="102"/>
    </row>
    <row r="618" spans="1:4" ht="15.75" hidden="1" customHeight="1" outlineLevel="1">
      <c r="A618" s="100" t="s">
        <v>40</v>
      </c>
      <c r="B618" s="101" t="s">
        <v>105</v>
      </c>
      <c r="C618" s="106">
        <v>5.1100000000000003</v>
      </c>
      <c r="D618" s="104" t="s">
        <v>1081</v>
      </c>
    </row>
    <row r="619" spans="1:4" ht="15.75" hidden="1" customHeight="1" outlineLevel="1">
      <c r="A619" s="100" t="s">
        <v>40</v>
      </c>
      <c r="B619" s="101" t="s">
        <v>104</v>
      </c>
      <c r="C619" s="100">
        <v>5.1109999999999998</v>
      </c>
      <c r="D619" s="102"/>
    </row>
    <row r="620" spans="1:4" ht="15.75" hidden="1" customHeight="1" outlineLevel="1">
      <c r="A620" s="100" t="s">
        <v>40</v>
      </c>
      <c r="B620" s="101" t="s">
        <v>106</v>
      </c>
      <c r="C620" s="100">
        <v>5.1120000000000001</v>
      </c>
      <c r="D620" s="102"/>
    </row>
    <row r="621" spans="1:4" ht="15.75" hidden="1" customHeight="1" outlineLevel="1">
      <c r="A621" s="100" t="s">
        <v>40</v>
      </c>
      <c r="B621" s="101" t="s">
        <v>1086</v>
      </c>
      <c r="C621" s="100">
        <v>5.1130000000000004</v>
      </c>
      <c r="D621" s="102"/>
    </row>
    <row r="622" spans="1:4" ht="15.75" hidden="1" customHeight="1" outlineLevel="1">
      <c r="A622" s="100" t="s">
        <v>40</v>
      </c>
      <c r="B622" s="101" t="s">
        <v>169</v>
      </c>
      <c r="C622" s="100">
        <v>5.99</v>
      </c>
      <c r="D622" s="104" t="s">
        <v>1081</v>
      </c>
    </row>
    <row r="623" spans="1:4" ht="15.75" hidden="1" customHeight="1" outlineLevel="1">
      <c r="A623" s="100" t="s">
        <v>40</v>
      </c>
      <c r="B623" s="101" t="s">
        <v>170</v>
      </c>
      <c r="C623" s="100">
        <v>5.58</v>
      </c>
      <c r="D623" s="104"/>
    </row>
    <row r="624" spans="1:4" ht="15.75" hidden="1" customHeight="1" outlineLevel="1">
      <c r="A624" s="100" t="s">
        <v>40</v>
      </c>
      <c r="B624" s="101" t="s">
        <v>61</v>
      </c>
      <c r="C624" s="100">
        <v>5.54</v>
      </c>
      <c r="D624" s="102"/>
    </row>
    <row r="625" spans="1:4" ht="15.75" hidden="1" customHeight="1" outlineLevel="1">
      <c r="A625" s="100" t="s">
        <v>40</v>
      </c>
      <c r="B625" s="101" t="s">
        <v>171</v>
      </c>
      <c r="C625" s="100">
        <v>5.56</v>
      </c>
      <c r="D625" s="102"/>
    </row>
    <row r="626" spans="1:4" ht="15.75" hidden="1" customHeight="1" outlineLevel="1">
      <c r="A626" s="100" t="s">
        <v>40</v>
      </c>
      <c r="B626" s="101" t="s">
        <v>63</v>
      </c>
      <c r="C626" s="100">
        <v>5.63</v>
      </c>
      <c r="D626" s="102"/>
    </row>
    <row r="627" spans="1:4" ht="15.75" hidden="1" customHeight="1" outlineLevel="1">
      <c r="A627" s="100" t="s">
        <v>40</v>
      </c>
      <c r="B627" s="101" t="s">
        <v>172</v>
      </c>
      <c r="C627" s="100">
        <v>5.64</v>
      </c>
      <c r="D627" s="102"/>
    </row>
    <row r="628" spans="1:4" ht="15.75" hidden="1" customHeight="1" outlineLevel="1">
      <c r="A628" s="100" t="s">
        <v>40</v>
      </c>
      <c r="B628" s="101" t="s">
        <v>78</v>
      </c>
      <c r="C628" s="100">
        <v>5.65</v>
      </c>
      <c r="D628" s="102"/>
    </row>
    <row r="629" spans="1:4" ht="15.75" hidden="1" customHeight="1" outlineLevel="1">
      <c r="A629" s="100" t="s">
        <v>40</v>
      </c>
      <c r="B629" s="101" t="s">
        <v>88</v>
      </c>
      <c r="C629" s="100">
        <v>5.66</v>
      </c>
      <c r="D629" s="102"/>
    </row>
    <row r="630" spans="1:4" ht="15.75" hidden="1" customHeight="1" outlineLevel="1">
      <c r="A630" s="100" t="s">
        <v>40</v>
      </c>
      <c r="B630" s="101" t="s">
        <v>87</v>
      </c>
      <c r="C630" s="100">
        <v>5.89</v>
      </c>
      <c r="D630" s="104" t="s">
        <v>1081</v>
      </c>
    </row>
    <row r="631" spans="1:4" ht="15.75" hidden="1" customHeight="1" outlineLevel="1">
      <c r="A631" s="100" t="s">
        <v>40</v>
      </c>
      <c r="B631" s="101" t="s">
        <v>17</v>
      </c>
      <c r="C631" s="100">
        <v>5.68</v>
      </c>
      <c r="D631" s="102"/>
    </row>
    <row r="632" spans="1:4" ht="15.75" hidden="1" customHeight="1" outlineLevel="1">
      <c r="A632" s="100" t="s">
        <v>40</v>
      </c>
      <c r="B632" s="101" t="s">
        <v>64</v>
      </c>
      <c r="C632" s="100">
        <v>5.47</v>
      </c>
      <c r="D632" s="102"/>
    </row>
    <row r="633" spans="1:4" ht="15.75" hidden="1" customHeight="1" outlineLevel="1">
      <c r="A633" s="100" t="s">
        <v>40</v>
      </c>
      <c r="B633" s="101" t="s">
        <v>65</v>
      </c>
      <c r="C633" s="100">
        <v>5.48</v>
      </c>
      <c r="D633" s="102"/>
    </row>
    <row r="634" spans="1:4" ht="15.75" hidden="1" customHeight="1">
      <c r="A634" s="105" t="s">
        <v>40</v>
      </c>
      <c r="B634" s="101"/>
      <c r="C634" s="100"/>
      <c r="D634" s="102"/>
    </row>
    <row r="635" spans="1:4" ht="15.75" hidden="1" customHeight="1" outlineLevel="1">
      <c r="A635" s="100" t="s">
        <v>41</v>
      </c>
      <c r="B635" s="101" t="s">
        <v>49</v>
      </c>
      <c r="C635" s="100">
        <v>5.0999999999999996</v>
      </c>
      <c r="D635" s="102"/>
    </row>
    <row r="636" spans="1:4" ht="15.75" hidden="1" customHeight="1" outlineLevel="1">
      <c r="A636" s="100" t="s">
        <v>41</v>
      </c>
      <c r="B636" s="101" t="s">
        <v>50</v>
      </c>
      <c r="C636" s="100">
        <v>5.2</v>
      </c>
      <c r="D636" s="102"/>
    </row>
    <row r="637" spans="1:4" ht="15.75" hidden="1" customHeight="1" outlineLevel="1">
      <c r="A637" s="100" t="s">
        <v>41</v>
      </c>
      <c r="B637" s="101" t="s">
        <v>66</v>
      </c>
      <c r="C637" s="100">
        <v>5.3</v>
      </c>
      <c r="D637" s="102"/>
    </row>
    <row r="638" spans="1:4" ht="15.75" hidden="1" customHeight="1" outlineLevel="1">
      <c r="A638" s="100" t="s">
        <v>41</v>
      </c>
      <c r="B638" s="101" t="s">
        <v>80</v>
      </c>
      <c r="C638" s="100">
        <v>5.6</v>
      </c>
      <c r="D638" s="102"/>
    </row>
    <row r="639" spans="1:4" ht="15.75" hidden="1" customHeight="1" outlineLevel="1">
      <c r="A639" s="100" t="s">
        <v>41</v>
      </c>
      <c r="B639" s="101" t="s">
        <v>1082</v>
      </c>
      <c r="C639" s="103">
        <v>5.0999999999999996</v>
      </c>
      <c r="D639" s="102"/>
    </row>
    <row r="640" spans="1:4" ht="15.75" hidden="1" customHeight="1" outlineLevel="1">
      <c r="A640" s="100" t="s">
        <v>41</v>
      </c>
      <c r="B640" s="101" t="s">
        <v>91</v>
      </c>
      <c r="C640" s="100">
        <v>5.14</v>
      </c>
      <c r="D640" s="102"/>
    </row>
    <row r="641" spans="1:4" ht="15.75" hidden="1" customHeight="1" outlineLevel="1">
      <c r="A641" s="100" t="s">
        <v>41</v>
      </c>
      <c r="B641" s="101" t="s">
        <v>68</v>
      </c>
      <c r="C641" s="100">
        <v>5.19</v>
      </c>
      <c r="D641" s="102"/>
    </row>
    <row r="642" spans="1:4" ht="15.75" hidden="1" customHeight="1" outlineLevel="1">
      <c r="A642" s="100" t="s">
        <v>41</v>
      </c>
      <c r="B642" s="101" t="s">
        <v>82</v>
      </c>
      <c r="C642" s="100">
        <v>5.24</v>
      </c>
      <c r="D642" s="102"/>
    </row>
    <row r="643" spans="1:4" ht="15.75" hidden="1" customHeight="1" outlineLevel="1">
      <c r="A643" s="100" t="s">
        <v>41</v>
      </c>
      <c r="B643" s="101" t="s">
        <v>54</v>
      </c>
      <c r="C643" s="100">
        <v>5.26</v>
      </c>
      <c r="D643" s="102"/>
    </row>
    <row r="644" spans="1:4" ht="15.75" hidden="1" customHeight="1" outlineLevel="1">
      <c r="A644" s="100" t="s">
        <v>41</v>
      </c>
      <c r="B644" s="101" t="s">
        <v>55</v>
      </c>
      <c r="C644" s="100">
        <v>5.27</v>
      </c>
      <c r="D644" s="102"/>
    </row>
    <row r="645" spans="1:4" ht="15.75" hidden="1" customHeight="1" outlineLevel="1">
      <c r="A645" s="100" t="s">
        <v>41</v>
      </c>
      <c r="B645" s="101" t="s">
        <v>69</v>
      </c>
      <c r="C645" s="100">
        <v>5.28</v>
      </c>
      <c r="D645" s="102"/>
    </row>
    <row r="646" spans="1:4" ht="15.75" hidden="1" customHeight="1" outlineLevel="1">
      <c r="A646" s="100" t="s">
        <v>41</v>
      </c>
      <c r="B646" s="101" t="s">
        <v>56</v>
      </c>
      <c r="C646" s="100">
        <v>5.36</v>
      </c>
      <c r="D646" s="102"/>
    </row>
    <row r="647" spans="1:4" ht="15.75" hidden="1" customHeight="1" outlineLevel="1">
      <c r="A647" s="100" t="s">
        <v>41</v>
      </c>
      <c r="B647" s="101" t="s">
        <v>96</v>
      </c>
      <c r="C647" s="100">
        <v>5.33</v>
      </c>
      <c r="D647" s="102"/>
    </row>
    <row r="648" spans="1:4" ht="15.75" hidden="1" customHeight="1" outlineLevel="1">
      <c r="A648" s="100" t="s">
        <v>41</v>
      </c>
      <c r="B648" s="101" t="s">
        <v>97</v>
      </c>
      <c r="C648" s="100">
        <v>5.37</v>
      </c>
      <c r="D648" s="102"/>
    </row>
    <row r="649" spans="1:4" ht="15.75" hidden="1" customHeight="1" outlineLevel="1">
      <c r="A649" s="100" t="s">
        <v>41</v>
      </c>
      <c r="B649" s="101" t="s">
        <v>71</v>
      </c>
      <c r="C649" s="100">
        <v>5.49</v>
      </c>
      <c r="D649" s="102"/>
    </row>
    <row r="650" spans="1:4" ht="15.75" hidden="1" customHeight="1" outlineLevel="1">
      <c r="A650" s="100" t="s">
        <v>41</v>
      </c>
      <c r="B650" s="101" t="s">
        <v>58</v>
      </c>
      <c r="C650" s="100">
        <v>5.51</v>
      </c>
      <c r="D650" s="102"/>
    </row>
    <row r="651" spans="1:4" ht="15.75" hidden="1" customHeight="1" outlineLevel="1">
      <c r="A651" s="100" t="s">
        <v>41</v>
      </c>
      <c r="B651" s="101" t="s">
        <v>1083</v>
      </c>
      <c r="C651" s="100">
        <v>5.52</v>
      </c>
      <c r="D651" s="102"/>
    </row>
    <row r="652" spans="1:4" ht="15.75" hidden="1" customHeight="1" outlineLevel="1">
      <c r="A652" s="100" t="s">
        <v>41</v>
      </c>
      <c r="B652" s="101" t="s">
        <v>59</v>
      </c>
      <c r="C652" s="100">
        <v>5.53</v>
      </c>
      <c r="D652" s="102"/>
    </row>
    <row r="653" spans="1:4" ht="15.75" hidden="1" customHeight="1" outlineLevel="1">
      <c r="A653" s="100" t="s">
        <v>41</v>
      </c>
      <c r="B653" s="101" t="s">
        <v>72</v>
      </c>
      <c r="C653" s="100">
        <v>5.69</v>
      </c>
      <c r="D653" s="102"/>
    </row>
    <row r="654" spans="1:4" ht="15.75" hidden="1" customHeight="1" outlineLevel="1">
      <c r="A654" s="100" t="s">
        <v>41</v>
      </c>
      <c r="B654" s="101" t="s">
        <v>62</v>
      </c>
      <c r="C654" s="103">
        <v>5.7</v>
      </c>
      <c r="D654" s="102"/>
    </row>
    <row r="655" spans="1:4" ht="15.75" hidden="1" customHeight="1" outlineLevel="1">
      <c r="A655" s="100" t="s">
        <v>41</v>
      </c>
      <c r="B655" s="101" t="s">
        <v>74</v>
      </c>
      <c r="C655" s="100">
        <v>5.74</v>
      </c>
      <c r="D655" s="102"/>
    </row>
    <row r="656" spans="1:4" ht="15.75" hidden="1" customHeight="1" outlineLevel="1">
      <c r="A656" s="100" t="s">
        <v>41</v>
      </c>
      <c r="B656" s="101" t="s">
        <v>103</v>
      </c>
      <c r="C656" s="100">
        <v>5.109</v>
      </c>
      <c r="D656" s="102"/>
    </row>
    <row r="657" spans="1:4" ht="15.75" hidden="1" customHeight="1" outlineLevel="1">
      <c r="A657" s="100" t="s">
        <v>41</v>
      </c>
      <c r="B657" s="101" t="s">
        <v>104</v>
      </c>
      <c r="C657" s="100">
        <v>5.1109999999999998</v>
      </c>
      <c r="D657" s="102"/>
    </row>
    <row r="658" spans="1:4" ht="15.75" hidden="1" customHeight="1" outlineLevel="1">
      <c r="A658" s="100" t="s">
        <v>41</v>
      </c>
      <c r="B658" s="101" t="s">
        <v>106</v>
      </c>
      <c r="C658" s="100">
        <v>5.1120000000000001</v>
      </c>
      <c r="D658" s="102"/>
    </row>
    <row r="659" spans="1:4" ht="15.75" hidden="1" customHeight="1" outlineLevel="1">
      <c r="A659" s="100" t="s">
        <v>41</v>
      </c>
      <c r="B659" s="101" t="s">
        <v>76</v>
      </c>
      <c r="C659" s="100">
        <v>5.58</v>
      </c>
      <c r="D659" s="102"/>
    </row>
    <row r="660" spans="1:4" ht="15.75" hidden="1" customHeight="1" outlineLevel="1">
      <c r="A660" s="100" t="s">
        <v>41</v>
      </c>
      <c r="B660" s="101" t="s">
        <v>61</v>
      </c>
      <c r="C660" s="100">
        <v>5.54</v>
      </c>
      <c r="D660" s="102"/>
    </row>
    <row r="661" spans="1:4" ht="15.75" hidden="1" customHeight="1" outlineLevel="1">
      <c r="A661" s="100" t="s">
        <v>41</v>
      </c>
      <c r="B661" s="101" t="s">
        <v>77</v>
      </c>
      <c r="C661" s="100">
        <v>5.55</v>
      </c>
      <c r="D661" s="102"/>
    </row>
    <row r="662" spans="1:4" ht="15.75" hidden="1" customHeight="1" outlineLevel="1">
      <c r="A662" s="100" t="s">
        <v>41</v>
      </c>
      <c r="B662" s="101" t="s">
        <v>63</v>
      </c>
      <c r="C662" s="100">
        <v>5.63</v>
      </c>
      <c r="D662" s="102"/>
    </row>
    <row r="663" spans="1:4" ht="15.75" hidden="1" customHeight="1" outlineLevel="1">
      <c r="A663" s="100" t="s">
        <v>41</v>
      </c>
      <c r="B663" s="101" t="s">
        <v>64</v>
      </c>
      <c r="C663" s="100">
        <v>5.47</v>
      </c>
      <c r="D663" s="102"/>
    </row>
    <row r="664" spans="1:4" ht="15.75" hidden="1" customHeight="1" outlineLevel="1">
      <c r="A664" s="100" t="s">
        <v>41</v>
      </c>
      <c r="B664" s="101" t="s">
        <v>65</v>
      </c>
      <c r="C664" s="100">
        <v>5.48</v>
      </c>
      <c r="D664" s="102"/>
    </row>
    <row r="665" spans="1:4" ht="15.75" hidden="1" customHeight="1">
      <c r="A665" s="105" t="s">
        <v>41</v>
      </c>
      <c r="B665" s="101"/>
      <c r="C665" s="100"/>
      <c r="D665" s="102"/>
    </row>
    <row r="666" spans="1:4" ht="15.75" hidden="1" customHeight="1" outlineLevel="1">
      <c r="A666" s="100" t="s">
        <v>42</v>
      </c>
      <c r="B666" s="101" t="s">
        <v>49</v>
      </c>
      <c r="C666" s="100">
        <v>5.0999999999999996</v>
      </c>
      <c r="D666" s="102"/>
    </row>
    <row r="667" spans="1:4" ht="15.75" hidden="1" customHeight="1" outlineLevel="1">
      <c r="A667" s="100" t="s">
        <v>42</v>
      </c>
      <c r="B667" s="101" t="s">
        <v>50</v>
      </c>
      <c r="C667" s="100">
        <v>5.2</v>
      </c>
      <c r="D667" s="102"/>
    </row>
    <row r="668" spans="1:4" ht="15.75" hidden="1" customHeight="1" outlineLevel="1">
      <c r="A668" s="100" t="s">
        <v>42</v>
      </c>
      <c r="B668" s="101" t="s">
        <v>51</v>
      </c>
      <c r="C668" s="100">
        <v>5.4</v>
      </c>
      <c r="D668" s="102"/>
    </row>
    <row r="669" spans="1:4" ht="15.75" hidden="1" customHeight="1" outlineLevel="1">
      <c r="A669" s="100" t="s">
        <v>42</v>
      </c>
      <c r="B669" s="101" t="s">
        <v>52</v>
      </c>
      <c r="C669" s="100">
        <v>5.7</v>
      </c>
      <c r="D669" s="102"/>
    </row>
    <row r="670" spans="1:4" ht="15.75" hidden="1" customHeight="1" outlineLevel="1">
      <c r="A670" s="100" t="s">
        <v>42</v>
      </c>
      <c r="B670" s="101" t="s">
        <v>53</v>
      </c>
      <c r="C670" s="100">
        <v>5.1100000000000003</v>
      </c>
      <c r="D670" s="102"/>
    </row>
    <row r="671" spans="1:4" ht="15.75" hidden="1" customHeight="1" outlineLevel="1">
      <c r="A671" s="100" t="s">
        <v>42</v>
      </c>
      <c r="B671" s="101" t="s">
        <v>54</v>
      </c>
      <c r="C671" s="100">
        <v>5.26</v>
      </c>
      <c r="D671" s="102"/>
    </row>
    <row r="672" spans="1:4" ht="15.75" hidden="1" customHeight="1" outlineLevel="1">
      <c r="A672" s="100" t="s">
        <v>42</v>
      </c>
      <c r="B672" s="101" t="s">
        <v>173</v>
      </c>
      <c r="C672" s="100">
        <v>5.43</v>
      </c>
      <c r="D672" s="102"/>
    </row>
    <row r="673" spans="1:4" ht="15.75" hidden="1" customHeight="1" outlineLevel="1">
      <c r="A673" s="100" t="s">
        <v>42</v>
      </c>
      <c r="B673" s="101" t="s">
        <v>55</v>
      </c>
      <c r="C673" s="100">
        <v>5.27</v>
      </c>
      <c r="D673" s="102"/>
    </row>
    <row r="674" spans="1:4" ht="15.75" hidden="1" customHeight="1" outlineLevel="1">
      <c r="A674" s="100" t="s">
        <v>42</v>
      </c>
      <c r="B674" s="101" t="s">
        <v>69</v>
      </c>
      <c r="C674" s="100">
        <v>5.28</v>
      </c>
      <c r="D674" s="102"/>
    </row>
    <row r="675" spans="1:4" ht="15.75" hidden="1" customHeight="1" outlineLevel="1">
      <c r="A675" s="100" t="s">
        <v>42</v>
      </c>
      <c r="B675" s="101" t="s">
        <v>56</v>
      </c>
      <c r="C675" s="100">
        <v>5.36</v>
      </c>
      <c r="D675" s="102"/>
    </row>
    <row r="676" spans="1:4" ht="15.75" hidden="1" customHeight="1" outlineLevel="1">
      <c r="A676" s="100" t="s">
        <v>42</v>
      </c>
      <c r="B676" s="101" t="s">
        <v>57</v>
      </c>
      <c r="C676" s="103">
        <v>5.5</v>
      </c>
      <c r="D676" s="102"/>
    </row>
    <row r="677" spans="1:4" ht="15.75" hidden="1" customHeight="1" outlineLevel="1">
      <c r="A677" s="100" t="s">
        <v>42</v>
      </c>
      <c r="B677" s="101" t="s">
        <v>58</v>
      </c>
      <c r="C677" s="100">
        <v>5.51</v>
      </c>
      <c r="D677" s="102"/>
    </row>
    <row r="678" spans="1:4" ht="15.75" hidden="1" customHeight="1" outlineLevel="1">
      <c r="A678" s="100" t="s">
        <v>42</v>
      </c>
      <c r="B678" s="101" t="s">
        <v>59</v>
      </c>
      <c r="C678" s="100">
        <v>5.53</v>
      </c>
      <c r="D678" s="102"/>
    </row>
    <row r="679" spans="1:4" ht="15.75" hidden="1" customHeight="1" outlineLevel="1">
      <c r="A679" s="100" t="s">
        <v>42</v>
      </c>
      <c r="B679" s="101" t="s">
        <v>72</v>
      </c>
      <c r="C679" s="100">
        <v>5.69</v>
      </c>
      <c r="D679" s="102"/>
    </row>
    <row r="680" spans="1:4" ht="15.75" hidden="1" customHeight="1" outlineLevel="1">
      <c r="A680" s="100" t="s">
        <v>42</v>
      </c>
      <c r="B680" s="101" t="s">
        <v>62</v>
      </c>
      <c r="C680" s="103">
        <v>5.7</v>
      </c>
      <c r="D680" s="104" t="s">
        <v>1081</v>
      </c>
    </row>
    <row r="681" spans="1:4" ht="15.75" hidden="1" customHeight="1" outlineLevel="1">
      <c r="A681" s="100" t="s">
        <v>42</v>
      </c>
      <c r="B681" s="101" t="s">
        <v>74</v>
      </c>
      <c r="C681" s="100">
        <v>5.74</v>
      </c>
      <c r="D681" s="102"/>
    </row>
    <row r="682" spans="1:4" ht="15.75" hidden="1" customHeight="1" outlineLevel="1">
      <c r="A682" s="100" t="s">
        <v>42</v>
      </c>
      <c r="B682" s="101" t="s">
        <v>60</v>
      </c>
      <c r="C682" s="100">
        <v>5.59</v>
      </c>
      <c r="D682" s="102"/>
    </row>
    <row r="683" spans="1:4" ht="15.75" hidden="1" customHeight="1" outlineLevel="1">
      <c r="A683" s="100" t="s">
        <v>42</v>
      </c>
      <c r="B683" s="101" t="s">
        <v>61</v>
      </c>
      <c r="C683" s="100">
        <v>5.54</v>
      </c>
      <c r="D683" s="102"/>
    </row>
    <row r="684" spans="1:4" ht="15.75" hidden="1" customHeight="1" outlineLevel="1">
      <c r="A684" s="100" t="s">
        <v>42</v>
      </c>
      <c r="B684" s="101" t="s">
        <v>174</v>
      </c>
      <c r="C684" s="100">
        <v>5.57</v>
      </c>
      <c r="D684" s="102"/>
    </row>
    <row r="685" spans="1:4" ht="15.75" hidden="1" customHeight="1" outlineLevel="1">
      <c r="A685" s="100" t="s">
        <v>42</v>
      </c>
      <c r="B685" s="101" t="s">
        <v>63</v>
      </c>
      <c r="C685" s="100">
        <v>5.63</v>
      </c>
      <c r="D685" s="102"/>
    </row>
    <row r="686" spans="1:4" ht="15.75" hidden="1" customHeight="1" outlineLevel="1">
      <c r="A686" s="100" t="s">
        <v>42</v>
      </c>
      <c r="B686" s="101" t="s">
        <v>64</v>
      </c>
      <c r="C686" s="100">
        <v>5.47</v>
      </c>
      <c r="D686" s="102"/>
    </row>
    <row r="687" spans="1:4" ht="15.75" hidden="1" customHeight="1" outlineLevel="1">
      <c r="A687" s="100" t="s">
        <v>42</v>
      </c>
      <c r="B687" s="101" t="s">
        <v>65</v>
      </c>
      <c r="C687" s="100">
        <v>5.48</v>
      </c>
      <c r="D687" s="102"/>
    </row>
    <row r="688" spans="1:4" ht="15.75" hidden="1" customHeight="1">
      <c r="A688" s="105" t="s">
        <v>42</v>
      </c>
      <c r="B688" s="101"/>
      <c r="C688" s="100"/>
      <c r="D688" s="102"/>
    </row>
    <row r="689" spans="1:4" ht="15.75" hidden="1" customHeight="1" outlineLevel="1">
      <c r="A689" s="100" t="s">
        <v>43</v>
      </c>
      <c r="B689" s="101" t="s">
        <v>49</v>
      </c>
      <c r="C689" s="100">
        <v>5.0999999999999996</v>
      </c>
      <c r="D689" s="102"/>
    </row>
    <row r="690" spans="1:4" ht="15.75" hidden="1" customHeight="1" outlineLevel="1">
      <c r="A690" s="100" t="s">
        <v>43</v>
      </c>
      <c r="B690" s="101" t="s">
        <v>50</v>
      </c>
      <c r="C690" s="100">
        <v>5.2</v>
      </c>
      <c r="D690" s="102"/>
    </row>
    <row r="691" spans="1:4" ht="15.75" hidden="1" customHeight="1" outlineLevel="1">
      <c r="A691" s="100" t="s">
        <v>43</v>
      </c>
      <c r="B691" s="101" t="s">
        <v>175</v>
      </c>
      <c r="C691" s="100">
        <v>5.17</v>
      </c>
      <c r="D691" s="102"/>
    </row>
    <row r="692" spans="1:4" ht="15.75" hidden="1" customHeight="1" outlineLevel="1">
      <c r="A692" s="100" t="s">
        <v>43</v>
      </c>
      <c r="B692" s="101" t="s">
        <v>54</v>
      </c>
      <c r="C692" s="100">
        <v>5.26</v>
      </c>
      <c r="D692" s="102"/>
    </row>
    <row r="693" spans="1:4" ht="15.75" hidden="1" customHeight="1" outlineLevel="1">
      <c r="A693" s="100" t="s">
        <v>43</v>
      </c>
      <c r="B693" s="101" t="s">
        <v>176</v>
      </c>
      <c r="C693" s="100">
        <v>5.1029999999999998</v>
      </c>
      <c r="D693" s="102"/>
    </row>
    <row r="694" spans="1:4" ht="15.75" hidden="1" customHeight="1" outlineLevel="1">
      <c r="A694" s="100" t="s">
        <v>43</v>
      </c>
      <c r="B694" s="101" t="s">
        <v>56</v>
      </c>
      <c r="C694" s="100">
        <v>5.36</v>
      </c>
      <c r="D694" s="102"/>
    </row>
    <row r="695" spans="1:4" ht="15.75" hidden="1" customHeight="1" outlineLevel="1">
      <c r="A695" s="100" t="s">
        <v>43</v>
      </c>
      <c r="B695" s="101" t="s">
        <v>97</v>
      </c>
      <c r="C695" s="100">
        <v>5.37</v>
      </c>
      <c r="D695" s="102"/>
    </row>
    <row r="696" spans="1:4" ht="15.75" hidden="1" customHeight="1" outlineLevel="1">
      <c r="A696" s="100" t="s">
        <v>43</v>
      </c>
      <c r="B696" s="101" t="s">
        <v>177</v>
      </c>
      <c r="C696" s="100">
        <v>5.1040000000000001</v>
      </c>
      <c r="D696" s="102"/>
    </row>
    <row r="697" spans="1:4" ht="15.75" hidden="1" customHeight="1" outlineLevel="1">
      <c r="A697" s="100" t="s">
        <v>43</v>
      </c>
      <c r="B697" s="101" t="s">
        <v>178</v>
      </c>
      <c r="C697" s="100">
        <v>5.1050000000000004</v>
      </c>
      <c r="D697" s="102"/>
    </row>
    <row r="698" spans="1:4" ht="15.75" hidden="1" customHeight="1" outlineLevel="1">
      <c r="A698" s="100" t="s">
        <v>43</v>
      </c>
      <c r="B698" s="101" t="s">
        <v>179</v>
      </c>
      <c r="C698" s="100">
        <v>5.1059999999999999</v>
      </c>
      <c r="D698" s="102"/>
    </row>
    <row r="699" spans="1:4" ht="15.75" hidden="1" customHeight="1" outlineLevel="1">
      <c r="A699" s="100" t="s">
        <v>43</v>
      </c>
      <c r="B699" s="101" t="s">
        <v>180</v>
      </c>
      <c r="C699" s="100">
        <v>5.1070000000000002</v>
      </c>
      <c r="D699" s="102"/>
    </row>
    <row r="700" spans="1:4" ht="15.75" hidden="1" customHeight="1" outlineLevel="1">
      <c r="A700" s="100" t="s">
        <v>43</v>
      </c>
      <c r="B700" s="101" t="s">
        <v>875</v>
      </c>
      <c r="C700" s="100">
        <v>5.1079999999999997</v>
      </c>
      <c r="D700" s="104" t="s">
        <v>1081</v>
      </c>
    </row>
    <row r="701" spans="1:4" ht="15.75" hidden="1" customHeight="1" outlineLevel="1">
      <c r="A701" s="100" t="s">
        <v>43</v>
      </c>
      <c r="B701" s="101" t="s">
        <v>103</v>
      </c>
      <c r="C701" s="100">
        <v>5.109</v>
      </c>
      <c r="D701" s="102"/>
    </row>
    <row r="702" spans="1:4" ht="15.75" hidden="1" customHeight="1" outlineLevel="1">
      <c r="A702" s="100" t="s">
        <v>43</v>
      </c>
      <c r="B702" s="101" t="s">
        <v>105</v>
      </c>
      <c r="C702" s="106">
        <v>5.1100000000000003</v>
      </c>
      <c r="D702" s="104" t="s">
        <v>1081</v>
      </c>
    </row>
    <row r="703" spans="1:4" ht="15.75" hidden="1" customHeight="1" outlineLevel="1">
      <c r="A703" s="100" t="s">
        <v>43</v>
      </c>
      <c r="B703" s="101" t="s">
        <v>104</v>
      </c>
      <c r="C703" s="100">
        <v>5.1109999999999998</v>
      </c>
      <c r="D703" s="102"/>
    </row>
    <row r="704" spans="1:4" ht="15.75" hidden="1" customHeight="1" outlineLevel="1">
      <c r="A704" s="100" t="s">
        <v>43</v>
      </c>
      <c r="B704" s="101" t="s">
        <v>106</v>
      </c>
      <c r="C704" s="100">
        <v>5.1120000000000001</v>
      </c>
      <c r="D704" s="102"/>
    </row>
    <row r="705" spans="1:4" ht="15.75" hidden="1" customHeight="1" outlineLevel="1">
      <c r="A705" s="100" t="s">
        <v>43</v>
      </c>
      <c r="B705" s="101" t="s">
        <v>59</v>
      </c>
      <c r="C705" s="100">
        <v>5.53</v>
      </c>
      <c r="D705" s="102"/>
    </row>
    <row r="706" spans="1:4" ht="15.75" hidden="1" customHeight="1" outlineLevel="1">
      <c r="A706" s="100" t="s">
        <v>43</v>
      </c>
      <c r="B706" s="101" t="s">
        <v>172</v>
      </c>
      <c r="C706" s="100">
        <v>5.64</v>
      </c>
      <c r="D706" s="102"/>
    </row>
    <row r="707" spans="1:4" ht="15.75" hidden="1" customHeight="1" outlineLevel="1">
      <c r="A707" s="100" t="s">
        <v>43</v>
      </c>
      <c r="B707" s="101" t="s">
        <v>63</v>
      </c>
      <c r="C707" s="100">
        <v>5.63</v>
      </c>
      <c r="D707" s="102"/>
    </row>
    <row r="708" spans="1:4" ht="15.75" hidden="1" customHeight="1" outlineLevel="1">
      <c r="A708" s="100" t="s">
        <v>43</v>
      </c>
      <c r="B708" s="101" t="s">
        <v>78</v>
      </c>
      <c r="C708" s="100">
        <v>5.65</v>
      </c>
      <c r="D708" s="102"/>
    </row>
    <row r="709" spans="1:4" ht="15.75" hidden="1" customHeight="1" outlineLevel="1">
      <c r="A709" s="100" t="s">
        <v>43</v>
      </c>
      <c r="B709" s="101" t="s">
        <v>88</v>
      </c>
      <c r="C709" s="100">
        <v>5.66</v>
      </c>
      <c r="D709" s="102"/>
    </row>
    <row r="710" spans="1:4" ht="15.75" hidden="1" customHeight="1" outlineLevel="1">
      <c r="A710" s="100" t="s">
        <v>43</v>
      </c>
      <c r="B710" s="101" t="s">
        <v>17</v>
      </c>
      <c r="C710" s="100">
        <v>5.68</v>
      </c>
      <c r="D710" s="102"/>
    </row>
    <row r="711" spans="1:4" ht="15.75" hidden="1" customHeight="1" outlineLevel="1">
      <c r="A711" s="100" t="s">
        <v>43</v>
      </c>
      <c r="B711" s="101" t="s">
        <v>64</v>
      </c>
      <c r="C711" s="100">
        <v>5.47</v>
      </c>
      <c r="D711" s="102"/>
    </row>
    <row r="712" spans="1:4" ht="15.75" hidden="1" customHeight="1" outlineLevel="1">
      <c r="A712" s="100" t="s">
        <v>43</v>
      </c>
      <c r="B712" s="101" t="s">
        <v>65</v>
      </c>
      <c r="C712" s="100">
        <v>5.48</v>
      </c>
      <c r="D712" s="102"/>
    </row>
    <row r="713" spans="1:4" ht="15.75" hidden="1" customHeight="1">
      <c r="A713" s="105" t="s">
        <v>43</v>
      </c>
      <c r="B713" s="101"/>
      <c r="C713" s="100"/>
      <c r="D713" s="102"/>
    </row>
    <row r="714" spans="1:4" ht="15.75" hidden="1" customHeight="1" outlineLevel="1">
      <c r="A714" s="100" t="s">
        <v>1093</v>
      </c>
      <c r="B714" s="101" t="s">
        <v>49</v>
      </c>
      <c r="C714" s="100">
        <v>5.0999999999999996</v>
      </c>
      <c r="D714" s="102"/>
    </row>
    <row r="715" spans="1:4" ht="15.75" hidden="1" customHeight="1" outlineLevel="1">
      <c r="A715" s="100" t="s">
        <v>1093</v>
      </c>
      <c r="B715" s="101" t="s">
        <v>50</v>
      </c>
      <c r="C715" s="100">
        <v>5.2</v>
      </c>
      <c r="D715" s="102"/>
    </row>
    <row r="716" spans="1:4" ht="15.75" hidden="1" customHeight="1" outlineLevel="1">
      <c r="A716" s="100" t="s">
        <v>1093</v>
      </c>
      <c r="B716" s="101" t="s">
        <v>66</v>
      </c>
      <c r="C716" s="100">
        <v>5.3</v>
      </c>
      <c r="D716" s="102"/>
    </row>
    <row r="717" spans="1:4" ht="15.75" hidden="1" customHeight="1" outlineLevel="1">
      <c r="A717" s="100" t="s">
        <v>1093</v>
      </c>
      <c r="B717" s="101" t="s">
        <v>80</v>
      </c>
      <c r="C717" s="100">
        <v>5.6</v>
      </c>
      <c r="D717" s="102"/>
    </row>
    <row r="718" spans="1:4" ht="15.75" hidden="1" customHeight="1" outlineLevel="1">
      <c r="A718" s="100" t="s">
        <v>1093</v>
      </c>
      <c r="B718" s="101" t="s">
        <v>1082</v>
      </c>
      <c r="C718" s="103">
        <v>5.0999999999999996</v>
      </c>
      <c r="D718" s="102"/>
    </row>
    <row r="719" spans="1:4" ht="15.75" hidden="1" customHeight="1" outlineLevel="1">
      <c r="A719" s="100" t="s">
        <v>1093</v>
      </c>
      <c r="B719" s="101" t="s">
        <v>91</v>
      </c>
      <c r="C719" s="100">
        <v>5.14</v>
      </c>
      <c r="D719" s="102"/>
    </row>
    <row r="720" spans="1:4" ht="15.75" hidden="1" customHeight="1" outlineLevel="1">
      <c r="A720" s="100" t="s">
        <v>1093</v>
      </c>
      <c r="B720" s="101" t="s">
        <v>68</v>
      </c>
      <c r="C720" s="100">
        <v>5.19</v>
      </c>
      <c r="D720" s="102"/>
    </row>
    <row r="721" spans="1:4" ht="15.75" hidden="1" customHeight="1" outlineLevel="1">
      <c r="A721" s="100" t="s">
        <v>1093</v>
      </c>
      <c r="B721" s="101" t="s">
        <v>82</v>
      </c>
      <c r="C721" s="100">
        <v>5.24</v>
      </c>
      <c r="D721" s="102"/>
    </row>
    <row r="722" spans="1:4" ht="15.75" hidden="1" customHeight="1" outlineLevel="1">
      <c r="A722" s="100" t="s">
        <v>1093</v>
      </c>
      <c r="B722" s="101" t="s">
        <v>54</v>
      </c>
      <c r="C722" s="100">
        <v>5.26</v>
      </c>
      <c r="D722" s="102"/>
    </row>
    <row r="723" spans="1:4" ht="15.75" hidden="1" customHeight="1" outlineLevel="1">
      <c r="A723" s="100" t="s">
        <v>1093</v>
      </c>
      <c r="B723" s="101" t="s">
        <v>55</v>
      </c>
      <c r="C723" s="100">
        <v>5.27</v>
      </c>
      <c r="D723" s="102"/>
    </row>
    <row r="724" spans="1:4" ht="15.75" hidden="1" customHeight="1" outlineLevel="1">
      <c r="A724" s="100" t="s">
        <v>1093</v>
      </c>
      <c r="B724" s="101" t="s">
        <v>69</v>
      </c>
      <c r="C724" s="100">
        <v>5.28</v>
      </c>
      <c r="D724" s="102"/>
    </row>
    <row r="725" spans="1:4" ht="15.75" hidden="1" customHeight="1" outlineLevel="1">
      <c r="A725" s="100" t="s">
        <v>1093</v>
      </c>
      <c r="B725" s="101" t="s">
        <v>83</v>
      </c>
      <c r="C725" s="100">
        <v>5.31</v>
      </c>
      <c r="D725" s="102"/>
    </row>
    <row r="726" spans="1:4" ht="15.75" hidden="1" customHeight="1" outlineLevel="1">
      <c r="A726" s="100" t="s">
        <v>1093</v>
      </c>
      <c r="B726" s="101" t="s">
        <v>56</v>
      </c>
      <c r="C726" s="100">
        <v>5.36</v>
      </c>
      <c r="D726" s="102"/>
    </row>
    <row r="727" spans="1:4" ht="15.75" hidden="1" customHeight="1" outlineLevel="1">
      <c r="A727" s="100" t="s">
        <v>1093</v>
      </c>
      <c r="B727" s="101" t="s">
        <v>59</v>
      </c>
      <c r="C727" s="100">
        <v>5.53</v>
      </c>
      <c r="D727" s="102"/>
    </row>
    <row r="728" spans="1:4" ht="15.75" hidden="1" customHeight="1" outlineLevel="1">
      <c r="A728" s="100" t="s">
        <v>1093</v>
      </c>
      <c r="B728" s="101" t="s">
        <v>103</v>
      </c>
      <c r="C728" s="100">
        <v>5.109</v>
      </c>
      <c r="D728" s="102"/>
    </row>
    <row r="729" spans="1:4" ht="15.75" hidden="1" customHeight="1" outlineLevel="1">
      <c r="A729" s="100" t="s">
        <v>1093</v>
      </c>
      <c r="B729" s="101" t="s">
        <v>104</v>
      </c>
      <c r="C729" s="100">
        <v>5.1109999999999998</v>
      </c>
      <c r="D729" s="102"/>
    </row>
    <row r="730" spans="1:4" ht="15.75" hidden="1" customHeight="1" outlineLevel="1">
      <c r="A730" s="100" t="s">
        <v>1093</v>
      </c>
      <c r="B730" s="101" t="s">
        <v>106</v>
      </c>
      <c r="C730" s="100">
        <v>5.1120000000000001</v>
      </c>
      <c r="D730" s="102"/>
    </row>
    <row r="731" spans="1:4" ht="15.75" hidden="1" customHeight="1" outlineLevel="1">
      <c r="A731" s="100" t="s">
        <v>1093</v>
      </c>
      <c r="B731" s="101" t="s">
        <v>1086</v>
      </c>
      <c r="C731" s="100">
        <v>5.1130000000000004</v>
      </c>
      <c r="D731" s="102"/>
    </row>
    <row r="732" spans="1:4" ht="15.75" hidden="1" customHeight="1" outlineLevel="1">
      <c r="A732" s="100" t="s">
        <v>1093</v>
      </c>
      <c r="B732" s="101" t="s">
        <v>182</v>
      </c>
      <c r="C732" s="100">
        <v>5.117</v>
      </c>
      <c r="D732" s="102"/>
    </row>
    <row r="733" spans="1:4" ht="15.75" hidden="1" customHeight="1" outlineLevel="1">
      <c r="A733" s="100" t="s">
        <v>1093</v>
      </c>
      <c r="B733" s="101" t="s">
        <v>183</v>
      </c>
      <c r="C733" s="100">
        <v>5.67</v>
      </c>
      <c r="D733" s="102"/>
    </row>
    <row r="734" spans="1:4" ht="15.75" hidden="1" customHeight="1" outlineLevel="1">
      <c r="A734" s="100" t="s">
        <v>1093</v>
      </c>
      <c r="B734" s="101" t="s">
        <v>63</v>
      </c>
      <c r="C734" s="100">
        <v>5.63</v>
      </c>
      <c r="D734" s="102"/>
    </row>
    <row r="735" spans="1:4" ht="15.75" hidden="1" customHeight="1" outlineLevel="1">
      <c r="A735" s="100" t="s">
        <v>1093</v>
      </c>
      <c r="B735" s="101" t="s">
        <v>64</v>
      </c>
      <c r="C735" s="100">
        <v>5.47</v>
      </c>
      <c r="D735" s="102"/>
    </row>
    <row r="736" spans="1:4" ht="15.75" hidden="1" customHeight="1" outlineLevel="1">
      <c r="A736" s="100" t="s">
        <v>1093</v>
      </c>
      <c r="B736" s="101" t="s">
        <v>65</v>
      </c>
      <c r="C736" s="100">
        <v>5.48</v>
      </c>
      <c r="D736" s="102"/>
    </row>
    <row r="737" spans="1:4" ht="15.75" hidden="1" customHeight="1">
      <c r="A737" s="105" t="s">
        <v>1094</v>
      </c>
      <c r="B737" s="101"/>
      <c r="C737" s="100"/>
      <c r="D737" s="102"/>
    </row>
    <row r="738" spans="1:4" ht="15.75" hidden="1" customHeight="1" outlineLevel="1">
      <c r="A738" s="100" t="s">
        <v>45</v>
      </c>
      <c r="B738" s="101" t="s">
        <v>49</v>
      </c>
      <c r="C738" s="100">
        <v>5.0999999999999996</v>
      </c>
      <c r="D738" s="102"/>
    </row>
    <row r="739" spans="1:4" ht="15.75" hidden="1" customHeight="1" outlineLevel="1">
      <c r="A739" s="100" t="s">
        <v>45</v>
      </c>
      <c r="B739" s="101" t="s">
        <v>50</v>
      </c>
      <c r="C739" s="100">
        <v>5.2</v>
      </c>
      <c r="D739" s="102"/>
    </row>
    <row r="740" spans="1:4" ht="15.75" hidden="1" customHeight="1" outlineLevel="1">
      <c r="A740" s="100" t="s">
        <v>45</v>
      </c>
      <c r="B740" s="101" t="s">
        <v>184</v>
      </c>
      <c r="C740" s="100">
        <v>5.18</v>
      </c>
      <c r="D740" s="102"/>
    </row>
    <row r="741" spans="1:4" ht="15.75" hidden="1" customHeight="1" outlineLevel="1">
      <c r="A741" s="100" t="s">
        <v>45</v>
      </c>
      <c r="B741" s="101" t="s">
        <v>185</v>
      </c>
      <c r="C741" s="100">
        <v>5.23</v>
      </c>
      <c r="D741" s="102"/>
    </row>
    <row r="742" spans="1:4" ht="15.75" hidden="1" customHeight="1" outlineLevel="1">
      <c r="A742" s="100" t="s">
        <v>45</v>
      </c>
      <c r="B742" s="101" t="s">
        <v>54</v>
      </c>
      <c r="C742" s="100">
        <v>5.26</v>
      </c>
      <c r="D742" s="102"/>
    </row>
    <row r="743" spans="1:4" ht="15.75" hidden="1" customHeight="1" outlineLevel="1">
      <c r="A743" s="100" t="s">
        <v>45</v>
      </c>
      <c r="B743" s="101" t="s">
        <v>55</v>
      </c>
      <c r="C743" s="100">
        <v>5.27</v>
      </c>
      <c r="D743" s="102"/>
    </row>
    <row r="744" spans="1:4" ht="15.75" hidden="1" customHeight="1" outlineLevel="1">
      <c r="A744" s="100" t="s">
        <v>45</v>
      </c>
      <c r="B744" s="101" t="s">
        <v>69</v>
      </c>
      <c r="C744" s="100">
        <v>5.28</v>
      </c>
      <c r="D744" s="102"/>
    </row>
    <row r="745" spans="1:4" ht="15.75" hidden="1" customHeight="1" outlineLevel="1">
      <c r="A745" s="100" t="s">
        <v>45</v>
      </c>
      <c r="B745" s="101" t="s">
        <v>56</v>
      </c>
      <c r="C745" s="100">
        <v>5.36</v>
      </c>
      <c r="D745" s="102"/>
    </row>
    <row r="746" spans="1:4" ht="15.75" hidden="1" customHeight="1" outlineLevel="1">
      <c r="A746" s="100" t="s">
        <v>45</v>
      </c>
      <c r="B746" s="101" t="s">
        <v>186</v>
      </c>
      <c r="C746" s="100">
        <v>5.44</v>
      </c>
      <c r="D746" s="102"/>
    </row>
    <row r="747" spans="1:4" ht="15.75" hidden="1" customHeight="1" outlineLevel="1">
      <c r="A747" s="100" t="s">
        <v>45</v>
      </c>
      <c r="B747" s="101" t="s">
        <v>59</v>
      </c>
      <c r="C747" s="100">
        <v>5.53</v>
      </c>
      <c r="D747" s="102"/>
    </row>
    <row r="748" spans="1:4" ht="15.75" hidden="1" customHeight="1" outlineLevel="1">
      <c r="A748" s="100" t="s">
        <v>45</v>
      </c>
      <c r="B748" s="101" t="s">
        <v>106</v>
      </c>
      <c r="C748" s="100">
        <v>5.1120000000000001</v>
      </c>
      <c r="D748" s="102"/>
    </row>
    <row r="749" spans="1:4" ht="15.75" hidden="1" customHeight="1" outlineLevel="1">
      <c r="A749" s="100" t="s">
        <v>45</v>
      </c>
      <c r="B749" s="101" t="s">
        <v>60</v>
      </c>
      <c r="C749" s="100">
        <v>5.59</v>
      </c>
      <c r="D749" s="102"/>
    </row>
    <row r="750" spans="1:4" ht="15.75" hidden="1" customHeight="1" outlineLevel="1">
      <c r="A750" s="100" t="s">
        <v>45</v>
      </c>
      <c r="B750" s="101" t="s">
        <v>61</v>
      </c>
      <c r="C750" s="100">
        <v>5.54</v>
      </c>
      <c r="D750" s="102"/>
    </row>
    <row r="751" spans="1:4" ht="15.75" hidden="1" customHeight="1" outlineLevel="1">
      <c r="A751" s="100" t="s">
        <v>45</v>
      </c>
      <c r="B751" s="101" t="s">
        <v>63</v>
      </c>
      <c r="C751" s="100">
        <v>5.63</v>
      </c>
      <c r="D751" s="102"/>
    </row>
    <row r="752" spans="1:4" ht="15.75" hidden="1" customHeight="1" outlineLevel="1">
      <c r="A752" s="100" t="s">
        <v>45</v>
      </c>
      <c r="B752" s="101" t="s">
        <v>78</v>
      </c>
      <c r="C752" s="100">
        <v>5.65</v>
      </c>
      <c r="D752" s="102"/>
    </row>
    <row r="753" spans="1:4" ht="15.75" hidden="1" customHeight="1" outlineLevel="1">
      <c r="A753" s="100" t="s">
        <v>45</v>
      </c>
      <c r="B753" s="101" t="s">
        <v>17</v>
      </c>
      <c r="C753" s="100">
        <v>5.68</v>
      </c>
      <c r="D753" s="102"/>
    </row>
    <row r="754" spans="1:4" ht="15.75" hidden="1" customHeight="1" outlineLevel="1">
      <c r="A754" s="100" t="s">
        <v>45</v>
      </c>
      <c r="B754" s="101" t="s">
        <v>64</v>
      </c>
      <c r="C754" s="100">
        <v>5.47</v>
      </c>
      <c r="D754" s="102"/>
    </row>
    <row r="755" spans="1:4" ht="15.75" hidden="1" customHeight="1" outlineLevel="1">
      <c r="A755" s="100" t="s">
        <v>45</v>
      </c>
      <c r="B755" s="101" t="s">
        <v>65</v>
      </c>
      <c r="C755" s="100">
        <v>5.48</v>
      </c>
      <c r="D755" s="102"/>
    </row>
    <row r="756" spans="1:4" ht="15.75" hidden="1" customHeight="1">
      <c r="A756" s="105" t="s">
        <v>45</v>
      </c>
      <c r="B756" s="101"/>
      <c r="C756" s="100"/>
      <c r="D756" s="102"/>
    </row>
    <row r="757" spans="1:4" ht="15.75" hidden="1" customHeight="1" outlineLevel="1">
      <c r="A757" s="100" t="s">
        <v>47</v>
      </c>
      <c r="B757" s="101" t="s">
        <v>49</v>
      </c>
      <c r="C757" s="100">
        <v>5.0999999999999996</v>
      </c>
      <c r="D757" s="102"/>
    </row>
    <row r="758" spans="1:4" ht="15.75" hidden="1" customHeight="1" outlineLevel="1">
      <c r="A758" s="100" t="s">
        <v>47</v>
      </c>
      <c r="B758" s="101" t="s">
        <v>50</v>
      </c>
      <c r="C758" s="100">
        <v>5.2</v>
      </c>
      <c r="D758" s="102"/>
    </row>
    <row r="759" spans="1:4" ht="15.75" hidden="1" customHeight="1" outlineLevel="1">
      <c r="A759" s="100" t="s">
        <v>47</v>
      </c>
      <c r="B759" s="101" t="s">
        <v>150</v>
      </c>
      <c r="C759" s="100">
        <v>5.9</v>
      </c>
      <c r="D759" s="104" t="s">
        <v>1081</v>
      </c>
    </row>
    <row r="760" spans="1:4" ht="15.75" hidden="1" customHeight="1" outlineLevel="1">
      <c r="A760" s="100" t="s">
        <v>47</v>
      </c>
      <c r="B760" s="101" t="s">
        <v>151</v>
      </c>
      <c r="C760" s="100">
        <v>5.13</v>
      </c>
      <c r="D760" s="102"/>
    </row>
    <row r="761" spans="1:4" ht="15.75" hidden="1" customHeight="1" outlineLevel="1">
      <c r="A761" s="100" t="s">
        <v>47</v>
      </c>
      <c r="B761" s="101" t="s">
        <v>152</v>
      </c>
      <c r="C761" s="100">
        <v>5.16</v>
      </c>
      <c r="D761" s="104" t="s">
        <v>1081</v>
      </c>
    </row>
    <row r="762" spans="1:4" ht="15.75" hidden="1" customHeight="1" outlineLevel="1">
      <c r="A762" s="100" t="s">
        <v>47</v>
      </c>
      <c r="B762" s="101" t="s">
        <v>153</v>
      </c>
      <c r="C762" s="100">
        <v>5.22</v>
      </c>
      <c r="D762" s="104"/>
    </row>
    <row r="763" spans="1:4" ht="15.75" hidden="1" customHeight="1" outlineLevel="1">
      <c r="A763" s="100" t="s">
        <v>47</v>
      </c>
      <c r="B763" s="101" t="s">
        <v>187</v>
      </c>
      <c r="C763" s="100">
        <v>5.42</v>
      </c>
      <c r="D763" s="102"/>
    </row>
    <row r="764" spans="1:4" ht="15.75" hidden="1" customHeight="1" outlineLevel="1">
      <c r="A764" s="100" t="s">
        <v>47</v>
      </c>
      <c r="B764" s="101" t="s">
        <v>55</v>
      </c>
      <c r="C764" s="100">
        <v>5.27</v>
      </c>
      <c r="D764" s="102"/>
    </row>
    <row r="765" spans="1:4" ht="15.75" hidden="1" customHeight="1" outlineLevel="1">
      <c r="A765" s="100" t="s">
        <v>47</v>
      </c>
      <c r="B765" s="101" t="s">
        <v>69</v>
      </c>
      <c r="C765" s="100">
        <v>5.28</v>
      </c>
      <c r="D765" s="104" t="s">
        <v>1081</v>
      </c>
    </row>
    <row r="766" spans="1:4" ht="15.75" hidden="1" customHeight="1" outlineLevel="1">
      <c r="A766" s="100" t="s">
        <v>47</v>
      </c>
      <c r="B766" s="101" t="s">
        <v>56</v>
      </c>
      <c r="C766" s="100">
        <v>5.36</v>
      </c>
      <c r="D766" s="102"/>
    </row>
    <row r="767" spans="1:4" ht="15.75" hidden="1" customHeight="1" outlineLevel="1">
      <c r="A767" s="100" t="s">
        <v>47</v>
      </c>
      <c r="B767" s="101" t="s">
        <v>71</v>
      </c>
      <c r="C767" s="100">
        <v>5.49</v>
      </c>
      <c r="D767" s="102"/>
    </row>
    <row r="768" spans="1:4" ht="15.75" hidden="1" customHeight="1" outlineLevel="1">
      <c r="A768" s="100" t="s">
        <v>47</v>
      </c>
      <c r="B768" s="101" t="s">
        <v>58</v>
      </c>
      <c r="C768" s="100">
        <v>5.51</v>
      </c>
      <c r="D768" s="102"/>
    </row>
    <row r="769" spans="1:4" ht="15.75" hidden="1" customHeight="1" outlineLevel="1">
      <c r="A769" s="100" t="s">
        <v>47</v>
      </c>
      <c r="B769" s="101" t="s">
        <v>1092</v>
      </c>
      <c r="C769" s="100">
        <v>5.52</v>
      </c>
      <c r="D769" s="102"/>
    </row>
    <row r="770" spans="1:4" ht="15.75" hidden="1" customHeight="1" outlineLevel="1">
      <c r="A770" s="100" t="s">
        <v>47</v>
      </c>
      <c r="B770" s="101" t="s">
        <v>59</v>
      </c>
      <c r="C770" s="100">
        <v>5.53</v>
      </c>
      <c r="D770" s="102"/>
    </row>
    <row r="771" spans="1:4" ht="15.75" hidden="1" customHeight="1" outlineLevel="1">
      <c r="A771" s="100" t="s">
        <v>47</v>
      </c>
      <c r="B771" s="101" t="s">
        <v>61</v>
      </c>
      <c r="C771" s="100">
        <v>5.54</v>
      </c>
      <c r="D771" s="102"/>
    </row>
    <row r="772" spans="1:4" ht="15.75" hidden="1" customHeight="1" outlineLevel="1">
      <c r="A772" s="100" t="s">
        <v>47</v>
      </c>
      <c r="B772" s="101" t="s">
        <v>62</v>
      </c>
      <c r="C772" s="103">
        <v>5.7</v>
      </c>
      <c r="D772" s="102"/>
    </row>
    <row r="773" spans="1:4" ht="15.75" hidden="1" customHeight="1" outlineLevel="1">
      <c r="A773" s="100" t="s">
        <v>47</v>
      </c>
      <c r="B773" s="101" t="s">
        <v>159</v>
      </c>
      <c r="C773" s="100">
        <v>5.71</v>
      </c>
      <c r="D773" s="102"/>
    </row>
    <row r="774" spans="1:4" ht="15.75" hidden="1" customHeight="1" outlineLevel="1">
      <c r="A774" s="100" t="s">
        <v>47</v>
      </c>
      <c r="B774" s="101" t="s">
        <v>188</v>
      </c>
      <c r="C774" s="103">
        <v>5.9</v>
      </c>
      <c r="D774" s="102"/>
    </row>
    <row r="775" spans="1:4" ht="15.75" hidden="1" customHeight="1" outlineLevel="1">
      <c r="A775" s="100" t="s">
        <v>47</v>
      </c>
      <c r="B775" s="101" t="s">
        <v>189</v>
      </c>
      <c r="C775" s="100">
        <v>5.91</v>
      </c>
      <c r="D775" s="102"/>
    </row>
    <row r="776" spans="1:4" ht="15.75" hidden="1" customHeight="1" outlineLevel="1">
      <c r="A776" s="100" t="s">
        <v>47</v>
      </c>
      <c r="B776" s="101" t="s">
        <v>190</v>
      </c>
      <c r="C776" s="100">
        <v>5.97</v>
      </c>
      <c r="D776" s="102"/>
    </row>
    <row r="777" spans="1:4" ht="15.75" hidden="1" customHeight="1">
      <c r="A777" s="105" t="s">
        <v>47</v>
      </c>
      <c r="B777" s="101"/>
      <c r="C777" s="100"/>
      <c r="D777" s="102"/>
    </row>
    <row r="778" spans="1:4" ht="15.75" hidden="1" customHeight="1" outlineLevel="1">
      <c r="A778" s="100" t="s">
        <v>1068</v>
      </c>
      <c r="B778" s="101" t="s">
        <v>49</v>
      </c>
      <c r="C778" s="100">
        <v>5.0999999999999996</v>
      </c>
      <c r="D778" s="102"/>
    </row>
    <row r="779" spans="1:4" ht="15.75" hidden="1" customHeight="1" outlineLevel="1">
      <c r="A779" s="100" t="s">
        <v>1068</v>
      </c>
      <c r="B779" s="101" t="s">
        <v>50</v>
      </c>
      <c r="C779" s="100">
        <v>5.2</v>
      </c>
      <c r="D779" s="102"/>
    </row>
    <row r="780" spans="1:4" ht="15.75" hidden="1" customHeight="1" outlineLevel="1">
      <c r="A780" s="100" t="s">
        <v>1068</v>
      </c>
      <c r="B780" s="101" t="s">
        <v>54</v>
      </c>
      <c r="C780" s="100">
        <v>5.26</v>
      </c>
      <c r="D780" s="102"/>
    </row>
    <row r="781" spans="1:4" ht="15.75" hidden="1" customHeight="1" outlineLevel="1">
      <c r="A781" s="100" t="s">
        <v>1068</v>
      </c>
      <c r="B781" s="101" t="s">
        <v>108</v>
      </c>
      <c r="C781" s="100">
        <v>5.5</v>
      </c>
      <c r="D781" s="102"/>
    </row>
    <row r="782" spans="1:4" ht="15.75" hidden="1" customHeight="1" outlineLevel="1">
      <c r="A782" s="100" t="s">
        <v>1068</v>
      </c>
      <c r="B782" s="101" t="s">
        <v>109</v>
      </c>
      <c r="C782" s="100">
        <v>5.8</v>
      </c>
      <c r="D782" s="104" t="s">
        <v>1081</v>
      </c>
    </row>
    <row r="783" spans="1:4" ht="15.75" hidden="1" customHeight="1" outlineLevel="1">
      <c r="A783" s="100" t="s">
        <v>1068</v>
      </c>
      <c r="B783" s="101" t="s">
        <v>110</v>
      </c>
      <c r="C783" s="100">
        <v>5.12</v>
      </c>
      <c r="D783" s="100"/>
    </row>
    <row r="784" spans="1:4" ht="15.75" hidden="1" customHeight="1" outlineLevel="1">
      <c r="A784" s="100" t="s">
        <v>1068</v>
      </c>
      <c r="B784" s="101" t="s">
        <v>111</v>
      </c>
      <c r="C784" s="100">
        <v>5.15</v>
      </c>
      <c r="D784" s="100"/>
    </row>
    <row r="785" spans="1:4" ht="15.75" hidden="1" customHeight="1" outlineLevel="1">
      <c r="A785" s="100" t="s">
        <v>1068</v>
      </c>
      <c r="B785" s="101" t="s">
        <v>112</v>
      </c>
      <c r="C785" s="103">
        <v>5.2</v>
      </c>
      <c r="D785" s="104"/>
    </row>
    <row r="786" spans="1:4" ht="15.75" hidden="1" customHeight="1" outlineLevel="1">
      <c r="A786" s="100" t="s">
        <v>1068</v>
      </c>
      <c r="B786" s="101" t="s">
        <v>113</v>
      </c>
      <c r="C786" s="100">
        <v>5.25</v>
      </c>
      <c r="D786" s="100"/>
    </row>
    <row r="787" spans="1:4" ht="15.75" hidden="1" customHeight="1" outlineLevel="1">
      <c r="A787" s="100" t="s">
        <v>1068</v>
      </c>
      <c r="B787" s="101" t="s">
        <v>59</v>
      </c>
      <c r="C787" s="100">
        <v>5.53</v>
      </c>
      <c r="D787" s="100"/>
    </row>
    <row r="788" spans="1:4" ht="15.75" hidden="1" customHeight="1" outlineLevel="1">
      <c r="A788" s="100" t="s">
        <v>1068</v>
      </c>
      <c r="B788" s="101" t="s">
        <v>191</v>
      </c>
      <c r="C788" s="103">
        <v>5.4</v>
      </c>
      <c r="D788" s="100"/>
    </row>
    <row r="789" spans="1:4" ht="15.75" hidden="1" customHeight="1" outlineLevel="1">
      <c r="A789" s="100" t="s">
        <v>1068</v>
      </c>
      <c r="B789" s="101" t="s">
        <v>192</v>
      </c>
      <c r="C789" s="100">
        <v>5.92</v>
      </c>
      <c r="D789" s="100"/>
    </row>
    <row r="790" spans="1:4" ht="15.75" hidden="1" customHeight="1" outlineLevel="1">
      <c r="A790" s="100" t="s">
        <v>1068</v>
      </c>
      <c r="B790" s="101" t="s">
        <v>193</v>
      </c>
      <c r="C790" s="100">
        <v>5.93</v>
      </c>
      <c r="D790" s="100"/>
    </row>
    <row r="791" spans="1:4" ht="15.75" hidden="1" customHeight="1" outlineLevel="1">
      <c r="A791" s="100" t="s">
        <v>1068</v>
      </c>
      <c r="B791" s="101" t="s">
        <v>194</v>
      </c>
      <c r="C791" s="100">
        <v>5.94</v>
      </c>
      <c r="D791" s="100"/>
    </row>
    <row r="792" spans="1:4" ht="15.75" hidden="1" customHeight="1" outlineLevel="1">
      <c r="A792" s="100" t="s">
        <v>1068</v>
      </c>
      <c r="B792" s="101" t="s">
        <v>195</v>
      </c>
      <c r="C792" s="100">
        <v>5.95</v>
      </c>
      <c r="D792" s="100"/>
    </row>
    <row r="793" spans="1:4" ht="15.75" hidden="1" customHeight="1" outlineLevel="1">
      <c r="A793" s="100" t="s">
        <v>1068</v>
      </c>
      <c r="B793" s="101" t="s">
        <v>196</v>
      </c>
      <c r="C793" s="100">
        <v>5.98</v>
      </c>
      <c r="D793" s="100"/>
    </row>
    <row r="794" spans="1:4" ht="15.75" hidden="1" customHeight="1" outlineLevel="1">
      <c r="A794" s="100" t="s">
        <v>1068</v>
      </c>
      <c r="B794" s="101" t="s">
        <v>197</v>
      </c>
      <c r="C794" s="100">
        <v>5.96</v>
      </c>
      <c r="D794" s="100"/>
    </row>
    <row r="795" spans="1:4" ht="15.75" hidden="1" customHeight="1">
      <c r="A795" s="105" t="s">
        <v>1068</v>
      </c>
      <c r="B795" s="101"/>
      <c r="C795" s="100"/>
      <c r="D795" s="100"/>
    </row>
    <row r="796" spans="1:4" ht="15.75" customHeight="1">
      <c r="A796" s="85"/>
      <c r="B796" s="85"/>
      <c r="D796" s="15"/>
    </row>
    <row r="797" spans="1:4" ht="15.75" customHeight="1">
      <c r="A797" s="85"/>
      <c r="B797" s="85"/>
      <c r="D797" s="15"/>
    </row>
    <row r="798" spans="1:4" ht="15.75" customHeight="1">
      <c r="A798" s="85"/>
      <c r="B798" s="85"/>
      <c r="D798" s="15"/>
    </row>
    <row r="799" spans="1:4" ht="15.75" customHeight="1">
      <c r="A799" s="85"/>
      <c r="B799" s="85"/>
      <c r="D799" s="15"/>
    </row>
    <row r="800" spans="1:4" ht="15.75" customHeight="1">
      <c r="A800" s="85"/>
      <c r="B800" s="85"/>
      <c r="D800" s="15"/>
    </row>
    <row r="801" spans="1:4" ht="15.75" customHeight="1">
      <c r="A801" s="85"/>
      <c r="B801" s="85"/>
      <c r="D801" s="15"/>
    </row>
    <row r="802" spans="1:4" ht="15.75" customHeight="1">
      <c r="A802" s="85"/>
      <c r="B802" s="85"/>
      <c r="D802" s="15"/>
    </row>
    <row r="803" spans="1:4" ht="15.75" customHeight="1">
      <c r="A803" s="85"/>
      <c r="B803" s="85"/>
      <c r="D803" s="15"/>
    </row>
    <row r="804" spans="1:4" ht="15.75" customHeight="1">
      <c r="A804" s="85"/>
      <c r="B804" s="85"/>
      <c r="D804" s="15"/>
    </row>
    <row r="805" spans="1:4" ht="15.75" customHeight="1">
      <c r="A805" s="85"/>
      <c r="B805" s="85"/>
      <c r="D805" s="15"/>
    </row>
    <row r="806" spans="1:4" ht="15.75" customHeight="1">
      <c r="A806" s="85"/>
      <c r="B806" s="85"/>
      <c r="D806" s="15"/>
    </row>
    <row r="807" spans="1:4" ht="15.75" customHeight="1">
      <c r="A807" s="85"/>
      <c r="B807" s="85"/>
      <c r="D807" s="15"/>
    </row>
    <row r="808" spans="1:4" ht="15.75" customHeight="1">
      <c r="A808" s="85"/>
      <c r="B808" s="85"/>
      <c r="D808" s="15"/>
    </row>
    <row r="809" spans="1:4" ht="15.75" customHeight="1">
      <c r="A809" s="85"/>
      <c r="B809" s="85"/>
      <c r="D809" s="15"/>
    </row>
    <row r="810" spans="1:4" ht="15.75" customHeight="1">
      <c r="A810" s="85"/>
      <c r="B810" s="85"/>
      <c r="D810" s="15"/>
    </row>
    <row r="811" spans="1:4" ht="15.75" customHeight="1">
      <c r="A811" s="85"/>
      <c r="B811" s="85"/>
      <c r="D811" s="15"/>
    </row>
    <row r="812" spans="1:4" ht="15.75" customHeight="1">
      <c r="A812" s="85"/>
      <c r="B812" s="85"/>
      <c r="D812" s="15"/>
    </row>
    <row r="813" spans="1:4" ht="15.75" customHeight="1">
      <c r="A813" s="85"/>
      <c r="B813" s="85"/>
      <c r="D813" s="15"/>
    </row>
    <row r="814" spans="1:4" ht="15.75" customHeight="1">
      <c r="A814" s="85"/>
      <c r="B814" s="85"/>
      <c r="D814" s="15"/>
    </row>
    <row r="815" spans="1:4" ht="15.75" customHeight="1">
      <c r="A815" s="85"/>
      <c r="B815" s="85"/>
      <c r="D815" s="15"/>
    </row>
    <row r="816" spans="1:4" ht="15.75" customHeight="1">
      <c r="A816" s="85"/>
      <c r="B816" s="85"/>
      <c r="D816" s="15"/>
    </row>
    <row r="817" spans="1:4" ht="15.75" customHeight="1">
      <c r="A817" s="85"/>
      <c r="B817" s="85"/>
      <c r="D817" s="15"/>
    </row>
    <row r="818" spans="1:4" ht="15.75" customHeight="1">
      <c r="A818" s="85"/>
      <c r="B818" s="85"/>
      <c r="D818" s="15"/>
    </row>
    <row r="819" spans="1:4" ht="15.75" customHeight="1">
      <c r="A819" s="85"/>
      <c r="B819" s="85"/>
      <c r="D819" s="15"/>
    </row>
    <row r="820" spans="1:4" ht="15.75" customHeight="1">
      <c r="A820" s="85"/>
      <c r="B820" s="85"/>
      <c r="D820" s="15"/>
    </row>
    <row r="821" spans="1:4" ht="15.75" customHeight="1">
      <c r="A821" s="85"/>
      <c r="B821" s="85"/>
      <c r="D821" s="15"/>
    </row>
    <row r="822" spans="1:4" ht="15.75" customHeight="1">
      <c r="A822" s="85"/>
      <c r="B822" s="85"/>
      <c r="D822" s="15"/>
    </row>
    <row r="823" spans="1:4" ht="15.75" customHeight="1">
      <c r="A823" s="85"/>
      <c r="B823" s="85"/>
      <c r="D823" s="15"/>
    </row>
    <row r="824" spans="1:4" ht="15.75" customHeight="1">
      <c r="A824" s="85"/>
      <c r="B824" s="85"/>
      <c r="D824" s="15"/>
    </row>
    <row r="825" spans="1:4" ht="15.75" customHeight="1">
      <c r="A825" s="85"/>
      <c r="B825" s="85"/>
      <c r="D825" s="15"/>
    </row>
    <row r="826" spans="1:4" ht="15.75" customHeight="1">
      <c r="A826" s="85"/>
      <c r="B826" s="85"/>
      <c r="D826" s="15"/>
    </row>
    <row r="827" spans="1:4" ht="15.75" customHeight="1">
      <c r="A827" s="85"/>
      <c r="B827" s="85"/>
      <c r="D827" s="15"/>
    </row>
    <row r="828" spans="1:4" ht="15.75" customHeight="1">
      <c r="A828" s="85"/>
      <c r="B828" s="85"/>
      <c r="D828" s="15"/>
    </row>
    <row r="829" spans="1:4" ht="15.75" customHeight="1">
      <c r="A829" s="85"/>
      <c r="B829" s="85"/>
      <c r="D829" s="15"/>
    </row>
    <row r="830" spans="1:4" ht="15.75" customHeight="1">
      <c r="A830" s="85"/>
      <c r="B830" s="85"/>
      <c r="D830" s="15"/>
    </row>
    <row r="831" spans="1:4" ht="15.75" customHeight="1">
      <c r="A831" s="85"/>
      <c r="B831" s="85"/>
      <c r="D831" s="15"/>
    </row>
    <row r="832" spans="1:4" ht="15.75" customHeight="1">
      <c r="A832" s="85"/>
      <c r="B832" s="85"/>
      <c r="D832" s="15"/>
    </row>
    <row r="833" spans="1:4" ht="15.75" customHeight="1">
      <c r="A833" s="85"/>
      <c r="B833" s="85"/>
      <c r="D833" s="15"/>
    </row>
    <row r="834" spans="1:4" ht="15.75" customHeight="1">
      <c r="A834" s="85"/>
      <c r="B834" s="85"/>
      <c r="D834" s="15"/>
    </row>
    <row r="835" spans="1:4" ht="15.75" customHeight="1">
      <c r="A835" s="85"/>
      <c r="B835" s="85"/>
      <c r="D835" s="15"/>
    </row>
    <row r="836" spans="1:4" ht="15.75" customHeight="1">
      <c r="A836" s="85"/>
      <c r="B836" s="85"/>
      <c r="D836" s="15"/>
    </row>
    <row r="837" spans="1:4" ht="15.75" customHeight="1">
      <c r="A837" s="85"/>
      <c r="B837" s="85"/>
      <c r="D837" s="15"/>
    </row>
    <row r="838" spans="1:4" ht="15.75" customHeight="1">
      <c r="A838" s="85"/>
      <c r="B838" s="85"/>
      <c r="D838" s="15"/>
    </row>
    <row r="839" spans="1:4" ht="15.75" customHeight="1">
      <c r="A839" s="85"/>
      <c r="B839" s="85"/>
      <c r="D839" s="15"/>
    </row>
    <row r="840" spans="1:4" ht="15.75" customHeight="1">
      <c r="A840" s="85"/>
      <c r="B840" s="85"/>
      <c r="D840" s="15"/>
    </row>
    <row r="841" spans="1:4" ht="15.75" customHeight="1">
      <c r="A841" s="85"/>
      <c r="B841" s="85"/>
      <c r="D841" s="15"/>
    </row>
    <row r="842" spans="1:4" ht="15.75" customHeight="1">
      <c r="A842" s="85"/>
      <c r="B842" s="85"/>
      <c r="D842" s="15"/>
    </row>
    <row r="843" spans="1:4" ht="15.75" customHeight="1">
      <c r="A843" s="85"/>
      <c r="B843" s="85"/>
      <c r="D843" s="15"/>
    </row>
    <row r="844" spans="1:4" ht="15.75" customHeight="1">
      <c r="A844" s="85"/>
      <c r="B844" s="85"/>
      <c r="D844" s="15"/>
    </row>
    <row r="845" spans="1:4" ht="15.75" customHeight="1">
      <c r="A845" s="85"/>
      <c r="B845" s="85"/>
      <c r="D845" s="15"/>
    </row>
    <row r="846" spans="1:4" ht="15.75" customHeight="1">
      <c r="A846" s="85"/>
      <c r="B846" s="85"/>
      <c r="D846" s="15"/>
    </row>
    <row r="847" spans="1:4" ht="15.75" customHeight="1">
      <c r="A847" s="85"/>
      <c r="B847" s="85"/>
      <c r="D847" s="15"/>
    </row>
    <row r="848" spans="1:4" ht="15.75" customHeight="1">
      <c r="A848" s="85"/>
      <c r="B848" s="85"/>
      <c r="D848" s="15"/>
    </row>
    <row r="849" spans="1:4" ht="15.75" customHeight="1">
      <c r="A849" s="85"/>
      <c r="B849" s="85"/>
      <c r="D849" s="15"/>
    </row>
    <row r="850" spans="1:4" ht="15.75" customHeight="1">
      <c r="A850" s="85"/>
      <c r="B850" s="85"/>
      <c r="D850" s="15"/>
    </row>
    <row r="851" spans="1:4" ht="15.75" customHeight="1">
      <c r="A851" s="85"/>
      <c r="B851" s="85"/>
      <c r="D851" s="15"/>
    </row>
    <row r="852" spans="1:4" ht="15.75" customHeight="1">
      <c r="A852" s="85"/>
      <c r="B852" s="85"/>
      <c r="D852" s="15"/>
    </row>
    <row r="853" spans="1:4" ht="15.75" customHeight="1">
      <c r="A853" s="85"/>
      <c r="B853" s="85"/>
      <c r="D853" s="15"/>
    </row>
    <row r="854" spans="1:4" ht="15.75" customHeight="1">
      <c r="A854" s="85"/>
      <c r="B854" s="85"/>
      <c r="D854" s="15"/>
    </row>
    <row r="855" spans="1:4" ht="15.75" customHeight="1">
      <c r="A855" s="85"/>
      <c r="B855" s="85"/>
      <c r="D855" s="15"/>
    </row>
    <row r="856" spans="1:4" ht="15.75" customHeight="1">
      <c r="A856" s="85"/>
      <c r="B856" s="85"/>
      <c r="D856" s="15"/>
    </row>
    <row r="857" spans="1:4" ht="15.75" customHeight="1">
      <c r="A857" s="85"/>
      <c r="B857" s="85"/>
      <c r="D857" s="15"/>
    </row>
    <row r="858" spans="1:4" ht="15.75" customHeight="1">
      <c r="A858" s="85"/>
      <c r="B858" s="85"/>
      <c r="D858" s="15"/>
    </row>
    <row r="859" spans="1:4" ht="15.75" customHeight="1">
      <c r="A859" s="85"/>
      <c r="B859" s="85"/>
      <c r="D859" s="15"/>
    </row>
    <row r="860" spans="1:4" ht="15.75" customHeight="1">
      <c r="A860" s="85"/>
      <c r="B860" s="85"/>
      <c r="D860" s="15"/>
    </row>
    <row r="861" spans="1:4" ht="15.75" customHeight="1">
      <c r="A861" s="85"/>
      <c r="B861" s="85"/>
      <c r="D861" s="15"/>
    </row>
    <row r="862" spans="1:4" ht="15.75" customHeight="1">
      <c r="A862" s="85"/>
      <c r="B862" s="85"/>
      <c r="D862" s="15"/>
    </row>
    <row r="863" spans="1:4" ht="15.75" customHeight="1">
      <c r="A863" s="85"/>
      <c r="B863" s="85"/>
      <c r="D863" s="15"/>
    </row>
    <row r="864" spans="1:4" ht="15.75" customHeight="1">
      <c r="A864" s="85"/>
      <c r="B864" s="85"/>
      <c r="D864" s="15"/>
    </row>
    <row r="865" spans="1:4" ht="15.75" customHeight="1">
      <c r="A865" s="85"/>
      <c r="B865" s="85"/>
      <c r="D865" s="15"/>
    </row>
    <row r="866" spans="1:4" ht="15.75" customHeight="1">
      <c r="A866" s="85"/>
      <c r="B866" s="85"/>
      <c r="D866" s="15"/>
    </row>
    <row r="867" spans="1:4" ht="15.75" customHeight="1">
      <c r="A867" s="85"/>
      <c r="B867" s="85"/>
      <c r="D867" s="15"/>
    </row>
    <row r="868" spans="1:4" ht="15.75" customHeight="1">
      <c r="A868" s="85"/>
      <c r="B868" s="85"/>
      <c r="D868" s="15"/>
    </row>
    <row r="869" spans="1:4" ht="15.75" customHeight="1">
      <c r="A869" s="85"/>
      <c r="B869" s="85"/>
      <c r="D869" s="15"/>
    </row>
    <row r="870" spans="1:4" ht="15.75" customHeight="1">
      <c r="A870" s="85"/>
      <c r="B870" s="85"/>
      <c r="D870" s="15"/>
    </row>
    <row r="871" spans="1:4" ht="15.75" customHeight="1">
      <c r="A871" s="85"/>
      <c r="B871" s="85"/>
      <c r="D871" s="15"/>
    </row>
    <row r="872" spans="1:4" ht="15.75" customHeight="1">
      <c r="A872" s="85"/>
      <c r="B872" s="85"/>
      <c r="D872" s="15"/>
    </row>
    <row r="873" spans="1:4" ht="15.75" customHeight="1">
      <c r="A873" s="85"/>
      <c r="B873" s="85"/>
      <c r="D873" s="15"/>
    </row>
    <row r="874" spans="1:4" ht="15.75" customHeight="1">
      <c r="A874" s="85"/>
      <c r="B874" s="85"/>
      <c r="D874" s="15"/>
    </row>
    <row r="875" spans="1:4" ht="15.75" customHeight="1">
      <c r="A875" s="85"/>
      <c r="B875" s="85"/>
      <c r="D875" s="15"/>
    </row>
    <row r="876" spans="1:4" ht="15.75" customHeight="1">
      <c r="A876" s="85"/>
      <c r="B876" s="85"/>
      <c r="D876" s="15"/>
    </row>
    <row r="877" spans="1:4" ht="15.75" customHeight="1">
      <c r="A877" s="85"/>
      <c r="B877" s="85"/>
      <c r="D877" s="15"/>
    </row>
    <row r="878" spans="1:4" ht="15.75" customHeight="1">
      <c r="A878" s="85"/>
      <c r="B878" s="85"/>
      <c r="D878" s="15"/>
    </row>
    <row r="879" spans="1:4" ht="15.75" customHeight="1">
      <c r="A879" s="85"/>
      <c r="B879" s="85"/>
      <c r="D879" s="15"/>
    </row>
    <row r="880" spans="1:4" ht="15.75" customHeight="1">
      <c r="A880" s="85"/>
      <c r="B880" s="85"/>
      <c r="D880" s="15"/>
    </row>
    <row r="881" spans="1:4" ht="15.75" customHeight="1">
      <c r="A881" s="85"/>
      <c r="B881" s="85"/>
      <c r="D881" s="15"/>
    </row>
    <row r="882" spans="1:4" ht="15.75" customHeight="1">
      <c r="A882" s="85"/>
      <c r="B882" s="85"/>
      <c r="D882" s="15"/>
    </row>
    <row r="883" spans="1:4" ht="15.75" customHeight="1">
      <c r="A883" s="85"/>
      <c r="B883" s="85"/>
      <c r="D883" s="15"/>
    </row>
    <row r="884" spans="1:4" ht="15.75" customHeight="1">
      <c r="A884" s="85"/>
      <c r="B884" s="85"/>
      <c r="D884" s="15"/>
    </row>
    <row r="885" spans="1:4" ht="15.75" customHeight="1">
      <c r="A885" s="85"/>
      <c r="B885" s="85"/>
      <c r="D885" s="15"/>
    </row>
    <row r="886" spans="1:4" ht="15.75" customHeight="1">
      <c r="A886" s="85"/>
      <c r="B886" s="85"/>
      <c r="D886" s="15"/>
    </row>
    <row r="887" spans="1:4" ht="15.75" customHeight="1">
      <c r="A887" s="85"/>
      <c r="B887" s="85"/>
      <c r="D887" s="15"/>
    </row>
    <row r="888" spans="1:4" ht="15.75" customHeight="1">
      <c r="A888" s="85"/>
      <c r="B888" s="85"/>
      <c r="D888" s="15"/>
    </row>
    <row r="889" spans="1:4" ht="15.75" customHeight="1">
      <c r="A889" s="85"/>
      <c r="B889" s="85"/>
      <c r="D889" s="15"/>
    </row>
    <row r="890" spans="1:4" ht="15.75" customHeight="1">
      <c r="A890" s="85"/>
      <c r="B890" s="85"/>
      <c r="D890" s="15"/>
    </row>
    <row r="891" spans="1:4" ht="15.75" customHeight="1">
      <c r="A891" s="85"/>
      <c r="B891" s="85"/>
      <c r="D891" s="15"/>
    </row>
    <row r="892" spans="1:4" ht="15.75" customHeight="1">
      <c r="A892" s="85"/>
      <c r="B892" s="85"/>
      <c r="D892" s="15"/>
    </row>
    <row r="893" spans="1:4" ht="15.75" customHeight="1">
      <c r="A893" s="85"/>
      <c r="B893" s="85"/>
      <c r="D893" s="15"/>
    </row>
    <row r="894" spans="1:4" ht="15.75" customHeight="1">
      <c r="A894" s="85"/>
      <c r="B894" s="85"/>
      <c r="D894" s="15"/>
    </row>
    <row r="895" spans="1:4" ht="15.75" customHeight="1">
      <c r="A895" s="85"/>
      <c r="B895" s="85"/>
      <c r="D895" s="15"/>
    </row>
    <row r="896" spans="1:4" ht="15.75" customHeight="1">
      <c r="A896" s="85"/>
      <c r="B896" s="85"/>
      <c r="D896" s="15"/>
    </row>
    <row r="897" spans="1:4" ht="15.75" customHeight="1">
      <c r="A897" s="85"/>
      <c r="B897" s="85"/>
      <c r="D897" s="15"/>
    </row>
    <row r="898" spans="1:4" ht="15.75" customHeight="1">
      <c r="A898" s="85"/>
      <c r="B898" s="85"/>
      <c r="D898" s="15"/>
    </row>
    <row r="899" spans="1:4" ht="15.75" customHeight="1">
      <c r="A899" s="85"/>
      <c r="B899" s="85"/>
      <c r="D899" s="15"/>
    </row>
    <row r="900" spans="1:4" ht="15.75" customHeight="1">
      <c r="A900" s="85"/>
      <c r="B900" s="85"/>
      <c r="D900" s="15"/>
    </row>
    <row r="901" spans="1:4" ht="15.75" customHeight="1">
      <c r="A901" s="85"/>
      <c r="B901" s="85"/>
      <c r="D901" s="15"/>
    </row>
    <row r="902" spans="1:4" ht="15.75" customHeight="1">
      <c r="A902" s="85"/>
      <c r="B902" s="85"/>
      <c r="D902" s="15"/>
    </row>
    <row r="903" spans="1:4" ht="15.75" customHeight="1">
      <c r="A903" s="85"/>
      <c r="B903" s="85"/>
      <c r="D903" s="15"/>
    </row>
    <row r="904" spans="1:4" ht="15.75" customHeight="1">
      <c r="A904" s="85"/>
      <c r="B904" s="85"/>
      <c r="D904" s="15"/>
    </row>
    <row r="905" spans="1:4" ht="15.75" customHeight="1">
      <c r="A905" s="85"/>
      <c r="B905" s="85"/>
      <c r="D905" s="15"/>
    </row>
    <row r="906" spans="1:4" ht="15.75" customHeight="1">
      <c r="A906" s="85"/>
      <c r="B906" s="85"/>
      <c r="D906" s="15"/>
    </row>
    <row r="907" spans="1:4" ht="15.75" customHeight="1">
      <c r="A907" s="85"/>
      <c r="B907" s="85"/>
      <c r="D907" s="15"/>
    </row>
    <row r="908" spans="1:4" ht="15.75" customHeight="1">
      <c r="A908" s="85"/>
      <c r="B908" s="85"/>
      <c r="D908" s="15"/>
    </row>
    <row r="909" spans="1:4" ht="15.75" customHeight="1">
      <c r="A909" s="85"/>
      <c r="B909" s="85"/>
      <c r="D909" s="15"/>
    </row>
    <row r="910" spans="1:4" ht="15.75" customHeight="1">
      <c r="A910" s="85"/>
      <c r="B910" s="85"/>
      <c r="D910" s="15"/>
    </row>
    <row r="911" spans="1:4" ht="15.75" customHeight="1">
      <c r="A911" s="85"/>
      <c r="B911" s="85"/>
      <c r="D911" s="15"/>
    </row>
    <row r="912" spans="1:4" ht="15.75" customHeight="1">
      <c r="A912" s="85"/>
      <c r="B912" s="85"/>
      <c r="D912" s="15"/>
    </row>
    <row r="913" spans="1:4" ht="15.75" customHeight="1">
      <c r="A913" s="85"/>
      <c r="B913" s="85"/>
      <c r="D913" s="15"/>
    </row>
    <row r="914" spans="1:4" ht="15.75" customHeight="1">
      <c r="A914" s="85"/>
      <c r="B914" s="85"/>
      <c r="D914" s="15"/>
    </row>
    <row r="915" spans="1:4" ht="15.75" customHeight="1">
      <c r="A915" s="85"/>
      <c r="B915" s="85"/>
      <c r="D915" s="15"/>
    </row>
    <row r="916" spans="1:4" ht="15.75" customHeight="1">
      <c r="A916" s="85"/>
      <c r="B916" s="85"/>
      <c r="D916" s="15"/>
    </row>
    <row r="917" spans="1:4" ht="15.75" customHeight="1">
      <c r="A917" s="85"/>
      <c r="B917" s="85"/>
      <c r="D917" s="15"/>
    </row>
    <row r="918" spans="1:4" ht="15.75" customHeight="1">
      <c r="A918" s="85"/>
      <c r="B918" s="85"/>
      <c r="D918" s="15"/>
    </row>
    <row r="919" spans="1:4" ht="15.75" customHeight="1">
      <c r="A919" s="85"/>
      <c r="B919" s="85"/>
      <c r="D919" s="15"/>
    </row>
    <row r="920" spans="1:4" ht="15.75" customHeight="1">
      <c r="A920" s="85"/>
      <c r="B920" s="85"/>
      <c r="D920" s="15"/>
    </row>
    <row r="921" spans="1:4" ht="15.75" customHeight="1">
      <c r="A921" s="85"/>
      <c r="B921" s="85"/>
      <c r="D921" s="15"/>
    </row>
    <row r="922" spans="1:4" ht="15.75" customHeight="1">
      <c r="A922" s="85"/>
      <c r="B922" s="85"/>
      <c r="D922" s="15"/>
    </row>
    <row r="923" spans="1:4" ht="15.75" customHeight="1">
      <c r="A923" s="85"/>
      <c r="B923" s="85"/>
      <c r="D923" s="15"/>
    </row>
    <row r="924" spans="1:4" ht="15.75" customHeight="1">
      <c r="A924" s="85"/>
      <c r="B924" s="85"/>
      <c r="D924" s="15"/>
    </row>
    <row r="925" spans="1:4" ht="15.75" customHeight="1">
      <c r="A925" s="85"/>
      <c r="B925" s="85"/>
      <c r="D925" s="15"/>
    </row>
    <row r="926" spans="1:4" ht="15.75" customHeight="1">
      <c r="A926" s="85"/>
      <c r="B926" s="85"/>
      <c r="D926" s="15"/>
    </row>
    <row r="927" spans="1:4" ht="15.75" customHeight="1">
      <c r="A927" s="85"/>
      <c r="B927" s="85"/>
      <c r="D927" s="15"/>
    </row>
    <row r="928" spans="1:4" ht="15.75" customHeight="1">
      <c r="A928" s="85"/>
      <c r="B928" s="85"/>
      <c r="D928" s="15"/>
    </row>
    <row r="929" spans="1:4" ht="15.75" customHeight="1">
      <c r="A929" s="85"/>
      <c r="B929" s="85"/>
      <c r="D929" s="15"/>
    </row>
    <row r="930" spans="1:4" ht="15.75" customHeight="1">
      <c r="A930" s="85"/>
      <c r="B930" s="85"/>
      <c r="D930" s="15"/>
    </row>
    <row r="931" spans="1:4" ht="15.75" customHeight="1">
      <c r="A931" s="85"/>
      <c r="B931" s="85"/>
      <c r="D931" s="15"/>
    </row>
    <row r="932" spans="1:4" ht="15.75" customHeight="1">
      <c r="A932" s="85"/>
      <c r="B932" s="85"/>
      <c r="D932" s="15"/>
    </row>
    <row r="933" spans="1:4" ht="15.75" customHeight="1">
      <c r="A933" s="85"/>
      <c r="B933" s="85"/>
      <c r="D933" s="15"/>
    </row>
    <row r="934" spans="1:4" ht="15.75" customHeight="1">
      <c r="A934" s="85"/>
      <c r="B934" s="85"/>
      <c r="D934" s="15"/>
    </row>
    <row r="935" spans="1:4" ht="15.75" customHeight="1">
      <c r="A935" s="85"/>
      <c r="B935" s="85"/>
      <c r="D935" s="15"/>
    </row>
    <row r="936" spans="1:4" ht="15.75" customHeight="1">
      <c r="A936" s="85"/>
      <c r="B936" s="85"/>
      <c r="D936" s="15"/>
    </row>
    <row r="937" spans="1:4" ht="15.75" customHeight="1">
      <c r="A937" s="85"/>
      <c r="B937" s="85"/>
      <c r="D937" s="15"/>
    </row>
    <row r="938" spans="1:4" ht="15.75" customHeight="1">
      <c r="A938" s="85"/>
      <c r="B938" s="85"/>
      <c r="D938" s="15"/>
    </row>
    <row r="939" spans="1:4" ht="15.75" customHeight="1">
      <c r="A939" s="85"/>
      <c r="B939" s="85"/>
      <c r="D939" s="15"/>
    </row>
    <row r="940" spans="1:4" ht="15.75" customHeight="1">
      <c r="A940" s="85"/>
      <c r="B940" s="85"/>
      <c r="D940" s="15"/>
    </row>
    <row r="941" spans="1:4" ht="15.75" customHeight="1">
      <c r="A941" s="85"/>
      <c r="B941" s="85"/>
      <c r="D941" s="15"/>
    </row>
    <row r="942" spans="1:4" ht="15.75" customHeight="1">
      <c r="A942" s="85"/>
      <c r="B942" s="85"/>
      <c r="D942" s="15"/>
    </row>
    <row r="943" spans="1:4" ht="15.75" customHeight="1">
      <c r="A943" s="85"/>
      <c r="B943" s="85"/>
      <c r="D943" s="15"/>
    </row>
    <row r="944" spans="1:4" ht="15.75" customHeight="1">
      <c r="A944" s="85"/>
      <c r="B944" s="85"/>
      <c r="D944" s="15"/>
    </row>
    <row r="945" spans="1:4" ht="15.75" customHeight="1">
      <c r="A945" s="85"/>
      <c r="B945" s="85"/>
      <c r="D945" s="15"/>
    </row>
    <row r="946" spans="1:4" ht="15.75" customHeight="1">
      <c r="A946" s="85"/>
      <c r="B946" s="85"/>
      <c r="D946" s="15"/>
    </row>
    <row r="947" spans="1:4" ht="15.75" customHeight="1">
      <c r="A947" s="85"/>
      <c r="B947" s="85"/>
      <c r="D947" s="15"/>
    </row>
    <row r="948" spans="1:4" ht="15.75" customHeight="1">
      <c r="A948" s="85"/>
      <c r="B948" s="85"/>
      <c r="D948" s="15"/>
    </row>
    <row r="949" spans="1:4" ht="15.75" customHeight="1">
      <c r="A949" s="85"/>
      <c r="B949" s="85"/>
      <c r="D949" s="15"/>
    </row>
    <row r="950" spans="1:4" ht="15.75" customHeight="1">
      <c r="A950" s="85"/>
      <c r="B950" s="85"/>
      <c r="D950" s="15"/>
    </row>
    <row r="951" spans="1:4" ht="15.75" customHeight="1">
      <c r="A951" s="85"/>
      <c r="B951" s="85"/>
      <c r="D951" s="15"/>
    </row>
    <row r="952" spans="1:4" ht="15.75" customHeight="1">
      <c r="A952" s="85"/>
      <c r="B952" s="85"/>
      <c r="D952" s="15"/>
    </row>
    <row r="953" spans="1:4" ht="15.75" customHeight="1">
      <c r="A953" s="85"/>
      <c r="B953" s="85"/>
      <c r="D953" s="15"/>
    </row>
    <row r="954" spans="1:4" ht="15.75" customHeight="1">
      <c r="A954" s="85"/>
      <c r="B954" s="85"/>
      <c r="D954" s="15"/>
    </row>
    <row r="955" spans="1:4" ht="15.75" customHeight="1">
      <c r="A955" s="85"/>
      <c r="B955" s="85"/>
      <c r="D955" s="15"/>
    </row>
    <row r="956" spans="1:4" ht="15.75" customHeight="1">
      <c r="A956" s="85"/>
      <c r="B956" s="85"/>
      <c r="D956" s="15"/>
    </row>
    <row r="957" spans="1:4" ht="15.75" customHeight="1">
      <c r="A957" s="85"/>
      <c r="B957" s="85"/>
      <c r="D957" s="15"/>
    </row>
    <row r="958" spans="1:4" ht="15.75" customHeight="1">
      <c r="A958" s="85"/>
      <c r="B958" s="85"/>
      <c r="D958" s="15"/>
    </row>
    <row r="959" spans="1:4" ht="15.75" customHeight="1">
      <c r="A959" s="85"/>
      <c r="B959" s="85"/>
      <c r="D959" s="15"/>
    </row>
    <row r="960" spans="1:4" ht="15.75" customHeight="1">
      <c r="A960" s="85"/>
      <c r="B960" s="85"/>
      <c r="D960" s="15"/>
    </row>
    <row r="961" spans="1:4" ht="15.75" customHeight="1">
      <c r="A961" s="85"/>
      <c r="B961" s="85"/>
      <c r="D961" s="15"/>
    </row>
    <row r="962" spans="1:4" ht="15.75" customHeight="1">
      <c r="A962" s="85"/>
      <c r="B962" s="85"/>
      <c r="D962" s="15"/>
    </row>
    <row r="963" spans="1:4" ht="15.75" customHeight="1">
      <c r="A963" s="85"/>
      <c r="B963" s="85"/>
      <c r="D963" s="15"/>
    </row>
    <row r="964" spans="1:4" ht="15.75" customHeight="1">
      <c r="A964" s="85"/>
      <c r="B964" s="85"/>
      <c r="D964" s="15"/>
    </row>
    <row r="965" spans="1:4" ht="15.75" customHeight="1">
      <c r="A965" s="85"/>
      <c r="B965" s="85"/>
      <c r="D965" s="15"/>
    </row>
    <row r="966" spans="1:4" ht="15.75" customHeight="1">
      <c r="A966" s="85"/>
      <c r="B966" s="85"/>
      <c r="D966" s="15"/>
    </row>
    <row r="967" spans="1:4" ht="15.75" customHeight="1">
      <c r="A967" s="85"/>
      <c r="B967" s="85"/>
      <c r="D967" s="15"/>
    </row>
    <row r="968" spans="1:4" ht="15.75" customHeight="1">
      <c r="A968" s="85"/>
      <c r="B968" s="85"/>
      <c r="D968" s="15"/>
    </row>
    <row r="969" spans="1:4" ht="15.75" customHeight="1">
      <c r="A969" s="85"/>
      <c r="B969" s="85"/>
      <c r="D969" s="15"/>
    </row>
    <row r="970" spans="1:4" ht="15.75" customHeight="1">
      <c r="A970" s="85"/>
      <c r="B970" s="85"/>
      <c r="D970" s="15"/>
    </row>
    <row r="971" spans="1:4" ht="15.75" customHeight="1">
      <c r="A971" s="85"/>
      <c r="B971" s="85"/>
      <c r="D971" s="15"/>
    </row>
    <row r="972" spans="1:4" ht="15.75" customHeight="1">
      <c r="A972" s="85"/>
      <c r="B972" s="85"/>
      <c r="D972" s="15"/>
    </row>
    <row r="973" spans="1:4" ht="15.75" customHeight="1">
      <c r="A973" s="85"/>
      <c r="B973" s="85"/>
      <c r="D973" s="15"/>
    </row>
    <row r="974" spans="1:4" ht="15.75" customHeight="1">
      <c r="A974" s="85"/>
      <c r="B974" s="85"/>
      <c r="D974" s="15"/>
    </row>
    <row r="975" spans="1:4" ht="15.75" customHeight="1">
      <c r="A975" s="85"/>
      <c r="B975" s="85"/>
      <c r="D975" s="15"/>
    </row>
    <row r="976" spans="1:4" ht="15.75" customHeight="1">
      <c r="A976" s="85"/>
      <c r="B976" s="85"/>
      <c r="D976" s="15"/>
    </row>
    <row r="977" spans="1:4" ht="15.75" customHeight="1">
      <c r="A977" s="85"/>
      <c r="B977" s="85"/>
      <c r="D977" s="15"/>
    </row>
    <row r="978" spans="1:4" ht="15.75" customHeight="1">
      <c r="A978" s="85"/>
      <c r="B978" s="85"/>
      <c r="D978" s="15"/>
    </row>
    <row r="979" spans="1:4" ht="15.75" customHeight="1">
      <c r="A979" s="85"/>
      <c r="B979" s="85"/>
      <c r="D979" s="15"/>
    </row>
    <row r="980" spans="1:4" ht="15.75" customHeight="1">
      <c r="A980" s="85"/>
      <c r="B980" s="85"/>
      <c r="D980" s="15"/>
    </row>
    <row r="981" spans="1:4" ht="15.75" customHeight="1">
      <c r="A981" s="85"/>
      <c r="B981" s="85"/>
      <c r="D981" s="15"/>
    </row>
    <row r="982" spans="1:4" ht="15.75" customHeight="1">
      <c r="A982" s="85"/>
      <c r="B982" s="85"/>
      <c r="D982" s="15"/>
    </row>
    <row r="983" spans="1:4" ht="15.75" customHeight="1">
      <c r="A983" s="85"/>
      <c r="B983" s="85"/>
      <c r="D983" s="15"/>
    </row>
    <row r="984" spans="1:4" ht="15.75" customHeight="1">
      <c r="A984" s="85"/>
      <c r="B984" s="85"/>
      <c r="D984" s="15"/>
    </row>
    <row r="985" spans="1:4" ht="15.75" customHeight="1">
      <c r="A985" s="85"/>
      <c r="B985" s="85"/>
      <c r="D985" s="15"/>
    </row>
    <row r="986" spans="1:4" ht="15.75" customHeight="1">
      <c r="A986" s="85"/>
      <c r="B986" s="85"/>
      <c r="D986" s="15"/>
    </row>
    <row r="987" spans="1:4" ht="15.75" customHeight="1">
      <c r="A987" s="85"/>
      <c r="B987" s="85"/>
      <c r="D987" s="15"/>
    </row>
    <row r="988" spans="1:4" ht="15.75" customHeight="1">
      <c r="A988" s="85"/>
      <c r="B988" s="85"/>
      <c r="D988" s="15"/>
    </row>
    <row r="989" spans="1:4" ht="15.75" customHeight="1">
      <c r="A989" s="85"/>
      <c r="B989" s="85"/>
      <c r="D989" s="15"/>
    </row>
    <row r="990" spans="1:4" ht="15.75" customHeight="1">
      <c r="A990" s="85"/>
      <c r="B990" s="85"/>
      <c r="D990" s="15"/>
    </row>
    <row r="991" spans="1:4" ht="15.75" customHeight="1">
      <c r="A991" s="85"/>
      <c r="B991" s="85"/>
      <c r="D991" s="15"/>
    </row>
    <row r="992" spans="1:4" ht="15.75" customHeight="1">
      <c r="A992" s="85"/>
      <c r="B992" s="85"/>
      <c r="D992" s="15"/>
    </row>
    <row r="993" spans="1:4" ht="15.75" customHeight="1">
      <c r="A993" s="85"/>
      <c r="B993" s="85"/>
      <c r="D993" s="15"/>
    </row>
    <row r="994" spans="1:4" ht="15.75" customHeight="1">
      <c r="A994" s="85"/>
      <c r="B994" s="85"/>
      <c r="D994" s="15"/>
    </row>
    <row r="995" spans="1:4" ht="15.75" customHeight="1">
      <c r="A995" s="85"/>
      <c r="B995" s="85"/>
      <c r="D995" s="15"/>
    </row>
    <row r="996" spans="1:4" ht="15.75" customHeight="1">
      <c r="A996" s="85"/>
      <c r="B996" s="85"/>
      <c r="D996" s="15"/>
    </row>
    <row r="997" spans="1:4" ht="15.75" customHeight="1">
      <c r="A997" s="85"/>
      <c r="B997" s="85"/>
      <c r="D997" s="15"/>
    </row>
    <row r="998" spans="1:4" ht="15.75" customHeight="1">
      <c r="A998" s="85"/>
      <c r="B998" s="85"/>
      <c r="D998" s="15"/>
    </row>
    <row r="999" spans="1:4" ht="15.75" customHeight="1">
      <c r="A999" s="85"/>
      <c r="B999" s="85"/>
      <c r="D999" s="15"/>
    </row>
    <row r="1000" spans="1:4" ht="15.75" customHeight="1">
      <c r="A1000" s="85"/>
      <c r="B1000" s="85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7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7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8"/>
    </row>
    <row r="15" spans="1:2" ht="14.25" customHeight="1">
      <c r="A15" s="107" t="s">
        <v>1112</v>
      </c>
    </row>
    <row r="16" spans="1:2" ht="14.25" customHeight="1">
      <c r="A16" s="109" t="s">
        <v>1113</v>
      </c>
    </row>
    <row r="17" spans="1:2" ht="14.25" customHeight="1">
      <c r="A17" s="109" t="s">
        <v>1114</v>
      </c>
    </row>
    <row r="18" spans="1:2" ht="14.25" customHeight="1">
      <c r="A18" s="109" t="s">
        <v>1115</v>
      </c>
    </row>
    <row r="19" spans="1:2" ht="14.25" customHeight="1">
      <c r="A19" s="109" t="s">
        <v>1116</v>
      </c>
    </row>
    <row r="20" spans="1:2" ht="14.25" customHeight="1"/>
    <row r="21" spans="1:2" ht="14.25" customHeight="1">
      <c r="A21" s="110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7" t="s">
        <v>1118</v>
      </c>
      <c r="B34" s="107" t="s">
        <v>308</v>
      </c>
    </row>
    <row r="35" spans="1:2" ht="14.25" customHeight="1">
      <c r="A35" s="8" t="s">
        <v>1119</v>
      </c>
      <c r="B35" s="111">
        <v>512310509</v>
      </c>
    </row>
    <row r="36" spans="1:2" ht="14.25" customHeight="1">
      <c r="A36" s="3" t="s">
        <v>1120</v>
      </c>
      <c r="B36" s="111">
        <v>513910703</v>
      </c>
    </row>
    <row r="37" spans="1:2" ht="14.25" customHeight="1">
      <c r="A37" s="3" t="s">
        <v>1121</v>
      </c>
      <c r="B37" s="111">
        <v>512304882</v>
      </c>
    </row>
    <row r="38" spans="1:2" ht="14.25" customHeight="1">
      <c r="A38" s="3" t="s">
        <v>1122</v>
      </c>
      <c r="B38" s="111">
        <v>520030677</v>
      </c>
    </row>
    <row r="39" spans="1:2" ht="14.25" customHeight="1">
      <c r="A39" s="3" t="s">
        <v>1123</v>
      </c>
      <c r="B39" s="111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2025-05-06T04:57:02Z</dcterms:modified>
</cp:coreProperties>
</file>